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24.xml" ContentType="application/vnd.openxmlformats-officedocument.spreadsheetml.table+xml"/>
  <Override PartName="/xl/tables/table2.xml" ContentType="application/vnd.openxmlformats-officedocument.spreadsheetml.table+xml"/>
  <Override PartName="/xl/tables/table26.xml" ContentType="application/vnd.openxmlformats-officedocument.spreadsheetml.table+xml"/>
  <Override PartName="/xl/tables/table4.xml" ContentType="application/vnd.openxmlformats-officedocument.spreadsheetml.table+xml"/>
  <Override PartName="/xl/tables/table6.xml" ContentType="application/vnd.openxmlformats-officedocument.spreadsheetml.table+xml"/>
  <Override PartName="/xl/tables/table12.xml" ContentType="application/vnd.openxmlformats-officedocument.spreadsheetml.table+xml"/>
  <Override PartName="/xl/tables/table5.xml" ContentType="application/vnd.openxmlformats-officedocument.spreadsheetml.table+xml"/>
  <Override PartName="/xl/tables/table20.xml" ContentType="application/vnd.openxmlformats-officedocument.spreadsheetml.table+xml"/>
  <Override PartName="/xl/tables/table17.xml" ContentType="application/vnd.openxmlformats-officedocument.spreadsheetml.table+xml"/>
  <Override PartName="/xl/tables/table28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22.xml" ContentType="application/vnd.openxmlformats-officedocument.spreadsheetml.table+xml"/>
  <Override PartName="/xl/tables/table11.xml" ContentType="application/vnd.openxmlformats-officedocument.spreadsheetml.table+xml"/>
  <Override PartName="/xl/tables/table27.xml" ContentType="application/vnd.openxmlformats-officedocument.spreadsheetml.table+xml"/>
  <Override PartName="/xl/tables/table21.xml" ContentType="application/vnd.openxmlformats-officedocument.spreadsheetml.table+xml"/>
  <Override PartName="/xl/tables/table1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23.xml" ContentType="application/vnd.openxmlformats-officedocument.spreadsheetml.table+xml"/>
  <Override PartName="/xl/tables/table18.xml" ContentType="application/vnd.openxmlformats-officedocument.spreadsheetml.table+xml"/>
  <Override PartName="/xl/tables/table29.xml" ContentType="application/vnd.openxmlformats-officedocument.spreadsheetml.table+xml"/>
  <Override PartName="/xl/tables/table25.xml" ContentType="application/vnd.openxmlformats-officedocument.spreadsheetml.table+xml"/>
  <Override PartName="/xl/tables/table7.xml" ContentType="application/vnd.openxmlformats-officedocument.spreadsheetml.table+xml"/>
  <Override PartName="/xl/tables/table13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0.xml" ContentType="application/vnd.openxmlformats-officedocument.spreadsheetml.table+xml"/>
  <Override PartName="/xl/tables/table14.xml" ContentType="application/vnd.openxmlformats-officedocument.spreadsheetml.table+xml"/>
  <Override PartName="/xl/styles.xml" ContentType="application/vnd.openxmlformats-officedocument.spreadsheetml.styles+xml"/>
  <Override PartName="/xl/worksheets/sheet2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17.xml" ContentType="application/vnd.openxmlformats-officedocument.spreadsheetml.worksheet+xml"/>
  <Override PartName="/xl/worksheets/sheet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4.xml" ContentType="application/vnd.openxmlformats-officedocument.spreadsheetml.worksheet+xml"/>
  <Override PartName="/xl/worksheets/sheet7.xml" ContentType="application/vnd.openxmlformats-officedocument.spreadsheetml.worksheet+xml"/>
  <Override PartName="/xl/worksheets/sheet10.xml" ContentType="application/vnd.openxmlformats-officedocument.spreadsheetml.worksheet+xml"/>
  <Override PartName="/xl/worksheets/sheet69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6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33.xml" ContentType="application/vnd.openxmlformats-officedocument.spreadsheetml.worksheet+xml"/>
  <Override PartName="/xl/worksheets/sheet21.xml" ContentType="application/vnd.openxmlformats-officedocument.spreadsheetml.worksheet+xml"/>
  <Override PartName="/xl/worksheets/sheet23.xml" ContentType="application/vnd.openxmlformats-officedocument.spreadsheetml.worksheet+xml"/>
  <Override PartName="/xl/worksheets/sheet31.xml" ContentType="application/vnd.openxmlformats-officedocument.spreadsheetml.worksheet+xml"/>
  <Override PartName="/xl/worksheets/sheet46.xml" ContentType="application/vnd.openxmlformats-officedocument.spreadsheetml.worksheet+xml"/>
  <Override PartName="/xl/worksheets/sheet32.xml" ContentType="application/vnd.openxmlformats-officedocument.spreadsheetml.worksheet+xml"/>
  <Override PartName="/xl/worksheets/sheet34.xml" ContentType="application/vnd.openxmlformats-officedocument.spreadsheetml.worksheet+xml"/>
  <Override PartName="/xl/worksheets/sheet29.xml" ContentType="application/vnd.openxmlformats-officedocument.spreadsheetml.worksheet+xml"/>
  <Override PartName="/xl/worksheets/sheet37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.xml" ContentType="application/vnd.openxmlformats-officedocument.spreadsheetml.worksheet+xml"/>
  <Override PartName="/xl/worksheets/sheet38.xml" ContentType="application/vnd.openxmlformats-officedocument.spreadsheetml.worksheet+xml"/>
  <Override PartName="/xl/worksheets/sheet36.xml" ContentType="application/vnd.openxmlformats-officedocument.spreadsheetml.worksheet+xml"/>
  <Override PartName="/xl/worksheets/sheet3.xml" ContentType="application/vnd.openxmlformats-officedocument.spreadsheetml.worksheet+xml"/>
  <Override PartName="/xl/worksheets/sheet40.xml" ContentType="application/vnd.openxmlformats-officedocument.spreadsheetml.worksheet+xml"/>
  <Override PartName="/xl/worksheets/sheet15.xml" ContentType="application/vnd.openxmlformats-officedocument.spreadsheetml.worksheet+xml"/>
  <Override PartName="/xl/worksheets/sheet39.xml" ContentType="application/vnd.openxmlformats-officedocument.spreadsheetml.worksheet+xml"/>
  <Override PartName="/xl/worksheets/sheet6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3.xml" ContentType="application/vnd.openxmlformats-officedocument.spreadsheetml.worksheet+xml"/>
  <Override PartName="/xl/worksheets/sheet63.xml" ContentType="application/vnd.openxmlformats-officedocument.spreadsheetml.worksheet+xml"/>
  <Override PartName="/xl/worksheets/sheet48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65.xml" ContentType="application/vnd.openxmlformats-officedocument.spreadsheetml.worksheet+xml"/>
  <Override PartName="/xl/worksheets/sheet52.xml" ContentType="application/vnd.openxmlformats-officedocument.spreadsheetml.worksheet+xml"/>
  <Override PartName="/xl/worksheets/sheet30.xml" ContentType="application/vnd.openxmlformats-officedocument.spreadsheetml.worksheet+xml"/>
  <Override PartName="/xl/worksheets/sheet9.xml" ContentType="application/vnd.openxmlformats-officedocument.spreadsheetml.worksheet+xml"/>
  <Override PartName="/xl/worksheets/sheet67.xml" ContentType="application/vnd.openxmlformats-officedocument.spreadsheetml.worksheet+xml"/>
  <Override PartName="/xl/worksheets/sheet59.xml" ContentType="application/vnd.openxmlformats-officedocument.spreadsheetml.worksheet+xml"/>
  <Override PartName="/xl/worksheets/sheet53.xml" ContentType="application/vnd.openxmlformats-officedocument.spreadsheetml.worksheet+xml"/>
  <Override PartName="/xl/worksheets/sheet64.xml" ContentType="application/vnd.openxmlformats-officedocument.spreadsheetml.worksheet+xml"/>
  <Override PartName="/xl/worksheets/sheet54.xml" ContentType="application/vnd.openxmlformats-officedocument.spreadsheetml.worksheet+xml"/>
  <Override PartName="/xl/worksheets/sheet19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62.xml" ContentType="application/vnd.openxmlformats-officedocument.spreadsheetml.worksheet+xml"/>
  <Override PartName="/xl/worksheets/sheet66.xml" ContentType="application/vnd.openxmlformats-officedocument.spreadsheetml.worksheet+xml"/>
  <Override PartName="/xl/worksheets/sheet71.xml" ContentType="application/vnd.openxmlformats-officedocument.spreadsheetml.worksheet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61.xml" ContentType="application/vnd.openxmlformats-officedocument.spreadsheetml.worksheet+xml"/>
  <Override PartName="/xl/worksheets/sheet5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5.xml" ContentType="application/vnd.openxmlformats-officedocument.spreadsheetml.worksheet+xml"/>
  <Override PartName="/xl/worksheets/sheet70.xml" ContentType="application/vnd.openxmlformats-officedocument.spreadsheetml.worksheet+xml"/>
  <Override PartName="/xl/worksheets/sheet68.xml" ContentType="application/vnd.openxmlformats-officedocument.spreadsheetml.worksheet+xml"/>
  <Override PartName="/xl/worksheets/sheet47.xml" ContentType="application/vnd.openxmlformats-officedocument.spreadsheetml.worksheet+xml"/>
  <Override PartName="/xl/worksheets/sheet49.xml" ContentType="application/vnd.openxmlformats-officedocument.spreadsheetml.worksheet+xml"/>
  <Override PartName="/xl/worksheets/sheet55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7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5.xml" ContentType="application/vnd.openxmlformats-officedocument.drawing+xml"/>
  <Override PartName="/xl/drawings/drawing19.xml" ContentType="application/vnd.openxmlformats-officedocument.drawing+xml"/>
  <Override PartName="/xl/drawings/drawing15.xml" ContentType="application/vnd.openxmlformats-officedocument.drawing+xml"/>
  <Override PartName="/xl/drawings/drawing2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18.xml" ContentType="application/vnd.openxmlformats-officedocument.drawing+xml"/>
  <Override PartName="/xl/drawings/drawing9.xml" ContentType="application/vnd.openxmlformats-officedocument.drawing+xml"/>
  <Override PartName="/xl/drawings/drawing12.xml" ContentType="application/vnd.openxmlformats-officedocument.drawing+xml"/>
  <Override PartName="/xl/drawings/drawing16.xml" ContentType="application/vnd.openxmlformats-officedocument.drawing+xml"/>
  <Override PartName="/xl/drawings/drawing8.xml" ContentType="application/vnd.openxmlformats-officedocument.drawing+xml"/>
  <Override PartName="/xl/drawings/drawing14.xml" ContentType="application/vnd.openxmlformats-officedocument.drawing+xml"/>
  <Override PartName="/xl/drawings/drawing20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_Lists" sheetId="3" state="hidden" r:id="rId5"/>
    <sheet name="Alert Dialog" sheetId="4" state="visible" r:id="rId6"/>
    <sheet name="App Bar" sheetId="5" state="visible" r:id="rId7"/>
    <sheet name="Avatar" sheetId="6" state="visible" r:id="rId8"/>
    <sheet name="Badge" sheetId="7" state="visible" r:id="rId9"/>
    <sheet name="Button" sheetId="8" state="visible" r:id="rId10"/>
    <sheet name="Card" sheetId="9" state="visible" r:id="rId11"/>
    <sheet name="Checkbox" sheetId="10" state="visible" r:id="rId12"/>
    <sheet name="Checkbox Group" sheetId="11" state="visible" r:id="rId13"/>
    <sheet name="Dialog" sheetId="12" state="visible" r:id="rId14"/>
    <sheet name="Drawer" sheetId="13" state="visible" r:id="rId15"/>
    <sheet name="Field" sheetId="14" state="visible" r:id="rId16"/>
    <sheet name="Fieldset" sheetId="15" state="visible" r:id="rId17"/>
    <sheet name="Form" sheetId="16" state="visible" r:id="rId18"/>
    <sheet name="Hover Card" sheetId="17" state="visible" r:id="rId19"/>
    <sheet name="Icon Button" sheetId="18" state="visible" r:id="rId20"/>
    <sheet name="Input" sheetId="19" state="visible" r:id="rId21"/>
    <sheet name="Link" sheetId="20" state="visible" r:id="rId22"/>
    <sheet name="Text" sheetId="21" state="visible" r:id="rId23"/>
    <sheet name="Notification Badge" sheetId="22" state="visible" r:id="rId24"/>
    <sheet name="Popover" sheetId="23" state="visible" r:id="rId25"/>
    <sheet name="Toggle" sheetId="24" state="visible" r:id="rId26"/>
    <sheet name="Toggle Group" sheetId="25" state="visible" r:id="rId27"/>
    <sheet name="Stack" sheetId="26" state="visible" r:id="rId28"/>
    <sheet name="Tooltip" sheetId="27" state="visible" r:id="rId29"/>
    <sheet name="Grid" sheetId="28" state="visible" r:id="rId30"/>
    <sheet name="Container" sheetId="29" state="visible" r:id="rId31"/>
    <sheet name="Surface" sheetId="30" state="visible" r:id="rId32"/>
    <sheet name="Divider" sheetId="31" state="visible" r:id="rId33"/>
    <sheet name="Scroll Area" sheetId="32" state="visible" r:id="rId34"/>
    <sheet name="Code" sheetId="33" state="visible" r:id="rId35"/>
    <sheet name="Code Block" sheetId="34" state="visible" r:id="rId36"/>
    <sheet name="Nav List" sheetId="35" state="visible" r:id="rId37"/>
    <sheet name="Sidebar" sheetId="36" state="visible" r:id="rId38"/>
    <sheet name="Icon" sheetId="37" state="visible" r:id="rId39"/>
    <sheet name="Image" sheetId="38" state="visible" r:id="rId40"/>
    <sheet name="List" sheetId="39" state="visible" r:id="rId41"/>
    <sheet name="Select" sheetId="40" state="visible" r:id="rId42"/>
    <sheet name="Multi Select" sheetId="41" state="visible" r:id="rId43"/>
    <sheet name="Textarea" sheetId="42" state="visible" r:id="rId44"/>
    <sheet name="Radio Group" sheetId="43" state="visible" r:id="rId45"/>
    <sheet name="Switch" sheetId="44" state="visible" r:id="rId46"/>
    <sheet name="Breadcrumb" sheetId="45" state="visible" r:id="rId47"/>
    <sheet name="Tabs" sheetId="46" state="visible" r:id="rId48"/>
    <sheet name="Skeleton" sheetId="47" state="visible" r:id="rId49"/>
    <sheet name="Dropdown Menu" sheetId="48" state="visible" r:id="rId50"/>
    <sheet name="Context Menu" sheetId="49" state="visible" r:id="rId51"/>
    <sheet name="Menubar" sheetId="50" state="visible" r:id="rId52"/>
    <sheet name="Navigation Menu" sheetId="51" state="visible" r:id="rId53"/>
    <sheet name="Bottom Navigation" sheetId="52" state="visible" r:id="rId54"/>
    <sheet name="Visually Hidden" sheetId="53" state="visible" r:id="rId55"/>
    <sheet name="Collapsible" sheetId="54" state="visible" r:id="rId56"/>
    <sheet name="Accordion" sheetId="55" state="visible" r:id="rId57"/>
    <sheet name="Toast" sheetId="56" state="visible" r:id="rId58"/>
    <sheet name="Table" sheetId="57" state="visible" r:id="rId59"/>
    <sheet name="Pagination" sheetId="58" state="visible" r:id="rId60"/>
    <sheet name="Data Grid" sheetId="59" state="visible" r:id="rId61"/>
    <sheet name="Tree Grid" sheetId="60" state="visible" r:id="rId62"/>
    <sheet name="Tree" sheetId="61" state="visible" r:id="rId63"/>
    <sheet name="Aspect Ratio" sheetId="62" state="visible" r:id="rId64"/>
    <sheet name="Toolbar" sheetId="63" state="visible" r:id="rId65"/>
    <sheet name="Chip" sheetId="64" state="visible" r:id="rId66"/>
    <sheet name="Combobox" sheetId="65" state="visible" r:id="rId67"/>
    <sheet name="Number Input" sheetId="66" state="visible" r:id="rId68"/>
    <sheet name="OTP Field" sheetId="67" state="visible" r:id="rId69"/>
    <sheet name="Password Toggle Field" sheetId="68" state="visible" r:id="rId70"/>
    <sheet name="Slider" sheetId="69" state="visible" r:id="rId71"/>
    <sheet name="Rating" sheetId="70" state="visible" r:id="rId72"/>
    <sheet name="File Upload" sheetId="71" state="visible" r:id="rId73"/>
  </sheets>
  <definedNames>
    <definedName function="false" hidden="false" localSheetId="61" name="_xlnm.Print_Area" vbProcedure="false">'Aspect Ratio'!$A$1:$M$34</definedName>
    <definedName function="false" hidden="true" localSheetId="61" name="_xlnm._FilterDatabase" vbProcedure="false">'Aspect Ratio'!$A$8:$M$34</definedName>
    <definedName function="false" hidden="true" localSheetId="51" name="_xlnm._FilterDatabase" vbProcedure="false">'Bottom Navigation'!$A$8:$M$36</definedName>
    <definedName function="false" hidden="false" localSheetId="63" name="_xlnm.Print_Area" vbProcedure="false">Chip!$A$1:$M$39</definedName>
    <definedName function="false" hidden="true" localSheetId="63" name="_xlnm._FilterDatabase" vbProcedure="false">Chip!$A$8:$M$39</definedName>
    <definedName function="false" hidden="true" localSheetId="53" name="_xlnm._FilterDatabase" vbProcedure="false">Collapsible!$A$8:$M$33</definedName>
    <definedName function="false" hidden="false" localSheetId="64" name="_xlnm.Print_Area" vbProcedure="false">Combobox!$A$1:$M$30</definedName>
    <definedName function="false" hidden="true" localSheetId="58" name="_xlnm._FilterDatabase" vbProcedure="false">'Data Grid'!$A$8:$M$34</definedName>
    <definedName function="false" hidden="false" localSheetId="70" name="_xlnm.Print_Area" vbProcedure="false">'File Upload'!$A$1:$M$36</definedName>
    <definedName function="false" hidden="true" localSheetId="70" name="_xlnm._FilterDatabase" vbProcedure="false">'File Upload'!$A$8:$M$36</definedName>
    <definedName function="false" hidden="false" localSheetId="0" name="_xlnm.Print_Area" vbProcedure="false">Index!$A$1:$M$74</definedName>
    <definedName function="false" hidden="true" localSheetId="0" name="_xlnm._FilterDatabase" vbProcedure="false">Index!$A$7:$M$74</definedName>
    <definedName function="false" hidden="false" localSheetId="65" name="_xlnm.Print_Area" vbProcedure="false">'Number Input'!$A$1:$M$27</definedName>
    <definedName function="false" hidden="false" localSheetId="66" name="_xlnm.Print_Area" vbProcedure="false">'OTP Field'!$A$1:$M$28</definedName>
    <definedName function="false" hidden="false" localSheetId="57" name="_xlnm.Print_Area" vbProcedure="false">Pagination!$A$1:$M$33</definedName>
    <definedName function="false" hidden="true" localSheetId="57" name="_xlnm._FilterDatabase" vbProcedure="false">Pagination!$A$8:$M$33</definedName>
    <definedName function="false" hidden="false" localSheetId="67" name="_xlnm.Print_Area" vbProcedure="false">'Password Toggle Field'!$A$1:$M$28</definedName>
    <definedName function="false" hidden="true" localSheetId="42" name="_xlnm._FilterDatabase" vbProcedure="false">'Radio Group'!$A$8:$M$28</definedName>
    <definedName function="false" hidden="true" localSheetId="69" name="_xlnm._FilterDatabase" vbProcedure="false">Rating!$A$8:$M$25</definedName>
    <definedName function="false" hidden="true" localSheetId="39" name="_xlnm._FilterDatabase" vbProcedure="false">Select!$A$8:$M$30</definedName>
    <definedName function="false" hidden="true" localSheetId="46" name="_xlnm._FilterDatabase" vbProcedure="false">Skeleton!$A$8:$M$30</definedName>
    <definedName function="false" hidden="true" localSheetId="68" name="_xlnm._FilterDatabase" vbProcedure="false">Slider!$A$8:$M$24</definedName>
    <definedName function="false" hidden="false" localSheetId="56" name="_xlnm.Print_Area" vbProcedure="false">Table!$A$1:$M$31</definedName>
    <definedName function="false" hidden="true" localSheetId="56" name="_xlnm._FilterDatabase" vbProcedure="false">Table!$A$8:$M$31</definedName>
    <definedName function="false" hidden="true" localSheetId="45" name="_xlnm._FilterDatabase" vbProcedure="false">Tabs!$A$8:$M$31</definedName>
    <definedName function="false" hidden="true" localSheetId="41" name="_xlnm._FilterDatabase" vbProcedure="false">Textarea!$A$8:$M$30</definedName>
    <definedName function="false" hidden="false" localSheetId="55" name="_xlnm.Print_Area" vbProcedure="false">Toast!$A$1:$M$39</definedName>
    <definedName function="false" hidden="false" localSheetId="55" name="_xlnm.Print_Titles" vbProcedure="false">Toast!$1:$8</definedName>
    <definedName function="false" hidden="true" localSheetId="55" name="_xlnm._FilterDatabase" vbProcedure="false">Toast!$A$8:$M$39</definedName>
    <definedName function="false" hidden="false" localSheetId="62" name="_xlnm.Print_Area" vbProcedure="false">Toolbar!$A$1:$M$38</definedName>
    <definedName function="false" hidden="true" localSheetId="62" name="_xlnm._FilterDatabase" vbProcedure="false">Toolbar!$A$8:$M$38</definedName>
    <definedName function="false" hidden="true" localSheetId="59" name="_xlnm._FilterDatabase" vbProcedure="false">'Tree Grid'!$A$8:$M$36</definedName>
    <definedName function="false" hidden="true" localSheetId="52" name="_xlnm._FilterDatabase" vbProcedure="false">'Visually Hidden'!$A$8:$M$27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<sst xmlns="http://schemas.openxmlformats.org/spreadsheetml/2006/main" count="14142" uniqueCount="3524">
  <si>
    <t xml:space="preserve">Brick Component Coverage</t>
  </si>
  <si>
    <t xml:space="preserve">Current package evidence across 67 independently exported components.</t>
  </si>
  <si>
    <t xml:space="preserve">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</si>
  <si>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</si>
  <si>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</si>
  <si>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</si>
  <si>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</si>
  <si>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</si>
  <si>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</si>
  <si>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</si>
  <si>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</si>
  <si>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</si>
  <si>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</si>
  <si>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N/A</t>
  </si>
  <si>
    <t xml:space="preserve">Completion</t>
  </si>
  <si>
    <t xml:space="preserve">Package gate</t>
  </si>
  <si>
    <t xml:space="preserve">Consumer gate</t>
  </si>
  <si>
    <t xml:space="preserve">Alert Dialog</t>
  </si>
  <si>
    <t xml:space="preserve">App Bar</t>
  </si>
  <si>
    <t xml:space="preserve">Avatar</t>
  </si>
  <si>
    <t xml:space="preserve">Badge</t>
  </si>
  <si>
    <t xml:space="preserve">Button</t>
  </si>
  <si>
    <t xml:space="preserve">Card</t>
  </si>
  <si>
    <t xml:space="preserve">Checkbox</t>
  </si>
  <si>
    <t xml:space="preserve">Checkbox Group</t>
  </si>
  <si>
    <t xml:space="preserve">Dialog</t>
  </si>
  <si>
    <t xml:space="preserve">Drawer</t>
  </si>
  <si>
    <t xml:space="preserve">Field</t>
  </si>
  <si>
    <t xml:space="preserve">Fieldset</t>
  </si>
  <si>
    <t xml:space="preserve">Form</t>
  </si>
  <si>
    <t xml:space="preserve">Hover Card</t>
  </si>
  <si>
    <t xml:space="preserve">Icon Button</t>
  </si>
  <si>
    <t xml:space="preserve">Input</t>
  </si>
  <si>
    <t xml:space="preserve">Link</t>
  </si>
  <si>
    <t xml:space="preserve">Notification Badge</t>
  </si>
  <si>
    <t xml:space="preserve">Popover</t>
  </si>
  <si>
    <t xml:space="preserve">Toggle</t>
  </si>
  <si>
    <t xml:space="preserve">Toggle Group</t>
  </si>
  <si>
    <t xml:space="preserve">Tooltip</t>
  </si>
  <si>
    <t xml:space="preserve">Stack</t>
  </si>
  <si>
    <t xml:space="preserve">Text</t>
  </si>
  <si>
    <t xml:space="preserve">Grid</t>
  </si>
  <si>
    <t xml:space="preserve">Container</t>
  </si>
  <si>
    <t xml:space="preserve">Surface</t>
  </si>
  <si>
    <t xml:space="preserve">Divider</t>
  </si>
  <si>
    <t xml:space="preserve">Scroll Area</t>
  </si>
  <si>
    <t xml:space="preserve">Code</t>
  </si>
  <si>
    <t xml:space="preserve">Code Block</t>
  </si>
  <si>
    <t xml:space="preserve">Nav List</t>
  </si>
  <si>
    <t xml:space="preserve">Sidebar</t>
  </si>
  <si>
    <t xml:space="preserve">Icon</t>
  </si>
  <si>
    <t xml:space="preserve">Image</t>
  </si>
  <si>
    <t xml:space="preserve">List</t>
  </si>
  <si>
    <t xml:space="preserve">Select</t>
  </si>
  <si>
    <t xml:space="preserve">Multi Select</t>
  </si>
  <si>
    <t xml:space="preserve">Textarea</t>
  </si>
  <si>
    <t xml:space="preserve">Radio Group</t>
  </si>
  <si>
    <t xml:space="preserve">Switch</t>
  </si>
  <si>
    <t xml:space="preserve">Breadcrumb</t>
  </si>
  <si>
    <t xml:space="preserve">Tabs</t>
  </si>
  <si>
    <t xml:space="preserve">Skeleton</t>
  </si>
  <si>
    <t xml:space="preserve">Dropdown Menu</t>
  </si>
  <si>
    <t xml:space="preserve">Context Menu</t>
  </si>
  <si>
    <t xml:space="preserve">Menubar</t>
  </si>
  <si>
    <t xml:space="preserve">Navigation Menu</t>
  </si>
  <si>
    <t xml:space="preserve">Bottom Navigation</t>
  </si>
  <si>
    <t xml:space="preserve">Visually Hidden</t>
  </si>
  <si>
    <t xml:space="preserve">Collapsible</t>
  </si>
  <si>
    <t xml:space="preserve">Accordion</t>
  </si>
  <si>
    <t xml:space="preserve">Toast</t>
  </si>
  <si>
    <t xml:space="preserve">Pagination</t>
  </si>
  <si>
    <t xml:space="preserve">Data Grid</t>
  </si>
  <si>
    <t xml:space="preserve">Tree Grid</t>
  </si>
  <si>
    <t xml:space="preserve">Tree</t>
  </si>
  <si>
    <t xml:space="preserve">Aspect Ratio</t>
  </si>
  <si>
    <t xml:space="preserve">Toolbar</t>
  </si>
  <si>
    <t xml:space="preserve">Chip</t>
  </si>
  <si>
    <t xml:space="preserve">Combobox</t>
  </si>
  <si>
    <t xml:space="preserve">Number Input</t>
  </si>
  <si>
    <t xml:space="preserve">OTP Field</t>
  </si>
  <si>
    <t xml:space="preserve">Password Toggle Field</t>
  </si>
  <si>
    <t xml:space="preserve">Slider</t>
  </si>
  <si>
    <t xml:space="preserve">Rating</t>
  </si>
  <si>
    <t xml:space="preserve">File Upload</t>
  </si>
  <si>
    <t xml:space="preserve">Coverage Workbook Guide</t>
  </si>
  <si>
    <t xml:space="preserve">How to interpret, maintain, and verify this evidence tracker.</t>
  </si>
  <si>
    <t xml:space="preserve">Topic</t>
  </si>
  <si>
    <t xml:space="preserve">Rule</t>
  </si>
  <si>
    <t xml:space="preserve">Purpose</t>
  </si>
  <si>
    <t xml:space="preserve">This workbook summarizes evidence; source, tests, protocols, and public documentation remain authoritative.</t>
  </si>
  <si>
    <t xml:space="preserve">Ownership</t>
  </si>
  <si>
    <t xml:space="preserve">Every independently exported public component owns one sheet. Family integration never replaces component ownership.</t>
  </si>
  <si>
    <t xml:space="preserve">not started</t>
  </si>
  <si>
    <t xml:space="preserve">Required implementation or evidence does not exist.</t>
  </si>
  <si>
    <t xml:space="preserve">partial</t>
  </si>
  <si>
    <t xml:space="preserve">Some evidence exists, but the assertion is incomplete.</t>
  </si>
  <si>
    <t xml:space="preserve">implemented</t>
  </si>
  <si>
    <t xml:space="preserve">The implementation or evidence exists but has not passed its repeatable check.</t>
  </si>
  <si>
    <t xml:space="preserve">tested</t>
  </si>
  <si>
    <t xml:space="preserve">The automated or repeatable check passes.</t>
  </si>
  <si>
    <t xml:space="preserve">verified</t>
  </si>
  <si>
    <t xml:space="preserve">Required human review passed.</t>
  </si>
  <si>
    <t xml:space="preserve">blocked</t>
  </si>
  <si>
    <t xml:space="preserve">A blocker or follow-up is recorded.</t>
  </si>
  <si>
    <t xml:space="preserve">not applicable</t>
  </si>
  <si>
    <t xml:space="preserve">The reason is recorded in Blocker / N/A reason.</t>
  </si>
  <si>
    <t xml:space="preserve">Manual completion</t>
  </si>
  <si>
    <t xml:space="preserve">The owner confirmed every current component protocol completed on 2026-07-24.</t>
  </si>
  <si>
    <t xml:space="preserve">Maintenance</t>
  </si>
  <si>
    <t xml:space="preserve">Update exact evidence paths and statuses in the same workstream as component changes.</t>
  </si>
  <si>
    <t xml:space="preserve">Release</t>
  </si>
  <si>
    <t xml:space="preserve">Recalculate formulas, scan errors, and visually inspect changed sheets before release.</t>
  </si>
  <si>
    <t xml:space="preserve">yes</t>
  </si>
  <si>
    <t xml:space="preserve">no</t>
  </si>
  <si>
    <t xml:space="preserve">Alert Dialog Evidence</t>
  </si>
  <si>
    <t xml:space="preserve">Assertion-level package, browser, human-review, documentation, and consumer evidence.</t>
  </si>
  <si>
    <t xml:space="preserve">Resolved</t>
  </si>
  <si>
    <t xml:space="preserve">Manual review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</si>
  <si>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</si>
  <si>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</si>
  <si>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</si>
  <si>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</si>
  <si>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</si>
  <si>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</si>
  <si>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</si>
  <si>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Status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</si>
  <si>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</si>
  <si>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</si>
  <si>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</si>
  <si>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</si>
  <si>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AD-01</t>
  </si>
  <si>
    <t xml:space="preserve">Implementation</t>
  </si>
  <si>
    <t xml:space="preserve">AlertDialog</t>
  </si>
  <si>
    <t xml:space="preserve">Public component implementation and Atom adapter exist.</t>
  </si>
  <si>
    <t xml:space="preserve">package</t>
  </si>
  <si>
    <t xml:space="preserve">source</t>
  </si>
  <si>
    <t xml:space="preserve">../src/components/alert-dialog</t>
  </si>
  <si>
    <t xml:space="preserve">AD-02</t>
  </si>
  <si>
    <t xml:space="preserve">Exports</t>
  </si>
  <si>
    <t xml:space="preserve">Root and public subpath exports expose the component.</t>
  </si>
  <si>
    <t xml:space="preserve">../test/package/package.test.mjs</t>
  </si>
  <si>
    <t xml:space="preserve">AD-03</t>
  </si>
  <si>
    <t xml:space="preserve">Types</t>
  </si>
  <si>
    <t xml:space="preserve">Public props, refs, composition branches, and invalid cases type-check.</t>
  </si>
  <si>
    <t xml:space="preserve">types</t>
  </si>
  <si>
    <t xml:space="preserve">../test/types/components/alert-dialog.test.ts</t>
  </si>
  <si>
    <t xml:space="preserve">AD-04</t>
  </si>
  <si>
    <t xml:space="preserve">CSS</t>
  </si>
  <si>
    <t xml:space="preserve">Static public CSS, classes, slots, recipes, states, and tokens are present.</t>
  </si>
  <si>
    <t xml:space="preserve">css</t>
  </si>
  <si>
    <t xml:space="preserve">../src/components/alert-dialog/alert-dialog.css</t>
  </si>
  <si>
    <t xml:space="preserve">AD-05</t>
  </si>
  <si>
    <t xml:space="preserve">Unit</t>
  </si>
  <si>
    <t xml:space="preserve">Brick-owned DOM, recipes, adapters, and public hooks pass focused tests.</t>
  </si>
  <si>
    <t xml:space="preserve">component</t>
  </si>
  <si>
    <t xml:space="preserve">../test/components/alert-dialog/alert-dialog.test.tsx</t>
  </si>
  <si>
    <t xml:space="preserve">AD-06</t>
  </si>
  <si>
    <t xml:space="preserve">Browser</t>
  </si>
  <si>
    <t xml:space="preserve">Real-browser behavior and component contract checks pass.</t>
  </si>
  <si>
    <t xml:space="preserve">browser</t>
  </si>
  <si>
    <t xml:space="preserve">tests/components/alert-dialog/behavior.spec.ts</t>
  </si>
  <si>
    <t xml:space="preserve">AD-07</t>
  </si>
  <si>
    <t xml:space="preserve">Accessibility</t>
  </si>
  <si>
    <t xml:space="preserve">Automated semantics and accessibility checks pass in the browser evidence suite.</t>
  </si>
  <si>
    <t xml:space="preserve">axe</t>
  </si>
  <si>
    <t xml:space="preserve">tests/components/alert-dialog/behavior.spec.ts; tests/integration</t>
  </si>
  <si>
    <t xml:space="preserve">AD-08</t>
  </si>
  <si>
    <t xml:space="preserve">Visual</t>
  </si>
  <si>
    <t xml:space="preserve">Reviewed baselines cover the component's risk-selected recipes and states.</t>
  </si>
  <si>
    <t xml:space="preserve">visual</t>
  </si>
  <si>
    <t xml:space="preserve">tests/components/alert-dialog/visual.spec.ts</t>
  </si>
  <si>
    <t xml:space="preserve">Owner reviewed the current playground evidence.</t>
  </si>
  <si>
    <t xml:space="preserve">AD-09</t>
  </si>
  <si>
    <t xml:space="preserve">Responsive</t>
  </si>
  <si>
    <t xml:space="preserve">Mobile, zoom/reflow, content stress, and RTL remain usable and contained.</t>
  </si>
  <si>
    <t xml:space="preserve">manual</t>
  </si>
  <si>
    <t xml:space="preserve">manual-tests/alert-dialog.md</t>
  </si>
  <si>
    <t xml:space="preserve">Owner completed the current manual protocol.</t>
  </si>
  <si>
    <t xml:space="preserve">AD-10</t>
  </si>
  <si>
    <t xml:space="preserve">Theme</t>
  </si>
  <si>
    <t xml:space="preserve">Light, dark, focus, forced-colors, and relevant motion behavior remain perceivable.</t>
  </si>
  <si>
    <t xml:space="preserve">AD-11</t>
  </si>
  <si>
    <t xml:space="preserve">Composition</t>
  </si>
  <si>
    <t xml:space="preserve">Default, render, and asChild output preserve the intended element, slots, state, and relationships.</t>
  </si>
  <si>
    <t xml:space="preserve">manual-tests/alert-dialog.md; tests/components/alert-dialog/behavior.spec.ts</t>
  </si>
  <si>
    <t xml:space="preserve">Owner reviewed the live and rendered output evidence.</t>
  </si>
  <si>
    <t xml:space="preserve">AD-12</t>
  </si>
  <si>
    <t xml:space="preserve">Manual</t>
  </si>
  <si>
    <t xml:space="preserve">The complete component-owned manual protocol passed against every playground scenario.</t>
  </si>
  <si>
    <t xml:space="preserve">Owner confirmed completion on 2026-07-24.</t>
  </si>
  <si>
    <t xml:space="preserve">AD-13</t>
  </si>
  <si>
    <t xml:space="preserve">Docs</t>
  </si>
  <si>
    <t xml:space="preserve">Public usage documentation exists at the component-owned path.</t>
  </si>
  <si>
    <t xml:space="preserve">docs</t>
  </si>
  <si>
    <t xml:space="preserve">../docs/components/alert-dialog/README.md</t>
  </si>
  <si>
    <t xml:space="preserve">AD-14</t>
  </si>
  <si>
    <t xml:space="preserve">Changelog</t>
  </si>
  <si>
    <t xml:space="preserve">The component owns a public changelog.</t>
  </si>
  <si>
    <t xml:space="preserve">../docs/components/alert-dialog/CHANGELOG.md</t>
  </si>
  <si>
    <t xml:space="preserve">AD-15</t>
  </si>
  <si>
    <t xml:space="preserve">Consumer</t>
  </si>
  <si>
    <t xml:space="preserve">The standalone consumer imports and exercises the public package component.</t>
  </si>
  <si>
    <t xml:space="preserve">consumer</t>
  </si>
  <si>
    <t xml:space="preserve">../apps/consumer/src/App.tsx; ../apps/consumer/tests/consumer.spec.ts</t>
  </si>
  <si>
    <t xml:space="preserve">AD-16</t>
  </si>
  <si>
    <t xml:space="preserve">Package</t>
  </si>
  <si>
    <t xml:space="preserve">Build, exports, tarball, CSS, and consumer boundary verification pass.</t>
  </si>
  <si>
    <t xml:space="preserve">../scripts/verify-package.mjs; ../scripts/verify-consumers.mjs</t>
  </si>
  <si>
    <t xml:space="preserve">App Bar Evidence</t>
  </si>
  <si>
    <t xml:space="preserve">AB-01</t>
  </si>
  <si>
    <t xml:space="preserve">AppBar</t>
  </si>
  <si>
    <t xml:space="preserve">../src/components/app-bar</t>
  </si>
  <si>
    <t xml:space="preserve">AB-02</t>
  </si>
  <si>
    <t xml:space="preserve">AB-03</t>
  </si>
  <si>
    <t xml:space="preserve">../test/types/components/app-bar.test.ts</t>
  </si>
  <si>
    <t xml:space="preserve">AB-04</t>
  </si>
  <si>
    <t xml:space="preserve">../src/components/app-bar/app-bar.css</t>
  </si>
  <si>
    <t xml:space="preserve">AB-05</t>
  </si>
  <si>
    <t xml:space="preserve">../test/components/app-bar/app-bar.test.tsx</t>
  </si>
  <si>
    <t xml:space="preserve">AB-06</t>
  </si>
  <si>
    <t xml:space="preserve">tests/components/app-bar/behavior.spec.ts</t>
  </si>
  <si>
    <t xml:space="preserve">AB-07</t>
  </si>
  <si>
    <t xml:space="preserve">tests/components/app-bar/behavior.spec.ts; tests/integration</t>
  </si>
  <si>
    <t xml:space="preserve">AB-08</t>
  </si>
  <si>
    <t xml:space="preserve">tests/components/app-bar/visual.spec.ts</t>
  </si>
  <si>
    <t xml:space="preserve">AB-09</t>
  </si>
  <si>
    <t xml:space="preserve">manual-tests/app-bar.md</t>
  </si>
  <si>
    <t xml:space="preserve">AB-10</t>
  </si>
  <si>
    <t xml:space="preserve">AB-11</t>
  </si>
  <si>
    <t xml:space="preserve">manual-tests/app-bar.md; tests/components/app-bar/behavior.spec.ts</t>
  </si>
  <si>
    <t xml:space="preserve">AB-12</t>
  </si>
  <si>
    <t xml:space="preserve">AB-13</t>
  </si>
  <si>
    <t xml:space="preserve">../docs/components/app-bar/README.md</t>
  </si>
  <si>
    <t xml:space="preserve">AB-14</t>
  </si>
  <si>
    <t xml:space="preserve">../docs/components/app-bar/CHANGELOG.md</t>
  </si>
  <si>
    <t xml:space="preserve">AB-15</t>
  </si>
  <si>
    <t xml:space="preserve">AB-16</t>
  </si>
  <si>
    <t xml:space="preserve">Avatar Evidence</t>
  </si>
  <si>
    <t xml:space="preserve">A-01</t>
  </si>
  <si>
    <t xml:space="preserve">../src/components/avatar</t>
  </si>
  <si>
    <t xml:space="preserve">A-02</t>
  </si>
  <si>
    <t xml:space="preserve">A-03</t>
  </si>
  <si>
    <t xml:space="preserve">../test/types/components/avatar.test.ts</t>
  </si>
  <si>
    <t xml:space="preserve">A-04</t>
  </si>
  <si>
    <t xml:space="preserve">../src/components/avatar/avatar.css</t>
  </si>
  <si>
    <t xml:space="preserve">A-05</t>
  </si>
  <si>
    <t xml:space="preserve">../test/components/avatar/avatar.test.tsx</t>
  </si>
  <si>
    <t xml:space="preserve">A-06</t>
  </si>
  <si>
    <t xml:space="preserve">tests/components/avatar/behavior.spec.ts</t>
  </si>
  <si>
    <t xml:space="preserve">A-07</t>
  </si>
  <si>
    <t xml:space="preserve">tests/components/avatar/behavior.spec.ts; tests/integration</t>
  </si>
  <si>
    <t xml:space="preserve">A-08</t>
  </si>
  <si>
    <t xml:space="preserve">tests/components/avatar/visual.spec.ts</t>
  </si>
  <si>
    <t xml:space="preserve">A-09</t>
  </si>
  <si>
    <t xml:space="preserve">manual-tests/avatar.md</t>
  </si>
  <si>
    <t xml:space="preserve">A-10</t>
  </si>
  <si>
    <t xml:space="preserve">A-11</t>
  </si>
  <si>
    <t xml:space="preserve">manual-tests/avatar.md; tests/components/avatar/behavior.spec.ts</t>
  </si>
  <si>
    <t xml:space="preserve">A-12</t>
  </si>
  <si>
    <t xml:space="preserve">A-13</t>
  </si>
  <si>
    <t xml:space="preserve">../docs/components/avatar/README.md</t>
  </si>
  <si>
    <t xml:space="preserve">A-14</t>
  </si>
  <si>
    <t xml:space="preserve">../docs/components/avatar/CHANGELOG.md</t>
  </si>
  <si>
    <t xml:space="preserve">A-15</t>
  </si>
  <si>
    <t xml:space="preserve">A-16</t>
  </si>
  <si>
    <t xml:space="preserve">Badge Evidence</t>
  </si>
  <si>
    <t xml:space="preserve">B-01</t>
  </si>
  <si>
    <t xml:space="preserve">../src/components/badge</t>
  </si>
  <si>
    <t xml:space="preserve">B-02</t>
  </si>
  <si>
    <t xml:space="preserve">B-03</t>
  </si>
  <si>
    <t xml:space="preserve">../test/types/components/badge.test.ts</t>
  </si>
  <si>
    <t xml:space="preserve">B-04</t>
  </si>
  <si>
    <t xml:space="preserve">../src/components/badge/badge.css</t>
  </si>
  <si>
    <t xml:space="preserve">B-05</t>
  </si>
  <si>
    <t xml:space="preserve">../test/components/badge/badge.test.tsx</t>
  </si>
  <si>
    <t xml:space="preserve">B-06</t>
  </si>
  <si>
    <t xml:space="preserve">tests/components/badge/behavior.spec.ts</t>
  </si>
  <si>
    <t xml:space="preserve">B-07</t>
  </si>
  <si>
    <t xml:space="preserve">tests/components/badge/behavior.spec.ts; tests/integration</t>
  </si>
  <si>
    <t xml:space="preserve">B-08</t>
  </si>
  <si>
    <t xml:space="preserve">tests/components/badge/visual.spec.ts</t>
  </si>
  <si>
    <t xml:space="preserve">B-09</t>
  </si>
  <si>
    <t xml:space="preserve">manual-tests/badge.md</t>
  </si>
  <si>
    <t xml:space="preserve">B-10</t>
  </si>
  <si>
    <t xml:space="preserve">B-11</t>
  </si>
  <si>
    <t xml:space="preserve">manual-tests/badge.md; tests/components/badge/behavior.spec.ts</t>
  </si>
  <si>
    <t xml:space="preserve">B-12</t>
  </si>
  <si>
    <t xml:space="preserve">B-13</t>
  </si>
  <si>
    <t xml:space="preserve">../docs/components/badge/README.md</t>
  </si>
  <si>
    <t xml:space="preserve">B-14</t>
  </si>
  <si>
    <t xml:space="preserve">../docs/components/badge/CHANGELOG.md</t>
  </si>
  <si>
    <t xml:space="preserve">B-15</t>
  </si>
  <si>
    <t xml:space="preserve">B-16</t>
  </si>
  <si>
    <t xml:space="preserve">Button Evidence</t>
  </si>
  <si>
    <t xml:space="preserve">../src/components/button</t>
  </si>
  <si>
    <t xml:space="preserve">../test/types/components/button.test.ts</t>
  </si>
  <si>
    <t xml:space="preserve">../src/components/button/button.css</t>
  </si>
  <si>
    <t xml:space="preserve">../test/components/button/button.test.tsx</t>
  </si>
  <si>
    <t xml:space="preserve">tests/components/button/behavior.spec.ts</t>
  </si>
  <si>
    <t xml:space="preserve">tests/components/button/behavior.spec.ts; tests/integration</t>
  </si>
  <si>
    <t xml:space="preserve">tests/components/button/visual.spec.ts</t>
  </si>
  <si>
    <t xml:space="preserve">manual-tests/button.md</t>
  </si>
  <si>
    <t xml:space="preserve">manual-tests/button.md; tests/components/button/behavior.spec.ts</t>
  </si>
  <si>
    <t xml:space="preserve">../docs/components/button/README.md</t>
  </si>
  <si>
    <t xml:space="preserve">../docs/components/button/CHANGELOG.md</t>
  </si>
  <si>
    <t xml:space="preserve">Card Evidence</t>
  </si>
  <si>
    <t xml:space="preserve">C-01</t>
  </si>
  <si>
    <t xml:space="preserve">../src/components/card</t>
  </si>
  <si>
    <t xml:space="preserve">C-02</t>
  </si>
  <si>
    <t xml:space="preserve">C-03</t>
  </si>
  <si>
    <t xml:space="preserve">../test/types/components/card.test.ts</t>
  </si>
  <si>
    <t xml:space="preserve">C-04</t>
  </si>
  <si>
    <t xml:space="preserve">../src/components/card/card.css</t>
  </si>
  <si>
    <t xml:space="preserve">C-05</t>
  </si>
  <si>
    <t xml:space="preserve">../test/components/card/card.test.tsx</t>
  </si>
  <si>
    <t xml:space="preserve">C-06</t>
  </si>
  <si>
    <t xml:space="preserve">tests/components/card/behavior.spec.ts</t>
  </si>
  <si>
    <t xml:space="preserve">C-07</t>
  </si>
  <si>
    <t xml:space="preserve">tests/components/card/behavior.spec.ts; tests/integration</t>
  </si>
  <si>
    <t xml:space="preserve">C-08</t>
  </si>
  <si>
    <t xml:space="preserve">tests/components/card/visual.spec.ts</t>
  </si>
  <si>
    <t xml:space="preserve">C-09</t>
  </si>
  <si>
    <t xml:space="preserve">manual-tests/card.md</t>
  </si>
  <si>
    <t xml:space="preserve">C-10</t>
  </si>
  <si>
    <t xml:space="preserve">C-11</t>
  </si>
  <si>
    <t xml:space="preserve">manual-tests/card.md; tests/components/card/behavior.spec.ts</t>
  </si>
  <si>
    <t xml:space="preserve">C-12</t>
  </si>
  <si>
    <t xml:space="preserve">C-13</t>
  </si>
  <si>
    <t xml:space="preserve">../docs/components/card/README.md</t>
  </si>
  <si>
    <t xml:space="preserve">C-14</t>
  </si>
  <si>
    <t xml:space="preserve">../docs/components/card/CHANGELOG.md</t>
  </si>
  <si>
    <t xml:space="preserve">C-15</t>
  </si>
  <si>
    <t xml:space="preserve">C-16</t>
  </si>
  <si>
    <t xml:space="preserve">Checkbox Evidence</t>
  </si>
  <si>
    <t xml:space="preserve">../src/components/checkbox</t>
  </si>
  <si>
    <t xml:space="preserve">../test/types/components/checkbox.test.ts</t>
  </si>
  <si>
    <t xml:space="preserve">../src/components/checkbox/checkbox.css</t>
  </si>
  <si>
    <t xml:space="preserve">../test/components/checkbox/checkbox.test.tsx</t>
  </si>
  <si>
    <t xml:space="preserve">tests/components/checkbox/behavior.spec.ts</t>
  </si>
  <si>
    <t xml:space="preserve">tests/components/checkbox/behavior.spec.ts; tests/integration</t>
  </si>
  <si>
    <t xml:space="preserve">tests/components/checkbox/visual.spec.ts</t>
  </si>
  <si>
    <t xml:space="preserve">manual-tests/checkbox.md</t>
  </si>
  <si>
    <t xml:space="preserve">manual-tests/checkbox.md; tests/components/checkbox/behavior.spec.ts</t>
  </si>
  <si>
    <t xml:space="preserve">../docs/components/checkbox/README.md</t>
  </si>
  <si>
    <t xml:space="preserve">../docs/components/checkbox/CHANGELOG.md</t>
  </si>
  <si>
    <t xml:space="preserve">Checkbox Group Evidence</t>
  </si>
  <si>
    <t xml:space="preserve">CG-01</t>
  </si>
  <si>
    <t xml:space="preserve">CheckboxGroup</t>
  </si>
  <si>
    <t xml:space="preserve">../src/components/checkbox-group</t>
  </si>
  <si>
    <t xml:space="preserve">CG-02</t>
  </si>
  <si>
    <t xml:space="preserve">CG-03</t>
  </si>
  <si>
    <t xml:space="preserve">../test/types/components/checkbox-group.test.ts</t>
  </si>
  <si>
    <t xml:space="preserve">CG-04</t>
  </si>
  <si>
    <t xml:space="preserve">../src/components/checkbox-group/checkbox-group.css</t>
  </si>
  <si>
    <t xml:space="preserve">CG-05</t>
  </si>
  <si>
    <t xml:space="preserve">../test/components/checkbox-group/checkbox-group.test.tsx</t>
  </si>
  <si>
    <t xml:space="preserve">CG-06</t>
  </si>
  <si>
    <t xml:space="preserve">tests/components/checkbox-group/behavior.spec.ts</t>
  </si>
  <si>
    <t xml:space="preserve">CG-07</t>
  </si>
  <si>
    <t xml:space="preserve">tests/components/checkbox-group/behavior.spec.ts; tests/integration</t>
  </si>
  <si>
    <t xml:space="preserve">CG-08</t>
  </si>
  <si>
    <t xml:space="preserve">tests/components/checkbox-group/visual.spec.ts</t>
  </si>
  <si>
    <t xml:space="preserve">CG-09</t>
  </si>
  <si>
    <t xml:space="preserve">manual-tests/checkbox-group.md</t>
  </si>
  <si>
    <t xml:space="preserve">CG-10</t>
  </si>
  <si>
    <t xml:space="preserve">CG-11</t>
  </si>
  <si>
    <t xml:space="preserve">manual-tests/checkbox-group.md; tests/components/checkbox-group/behavior.spec.ts</t>
  </si>
  <si>
    <t xml:space="preserve">CG-12</t>
  </si>
  <si>
    <t xml:space="preserve">CG-13</t>
  </si>
  <si>
    <t xml:space="preserve">../docs/components/checkbox-group/README.md</t>
  </si>
  <si>
    <t xml:space="preserve">CG-14</t>
  </si>
  <si>
    <t xml:space="preserve">../docs/components/checkbox-group/CHANGELOG.md</t>
  </si>
  <si>
    <t xml:space="preserve">CG-15</t>
  </si>
  <si>
    <t xml:space="preserve">CG-16</t>
  </si>
  <si>
    <t xml:space="preserve">Dialog Evidence</t>
  </si>
  <si>
    <t xml:space="preserve">D-01</t>
  </si>
  <si>
    <t xml:space="preserve">../src/components/dialog</t>
  </si>
  <si>
    <t xml:space="preserve">D-02</t>
  </si>
  <si>
    <t xml:space="preserve">D-03</t>
  </si>
  <si>
    <t xml:space="preserve">../test/types/components/dialog.test.ts</t>
  </si>
  <si>
    <t xml:space="preserve">D-04</t>
  </si>
  <si>
    <t xml:space="preserve">../src/components/dialog/dialog.css</t>
  </si>
  <si>
    <t xml:space="preserve">D-05</t>
  </si>
  <si>
    <t xml:space="preserve">../test/components/dialog/dialog.test.tsx</t>
  </si>
  <si>
    <t xml:space="preserve">D-06</t>
  </si>
  <si>
    <t xml:space="preserve">tests/components/dialog/behavior.spec.ts</t>
  </si>
  <si>
    <t xml:space="preserve">D-07</t>
  </si>
  <si>
    <t xml:space="preserve">tests/components/dialog/behavior.spec.ts; tests/integration</t>
  </si>
  <si>
    <t xml:space="preserve">D-08</t>
  </si>
  <si>
    <t xml:space="preserve">tests/components/dialog/visual.spec.ts</t>
  </si>
  <si>
    <t xml:space="preserve">D-09</t>
  </si>
  <si>
    <t xml:space="preserve">manual-tests/dialog.md</t>
  </si>
  <si>
    <t xml:space="preserve">D-10</t>
  </si>
  <si>
    <t xml:space="preserve">D-11</t>
  </si>
  <si>
    <t xml:space="preserve">manual-tests/dialog.md; tests/components/dialog/behavior.spec.ts</t>
  </si>
  <si>
    <t xml:space="preserve">D-12</t>
  </si>
  <si>
    <t xml:space="preserve">D-13</t>
  </si>
  <si>
    <t xml:space="preserve">../docs/components/dialog/README.md</t>
  </si>
  <si>
    <t xml:space="preserve">D-14</t>
  </si>
  <si>
    <t xml:space="preserve">../docs/components/dialog/CHANGELOG.md</t>
  </si>
  <si>
    <t xml:space="preserve">D-15</t>
  </si>
  <si>
    <t xml:space="preserve">D-16</t>
  </si>
  <si>
    <t xml:space="preserve">Drawer Evidence</t>
  </si>
  <si>
    <t xml:space="preserve">../src/components/drawer</t>
  </si>
  <si>
    <t xml:space="preserve">../test/types/components/drawer.test.ts</t>
  </si>
  <si>
    <t xml:space="preserve">../src/components/drawer/drawer.css</t>
  </si>
  <si>
    <t xml:space="preserve">../test/components/drawer/drawer.test.tsx</t>
  </si>
  <si>
    <t xml:space="preserve">tests/components/drawer/behavior.spec.ts</t>
  </si>
  <si>
    <t xml:space="preserve">tests/components/drawer/behavior.spec.ts; tests/integration</t>
  </si>
  <si>
    <t xml:space="preserve">tests/components/drawer/visual.spec.ts</t>
  </si>
  <si>
    <t xml:space="preserve">manual-tests/drawer.md</t>
  </si>
  <si>
    <t xml:space="preserve">manual-tests/drawer.md; tests/components/drawer/behavior.spec.ts</t>
  </si>
  <si>
    <t xml:space="preserve">../docs/components/drawer/README.md</t>
  </si>
  <si>
    <t xml:space="preserve">../docs/components/drawer/CHANGELOG.md</t>
  </si>
  <si>
    <t xml:space="preserve">Field Evidence</t>
  </si>
  <si>
    <t xml:space="preserve">F-01</t>
  </si>
  <si>
    <t xml:space="preserve">../src/components/field</t>
  </si>
  <si>
    <t xml:space="preserve">F-02</t>
  </si>
  <si>
    <t xml:space="preserve">F-03</t>
  </si>
  <si>
    <t xml:space="preserve">../test/types/components/field.test.ts</t>
  </si>
  <si>
    <t xml:space="preserve">F-04</t>
  </si>
  <si>
    <t xml:space="preserve">../src/components/field/field.css</t>
  </si>
  <si>
    <t xml:space="preserve">F-05</t>
  </si>
  <si>
    <t xml:space="preserve">../test/components/field/field.test.tsx</t>
  </si>
  <si>
    <t xml:space="preserve">F-06</t>
  </si>
  <si>
    <t xml:space="preserve">tests/components/field/behavior.spec.ts</t>
  </si>
  <si>
    <t xml:space="preserve">F-07</t>
  </si>
  <si>
    <t xml:space="preserve">tests/components/field/behavior.spec.ts; tests/integration</t>
  </si>
  <si>
    <t xml:space="preserve">F-08</t>
  </si>
  <si>
    <t xml:space="preserve">tests/components/field/visual.spec.ts</t>
  </si>
  <si>
    <t xml:space="preserve">F-09</t>
  </si>
  <si>
    <t xml:space="preserve">manual-tests/field.md</t>
  </si>
  <si>
    <t xml:space="preserve">F-10</t>
  </si>
  <si>
    <t xml:space="preserve">F-11</t>
  </si>
  <si>
    <t xml:space="preserve">manual-tests/field.md; tests/components/field/behavior.spec.ts</t>
  </si>
  <si>
    <t xml:space="preserve">F-12</t>
  </si>
  <si>
    <t xml:space="preserve">F-13</t>
  </si>
  <si>
    <t xml:space="preserve">../docs/components/field/README.md</t>
  </si>
  <si>
    <t xml:space="preserve">F-14</t>
  </si>
  <si>
    <t xml:space="preserve">../docs/components/field/CHANGELOG.md</t>
  </si>
  <si>
    <t xml:space="preserve">F-15</t>
  </si>
  <si>
    <t xml:space="preserve">F-16</t>
  </si>
  <si>
    <t xml:space="preserve">Fieldset Evidence</t>
  </si>
  <si>
    <t xml:space="preserve">../src/components/fieldset</t>
  </si>
  <si>
    <t xml:space="preserve">../test/types/components/fieldset.test.ts</t>
  </si>
  <si>
    <t xml:space="preserve">../src/components/fieldset/fieldset.css</t>
  </si>
  <si>
    <t xml:space="preserve">../test/components/fieldset/fieldset.test.tsx</t>
  </si>
  <si>
    <t xml:space="preserve">tests/components/fieldset/behavior.spec.ts</t>
  </si>
  <si>
    <t xml:space="preserve">tests/components/fieldset/behavior.spec.ts; tests/integration</t>
  </si>
  <si>
    <t xml:space="preserve">tests/components/fieldset/visual.spec.ts</t>
  </si>
  <si>
    <t xml:space="preserve">manual-tests/fieldset.md</t>
  </si>
  <si>
    <t xml:space="preserve">manual-tests/fieldset.md; tests/components/fieldset/behavior.spec.ts</t>
  </si>
  <si>
    <t xml:space="preserve">../docs/components/fieldset/README.md</t>
  </si>
  <si>
    <t xml:space="preserve">../docs/components/fieldset/CHANGELOG.md</t>
  </si>
  <si>
    <t xml:space="preserve">Form Evidence</t>
  </si>
  <si>
    <t xml:space="preserve">../src/components/form</t>
  </si>
  <si>
    <t xml:space="preserve">../test/types/components/form.test.ts</t>
  </si>
  <si>
    <t xml:space="preserve">../src/components/form/form.css</t>
  </si>
  <si>
    <t xml:space="preserve">../test/components/form/form.test.tsx</t>
  </si>
  <si>
    <t xml:space="preserve">tests/components/form/behavior.spec.ts</t>
  </si>
  <si>
    <t xml:space="preserve">tests/components/form/behavior.spec.ts; tests/integration</t>
  </si>
  <si>
    <t xml:space="preserve">tests/components/form/visual.spec.ts</t>
  </si>
  <si>
    <t xml:space="preserve">manual-tests/form.md</t>
  </si>
  <si>
    <t xml:space="preserve">manual-tests/form.md; tests/components/form/behavior.spec.ts</t>
  </si>
  <si>
    <t xml:space="preserve">../docs/components/form/README.md</t>
  </si>
  <si>
    <t xml:space="preserve">../docs/components/form/CHANGELOG.md</t>
  </si>
  <si>
    <t xml:space="preserve">Hover Card Evidence</t>
  </si>
  <si>
    <t xml:space="preserve">HC-01</t>
  </si>
  <si>
    <t xml:space="preserve">HoverCard</t>
  </si>
  <si>
    <t xml:space="preserve">../src/components/hover-card</t>
  </si>
  <si>
    <t xml:space="preserve">HC-02</t>
  </si>
  <si>
    <t xml:space="preserve">HC-03</t>
  </si>
  <si>
    <t xml:space="preserve">../test/types/components/hover-card.test.ts</t>
  </si>
  <si>
    <t xml:space="preserve">HC-04</t>
  </si>
  <si>
    <t xml:space="preserve">../src/components/hover-card/hover-card.css</t>
  </si>
  <si>
    <t xml:space="preserve">HC-05</t>
  </si>
  <si>
    <t xml:space="preserve">../test/components/hover-card/hover-card.test.tsx</t>
  </si>
  <si>
    <t xml:space="preserve">HC-06</t>
  </si>
  <si>
    <t xml:space="preserve">tests/components/hover-card/behavior.spec.ts</t>
  </si>
  <si>
    <t xml:space="preserve">HC-07</t>
  </si>
  <si>
    <t xml:space="preserve">tests/components/hover-card/behavior.spec.ts; tests/integration</t>
  </si>
  <si>
    <t xml:space="preserve">HC-08</t>
  </si>
  <si>
    <t xml:space="preserve">tests/components/hover-card/visual.spec.ts</t>
  </si>
  <si>
    <t xml:space="preserve">HC-09</t>
  </si>
  <si>
    <t xml:space="preserve">manual-tests/hover-card.md</t>
  </si>
  <si>
    <t xml:space="preserve">HC-10</t>
  </si>
  <si>
    <t xml:space="preserve">HC-11</t>
  </si>
  <si>
    <t xml:space="preserve">manual-tests/hover-card.md; tests/components/hover-card/behavior.spec.ts</t>
  </si>
  <si>
    <t xml:space="preserve">HC-12</t>
  </si>
  <si>
    <t xml:space="preserve">HC-13</t>
  </si>
  <si>
    <t xml:space="preserve">../docs/components/hover-card/README.md</t>
  </si>
  <si>
    <t xml:space="preserve">HC-14</t>
  </si>
  <si>
    <t xml:space="preserve">../docs/components/hover-card/CHANGELOG.md</t>
  </si>
  <si>
    <t xml:space="preserve">HC-15</t>
  </si>
  <si>
    <t xml:space="preserve">HC-16</t>
  </si>
  <si>
    <t xml:space="preserve">Icon Button Evidence</t>
  </si>
  <si>
    <t xml:space="preserve">IB-01</t>
  </si>
  <si>
    <t xml:space="preserve">IconButton</t>
  </si>
  <si>
    <t xml:space="preserve">../src/components/icon-button</t>
  </si>
  <si>
    <t xml:space="preserve">IB-02</t>
  </si>
  <si>
    <t xml:space="preserve">IB-03</t>
  </si>
  <si>
    <t xml:space="preserve">../test/types/components/icon-button.test.ts</t>
  </si>
  <si>
    <t xml:space="preserve">IB-04</t>
  </si>
  <si>
    <t xml:space="preserve">../src/components/icon-button/icon-button.css</t>
  </si>
  <si>
    <t xml:space="preserve">IB-05</t>
  </si>
  <si>
    <t xml:space="preserve">../test/components/icon-button/icon-button.test.tsx</t>
  </si>
  <si>
    <t xml:space="preserve">IB-06</t>
  </si>
  <si>
    <t xml:space="preserve">tests/components/icon-button/behavior.spec.ts</t>
  </si>
  <si>
    <t xml:space="preserve">IB-07</t>
  </si>
  <si>
    <t xml:space="preserve">tests/components/icon-button/behavior.spec.ts; tests/integration</t>
  </si>
  <si>
    <t xml:space="preserve">IB-08</t>
  </si>
  <si>
    <t xml:space="preserve">tests/components/icon-button/visual.spec.ts</t>
  </si>
  <si>
    <t xml:space="preserve">IB-09</t>
  </si>
  <si>
    <t xml:space="preserve">manual-tests/icon-button.md</t>
  </si>
  <si>
    <t xml:space="preserve">IB-10</t>
  </si>
  <si>
    <t xml:space="preserve">IB-11</t>
  </si>
  <si>
    <t xml:space="preserve">manual-tests/icon-button.md; tests/components/icon-button/behavior.spec.ts</t>
  </si>
  <si>
    <t xml:space="preserve">IB-12</t>
  </si>
  <si>
    <t xml:space="preserve">IB-13</t>
  </si>
  <si>
    <t xml:space="preserve">../docs/components/icon-button/README.md</t>
  </si>
  <si>
    <t xml:space="preserve">IB-14</t>
  </si>
  <si>
    <t xml:space="preserve">../docs/components/icon-button/CHANGELOG.md</t>
  </si>
  <si>
    <t xml:space="preserve">IB-15</t>
  </si>
  <si>
    <t xml:space="preserve">IB-16</t>
  </si>
  <si>
    <t xml:space="preserve">Input Evidence</t>
  </si>
  <si>
    <t xml:space="preserve">I-01</t>
  </si>
  <si>
    <t xml:space="preserve">Brick wrapper, native input ref, adornments, and Atom-powered Clear are implemented.</t>
  </si>
  <si>
    <t xml:space="preserve">../src/components/input</t>
  </si>
  <si>
    <t xml:space="preserve">I-02</t>
  </si>
  <si>
    <t xml:space="preserve">Root and public Input subpath exports expose runtime and type surfaces.</t>
  </si>
  <si>
    <t xml:space="preserve">I-03</t>
  </si>
  <si>
    <t xml:space="preserve">Recipes, native text types, ref, underline shape exclusion, and native size collision type-check.</t>
  </si>
  <si>
    <t xml:space="preserve">../test/types/components/input.test.ts</t>
  </si>
  <si>
    <t xml:space="preserve">I-04</t>
  </si>
  <si>
    <t xml:space="preserve">Recipes, sizes, shapes, states, adornment geometry, logical layout, and public tokens ship as static CSS.</t>
  </si>
  <si>
    <t xml:space="preserve">../src/components/input/input.css</t>
  </si>
  <si>
    <t xml:space="preserve">I-05</t>
  </si>
  <si>
    <t xml:space="preserve">Defaults, DOM order, refs, hooks, Clear delegation, prop filtering, and state adaptation pass focused tests.</t>
  </si>
  <si>
    <t xml:space="preserve">../test/components/input/input.test.tsx</t>
  </si>
  <si>
    <t xml:space="preserve">I-06</t>
  </si>
  <si>
    <t xml:space="preserve">Real-browser recipes, geometry, ownership, native form behavior, output, adornments, and Clear checks pass.</t>
  </si>
  <si>
    <t xml:space="preserve">tests/components/input/behavior.spec.ts</t>
  </si>
  <si>
    <t xml:space="preserve">I-07</t>
  </si>
  <si>
    <t xml:space="preserve">Field naming and relationships, native availability states, focus restoration, and axe checks pass.</t>
  </si>
  <si>
    <t xml:space="preserve">tests/components/input/behavior.spec.ts; tests/integration/form-foundation.spec.ts</t>
  </si>
  <si>
    <t xml:space="preserve">I-08</t>
  </si>
  <si>
    <t xml:space="preserve">Reviewed baselines cover defaults, recipes, geometry, adornments, states, appearance, RTL, and forced colors.</t>
  </si>
  <si>
    <t xml:space="preserve">tests/components/input/visual.spec.ts</t>
  </si>
  <si>
    <t xml:space="preserve">Owner reviewed and corrected the current Input playground evidence.</t>
  </si>
  <si>
    <t xml:space="preserve">I-09</t>
  </si>
  <si>
    <t xml:space="preserve">Physical mobile, 200%/400% zoom, long-value stress, and RTL remain usable and contained.</t>
  </si>
  <si>
    <t xml:space="preserve">manual-tests/input.md</t>
  </si>
  <si>
    <t xml:space="preserve">Manual protocol exists; physical device and zoom review have not been recorded.</t>
  </si>
  <si>
    <t xml:space="preserve">I-10</t>
  </si>
  <si>
    <t xml:space="preserve">Light, dark, focus, invalid, forced-colors, and reduced-motion treatment remain perceivable.</t>
  </si>
  <si>
    <t xml:space="preserve">manual-tests/input.md; tests/components/input/visual.spec.ts</t>
  </si>
  <si>
    <t xml:space="preserve">Automated evidence passes; human appearance review is not fully recorded.</t>
  </si>
  <si>
    <t xml:space="preserve">I-11</t>
  </si>
  <si>
    <t xml:space="preserve">Field/Form labels, descriptions, errors, external ownership, generated IDs, and rendered HTML match.</t>
  </si>
  <si>
    <t xml:space="preserve">manual-tests/input.md; tests/components/input/behavior.spec.ts</t>
  </si>
  <si>
    <t xml:space="preserve">Automated relationships pass; the complete human output review is pending.</t>
  </si>
  <si>
    <t xml:space="preserve">I-12</t>
  </si>
  <si>
    <t xml:space="preserve">The component-owned manual protocol passes every Input playground scenario.</t>
  </si>
  <si>
    <t xml:space="preserve">Protocol is intentionally unrun and contains no claimed result.</t>
  </si>
  <si>
    <t xml:space="preserve">I-13</t>
  </si>
  <si>
    <t xml:space="preserve">Source-backed public usage and API documentation passes component documentation checks.</t>
  </si>
  <si>
    <t xml:space="preserve">../docs/components/input/README.md</t>
  </si>
  <si>
    <t xml:space="preserve">I-14</t>
  </si>
  <si>
    <t xml:space="preserve">Input owns a public component changelog and the package changelog records its addition.</t>
  </si>
  <si>
    <t xml:space="preserve">../docs/components/input/CHANGELOG.md; ../CHANGELOG.md</t>
  </si>
  <si>
    <t xml:space="preserve">I-15</t>
  </si>
  <si>
    <t xml:space="preserve">The packed Consumer proves Field, adornment, Clear, validation, submit, and reset through public imports.</t>
  </si>
  <si>
    <t xml:space="preserve">I-16</t>
  </si>
  <si>
    <t xml:space="preserve">Build, SSR, exports, CSS, tarball, React 18/19, and packed-consumer verification pass.</t>
  </si>
  <si>
    <t xml:space="preserve">../test/package; ../scripts/verify-package.mjs; ../scripts/verify-consumers.mjs</t>
  </si>
  <si>
    <t xml:space="preserve">Link Evidence</t>
  </si>
  <si>
    <t xml:space="preserve">Assertion-level Atom-backed package, browser, human-review, documentation, Consumer, and composition evidence.</t>
  </si>
  <si>
    <t xml:space="preserve">L-01</t>
  </si>
  <si>
    <t xml:space="preserve">Atom-backed anchor, visual recipes, content anatomy, native props, and HTMLAnchorElement ref are implemented.</t>
  </si>
  <si>
    <t xml:space="preserve">../src/components/link</t>
  </si>
  <si>
    <t xml:space="preserve">L-02</t>
  </si>
  <si>
    <t xml:space="preserve">Root and public Link subpath exports expose runtime and complete public types.</t>
  </si>
  <si>
    <t xml:space="preserve">../test/package/package.test.mjs; ../test/package/ssr.test.mjs</t>
  </si>
  <si>
    <t xml:space="preserve">L-03</t>
  </si>
  <si>
    <t xml:space="preserve">Required native href, router composition, recipes, icon exclusion, native props, and ref contracts type-check.</t>
  </si>
  <si>
    <t xml:space="preserve">../test/types/components/link.test.ts</t>
  </si>
  <si>
    <t xml:space="preserve">L-04</t>
  </si>
  <si>
    <t xml:space="preserve">Static CSS ships decoration, tones, typography, focus, current, icon, appearance, and forced-color behavior.</t>
  </si>
  <si>
    <t xml:space="preserve">../src/components/link/link.css</t>
  </si>
  <si>
    <t xml:space="preserve">L-05</t>
  </si>
  <si>
    <t xml:space="preserve">Defaults, recipes, icon anatomy, native forwarding, refs, render, and asChild pass focused tests.</t>
  </si>
  <si>
    <t xml:space="preserve">../test/components/link/link.test.tsx</t>
  </si>
  <si>
    <t xml:space="preserve">L-06</t>
  </si>
  <si>
    <t xml:space="preserve">Native output, focus, controlled recipes, typography, icon geometry, RTL, composition, and customization pass.</t>
  </si>
  <si>
    <t xml:space="preserve">tests/components/link/behavior.spec.ts</t>
  </si>
  <si>
    <t xml:space="preserve">L-07</t>
  </si>
  <si>
    <t xml:space="preserve">Native role/name/current state, focus affordance, responsive containment, decorative icons, and axe pass.</t>
  </si>
  <si>
    <t xml:space="preserve">L-08</t>
  </si>
  <si>
    <t xml:space="preserve">Baselines cover default, recipes, content, composition, dark appearance, mobile RTL, and forced colors.</t>
  </si>
  <si>
    <t xml:space="preserve">tests/components/link/visual.spec.ts</t>
  </si>
  <si>
    <t xml:space="preserve">L-09</t>
  </si>
  <si>
    <t xml:space="preserve">Physical mobile, 200%/400% zoom, text spacing, long content, and RTL remain readable and contained.</t>
  </si>
  <si>
    <t xml:space="preserve">manual-tests/link.md</t>
  </si>
  <si>
    <t xml:space="preserve">Automated reflow passes; human device and zoom review is pending.</t>
  </si>
  <si>
    <t xml:space="preserve">L-10</t>
  </si>
  <si>
    <t xml:space="preserve">Light, dark, forced colors, focus, decoration, and customized variables remain perceivable.</t>
  </si>
  <si>
    <t xml:space="preserve">manual-tests/link.md; tests/components/link/visual.spec.ts</t>
  </si>
  <si>
    <t xml:space="preserve">Automated appearance evidence exists; human appearance review is pending.</t>
  </si>
  <si>
    <t xml:space="preserve">L-11</t>
  </si>
  <si>
    <t xml:space="preserve">Native, current, download, render, and asChild examples produce one inspectable final anchor.</t>
  </si>
  <si>
    <t xml:space="preserve">L-12</t>
  </si>
  <si>
    <t xml:space="preserve">The concise component-owned protocol passes every Link playground scenario.</t>
  </si>
  <si>
    <t xml:space="preserve">Protocol exists; the owner has not run it.</t>
  </si>
  <si>
    <t xml:space="preserve">L-13</t>
  </si>
  <si>
    <t xml:space="preserve">Source-backed use, exclusions, recipes, anatomy, accessibility, native props, composition, and API docs pass.</t>
  </si>
  <si>
    <t xml:space="preserve">../docs/components/link/README.md</t>
  </si>
  <si>
    <t xml:space="preserve">L-14</t>
  </si>
  <si>
    <t xml:space="preserve">Link owns a public changelog and the package changelog records its addition.</t>
  </si>
  <si>
    <t xml:space="preserve">../docs/components/link/CHANGELOG.md; ../CHANGELOG.md</t>
  </si>
  <si>
    <t xml:space="preserve">L-15</t>
  </si>
  <si>
    <t xml:space="preserve">The Consumer uses the public Link subpath for site navigation and a standalone destination.</t>
  </si>
  <si>
    <t xml:space="preserve">L-16</t>
  </si>
  <si>
    <t xml:space="preserve">Playground</t>
  </si>
  <si>
    <t xml:space="preserve">One navigable component route exposes every adopted recipe, content, composition, appearance, and stress scenario.</t>
  </si>
  <si>
    <t xml:space="preserve">playground</t>
  </si>
  <si>
    <t xml:space="preserve">src/components/link/LinkPage.tsx</t>
  </si>
  <si>
    <t xml:space="preserve">L-17</t>
  </si>
  <si>
    <t xml:space="preserve">Build, SSR, exports, CSS, tarball, consumers, browser matrix, and exact Atom 0.7.0 dependency pass.</t>
  </si>
  <si>
    <t xml:space="preserve">../test/package; ../scripts/verify-consumers.mjs</t>
  </si>
  <si>
    <t xml:space="preserve">Text Evidence</t>
  </si>
  <si>
    <t xml:space="preserve">T-01</t>
  </si>
  <si>
    <t xml:space="preserve">Semantic hosts, recipes, native props, and HTMLElement refs are implemented.</t>
  </si>
  <si>
    <t xml:space="preserve">../src/components/text</t>
  </si>
  <si>
    <t xml:space="preserve">T-02</t>
  </si>
  <si>
    <t xml:space="preserve">Root and public Text subpath exports expose runtime and type surfaces.</t>
  </si>
  <si>
    <t xml:space="preserve">T-03</t>
  </si>
  <si>
    <t xml:space="preserve">Hosts, variants, tones, weights, alignment, wrapping, overflow rules, props, and refs type-check.</t>
  </si>
  <si>
    <t xml:space="preserve">../test/types/components/text.test.ts</t>
  </si>
  <si>
    <t xml:space="preserve">T-04</t>
  </si>
  <si>
    <t xml:space="preserve">Static CSS ships recipe, tone, alignment, wrapping, truncation, clamp, and preference behavior.</t>
  </si>
  <si>
    <t xml:space="preserve">../src/components/text/text.css</t>
  </si>
  <si>
    <t xml:space="preserve">T-05</t>
  </si>
  <si>
    <t xml:space="preserve">Defaults, host selection, hooks, refs, native props, and overflow precedence pass focused tests.</t>
  </si>
  <si>
    <t xml:space="preserve">../test/components/text/text.test.tsx</t>
  </si>
  <si>
    <t xml:space="preserve">T-06</t>
  </si>
  <si>
    <t xml:space="preserve">Real-browser defaults, scale, tones, geometry, semantics, output, refs, and overflow checks pass.</t>
  </si>
  <si>
    <t xml:space="preserve">tests/components/text/behavior.spec.ts</t>
  </si>
  <si>
    <t xml:space="preserve">T-07</t>
  </si>
  <si>
    <t xml:space="preserve">Semantic host output, contrast, text spacing, zoom resilience, and axe checks pass.</t>
  </si>
  <si>
    <t xml:space="preserve">T-08</t>
  </si>
  <si>
    <t xml:space="preserve">Reviewed baselines cover recipes, tones, semantics, overflow, customization, dark mode, RTL, and mobile stress.</t>
  </si>
  <si>
    <t xml:space="preserve">tests/components/text/visual.spec.ts</t>
  </si>
  <si>
    <t xml:space="preserve">Agent-reviewed baselines; owner acceptance remains available during manual review.</t>
  </si>
  <si>
    <t xml:space="preserve">T-09</t>
  </si>
  <si>
    <t xml:space="preserve">Narrow layout, long localized content, 200%/400% zoom, and RTL remain contained and readable.</t>
  </si>
  <si>
    <t xml:space="preserve">manual-tests/text.md</t>
  </si>
  <si>
    <t xml:space="preserve">Automated evidence passes; physical-device and human zoom review are not recorded.</t>
  </si>
  <si>
    <t xml:space="preserve">T-10</t>
  </si>
  <si>
    <t xml:space="preserve">Light, dark, semantic tones, forced colors, and reduced motion retain readable output.</t>
  </si>
  <si>
    <t xml:space="preserve">manual-tests/text.md; tests/components/text/visual.spec.ts</t>
  </si>
  <si>
    <t xml:space="preserve">Automated evidence passes; complete human appearance review is pending.</t>
  </si>
  <si>
    <t xml:space="preserve">T-11</t>
  </si>
  <si>
    <t xml:space="preserve">Semantics</t>
  </si>
  <si>
    <t xml:space="preserve">Every supported semantic host and rendered output example match the public contract.</t>
  </si>
  <si>
    <t xml:space="preserve">T-12</t>
  </si>
  <si>
    <t xml:space="preserve">The component-owned manual protocol passes every Text playground scenario.</t>
  </si>
  <si>
    <t xml:space="preserve">T-13</t>
  </si>
  <si>
    <t xml:space="preserve">../docs/components/text/README.md</t>
  </si>
  <si>
    <t xml:space="preserve">T-14</t>
  </si>
  <si>
    <t xml:space="preserve">Text owns a public component changelog and the package changelog records its addition.</t>
  </si>
  <si>
    <t xml:space="preserve">../docs/components/text/CHANGELOG.md; ../CHANGELOG.md</t>
  </si>
  <si>
    <t xml:space="preserve">T-15</t>
  </si>
  <si>
    <t xml:space="preserve">The packed Consumer proves root and subpath Text usage through public imports.</t>
  </si>
  <si>
    <t xml:space="preserve">T-16</t>
  </si>
  <si>
    <t xml:space="preserve">Automated package gates pass; complete status waits for the component-owned manual protocol.</t>
  </si>
  <si>
    <t xml:space="preserve">Notification Badge Evidence</t>
  </si>
  <si>
    <t xml:space="preserve">NB-01</t>
  </si>
  <si>
    <t xml:space="preserve">NotificationBadge</t>
  </si>
  <si>
    <t xml:space="preserve">NB-02</t>
  </si>
  <si>
    <t xml:space="preserve">NB-03</t>
  </si>
  <si>
    <t xml:space="preserve">../test/types/components/notification-badge.test.ts</t>
  </si>
  <si>
    <t xml:space="preserve">NB-04</t>
  </si>
  <si>
    <t xml:space="preserve">NB-05</t>
  </si>
  <si>
    <t xml:space="preserve">../test/components/notification-badge/notification-badge.test.tsx</t>
  </si>
  <si>
    <t xml:space="preserve">NB-06</t>
  </si>
  <si>
    <t xml:space="preserve">tests/components/notification-badge/behavior.spec.ts</t>
  </si>
  <si>
    <t xml:space="preserve">NB-07</t>
  </si>
  <si>
    <t xml:space="preserve">tests/components/notification-badge/behavior.spec.ts; tests/integration</t>
  </si>
  <si>
    <t xml:space="preserve">NB-08</t>
  </si>
  <si>
    <t xml:space="preserve">tests/components/notification-badge/visual.spec.ts</t>
  </si>
  <si>
    <t xml:space="preserve">NB-09</t>
  </si>
  <si>
    <t xml:space="preserve">manual-tests/notification-badge.md</t>
  </si>
  <si>
    <t xml:space="preserve">NB-10</t>
  </si>
  <si>
    <t xml:space="preserve">NB-11</t>
  </si>
  <si>
    <t xml:space="preserve">manual-tests/notification-badge.md; tests/components/notification-badge/behavior.spec.ts</t>
  </si>
  <si>
    <t xml:space="preserve">NB-12</t>
  </si>
  <si>
    <t xml:space="preserve">NB-13</t>
  </si>
  <si>
    <t xml:space="preserve">../docs/components/notification-badge/README.md</t>
  </si>
  <si>
    <t xml:space="preserve">NB-14</t>
  </si>
  <si>
    <t xml:space="preserve">../docs/components/notification-badge/CHANGELOG.md</t>
  </si>
  <si>
    <t xml:space="preserve">NB-15</t>
  </si>
  <si>
    <t xml:space="preserve">NB-16</t>
  </si>
  <si>
    <t xml:space="preserve">Popover Evidence</t>
  </si>
  <si>
    <t xml:space="preserve">P-01</t>
  </si>
  <si>
    <t xml:space="preserve">../src/components/popover</t>
  </si>
  <si>
    <t xml:space="preserve">P-02</t>
  </si>
  <si>
    <t xml:space="preserve">P-03</t>
  </si>
  <si>
    <t xml:space="preserve">../test/types/components/popover.test.ts</t>
  </si>
  <si>
    <t xml:space="preserve">P-04</t>
  </si>
  <si>
    <t xml:space="preserve">../src/components/popover/popover.css</t>
  </si>
  <si>
    <t xml:space="preserve">P-05</t>
  </si>
  <si>
    <t xml:space="preserve">../test/components/popover/popover.test.tsx</t>
  </si>
  <si>
    <t xml:space="preserve">P-06</t>
  </si>
  <si>
    <t xml:space="preserve">tests/components/popover/behavior.spec.ts</t>
  </si>
  <si>
    <t xml:space="preserve">P-07</t>
  </si>
  <si>
    <t xml:space="preserve">tests/components/popover/behavior.spec.ts; tests/integration</t>
  </si>
  <si>
    <t xml:space="preserve">P-08</t>
  </si>
  <si>
    <t xml:space="preserve">tests/components/popover/visual.spec.ts</t>
  </si>
  <si>
    <t xml:space="preserve">P-09</t>
  </si>
  <si>
    <t xml:space="preserve">manual-tests/popover.md</t>
  </si>
  <si>
    <t xml:space="preserve">P-10</t>
  </si>
  <si>
    <t xml:space="preserve">P-11</t>
  </si>
  <si>
    <t xml:space="preserve">manual-tests/popover.md; tests/components/popover/behavior.spec.ts</t>
  </si>
  <si>
    <t xml:space="preserve">P-12</t>
  </si>
  <si>
    <t xml:space="preserve">P-13</t>
  </si>
  <si>
    <t xml:space="preserve">../docs/components/popover/README.md</t>
  </si>
  <si>
    <t xml:space="preserve">P-14</t>
  </si>
  <si>
    <t xml:space="preserve">../docs/components/popover/CHANGELOG.md</t>
  </si>
  <si>
    <t xml:space="preserve">P-15</t>
  </si>
  <si>
    <t xml:space="preserve">P-16</t>
  </si>
  <si>
    <t xml:space="preserve">Toggle Evidence</t>
  </si>
  <si>
    <t xml:space="preserve">../src/components/toggle</t>
  </si>
  <si>
    <t xml:space="preserve">../test/types/components/toggle.test.ts</t>
  </si>
  <si>
    <t xml:space="preserve">../src/components/toggle/toggle.css</t>
  </si>
  <si>
    <t xml:space="preserve">../test/components/toggle/toggle.test.tsx</t>
  </si>
  <si>
    <t xml:space="preserve">tests/components/toggle/behavior.spec.ts</t>
  </si>
  <si>
    <t xml:space="preserve">tests/components/toggle/behavior.spec.ts; tests/integration</t>
  </si>
  <si>
    <t xml:space="preserve">tests/components/toggle/visual.spec.ts</t>
  </si>
  <si>
    <t xml:space="preserve">manual-tests/toggle.md</t>
  </si>
  <si>
    <t xml:space="preserve">manual-tests/toggle.md; tests/components/toggle/behavior.spec.ts</t>
  </si>
  <si>
    <t xml:space="preserve">../docs/components/toggle/README.md</t>
  </si>
  <si>
    <t xml:space="preserve">../docs/components/toggle/CHANGELOG.md</t>
  </si>
  <si>
    <t xml:space="preserve">Toggle Group Evidence</t>
  </si>
  <si>
    <t xml:space="preserve">TG-01</t>
  </si>
  <si>
    <t xml:space="preserve">ToggleGroup</t>
  </si>
  <si>
    <t xml:space="preserve">../src/components/toggle-group</t>
  </si>
  <si>
    <t xml:space="preserve">TG-02</t>
  </si>
  <si>
    <t xml:space="preserve">TG-03</t>
  </si>
  <si>
    <t xml:space="preserve">../test/types/components/toggle-group.test.ts</t>
  </si>
  <si>
    <t xml:space="preserve">TG-04</t>
  </si>
  <si>
    <t xml:space="preserve">../src/components/toggle-group/toggle-group.css</t>
  </si>
  <si>
    <t xml:space="preserve">TG-05</t>
  </si>
  <si>
    <t xml:space="preserve">../test/components/toggle-group/toggle-group.test.tsx</t>
  </si>
  <si>
    <t xml:space="preserve">TG-06</t>
  </si>
  <si>
    <t xml:space="preserve">tests/components/toggle-group/behavior.spec.ts</t>
  </si>
  <si>
    <t xml:space="preserve">TG-07</t>
  </si>
  <si>
    <t xml:space="preserve">tests/components/toggle-group/behavior.spec.ts; tests/integration</t>
  </si>
  <si>
    <t xml:space="preserve">TG-08</t>
  </si>
  <si>
    <t xml:space="preserve">tests/components/toggle-group/visual.spec.ts</t>
  </si>
  <si>
    <t xml:space="preserve">TG-09</t>
  </si>
  <si>
    <t xml:space="preserve">manual-tests/toggle-group.md</t>
  </si>
  <si>
    <t xml:space="preserve">TG-10</t>
  </si>
  <si>
    <t xml:space="preserve">TG-11</t>
  </si>
  <si>
    <t xml:space="preserve">manual-tests/toggle-group.md; tests/components/toggle-group/behavior.spec.ts</t>
  </si>
  <si>
    <t xml:space="preserve">TG-12</t>
  </si>
  <si>
    <t xml:space="preserve">TG-13</t>
  </si>
  <si>
    <t xml:space="preserve">../docs/components/toggle-group/README.md</t>
  </si>
  <si>
    <t xml:space="preserve">TG-14</t>
  </si>
  <si>
    <t xml:space="preserve">../docs/components/toggle-group/CHANGELOG.md</t>
  </si>
  <si>
    <t xml:space="preserve">TG-15</t>
  </si>
  <si>
    <t xml:space="preserve">TG-16</t>
  </si>
  <si>
    <t xml:space="preserve">Stack Evidence</t>
  </si>
  <si>
    <t xml:space="preserve">S-01</t>
  </si>
  <si>
    <t xml:space="preserve">Stack, HStack, and VStack share one semantic root implementation with stable hooks and refs.</t>
  </si>
  <si>
    <t xml:space="preserve">../src/components/stack</t>
  </si>
  <si>
    <t xml:space="preserve">S-02</t>
  </si>
  <si>
    <t xml:space="preserve">Stack family</t>
  </si>
  <si>
    <t xml:space="preserve">Root and public Stack subpath exports expose all three runtimes and public types.</t>
  </si>
  <si>
    <t xml:space="preserve">S-03</t>
  </si>
  <si>
    <t xml:space="preserve">Hosts, direction, gap, alignment, distribution, wrapping, native props, refs, and exclusions type-check.</t>
  </si>
  <si>
    <t xml:space="preserve">../test/types/components/stack.test.ts</t>
  </si>
  <si>
    <t xml:space="preserve">S-04</t>
  </si>
  <si>
    <t xml:space="preserve">Root</t>
  </si>
  <si>
    <t xml:space="preserve">Static CSS ships flex layout, zero-through-six tokenized gaps, logical alignment, distribution, wrapping, and min-inline containment.</t>
  </si>
  <si>
    <t xml:space="preserve">../src/components/stack/stack.css; ../src/styles/tokens.tokens.json</t>
  </si>
  <si>
    <t xml:space="preserve">S-05</t>
  </si>
  <si>
    <t xml:space="preserve">Defaults, family direction locks, every closed recipe, semantic hosts, native pass-through, hooks, events, and refs pass focused tests.</t>
  </si>
  <si>
    <t xml:space="preserve">../test/components/stack/stack.test.tsx</t>
  </si>
  <si>
    <t xml:space="preserve">S-06</t>
  </si>
  <si>
    <t xml:space="preserve">Real-browser axes, exact gaps, alignment, distribution, wrapping, containment, semantics, refs, output, and customization pass.</t>
  </si>
  <si>
    <t xml:space="preserve">tests/components/stack/behavior.spec.ts</t>
  </si>
  <si>
    <t xml:space="preserve">S-07</t>
  </si>
  <si>
    <t xml:space="preserve">Source order, semantic hosts, RTL logic, reflow containment, and axe checks pass without Stack adding roles or names.</t>
  </si>
  <si>
    <t xml:space="preserve">S-08</t>
  </si>
  <si>
    <t xml:space="preserve">Reviewed baselines cover defaults, family directions, gaps, alignment, wrapping, dark appearance, mobile RTL, and forced colors.</t>
  </si>
  <si>
    <t xml:space="preserve">tests/components/stack/visual.spec.ts</t>
  </si>
  <si>
    <t xml:space="preserve">Current Stack playground and visual baselines were reviewed during implementation.</t>
  </si>
  <si>
    <t xml:space="preserve">S-09</t>
  </si>
  <si>
    <t xml:space="preserve">Physical mobile, 200%/400% zoom, constrained wrapping, long content, and RTL remain readable and contained.</t>
  </si>
  <si>
    <t xml:space="preserve">manual-tests/stack.md</t>
  </si>
  <si>
    <t xml:space="preserve">Automated reflow and RTL evidence passes; the human manual run is intentionally pending.</t>
  </si>
  <si>
    <t xml:space="preserve">S-10</t>
  </si>
  <si>
    <t xml:space="preserve">Light, dark, forced-colors, focus-bearing children, and text-spacing stress retain understandable layout.</t>
  </si>
  <si>
    <t xml:space="preserve">manual-tests/stack.md; tests/components/stack/visual.spec.ts</t>
  </si>
  <si>
    <t xml:space="preserve">Automated appearance evidence passes; complete human appearance review is pending.</t>
  </si>
  <si>
    <t xml:space="preserve">S-11</t>
  </si>
  <si>
    <t xml:space="preserve">Every supported semantic host, authored native attribute, DOM order, and rendered-output example match the public contract.</t>
  </si>
  <si>
    <t xml:space="preserve">S-12</t>
  </si>
  <si>
    <t xml:space="preserve">The component-owned manual protocol passes every Stack playground scenario.</t>
  </si>
  <si>
    <t xml:space="preserve">Protocol exists but the owner has deferred the human run.</t>
  </si>
  <si>
    <t xml:space="preserve">S-13</t>
  </si>
  <si>
    <t xml:space="preserve">Source-backed public usage, defaults, recipes, semantics, accessibility, CSS, and API documentation pass component checks.</t>
  </si>
  <si>
    <t xml:space="preserve">../docs/components/stack/README.md</t>
  </si>
  <si>
    <t xml:space="preserve">S-14</t>
  </si>
  <si>
    <t xml:space="preserve">Stack owns a public component changelog and the package changelog records the family addition.</t>
  </si>
  <si>
    <t xml:space="preserve">../docs/components/stack/CHANGELOG.md; ../CHANGELOG.md</t>
  </si>
  <si>
    <t xml:space="preserve">S-15</t>
  </si>
  <si>
    <t xml:space="preserve">HStack / VStack</t>
  </si>
  <si>
    <t xml:space="preserve">The packed Consumer proves realistic content and action composition through the public Stack subpath.</t>
  </si>
  <si>
    <t xml:space="preserve">S-16</t>
  </si>
  <si>
    <t xml:space="preserve">Build, SSR, exports, CSS, tarball, React 18/19, packed Consumer, and playground Stack-adoption checks pass.</t>
  </si>
  <si>
    <t xml:space="preserve">../test/package; ../scripts/verify-package.mjs; ../scripts/verify-consumers.mjs; ../scripts/verify-playground-stack.mjs</t>
  </si>
  <si>
    <t xml:space="preserve">Automated package gates pass; complete status waits for the component-owned human manual run.</t>
  </si>
  <si>
    <t xml:space="preserve">Tooltip Evidence</t>
  </si>
  <si>
    <t xml:space="preserve">../src/components/tooltip</t>
  </si>
  <si>
    <t xml:space="preserve">../test/types/components/tooltip.test.ts</t>
  </si>
  <si>
    <t xml:space="preserve">../src/components/tooltip/tooltip.css</t>
  </si>
  <si>
    <t xml:space="preserve">../test/components/tooltip/tooltip.test.tsx</t>
  </si>
  <si>
    <t xml:space="preserve">tests/components/tooltip/behavior.spec.ts</t>
  </si>
  <si>
    <t xml:space="preserve">tests/components/tooltip/behavior.spec.ts; tests/integration</t>
  </si>
  <si>
    <t xml:space="preserve">tests/components/tooltip/visual.spec.ts</t>
  </si>
  <si>
    <t xml:space="preserve">manual-tests/tooltip.md</t>
  </si>
  <si>
    <t xml:space="preserve">manual-tests/tooltip.md; tests/components/tooltip/behavior.spec.ts</t>
  </si>
  <si>
    <t xml:space="preserve">../docs/components/tooltip/README.md</t>
  </si>
  <si>
    <t xml:space="preserve">../docs/components/tooltip/CHANGELOG.md</t>
  </si>
  <si>
    <t xml:space="preserve">Grid Evidence</t>
  </si>
  <si>
    <t xml:space="preserve">G-01</t>
  </si>
  <si>
    <t xml:space="preserve">Root / Item</t>
  </si>
  <si>
    <t xml:space="preserve">Grid.Root and optional Grid.Item render the approved native hosts, stable hooks, forwarded refs, and authored native attributes.</t>
  </si>
  <si>
    <t xml:space="preserve">../src/components/grid</t>
  </si>
  <si>
    <t xml:space="preserve">G-02</t>
  </si>
  <si>
    <t xml:space="preserve">Root exports and the public Grid subpath expose the frozen compound runtime and all public Grid types.</t>
  </si>
  <si>
    <t xml:space="preserve">G-03</t>
  </si>
  <si>
    <t xml:space="preserve">Closed hosts, explicit and intrinsic modes, gaps, alignment, placement, native props, refs, and invalid combinations type-check.</t>
  </si>
  <si>
    <t xml:space="preserve">../test/types/components/grid.test.ts</t>
  </si>
  <si>
    <t xml:space="preserve">G-04</t>
  </si>
  <si>
    <t xml:space="preserve">Static CSS ships equal and intrinsic tracks, zero-through-six gaps, logical alignment, placement, containment, and public variable overrides.</t>
  </si>
  <si>
    <t xml:space="preserve">../src/components/grid/grid.css; ../src/styles/tokens.tokens.json</t>
  </si>
  <si>
    <t xml:space="preserve">G-05</t>
  </si>
  <si>
    <t xml:space="preserve">Defaults, modes, recipes, placement, semantic hosts, native pass-through, hooks, events, refs, and exclusions pass focused tests.</t>
  </si>
  <si>
    <t xml:space="preserve">../test/components/grid/grid.test.tsx</t>
  </si>
  <si>
    <t xml:space="preserve">G-06</t>
  </si>
  <si>
    <t xml:space="preserve">Real-browser exact columns, intrinsic reflow, gaps, alignment, output, refs, and customization pass across the supported browser matrix.</t>
  </si>
  <si>
    <t xml:space="preserve">tests/components/grid/behavior.spec.ts</t>
  </si>
  <si>
    <t xml:space="preserve">G-07</t>
  </si>
  <si>
    <t xml:space="preserve">Item</t>
  </si>
  <si>
    <t xml:space="preserve">Real-browser spans, line placement, full width, self-alignment, containment, and source order pass across the supported browser matrix.</t>
  </si>
  <si>
    <t xml:space="preserve">G-08</t>
  </si>
  <si>
    <t xml:space="preserve">Authored semantics, DOM and focus order, RTL logic, reflow containment, and axe pass without Grid inventing interactive grid semantics.</t>
  </si>
  <si>
    <t xml:space="preserve">G-09</t>
  </si>
  <si>
    <t xml:space="preserve">Reviewed baselines cover defaults, modes, gaps, placement, dark appearance, mobile RTL, and forced colors.</t>
  </si>
  <si>
    <t xml:space="preserve">tests/components/grid/visual.spec.ts</t>
  </si>
  <si>
    <t xml:space="preserve">Current Grid playground and visual baselines were reviewed during implementation.</t>
  </si>
  <si>
    <t xml:space="preserve">G-10</t>
  </si>
  <si>
    <t xml:space="preserve">Physical mobile, 200%/400% zoom, intrinsic reflow, constrained placement, long content, and RTL remain readable and contained.</t>
  </si>
  <si>
    <t xml:space="preserve">manual-tests/grid.md</t>
  </si>
  <si>
    <t xml:space="preserve">G-11</t>
  </si>
  <si>
    <t xml:space="preserve">Light, dark, forced-colors, focus-bearing children, and text-spacing stress retain understandable layout and source order.</t>
  </si>
  <si>
    <t xml:space="preserve">manual-tests/grid.md; tests/components/grid/visual.spec.ts</t>
  </si>
  <si>
    <t xml:space="preserve">G-12</t>
  </si>
  <si>
    <t xml:space="preserve">Supported semantic hosts, authored attributes, source order, rendered output, slots, and data hooks match the public contract.</t>
  </si>
  <si>
    <t xml:space="preserve">G-13</t>
  </si>
  <si>
    <t xml:space="preserve">The component-owned manual protocol passes every Grid playground scenario.</t>
  </si>
  <si>
    <t xml:space="preserve">G-14</t>
  </si>
  <si>
    <t xml:space="preserve">Source-backed public usage, defaults, modes, placement, semantics, accessibility, CSS, and API documentation pass component checks.</t>
  </si>
  <si>
    <t xml:space="preserve">../docs/components/grid/README.md</t>
  </si>
  <si>
    <t xml:space="preserve">G-15</t>
  </si>
  <si>
    <t xml:space="preserve">Grid owns a public component changelog and the package changelog records the component addition.</t>
  </si>
  <si>
    <t xml:space="preserve">../docs/components/grid/CHANGELOG.md; ../CHANGELOG.md</t>
  </si>
  <si>
    <t xml:space="preserve">G-16</t>
  </si>
  <si>
    <t xml:space="preserve">The packed Consumer proves realistic equal-track composition, intentional item span, and responsive public-variable overrides through the Grid subpath.</t>
  </si>
  <si>
    <t xml:space="preserve">G-17</t>
  </si>
  <si>
    <t xml:space="preserve">Build, SSR, exports, CSS, tarball, React 18/19, packed Consumer, browser matrix, and playground Grid-adoption checks pass.</t>
  </si>
  <si>
    <t xml:space="preserve">../test/package; ../scripts/verify-package.mjs; ../scripts/verify-consumers.mjs; ../scripts/verify-playground-grid.mjs</t>
  </si>
  <si>
    <t xml:space="preserve">Container Evidence</t>
  </si>
  <si>
    <t xml:space="preserve">Assertion-level package, browser, human-review, documentation, Consumer, and playground-boundary evidence.</t>
  </si>
  <si>
    <t xml:space="preserve">Container renders one approved native host with stable hooks, forwarded ref, authored children, and native attributes.</t>
  </si>
  <si>
    <t xml:space="preserve">../src/components/container</t>
  </si>
  <si>
    <t xml:space="preserve">Root exports and the public Container subpath expose the runtime component and every public Container type.</t>
  </si>
  <si>
    <t xml:space="preserve">Closed hosts, measures, gutters, native props, refs, and rejected arbitrary, responsive, viewport, and composition props type-check.</t>
  </si>
  <si>
    <t xml:space="preserve">../test/types/components/container.test.ts</t>
  </si>
  <si>
    <t xml:space="preserve">Static CSS ships border-box fluid sizing, five measures, four logical gutters, centering, containment, and public variable overrides.</t>
  </si>
  <si>
    <t xml:space="preserve">../src/components/container/container.css</t>
  </si>
  <si>
    <t xml:space="preserve">Defaults, every recipe, semantic hosts, one-root anatomy, pass-through, hooks, events, refs, and exclusions pass focused tests.</t>
  </si>
  <si>
    <t xml:space="preserve">../test/components/container/container.test.tsx</t>
  </si>
  <si>
    <t xml:space="preserve">Real-browser maximums, full width, gutters, border-box containment, output, refs, and exact customization pass across the supported matrix.</t>
  </si>
  <si>
    <t xml:space="preserve">tests/components/container/behavior.spec.ts</t>
  </si>
  <si>
    <t xml:space="preserve">Authored semantics, source/focus order, RTL and vertical logical sizing, reflow, focus visibility, and axe pass without invented roles.</t>
  </si>
  <si>
    <t xml:space="preserve">Reviewed baselines cover defaults, measures, gutters, dark customization, narrow RTL, and vertical writing.</t>
  </si>
  <si>
    <t xml:space="preserve">tests/components/container/visual.spec.ts</t>
  </si>
  <si>
    <t xml:space="preserve">Current Container playground and visual baselines were reviewed during implementation.</t>
  </si>
  <si>
    <t xml:space="preserve">Physical mobile, 200%/400% zoom, 320/256 CSS-pixel reflow, long content, RTL, and vertical writing remain usable and contained.</t>
  </si>
  <si>
    <t xml:space="preserve">manual-tests/container.md</t>
  </si>
  <si>
    <t xml:space="preserve">Automated reflow evidence passes; the human manual run is intentionally pending.</t>
  </si>
  <si>
    <t xml:space="preserve">Light, dark, forced colors, text spacing, and focus-bearing descendants preserve geometry and visibility.</t>
  </si>
  <si>
    <t xml:space="preserve">manual-tests/container.md; tests/components/container/visual.spec.ts</t>
  </si>
  <si>
    <t xml:space="preserve">Supported semantic hosts, authored attributes, one-root output, slot, measure, and gutter hooks match the public contract.</t>
  </si>
  <si>
    <t xml:space="preserve">The component-owned manual protocol passes every Container playground scenario.</t>
  </si>
  <si>
    <t xml:space="preserve">Protocol exists; the owner deferred the human run.</t>
  </si>
  <si>
    <t xml:space="preserve">Source-backed usage, defaults, geometry, semantics, accessibility, composition, CSS, customization, and API documentation pass checks.</t>
  </si>
  <si>
    <t xml:space="preserve">../docs/components/container/README.md</t>
  </si>
  <si>
    <t xml:space="preserve">Container owns a public component changelog and the package changelog records the component addition.</t>
  </si>
  <si>
    <t xml:space="preserve">../docs/components/container/CHANGELOG.md; ../CHANGELOG.md</t>
  </si>
  <si>
    <t xml:space="preserve">The packed Consumer proves the public Container subpath as a realistic page boundary containing Stack and Grid with responsive gutters.</t>
  </si>
  <si>
    <t xml:space="preserve">Shared main, header, scenario navigation, route-content, and footer boundaries use Container while App Bar and component-specific constraints remain excluded.</t>
  </si>
  <si>
    <t xml:space="preserve">../playground/src/shell/PlaygroundShell.tsx; ../scripts/verify-playground-container.mjs</t>
  </si>
  <si>
    <t xml:space="preserve">C-17</t>
  </si>
  <si>
    <t xml:space="preserve">Build, SSR, exports, CSS, tarball, React 18/19, packed Consumer, browser matrix, and Container-adoption checks pass.</t>
  </si>
  <si>
    <t xml:space="preserve">../test/package; ../scripts/verify-package.mjs; ../scripts/verify-consumers.mjs; ../scripts/verify-playground-container.mjs</t>
  </si>
  <si>
    <t xml:space="preserve">Surface Evidence</t>
  </si>
  <si>
    <t xml:space="preserve">Assertion-level package, browser, human-review, documentation, Consumer, and playground-ownership evidence.</t>
  </si>
  <si>
    <t xml:space="preserve">Surface renders one approved semantic host with stable hooks, forwarded ref, authored children, and native attributes.</t>
  </si>
  <si>
    <t xml:space="preserve">../src/components/surface</t>
  </si>
  <si>
    <t xml:space="preserve">Root exports and the public Surface subpath expose the runtime component and every public Surface type.</t>
  </si>
  <si>
    <t xml:space="preserve">Closed semantic hosts, levels, elevations, radii, insets, native props, refs, and rejected composition props type-check.</t>
  </si>
  <si>
    <t xml:space="preserve">../test/types/components/surface.test.ts</t>
  </si>
  <si>
    <t xml:space="preserve">Static CSS ships semantic levels, independent border, elevation, radius, inset, forced-color handling, and public variable overrides.</t>
  </si>
  <si>
    <t xml:space="preserve">../src/components/surface/surface.css</t>
  </si>
  <si>
    <t xml:space="preserve">Defaults, every recipe, semantic hosts, pass-through, hooks, events, refs, and exclusions pass focused tests.</t>
  </si>
  <si>
    <t xml:space="preserve">../test/components/surface/surface.test.tsx</t>
  </si>
  <si>
    <t xml:space="preserve">Real-browser levels, borders, elevations, radii, insets, nesting, semantic output, refs, and exact customization pass.</t>
  </si>
  <si>
    <t xml:space="preserve">tests/components/surface/behavior.spec.ts</t>
  </si>
  <si>
    <t xml:space="preserve">Authored semantics, focus-bearing descendants, RTL/reflow containment, and axe pass without invented roles or interaction.</t>
  </si>
  <si>
    <t xml:space="preserve">Reviewed baselines cover defaults, levels, borders, elevation, inset, nesting, dark customization, mobile RTL, and forced colors.</t>
  </si>
  <si>
    <t xml:space="preserve">tests/components/surface/visual.spec.ts</t>
  </si>
  <si>
    <t xml:space="preserve">Current Surface playground and visual baselines were reviewed during implementation.</t>
  </si>
  <si>
    <t xml:space="preserve">Physical mobile, 200%/400% zoom, constrained content, long copy, nesting, and RTL remain readable and contained.</t>
  </si>
  <si>
    <t xml:space="preserve">manual-tests/surface.md</t>
  </si>
  <si>
    <t xml:space="preserve">Light, dark, forced colors, text spacing, and focus-bearing descendants preserve boundaries, hierarchy, and contrast.</t>
  </si>
  <si>
    <t xml:space="preserve">manual-tests/surface.md; tests/components/surface/visual.spec.ts</t>
  </si>
  <si>
    <t xml:space="preserve">Supported semantic hosts, authored attributes, one-root output, slot, and recipe hooks match the public contract.</t>
  </si>
  <si>
    <t xml:space="preserve">The component-owned manual protocol passes every Surface playground scenario.</t>
  </si>
  <si>
    <t xml:space="preserve">Source-backed usage, defaults, recipes, semantics, accessibility, composition, CSS, customization, and API documentation pass checks.</t>
  </si>
  <si>
    <t xml:space="preserve">../docs/components/surface/README.md</t>
  </si>
  <si>
    <t xml:space="preserve">Surface owns a public component changelog and the package changelog records the component addition.</t>
  </si>
  <si>
    <t xml:space="preserve">../docs/components/surface/CHANGELOG.md; ../CHANGELOG.md</t>
  </si>
  <si>
    <t xml:space="preserve">The packed Consumer proves the public Surface subpath as a realistic painted workspace region with independent layout ownership.</t>
  </si>
  <si>
    <t xml:space="preserve">Shared generic evidence regions use Surface while component paint, diagnostics, layout, overlays, and native evidence retain their classified owners.</t>
  </si>
  <si>
    <t xml:space="preserve">../playground/docs/surface-adoption-audit.md; ../scripts/verify-playground-surface.mjs</t>
  </si>
  <si>
    <t xml:space="preserve">S-17</t>
  </si>
  <si>
    <t xml:space="preserve">Build, SSR, exports, CSS, tarball, React 18/19, packed Consumer, browser matrix, and Surface-adoption checks pass.</t>
  </si>
  <si>
    <t xml:space="preserve">../test/package; ../scripts/verify-package.mjs; ../scripts/verify-consumers.mjs; ../scripts/verify-playground-surface.mjs</t>
  </si>
  <si>
    <t xml:space="preserve">Divider Evidence</t>
  </si>
  <si>
    <t xml:space="preserve">Assertion-level Atom-backed package, browser, human-review, documentation, Consumer, and adoption evidence.</t>
  </si>
  <si>
    <t xml:space="preserve">Divider renders the adopted Atom-backed line, labeled anatomy, and composed-root mode with stable hooks and forwarded refs.</t>
  </si>
  <si>
    <t xml:space="preserve">../src/components/divider</t>
  </si>
  <si>
    <t xml:space="preserve">Root exports and the public Divider subpath expose the runtime component and every public Divider type.</t>
  </si>
  <si>
    <t xml:space="preserve">Line, label, composition, orientation, recipe, native attribute, ref, and invalid combination contracts type-check.</t>
  </si>
  <si>
    <t xml:space="preserve">../test/types/components/divider.test.ts</t>
  </si>
  <si>
    <t xml:space="preserve">Static CSS ships logical horizontal/vertical geometry, variants, thickness, inset, labels, stretch, RTL, and forced-color handling.</t>
  </si>
  <si>
    <t xml:space="preserve">../src/components/divider/divider.css</t>
  </si>
  <si>
    <t xml:space="preserve">Defaults, semantic ownership, every recipe, labeled anatomy, composition, pass-through, hooks, refs, and exclusions pass focused tests.</t>
  </si>
  <si>
    <t xml:space="preserve">../test/components/divider/divider.test.tsx</t>
  </si>
  <si>
    <t xml:space="preserve">Real-browser orientation, variants, thickness, inset, labels, stretch, output, refs, customization, RTL, and reflow pass.</t>
  </si>
  <si>
    <t xml:space="preserve">tests/components/divider/behavior.spec.ts</t>
  </si>
  <si>
    <t xml:space="preserve">Decorative and semantic separators, labeling, source order, RTL/reflow containment, focus visibility, and axe pass without splitter behavior.</t>
  </si>
  <si>
    <t xml:space="preserve">Reviewed baselines cover defaults, orientation, variants, thickness, labels, dark customization, mobile RTL, and forced colors.</t>
  </si>
  <si>
    <t xml:space="preserve">tests/components/divider/visual.spec.ts</t>
  </si>
  <si>
    <t xml:space="preserve">Current Divider mobile/RTL, forced-color, and complete visual baselines were reviewed during implementation.</t>
  </si>
  <si>
    <t xml:space="preserve">Physical mobile, 200%/400% zoom, long labels, constrained width, vertical stretch, and RTL remain readable and contained.</t>
  </si>
  <si>
    <t xml:space="preserve">manual-tests/divider.md</t>
  </si>
  <si>
    <t xml:space="preserve">Light, dark, forced colors, text spacing, and customized separators retain visible structural boundaries.</t>
  </si>
  <si>
    <t xml:space="preserve">manual-tests/divider.md; tests/components/divider/visual.spec.ts</t>
  </si>
  <si>
    <t xml:space="preserve">Decorative, semantic, labeled, horizontal, vertical, and composed output match the Atom-first public contract.</t>
  </si>
  <si>
    <t xml:space="preserve">The component-owned manual protocol passes every Divider playground scenario.</t>
  </si>
  <si>
    <t xml:space="preserve">Source-backed usage, defaults, recipes, labels, semantics, accessibility, composition, CSS, customization, and API documentation pass checks.</t>
  </si>
  <si>
    <t xml:space="preserve">../docs/components/divider/README.md</t>
  </si>
  <si>
    <t xml:space="preserve">Divider owns a public component changelog and the package changelog records the component addition.</t>
  </si>
  <si>
    <t xml:space="preserve">../docs/components/divider/CHANGELOG.md; ../CHANGELOG.md</t>
  </si>
  <si>
    <t xml:space="preserve">The packed Consumer proves the public Divider subpath as a semantic workspace break between adjacent content groups.</t>
  </si>
  <si>
    <t xml:space="preserve">Divider replaces authored separator concepts while component edges, focus, diagnostics, shell chrome, and Surface boundaries retain their owners.</t>
  </si>
  <si>
    <t xml:space="preserve">../playground/docs/divider-adoption-audit.md; ../scripts/verify-playground-divider.mjs</t>
  </si>
  <si>
    <t xml:space="preserve">D-17</t>
  </si>
  <si>
    <t xml:space="preserve">Build, SSR, exports, CSS, tarball, React 18/19, packed Consumer, browser matrix, and Divider-adoption checks pass.</t>
  </si>
  <si>
    <t xml:space="preserve">../test/package; ../scripts/verify-package.mjs; ../scripts/verify-consumers.mjs; ../scripts/verify-playground-divider.mjs</t>
  </si>
  <si>
    <t xml:space="preserve">Scroll Area Evidence</t>
  </si>
  <si>
    <t xml:space="preserve">Assertion-level Atom-backed package, browser, human-review, documentation, Consumer, visibility, and adoption evidence.</t>
  </si>
  <si>
    <t xml:space="preserve">SA-01</t>
  </si>
  <si>
    <t xml:space="preserve">Scroll Area renders Atom-backed Root and Viewport anatomy with forwarded refs and stable hooks.</t>
  </si>
  <si>
    <t xml:space="preserve">../src/components/scroll-area</t>
  </si>
  <si>
    <t xml:space="preserve">SA-02</t>
  </si>
  <si>
    <t xml:space="preserve">Root exports and the Scroll Area subpath expose the compound runtime and every public type.</t>
  </si>
  <si>
    <t xml:space="preserve">SA-03</t>
  </si>
  <si>
    <t xml:space="preserve">Orientation, gutter, visibility, composition, native props, and ref contracts type-check.</t>
  </si>
  <si>
    <t xml:space="preserve">../test/types/components/scroll-area.test.ts</t>
  </si>
  <si>
    <t xml:space="preserve">SA-04</t>
  </si>
  <si>
    <t xml:space="preserve">Static CSS ships axis ownership, gutter, visibility, focus, semantic colors, and forced-color behavior.</t>
  </si>
  <si>
    <t xml:space="preserve">../src/components/scroll-area/scroll-area.css</t>
  </si>
  <si>
    <t xml:space="preserve">SA-05</t>
  </si>
  <si>
    <t xml:space="preserve">Defaults, all closed recipes, semantics, forwarding, refs, and composition pass focused tests.</t>
  </si>
  <si>
    <t xml:space="preserve">../test/components/scroll-area/scroll-area.test.tsx</t>
  </si>
  <si>
    <t xml:space="preserve">SA-06</t>
  </si>
  <si>
    <t xml:space="preserve">Native vertical and horizontal movement, gutter, visibility, composition, refs, and reflow pass.</t>
  </si>
  <si>
    <t xml:space="preserve">tests/components/scroll-area/behavior.spec.ts</t>
  </si>
  <si>
    <t xml:space="preserve">SA-07</t>
  </si>
  <si>
    <t xml:space="preserve">Named focusable content, descendant reachability, focus visibility, containment, and axe pass.</t>
  </si>
  <si>
    <t xml:space="preserve">SA-08</t>
  </si>
  <si>
    <t xml:space="preserve">Baselines cover defaults, axes, gutter, visibility, dark appearance, mobile RTL, and forced colors.</t>
  </si>
  <si>
    <t xml:space="preserve">tests/components/scroll-area/visual.spec.ts</t>
  </si>
  <si>
    <t xml:space="preserve">Current Scroll Area visual baselines were reviewed during implementation.</t>
  </si>
  <si>
    <t xml:space="preserve">SA-09</t>
  </si>
  <si>
    <t xml:space="preserve">Physical mobile, zoom, RTL, writing mode, touch, and nested scroll handoff remain readable and usable.</t>
  </si>
  <si>
    <t xml:space="preserve">manual-tests/scroll-area.md</t>
  </si>
  <si>
    <t xml:space="preserve">SA-10</t>
  </si>
  <si>
    <t xml:space="preserve">Light, dark, forced colors, interaction visibility, focus, and customized scrollbars remain visible.</t>
  </si>
  <si>
    <t xml:space="preserve">manual-tests/scroll-area.md; tests/components/scroll-area/visual.spec.ts</t>
  </si>
  <si>
    <t xml:space="preserve">SA-11</t>
  </si>
  <si>
    <t xml:space="preserve">Plain content opts into a named region while interactive descendants avoid a redundant viewport stop.</t>
  </si>
  <si>
    <t xml:space="preserve">SA-12</t>
  </si>
  <si>
    <t xml:space="preserve">The component-owned protocol passes every Scroll Area playground scenario.</t>
  </si>
  <si>
    <t xml:space="preserve">SA-13</t>
  </si>
  <si>
    <t xml:space="preserve">Source-backed usage, defaults, axes, visibility, semantics, accessibility, composition, and API docs pass.</t>
  </si>
  <si>
    <t xml:space="preserve">../docs/components/scroll-area/README.md</t>
  </si>
  <si>
    <t xml:space="preserve">SA-14</t>
  </si>
  <si>
    <t xml:space="preserve">Scroll Area owns a public changelog and the package changelog records its addition.</t>
  </si>
  <si>
    <t xml:space="preserve">../docs/components/scroll-area/CHANGELOG.md; ../CHANGELOG.md</t>
  </si>
  <si>
    <t xml:space="preserve">SA-15</t>
  </si>
  <si>
    <t xml:space="preserve">The packed Consumer proves the public subpath in a constrained native recent-activity region.</t>
  </si>
  <si>
    <t xml:space="preserve">SA-16</t>
  </si>
  <si>
    <t xml:space="preserve">Intentional shell and fixture scrolling adopt Scroll Area while clipping, diagnostics, and code retain owners.</t>
  </si>
  <si>
    <t xml:space="preserve">../playground/docs/scroll-area-adoption-audit.md; ../scripts/verify-playground-scroll-area.mjs</t>
  </si>
  <si>
    <t xml:space="preserve">SA-17</t>
  </si>
  <si>
    <t xml:space="preserve">Build, SSR, exports, CSS, tarball, consumers, browser matrix, and adoption checks pass.</t>
  </si>
  <si>
    <t xml:space="preserve">../test/package; ../scripts/verify-consumers.mjs; ../scripts/verify-playground-scroll-area.mjs</t>
  </si>
  <si>
    <t xml:space="preserve">Automated package gates pass; complete status waits for the human manual run.</t>
  </si>
  <si>
    <t xml:space="preserve">Code Evidence</t>
  </si>
  <si>
    <t xml:space="preserve">Assertion-level inline semantics, recipes, browser, human-review, documentation, Consumer, and adoption evidence.</t>
  </si>
  <si>
    <t xml:space="preserve">CO-01</t>
  </si>
  <si>
    <t xml:space="preserve">Native code host, refs, slots, classes, styles, and closed recipes render from one server-safe component.</t>
  </si>
  <si>
    <t xml:space="preserve">../src/components/code</t>
  </si>
  <si>
    <t xml:space="preserve">CO-02</t>
  </si>
  <si>
    <t xml:space="preserve">Root and Code subpath exports expose the runtime and every public type.</t>
  </si>
  <si>
    <t xml:space="preserve">CO-03</t>
  </si>
  <si>
    <t xml:space="preserve">Recipes, native attributes, content, and HTMLElement ref contracts type-check.</t>
  </si>
  <si>
    <t xml:space="preserve">../test/types/components/code.test.ts</t>
  </si>
  <si>
    <t xml:space="preserve">CO-04</t>
  </si>
  <si>
    <t xml:space="preserve">Static CSS ships inline recipes, wrapping, forced colors, and public variables.</t>
  </si>
  <si>
    <t xml:space="preserve">../src/components/code/code.css</t>
  </si>
  <si>
    <t xml:space="preserve">CO-05</t>
  </si>
  <si>
    <t xml:space="preserve">Defaults, recipes, native forwarding, ref, events, and semantic host pass focused tests.</t>
  </si>
  <si>
    <t xml:space="preserve">../test/components/code/code.test.tsx</t>
  </si>
  <si>
    <t xml:space="preserve">CO-06</t>
  </si>
  <si>
    <t xml:space="preserve">Inline context, native output, wrapping, RTL, zoom, and focus neutrality pass.</t>
  </si>
  <si>
    <t xml:space="preserve">tests/components/code/behavior.spec.ts</t>
  </si>
  <si>
    <t xml:space="preserve">CO-07</t>
  </si>
  <si>
    <t xml:space="preserve">Native semantics, meaningful prose context, text spacing, and axe remain correct.</t>
  </si>
  <si>
    <t xml:space="preserve">CO-08</t>
  </si>
  <si>
    <t xml:space="preserve">Defaults, recipes, appearances, customization, narrow layout, and RTL own baselines.</t>
  </si>
  <si>
    <t xml:space="preserve">tests/components/code/visual.spec.ts</t>
  </si>
  <si>
    <t xml:space="preserve">Human snapshot review is pending.</t>
  </si>
  <si>
    <t xml:space="preserve">CO-09</t>
  </si>
  <si>
    <t xml:space="preserve">Long literals, narrow widths, RTL prose, zoom, and text spacing remain readable.</t>
  </si>
  <si>
    <t xml:space="preserve">manual-tests/code.md</t>
  </si>
  <si>
    <t xml:space="preserve">Protocol exists; human run is pending.</t>
  </si>
  <si>
    <t xml:space="preserve">CO-10</t>
  </si>
  <si>
    <t xml:space="preserve">The component-owned protocol covers every Code playground scenario.</t>
  </si>
  <si>
    <t xml:space="preserve">CO-11</t>
  </si>
  <si>
    <t xml:space="preserve">Source-backed usage, recipes, semantics, API, tokens, and exclusions pass.</t>
  </si>
  <si>
    <t xml:space="preserve">../docs/components/code/README.md</t>
  </si>
  <si>
    <t xml:space="preserve">CO-12</t>
  </si>
  <si>
    <t xml:space="preserve">Code owns a public changelog and the package changelog records its addition.</t>
  </si>
  <si>
    <t xml:space="preserve">../docs/components/code/CHANGELOG.md; ../CHANGELOG.md</t>
  </si>
  <si>
    <t xml:space="preserve">CO-13</t>
  </si>
  <si>
    <t xml:space="preserve">The packed Consumer proves the public subpath in realistic prose.</t>
  </si>
  <si>
    <t xml:space="preserve">CO-14</t>
  </si>
  <si>
    <t xml:space="preserve">Inline technical displays adopt Code and raw code hosts are rejected.</t>
  </si>
  <si>
    <t xml:space="preserve">docs/code-adoption-audit.md; ../scripts/verify-playground-code.mjs</t>
  </si>
  <si>
    <t xml:space="preserve">CO-15</t>
  </si>
  <si>
    <t xml:space="preserve">Automated and human release gates are pending.</t>
  </si>
  <si>
    <t xml:space="preserve">Code Block Evidence</t>
  </si>
  <si>
    <t xml:space="preserve">Assertion-level compound source, Clipboard, overflow, browser, human-review, documentation, Consumer, and adoption evidence.</t>
  </si>
  <si>
    <t xml:space="preserve">CB-01</t>
  </si>
  <si>
    <t xml:space="preserve">Root and anatomy</t>
  </si>
  <si>
    <t xml:space="preserve">Atom Clipboard Root plus Header, Title, Language, Actions, Content, and copy parts compose correctly.</t>
  </si>
  <si>
    <t xml:space="preserve">../src/components/code-block</t>
  </si>
  <si>
    <t xml:space="preserve">CB-02</t>
  </si>
  <si>
    <t xml:space="preserve">Content</t>
  </si>
  <si>
    <t xml:space="preserve">Content composes one Scroll Area viewport and canonical pre &gt; Brick Code markup.</t>
  </si>
  <si>
    <t xml:space="preserve">../test/components/code-block/code-block.test.tsx</t>
  </si>
  <si>
    <t xml:space="preserve">CB-03</t>
  </si>
  <si>
    <t xml:space="preserve">Clipboard</t>
  </si>
  <si>
    <t xml:space="preserve">Copy parts</t>
  </si>
  <si>
    <t xml:space="preserve">CopyTrigger, indicators, status, pending, success, failure, timeout, and disabled state use Atom Clipboard.</t>
  </si>
  <si>
    <t xml:space="preserve">CB-04</t>
  </si>
  <si>
    <t xml:space="preserve">Root and Code Block subpath exports expose the compound runtime and every public type.</t>
  </si>
  <si>
    <t xml:space="preserve">CB-05</t>
  </si>
  <si>
    <t xml:space="preserve">Anatomy, recipes, wrap policy, Clipboard props, native props, and refs type-check.</t>
  </si>
  <si>
    <t xml:space="preserve">../test/types/components/code-block.test.ts</t>
  </si>
  <si>
    <t xml:space="preserve">CB-06</t>
  </si>
  <si>
    <t xml:space="preserve">Static CSS ships surfaces, density, overflow, wrapping, selection, focus, forced colors, and tokens.</t>
  </si>
  <si>
    <t xml:space="preserve">../src/components/code-block/code-block.css</t>
  </si>
  <si>
    <t xml:space="preserve">CB-07</t>
  </si>
  <si>
    <t xml:space="preserve">Overflow, wrap, copy outcomes, focus retention, disabled state, RTL, and reflow pass.</t>
  </si>
  <si>
    <t xml:space="preserve">tests/components/code-block/behavior.spec.ts</t>
  </si>
  <si>
    <t xml:space="preserve">CB-08</t>
  </si>
  <si>
    <t xml:space="preserve">Content and copy</t>
  </si>
  <si>
    <t xml:space="preserve">Named scroll content, truthful live feedback, keyboard reachability, and axe pass.</t>
  </si>
  <si>
    <t xml:space="preserve">CB-09</t>
  </si>
  <si>
    <t xml:space="preserve">Defaults, recipes, anatomy, content, overflow, copy, appearances, mobile, and RTL own baselines.</t>
  </si>
  <si>
    <t xml:space="preserve">tests/components/code-block/visual.spec.ts</t>
  </si>
  <si>
    <t xml:space="preserve">CB-10</t>
  </si>
  <si>
    <t xml:space="preserve">Mobile, zoom, long lines, many lines, RTL chrome, LTR source, and selection remain usable.</t>
  </si>
  <si>
    <t xml:space="preserve">manual-tests/code-block.md</t>
  </si>
  <si>
    <t xml:space="preserve">CB-11</t>
  </si>
  <si>
    <t xml:space="preserve">The component-owned protocol covers every Code Block playground scenario.</t>
  </si>
  <si>
    <t xml:space="preserve">CB-12</t>
  </si>
  <si>
    <t xml:space="preserve">Source-backed anatomy, copy ownership, highlighting boundary, accessibility, API, and tokens pass.</t>
  </si>
  <si>
    <t xml:space="preserve">../docs/components/code-block/README.md</t>
  </si>
  <si>
    <t xml:space="preserve">CB-13</t>
  </si>
  <si>
    <t xml:space="preserve">Code Block owns a public changelog and the package changelog records its addition.</t>
  </si>
  <si>
    <t xml:space="preserve">../docs/components/code-block/CHANGELOG.md; ../CHANGELOG.md</t>
  </si>
  <si>
    <t xml:space="preserve">CB-14</t>
  </si>
  <si>
    <t xml:space="preserve">The packed Consumer proves public subpath anatomy, native source, and copy action.</t>
  </si>
  <si>
    <t xml:space="preserve">CB-15</t>
  </si>
  <si>
    <t xml:space="preserve">Structured technical displays adopt Code Block with no raw pre/code hosts.</t>
  </si>
  <si>
    <t xml:space="preserve">CB-16</t>
  </si>
  <si>
    <t xml:space="preserve">Build, SSR, exports, CSS, Atom dependency, tarball, consumers, browser matrix, and adoption pass.</t>
  </si>
  <si>
    <t xml:space="preserve">Nav List Evidence</t>
  </si>
  <si>
    <t xml:space="preserve">Assertion-level Atom anatomy, recipes, disclosure, browser, human-review, documentation, Consumer, and adoption evidence.</t>
  </si>
  <si>
    <t xml:space="preserve">NL-01</t>
  </si>
  <si>
    <t xml:space="preserve">Root, List, Item, Link, Section, SectionLabel, SectionTrigger, and SectionContent compose correctly.</t>
  </si>
  <si>
    <t xml:space="preserve">automated</t>
  </si>
  <si>
    <t xml:space="preserve">NL-02</t>
  </si>
  <si>
    <t xml:space="preserve">Recipes</t>
  </si>
  <si>
    <t xml:space="preserve">Soft, solid, and outline; accent and neutral; small, medium, and large preserve declared defaults.</t>
  </si>
  <si>
    <t xml:space="preserve">NL-03</t>
  </si>
  <si>
    <t xml:space="preserve">Leading content, trailing content, descriptions, current, disabled, and composition remain aligned and semantic.</t>
  </si>
  <si>
    <t xml:space="preserve">NL-04</t>
  </si>
  <si>
    <t xml:space="preserve">Sections</t>
  </si>
  <si>
    <t xml:space="preserve">Disclosure</t>
  </si>
  <si>
    <t xml:space="preserve">Labeled, controlled, uncontrolled, disabled, and non-collapsible sections preserve Atom relationships.</t>
  </si>
  <si>
    <t xml:space="preserve">NL-05</t>
  </si>
  <si>
    <t xml:space="preserve">Root and Nav List subpath exports expose the compound runtime and every public type.</t>
  </si>
  <si>
    <t xml:space="preserve">NL-06</t>
  </si>
  <si>
    <t xml:space="preserve">Anatomy, recipes, native props, composition, and refs type-check.</t>
  </si>
  <si>
    <t xml:space="preserve">NL-07</t>
  </si>
  <si>
    <t xml:space="preserve">Static CSS ships state, orientation, focus, forced-colors, logical layout, and public tokens.</t>
  </si>
  <si>
    <t xml:space="preserve">NL-08</t>
  </si>
  <si>
    <t xml:space="preserve">Defaults, disclosure, disabled state, composition, horizontal wrapping, and RTL pass.</t>
  </si>
  <si>
    <t xml:space="preserve">NL-09</t>
  </si>
  <si>
    <t xml:space="preserve">Navigation anatomy</t>
  </si>
  <si>
    <t xml:space="preserve">Names, lists, current state, disabled state, disclosure relationships, keyboard use, and axe pass.</t>
  </si>
  <si>
    <t xml:space="preserve">NL-10</t>
  </si>
  <si>
    <t xml:space="preserve">Defaults, recipes, content, sections, output, appearances, mobile, RTL, and forced colors own baselines.</t>
  </si>
  <si>
    <t xml:space="preserve">NL-11</t>
  </si>
  <si>
    <t xml:space="preserve">The component-owned protocol covers every Nav List playground scenario.</t>
  </si>
  <si>
    <t xml:space="preserve">not run</t>
  </si>
  <si>
    <t xml:space="preserve">NL-12</t>
  </si>
  <si>
    <t xml:space="preserve">Source-backed ownership, anatomy, accessibility, API, CSS, and examples pass the documentation contract.</t>
  </si>
  <si>
    <t xml:space="preserve">NL-13</t>
  </si>
  <si>
    <t xml:space="preserve">Nav List owns a public changelog and the package changelog records its addition.</t>
  </si>
  <si>
    <t xml:space="preserve">NL-14</t>
  </si>
  <si>
    <t xml:space="preserve">The packed Consumer proves the public subpath in realistic workspace navigation.</t>
  </si>
  <si>
    <t xml:space="preserve">NL-15</t>
  </si>
  <si>
    <t xml:space="preserve">The route covers all approved scenarios and the shell adopts public Nav List anatomy.</t>
  </si>
  <si>
    <t xml:space="preserve">NL-16</t>
  </si>
  <si>
    <t xml:space="preserve">Sidebar Evidence</t>
  </si>
  <si>
    <t xml:space="preserve">Assertion-level Atom anatomy, app-shell geometry, recipes, states, browser, human-review, documentation, Consumer, and adoption evidence.</t>
  </si>
  <si>
    <t xml:space="preserve">SB-01</t>
  </si>
  <si>
    <t xml:space="preserve">Seven parts</t>
  </si>
  <si>
    <t xml:space="preserve">Root, Trigger, Panel, Header, Content, Footer, and Main compose with exact Atom and Brick ownership.</t>
  </si>
  <si>
    <t xml:space="preserve">../src/components/sidebar</t>
  </si>
  <si>
    <t xml:space="preserve">SB-02</t>
  </si>
  <si>
    <t xml:space="preserve">State</t>
  </si>
  <si>
    <t xml:space="preserve">Controlled/uncontrolled expanded, rail, offcanvas, targets, side, and disabled state preserve Atom 0.8.0.</t>
  </si>
  <si>
    <t xml:space="preserve">../test/components/sidebar/sidebar.test.tsx</t>
  </si>
  <si>
    <t xml:space="preserve">SB-03</t>
  </si>
  <si>
    <t xml:space="preserve">Root and Panel</t>
  </si>
  <si>
    <t xml:space="preserve">Docked/floating, small/medium/large, and static/sticky preserve declared defaults and geometry.</t>
  </si>
  <si>
    <t xml:space="preserve">../playground/tests/components/sidebar/behavior.spec.ts</t>
  </si>
  <si>
    <t xml:space="preserve">SB-04</t>
  </si>
  <si>
    <t xml:space="preserve">Trigger and Panel</t>
  </si>
  <si>
    <t xml:space="preserve">Generated relationships, native activation, disabled state, inert offcanvas content, landmarks, and rail names pass.</t>
  </si>
  <si>
    <t xml:space="preserve">SB-05</t>
  </si>
  <si>
    <t xml:space="preserve">All parts</t>
  </si>
  <si>
    <t xml:space="preserve">Native props, refs, render, asChild, classes, styles, and slot overrides preserve output.</t>
  </si>
  <si>
    <t xml:space="preserve">SB-06</t>
  </si>
  <si>
    <t xml:space="preserve">Root and Sidebar subpath exports expose runtime and public types.</t>
  </si>
  <si>
    <t xml:space="preserve">SB-07</t>
  </si>
  <si>
    <t xml:space="preserve">Recipes, Atom props, refs, composition, and Root size collision type-check.</t>
  </si>
  <si>
    <t xml:space="preserve">../test/types/components/sidebar.test.ts</t>
  </si>
  <si>
    <t xml:space="preserve">SB-08</t>
  </si>
  <si>
    <t xml:space="preserve">Static CSS ships state/side geometry, regions, focus, motion preferences, forced colors, and public variables.</t>
  </si>
  <si>
    <t xml:space="preserve">../src/components/sidebar/sidebar.css</t>
  </si>
  <si>
    <t xml:space="preserve">SB-09</t>
  </si>
  <si>
    <t xml:space="preserve">Defaults, states, variants, sizes, placement, regions, behavior, appearance, stress, and forced colors own reviewed baselines.</t>
  </si>
  <si>
    <t xml:space="preserve">../playground/tests/components/sidebar/visual.spec.ts</t>
  </si>
  <si>
    <t xml:space="preserve">Human run pending.</t>
  </si>
  <si>
    <t xml:space="preserve">SB-10</t>
  </si>
  <si>
    <t xml:space="preserve">Main containment, zero offcanvas track, right placement, sticky height, narrow floating, low height, zoom, and reduced motion remain usable.</t>
  </si>
  <si>
    <t xml:space="preserve">../playground/manual-tests/sidebar.md</t>
  </si>
  <si>
    <t xml:space="preserve">SB-11</t>
  </si>
  <si>
    <t xml:space="preserve">The component-owned protocol covers every Sidebar playground scenario.</t>
  </si>
  <si>
    <t xml:space="preserve">SB-12</t>
  </si>
  <si>
    <t xml:space="preserve">Source-backed ownership, anatomy, states, recipes, Drawer boundary, accessibility, API, and tokens pass.</t>
  </si>
  <si>
    <t xml:space="preserve">../docs/components/sidebar/README.md</t>
  </si>
  <si>
    <t xml:space="preserve">SB-13</t>
  </si>
  <si>
    <t xml:space="preserve">Sidebar owns a public changelog and package changelog entry.</t>
  </si>
  <si>
    <t xml:space="preserve">../docs/components/sidebar/CHANGELOG.md; ../CHANGELOG.md</t>
  </si>
  <si>
    <t xml:space="preserve">SB-14</t>
  </si>
  <si>
    <t xml:space="preserve">The packed Consumer proves public Sidebar with Nav List and an external Trigger.</t>
  </si>
  <si>
    <t xml:space="preserve">SB-15</t>
  </si>
  <si>
    <t xml:space="preserve">Adoption</t>
  </si>
  <si>
    <t xml:space="preserve">The route covers all scenarios and desktop shell adopts Sidebar while mobile Drawer policy remains application-owned.</t>
  </si>
  <si>
    <t xml:space="preserve">adoption</t>
  </si>
  <si>
    <t xml:space="preserve">../scripts/verify-playground-sidebar.mjs</t>
  </si>
  <si>
    <t xml:space="preserve">SB-16</t>
  </si>
  <si>
    <t xml:space="preserve">Icon Evidence</t>
  </si>
  <si>
    <t xml:space="preserve">Assertion-level SVG presentation, accessibility, recipes, browser, human-review, documentation, Consumer, and scoped adoption evidence.</t>
  </si>
  <si>
    <t xml:space="preserve">IC-01</t>
  </si>
  <si>
    <t xml:space="preserve">Default wrapper and SVG-only asChild composition preserve one source graphic with deterministic props and ref.</t>
  </si>
  <si>
    <t xml:space="preserve">../src/components/icon</t>
  </si>
  <si>
    <t xml:space="preserve">IC-02</t>
  </si>
  <si>
    <t xml:space="preserve">Decorative default, direct label, and label-reference modes emit mutually exclusive native image semantics.</t>
  </si>
  <si>
    <t xml:space="preserve">../test/components/icon/icon.test.tsx</t>
  </si>
  <si>
    <t xml:space="preserve">IC-03</t>
  </si>
  <si>
    <t xml:space="preserve">Six sizes, nine semantic tones, default medium inherited presentation, and currentColor remain exact.</t>
  </si>
  <si>
    <t xml:space="preserve">../playground/tests/components/icon/behavior.spec.ts</t>
  </si>
  <si>
    <t xml:space="preserve">IC-04</t>
  </si>
  <si>
    <t xml:space="preserve">Direction</t>
  </si>
  <si>
    <t xml:space="preserve">Only directional icons mirror in genuine RTL; non-directional sources retain identity.</t>
  </si>
  <si>
    <t xml:space="preserve">IC-05</t>
  </si>
  <si>
    <t xml:space="preserve">Sources</t>
  </si>
  <si>
    <t xml:space="preserve">Graphic</t>
  </si>
  <si>
    <t xml:space="preserve">Inline, reusable React SVG, external-library-shaped, and fixed multicolor sources preserve authored geometry and fills.</t>
  </si>
  <si>
    <t xml:space="preserve">../playground/src/components/icon/IconPage.tsx</t>
  </si>
  <si>
    <t xml:space="preserve">IC-06</t>
  </si>
  <si>
    <t xml:space="preserve">Native props, classes, styles, slot override, wrapper-free SVG, and ref composition preserve output.</t>
  </si>
  <si>
    <t xml:space="preserve">IC-07</t>
  </si>
  <si>
    <t xml:space="preserve">Root and Icon subpath exports expose runtime and public types.</t>
  </si>
  <si>
    <t xml:space="preserve">IC-08</t>
  </si>
  <si>
    <t xml:space="preserve">Closed recipes and mutually exclusive accessibility modes reject invalid hosts, colors, sizes, and label combinations.</t>
  </si>
  <si>
    <t xml:space="preserve">../test/types/components/icon.test.ts</t>
  </si>
  <si>
    <t xml:space="preserve">IC-09</t>
  </si>
  <si>
    <t xml:space="preserve">Static CSS ships sizing, semantic foregrounds, direction, forced colors, and documented public properties.</t>
  </si>
  <si>
    <t xml:space="preserve">../src/components/icon/icon.css</t>
  </si>
  <si>
    <t xml:space="preserve">IC-10</t>
  </si>
  <si>
    <t xml:space="preserve">Defaults, sizes, tones, sources, direction, appearance, stress, and forced colors own reviewable baselines.</t>
  </si>
  <si>
    <t xml:space="preserve">../playground/tests/components/icon/visual.spec.ts</t>
  </si>
  <si>
    <t xml:space="preserve">IC-11</t>
  </si>
  <si>
    <t xml:space="preserve">Narrow frames, large sizes, long referenced labels, zoom, text spacing, and mobile widths remain contained.</t>
  </si>
  <si>
    <t xml:space="preserve">../playground/manual-tests/icon.md</t>
  </si>
  <si>
    <t xml:space="preserve">IC-12</t>
  </si>
  <si>
    <t xml:space="preserve">The concise protocol covers every Icon playground scenario and assistive-technology mode.</t>
  </si>
  <si>
    <t xml:space="preserve">IC-13</t>
  </si>
  <si>
    <t xml:space="preserve">Source-backed ownership, SVG boundary, accessibility, API, recipes, tokens, and composition pass.</t>
  </si>
  <si>
    <t xml:space="preserve">../docs/components/icon/README.md</t>
  </si>
  <si>
    <t xml:space="preserve">IC-14</t>
  </si>
  <si>
    <t xml:space="preserve">Icon owns a public changelog and package changelog entry.</t>
  </si>
  <si>
    <t xml:space="preserve">../docs/components/icon/CHANGELOG.md; ../CHANGELOG.md</t>
  </si>
  <si>
    <t xml:space="preserve">IC-15</t>
  </si>
  <si>
    <t xml:space="preserve">The Consumer proves the public Icon subpath inside a named IconButton.</t>
  </si>
  <si>
    <t xml:space="preserve">IC-16</t>
  </si>
  <si>
    <t xml:space="preserve">The route covers all scenarios and shell adoption follows explicit component-owned exclusions.</t>
  </si>
  <si>
    <t xml:space="preserve">../scripts/verify-playground-icon.mjs; ../playground/docs/icon-adoption-audit.md</t>
  </si>
  <si>
    <t xml:space="preserve">IC-17</t>
  </si>
  <si>
    <t xml:space="preserve">Build, SSR-safe import, exports, CSS, tarball, Consumer, browser, and adoption checks pass.</t>
  </si>
  <si>
    <t xml:space="preserve">Image Evidence</t>
  </si>
  <si>
    <t xml:space="preserve">Assertion-level media lifecycle, accessibility, recipes, native output, browser, human-review, documentation, Consumer, and scoped adoption evidence.</t>
  </si>
  <si>
    <t xml:space="preserve">IM-01</t>
  </si>
  <si>
    <t xml:space="preserve">Root / Content / Fallback</t>
  </si>
  <si>
    <t xml:space="preserve">Atom Image anatomy is styled without replacing source lifecycle, refs, or conditional parts.</t>
  </si>
  <si>
    <t xml:space="preserve">../src/components/image</t>
  </si>
  <si>
    <t xml:space="preserve">IM-02</t>
  </si>
  <si>
    <t xml:space="preserve">Source state</t>
  </si>
  <si>
    <t xml:space="preserve">Idle, loading, loaded, error, source replacement, and stale-event rejection remain Atom-owned and observable.</t>
  </si>
  <si>
    <t xml:space="preserve">atom</t>
  </si>
  <si>
    <t xml:space="preserve">@flowstack-ui/atom@0.9.0 Image tests; ../test/components/image/image.test.tsx</t>
  </si>
  <si>
    <t xml:space="preserve">IM-03</t>
  </si>
  <si>
    <t xml:space="preserve">Native output</t>
  </si>
  <si>
    <t xml:space="preserve">Required authored alt plus intrinsic, responsive, loading, decoding, priority, event, slot, and ref props reach the native image.</t>
  </si>
  <si>
    <t xml:space="preserve">../test/components/image/image.test.tsx; ../playground/tests/components/image/behavior.spec.ts</t>
  </si>
  <si>
    <t xml:space="preserve">IM-04</t>
  </si>
  <si>
    <t xml:space="preserve">Fallback</t>
  </si>
  <si>
    <t xml:space="preserve">Authored idle, loading, and error fallbacks are mutually exclusive with Content and preserve reserved geometry.</t>
  </si>
  <si>
    <t xml:space="preserve">../playground/tests/components/image/behavior.spec.ts</t>
  </si>
  <si>
    <t xml:space="preserve">IM-05</t>
  </si>
  <si>
    <t xml:space="preserve">Fit</t>
  </si>
  <si>
    <t xml:space="preserve">Cover, contain, fill, none, and scale-down change only object fit inside controlled fixtures.</t>
  </si>
  <si>
    <t xml:space="preserve">IM-06</t>
  </si>
  <si>
    <t xml:space="preserve">Position</t>
  </si>
  <si>
    <t xml:space="preserve">Center, top, bottom, logical start, and logical end move focal content; start/end reverse in RTL without mirroring pixels.</t>
  </si>
  <si>
    <t xml:space="preserve">IM-07</t>
  </si>
  <si>
    <t xml:space="preserve">Geometry</t>
  </si>
  <si>
    <t xml:space="preserve">Five radius recipes, transparent/subtle frame, and explicit Atom Aspect Ratio preserve one clipped media box.</t>
  </si>
  <si>
    <t xml:space="preserve">IM-08</t>
  </si>
  <si>
    <t xml:space="preserve">Content / Fallback</t>
  </si>
  <si>
    <t xml:space="preserve">Informative, decorative, and named-action alt ownership is explicit; fallback adds no focus or live-region policy.</t>
  </si>
  <si>
    <t xml:space="preserve">IM-09</t>
  </si>
  <si>
    <t xml:space="preserve">Default, asChild, render, native props, custom slots, styles, and refs preserve Atom composition and valid hosts.</t>
  </si>
  <si>
    <t xml:space="preserve">../test/components/image/image.test.tsx</t>
  </si>
  <si>
    <t xml:space="preserve">IM-10</t>
  </si>
  <si>
    <t xml:space="preserve">Package root and Image subpath expose one runtime namespace and public types.</t>
  </si>
  <si>
    <t xml:space="preserve">IM-11</t>
  </si>
  <si>
    <t xml:space="preserve">Required alt, closed recipes, root source ownership, native responsive props, and refs are enforced.</t>
  </si>
  <si>
    <t xml:space="preserve">../test/types/components/image.test.ts</t>
  </si>
  <si>
    <t xml:space="preserve">IM-12</t>
  </si>
  <si>
    <t xml:space="preserve">Static CSS ships fit, logical position, clipping, frame, fallback, forced colors, and documented public properties.</t>
  </si>
  <si>
    <t xml:space="preserve">../src/components/image/image.css</t>
  </si>
  <si>
    <t xml:space="preserve">IM-13</t>
  </si>
  <si>
    <t xml:space="preserve">SSR</t>
  </si>
  <si>
    <t xml:space="preserve">Idle/loading fallback output and recipe metadata render deterministically without a CSS loader.</t>
  </si>
  <si>
    <t xml:space="preserve">../test/package/ssr.test.mjs</t>
  </si>
  <si>
    <t xml:space="preserve">IM-14</t>
  </si>
  <si>
    <t xml:space="preserve">Nine numbered scenarios cover defaults, accessibility, fits, positions, geometry, native output, states, appearance, and stress.</t>
  </si>
  <si>
    <t xml:space="preserve">../playground/src/components/image/ImagePage.tsx; ../playground/tests/components/image/behavior.spec.ts</t>
  </si>
  <si>
    <t xml:space="preserve">IM-15</t>
  </si>
  <si>
    <t xml:space="preserve">Defaults, fits, positions, geometry, fallback, appearance, mobile, and forced colors own reviewed-risk baselines.</t>
  </si>
  <si>
    <t xml:space="preserve">../playground/tests/components/image/visual.spec.ts</t>
  </si>
  <si>
    <t xml:space="preserve">Owner manual review pending.</t>
  </si>
  <si>
    <t xml:space="preserve">IM-16</t>
  </si>
  <si>
    <t xml:space="preserve">Narrow, long fallback, RTL, mobile, zoom, text spacing, and physical-device containment are reviewed.</t>
  </si>
  <si>
    <t xml:space="preserve">../playground/manual-tests/image.md</t>
  </si>
  <si>
    <t xml:space="preserve">IM-17</t>
  </si>
  <si>
    <t xml:space="preserve">The concise protocol covers every Image scenario, source flow, appearance, device, and assistive-technology judgment.</t>
  </si>
  <si>
    <t xml:space="preserve">IM-18</t>
  </si>
  <si>
    <t xml:space="preserve">Source-backed ownership, alt guidance, API, recipes, native attrs, tokens, composition, and exclusions pass.</t>
  </si>
  <si>
    <t xml:space="preserve">../docs/components/image/README.md</t>
  </si>
  <si>
    <t xml:space="preserve">IM-19</t>
  </si>
  <si>
    <t xml:space="preserve">Image owns a public changelog and package release-facing entry.</t>
  </si>
  <si>
    <t xml:space="preserve">../docs/components/image/CHANGELOG.md; ../CHANGELOG.md</t>
  </si>
  <si>
    <t xml:space="preserve">IM-20</t>
  </si>
  <si>
    <t xml:space="preserve">Consumer proves the public Image subpath as informative project media inside Card on desktop and mobile.</t>
  </si>
  <si>
    <t xml:space="preserve">IM-21</t>
  </si>
  <si>
    <t xml:space="preserve">Card finished media and Consumer adopt Image while Avatar and Icon Button native child evidence remain correctly owned.</t>
  </si>
  <si>
    <t xml:space="preserve">../scripts/verify-playground-image.mjs; ../playground/docs/image-adoption-audit.md</t>
  </si>
  <si>
    <t xml:space="preserve">IM-22</t>
  </si>
  <si>
    <t xml:space="preserve">Build, SSR, exports, CSS, archive, Consumer, browser, visual, docs, and adoption gates pass.</t>
  </si>
  <si>
    <t xml:space="preserve">List Evidence</t>
  </si>
  <si>
    <t xml:space="preserve">Assertion-level native semantics, anatomy, recipes, browser, human-review, documentation, Consumer, and adoption evidence.</t>
  </si>
  <si>
    <t xml:space="preserve">Root and Item</t>
  </si>
  <si>
    <t xml:space="preserve">Root and Item adapt released Atom List while preserving native ul, ol, li, attributes, slots, composition, refs, and authored children.</t>
  </si>
  <si>
    <t xml:space="preserve">../src/components/list</t>
  </si>
  <si>
    <t xml:space="preserve">Anatomy</t>
  </si>
  <si>
    <t xml:space="preserve">Leading, Content, Title, Description, Trailing</t>
  </si>
  <si>
    <t xml:space="preserve">All five optional structured parts expose stable native hosts, refs, slots, and aligned passive row anatomy.</t>
  </si>
  <si>
    <t xml:space="preserve">../test/components/list/list.test.tsx</t>
  </si>
  <si>
    <t xml:space="preserve">Root and List subpath exports expose the compound runtime and every public List type.</t>
  </si>
  <si>
    <t xml:space="preserve">Recipes, ordered attributes, native props, refs, disabled metadata, and Root/Item composition type-check.</t>
  </si>
  <si>
    <t xml:space="preserve">../test/types/components/list.test.ts</t>
  </si>
  <si>
    <t xml:space="preserve">Static CSS ships variants, sizes, densities, all markers, structured anatomy, nesting, forced colors, and public variables.</t>
  </si>
  <si>
    <t xml:space="preserve">../src/components/list/list.css</t>
  </si>
  <si>
    <t xml:space="preserve">Defaults, recipes, native ordered output, disabled metadata, parts, composition, refs, and overrides pass focused tests.</t>
  </si>
  <si>
    <t xml:space="preserve">Recipes and semantics</t>
  </si>
  <si>
    <t xml:space="preserve">Real-browser defaults, ordered and unordered output, variants, sizes, densities, markers, nesting, and native attributes pass.</t>
  </si>
  <si>
    <t xml:space="preserve">tests/components/list/behavior.spec.ts</t>
  </si>
  <si>
    <t xml:space="preserve">Structured rows</t>
  </si>
  <si>
    <t xml:space="preserve">Leading, content, and trailing columns align, descriptions wrap, actions stay contained, and logical placement reverses in RTL.</t>
  </si>
  <si>
    <t xml:space="preserve">Native list</t>
  </si>
  <si>
    <t xml:space="preserve">List roles, item relationships, marker-free semantics, authored controls, disabled metadata, and axe pass without invented interaction.</t>
  </si>
  <si>
    <t xml:space="preserve">Reviewed baselines cover defaults, boundaries, sizing, marker recipes, anatomy, dark customization, mobile RTL, and forced colors.</t>
  </si>
  <si>
    <t xml:space="preserve">tests/components/list/visual.spec.ts</t>
  </si>
  <si>
    <t xml:space="preserve">Current List playground and all eight visual baselines were reviewed during implementation.</t>
  </si>
  <si>
    <t xml:space="preserve">Physical mobile, 200%/400% zoom, rotation, narrow content, long copy, structured actions, and RTL remain readable and contained.</t>
  </si>
  <si>
    <t xml:space="preserve">manual-tests/list.md</t>
  </si>
  <si>
    <t xml:space="preserve">Light, dark, forced colors, text spacing, markers, boundaries, and authored focus preserve hierarchy and contrast.</t>
  </si>
  <si>
    <t xml:space="preserve">manual-tests/list.md; tests/components/list/visual.spec.ts</t>
  </si>
  <si>
    <t xml:space="preserve">start, reversed, value, ordered output, nested lists, asChild, render ownership, and marker-none role behavior match the contract.</t>
  </si>
  <si>
    <t xml:space="preserve">tests/components/list/behavior.spec.ts; ../test/components/list/list.test.tsx</t>
  </si>
  <si>
    <t xml:space="preserve">The component-owned protocol covers every List playground scenario in one top-to-bottom review flow.</t>
  </si>
  <si>
    <t xml:space="preserve">Source-backed ownership, anatomy, API, defaults, accessibility, CSS, customization, composition, and examples pass documentation gates.</t>
  </si>
  <si>
    <t xml:space="preserve">../docs/components/list/README.md</t>
  </si>
  <si>
    <t xml:space="preserve">List owns a public component changelog and the package changelog records its addition.</t>
  </si>
  <si>
    <t xml:space="preserve">../docs/components/list/CHANGELOG.md; ../CHANGELOG.md</t>
  </si>
  <si>
    <t xml:space="preserve">The packed Consumer proves the public List subpath in a realistic structured release checklist.</t>
  </si>
  <si>
    <t xml:space="preserve">L-18</t>
  </si>
  <si>
    <t xml:space="preserve">The route covers all approved scenarios and eligible Consumer, Card, and Surface content lists adopt List with classified exclusions.</t>
  </si>
  <si>
    <t xml:space="preserve">docs/list-adoption-audit.md; ../scripts/verify-playground-list.mjs</t>
  </si>
  <si>
    <t xml:space="preserve">L-19</t>
  </si>
  <si>
    <t xml:space="preserve">Build, SSR, exports, CSS, Atom 0.9.1, tarball, React 18/19, packed Consumer, browser matrix, and adoption checks pass.</t>
  </si>
  <si>
    <t xml:space="preserve">../test/package; ../scripts/verify-package.mjs; ../scripts/verify-consumers.mjs; ../scripts/verify-playground-list.mjs</t>
  </si>
  <si>
    <t xml:space="preserve">Automated package gates are tracked in the workstream; complete status waits for the component-owned human manual run.</t>
  </si>
  <si>
    <t xml:space="preserve">Select Evidence</t>
  </si>
  <si>
    <t xml:space="preserve">Assertion-level Atom-backed package, browser, human-review, documentation, Consumer, positioning, and form evidence.</t>
  </si>
  <si>
    <t xml:space="preserve">Root/Trigger</t>
  </si>
  <si>
    <t xml:space="preserve">Compound Select and visual context adapt released Atom 0.9.3 without recreating behavior.</t>
  </si>
  <si>
    <t xml:space="preserve">../src/components/select</t>
  </si>
  <si>
    <t xml:space="preserve">Trigger, Value, Icon, Content/Listbox, Viewport, scroll buttons, Group, Label, Item, ItemText, Indicator, Separator, Portal, and Arrow are styled/exported.</t>
  </si>
  <si>
    <t xml:space="preserve">../test/components/select/select.test.tsx</t>
  </si>
  <si>
    <t xml:space="preserve">Root and select subpath exports expose the namespace, named parts, and public types.</t>
  </si>
  <si>
    <t xml:space="preserve">Root/parts</t>
  </si>
  <si>
    <t xml:space="preserve">Recipes, refs, Arrow children, underline shape exclusion, and no multiple mode type-check.</t>
  </si>
  <si>
    <t xml:space="preserve">../test/types/components/select.test.ts</t>
  </si>
  <si>
    <t xml:space="preserve">Trigger/Content/Item</t>
  </si>
  <si>
    <t xml:space="preserve">Static CSS ships recipes, geometry, states, popup, options, artwork, and documented variables.</t>
  </si>
  <si>
    <t xml:space="preserve">../src/components/select/select.css</t>
  </si>
  <si>
    <t xml:space="preserve">Labels</t>
  </si>
  <si>
    <t xml:space="preserve">Root/ItemText</t>
  </si>
  <si>
    <t xml:space="preserve">Closed selected values resolve authored ItemText labels before popup mount, including native forms.</t>
  </si>
  <si>
    <t xml:space="preserve">../test/components/select/select.test.tsx; tests/components/select/behavior.spec.ts</t>
  </si>
  <si>
    <t xml:space="preserve">Outline, soft, underline, sm/md/lg, shapes, and full/intrinsic width change only their named dimensions.</t>
  </si>
  <si>
    <t xml:space="preserve">tests/components/select/behavior.spec.ts</t>
  </si>
  <si>
    <t xml:space="preserve">Interaction</t>
  </si>
  <si>
    <t xml:space="preserve">Root/Trigger/Item</t>
  </si>
  <si>
    <t xml:space="preserve">Pointer and keyboard open, navigation, typeahead, selection, Escape, focus return, disabled skip, and outside dismissal remain Atom-owned.</t>
  </si>
  <si>
    <t xml:space="preserve">tests/components/select/behavior.spec.ts; Atom 0.9.3 Select suite</t>
  </si>
  <si>
    <t xml:space="preserve">Options</t>
  </si>
  <si>
    <t xml:space="preserve">Group/Viewport/Arrow</t>
  </si>
  <si>
    <t xml:space="preserve">Groups, labels, separator, long scrolling, conditional controls, and matching collision side/alignment are exposed.</t>
  </si>
  <si>
    <t xml:space="preserve">Forms</t>
  </si>
  <si>
    <t xml:space="preserve">Field relationships, required validity, native submit/reset, external form ownership, and validation use Atom's native proxy.</t>
  </si>
  <si>
    <t xml:space="preserve">Trigger/Portal</t>
  </si>
  <si>
    <t xml:space="preserve">Trigger asChild/render and portal/container paths retain props, one host, positioning, and refs.</t>
  </si>
  <si>
    <t xml:space="preserve">Field naming, combobox/listbox states, disabled options, decorative artwork, and axe checks pass.</t>
  </si>
  <si>
    <t xml:space="preserve">Baselines cover defaults, recipes, geometry, options, states, appearance, narrow RTL, and forced colors.</t>
  </si>
  <si>
    <t xml:space="preserve">tests/components/select/visual.spec.ts</t>
  </si>
  <si>
    <t xml:space="preserve">Baselines exist and automated comparison passes; final owner visual review is not recorded.</t>
  </si>
  <si>
    <t xml:space="preserve">Trigger/Content</t>
  </si>
  <si>
    <t xml:space="preserve">Physical mobile, 200%/400% zoom, long localization, popup bounds, and RTL remain usable.</t>
  </si>
  <si>
    <t xml:space="preserve">manual-tests/select.md</t>
  </si>
  <si>
    <t xml:space="preserve">Protocol is unrun; real device and zoom review remain pending.</t>
  </si>
  <si>
    <t xml:space="preserve">Touch/pen</t>
  </si>
  <si>
    <t xml:space="preserve">Outside tap dismisses after release while drag, cancellation, and scroll preserve the open Select.</t>
  </si>
  <si>
    <t xml:space="preserve">manual-tests/select.md; Atom 0.9.3 Select evidence</t>
  </si>
  <si>
    <t xml:space="preserve">Atom automated evidence passes; Brick real-device protocol is unrun.</t>
  </si>
  <si>
    <t xml:space="preserve">Screen reader</t>
  </si>
  <si>
    <t xml:space="preserve">macOS/iOS VoiceOver and a second desktop AT/browser announce name, value, groups, states, and options.</t>
  </si>
  <si>
    <t xml:space="preserve">Assistive-technology protocol is unrun.</t>
  </si>
  <si>
    <t xml:space="preserve">manual-tests/select.md; tests/components/select/visual.spec.ts</t>
  </si>
  <si>
    <t xml:space="preserve">Automated baselines exist; complete human preference review is pending.</t>
  </si>
  <si>
    <t xml:space="preserve">S-18</t>
  </si>
  <si>
    <t xml:space="preserve">The component-owned protocol passes every Select playground scenario in one scalable flow.</t>
  </si>
  <si>
    <t xml:space="preserve">S-19</t>
  </si>
  <si>
    <t xml:space="preserve">Source-backed public usage, API, anatomy, tokens, accessibility, and exclusions pass documentation gates.</t>
  </si>
  <si>
    <t xml:space="preserve">../docs/components/select/README.md</t>
  </si>
  <si>
    <t xml:space="preserve">S-20</t>
  </si>
  <si>
    <t xml:space="preserve">Select owns a component changelog and the package changelog records its public addition.</t>
  </si>
  <si>
    <t xml:space="preserve">../docs/components/select/CHANGELOG.md; ../CHANGELOG.md</t>
  </si>
  <si>
    <t xml:space="preserve">S-21</t>
  </si>
  <si>
    <t xml:space="preserve">Packed Consumer proves a realistic Field/Form plan chooser through the public Select subpath.</t>
  </si>
  <si>
    <t xml:space="preserve">2026-07-26</t>
  </si>
  <si>
    <t xml:space="preserve">None. Packed Consumer boundary and Chromium desktop/mobile flows pass.</t>
  </si>
  <si>
    <t xml:space="preserve">S-22</t>
  </si>
  <si>
    <t xml:space="preserve">Build, SSR, exports, CSS, tarball, React 18/19, Consumer, and full package gates pass.</t>
  </si>
  <si>
    <t xml:space="preserve">None. Full package check, tarball verification, and clean React 18/19 consumers pass.</t>
  </si>
  <si>
    <t xml:space="preserve">Multi Select Evidence</t>
  </si>
  <si>
    <t xml:space="preserve">Assertion-level Atom-backed package, browser, human-review, documentation, Consumer, multiple-selection, positioning, and repeated-value form evidence.</t>
  </si>
  <si>
    <t xml:space="preserve">MS-01</t>
  </si>
  <si>
    <t xml:space="preserve">Compound Multi Select and visual context adapt released Atom 0.10.1 without recreating behavior.</t>
  </si>
  <si>
    <t xml:space="preserve">../src/components/multi-select</t>
  </si>
  <si>
    <t xml:space="preserve">MS-02</t>
  </si>
  <si>
    <t xml:space="preserve">../test/components/multi-select/multi-select.test.tsx</t>
  </si>
  <si>
    <t xml:space="preserve">MS-03</t>
  </si>
  <si>
    <t xml:space="preserve">Root and multi-select subpath exports expose the namespace, named parts, and public types.</t>
  </si>
  <si>
    <t xml:space="preserve">MS-04</t>
  </si>
  <si>
    <t xml:space="preserve">Recipes, refs, Arrow children, underline shape exclusion, and array-valued selection type-check.</t>
  </si>
  <si>
    <t xml:space="preserve">../test/types/components/multi-select.test.ts</t>
  </si>
  <si>
    <t xml:space="preserve">MS-05</t>
  </si>
  <si>
    <t xml:space="preserve">../src/components/multi-select/multi-select.css</t>
  </si>
  <si>
    <t xml:space="preserve">MS-06</t>
  </si>
  <si>
    <t xml:space="preserve">Closed summaries resolve authored ItemText labels before popup mount and update for several selected values.</t>
  </si>
  <si>
    <t xml:space="preserve">../test/components/multi-select/multi-select.test.tsx; tests/components/multi-select/behavior.spec.ts</t>
  </si>
  <si>
    <t xml:space="preserve">MS-07</t>
  </si>
  <si>
    <t xml:space="preserve">tests/components/multi-select/behavior.spec.ts</t>
  </si>
  <si>
    <t xml:space="preserve">MS-08</t>
  </si>
  <si>
    <t xml:space="preserve">Pointer and keyboard open, navigation, buffered typeahead, toggle selection without closing, Escape, focus return, and disabled skip remain Atom-owned.</t>
  </si>
  <si>
    <t xml:space="preserve">tests/components/multi-select/behavior.spec.ts; Atom 0.10.1 Multi Select suite</t>
  </si>
  <si>
    <t xml:space="preserve">MS-09</t>
  </si>
  <si>
    <t xml:space="preserve">MS-10</t>
  </si>
  <si>
    <t xml:space="preserve">Field relationships, required validity, repeated-value native submit/reset, external form ownership, and validation use Atom's native multiple proxy.</t>
  </si>
  <si>
    <t xml:space="preserve">MS-11</t>
  </si>
  <si>
    <t xml:space="preserve">MS-12</t>
  </si>
  <si>
    <t xml:space="preserve">Field naming, button/listbox states, aria-multiselectable, selected options, disabled options, decorative artwork, and axe checks pass.</t>
  </si>
  <si>
    <t xml:space="preserve">MS-13</t>
  </si>
  <si>
    <t xml:space="preserve">tests/components/multi-select/visual.spec.ts</t>
  </si>
  <si>
    <t xml:space="preserve">MS-14</t>
  </si>
  <si>
    <t xml:space="preserve">manual-tests/multi-select.md</t>
  </si>
  <si>
    <t xml:space="preserve">MS-15</t>
  </si>
  <si>
    <t xml:space="preserve">Outside tap dismisses after release while drag, cancellation, and scroll preserve the open Multi Select.</t>
  </si>
  <si>
    <t xml:space="preserve">manual-tests/multi-select.md; Atom 0.10.1 Multi Select evidence</t>
  </si>
  <si>
    <t xml:space="preserve">MS-16</t>
  </si>
  <si>
    <t xml:space="preserve">MS-17</t>
  </si>
  <si>
    <t xml:space="preserve">manual-tests/multi-select.md; tests/components/multi-select/visual.spec.ts</t>
  </si>
  <si>
    <t xml:space="preserve">MS-18</t>
  </si>
  <si>
    <t xml:space="preserve">The component-owned protocol passes every Multi Select playground scenario in one scalable flow.</t>
  </si>
  <si>
    <t xml:space="preserve">MS-19</t>
  </si>
  <si>
    <t xml:space="preserve">../docs/components/multi-select/README.md</t>
  </si>
  <si>
    <t xml:space="preserve">MS-20</t>
  </si>
  <si>
    <t xml:space="preserve">Multi Select owns a component changelog and the package changelog records its public addition.</t>
  </si>
  <si>
    <t xml:space="preserve">../docs/components/multi-select/CHANGELOG.md; ../CHANGELOG.md</t>
  </si>
  <si>
    <t xml:space="preserve">MS-21</t>
  </si>
  <si>
    <t xml:space="preserve">Packed Consumer proves a realistic Field/Form team-skills chooser through the public Multi Select subpath.</t>
  </si>
  <si>
    <t xml:space="preserve">MS-22</t>
  </si>
  <si>
    <t xml:space="preserve">Textarea Evidence</t>
  </si>
  <si>
    <t xml:space="preserve">Assertion-level Atom-backed package, browser, human-review, documentation, Consumer, resize, auto-resize, counting, and native form evidence.</t>
  </si>
  <si>
    <t xml:space="preserve">TA-01</t>
  </si>
  <si>
    <t xml:space="preserve">Brick adapts the released Atom 0.10.1 Textarea primitive without recreating behavior.</t>
  </si>
  <si>
    <t xml:space="preserve">../src/components/textarea</t>
  </si>
  <si>
    <t xml:space="preserve">TA-02</t>
  </si>
  <si>
    <t xml:space="preserve">Root/Count</t>
  </si>
  <si>
    <t xml:space="preserve">The independent Root and Count parts expose the native control and optional character-count evidence.</t>
  </si>
  <si>
    <t xml:space="preserve">../test/components/textarea/textarea.test.tsx</t>
  </si>
  <si>
    <t xml:space="preserve">TA-03</t>
  </si>
  <si>
    <t xml:space="preserve">Root, Count, namespace, public types, and the textarea subpath are exported.</t>
  </si>
  <si>
    <t xml:space="preserve">TA-04</t>
  </si>
  <si>
    <t xml:space="preserve">Recipe props, native textarea props/ref, underline shape exclusion, and resize/auto-resize exclusivity type-check.</t>
  </si>
  <si>
    <t xml:space="preserve">../test/types/components/textarea.test.ts</t>
  </si>
  <si>
    <t xml:space="preserve">TA-05</t>
  </si>
  <si>
    <t xml:space="preserve">Static CSS ships variants, sizes, shapes, states, resize behavior, logical layout, and documented variables.</t>
  </si>
  <si>
    <t xml:space="preserve">../src/components/textarea/textarea.css</t>
  </si>
  <si>
    <t xml:space="preserve">TA-06</t>
  </si>
  <si>
    <t xml:space="preserve">Outline, soft, underline, sm/md/lg, and sharp/rounded change only their named visual dimension.</t>
  </si>
  <si>
    <t xml:space="preserve">tests/components/textarea/behavior.spec.ts</t>
  </si>
  <si>
    <t xml:space="preserve">TA-07</t>
  </si>
  <si>
    <t xml:space="preserve">Manual resize</t>
  </si>
  <si>
    <t xml:space="preserve">None, vertical, horizontal, and both resize modes map to native CSS without changing textarea behavior.</t>
  </si>
  <si>
    <t xml:space="preserve">TA-08</t>
  </si>
  <si>
    <t xml:space="preserve">Auto resize</t>
  </si>
  <si>
    <t xml:space="preserve">Opt-in auto-resize grows within minRows/maxRows, clamps overflow, and remains mutually exclusive with manual resize.</t>
  </si>
  <si>
    <t xml:space="preserve">tests/components/textarea/behavior.spec.ts; Atom 0.10.1 Textarea suite</t>
  </si>
  <si>
    <t xml:space="preserve">TA-09</t>
  </si>
  <si>
    <t xml:space="preserve">Values/count</t>
  </si>
  <si>
    <t xml:space="preserve">Controlled and uncontrolled values, native newlines, maxLength, reset, and the explicit Count part stay synchronized.</t>
  </si>
  <si>
    <t xml:space="preserve">TA-10</t>
  </si>
  <si>
    <t xml:space="preserve">Field relationships, native submit/reset, required validity, and external form ownership remain Atom-owned.</t>
  </si>
  <si>
    <t xml:space="preserve">TA-11</t>
  </si>
  <si>
    <t xml:space="preserve">Native textarea refs, rendered IDs/ARIA, wrapper/native prop routing, class/style escape hatches, and output remain correct.</t>
  </si>
  <si>
    <t xml:space="preserve">../test/components/textarea/textarea.test.tsx; tests/components/textarea/behavior.spec.ts</t>
  </si>
  <si>
    <t xml:space="preserve">TA-12</t>
  </si>
  <si>
    <t xml:space="preserve">Field naming, descriptions, errors, availability states, counter semantics, focus, and axe checks pass.</t>
  </si>
  <si>
    <t xml:space="preserve">TA-13</t>
  </si>
  <si>
    <t xml:space="preserve">Customization</t>
  </si>
  <si>
    <t xml:space="preserve">Documented CSS variables and wrapper/native escape hatches customize the control without changing behavior.</t>
  </si>
  <si>
    <t xml:space="preserve">tests/components/textarea/behavior.spec.ts; ../docs/components/textarea/README.md</t>
  </si>
  <si>
    <t xml:space="preserve">TA-14</t>
  </si>
  <si>
    <t xml:space="preserve">Baselines cover defaults, recipes, resize, values/states, scopes, mobile RTL, and forced colors.</t>
  </si>
  <si>
    <t xml:space="preserve">tests/components/textarea/visual.spec.ts</t>
  </si>
  <si>
    <t xml:space="preserve">TA-15</t>
  </si>
  <si>
    <t xml:space="preserve">Physical mobile, 200%/400% zoom, long content, manual resize, auto-resize, and RTL remain usable and contained.</t>
  </si>
  <si>
    <t xml:space="preserve">manual-tests/textarea.md</t>
  </si>
  <si>
    <t xml:space="preserve">Protocol is unrun; real-device and zoom review remain pending.</t>
  </si>
  <si>
    <t xml:space="preserve">TA-16</t>
  </si>
  <si>
    <t xml:space="preserve">manual-tests/textarea.md; tests/components/textarea/visual.spec.ts</t>
  </si>
  <si>
    <t xml:space="preserve">Automated baselines pass; complete human preference review is pending.</t>
  </si>
  <si>
    <t xml:space="preserve">TA-17</t>
  </si>
  <si>
    <t xml:space="preserve">macOS/iOS VoiceOver and a second desktop AT/browser announce label, help, error, state, and count evidence.</t>
  </si>
  <si>
    <t xml:space="preserve">TA-18</t>
  </si>
  <si>
    <t xml:space="preserve">The component-owned protocol covers every Textarea playground scenario in one top-to-bottom flow.</t>
  </si>
  <si>
    <t xml:space="preserve">TA-19</t>
  </si>
  <si>
    <t xml:space="preserve">Source-backed usage, API, anatomy, recipes, resize policy, tokens, accessibility, and exclusions pass documentation gates.</t>
  </si>
  <si>
    <t xml:space="preserve">../docs/components/textarea/README.md</t>
  </si>
  <si>
    <t xml:space="preserve">TA-20</t>
  </si>
  <si>
    <t xml:space="preserve">Textarea owns a component changelog and the package changelog records its public addition.</t>
  </si>
  <si>
    <t xml:space="preserve">../docs/components/textarea/CHANGELOG.md; ../CHANGELOG.md</t>
  </si>
  <si>
    <t xml:space="preserve">TA-21</t>
  </si>
  <si>
    <t xml:space="preserve">The packed Consumer proves a realistic Field/Form note with maxLength, Count, submit, and reset through the public subpath.</t>
  </si>
  <si>
    <t xml:space="preserve">TA-22</t>
  </si>
  <si>
    <t xml:space="preserve">Radio Group Evidence</t>
  </si>
  <si>
    <t xml:space="preserve">Assertion-level Atom-backed package, browser, human-review, documentation, Consumer, form, read-only, keyboard, and responsive evidence.</t>
  </si>
  <si>
    <t xml:space="preserve">RG-01</t>
  </si>
  <si>
    <t xml:space="preserve">Root/Item</t>
  </si>
  <si>
    <t xml:space="preserve">Brick adapts released Atom 0.11.0 Radio Group behavior without recreating selection, focus, keyboard, form, validation, direction, or read-only logic.</t>
  </si>
  <si>
    <t xml:space="preserve">../src/components/radio-group</t>
  </si>
  <si>
    <t xml:space="preserve">RG-02</t>
  </si>
  <si>
    <t xml:space="preserve">The public two-part namespace and stable internal control, dot, and label hooks render without public anatomy inflation.</t>
  </si>
  <si>
    <t xml:space="preserve">../test/components/radio-group/radio-group.test.tsx</t>
  </si>
  <si>
    <t xml:space="preserve">RG-03</t>
  </si>
  <si>
    <t xml:space="preserve">RadioGroup</t>
  </si>
  <si>
    <t xml:space="preserve">Namespace, named parts, public types, root export, and radio-group subpath are exported.</t>
  </si>
  <si>
    <t xml:space="preserve">RG-04</t>
  </si>
  <si>
    <t xml:space="preserve">Sizes, Atom behavior props, refs, render/asChild branches, required item values, and invalid combinations type-check.</t>
  </si>
  <si>
    <t xml:space="preserve">../test/types/components/radio-group.test.ts</t>
  </si>
  <si>
    <t xml:space="preserve">RG-05</t>
  </si>
  <si>
    <t xml:space="preserve">Static CSS provides the canonical circle/dot recipe, sizes, states, logical layout, stable hooks, reduced motion, and forced colors.</t>
  </si>
  <si>
    <t xml:space="preserve">../src/components/radio-group/radio-group.css</t>
  </si>
  <si>
    <t xml:space="preserve">RG-06</t>
  </si>
  <si>
    <t xml:space="preserve">Defaults</t>
  </si>
  <si>
    <t xml:space="preserve">Medium vertical accent selection is the one canonical default and only one item remains selected.</t>
  </si>
  <si>
    <t xml:space="preserve">tests/components/radio-group/behavior.spec.ts</t>
  </si>
  <si>
    <t xml:space="preserve">RG-07</t>
  </si>
  <si>
    <t xml:space="preserve">Sizing</t>
  </si>
  <si>
    <t xml:space="preserve">Small, medium, and large change shared item/control geometry only.</t>
  </si>
  <si>
    <t xml:space="preserve">RG-08</t>
  </si>
  <si>
    <t xml:space="preserve">Keyboard</t>
  </si>
  <si>
    <t xml:space="preserve">Roving Tab focus, orientation arrows, Home/End, loop, disabled skipping, and RTL mapping work in a real browser.</t>
  </si>
  <si>
    <t xml:space="preserve">RG-09</t>
  </si>
  <si>
    <t xml:space="preserve">Controlled and uncontrolled selection expose identical visuals and correct value-change behavior.</t>
  </si>
  <si>
    <t xml:space="preserve">../test/components/radio-group/radio-group.test.tsx; tests/components/radio-group/behavior.spec.ts</t>
  </si>
  <si>
    <t xml:space="preserve">RG-10</t>
  </si>
  <si>
    <t xml:space="preserve">States</t>
  </si>
  <si>
    <t xml:space="preserve">Group/item disabled, required, invalid, and read-only states preserve correct behavior and visible distinctions.</t>
  </si>
  <si>
    <t xml:space="preserve">RG-11</t>
  </si>
  <si>
    <t xml:space="preserve">Read only</t>
  </si>
  <si>
    <t xml:space="preserve">Read-only remains focusable and submitted, permits focus navigation, and cannot mutate or emit value changes.</t>
  </si>
  <si>
    <t xml:space="preserve">RG-12</t>
  </si>
  <si>
    <t xml:space="preserve">Named value submission, reset, external form ownership, native validation focus, and Fieldset relationships work.</t>
  </si>
  <si>
    <t xml:space="preserve">RG-13</t>
  </si>
  <si>
    <t xml:space="preserve">render and asChild preserve custom hosts, roles, built-in visuals, content, state, and events.</t>
  </si>
  <si>
    <t xml:space="preserve">RG-14</t>
  </si>
  <si>
    <t xml:space="preserve">Automated accessible names, group/radio semantics, state, and axe checks pass.</t>
  </si>
  <si>
    <t xml:space="preserve">RG-15</t>
  </si>
  <si>
    <t xml:space="preserve">Risk-selected light, dark, size, orientation, state, composition, responsive, RTL, and forced-color baselines require owner review.</t>
  </si>
  <si>
    <t xml:space="preserve">tests/components/radio-group/visual.spec.ts</t>
  </si>
  <si>
    <t xml:space="preserve">Owner visual review has not been recorded.</t>
  </si>
  <si>
    <t xml:space="preserve">RG-16</t>
  </si>
  <si>
    <t xml:space="preserve">A tester completes the short top-to-bottom protocol across keyboard, screen reader, zoom, mobile, RTL, and themes.</t>
  </si>
  <si>
    <t xml:space="preserve">manual-tests/radio-group.md</t>
  </si>
  <si>
    <t xml:space="preserve">Owner human review has not been recorded.</t>
  </si>
  <si>
    <t xml:space="preserve">RG-17</t>
  </si>
  <si>
    <t xml:space="preserve">Public usage, API, anatomy, states, accessibility, customization, responsive, composition, evidence, and exclusions are documented.</t>
  </si>
  <si>
    <t xml:space="preserve">../docs/components/radio-group/README.md</t>
  </si>
  <si>
    <t xml:space="preserve">RG-18</t>
  </si>
  <si>
    <t xml:space="preserve">The component owns a public changelog and package release note.</t>
  </si>
  <si>
    <t xml:space="preserve">../docs/components/radio-group/CHANGELOG.md; ../CHANGELOG.md</t>
  </si>
  <si>
    <t xml:space="preserve">RG-19</t>
  </si>
  <si>
    <t xml:space="preserve">The packed Consumer imports the public subpath and exercises selection, disabled state, submit, and reset.</t>
  </si>
  <si>
    <t xml:space="preserve">RG-20</t>
  </si>
  <si>
    <t xml:space="preserve">Build, exports, SSR, tarball, CSS, React 18/19, and consumer boundary verification pass.</t>
  </si>
  <si>
    <t xml:space="preserve">Switch Evidence</t>
  </si>
  <si>
    <t xml:space="preserve">Assertion-level Atom-backed package, browser, human-review, documentation, Consumer, form, state, and responsive evidence.</t>
  </si>
  <si>
    <t xml:space="preserve">SW-01</t>
  </si>
  <si>
    <t xml:space="preserve">Root/Thumb</t>
  </si>
  <si>
    <t xml:space="preserve">Brick adapts released Atom 0.11.1 Switch behavior without recreating state, keyboard, focus, form, validation, or composition logic.</t>
  </si>
  <si>
    <t xml:space="preserve">../src/components/switch</t>
  </si>
  <si>
    <t xml:space="preserve">SW-02</t>
  </si>
  <si>
    <t xml:space="preserve">The public two-part namespace renders one track Root and one decorative Thumb without extra Brick wrappers or anatomy inflation.</t>
  </si>
  <si>
    <t xml:space="preserve">../test/components/switch/switch.test.tsx</t>
  </si>
  <si>
    <t xml:space="preserve">SW-03</t>
  </si>
  <si>
    <t xml:space="preserve">Namespace, named parts, public types, root export, and switch subpath are exported.</t>
  </si>
  <si>
    <t xml:space="preserve">SW-04</t>
  </si>
  <si>
    <t xml:space="preserve">Closed sizes, Atom behavior props, refs, render/asChild branches, and rejected mixed/variant combinations type-check.</t>
  </si>
  <si>
    <t xml:space="preserve">../test/types/components/switch.test.ts</t>
  </si>
  <si>
    <t xml:space="preserve">SW-05</t>
  </si>
  <si>
    <t xml:space="preserve">Static CSS provides canonical track/thumb paint, sizes, state hooks, RTL, reduced motion, forced colors, and public variables.</t>
  </si>
  <si>
    <t xml:space="preserve">../src/components/switch/switch.css</t>
  </si>
  <si>
    <t xml:space="preserve">SW-06</t>
  </si>
  <si>
    <t xml:space="preserve">Medium unchecked neutral track is the canonical default and pointer activation changes only binary state.</t>
  </si>
  <si>
    <t xml:space="preserve">tests/components/switch/behavior.spec.ts</t>
  </si>
  <si>
    <t xml:space="preserve">SW-07</t>
  </si>
  <si>
    <t xml:space="preserve">Small, medium, and large increase complete track, thumb, and travel geometry while preserving the target.</t>
  </si>
  <si>
    <t xml:space="preserve">SW-08</t>
  </si>
  <si>
    <t xml:space="preserve">Space and Enter toggle exactly once while native focus remains on Root.</t>
  </si>
  <si>
    <t xml:space="preserve">SW-09</t>
  </si>
  <si>
    <t xml:space="preserve">Controlled and uncontrolled state expose identical visuals and correct checked-change behavior.</t>
  </si>
  <si>
    <t xml:space="preserve">../test/components/switch/switch.test.tsx; tests/components/switch/behavior.spec.ts</t>
  </si>
  <si>
    <t xml:space="preserve">SW-10</t>
  </si>
  <si>
    <t xml:space="preserve">Disabled, required, invalid, and read-only attributes propagate to both parts with distinct behavior and paint.</t>
  </si>
  <si>
    <t xml:space="preserve">SW-11</t>
  </si>
  <si>
    <t xml:space="preserve">Read-only remains focusable and submitted but cannot mutate or emit checked changes.</t>
  </si>
  <si>
    <t xml:space="preserve">SW-12</t>
  </si>
  <si>
    <t xml:space="preserve">Named submission, native required focus, reset, external ownership, and Field relationships work.</t>
  </si>
  <si>
    <t xml:space="preserve">SW-13</t>
  </si>
  <si>
    <t xml:space="preserve">render and asChild preserve custom hosts, role, state, decorative semantics, classes, slots, and native props.</t>
  </si>
  <si>
    <t xml:space="preserve">SW-14</t>
  </si>
  <si>
    <t xml:space="preserve">Accessible name, switch role, boolean checked state, decorative Thumb, Field relationships, and axe checks pass.</t>
  </si>
  <si>
    <t xml:space="preserve">SW-15</t>
  </si>
  <si>
    <t xml:space="preserve">Risk-selected defaults, sizes, composition, dark appearance, responsive RTL, and forced-color baselines require owner review.</t>
  </si>
  <si>
    <t xml:space="preserve">tests/components/switch/visual.spec.ts</t>
  </si>
  <si>
    <t xml:space="preserve">Generated and agent-inspected; owner review unclaimed</t>
  </si>
  <si>
    <t xml:space="preserve">SW-16</t>
  </si>
  <si>
    <t xml:space="preserve">A tester completes the top-to-bottom keyboard, screen reader, zoom, mobile, RTL, appearance, reduced-motion, and forced-color protocol.</t>
  </si>
  <si>
    <t xml:space="preserve">manual-tests/switch.md</t>
  </si>
  <si>
    <t xml:space="preserve">Human run intentionally unclaimed</t>
  </si>
  <si>
    <t xml:space="preserve">SW-17</t>
  </si>
  <si>
    <t xml:space="preserve">../docs/components/switch/README.md</t>
  </si>
  <si>
    <t xml:space="preserve">SW-18</t>
  </si>
  <si>
    <t xml:space="preserve">../docs/components/switch/CHANGELOG.md; ../CHANGELOG.md</t>
  </si>
  <si>
    <t xml:space="preserve">SW-19</t>
  </si>
  <si>
    <t xml:space="preserve">The packed Consumer imports the public subpath and operates a controlled immediate setting in Popover.</t>
  </si>
  <si>
    <t xml:space="preserve">SW-20</t>
  </si>
  <si>
    <t xml:space="preserve">Build, exports, SSR, tarball, CSS, React 18/19, and Consumer boundary verification pass.</t>
  </si>
  <si>
    <t xml:space="preserve">Breadcrumb Evidence</t>
  </si>
  <si>
    <t xml:space="preserve">Assertion-level Atom-backed package, browser, visual, accessibility, documentation, Consumer, composition, and responsive evidence.</t>
  </si>
  <si>
    <t xml:space="preserve">BC-01</t>
  </si>
  <si>
    <t xml:space="preserve">Root/List/Item/Link/Page/Separator/Ellipsis</t>
  </si>
  <si>
    <t xml:space="preserve">Brick styles released Atom 0.11.1 Breadcrumb semantics and composition without recreating navigation, current-page, separator, or polymorphic behavior.</t>
  </si>
  <si>
    <t xml:space="preserve">../src/components/breadcrumb</t>
  </si>
  <si>
    <t xml:space="preserve">BC-02</t>
  </si>
  <si>
    <t xml:space="preserve">The public seven-part namespace preserves nav, ordered-list, list-item, native-anchor, current-page, hidden-separator, and ellipsis hosts without Brick-only wrappers.</t>
  </si>
  <si>
    <t xml:space="preserve">../test/components/breadcrumb/breadcrumb.test.tsx</t>
  </si>
  <si>
    <t xml:space="preserve">BC-03</t>
  </si>
  <si>
    <t xml:space="preserve">Namespace, named parts, public types, root export, and breadcrumb subpath are exported with identical runtime identities.</t>
  </si>
  <si>
    <t xml:space="preserve">BC-04</t>
  </si>
  <si>
    <t xml:space="preserve">Closed size and variant recipes, native props, refs, render, asChild, separators, and ellipsis composition type-check.</t>
  </si>
  <si>
    <t xml:space="preserve">../test/types/components/breadcrumb.test.ts</t>
  </si>
  <si>
    <t xml:space="preserve">BC-05</t>
  </si>
  <si>
    <t xml:space="preserve">Static CSS ships typography, spacing, link, current-page, separator, ellipsis, focus, RTL, forced-color, and public-variable behavior.</t>
  </si>
  <si>
    <t xml:space="preserve">../src/components/breadcrumb/breadcrumb.css</t>
  </si>
  <si>
    <t xml:space="preserve">BC-06</t>
  </si>
  <si>
    <t xml:space="preserve">Root/Link/Page</t>
  </si>
  <si>
    <t xml:space="preserve">Medium plain styling renders neutral ancestor links and a primary medium-emphasis current page as the canonical default.</t>
  </si>
  <si>
    <t xml:space="preserve">tests/components/breadcrumb/behavior.spec.ts</t>
  </si>
  <si>
    <t xml:space="preserve">BC-07</t>
  </si>
  <si>
    <t xml:space="preserve">Variants</t>
  </si>
  <si>
    <t xml:space="preserve">Root/Link</t>
  </si>
  <si>
    <t xml:space="preserve">Plain and underline alter only ancestor-link decoration while content, size, separators, and current-page styling remain default.</t>
  </si>
  <si>
    <t xml:space="preserve">tests/components/breadcrumb/visual.spec.ts</t>
  </si>
  <si>
    <t xml:space="preserve">BC-08</t>
  </si>
  <si>
    <t xml:space="preserve">Sizes</t>
  </si>
  <si>
    <t xml:space="preserve">Small, medium, and large change only typography and trail spacing while preserving native semantics and usable link targets.</t>
  </si>
  <si>
    <t xml:space="preserve">BC-09</t>
  </si>
  <si>
    <t xml:space="preserve">Link/Page/Separator</t>
  </si>
  <si>
    <t xml:space="preserve">Custom separators, contextual Brick Icons, and long localized page names preserve reading order and containment.</t>
  </si>
  <si>
    <t xml:space="preserve">tests/components/breadcrumb/behavior.spec.ts; tests/components/breadcrumb/visual.spec.ts</t>
  </si>
  <si>
    <t xml:space="preserve">BC-10</t>
  </si>
  <si>
    <t xml:space="preserve">Current page</t>
  </si>
  <si>
    <t xml:space="preserve">Page</t>
  </si>
  <si>
    <t xml:space="preserve">Page exposes aria-current=page, is not a link, and remains the final announced location.</t>
  </si>
  <si>
    <t xml:space="preserve">../test/components/breadcrumb/breadcrumb.test.tsx; tests/components/breadcrumb/behavior.spec.ts</t>
  </si>
  <si>
    <t xml:space="preserve">BC-11</t>
  </si>
  <si>
    <t xml:space="preserve">Static collapse</t>
  </si>
  <si>
    <t xml:space="preserve">Ellipsis</t>
  </si>
  <si>
    <t xml:space="preserve">A presentational ellipsis may replace omitted ancestors while remaining hidden from assistive technology.</t>
  </si>
  <si>
    <t xml:space="preserve">BC-12</t>
  </si>
  <si>
    <t xml:space="preserve">Interactive collapse</t>
  </si>
  <si>
    <t xml:space="preserve">Consumer-composed interactive ellipsis exposes a named button, a 44px target, and application-owned expansion status without changing Breadcrumb state ownership.</t>
  </si>
  <si>
    <t xml:space="preserve">BC-13</t>
  </si>
  <si>
    <t xml:space="preserve">Native links</t>
  </si>
  <si>
    <t xml:space="preserve">Ancestor links preserve native href, target, rel, download, click, and focus behavior.</t>
  </si>
  <si>
    <t xml:space="preserve">BC-14</t>
  </si>
  <si>
    <t xml:space="preserve">render and asChild preserve consumer hosts, native semantics, refs, classes, data slots, Atom attributes, and one inspectable final hierarchy.</t>
  </si>
  <si>
    <t xml:space="preserve">BC-15</t>
  </si>
  <si>
    <t xml:space="preserve">Root/List</t>
  </si>
  <si>
    <t xml:space="preserve">Long trails wrap without clipping at constrained widths, 200%/400% zoom, text spacing, mobile widths, and RTL direction.</t>
  </si>
  <si>
    <t xml:space="preserve">BC-16</t>
  </si>
  <si>
    <t xml:space="preserve">Named navigation, ordered-list structure, native links, current page, hidden separators, focus visibility, target size, and axe checks pass.</t>
  </si>
  <si>
    <t xml:space="preserve">BC-17</t>
  </si>
  <si>
    <t xml:space="preserve">Reviewed baselines cover default, variants, sizes, content, collapse, composition, dark appearance, mobile RTL, and forced colors.</t>
  </si>
  <si>
    <t xml:space="preserve">Agent-inspected all nine generated baselines</t>
  </si>
  <si>
    <t xml:space="preserve">BC-18</t>
  </si>
  <si>
    <t xml:space="preserve">A tester completes the concise top-to-bottom pointer, keyboard, screen-reader, zoom, mobile, appearance, forced-color, and RTL protocol.</t>
  </si>
  <si>
    <t xml:space="preserve">manual-tests/breadcrumb.md</t>
  </si>
  <si>
    <t xml:space="preserve">BC-19</t>
  </si>
  <si>
    <t xml:space="preserve">Public use, anatomy, recipes, accessibility, native props, composition, responsive behavior, customization, evidence, and exclusions are documented.</t>
  </si>
  <si>
    <t xml:space="preserve">../docs/components/breadcrumb/README.md</t>
  </si>
  <si>
    <t xml:space="preserve">BC-20</t>
  </si>
  <si>
    <t xml:space="preserve">The component owns a public changelog and the package changelog records its addition.</t>
  </si>
  <si>
    <t xml:space="preserve">../docs/components/breadcrumb/CHANGELOG.md; ../CHANGELOG.md</t>
  </si>
  <si>
    <t xml:space="preserve">BC-21</t>
  </si>
  <si>
    <t xml:space="preserve">One navigable route exposes all adopted defaults, recipes, content, collapse, native-link, composition, appearance, customization, responsive, and RTL scenarios.</t>
  </si>
  <si>
    <t xml:space="preserve">src/components/breadcrumb/BreadcrumbPage.tsx</t>
  </si>
  <si>
    <t xml:space="preserve">BC-22</t>
  </si>
  <si>
    <t xml:space="preserve">The packed Consumer imports the public subpath and renders a realistic current-workspace trail.</t>
  </si>
  <si>
    <t xml:space="preserve">BC-23</t>
  </si>
  <si>
    <t xml:space="preserve">Build, exports, SSR, tarball, CSS, React 18/19, Consumer boundary, browser matrix, docs, and exact Atom 0.11.1 dependency pass.</t>
  </si>
  <si>
    <t xml:space="preserve">Tabs Evidence</t>
  </si>
  <si>
    <t xml:space="preserve">Assertion-level Atom-backed package, keyboard, browser, visual, accessibility, documentation, Consumer, composition, and responsive evidence.</t>
  </si>
  <si>
    <t xml:space="preserve">TB-01</t>
  </si>
  <si>
    <t xml:space="preserve">Brick styles released Atom 0.11.1 Tabs without recreating state, focus, keyboard, direction, relationships, panel lifecycle, or measurement.</t>
  </si>
  <si>
    <t xml:space="preserve">../src/components/tabs</t>
  </si>
  <si>
    <t xml:space="preserve">TB-02</t>
  </si>
  <si>
    <t xml:space="preserve">Root/List/Trigger/Content/Indicator</t>
  </si>
  <si>
    <t xml:space="preserve">The public five-part namespace preserves Atom hosts, roles, relationships, refs, native props, and composition.</t>
  </si>
  <si>
    <t xml:space="preserve">../test/components/tabs/tabs.test.tsx</t>
  </si>
  <si>
    <t xml:space="preserve">TB-03</t>
  </si>
  <si>
    <t xml:space="preserve">Root and tabs subpath expose the namespace, named parts, and every public type with identical runtime identities.</t>
  </si>
  <si>
    <t xml:space="preserve">TB-04</t>
  </si>
  <si>
    <t xml:space="preserve">Closed size/variant recipes plus Atom props, controlled state, orientation, composition, native props, and refs type-check.</t>
  </si>
  <si>
    <t xml:space="preserve">../test/types/components/tabs.test.ts</t>
  </si>
  <si>
    <t xml:space="preserve">TB-05</t>
  </si>
  <si>
    <t xml:space="preserve">Static CSS ships layouts, four recipes, sizes, states, overflow, RTL, forced-color, reduced-motion, and public-variable behavior.</t>
  </si>
  <si>
    <t xml:space="preserve">../src/components/tabs/tabs.css</t>
  </si>
  <si>
    <t xml:space="preserve">TB-06</t>
  </si>
  <si>
    <t xml:space="preserve">Root/List/Trigger/Content</t>
  </si>
  <si>
    <t xml:space="preserve">Medium horizontal line Tabs default to automatic looping activation with the authored initial panel selected.</t>
  </si>
  <si>
    <t xml:space="preserve">tests/components/tabs/behavior.spec.ts</t>
  </si>
  <si>
    <t xml:space="preserve">TB-07</t>
  </si>
  <si>
    <t xml:space="preserve">Line, solid, soft, and enclosed are visually distinct while identical content, size, state, and orientation stay default.</t>
  </si>
  <si>
    <t xml:space="preserve">tests/components/tabs/visual.spec.ts</t>
  </si>
  <si>
    <t xml:space="preserve">Agent-inspected generated variants baseline.</t>
  </si>
  <si>
    <t xml:space="preserve">TB-08</t>
  </si>
  <si>
    <t xml:space="preserve">Root/Trigger/Content</t>
  </si>
  <si>
    <t xml:space="preserve">Small, medium, and large alter shared typography, height, spacing, and panel inset only.</t>
  </si>
  <si>
    <t xml:space="preserve">Agent-inspected generated sizes baseline.</t>
  </si>
  <si>
    <t xml:space="preserve">TB-09</t>
  </si>
  <si>
    <t xml:space="preserve">Layout</t>
  </si>
  <si>
    <t xml:space="preserve">Root/List/Trigger</t>
  </si>
  <si>
    <t xml:space="preserve">Vertical orientation changes physical layout and arrow axis; fullWidth distributes horizontal triggers equally.</t>
  </si>
  <si>
    <t xml:space="preserve">tests/components/tabs/behavior.spec.ts; tests/components/tabs/visual.spec.ts</t>
  </si>
  <si>
    <t xml:space="preserve">TB-10</t>
  </si>
  <si>
    <t xml:space="preserve">Trigger</t>
  </si>
  <si>
    <t xml:space="preserve">Selected, inactive, hover, focus-visible, disabled, and composed-icon content remain aligned and distinct.</t>
  </si>
  <si>
    <t xml:space="preserve">TB-11</t>
  </si>
  <si>
    <t xml:space="preserve">Activation</t>
  </si>
  <si>
    <t xml:space="preserve">Automatic activation selects on focus; manual activation waits for Enter/Space; Home/End and disabled skipping remain Atom-owned.</t>
  </si>
  <si>
    <t xml:space="preserve">TB-12</t>
  </si>
  <si>
    <t xml:space="preserve">Panels</t>
  </si>
  <si>
    <t xml:space="preserve">Active, unmounted, keepMounted, hidden, and focusable panel contracts remain correctly related to their triggers.</t>
  </si>
  <si>
    <t xml:space="preserve">../test/components/tabs/tabs.test.tsx; tests/components/tabs/behavior.spec.ts</t>
  </si>
  <si>
    <t xml:space="preserve">TB-13</t>
  </si>
  <si>
    <t xml:space="preserve">Indicator</t>
  </si>
  <si>
    <t xml:space="preserve">Optional Indicator follows Atom trigger measurement, selected fallback remains visible, and reduced motion removes transitions.</t>
  </si>
  <si>
    <t xml:space="preserve">Agent-inspected line and vertical baselines.</t>
  </si>
  <si>
    <t xml:space="preserve">TB-14</t>
  </si>
  <si>
    <t xml:space="preserve">render and asChild preserve roles, IDs, relationships, native hosts, classes, slots, and refs in actual HTML.</t>
  </si>
  <si>
    <t xml:space="preserve">TB-15</t>
  </si>
  <si>
    <t xml:space="preserve">Constrained horizontal lists stay one row and scroll rather than wrap; vertical semantic orientation is not changed by CSS.</t>
  </si>
  <si>
    <t xml:space="preserve">TB-16</t>
  </si>
  <si>
    <t xml:space="preserve">Explicit RTL preserves genuine text and mirrors horizontal arrow navigation while vertical navigation is unchanged.</t>
  </si>
  <si>
    <t xml:space="preserve">TB-17</t>
  </si>
  <si>
    <t xml:space="preserve">Named tablists, selected/disabled states, relationships, roving focus, forced colors, and axe pass.</t>
  </si>
  <si>
    <t xml:space="preserve">TB-18</t>
  </si>
  <si>
    <t xml:space="preserve">Reviewed baselines cover defaults, variants, sizes, layouts, content, dark appearance, mobile RTL, and forced colors.</t>
  </si>
  <si>
    <t xml:space="preserve">Agent-inspected every generated Tabs baseline.</t>
  </si>
  <si>
    <t xml:space="preserve">TB-19</t>
  </si>
  <si>
    <t xml:space="preserve">A tester completes the concise top-to-bottom keyboard, AT, zoom, device, appearance, RTL, forced-color, and reduced-motion protocol.</t>
  </si>
  <si>
    <t xml:space="preserve">manual-tests/tabs.md</t>
  </si>
  <si>
    <t xml:space="preserve">Human run intentionally unclaimed.</t>
  </si>
  <si>
    <t xml:space="preserve">TB-20</t>
  </si>
  <si>
    <t xml:space="preserve">Source-backed usage, anatomy, API, recipes, accessibility, responsive behavior, composition, CSS, customization, and evidence are documented.</t>
  </si>
  <si>
    <t xml:space="preserve">../docs/components/tabs/README.md</t>
  </si>
  <si>
    <t xml:space="preserve">TB-21</t>
  </si>
  <si>
    <t xml:space="preserve">One navigable route exposes all nine controlled scenarios and actual composition output.</t>
  </si>
  <si>
    <t xml:space="preserve">src/components/tabs/TabsPage.tsx</t>
  </si>
  <si>
    <t xml:space="preserve">TB-22</t>
  </si>
  <si>
    <t xml:space="preserve">Packed Consumer imports the public subpath and operates a realistic workspace preview.</t>
  </si>
  <si>
    <t xml:space="preserve">TB-23</t>
  </si>
  <si>
    <t xml:space="preserve">Build, exports, SSR, tarball, CSS, React 18/19, Consumer, configured browsers, docs, and exact Atom dependency pass.</t>
  </si>
  <si>
    <t xml:space="preserve">Skeleton Evidence</t>
  </si>
  <si>
    <t xml:space="preserve">Assertion-level visual loading, motion, geometry, accessibility, package, documentation, Consumer, and responsive evidence.</t>
  </si>
  <si>
    <t xml:space="preserve">SK-01</t>
  </si>
  <si>
    <t xml:space="preserve">Brick owns a purely visual loading placeholder; applications own loading state and region announcements, so no Atom primitive is duplicated.</t>
  </si>
  <si>
    <t xml:space="preserve">../src/components/skeleton</t>
  </si>
  <si>
    <t xml:space="preserve">SK-02</t>
  </si>
  <si>
    <t xml:space="preserve">One stable span preserves native props/ref and private content or line children without changing the root across loading transitions.</t>
  </si>
  <si>
    <t xml:space="preserve">../test/components/skeleton/skeleton.test.tsx</t>
  </si>
  <si>
    <t xml:space="preserve">SK-03</t>
  </si>
  <si>
    <t xml:space="preserve">Root and skeleton subpath expose the runtime component and every closed public type.</t>
  </si>
  <si>
    <t xml:space="preserve">SK-04</t>
  </si>
  <si>
    <t xml:space="preserve">Closed shapes and animations, dimensions, lines, native props, style, slot, children, and ref type-check.</t>
  </si>
  <si>
    <t xml:space="preserve">../test/types/components/skeleton.test.ts</t>
  </si>
  <si>
    <t xml:space="preserve">SK-05</t>
  </si>
  <si>
    <t xml:space="preserve">Static CSS ships geometry, pulse/wave/static recipes, child hiding, line layout, forced colors, reduced motion, and public variables.</t>
  </si>
  <si>
    <t xml:space="preserve">../src/components/skeleton/skeleton.css</t>
  </si>
  <si>
    <t xml:space="preserve">SK-06</t>
  </si>
  <si>
    <t xml:space="preserve">Text, pulse, loading, and one line render as a silent full-width font-height placeholder.</t>
  </si>
  <si>
    <t xml:space="preserve">tests/components/skeleton/behavior.spec.ts</t>
  </si>
  <si>
    <t xml:space="preserve">SK-07</t>
  </si>
  <si>
    <t xml:space="preserve">Text, circular, rectangular, and rounded change only intended geometry.</t>
  </si>
  <si>
    <t xml:space="preserve">tests/components/skeleton/visual.spec.ts</t>
  </si>
  <si>
    <t xml:space="preserve">SK-08</t>
  </si>
  <si>
    <t xml:space="preserve">Animation</t>
  </si>
  <si>
    <t xml:space="preserve">Pulse, wave, and none are visually distinct and all animation stops with prefers-reduced-motion.</t>
  </si>
  <si>
    <t xml:space="preserve">Agent-inspected generated animation baseline.</t>
  </si>
  <si>
    <t xml:space="preserve">SK-09</t>
  </si>
  <si>
    <t xml:space="preserve">Dimensions</t>
  </si>
  <si>
    <t xml:space="preserve">Numeric, CSS-length, consumer style, defaults, and public variables size placeholders without a misleading component size scale.</t>
  </si>
  <si>
    <t xml:space="preserve">tests/components/skeleton/behavior.spec.ts; tests/components/skeleton/visual.spec.ts</t>
  </si>
  <si>
    <t xml:space="preserve">SK-10</t>
  </si>
  <si>
    <t xml:space="preserve">Text lines</t>
  </si>
  <si>
    <t xml:space="preserve">One, three, and five-line standalone text render exact row counts and a shorter final line.</t>
  </si>
  <si>
    <t xml:space="preserve">SK-11</t>
  </si>
  <si>
    <t xml:space="preserve">Loading</t>
  </si>
  <si>
    <t xml:space="preserve">Wrapped content preserves exact layout, stays hidden/noninteractive while loading, and returns through the same root.</t>
  </si>
  <si>
    <t xml:space="preserve">../test/components/skeleton/skeleton.test.tsx; tests/components/skeleton/behavior.spec.ts</t>
  </si>
  <si>
    <t xml:space="preserve">SK-12</t>
  </si>
  <si>
    <t xml:space="preserve">Real Brick controls, surfaces, rows, and card previews compose without Skeleton taking their semantics or data ownership.</t>
  </si>
  <si>
    <t xml:space="preserve">Agent-inspected loading and composition baselines.</t>
  </si>
  <si>
    <t xml:space="preserve">SK-13</t>
  </si>
  <si>
    <t xml:space="preserve">Loading placeholders are aria-hidden, never focusable or named, and the owning region demonstrates aria-busy; axe passes.</t>
  </si>
  <si>
    <t xml:space="preserve">SK-14</t>
  </si>
  <si>
    <t xml:space="preserve">Logical dimensions stay bounded under narrow width, RTL, mobile, and zoom without page overflow.</t>
  </si>
  <si>
    <t xml:space="preserve">SK-15</t>
  </si>
  <si>
    <t xml:space="preserve">Appearance</t>
  </si>
  <si>
    <t xml:space="preserve">Semantic paint adapts in light/dark and forced colors; exact public variables match the customization example.</t>
  </si>
  <si>
    <t xml:space="preserve">Agent-inspected appearance and forced-color baselines.</t>
  </si>
  <si>
    <t xml:space="preserve">SK-16</t>
  </si>
  <si>
    <t xml:space="preserve">Reviewed baselines cover defaults, shapes, animation, dimensions, lines, loading, appearance, mobile, and forced colors.</t>
  </si>
  <si>
    <t xml:space="preserve">Agent-inspected every generated Skeleton baseline.</t>
  </si>
  <si>
    <t xml:space="preserve">SK-17</t>
  </si>
  <si>
    <t xml:space="preserve">A tester completes the concise shape, motion, loading, AT, zoom, device, appearance, forced-color, and reduced-motion protocol.</t>
  </si>
  <si>
    <t xml:space="preserve">manual-tests/skeleton.md</t>
  </si>
  <si>
    <t xml:space="preserve">SK-18</t>
  </si>
  <si>
    <t xml:space="preserve">Source-backed use, anatomy, API, recipes, accessibility, responsive behavior, composition, CSS, customization, and evidence are documented.</t>
  </si>
  <si>
    <t xml:space="preserve">../docs/components/skeleton/README.md</t>
  </si>
  <si>
    <t xml:space="preserve">SK-19</t>
  </si>
  <si>
    <t xml:space="preserve">Skeleton owns a public changelog and the package changelog records the addition.</t>
  </si>
  <si>
    <t xml:space="preserve">../docs/components/skeleton/CHANGELOG.md; ../CHANGELOG.md</t>
  </si>
  <si>
    <t xml:space="preserve">SK-20</t>
  </si>
  <si>
    <t xml:space="preserve">One navigable route exposes all nine controlled scenarios including loading and region ownership.</t>
  </si>
  <si>
    <t xml:space="preserve">src/components/skeleton/SkeletonPage.tsx</t>
  </si>
  <si>
    <t xml:space="preserve">SK-21</t>
  </si>
  <si>
    <t xml:space="preserve">Packed Consumer imports the public subpath and renders multi-line loading geometry inside Tabs.</t>
  </si>
  <si>
    <t xml:space="preserve">SK-22</t>
  </si>
  <si>
    <t xml:space="preserve">Build, exports, SSR, tarball, CSS, React 18/19, Consumer, configured browsers, docs, and size gates pass.</t>
  </si>
  <si>
    <t xml:space="preserve">Dropdown Menu Evidence</t>
  </si>
  <si>
    <t xml:space="preserve">DM-01</t>
  </si>
  <si>
    <t xml:space="preserve">Brick styles released Atom 0.12.1 menu behavior without recreating open state, focus, keyboard, selection, dismissal, portals, or positioning.</t>
  </si>
  <si>
    <t xml:space="preserve">../src/components/dropdown-menu</t>
  </si>
  <si>
    <t xml:space="preserve">DM-02</t>
  </si>
  <si>
    <t xml:space="preserve">The complete public namespace preserves trigger, popup, group, choice, indicator, static row, separator, arrow, and submenu ownership.</t>
  </si>
  <si>
    <t xml:space="preserve">../test/components/dropdown-menu/dropdown-menu.test.tsx</t>
  </si>
  <si>
    <t xml:space="preserve">DM-03</t>
  </si>
  <si>
    <t xml:space="preserve">DropdownMenu</t>
  </si>
  <si>
    <t xml:space="preserve">Root and dropdown-menu subpath expose the namespace, named parts, and public types with identical runtime identities.</t>
  </si>
  <si>
    <t xml:space="preserve">../test/package/package.test.mjs; ../scripts/verify-consumers.mjs</t>
  </si>
  <si>
    <t xml:space="preserve">DM-04</t>
  </si>
  <si>
    <t xml:space="preserve">Closed sizes and tones plus Atom behavior, composition, native props, and refs type-check.</t>
  </si>
  <si>
    <t xml:space="preserve">../test/types/components/dropdown-menu.test.ts</t>
  </si>
  <si>
    <t xml:space="preserve">DM-05</t>
  </si>
  <si>
    <t xml:space="preserve">Static CSS ships the popup surface, row anatomy, selection, danger, disabled, submenu, preference, and public-token recipes.</t>
  </si>
  <si>
    <t xml:space="preserve">../src/components/dropdown-menu/dropdown-menu.css</t>
  </si>
  <si>
    <t xml:space="preserve">DM-06</t>
  </si>
  <si>
    <t xml:space="preserve">Root/Trigger/Content/Item</t>
  </si>
  <si>
    <t xml:space="preserve">A medium button-triggered menu opens with neutral rows and Atom-owned focus and dismissal.</t>
  </si>
  <si>
    <t xml:space="preserve">tests/components/dropdown-menu/behavior.spec.ts</t>
  </si>
  <si>
    <t xml:space="preserve">DM-07</t>
  </si>
  <si>
    <t xml:space="preserve">Content/SubContent</t>
  </si>
  <si>
    <t xml:space="preserve">Small, medium, and large change only shared popup row geometry and typography.</t>
  </si>
  <si>
    <t xml:space="preserve">tests/components/dropdown-menu/visual.spec.ts</t>
  </si>
  <si>
    <t xml:space="preserve">Agent-inspected generated size baselines.</t>
  </si>
  <si>
    <t xml:space="preserve">DM-08</t>
  </si>
  <si>
    <t xml:space="preserve">Item anatomy</t>
  </si>
  <si>
    <t xml:space="preserve">Leading content, label, description, shortcut, groups, labels, separators, and Arrow align without changing command semantics.</t>
  </si>
  <si>
    <t xml:space="preserve">Agent-inspected open and anatomy baselines.</t>
  </si>
  <si>
    <t xml:space="preserve">DM-09</t>
  </si>
  <si>
    <t xml:space="preserve">Selection</t>
  </si>
  <si>
    <t xml:space="preserve">CheckboxItem/RadioItem</t>
  </si>
  <si>
    <t xml:space="preserve">Checked, mixed, and radio choices expose persistent Atom selection and visible indicators.</t>
  </si>
  <si>
    <t xml:space="preserve">DM-10</t>
  </si>
  <si>
    <t xml:space="preserve">Item/SubTrigger</t>
  </si>
  <si>
    <t xml:space="preserve">Neutral, highlighted, disabled, and danger commands remain distinct with identical default geometry.</t>
  </si>
  <si>
    <t xml:space="preserve">tests/components/dropdown-menu/behavior.spec.ts; tests/components/dropdown-menu/visual.spec.ts</t>
  </si>
  <si>
    <t xml:space="preserve">DM-11</t>
  </si>
  <si>
    <t xml:space="preserve">Submenus</t>
  </si>
  <si>
    <t xml:space="preserve">Sub/SubTrigger/SubContent</t>
  </si>
  <si>
    <t xml:space="preserve">Keyboard and pointer submenu opening preserves nested focus, direction, collision, and dismissal.</t>
  </si>
  <si>
    <t xml:space="preserve">DM-12</t>
  </si>
  <si>
    <t xml:space="preserve">Enter opens, menu focus enters, Escape closes, and focus returns to the trigger.</t>
  </si>
  <si>
    <t xml:space="preserve">DM-13</t>
  </si>
  <si>
    <t xml:space="preserve">Trigger/static parts</t>
  </si>
  <si>
    <t xml:space="preserve">asChild and render preserve the authored host, attributes, handlers, slots, and refs without duplicate controls.</t>
  </si>
  <si>
    <t xml:space="preserve">../test/components/dropdown-menu/dropdown-menu.test.tsx; tests/components/dropdown-menu/behavior.spec.ts</t>
  </si>
  <si>
    <t xml:space="preserve">DM-14</t>
  </si>
  <si>
    <t xml:space="preserve">Constrained popups remain inside the viewport with reachable long and repeated commands.</t>
  </si>
  <si>
    <t xml:space="preserve">DM-15</t>
  </si>
  <si>
    <t xml:space="preserve">RTL content and submenu direction mirror while authored text stays genuine.</t>
  </si>
  <si>
    <t xml:space="preserve">DM-16</t>
  </si>
  <si>
    <t xml:space="preserve">Named triggers and menus, roles, choice states, disabled state, focus return, forced colors, and axe pass.</t>
  </si>
  <si>
    <t xml:space="preserve">DM-17</t>
  </si>
  <si>
    <t xml:space="preserve">Reviewed baselines cover closed and open defaults, anatomy, choices, states, dark appearance, mobile RTL, and forced colors.</t>
  </si>
  <si>
    <t xml:space="preserve">Agent-inspected every generated Dropdown Menu baseline.</t>
  </si>
  <si>
    <t xml:space="preserve">DM-18</t>
  </si>
  <si>
    <t xml:space="preserve">Interactive parts</t>
  </si>
  <si>
    <t xml:space="preserve">Keyboard opening, roving or adjacent navigation, activation, dismissal, and focus return remain Atom-owned.</t>
  </si>
  <si>
    <t xml:space="preserve">DM-19</t>
  </si>
  <si>
    <t xml:space="preserve">A tester completes the concise top-to-bottom pointer, keyboard, AT, zoom, device, appearance, RTL, forced-color, and reduced-motion protocol.</t>
  </si>
  <si>
    <t xml:space="preserve">manual-tests/dropdown-menu.md</t>
  </si>
  <si>
    <t xml:space="preserve">DM-20</t>
  </si>
  <si>
    <t xml:space="preserve">../docs/components/dropdown-menu/README.md</t>
  </si>
  <si>
    <t xml:space="preserve">DM-21</t>
  </si>
  <si>
    <t xml:space="preserve">One navigable route exposes nine controlled scenarios and actual rendered composition output.</t>
  </si>
  <si>
    <t xml:space="preserve">src/components/dropdown-menu/DropdownMenuPage.tsx</t>
  </si>
  <si>
    <t xml:space="preserve">DM-22</t>
  </si>
  <si>
    <t xml:space="preserve">Packed Consumer imports the public subpath and operates realistic component composition on desktop and mobile.</t>
  </si>
  <si>
    <t xml:space="preserve">DM-23</t>
  </si>
  <si>
    <t xml:space="preserve">Context Menu Evidence</t>
  </si>
  <si>
    <t xml:space="preserve">CM-01</t>
  </si>
  <si>
    <t xml:space="preserve">Brick styles released Atom 0.12.1 Context Menu behavior without recreating state, focus, keyboard, dismissal, portals, or positioning.</t>
  </si>
  <si>
    <t xml:space="preserve">../src/components/context-menu</t>
  </si>
  <si>
    <t xml:space="preserve">CM-02</t>
  </si>
  <si>
    <t xml:space="preserve">The public namespace preserves every adopted host, semantic relationship, native prop, ref, and composition boundary.</t>
  </si>
  <si>
    <t xml:space="preserve">../test/components/context-menu/context-menu.test.tsx</t>
  </si>
  <si>
    <t xml:space="preserve">CM-03</t>
  </si>
  <si>
    <t xml:space="preserve">ContextMenu</t>
  </si>
  <si>
    <t xml:space="preserve">Root and component subpath expose the namespace, named parts, and public types with identical runtime identities.</t>
  </si>
  <si>
    <t xml:space="preserve">CM-04</t>
  </si>
  <si>
    <t xml:space="preserve">Closed Brick recipes plus Atom behavior, composition, native props, and refs type-check.</t>
  </si>
  <si>
    <t xml:space="preserve">../test/types/components/context-menu.test.ts</t>
  </si>
  <si>
    <t xml:space="preserve">CM-05</t>
  </si>
  <si>
    <t xml:space="preserve">Static CSS ships every adopted recipe, state, responsive boundary, preference mode, and public customization hook.</t>
  </si>
  <si>
    <t xml:space="preserve">../src/components/context-menu/context-menu.css</t>
  </si>
  <si>
    <t xml:space="preserve">CM-06</t>
  </si>
  <si>
    <t xml:space="preserve">Invocation</t>
  </si>
  <si>
    <t xml:space="preserve">Pointer context gesture and Shift+F10 open at the intended target while essential actions remain visibly available.</t>
  </si>
  <si>
    <t xml:space="preserve">tests/components/context-menu/behavior.spec.ts</t>
  </si>
  <si>
    <t xml:space="preserve">CM-07</t>
  </si>
  <si>
    <t xml:space="preserve">Small, medium, and large change only popup row geometry and typography.</t>
  </si>
  <si>
    <t xml:space="preserve">tests/components/context-menu/visual.spec.ts</t>
  </si>
  <si>
    <t xml:space="preserve">Agent-inspected generated component baselines.</t>
  </si>
  <si>
    <t xml:space="preserve">CM-08</t>
  </si>
  <si>
    <t xml:space="preserve">All popup parts</t>
  </si>
  <si>
    <t xml:space="preserve">Groups, labels, rows, supporting content, separators, Arrow, choices, danger, disabled, and submenus remain aligned.</t>
  </si>
  <si>
    <t xml:space="preserve">CM-09</t>
  </si>
  <si>
    <t xml:space="preserve">Checked, mixed, and radio choices preserve Atom selection and indicators.</t>
  </si>
  <si>
    <t xml:space="preserve">CM-10</t>
  </si>
  <si>
    <t xml:space="preserve">Neutral, highlighted, disabled, and danger commands stay distinct.</t>
  </si>
  <si>
    <t xml:space="preserve">CM-11</t>
  </si>
  <si>
    <t xml:space="preserve">Nested context actions preserve keyboard direction, collision, focus, and dismissal.</t>
  </si>
  <si>
    <t xml:space="preserve">CM-12</t>
  </si>
  <si>
    <t xml:space="preserve">CM-13</t>
  </si>
  <si>
    <t xml:space="preserve">Composed parts</t>
  </si>
  <si>
    <t xml:space="preserve">render and asChild preserve native hosts, semantic roles, attributes, state, handlers, slots, and refs.</t>
  </si>
  <si>
    <t xml:space="preserve">CM-14</t>
  </si>
  <si>
    <t xml:space="preserve">Narrow viewports preserve reachable controls, constrained overlays, zoom, and the documented mobile boundary.</t>
  </si>
  <si>
    <t xml:space="preserve">CM-15</t>
  </si>
  <si>
    <t xml:space="preserve">Explicit RTL mirrors logical alignment and horizontal keyboard direction while preserving genuine text.</t>
  </si>
  <si>
    <t xml:space="preserve">CM-16</t>
  </si>
  <si>
    <t xml:space="preserve">Names, roles, states, keyboard order, focus, forced colors, and axe remain valid.</t>
  </si>
  <si>
    <t xml:space="preserve">CM-17</t>
  </si>
  <si>
    <t xml:space="preserve">Reviewed baselines cover defaults, recipes, states, dark appearance, mobile RTL, and forced colors.</t>
  </si>
  <si>
    <t xml:space="preserve">Agent-inspected every generated baseline.</t>
  </si>
  <si>
    <t xml:space="preserve">CM-18</t>
  </si>
  <si>
    <t xml:space="preserve">Behavior</t>
  </si>
  <si>
    <t xml:space="preserve">Component-specific state and interaction remain covered by focused browser and unit evidence.</t>
  </si>
  <si>
    <t xml:space="preserve">CM-19</t>
  </si>
  <si>
    <t xml:space="preserve">manual-tests/context-menu.md</t>
  </si>
  <si>
    <t xml:space="preserve">CM-20</t>
  </si>
  <si>
    <t xml:space="preserve">../docs/components/context-menu/README.md</t>
  </si>
  <si>
    <t xml:space="preserve">CM-21</t>
  </si>
  <si>
    <t xml:space="preserve">src/components/context-menu/ContextMenuPage.tsx</t>
  </si>
  <si>
    <t xml:space="preserve">CM-22</t>
  </si>
  <si>
    <t xml:space="preserve">CM-23</t>
  </si>
  <si>
    <t xml:space="preserve">Menubar Evidence</t>
  </si>
  <si>
    <t xml:space="preserve">MB-01</t>
  </si>
  <si>
    <t xml:space="preserve">Brick styles released Atom 0.12.1 Menubar behavior without recreating state, focus, keyboard, dismissal, portals, or positioning.</t>
  </si>
  <si>
    <t xml:space="preserve">../src/components/menubar</t>
  </si>
  <si>
    <t xml:space="preserve">MB-02</t>
  </si>
  <si>
    <t xml:space="preserve">../test/components/menubar/menubar.test.tsx</t>
  </si>
  <si>
    <t xml:space="preserve">MB-03</t>
  </si>
  <si>
    <t xml:space="preserve">MB-04</t>
  </si>
  <si>
    <t xml:space="preserve">../test/types/components/menubar.test.ts</t>
  </si>
  <si>
    <t xml:space="preserve">MB-05</t>
  </si>
  <si>
    <t xml:space="preserve">../src/components/menubar/menubar.css</t>
  </si>
  <si>
    <t xml:space="preserve">MB-06</t>
  </si>
  <si>
    <t xml:space="preserve">Root/Menu/Trigger/Content</t>
  </si>
  <si>
    <t xml:space="preserve">A medium horizontal menubar presents adjacent command categories and one Atom-owned popup.</t>
  </si>
  <si>
    <t xml:space="preserve">tests/components/menubar/behavior.spec.ts</t>
  </si>
  <si>
    <t xml:space="preserve">MB-07</t>
  </si>
  <si>
    <t xml:space="preserve">Orientation</t>
  </si>
  <si>
    <t xml:space="preserve">Horizontal and vertical orientations change layout and adjacent-trigger keyboard axis together.</t>
  </si>
  <si>
    <t xml:space="preserve">MB-08</t>
  </si>
  <si>
    <t xml:space="preserve">Root/Content</t>
  </si>
  <si>
    <t xml:space="preserve">Small, medium, and large change only persistent and popup control geometry.</t>
  </si>
  <si>
    <t xml:space="preserve">tests/components/menubar/visual.spec.ts</t>
  </si>
  <si>
    <t xml:space="preserve">MB-09</t>
  </si>
  <si>
    <t xml:space="preserve">Trigger/Item</t>
  </si>
  <si>
    <t xml:space="preserve">Idle, focused, open, disabled, neutral, and danger states remain distinct.</t>
  </si>
  <si>
    <t xml:space="preserve">MB-10</t>
  </si>
  <si>
    <t xml:space="preserve">Persistent choices and indicators work inside command categories.</t>
  </si>
  <si>
    <t xml:space="preserve">MB-11</t>
  </si>
  <si>
    <t xml:space="preserve">Nested command categories preserve focus, keyboard direction, and dismissal.</t>
  </si>
  <si>
    <t xml:space="preserve">MB-12</t>
  </si>
  <si>
    <t xml:space="preserve">MB-13</t>
  </si>
  <si>
    <t xml:space="preserve">MB-14</t>
  </si>
  <si>
    <t xml:space="preserve">MB-15</t>
  </si>
  <si>
    <t xml:space="preserve">MB-16</t>
  </si>
  <si>
    <t xml:space="preserve">MB-17</t>
  </si>
  <si>
    <t xml:space="preserve">MB-18</t>
  </si>
  <si>
    <t xml:space="preserve">MB-19</t>
  </si>
  <si>
    <t xml:space="preserve">manual-tests/menubar.md</t>
  </si>
  <si>
    <t xml:space="preserve">MB-20</t>
  </si>
  <si>
    <t xml:space="preserve">../docs/components/menubar/README.md</t>
  </si>
  <si>
    <t xml:space="preserve">MB-21</t>
  </si>
  <si>
    <t xml:space="preserve">src/components/menubar/MenubarPage.tsx</t>
  </si>
  <si>
    <t xml:space="preserve">MB-22</t>
  </si>
  <si>
    <t xml:space="preserve">MB-23</t>
  </si>
  <si>
    <t xml:space="preserve">Navigation Menu Evidence</t>
  </si>
  <si>
    <t xml:space="preserve">NM-01</t>
  </si>
  <si>
    <t xml:space="preserve">Brick styles released Atom 0.12.1 Navigation Menu behavior without recreating state, focus, keyboard, dismissal, portals, or positioning.</t>
  </si>
  <si>
    <t xml:space="preserve">../src/components/navigation-menu</t>
  </si>
  <si>
    <t xml:space="preserve">NM-02</t>
  </si>
  <si>
    <t xml:space="preserve">../test/components/navigation-menu/navigation-menu.test.tsx</t>
  </si>
  <si>
    <t xml:space="preserve">NM-03</t>
  </si>
  <si>
    <t xml:space="preserve">NavigationMenu</t>
  </si>
  <si>
    <t xml:space="preserve">NM-04</t>
  </si>
  <si>
    <t xml:space="preserve">../test/types/components/navigation-menu.test.ts</t>
  </si>
  <si>
    <t xml:space="preserve">NM-05</t>
  </si>
  <si>
    <t xml:space="preserve">../src/components/navigation-menu/navigation-menu.css</t>
  </si>
  <si>
    <t xml:space="preserve">NM-06</t>
  </si>
  <si>
    <t xml:space="preserve">Root/List/Item/Trigger/Content</t>
  </si>
  <si>
    <t xml:space="preserve">A medium horizontal navigation landmark combines native destinations with an optional rich panel.</t>
  </si>
  <si>
    <t xml:space="preserve">tests/components/navigation-menu/behavior.spec.ts</t>
  </si>
  <si>
    <t xml:space="preserve">NM-07</t>
  </si>
  <si>
    <t xml:space="preserve">Link model</t>
  </si>
  <si>
    <t xml:space="preserve">Link/Trigger</t>
  </si>
  <si>
    <t xml:space="preserve">Direct current links remain anchors while disclosure triggers remain buttons.</t>
  </si>
  <si>
    <t xml:space="preserve">NM-08</t>
  </si>
  <si>
    <t xml:space="preserve">Root/Sub</t>
  </si>
  <si>
    <t xml:space="preserve">Small, medium, and large change only navigation control geometry.</t>
  </si>
  <si>
    <t xml:space="preserve">tests/components/navigation-menu/visual.spec.ts</t>
  </si>
  <si>
    <t xml:space="preserve">NM-09</t>
  </si>
  <si>
    <t xml:space="preserve">Horizontal and vertical orientation change layout and keyboard axis together.</t>
  </si>
  <si>
    <t xml:space="preserve">NM-10</t>
  </si>
  <si>
    <t xml:space="preserve">Viewport</t>
  </si>
  <si>
    <t xml:space="preserve">Content/Viewport/Indicator</t>
  </si>
  <si>
    <t xml:space="preserve">Measured rich content, active trigger indicator, and viewport geometry follow Atom state.</t>
  </si>
  <si>
    <t xml:space="preserve">NM-11</t>
  </si>
  <si>
    <t xml:space="preserve">Trigger/Link</t>
  </si>
  <si>
    <t xml:space="preserve">Controlled open, current link, disabled trigger, hover, and focus states remain distinct.</t>
  </si>
  <si>
    <t xml:space="preserve">NM-12</t>
  </si>
  <si>
    <t xml:space="preserve">NM-13</t>
  </si>
  <si>
    <t xml:space="preserve">NM-14</t>
  </si>
  <si>
    <t xml:space="preserve">NM-15</t>
  </si>
  <si>
    <t xml:space="preserve">NM-16</t>
  </si>
  <si>
    <t xml:space="preserve">NM-17</t>
  </si>
  <si>
    <t xml:space="preserve">NM-18</t>
  </si>
  <si>
    <t xml:space="preserve">NM-19</t>
  </si>
  <si>
    <t xml:space="preserve">manual-tests/navigation-menu.md</t>
  </si>
  <si>
    <t xml:space="preserve">NM-20</t>
  </si>
  <si>
    <t xml:space="preserve">../docs/components/navigation-menu/README.md</t>
  </si>
  <si>
    <t xml:space="preserve">NM-21</t>
  </si>
  <si>
    <t xml:space="preserve">src/components/navigation-menu/NavigationMenuPage.tsx</t>
  </si>
  <si>
    <t xml:space="preserve">NM-22</t>
  </si>
  <si>
    <t xml:space="preserve">NM-23</t>
  </si>
  <si>
    <t xml:space="preserve">Bottom Navigation Evidence</t>
  </si>
  <si>
    <t xml:space="preserve">Assertion-level Atom-backed recipes, destination behavior, position, labels, selection, accessibility, visual, documentation, Consumer, and package evidence.</t>
  </si>
  <si>
    <t xml:space="preserve">BN-01</t>
  </si>
  <si>
    <t xml:space="preserve">Brick styles released Atom 0.13.0 Bottom Navigation behavior without recreating selection, native destination semantics, position, label visibility, disabled behavior, accessibility, refs, or composition.</t>
  </si>
  <si>
    <t xml:space="preserve">../src/components/bottom-navigation</t>
  </si>
  <si>
    <t xml:space="preserve">BN-02</t>
  </si>
  <si>
    <t xml:space="preserve">Root/Item/Icon/Label</t>
  </si>
  <si>
    <t xml:space="preserve">The public four-part namespace preserves Atom's native nav, anchor/button destination, authored Icon/Label spans, semantic relationships, slots, props, refs, and static-content boundaries.</t>
  </si>
  <si>
    <t xml:space="preserve">../test/components/bottom-navigation/bottom-navigation.test.tsx</t>
  </si>
  <si>
    <t xml:space="preserve">BN-03</t>
  </si>
  <si>
    <t xml:space="preserve">BottomNavigation</t>
  </si>
  <si>
    <t xml:space="preserve">Root and bottom-navigation subpath expose the namespace, named parts, recipe types, inherited position/label types, and public props with identical runtime identities.</t>
  </si>
  <si>
    <t xml:space="preserve">BN-04</t>
  </si>
  <si>
    <t xml:space="preserve">Closed recipes and the discriminated indicator/item selection shapes type-check; unsupported sizes and a circular whole-item selection fail.</t>
  </si>
  <si>
    <t xml:space="preserve">../test/types/components/bottom-navigation.test.ts</t>
  </si>
  <si>
    <t xml:space="preserve">BN-05</t>
  </si>
  <si>
    <t xml:space="preserve">Static CSS ships four variants, two tones, two layouts, two arrangements, three sizes, four positions, both selection targets, valid shapes, states, preferences, and documented variables.</t>
  </si>
  <si>
    <t xml:space="preserve">../src/components/bottom-navigation/bottom-navigation.css</t>
  </si>
  <si>
    <t xml:space="preserve">BN-06</t>
  </si>
  <si>
    <t xml:space="preserve">Defaults are outline, accent, full, equal, medium, static, indicator/pill, always-visible labels, safe-area support, and no blur or elevation.</t>
  </si>
  <si>
    <t xml:space="preserve">tests/components/bottom-navigation/behavior.spec.ts</t>
  </si>
  <si>
    <t xml:space="preserve">BN-07</t>
  </si>
  <si>
    <t xml:space="preserve">Solid, soft, outline, and ghost remain visually distinct in accent and fully neutral palettes without changing destination geometry.</t>
  </si>
  <si>
    <t xml:space="preserve">tests/components/bottom-navigation/behavior.spec.ts; tests/components/bottom-navigation/visual.spec.ts</t>
  </si>
  <si>
    <t xml:space="preserve">BN-08</t>
  </si>
  <si>
    <t xml:space="preserve">Full versus floating controls outer geometry independently from equal versus centered destination distribution.</t>
  </si>
  <si>
    <t xml:space="preserve">BN-09</t>
  </si>
  <si>
    <t xml:space="preserve">Small, medium, and large coordinate Root padding, Item target, Icon, indicator, and label typography as one recipe.</t>
  </si>
  <si>
    <t xml:space="preserve">BN-10</t>
  </si>
  <si>
    <t xml:space="preserve">Static, sticky, absolute, and fixed retain distinct computed positioning; safe-area ownership is internal for full bars and an outer offset for positioned floating bars.</t>
  </si>
  <si>
    <t xml:space="preserve">tests/components/bottom-navigation/behavior.spec.ts; ../test/components/bottom-navigation/bottom-navigation.test.tsx</t>
  </si>
  <si>
    <t xml:space="preserve">BN-11</t>
  </si>
  <si>
    <t xml:space="preserve">Root/Icon/Item</t>
  </si>
  <si>
    <t xml:space="preserve">Indicator selection paints only Icon with circle, rounded, or pill geometry; Item selection paints the whole destination with square, rounded, or pill geometry and no layout shift.</t>
  </si>
  <si>
    <t xml:space="preserve">BN-12</t>
  </si>
  <si>
    <t xml:space="preserve">Root/Label</t>
  </si>
  <si>
    <t xml:space="preserve">always, active, and hidden policies change only visual label presentation while every destination retains the authored accessible name.</t>
  </si>
  <si>
    <t xml:space="preserve">BN-13</t>
  </si>
  <si>
    <t xml:space="preserve">Selection behavior</t>
  </si>
  <si>
    <t xml:space="preserve">Controlled and uncontrolled values update exactly one active destination and call the application change handler.</t>
  </si>
  <si>
    <t xml:space="preserve">../test/components/bottom-navigation/bottom-navigation.test.tsx; tests/components/bottom-navigation/behavior.spec.ts</t>
  </si>
  <si>
    <t xml:space="preserve">BN-14</t>
  </si>
  <si>
    <t xml:space="preserve">Destinations/states</t>
  </si>
  <si>
    <t xml:space="preserve">href Items remain native current-page anchors; Items without href remain buttons; hover, pressed, focus-visible, current, and disabled behavior stay distinct.</t>
  </si>
  <si>
    <t xml:space="preserve">BN-15</t>
  </si>
  <si>
    <t xml:space="preserve">Icon/Label</t>
  </si>
  <si>
    <t xml:space="preserve">Three, four, and five destinations plus Notification Badge composition retain one destination name, one focus target, and bounded geometry.</t>
  </si>
  <si>
    <t xml:space="preserve">BN-16</t>
  </si>
  <si>
    <t xml:space="preserve">Router asChild output preserves the native anchor, href, state, Brick/Atom class and slot ownership without another interactive wrapper.</t>
  </si>
  <si>
    <t xml:space="preserve">BN-17</t>
  </si>
  <si>
    <t xml:space="preserve">Effects</t>
  </si>
  <si>
    <t xml:space="preserve">Elevation and blur are opt-in paint effects that do not imply layout or position; reduced transparency removes blur while preserving the surface.</t>
  </si>
  <si>
    <t xml:space="preserve">BN-18</t>
  </si>
  <si>
    <t xml:space="preserve">The documented CSS variables exactly produce the amber surface, border, selected indicator, and active foreground shown beside the code.</t>
  </si>
  <si>
    <t xml:space="preserve">src/components/bottom-navigation/BottomNavigationPage.tsx; tests/components/bottom-navigation/visual.spec.ts</t>
  </si>
  <si>
    <t xml:space="preserve">Agent inspected the generated customization and appearance baselines.</t>
  </si>
  <si>
    <t xml:space="preserve">BN-19</t>
  </si>
  <si>
    <t xml:space="preserve">Narrow width, genuine long labels, three-to-five destinations, mobile viewports, and zoom guidance remain contained without horizontal page overflow.</t>
  </si>
  <si>
    <t xml:space="preserve">BN-20</t>
  </si>
  <si>
    <t xml:space="preserve">Direction/preferences</t>
  </si>
  <si>
    <t xml:space="preserve">RTL uses logical order and genuine Arabic content; forced colors and reduced motion preserve selection, focus, and usable geometry.</t>
  </si>
  <si>
    <t xml:space="preserve">BN-21</t>
  </si>
  <si>
    <t xml:space="preserve">Named navigation landmarks, native link/button roles, aria-current, disabled state, silent Icons, hidden labels, focus, target geometry, and axe remain valid.</t>
  </si>
  <si>
    <t xml:space="preserve">BN-22</t>
  </si>
  <si>
    <t xml:space="preserve">Reviewed Chromium baselines cover defaults, all recipes, layout, selection, content, behavior, effects, dark appearance, mobile RTL, safe areas, and forced colors.</t>
  </si>
  <si>
    <t xml:space="preserve">tests/components/bottom-navigation/visual.spec.ts</t>
  </si>
  <si>
    <t xml:space="preserve">Agent inspected every revised Bottom Navigation baseline.</t>
  </si>
  <si>
    <t xml:space="preserve">BN-23</t>
  </si>
  <si>
    <t xml:space="preserve">A tester completes the concise top-down pointer, keyboard, AT, zoom, mobile, safe-area, appearance, RTL, forced-color, and preference protocol.</t>
  </si>
  <si>
    <t xml:space="preserve">manual-tests/bottom-navigation.md</t>
  </si>
  <si>
    <t xml:space="preserve">BN-24</t>
  </si>
  <si>
    <t xml:space="preserve">Source-backed usage, anatomy, API, recipes, positions, labels, accessibility, responsive behavior, composition, CSS, customization, and evidence are documented.</t>
  </si>
  <si>
    <t xml:space="preserve">../docs/components/bottom-navigation/README.md</t>
  </si>
  <si>
    <t xml:space="preserve">BN-25</t>
  </si>
  <si>
    <t xml:space="preserve">Bottom Navigation owns a public changelog and the package changelog records the public addition.</t>
  </si>
  <si>
    <t xml:space="preserve">../docs/components/bottom-navigation/CHANGELOG.md; ../CHANGELOG.md</t>
  </si>
  <si>
    <t xml:space="preserve">BN-26</t>
  </si>
  <si>
    <t xml:space="preserve">One navigable route exposes nine comprehensive scenarios, actual rendered composition output, and Brick-only public imports.</t>
  </si>
  <si>
    <t xml:space="preserve">src/components/bottom-navigation/BottomNavigationPage.tsx</t>
  </si>
  <si>
    <t xml:space="preserve">BN-27</t>
  </si>
  <si>
    <t xml:space="preserve">Packed Consumer imports the public subpath and operates realistic controlled and badged destinations on desktop and mobile.</t>
  </si>
  <si>
    <t xml:space="preserve">BN-28</t>
  </si>
  <si>
    <t xml:space="preserve">Build, exports, SSR, tarball, CSS, React 18/19, Consumer, configured desktop/mobile browsers, docs, ownership, and exact Atom 0.13.0 dependency pass.</t>
  </si>
  <si>
    <t xml:space="preserve">Visually Hidden Evidence</t>
  </si>
  <si>
    <t xml:space="preserve">Assertion-level Atom-backed assistive text, naming, composition, native ownership, accessibility, visual, documentation, Consumer, and package evidence.</t>
  </si>
  <si>
    <t xml:space="preserve">VH-01</t>
  </si>
  <si>
    <t xml:space="preserve">Brick delegates all assistive-text behavior to released Atom 0.13.0 Visually Hidden and adds only the stable Brick class and default slot.</t>
  </si>
  <si>
    <t xml:space="preserve">../src/components/visually-hidden</t>
  </si>
  <si>
    <t xml:space="preserve">VH-02</t>
  </si>
  <si>
    <t xml:space="preserve">The one-part namespace preserves Atom's default span, children, inline hiding behavior, native props, composition, and ref.</t>
  </si>
  <si>
    <t xml:space="preserve">../test/components/visually-hidden/visually-hidden.test.tsx</t>
  </si>
  <si>
    <t xml:space="preserve">VH-03</t>
  </si>
  <si>
    <t xml:space="preserve">VisuallyHidden</t>
  </si>
  <si>
    <t xml:space="preserve">Root and visually-hidden subpath expose the namespace, named Root, and Root props with identical runtime identities.</t>
  </si>
  <si>
    <t xml:space="preserve">VH-04</t>
  </si>
  <si>
    <t xml:space="preserve">Children, native span attributes, style, ref, render, and asChild type-check through the public subpath.</t>
  </si>
  <si>
    <t xml:space="preserve">../test/types/components/visually-hidden.test.ts</t>
  </si>
  <si>
    <t xml:space="preserve">VH-05</t>
  </si>
  <si>
    <t xml:space="preserve">Hooks</t>
  </si>
  <si>
    <t xml:space="preserve">Root emits the stable brick-visually-hidden class and default data-slot without inventing recipe props or public CSS variables.</t>
  </si>
  <si>
    <t xml:space="preserve">VH-06</t>
  </si>
  <si>
    <t xml:space="preserve">Atom-owned inline styles resolve to an absolute 1px by 1px clipped box with no visible layout footprint.</t>
  </si>
  <si>
    <t xml:space="preserve">tests/components/visually-hidden/behavior.spec.ts</t>
  </si>
  <si>
    <t xml:space="preserve">VH-07</t>
  </si>
  <si>
    <t xml:space="preserve">Accessible naming</t>
  </si>
  <si>
    <t xml:space="preserve">Hidden text supplies the complete accessible name for an icon-only Brick Button while the Icon remains decorative.</t>
  </si>
  <si>
    <t xml:space="preserve">VH-08</t>
  </si>
  <si>
    <t xml:space="preserve">Supplemental context</t>
  </si>
  <si>
    <t xml:space="preserve">Hidden context extends visible destructive-action text into one complete accessible name without duplicate visible copy.</t>
  </si>
  <si>
    <t xml:space="preserve">VH-09</t>
  </si>
  <si>
    <t xml:space="preserve">render and asChild change the host to strong or em while preserving hidden behavior, authored content, class, and slot.</t>
  </si>
  <si>
    <t xml:space="preserve">../test/components/visually-hidden/visually-hidden.test.tsx; tests/components/visually-hidden/behavior.spec.ts</t>
  </si>
  <si>
    <t xml:space="preserve">VH-10</t>
  </si>
  <si>
    <t xml:space="preserve">Native ownership</t>
  </si>
  <si>
    <t xml:space="preserve">Consumer class, data attributes, authored slot, styles, and the default span ref pass through and remain inspectable.</t>
  </si>
  <si>
    <t xml:space="preserve">VH-11</t>
  </si>
  <si>
    <t xml:space="preserve">Long English and Arabic names, RTL, dark appearance, narrow mobile layout, and zoom create no visible footprint or horizontal overflow.</t>
  </si>
  <si>
    <t xml:space="preserve">tests/components/visually-hidden/behavior.spec.ts; tests/components/visually-hidden/visual.spec.ts</t>
  </si>
  <si>
    <t xml:space="preserve">VH-12</t>
  </si>
  <si>
    <t xml:space="preserve">Named controls remain discoverable and the route has no automatically detectable accessibility violations across configured desktop/mobile browsers.</t>
  </si>
  <si>
    <t xml:space="preserve">VH-13</t>
  </si>
  <si>
    <t xml:space="preserve">Reviewed baselines prove that naming, composition, output, appearance, RTL, and mobile stress add no visible hidden-text footprint.</t>
  </si>
  <si>
    <t xml:space="preserve">tests/components/visually-hidden/visual.spec.ts</t>
  </si>
  <si>
    <t xml:space="preserve">Agent inspected every Visually Hidden baseline.</t>
  </si>
  <si>
    <t xml:space="preserve">VH-14</t>
  </si>
  <si>
    <t xml:space="preserve">A tester completes the concise naming, output, composition, native ownership, mobile, zoom, forced-color, and screen-reader protocol.</t>
  </si>
  <si>
    <t xml:space="preserve">manual-tests/visually-hidden.md</t>
  </si>
  <si>
    <t xml:space="preserve">VH-15</t>
  </si>
  <si>
    <t xml:space="preserve">Source-backed use, misuse, anatomy, API, hooks, customization limits, responsive behavior, accessibility, composition, and evidence are documented.</t>
  </si>
  <si>
    <t xml:space="preserve">../docs/components/visually-hidden/README.md</t>
  </si>
  <si>
    <t xml:space="preserve">VH-16</t>
  </si>
  <si>
    <t xml:space="preserve">Visually Hidden owns a public changelog and the package changelog records the public addition.</t>
  </si>
  <si>
    <t xml:space="preserve">../docs/components/visually-hidden/CHANGELOG.md; ../CHANGELOG.md</t>
  </si>
  <si>
    <t xml:space="preserve">VH-17</t>
  </si>
  <si>
    <t xml:space="preserve">One navigable route exposes six focused scenarios, actual rendered output, composition evidence, native props, and responsive stress.</t>
  </si>
  <si>
    <t xml:space="preserve">src/components/visually-hidden/VisuallyHiddenPage.tsx</t>
  </si>
  <si>
    <t xml:space="preserve">VH-18</t>
  </si>
  <si>
    <t xml:space="preserve">Packed Consumer imports the public subpath and adds supplemental context to a real link on desktop and mobile.</t>
  </si>
  <si>
    <t xml:space="preserve">VH-19</t>
  </si>
  <si>
    <t xml:space="preserve">Build, exports, SSR, tarball, React 18/19, Consumer, configured desktop/mobile browsers, docs, ownership, and exact Atom 0.13.0 dependency pass.</t>
  </si>
  <si>
    <t xml:space="preserve">Collapsible Evidence</t>
  </si>
  <si>
    <t xml:space="preserve">Assertion-level disclosure anatomy, state, motion, accessibility, package, documentation, Consumer, and responsive evidence.</t>
  </si>
  <si>
    <t xml:space="preserve">Atom owns state, semantics, generated relationships, keyboard interaction, disabled behavior, composition, mount lifecycle, and live Content measurement; Brick owns only finished visual anatomy and recipes.</t>
  </si>
  <si>
    <t xml:space="preserve">../src/components/collapsible</t>
  </si>
  <si>
    <t xml:space="preserve">Root, Trigger, Indicator, Content, and ContentInner render their stable public classes and slots; ContentInner alone owns visible panel padding.</t>
  </si>
  <si>
    <t xml:space="preserve">../test/components/collapsible/collapsible.test.tsx</t>
  </si>
  <si>
    <t xml:space="preserve">The root and collapsible subpath expose the namespace, five named parts, every prop type, and the closed size and variant unions.</t>
  </si>
  <si>
    <t xml:space="preserve">Closed recipes, Atom prop inheritance, native attributes, refs, Indicator decoration, and ContentInner attributes type-check from both entrypoints.</t>
  </si>
  <si>
    <t xml:space="preserve">../test/types/components/collapsible.test.ts</t>
  </si>
  <si>
    <t xml:space="preserve">Static CSS ships neutral surfaces, coordinated sizes, state paint, focus, disabled treatment, measured height and width motion, RTL indicator logic, reduced motion, forced colors, and public variables.</t>
  </si>
  <si>
    <t xml:space="preserve">../src/components/collapsible/collapsible.css</t>
  </si>
  <si>
    <t xml:space="preserve">The default renders closed, plain, medium, enabled, vertical, and unmounted with one full-width Trigger and decorative end Indicator.</t>
  </si>
  <si>
    <t xml:space="preserve">tests/components/collapsible/behavior.spec.ts</t>
  </si>
  <si>
    <t xml:space="preserve">Plain, soft, and outline change only the intended containing surface while size, content, and state remain at defaults.</t>
  </si>
  <si>
    <t xml:space="preserve">tests/components/collapsible/visual.spec.ts</t>
  </si>
  <si>
    <t xml:space="preserve">Agent-inspected the generated variants baseline.</t>
  </si>
  <si>
    <t xml:space="preserve">Small, medium, and large coordinate trigger target, typography, spacing, indicator size, and ContentInner padding without changing other recipes.</t>
  </si>
  <si>
    <t xml:space="preserve">Agent-inspected the generated sizes baseline.</t>
  </si>
  <si>
    <t xml:space="preserve">Uncontrolled and controlled open state change exactly once and preserve the authored onOpenChange and Trigger handlers.</t>
  </si>
  <si>
    <t xml:space="preserve">../test/components/collapsible/collapsible.test.tsx; tests/components/collapsible/behavior.spec.ts</t>
  </si>
  <si>
    <t xml:space="preserve">Disabled</t>
  </si>
  <si>
    <t xml:space="preserve">Root / Trigger</t>
  </si>
  <si>
    <t xml:space="preserve">Disabled state exposes Atom disabled semantics, does not open, and has no enabled hover or active response.</t>
  </si>
  <si>
    <t xml:space="preserve">Lifecycle</t>
  </si>
  <si>
    <t xml:space="preserve">Closed Content unmounts after exit unless keepMounted is requested; kept content becomes hidden after motion settles.</t>
  </si>
  <si>
    <t xml:space="preserve">Relationships</t>
  </si>
  <si>
    <t xml:space="preserve">Trigger / Content</t>
  </si>
  <si>
    <t xml:space="preserve">Trigger and Content retain matching generated aria-controls, id, aria-labelledby, region role, and expanded state.</t>
  </si>
  <si>
    <t xml:space="preserve">tests/components/collapsible/behavior.spec.ts; ../test/package/ssr.test.mjs</t>
  </si>
  <si>
    <t xml:space="preserve">Default and authored Indicator artwork remain decorative, nonshrinking, logically placed, and synchronized with open state.</t>
  </si>
  <si>
    <t xml:space="preserve">Agent-inspected default, custom, state, and RTL indicator baselines.</t>
  </si>
  <si>
    <t xml:space="preserve">Root / Trigger / Content</t>
  </si>
  <si>
    <t xml:space="preserve">Atom render and asChild composition preserve semantic custom hosts, event adaptation, relationships, class, style, slot, native props, and refs.</t>
  </si>
  <si>
    <t xml:space="preserve">Motion</t>
  </si>
  <si>
    <t xml:space="preserve">Vertical open and close use live --content-height measurement; horizontal open and close use live --content-width measurement with stable ContentInner geometry.</t>
  </si>
  <si>
    <t xml:space="preserve">tests/components/collapsible/behavior.spec.ts; ../test/components/collapsible/collapsible.test.tsx</t>
  </si>
  <si>
    <t xml:space="preserve">CO-16</t>
  </si>
  <si>
    <t xml:space="preserve">Keyboard activation, button/region semantics, focus retention, decoration, disabled behavior, and scoped axe checks pass.</t>
  </si>
  <si>
    <t xml:space="preserve">CO-17</t>
  </si>
  <si>
    <t xml:space="preserve">Long text, narrow width, mobile profiles, zoom-oriented reflow, horizontal contained scrolling, and RTL remain bounded without stale dimension clipping.</t>
  </si>
  <si>
    <t xml:space="preserve">tests/components/collapsible/behavior.spec.ts; tests/components/collapsible/visual.spec.ts</t>
  </si>
  <si>
    <t xml:space="preserve">CO-18</t>
  </si>
  <si>
    <t xml:space="preserve">Semantic paint adapts in light, dark, and forced colors; supported variables exactly match the customization example.</t>
  </si>
  <si>
    <t xml:space="preserve">Agent-inspected appearance, customization, and forced-color baselines.</t>
  </si>
  <si>
    <t xml:space="preserve">CO-19</t>
  </si>
  <si>
    <t xml:space="preserve">Reviewed baselines cover defaults, variants, sizes, states, Indicator anatomy, both orientations, appearance, mobile stress, and forced colors.</t>
  </si>
  <si>
    <t xml:space="preserve">Agent-inspected every generated Collapsible baseline, including horizontal orientation and RTL.</t>
  </si>
  <si>
    <t xml:space="preserve">CO-20</t>
  </si>
  <si>
    <t xml:space="preserve">One navigable route exposes nine controlled scenarios for defaults, recipes, state, anatomy, composition, appearance, both orientations, live motion, and stress.</t>
  </si>
  <si>
    <t xml:space="preserve">src/components/collapsible/CollapsiblePage.tsx</t>
  </si>
  <si>
    <t xml:space="preserve">CO-21</t>
  </si>
  <si>
    <t xml:space="preserve">A tester completes the concise pointer, keyboard, assistive-technology, appearance, zoom, mobile, RTL, forced-color, and reduced-motion protocol.</t>
  </si>
  <si>
    <t xml:space="preserve">manual-tests/collapsible.md</t>
  </si>
  <si>
    <t xml:space="preserve">CO-22</t>
  </si>
  <si>
    <t xml:space="preserve">Source-backed use, anatomy, API, recipes, accessibility, responsive motion, composition, CSS hooks, customization, and evidence are documented.</t>
  </si>
  <si>
    <t xml:space="preserve">../docs/components/collapsible/README.md</t>
  </si>
  <si>
    <t xml:space="preserve">CO-23</t>
  </si>
  <si>
    <t xml:space="preserve">Collapsible owns a public changelog and the package changelog records the user-facing addition.</t>
  </si>
  <si>
    <t xml:space="preserve">../docs/components/collapsible/CHANGELOG.md; ../CHANGELOG.md</t>
  </si>
  <si>
    <t xml:space="preserve">CO-24</t>
  </si>
  <si>
    <t xml:space="preserve">Packed Consumer imports the public collapsible subpath and operates a realistic outlined disclosure on desktop and mobile.</t>
  </si>
  <si>
    <t xml:space="preserve">CO-25</t>
  </si>
  <si>
    <t xml:space="preserve">Build, declarations, exports, SSR, CSS, tarball, docs, ownership, component coverage, and the configured browser matrix pass for Collapsible.</t>
  </si>
  <si>
    <t xml:space="preserve">../test/package/package.test.mjs; ../test/package/ssr.test.mjs; ../scripts/verify-package.mjs</t>
  </si>
  <si>
    <t xml:space="preserve">Accordion Evidence</t>
  </si>
  <si>
    <t xml:space="preserve">Assertion-level grouped disclosure, selection, orientation, keyboard, accessibility, package, documentation, Consumer, and responsive evidence.</t>
  </si>
  <si>
    <t xml:space="preserve">AC-01</t>
  </si>
  <si>
    <t xml:space="preserve">Brick styles released Atom 0.14.0 Accordion behavior without recreating selection, generated relationships, keyboard navigation, disabled state, mount lifecycle, or live dimension measurement.</t>
  </si>
  <si>
    <t xml:space="preserve">../src/components/accordion</t>
  </si>
  <si>
    <t xml:space="preserve">AC-02</t>
  </si>
  <si>
    <t xml:space="preserve">Root, Item, Header, Trigger, Indicator, Content, and ContentInner render stable public classes and slots; ContentInner alone owns visible panel padding.</t>
  </si>
  <si>
    <t xml:space="preserve">../test/components/accordion/accordion.test.tsx</t>
  </si>
  <si>
    <t xml:space="preserve">AC-03</t>
  </si>
  <si>
    <t xml:space="preserve">The root and accordion subpath expose the namespace, seven named parts, every prop type, and closed size and variant unions with identical runtime identities.</t>
  </si>
  <si>
    <t xml:space="preserve">AC-04</t>
  </si>
  <si>
    <t xml:space="preserve">Single and multiple value models, recipes, Atom props, native attributes, refs, composition, Indicator, and ContentInner type-check from the public subpath.</t>
  </si>
  <si>
    <t xml:space="preserve">../test/types/components/accordion.test.ts</t>
  </si>
  <si>
    <t xml:space="preserve">AC-05</t>
  </si>
  <si>
    <t xml:space="preserve">Static CSS ships surfaces, dividers, sizes, state paint, focus, disabled and locked-open treatment, two-axis motion, RTL, reduced motion, forced colors, and public variables.</t>
  </si>
  <si>
    <t xml:space="preserve">../src/components/accordion/accordion.css</t>
  </si>
  <si>
    <t xml:space="preserve">AC-06</t>
  </si>
  <si>
    <t xml:space="preserve">The default renders closed, plain, medium, enabled, vertical, single-selection, and collapsible with labelled panel landmarks.</t>
  </si>
  <si>
    <t xml:space="preserve">tests/components/accordion/behavior.spec.ts</t>
  </si>
  <si>
    <t xml:space="preserve">AC-07</t>
  </si>
  <si>
    <t xml:space="preserve">Plain, soft, and outline change only the intended group surface while content, size, orientation, and state remain at defaults.</t>
  </si>
  <si>
    <t xml:space="preserve">tests/components/accordion/visual.spec.ts</t>
  </si>
  <si>
    <t xml:space="preserve">AC-08</t>
  </si>
  <si>
    <t xml:space="preserve">Small, medium, and large coordinate trigger target, typography, spacing, indicator, and ContentInner padding without changing other recipes.</t>
  </si>
  <si>
    <t xml:space="preserve">AC-09</t>
  </si>
  <si>
    <t xml:space="preserve">Single selection</t>
  </si>
  <si>
    <t xml:space="preserve">Single mode opens one Item, replaces the previous value, and optionally allows the active Item to close.</t>
  </si>
  <si>
    <t xml:space="preserve">../test/components/accordion/accordion.test.tsx; tests/components/accordion/behavior.spec.ts</t>
  </si>
  <si>
    <t xml:space="preserve">AC-10</t>
  </si>
  <si>
    <t xml:space="preserve">Multiple selection</t>
  </si>
  <si>
    <t xml:space="preserve">Multiple mode independently opens and closes several unique Item values while preserving authored order.</t>
  </si>
  <si>
    <t xml:space="preserve">AC-11</t>
  </si>
  <si>
    <t xml:space="preserve">Controlled state</t>
  </si>
  <si>
    <t xml:space="preserve">Controlled selection reports the next exact string or string-array value once and preserves the authored callback.</t>
  </si>
  <si>
    <t xml:space="preserve">AC-12</t>
  </si>
  <si>
    <t xml:space="preserve">Locked open</t>
  </si>
  <si>
    <t xml:space="preserve">A non-collapsible active single Trigger stays focusable, exposes aria-disabled and data-locked-open, and does not close.</t>
  </si>
  <si>
    <t xml:space="preserve">AC-13</t>
  </si>
  <si>
    <t xml:space="preserve">Root / Item / Trigger</t>
  </si>
  <si>
    <t xml:space="preserve">Root and Item disabled states expose Atom semantics, are skipped by navigation, and never change selection.</t>
  </si>
  <si>
    <t xml:space="preserve">AC-14</t>
  </si>
  <si>
    <t xml:space="preserve">Closed Content unmounts unless keepMounted is requested; landmark false omits region and aria-labelledby without changing visible content.</t>
  </si>
  <si>
    <t xml:space="preserve">AC-15</t>
  </si>
  <si>
    <t xml:space="preserve">Header / Trigger / Content</t>
  </si>
  <si>
    <t xml:space="preserve">Heading-contained Trigger and Content retain matching generated IDs, controls, labels, expanded state, and optional region role.</t>
  </si>
  <si>
    <t xml:space="preserve">tests/components/accordion/behavior.spec.ts; ../test/package/ssr.test.mjs</t>
  </si>
  <si>
    <t xml:space="preserve">AC-16</t>
  </si>
  <si>
    <t xml:space="preserve">Enter and Space activate once; Home, End, and orientation-aware arrow keys move focus in enabled visual reading order.</t>
  </si>
  <si>
    <t xml:space="preserve">AC-17</t>
  </si>
  <si>
    <t xml:space="preserve">Vertical Items stack and animate measured height; horizontal Items order inline, pair Header beside Content, animate measured width, and reverse navigation in RTL.</t>
  </si>
  <si>
    <t xml:space="preserve">tests/components/accordion/behavior.spec.ts; tests/components/accordion/visual.spec.ts</t>
  </si>
  <si>
    <t xml:space="preserve">Agent-inspected vertical, horizontal, narrow, and RTL baselines.</t>
  </si>
  <si>
    <t xml:space="preserve">AC-18</t>
  </si>
  <si>
    <t xml:space="preserve">Atom-backed parts</t>
  </si>
  <si>
    <t xml:space="preserve">Render and asChild composition preserve semantic hosts, heading levels, relationships, classes, styles, slots, native props, events, and refs.</t>
  </si>
  <si>
    <t xml:space="preserve">AC-19</t>
  </si>
  <si>
    <t xml:space="preserve">Responsive and accessibility</t>
  </si>
  <si>
    <t xml:space="preserve">Narrow horizontal scrolling stays inside Accordion, the page remains bounded, keyboard focus stays visible, and scoped axe checks pass.</t>
  </si>
  <si>
    <t xml:space="preserve">AC-20</t>
  </si>
  <si>
    <t xml:space="preserve">AC-21</t>
  </si>
  <si>
    <t xml:space="preserve">Reviewed baselines cover defaults, variants, sizes, selection, states, both orientations, appearance, mobile RTL stress, and forced colors.</t>
  </si>
  <si>
    <t xml:space="preserve">Agent-inspected every generated Accordion baseline.</t>
  </si>
  <si>
    <t xml:space="preserve">AC-22</t>
  </si>
  <si>
    <t xml:space="preserve">One navigable route exposes nine controlled scenarios for defaults, recipes, selection, state, orientation, keyboard, composition, appearance, and stress.</t>
  </si>
  <si>
    <t xml:space="preserve">src/components/accordion/AccordionPage.tsx</t>
  </si>
  <si>
    <t xml:space="preserve">AC-23</t>
  </si>
  <si>
    <t xml:space="preserve">manual-tests/accordion.md</t>
  </si>
  <si>
    <t xml:space="preserve">AC-24</t>
  </si>
  <si>
    <t xml:space="preserve">Documentation</t>
  </si>
  <si>
    <t xml:space="preserve">Source-backed use, anatomy, API, recipes, accessibility, responsive behavior, composition, hooks, customization, evidence, and public changes are documented.</t>
  </si>
  <si>
    <t xml:space="preserve">../docs/components/accordion/README.md; ../docs/components/accordion/CHANGELOG.md; ../CHANGELOG.md</t>
  </si>
  <si>
    <t xml:space="preserve">AC-25</t>
  </si>
  <si>
    <t xml:space="preserve">Packed Consumer imports the public accordion subpath and operates a realistic linked disclosure group on desktop and mobile.</t>
  </si>
  <si>
    <t xml:space="preserve">AC-26</t>
  </si>
  <si>
    <t xml:space="preserve">Build, declarations, exports, SSR, CSS, tarball, docs, ownership, component coverage, and configured browser checks pass for Accordion.</t>
  </si>
  <si>
    <t xml:space="preserve">Toast Evidence</t>
  </si>
  <si>
    <t xml:space="preserve">Assertion-level Atom-backed API, notification lifecycle, announcement, keyboard, visual, package, documentation, Consumer, and responsive evidence.</t>
  </si>
  <si>
    <t xml:space="preserve">TO-01</t>
  </si>
  <si>
    <t xml:space="preserve">Brick styles released Atom 0.15.0 Toast behavior without recreating the store, queue, timers, announcements, focus, keyboard, portal, swipe, or lifecycle.</t>
  </si>
  <si>
    <t xml:space="preserve">../src/components/toast/Toast.tsx; ../package.json</t>
  </si>
  <si>
    <t xml:space="preserve">TO-02</t>
  </si>
  <si>
    <t xml:space="preserve">API</t>
  </si>
  <si>
    <t xml:space="preserve">Toaster / toast</t>
  </si>
  <si>
    <t xml:space="preserve">One installed Toaster and the imperative toast helper expose create, success, error, warning, info, loading, update, promise, dismiss-one, and dismiss-all workflows.</t>
  </si>
  <si>
    <t xml:space="preserve">../test/components/toast/toast.test.tsx</t>
  </si>
  <si>
    <t xml:space="preserve">TO-03</t>
  </si>
  <si>
    <t xml:space="preserve">Root, Icon, Content, Title, Description, Actions, Action, Close, and Viewport render stable Brick classes and slots with optional parts omitted when absent.</t>
  </si>
  <si>
    <t xml:space="preserve">TO-04</t>
  </si>
  <si>
    <t xml:space="preserve">Root and toast subpath exports provide Toaster, toast, the Toast namespace, named compound parts, public option/data types, and runtime identity parity.</t>
  </si>
  <si>
    <t xml:space="preserve">TO-05</t>
  </si>
  <si>
    <t xml:space="preserve">Public surface</t>
  </si>
  <si>
    <t xml:space="preserve">Closed types, logical positions, widths, stacking, swipe direction, action, promise inference, native props, composition, and refs type-check while unsupported APIs fail.</t>
  </si>
  <si>
    <t xml:space="preserve">../test/types/components/toast.test.ts</t>
  </si>
  <si>
    <t xml:space="preserve">TO-06</t>
  </si>
  <si>
    <t xml:space="preserve">Static CSS ships viewport placement, raised cards, semantic accents, widths, stacking, lifecycle, swipe, dark, reduced-motion, forced-color, responsive, RTL, and customization recipes.</t>
  </si>
  <si>
    <t xml:space="preserve">../src/components/toast/toast.css</t>
  </si>
  <si>
    <t xml:space="preserve">TO-07</t>
  </si>
  <si>
    <t xml:space="preserve">Toaster</t>
  </si>
  <si>
    <t xml:space="preserve">Defaults are bottom-end, maximum three visible, close enabled, responsive width, separated stacking, F8 region focus, paused timers on hover/focus/page loss, and no swipe.</t>
  </si>
  <si>
    <t xml:space="preserve">tests/components/toast/behavior.spec.ts; ../test/components/toast/toast.test.tsx</t>
  </si>
  <si>
    <t xml:space="preserve">TO-08</t>
  </si>
  <si>
    <t xml:space="preserve">Root / Icon</t>
  </si>
  <si>
    <t xml:space="preserve">Default, success, error, warning, info, and loading change only semantic accent, glyph or spinner, and announcement priority while preserving geometry.</t>
  </si>
  <si>
    <t xml:space="preserve">tests/components/toast/visual.spec.ts</t>
  </si>
  <si>
    <t xml:space="preserve">Agent inspected the complete six-type baseline in light and forced-color modes.</t>
  </si>
  <si>
    <t xml:space="preserve">TO-09</t>
  </si>
  <si>
    <t xml:space="preserve">Content anatomy</t>
  </si>
  <si>
    <t xml:space="preserve">Title-only, description-only, combined, long localized content, component-owned default glyphs, and consumer-authored icon content preserve intended anatomy and hierarchy.</t>
  </si>
  <si>
    <t xml:space="preserve">tests/components/toast/visual.spec.ts; ../test/components/toast/toast.test.tsx</t>
  </si>
  <si>
    <t xml:space="preserve">Agent inspected title-only, combined-content, custom-icon, loading, and localized-content baselines.</t>
  </si>
  <si>
    <t xml:space="preserve">TO-10</t>
  </si>
  <si>
    <t xml:space="preserve">Actions</t>
  </si>
  <si>
    <t xml:space="preserve">Action / Close</t>
  </si>
  <si>
    <t xml:space="preserve">One safe-to-ignore action runs once and dismisses only its toast; close policy resolves Toaster and per-toast settings with localized labels and dismissibility respected.</t>
  </si>
  <si>
    <t xml:space="preserve">TO-11</t>
  </si>
  <si>
    <t xml:space="preserve">Widths</t>
  </si>
  <si>
    <t xml:space="preserve">Viewport / Root</t>
  </si>
  <si>
    <t xml:space="preserve">Responsive width is near-full on narrow viewports and compact on larger screens; compact and full remain closed supported alternatives without page overflow.</t>
  </si>
  <si>
    <t xml:space="preserve">tests/components/toast/behavior.spec.ts; tests/components/toast/visual.spec.ts</t>
  </si>
  <si>
    <t xml:space="preserve">TO-12</t>
  </si>
  <si>
    <t xml:space="preserve">Positions</t>
  </si>
  <si>
    <t xml:space="preserve">Top-start, top-center, top-end, bottom-start, bottom-center, and bottom-end map through logical inline direction in LTR and RTL.</t>
  </si>
  <si>
    <t xml:space="preserve">Agent inspected the six-position comparison and RTL logical anatomy baseline.</t>
  </si>
  <si>
    <t xml:space="preserve">TO-13</t>
  </si>
  <si>
    <t xml:space="preserve">Stacking</t>
  </si>
  <si>
    <t xml:space="preserve">Separated stacking supports variable-height cards without collision; overlap layers inactive cards and expands for pointer or keyboard entry.</t>
  </si>
  <si>
    <t xml:space="preserve">TO-14</t>
  </si>
  <si>
    <t xml:space="preserve">Queue and timers</t>
  </si>
  <si>
    <t xml:space="preserve">Toaster / Root</t>
  </si>
  <si>
    <t xml:space="preserve">Maximum-visible queue promotion, newest-nearest-anchor order, full post-queue duration, entering/visible/exiting lifecycle, and hover/focus/page-loss pause behavior remain Atom-owned and exposed intact.</t>
  </si>
  <si>
    <t xml:space="preserve">tests/components/toast/behavior.spec.ts</t>
  </si>
  <si>
    <t xml:space="preserve">TO-15</t>
  </si>
  <si>
    <t xml:space="preserve">Async lifecycle</t>
  </si>
  <si>
    <t xml:space="preserve">toast</t>
  </si>
  <si>
    <t xml:space="preserve">Loading, update, promise success/error, stable immutable IDs, callbacks, and dismiss-one/all preserve one logical toast lifecycle without duplicate records.</t>
  </si>
  <si>
    <t xml:space="preserve">../test/components/toast/toast.test.tsx; tests/components/toast/behavior.spec.ts</t>
  </si>
  <si>
    <t xml:space="preserve">TO-16</t>
  </si>
  <si>
    <t xml:space="preserve">Announcements</t>
  </si>
  <si>
    <t xml:space="preserve">Create and update use exactly one persistent Atom-owned polite or assertive announcement path; visible cards do not create a second live region.</t>
  </si>
  <si>
    <t xml:space="preserve">TO-17</t>
  </si>
  <si>
    <t xml:space="preserve">Viewport / controls</t>
  </si>
  <si>
    <t xml:space="preserve">Appearance never steals focus; F8 enters the labelled region, Tab and Shift+Tab reach controls, focused Escape dismisses, and prior focus restores safely.</t>
  </si>
  <si>
    <t xml:space="preserve">TO-18</t>
  </si>
  <si>
    <t xml:space="preserve">Swipe</t>
  </si>
  <si>
    <t xml:space="preserve">Optional left, right, up, or down swipe dismissal exposes directional movement and cancellation at the configured threshold without enabling arbitrary dragging by default.</t>
  </si>
  <si>
    <t xml:space="preserve">../src/components/toast/Toast.tsx; ../src/components/toast/toast.css</t>
  </si>
  <si>
    <t xml:space="preserve">TO-19</t>
  </si>
  <si>
    <t xml:space="preserve">Portal and props</t>
  </si>
  <si>
    <t xml:space="preserve">Toaster / Viewport</t>
  </si>
  <si>
    <t xml:space="preserve">Body portal, custom container, disabled portal, native viewport props, style, class, data attributes, and the empty-to-visible viewport ref lifecycle preserve the public boundary.</t>
  </si>
  <si>
    <t xml:space="preserve">../test/components/toast/toast.test.tsx; ../test/package/ssr.test.mjs</t>
  </si>
  <si>
    <t xml:space="preserve">TO-20</t>
  </si>
  <si>
    <t xml:space="preserve">Public compound parts, renderToast, classes, variables, per-toast class, custom icons, viewport offsets, and native props customize presentation without transferring Atom behavior ownership.</t>
  </si>
  <si>
    <t xml:space="preserve">../test/components/toast/toast.test.tsx; ../docs/components/toast/README.md</t>
  </si>
  <si>
    <t xml:space="preserve">TO-21</t>
  </si>
  <si>
    <t xml:space="preserve">Responsive / RTL</t>
  </si>
  <si>
    <t xml:space="preserve">Mobile width, long Arabic content, RTL logical anatomy, variable heights, text spacing, safe-area fixtures, and narrow containment remain readable without horizontal page overflow.</t>
  </si>
  <si>
    <t xml:space="preserve">Agent inspected the mobile RTL stress and logical-position baselines.</t>
  </si>
  <si>
    <t xml:space="preserve">TO-22</t>
  </si>
  <si>
    <t xml:space="preserve">Semantic surface, text, accent, glyph, close, action, focus, and elevation remain legible and intentionally hierarchical in light and dark appearance.</t>
  </si>
  <si>
    <t xml:space="preserve">Agent inspected the light and dark appearance baseline.</t>
  </si>
  <si>
    <t xml:space="preserve">TO-23</t>
  </si>
  <si>
    <t xml:space="preserve">Preferences</t>
  </si>
  <si>
    <t xml:space="preserve">Reduced motion removes lifecycle and loading animation while preserving state; forced colors preserves boundaries, icons, text, controls, and focus geometry.</t>
  </si>
  <si>
    <t xml:space="preserve">Agent inspected the reduced-motion loading and forced-color type baselines.</t>
  </si>
  <si>
    <t xml:space="preserve">TO-24</t>
  </si>
  <si>
    <t xml:space="preserve">Labelled region, exactly-once live semantics, decorative glyphs, native buttons, focus order, target geometry, localized labels, and scoped axe checks remain valid.</t>
  </si>
  <si>
    <t xml:space="preserve">TO-25</t>
  </si>
  <si>
    <t xml:space="preserve">Nine reviewed Chromium baselines cover overview, six types, content, queue, positions, appearance, mobile RTL stress, reduced-motion loading, and forced colors.</t>
  </si>
  <si>
    <t xml:space="preserve">Agent inspected every generated Toast baseline after the final typography-token correction.</t>
  </si>
  <si>
    <t xml:space="preserve">TO-26</t>
  </si>
  <si>
    <t xml:space="preserve">One navigable Toast route exposes nine controlled scenarios for overview, types, content, queue, positions, async lifecycle, customization, accessibility, and stress.</t>
  </si>
  <si>
    <t xml:space="preserve">src/components/toast/ToastPage.tsx</t>
  </si>
  <si>
    <t xml:space="preserve">TO-27</t>
  </si>
  <si>
    <t xml:space="preserve">A tester completes the pointer, keyboard, assistive-technology, announcement, timer, zoom, mobile, RTL, safe-area, appearance, forced-color, reduced-motion, and portal protocol.</t>
  </si>
  <si>
    <t xml:space="preserve">manual-tests/toast.md</t>
  </si>
  <si>
    <t xml:space="preserve">TO-28</t>
  </si>
  <si>
    <t xml:space="preserve">Source-backed role, boundaries, setup, anatomy, API, defaults, types, positions, timers, queue, async lifecycle, focus, accessibility, CSS, customization, exclusions, and evidence are documented.</t>
  </si>
  <si>
    <t xml:space="preserve">../docs/components/toast/README.md</t>
  </si>
  <si>
    <t xml:space="preserve">TO-29</t>
  </si>
  <si>
    <t xml:space="preserve">Toast owns a public component changelog and the package changelog records the complete public addition and exact Atom dependency update.</t>
  </si>
  <si>
    <t xml:space="preserve">../docs/components/toast/CHANGELOG.md; ../CHANGELOG.md</t>
  </si>
  <si>
    <t xml:space="preserve">TO-30</t>
  </si>
  <si>
    <t xml:space="preserve">Packed Consumer imports the public toast subpath, installs one Toaster, and produces durable duplicate success feedback after publishing on desktop and mobile.</t>
  </si>
  <si>
    <t xml:space="preserve">TO-31</t>
  </si>
  <si>
    <t xml:space="preserve">Build, declarations, root/subpath exports, SSR, CSS, tarball, docs, ownership, clean React 18/19 consumers, full browser suite, packed Consumer, and exact Atom 0.15.0 dependency pass in GitHub Actions run 30316339713.</t>
  </si>
  <si>
    <t xml:space="preserve">../test/package/package.test.mjs; ../test/package/ssr.test.mjs; ../scripts/verify-package.mjs; ../scripts/verify-consumers.mjs</t>
  </si>
  <si>
    <t xml:space="preserve">Table Evidence</t>
  </si>
  <si>
    <t xml:space="preserve">Assertion-level native anatomy, static recipes, sorting composition, responsive containment, package, documentation, Consumer, and accessibility evidence.</t>
  </si>
  <si>
    <t xml:space="preserve">Brick styles released Atom 0.15.0 native Table semantics without recreating behavior.</t>
  </si>
  <si>
    <t xml:space="preserve">../src/components/table/Table.tsx; ../package.json</t>
  </si>
  <si>
    <t xml:space="preserve">Ten-part namespace and named exports expose the adopted static Table surface.</t>
  </si>
  <si>
    <t xml:space="preserve">../test/components/table/table.test.tsx</t>
  </si>
  <si>
    <t xml:space="preserve">Root and sections</t>
  </si>
  <si>
    <t xml:space="preserve">Container, table, caption, sections, rows, headers, cells, and indicator render exact native hosts and refs.</t>
  </si>
  <si>
    <t xml:space="preserve">Closed variants, sizes, densities, caption sides, logical alignment, numeric formatting, native props, composition, and refs type-check.</t>
  </si>
  <si>
    <t xml:space="preserve">../test/types/components/table.test.ts</t>
  </si>
  <si>
    <t xml:space="preserve">Root and table subpath exports preserve namespace and named runtime identity.</t>
  </si>
  <si>
    <t xml:space="preserve">Table imports server-safely and emits deterministic native anatomy without grid roles.</t>
  </si>
  <si>
    <t xml:space="preserve">Defaults are line, medium, comfortable, unstriped, non-sticky, top caption, and logical-start alignment.</t>
  </si>
  <si>
    <t xml:space="preserve">Line/outline, sm/md/lg, compact/comfortable, and stripe remain independent.</t>
  </si>
  <si>
    <t xml:space="preserve">tests/components/table/behavior.spec.ts</t>
  </si>
  <si>
    <t xml:space="preserve">Head / Cell</t>
  </si>
  <si>
    <t xml:space="preserve">Scope, headers, spans, caption, section relationships, and sort metadata remain native.</t>
  </si>
  <si>
    <t xml:space="preserve">Alignment</t>
  </si>
  <si>
    <t xml:space="preserve">Start, center, end, and numeric formatting use logical alignment and tabular figures with explicit precedence.</t>
  </si>
  <si>
    <t xml:space="preserve">Sorting</t>
  </si>
  <si>
    <t xml:space="preserve">Head / SortIndicator</t>
  </si>
  <si>
    <t xml:space="preserve">Application Button owns sorting while Head exposes aria-sort and decorative artwork remains silent.</t>
  </si>
  <si>
    <t xml:space="preserve">Explicit horizontal containment preserves every column without page overflow or card conversion.</t>
  </si>
  <si>
    <t xml:space="preserve">Sticky</t>
  </si>
  <si>
    <t xml:space="preserve">Header</t>
  </si>
  <si>
    <t xml:space="preserve">Header cells remain opaque and sticky within an authored vertical scroll boundary.</t>
  </si>
  <si>
    <t xml:space="preserve">RTL</t>
  </si>
  <si>
    <t xml:space="preserve">Logical alignment and overflow remain usable with translated RTL data.</t>
  </si>
  <si>
    <t xml:space="preserve">tests/components/table/visual.spec.ts</t>
  </si>
  <si>
    <t xml:space="preserve">Agent inspected the final mobile RTL baseline.</t>
  </si>
  <si>
    <t xml:space="preserve">Light, dark, forced-color, boundaries, text, badges, controls, and focus remain legible.</t>
  </si>
  <si>
    <t xml:space="preserve">Agent inspected the final appearance baselines.</t>
  </si>
  <si>
    <t xml:space="preserve">Ten reviewed baselines cover overview, variants, sizing, alignment, sorting, sticky, dark, responsive mobile, RTL mobile, and forced colors.</t>
  </si>
  <si>
    <t xml:space="preserve">Agent inspected every final Table baseline after the playground review corrections.</t>
  </si>
  <si>
    <t xml:space="preserve">Native structure, independent tab stops, no grid role/tabindex, labelled scrolling, and axe remain valid.</t>
  </si>
  <si>
    <t xml:space="preserve">One navigable Table route exposes nine persistent controlled scenarios.</t>
  </si>
  <si>
    <t xml:space="preserve">src/components/table/TablePage.tsx</t>
  </si>
  <si>
    <t xml:space="preserve">Table</t>
  </si>
  <si>
    <t xml:space="preserve">The public guide documents role, anatomy, API, defaults, sorting, responsive/sticky behavior, accessibility, CSS, and exclusions.</t>
  </si>
  <si>
    <t xml:space="preserve">../docs/components/table/README.md</t>
  </si>
  <si>
    <t xml:space="preserve">Component and package changelogs record the complete public addition.</t>
  </si>
  <si>
    <t xml:space="preserve">../docs/components/table/CHANGELOG.md; ../CHANGELOG.md</t>
  </si>
  <si>
    <t xml:space="preserve">Packed Consumer imports the table subpath and composes caption, headers, numeric values, Badge, Link, footer, overflow, and controlled sorting.</t>
  </si>
  <si>
    <t xml:space="preserve">../apps/consumer/src/App.tsx</t>
  </si>
  <si>
    <t xml:space="preserve">Owner completes visual, keyboard, screen-reader, mobile, zoom, RTL, appearance, sticky, and overflow protocol.</t>
  </si>
  <si>
    <t xml:space="preserve">manual-tests/table.md</t>
  </si>
  <si>
    <t xml:space="preserve">TA-23</t>
  </si>
  <si>
    <t xml:space="preserve">Build, declarations, exports, SSR, CSS, docs, tarball, consumers, browser matrix, and CI pass.</t>
  </si>
  <si>
    <t xml:space="preserve">../test/package/package.test.mjs; ../scripts/verify-package.mjs</t>
  </si>
  <si>
    <t xml:space="preserve">GitHub Actions run 30322250031 passed package, full browser, and packed Consumer verification on commit fde38a9.</t>
  </si>
  <si>
    <t xml:space="preserve">Pagination Evidence</t>
  </si>
  <si>
    <t xml:space="preserve">Assertion-level seven-part anatomy, generated ranges, localization, visual recipes, responsive containment, package, documentation, Consumer, and accessibility evidence.</t>
  </si>
  <si>
    <t xml:space="preserve">PA-01</t>
  </si>
  <si>
    <t xml:space="preserve">Brick styles released Atom 0.16.0 Pagination behavior without recreating state, range, or semantics.</t>
  </si>
  <si>
    <t xml:space="preserve">../src/components/pagination/Pagination.tsx; ../package.json</t>
  </si>
  <si>
    <t xml:space="preserve">PA-02</t>
  </si>
  <si>
    <t xml:space="preserve">Seven-part namespace and named exports expose Root, List, Previous, Items, Item, Ellipsis, and Next.</t>
  </si>
  <si>
    <t xml:space="preserve">../test/components/pagination/pagination.test.tsx</t>
  </si>
  <si>
    <t xml:space="preserve">PA-03</t>
  </si>
  <si>
    <t xml:space="preserve">Root nav, List ol, Atom list items, native buttons, hostless Items, and assistive-hidden Ellipsis render with exact refs and hooks.</t>
  </si>
  <si>
    <t xml:space="preserve">PA-04</t>
  </si>
  <si>
    <t xml:space="preserve">Closed variants and sizes, Atom state/localization props, shared Items props, native props, composition, and refs type-check.</t>
  </si>
  <si>
    <t xml:space="preserve">../test/types/components/pagination.test.ts</t>
  </si>
  <si>
    <t xml:space="preserve">PA-05</t>
  </si>
  <si>
    <t xml:space="preserve">Root and pagination subpath exports preserve namespace and named runtime identity.</t>
  </si>
  <si>
    <t xml:space="preserve">PA-06</t>
  </si>
  <si>
    <t xml:space="preserve">Pagination imports server-safely and emits deterministic generated native anatomy.</t>
  </si>
  <si>
    <t xml:space="preserve">PA-07</t>
  </si>
  <si>
    <t xml:space="preserve">Defaults are plain, medium, page 1, sibling count 1, and boundary count 1.</t>
  </si>
  <si>
    <t xml:space="preserve">PA-08</t>
  </si>
  <si>
    <t xml:space="preserve">Plain, soft, outline and sm, md, lg recipes remain independent and preserve geometry by state.</t>
  </si>
  <si>
    <t xml:space="preserve">tests/components/pagination/behavior.spec.ts</t>
  </si>
  <si>
    <t xml:space="preserve">PA-09</t>
  </si>
  <si>
    <t xml:space="preserve">Range</t>
  </si>
  <si>
    <t xml:space="preserve">Items</t>
  </si>
  <si>
    <t xml:space="preserve">Items renders Atom's generated stable page and Ellipsis range without a Brick algorithm copy.</t>
  </si>
  <si>
    <t xml:space="preserve">PA-10</t>
  </si>
  <si>
    <t xml:space="preserve">Controls</t>
  </si>
  <si>
    <t xml:space="preserve">Controlled and uncontrolled page changes, current-page no-op, and first/last/whole-root disabled boundaries remain Atom-owned.</t>
  </si>
  <si>
    <t xml:space="preserve">PA-11</t>
  </si>
  <si>
    <t xml:space="preserve">Localization</t>
  </si>
  <si>
    <t xml:space="preserve">Root localizes generated page and boundary labels while direct aria-label remains authoritative.</t>
  </si>
  <si>
    <t xml:space="preserve">PA-12</t>
  </si>
  <si>
    <t xml:space="preserve">Icons</t>
  </si>
  <si>
    <t xml:space="preserve">Previous / Next</t>
  </si>
  <si>
    <t xml:space="preserve">Default logical chevrons are decorative, centered, and mirror in RTL; authored children replace them.</t>
  </si>
  <si>
    <t xml:space="preserve">PA-13</t>
  </si>
  <si>
    <t xml:space="preserve">Labelled nav/list semantics, current state, native Tab and activation, disabled controls, decorative gaps, and axe checks pass.</t>
  </si>
  <si>
    <t xml:space="preserve">PA-14</t>
  </si>
  <si>
    <t xml:space="preserve">Root / List</t>
  </si>
  <si>
    <t xml:space="preserve">The list stays bounded, never wraps or hides items, and scrolls inline when constrained.</t>
  </si>
  <si>
    <t xml:space="preserve">PA-15</t>
  </si>
  <si>
    <t xml:space="preserve">Light and dark semantic scopes preserve current, neutral, disabled, and surface recipes.</t>
  </si>
  <si>
    <t xml:space="preserve">tests/components/pagination/visual.spec.ts</t>
  </si>
  <si>
    <t xml:space="preserve">Owner visual review not yet recorded.</t>
  </si>
  <si>
    <t xml:space="preserve">PA-16</t>
  </si>
  <si>
    <t xml:space="preserve">Forced colors keeps current, disabled, and focus distinctions; reduced motion removes color transitions.</t>
  </si>
  <si>
    <t xml:space="preserve">manual-tests/pagination.md</t>
  </si>
  <si>
    <t xml:space="preserve">Owner forced-colors and reduced-motion review not yet recorded.</t>
  </si>
  <si>
    <t xml:space="preserve">PA-17</t>
  </si>
  <si>
    <t xml:space="preserve">Reviewed baselines cover overview, variants, sizes, appearance, customization, responsive overflow, and RTL.</t>
  </si>
  <si>
    <t xml:space="preserve">Owner baseline approval not yet recorded.</t>
  </si>
  <si>
    <t xml:space="preserve">PA-18</t>
  </si>
  <si>
    <t xml:space="preserve">Root / parts</t>
  </si>
  <si>
    <t xml:space="preserve">Stable classes, slots, data attributes, component variables, className, and style preserve behavior.</t>
  </si>
  <si>
    <t xml:space="preserve">PA-19</t>
  </si>
  <si>
    <t xml:space="preserve">Public guide</t>
  </si>
  <si>
    <t xml:space="preserve">Guide documents all exports, recipes, hooks, responsibilities, exclusions, and evidence.</t>
  </si>
  <si>
    <t xml:space="preserve">documentation</t>
  </si>
  <si>
    <t xml:space="preserve">../docs/components/pagination/README.md</t>
  </si>
  <si>
    <t xml:space="preserve">PA-20</t>
  </si>
  <si>
    <t xml:space="preserve">Public record</t>
  </si>
  <si>
    <t xml:space="preserve">Component and package changelogs describe the release-facing Pagination addition.</t>
  </si>
  <si>
    <t xml:space="preserve">../docs/components/pagination/CHANGELOG.md; ../CHANGELOG.md</t>
  </si>
  <si>
    <t xml:space="preserve">PA-21</t>
  </si>
  <si>
    <t xml:space="preserve">Deterministic route exposes every adopted scenario with semantically distinct content.</t>
  </si>
  <si>
    <t xml:space="preserve">../playground/src/components/pagination/PaginationPage.tsx</t>
  </si>
  <si>
    <t xml:space="preserve">PA-22</t>
  </si>
  <si>
    <t xml:space="preserve">Numbered protocol reviews semantics, recipes, preferences, zoom, RTL, overflow, and physical touch.</t>
  </si>
  <si>
    <t xml:space="preserve">Owner manual run not yet completed.</t>
  </si>
  <si>
    <t xml:space="preserve">PA-23</t>
  </si>
  <si>
    <t xml:space="preserve">Root / generated controls</t>
  </si>
  <si>
    <t xml:space="preserve">Packed Consumer composes controlled Pagination through its public subpath.</t>
  </si>
  <si>
    <t xml:space="preserve">PA-24</t>
  </si>
  <si>
    <t xml:space="preserve">Artifact</t>
  </si>
  <si>
    <t xml:space="preserve">Packed archive includes root/subpath declarations, runtime exports, CSS, exact Atom dependency, and React 18/19 compatibility.</t>
  </si>
  <si>
    <t xml:space="preserve">PA-25</t>
  </si>
  <si>
    <t xml:space="preserve">Exclusion</t>
  </si>
  <si>
    <t xml:space="preserve">URL/router navigation, page size, totals, fetching, loading, quick jump, and responsive range policy remain outside Pagination.</t>
  </si>
  <si>
    <t xml:space="preserve">Data Grid Evidence</t>
  </si>
  <si>
    <t xml:space="preserve">Assertion-level anatomy, navigation, selection, sorting activation, visual recipes, responsive containment, package, documentation, Consumer, and accessibility evidence.</t>
  </si>
  <si>
    <t xml:space="preserve">DG-01</t>
  </si>
  <si>
    <t xml:space="preserve">Brick styles released Atom 0.17.0 Data Grid behavior without recreating navigation, selection, focus, or semantics.</t>
  </si>
  <si>
    <t xml:space="preserve">../src/components/data-grid/DataGrid.tsx; ../package.json</t>
  </si>
  <si>
    <t xml:space="preserve">DG-02</t>
  </si>
  <si>
    <t xml:space="preserve">Ten-part namespace and named exports expose Container, Root, Caption, Header, Body, Footer, Row, ColumnHeader, Cell, and SortIndicator.</t>
  </si>
  <si>
    <t xml:space="preserve">../test/components/data-grid/data-grid.test.tsx</t>
  </si>
  <si>
    <t xml:space="preserve">DG-03</t>
  </si>
  <si>
    <t xml:space="preserve">Explicit Container and exact native table hosts, grid roles, slots, refs, indexes, and counts render deterministically.</t>
  </si>
  <si>
    <t xml:space="preserve">DG-04</t>
  </si>
  <si>
    <t xml:space="preserve">Closed recipes, logical alignment, Atom state, indexes, controlled selection, active cell, sorting action, native props, and refs type-check.</t>
  </si>
  <si>
    <t xml:space="preserve">../test/types/components/data-grid.test.ts</t>
  </si>
  <si>
    <t xml:space="preserve">DG-05</t>
  </si>
  <si>
    <t xml:space="preserve">Root and data-grid subpath exports preserve namespace and named runtime identity.</t>
  </si>
  <si>
    <t xml:space="preserve">DG-06</t>
  </si>
  <si>
    <t xml:space="preserve">Root / cells</t>
  </si>
  <si>
    <t xml:space="preserve">Data Grid imports server-safely and emits deterministic labelled grid, coordinate, and sort anatomy.</t>
  </si>
  <si>
    <t xml:space="preserve">DG-07</t>
  </si>
  <si>
    <t xml:space="preserve">Root / Caption</t>
  </si>
  <si>
    <t xml:space="preserve">Defaults are line, medium, comfortable, bottom caption, and logical-start alignment.</t>
  </si>
  <si>
    <t xml:space="preserve">DG-08</t>
  </si>
  <si>
    <t xml:space="preserve">Line/outline, sm/md/lg, and compact/comfortable/spacious remain independent.</t>
  </si>
  <si>
    <t xml:space="preserve">tests/components/data-grid/behavior.spec.ts</t>
  </si>
  <si>
    <t xml:space="preserve">DG-09</t>
  </si>
  <si>
    <t xml:space="preserve">Navigation</t>
  </si>
  <si>
    <t xml:space="preserve">Root owns focus and active descendant while arrow, boundary, page, loop, wrap, RTL, and disabled-cell navigation remain Atom-owned.</t>
  </si>
  <si>
    <t xml:space="preserve">tests/components/data-grid/behavior.spec.ts; @flowstack-ui/atom 0.17.0 behavior suite</t>
  </si>
  <si>
    <t xml:space="preserve">DG-10</t>
  </si>
  <si>
    <t xml:space="preserve">Root / Row</t>
  </si>
  <si>
    <t xml:space="preserve">Controlled/uncontrolled single and multiple row selection, row-click policy, Space activation, and disabled/read-only boundaries remain Atom-owned.</t>
  </si>
  <si>
    <t xml:space="preserve">DG-11</t>
  </si>
  <si>
    <t xml:space="preserve">ColumnHeader / SortIndicator</t>
  </si>
  <si>
    <t xml:space="preserve">Indexed actionable headers request application sorting by pointer and Enter; aria-sort stays controlled and artwork stays silent.</t>
  </si>
  <si>
    <t xml:space="preserve">DG-12</t>
  </si>
  <si>
    <t xml:space="preserve">ColumnHeader / Cell</t>
  </si>
  <si>
    <t xml:space="preserve">Start, center, end, and numeric formatting use logical alignment, tabular figures, and explicit precedence.</t>
  </si>
  <si>
    <t xml:space="preserve">DG-13</t>
  </si>
  <si>
    <t xml:space="preserve">Rows / cells</t>
  </si>
  <si>
    <t xml:space="preserve">Selected, active, disabled, selectable, actionable, hover, and sorted paint follows Atom attributes without geometry changes.</t>
  </si>
  <si>
    <t xml:space="preserve">DG-14</t>
  </si>
  <si>
    <t xml:space="preserve">Explicit horizontal containment preserves columns without page overflow, card conversion, or implicit wrapping.</t>
  </si>
  <si>
    <t xml:space="preserve">DG-15</t>
  </si>
  <si>
    <t xml:space="preserve">Logical navigation, alignment, sorting indicator placement, and overflow remain usable with RTL content.</t>
  </si>
  <si>
    <t xml:space="preserve">tests/components/data-grid/visual.spec.ts</t>
  </si>
  <si>
    <t xml:space="preserve">DG-16</t>
  </si>
  <si>
    <t xml:space="preserve">Light, dark, and forced-color surfaces preserve boundaries, state distinctions, badges, and focus.</t>
  </si>
  <si>
    <t xml:space="preserve">DG-17</t>
  </si>
  <si>
    <t xml:space="preserve">Baselines cover overview, variants, sizing, selection, sorting, dark customization, responsive mobile, RTL mobile, and forced colors.</t>
  </si>
  <si>
    <t xml:space="preserve">Owner baseline review not yet recorded.</t>
  </si>
  <si>
    <t xml:space="preserve">DG-18</t>
  </si>
  <si>
    <t xml:space="preserve">Stable classes, slots, public variables, classes, styles, and custom indicator content preserve behavior.</t>
  </si>
  <si>
    <t xml:space="preserve">../test/components/data-grid/data-grid.test.tsx; ../docs/components/data-grid/README.md</t>
  </si>
  <si>
    <t xml:space="preserve">DG-19</t>
  </si>
  <si>
    <t xml:space="preserve">Label, roles, counts, coordinates, selection, disabled, active descendant, sort metadata, and axe checks pass.</t>
  </si>
  <si>
    <t xml:space="preserve">DG-20</t>
  </si>
  <si>
    <t xml:space="preserve">One navigable Data Grid route exposes nine persistent controlled scenarios.</t>
  </si>
  <si>
    <t xml:space="preserve">src/components/data-grid/DataGridPage.tsx</t>
  </si>
  <si>
    <t xml:space="preserve">DG-21</t>
  </si>
  <si>
    <t xml:space="preserve">Guide documents boundary, anatomy, API, recipes, keyboard, selection, sorting, containment, accessibility, CSS, and exclusions.</t>
  </si>
  <si>
    <t xml:space="preserve">../docs/components/data-grid/README.md</t>
  </si>
  <si>
    <t xml:space="preserve">DG-22</t>
  </si>
  <si>
    <t xml:space="preserve">Component and package changelogs describe the release-facing Data Grid addition.</t>
  </si>
  <si>
    <t xml:space="preserve">../docs/components/data-grid/CHANGELOG.md; ../CHANGELOG.md</t>
  </si>
  <si>
    <t xml:space="preserve">DG-23</t>
  </si>
  <si>
    <t xml:space="preserve">Packed Consumer composes Data Grid with controlled sorting and selection plus external Toolbar, Pagination, and Badge.</t>
  </si>
  <si>
    <t xml:space="preserve">Packed Consumer passed 74 desktop/mobile checks on July 28, 2026.</t>
  </si>
  <si>
    <t xml:space="preserve">DG-24</t>
  </si>
  <si>
    <t xml:space="preserve">Owner reviews keyboard, screen reader, zoom, mobile overflow, RTL, appearance, preferences, and component boundaries.</t>
  </si>
  <si>
    <t xml:space="preserve">manual-tests/data-grid.md</t>
  </si>
  <si>
    <t xml:space="preserve">DG-25</t>
  </si>
  <si>
    <t xml:space="preserve">Package, tarball, SSR, CSS, and clean React 18/19 consumer verification passed locally on July 28, 2026.</t>
  </si>
  <si>
    <t xml:space="preserve">DG-26</t>
  </si>
  <si>
    <t xml:space="preserve">Boundary</t>
  </si>
  <si>
    <t xml:space="preserve">Editing, interactive cells, filtering, pagination, resizing, virtualization, schemas, enterprise processing, hierarchy, and page layout remain outside Data Grid.</t>
  </si>
  <si>
    <t xml:space="preserve">Tree Grid Evidence</t>
  </si>
  <si>
    <t xml:space="preserve">Assertion-level anatomy, hierarchy, navigation, expansion, selection, sorting activation, visual recipes, responsive containment, package, documentation, Consumer, and accessibility evidence.</t>
  </si>
  <si>
    <t xml:space="preserve">Brick styles released Atom 0.18.0 TreeGrid behavior without recreating hierarchy, navigation, expansion, selection, focus, or semantics.</t>
  </si>
  <si>
    <t xml:space="preserve">../src/components/tree-grid/TreeGrid.tsx; ../package.json</t>
  </si>
  <si>
    <t xml:space="preserve">Twelve-part namespace and named exports expose Container, Root, Caption, Header, Body, Footer, Row, ColumnHeader, RowHeader, Cell, Indicator, and SortIndicator.</t>
  </si>
  <si>
    <t xml:space="preserve">../test/components/tree-grid/tree-grid.test.tsx</t>
  </si>
  <si>
    <t xml:space="preserve">Explicit Container, exact native table hosts, treegrid roles, silent indicators, slots, refs, indexes, and counts render deterministically.</t>
  </si>
  <si>
    <t xml:space="preserve">Closed recipes, logical alignment, hierarchy, Atom state, controlled expansion, selection, active cell, sorting action, native props, and refs type-check.</t>
  </si>
  <si>
    <t xml:space="preserve">../test/types/components/tree-grid.test.ts</t>
  </si>
  <si>
    <t xml:space="preserve">Root and tree-grid subpath exports preserve namespace and named runtime identity.</t>
  </si>
  <si>
    <t xml:space="preserve">Root/subpath runtime identity passed in the complete package check on July 28, 2026.</t>
  </si>
  <si>
    <t xml:space="preserve">Tree Grid imports server-safely and emits deterministic labelled treegrid, hierarchy, coordinate, and sort anatomy.</t>
  </si>
  <si>
    <t xml:space="preserve">Tree Grid SSR anatomy passed in the complete package check on July 28, 2026.</t>
  </si>
  <si>
    <t xml:space="preserve">tests/components/tree-grid/behavior.spec.ts</t>
  </si>
  <si>
    <t xml:space="preserve">Focused Chromium behavior and visual owners passed on July 28, 2026.</t>
  </si>
  <si>
    <t xml:space="preserve">Hierarchy</t>
  </si>
  <si>
    <t xml:space="preserve">Row / RowHeader / Indicator</t>
  </si>
  <si>
    <t xml:space="preserve">Levels one through ten indent only the column-1 RowHeader; branches and leaves retain stable indicator space and expansion artwork.</t>
  </si>
  <si>
    <t xml:space="preserve">tests/components/tree-grid/behavior.spec.ts; @flowstack-ui/atom 0.18.0 behavior suite</t>
  </si>
  <si>
    <t xml:space="preserve">Behavior owner passed Chromium, Firefox, WebKit, Pixel 7, and iPhone 15 profiles on July 28, 2026.</t>
  </si>
  <si>
    <t xml:space="preserve">Root owns focus and active descendant while visible-cell boundaries, hierarchy movement, RTL, and disabled-cell navigation remain Atom-owned.</t>
  </si>
  <si>
    <t xml:space="preserve">Behavior owner and Atom 0.18.0 collapse regression passed on July 28, 2026.</t>
  </si>
  <si>
    <t xml:space="preserve">Collapse</t>
  </si>
  <si>
    <t xml:space="preserve">Collapsing a branch that hides the active descendant relocates active state to the ancestor's column-1 cell.</t>
  </si>
  <si>
    <t xml:space="preserve">Controlled and uncontrolled selection, row-click policy, Space activation, disabled/read-only boundaries, and expansion remain distinct.</t>
  </si>
  <si>
    <t xml:space="preserve">Focused collapse relocation passed in five browser/device profiles on July 28, 2026.</t>
  </si>
  <si>
    <t xml:space="preserve">Selection and read-only coverage passed in five browser/device profiles on July 28, 2026.</t>
  </si>
  <si>
    <t xml:space="preserve">ColumnHeader / RowHeader / Cell</t>
  </si>
  <si>
    <t xml:space="preserve">Pointer and Enter sorting parity passed in five browser/device profiles on July 28, 2026.</t>
  </si>
  <si>
    <t xml:space="preserve">Selected, active, expanded, disabled, read-only, actionable, hover, and sorted paint follows Atom attributes without geometry changes.</t>
  </si>
  <si>
    <t xml:space="preserve">Explicit horizontal containment preserves hierarchy and columns without page overflow, card conversion, or implicit root scrolling.</t>
  </si>
  <si>
    <t xml:space="preserve">State and geometry checks passed in five browser/device profiles on July 28, 2026.</t>
  </si>
  <si>
    <t xml:space="preserve">TG-17</t>
  </si>
  <si>
    <t xml:space="preserve">Logical hierarchy navigation, indentation, indicator direction, alignment, sorting placement, and overflow remain usable with localized RTL content.</t>
  </si>
  <si>
    <t xml:space="preserve">tests/components/tree-grid/visual.spec.ts</t>
  </si>
  <si>
    <t xml:space="preserve">Containment and page-overflow checks passed in five browser/device profiles on July 28, 2026.</t>
  </si>
  <si>
    <t xml:space="preserve">TG-18</t>
  </si>
  <si>
    <t xml:space="preserve">Light and dark badges plus forced-color surfaces preserve clipped boundaries, hierarchy, state distinctions, and focus.</t>
  </si>
  <si>
    <t xml:space="preserve">TG-19</t>
  </si>
  <si>
    <t xml:space="preserve">Baselines cover overview, variants, sizing, hierarchy, controlled sorting, dark customization, responsive mobile, RTL mobile, and forced colors.</t>
  </si>
  <si>
    <t xml:space="preserve">TG-20</t>
  </si>
  <si>
    <t xml:space="preserve">Stable classes, slots, public variables, styles, custom indicators, and accent outline clipping preserve behavior and rounded edges.</t>
  </si>
  <si>
    <t xml:space="preserve">../test/components/tree-grid/tree-grid.test.tsx; ../docs/components/tree-grid/README.md</t>
  </si>
  <si>
    <t xml:space="preserve">TG-21</t>
  </si>
  <si>
    <t xml:space="preserve">Name, roles, hierarchy, counts, coordinates, expansion, selection, disabled/read-only, active descendant, sort metadata, and axe checks pass.</t>
  </si>
  <si>
    <t xml:space="preserve">Axe and accessibility assertions passed in five browser/device profiles on July 28, 2026.</t>
  </si>
  <si>
    <t xml:space="preserve">TG-22</t>
  </si>
  <si>
    <t xml:space="preserve">One navigable Tree Grid route exposes nine persistent, controlled scenarios with realistic hierarchical release content.</t>
  </si>
  <si>
    <t xml:space="preserve">src/components/tree-grid/TreeGridPage.tsx</t>
  </si>
  <si>
    <t xml:space="preserve">TG-23</t>
  </si>
  <si>
    <t xml:space="preserve">Guide documents boundary, anatomy, authored coordinates, API, recipes, hierarchy, keyboard, expansion, selection, sorting, containment, accessibility, CSS, and exclusions.</t>
  </si>
  <si>
    <t xml:space="preserve">../docs/components/tree-grid/README.md</t>
  </si>
  <si>
    <t xml:space="preserve">TG-24</t>
  </si>
  <si>
    <t xml:space="preserve">Component and package changelogs describe the release-facing Tree Grid addition.</t>
  </si>
  <si>
    <t xml:space="preserve">../docs/components/tree-grid/CHANGELOG.md; ../CHANGELOG.md</t>
  </si>
  <si>
    <t xml:space="preserve">TG-25</t>
  </si>
  <si>
    <t xml:space="preserve">Packed Consumer composes Tree Grid with controlled hierarchy, sorting and selection plus external Toolbar, Badge metadata, and a details Surface.</t>
  </si>
  <si>
    <t xml:space="preserve">Packed Consumer flow passed 76 desktop/mobile checks on July 28, 2026.</t>
  </si>
  <si>
    <t xml:space="preserve">TG-26</t>
  </si>
  <si>
    <t xml:space="preserve">Owner reviews hierarchy keyboard, collapse focus, screen reader, zoom, touch, RTL, appearances, preferences, rounded clipping, and component boundaries.</t>
  </si>
  <si>
    <t xml:space="preserve">manual-tests/tree-grid.md</t>
  </si>
  <si>
    <t xml:space="preserve">TG-27</t>
  </si>
  <si>
    <t xml:space="preserve">Build, declarations, exports, SSR, CSS, docs, tarball, clean React consumers, focused browser/device matrix, and Consumer pass.</t>
  </si>
  <si>
    <t xml:space="preserve">Complete package check, CSS size report, tarball, React 18/19, five-profile Tree Grid browser owner, and packed Consumer passed locally on July 28, 2026.</t>
  </si>
  <si>
    <t xml:space="preserve">TG-28</t>
  </si>
  <si>
    <t xml:space="preserve">Editing, interactive cells, filtering, pagination, resizing, reordering, virtualization, schemas, enterprise processing, and spreadsheet behavior remain outside Tree Grid.</t>
  </si>
  <si>
    <t xml:space="preserve">Tree Evidence</t>
  </si>
  <si>
    <t xml:space="preserve">Assertion-level anatomy, focus, navigation, selection, expansion, visual recipes, hierarchy guides, responsive direction, package, documentation, Consumer, and accessibility evidence.</t>
  </si>
  <si>
    <t xml:space="preserve">TR-01</t>
  </si>
  <si>
    <t xml:space="preserve">Brick styles released Atom 0.17.1 Tree behavior without recreating focus, navigation, selection, expansion, typeahead, forms, or semantics.</t>
  </si>
  <si>
    <t xml:space="preserve">../src/components/tree/Tree.tsx; ../package.json</t>
  </si>
  <si>
    <t xml:space="preserve">TR-02</t>
  </si>
  <si>
    <t xml:space="preserve">Six-part namespace and named exports expose Root, Item, ItemContent, Indicator, ItemText, and Group.</t>
  </si>
  <si>
    <t xml:space="preserve">../test/components/tree/tree.test.tsx</t>
  </si>
  <si>
    <t xml:space="preserve">TR-03</t>
  </si>
  <si>
    <t xml:space="preserve">Atom-backed semantic parts and Brick-owned content-row and indicator hosts, roles, slots, state attributes, and refs render deterministically.</t>
  </si>
  <si>
    <t xml:space="preserve">TR-04</t>
  </si>
  <si>
    <t xml:space="preserve">Closed recipes, vertical-only omission, Atom selection and expansion props, native props, and refs type-check.</t>
  </si>
  <si>
    <t xml:space="preserve">../test/types/components/tree.test.ts</t>
  </si>
  <si>
    <t xml:space="preserve">TR-05</t>
  </si>
  <si>
    <t xml:space="preserve">Root and tree subpath exports preserve namespace and named runtime identity.</t>
  </si>
  <si>
    <t xml:space="preserve">TR-06</t>
  </si>
  <si>
    <t xml:space="preserve">Tree imports server-safely and emits deterministic labelled tree, item, text, indicator, and group anatomy.</t>
  </si>
  <si>
    <t xml:space="preserve">TR-07</t>
  </si>
  <si>
    <t xml:space="preserve">Defaults are plain, medium, guides off, vertical orientation, and bounded navigation.</t>
  </si>
  <si>
    <t xml:space="preserve">../test/components/tree/tree.test.tsx; tests/components/tree/behavior.spec.ts</t>
  </si>
  <si>
    <t xml:space="preserve">TR-08</t>
  </si>
  <si>
    <t xml:space="preserve">Plain, soft, and outline variants remain independent from sm/md size and optional hierarchy guides.</t>
  </si>
  <si>
    <t xml:space="preserve">tests/components/tree/behavior.spec.ts</t>
  </si>
  <si>
    <t xml:space="preserve">TR-09</t>
  </si>
  <si>
    <t xml:space="preserve">Focus</t>
  </si>
  <si>
    <t xml:space="preserve">Initial focus activates the first visible selected item, then the first enabled visible item; focus remains distinct from selection.</t>
  </si>
  <si>
    <t xml:space="preserve">tests/components/tree/behavior.spec.ts; @flowstack-ui/atom 0.17.1 behavior suite</t>
  </si>
  <si>
    <t xml:space="preserve">TR-10</t>
  </si>
  <si>
    <t xml:space="preserve">Arrow keys, Home/End, bounded default movement, opt-in loop, typeahead, disabled skipping, and logical expansion remain Atom-owned.</t>
  </si>
  <si>
    <t xml:space="preserve">TR-11</t>
  </si>
  <si>
    <t xml:space="preserve">Controlled/uncontrolled single and multiple selection, activation, and disabled/read-only boundaries remain Atom-owned.</t>
  </si>
  <si>
    <t xml:space="preserve">TR-12</t>
  </si>
  <si>
    <t xml:space="preserve">Expansion</t>
  </si>
  <si>
    <t xml:space="preserve">Item / Group / Indicator</t>
  </si>
  <si>
    <t xml:space="preserve">Controlled/uncontrolled expansion keeps Group lifecycle and aria-expanded in Atom while Indicator follows expansion visually.</t>
  </si>
  <si>
    <t xml:space="preserve">TR-13</t>
  </si>
  <si>
    <t xml:space="preserve">ItemContent</t>
  </si>
  <si>
    <t xml:space="preserve">Hover, active focus, selected, expanded, and disabled paint follows Atom attributes without painting Group descendants or changing geometry.</t>
  </si>
  <si>
    <t xml:space="preserve">TR-14</t>
  </si>
  <si>
    <t xml:space="preserve">Root / ItemContent</t>
  </si>
  <si>
    <t xml:space="preserve">Inline containment and wrapping preserve indicators, metadata, indentation, and focus without page overflow at 320 CSS px.</t>
  </si>
  <si>
    <t xml:space="preserve">TR-15</t>
  </si>
  <si>
    <t xml:space="preserve">Logical indentation, hierarchy guides, trailing metadata, and closed chevrons mirror while expanded chevrons remain downward.</t>
  </si>
  <si>
    <t xml:space="preserve">tests/components/tree/visual.spec.ts</t>
  </si>
  <si>
    <t xml:space="preserve">TR-16</t>
  </si>
  <si>
    <t xml:space="preserve">Light, dark, and forced-color surfaces preserve hierarchy boundaries, focus, selection, and disabled distinctions.</t>
  </si>
  <si>
    <t xml:space="preserve">TR-17</t>
  </si>
  <si>
    <t xml:space="preserve">Baselines cover overview, variants, sizing and guides, selection, dark customization, responsive mobile, RTL mobile, and forced colors.</t>
  </si>
  <si>
    <t xml:space="preserve">TR-18</t>
  </si>
  <si>
    <t xml:space="preserve">Stable classes, slots, public variables, native props, custom row content, and custom decorative indicator content preserve behavior.</t>
  </si>
  <si>
    <t xml:space="preserve">../test/components/tree/tree.test.tsx; ../docs/components/tree/README.md</t>
  </si>
  <si>
    <t xml:space="preserve">TR-19</t>
  </si>
  <si>
    <t xml:space="preserve">Accessible naming, roles, levels, selection, expansion, disabled state, active descendant, silent decoration, and axe checks pass.</t>
  </si>
  <si>
    <t xml:space="preserve">TR-20</t>
  </si>
  <si>
    <t xml:space="preserve">One navigable Tree route exposes eight persistent, controlled scenarios with realistic hierarchical content.</t>
  </si>
  <si>
    <t xml:space="preserve">src/components/tree/TreePage.tsx</t>
  </si>
  <si>
    <t xml:space="preserve">TR-21</t>
  </si>
  <si>
    <t xml:space="preserve">Guide documents boundary, anatomy, API, recipes, keyboard, selection, expansion, responsive behavior, accessibility, CSS, and exclusions.</t>
  </si>
  <si>
    <t xml:space="preserve">../docs/components/tree/README.md</t>
  </si>
  <si>
    <t xml:space="preserve">TR-22</t>
  </si>
  <si>
    <t xml:space="preserve">Component and package changelogs describe the release-facing Tree addition.</t>
  </si>
  <si>
    <t xml:space="preserve">../docs/components/tree/CHANGELOG.md; ../CHANGELOG.md</t>
  </si>
  <si>
    <t xml:space="preserve">TR-23</t>
  </si>
  <si>
    <t xml:space="preserve">Packed Consumer composes Tree with selection, expansion, guides, metadata Badge, and public subpath imports.</t>
  </si>
  <si>
    <t xml:space="preserve">TR-24</t>
  </si>
  <si>
    <t xml:space="preserve">Owner reviews keyboard, screen reader, zoom, touch, RTL, appearance, preferences, content stress, and component boundaries.</t>
  </si>
  <si>
    <t xml:space="preserve">manual-tests/tree.md</t>
  </si>
  <si>
    <t xml:space="preserve">TR-25</t>
  </si>
  <si>
    <t xml:space="preserve">TR-26</t>
  </si>
  <si>
    <t xml:space="preserve">Tree Grid, loading, filtering, links, checking, rename, drag/drop, virtualization, context menus, routing, persistence, and interactive descendants remain outside Tree.</t>
  </si>
  <si>
    <t xml:space="preserve">Aspect Ratio Evidence</t>
  </si>
  <si>
    <t xml:space="preserve">Assertion-level Atom ownership, one-part anatomy, numeric geometry, framing recipes, composition, responsive containment, package, documentation, Consumer, and accessibility evidence.</t>
  </si>
  <si>
    <t xml:space="preserve">AR-01</t>
  </si>
  <si>
    <t xml:space="preserve">Brick styles released Atom 0.18.0 AspectRatio geometry without recreating normalization, native CSS sizing, refs, or composition.</t>
  </si>
  <si>
    <t xml:space="preserve">../src/components/aspect-ratio/AspectRatio.tsx; ../package.json</t>
  </si>
  <si>
    <t xml:space="preserve">Exact Atom boundary is covered by source and component tests.</t>
  </si>
  <si>
    <t xml:space="preserve">AR-02</t>
  </si>
  <si>
    <t xml:space="preserve">Root namespace and named exports expose AspectRatioRoot plus variant, radius, overflow, and props types.</t>
  </si>
  <si>
    <t xml:space="preserve">../test/components/aspect-ratio/aspect-ratio.test.tsx</t>
  </si>
  <si>
    <t xml:space="preserve">AR-03</t>
  </si>
  <si>
    <t xml:space="preserve">One default div, no Content wrapper, HTMLDivElement ref, Brick class, Atom slot, and recipe attributes render deterministically.</t>
  </si>
  <si>
    <t xml:space="preserve">AR-04</t>
  </si>
  <si>
    <t xml:space="preserve">Closed visual unions, numeric-only ratio, native props, refs, asChild, render, and rejected responsive values type-check.</t>
  </si>
  <si>
    <t xml:space="preserve">../test/types/components/aspect-ratio.test.ts</t>
  </si>
  <si>
    <t xml:space="preserve">AR-05</t>
  </si>
  <si>
    <t xml:space="preserve">Root and aspect-ratio subpath exports preserve namespace and named runtime identity.</t>
  </si>
  <si>
    <t xml:space="preserve">AR-06</t>
  </si>
  <si>
    <t xml:space="preserve">Aspect Ratio imports server-safely and emits deterministic layout-only anatomy with child semantics intact.</t>
  </si>
  <si>
    <t xml:space="preserve">AR-07</t>
  </si>
  <si>
    <t xml:space="preserve">Default 16:9, positive numeric ratios, and invalid-value normalization remain Atom-owned and browser-accurate.</t>
  </si>
  <si>
    <t xml:space="preserve">tests/components/aspect-ratio/behavior.spec.ts; @flowstack-ui/atom 0.18.0</t>
  </si>
  <si>
    <t xml:space="preserve">AR-08</t>
  </si>
  <si>
    <t xml:space="preserve">Plain, subtle, and outline change frame paint only without geometry, content, or semantic drift.</t>
  </si>
  <si>
    <t xml:space="preserve">tests/components/aspect-ratio/behavior.spec.ts</t>
  </si>
  <si>
    <t xml:space="preserve">AR-09</t>
  </si>
  <si>
    <t xml:space="preserve">Radius</t>
  </si>
  <si>
    <t xml:space="preserve">None, sm, md, lg, and full change only corner geometry with five distinct computed results.</t>
  </si>
  <si>
    <t xml:space="preserve">AR-10</t>
  </si>
  <si>
    <t xml:space="preserve">Overflow</t>
  </si>
  <si>
    <t xml:space="preserve">Hidden clips authored edges and visible permits overflow without changing the ratio box size.</t>
  </si>
  <si>
    <t xml:space="preserve">AR-11</t>
  </si>
  <si>
    <t xml:space="preserve">Children</t>
  </si>
  <si>
    <t xml:space="preserve">Aspect Ratio does not stretch or position children; Image-like media, iframe, Skeleton, and passive layout retain ownership.</t>
  </si>
  <si>
    <t xml:space="preserve">AR-12</t>
  </si>
  <si>
    <t xml:space="preserve">Native attributes, events, class, style, custom slot, ref, asChild, and render remain supported without recipe leakage.</t>
  </si>
  <si>
    <t xml:space="preserve">AR-13</t>
  </si>
  <si>
    <t xml:space="preserve">Root / children</t>
  </si>
  <si>
    <t xml:space="preserve">Root adds no role, name, focus, state, or announcement while child image and iframe naming remains authoritative.</t>
  </si>
  <si>
    <t xml:space="preserve">AR-14</t>
  </si>
  <si>
    <t xml:space="preserve">Authored semantics, focusable descendants, narrow containment, and the component-owned axe scan pass.</t>
  </si>
  <si>
    <t xml:space="preserve">AR-15</t>
  </si>
  <si>
    <t xml:space="preserve">At narrow widths Root remains inline-contained and every ratio preserves its width-to-height geometry.</t>
  </si>
  <si>
    <t xml:space="preserve">AR-16</t>
  </si>
  <si>
    <t xml:space="preserve">Direction-neutral geometry matches LTR while localized Arabic child content retains RTL direction.</t>
  </si>
  <si>
    <t xml:space="preserve">tests/components/aspect-ratio/visual.spec.ts</t>
  </si>
  <si>
    <t xml:space="preserve">Automated geometry passes; owner visual judgment remains open.</t>
  </si>
  <si>
    <t xml:space="preserve">AR-17</t>
  </si>
  <si>
    <t xml:space="preserve">Light and dark badge scopes preserve neutral framing and the customized accent specimen remains legible.</t>
  </si>
  <si>
    <t xml:space="preserve">Owner appearance review remains open.</t>
  </si>
  <si>
    <t xml:space="preserve">AR-18</t>
  </si>
  <si>
    <t xml:space="preserve">Forced colors preserves outline boundaries and reduced motion adds no component animation.</t>
  </si>
  <si>
    <t xml:space="preserve">tests/components/aspect-ratio/visual.spec.ts; manual-tests/aspect-ratio.md</t>
  </si>
  <si>
    <t xml:space="preserve">Automated forced-color baseline exists; complete human preference review remains open.</t>
  </si>
  <si>
    <t xml:space="preserve">AR-19</t>
  </si>
  <si>
    <t xml:space="preserve">Five public variables, class, slot, recipe attributes, and consumer style customize framing without overriding Atom ratio authority.</t>
  </si>
  <si>
    <t xml:space="preserve">../test/components/aspect-ratio/aspect-ratio.test.tsx; ../docs/components/aspect-ratio/README.md</t>
  </si>
  <si>
    <t xml:space="preserve">AR-20</t>
  </si>
  <si>
    <t xml:space="preserve">One navigable Aspect Ratio route exposes nine deterministic scenarios with distinct real content and controlled comparisons.</t>
  </si>
  <si>
    <t xml:space="preserve">src/components/aspect-ratio/AspectRatioPage.tsx</t>
  </si>
  <si>
    <t xml:space="preserve">AR-21</t>
  </si>
  <si>
    <t xml:space="preserve">Guide documents role, boundaries, anatomy, API, sizing caveat, recipes, semantics, composition, CSS, customization, and exclusions.</t>
  </si>
  <si>
    <t xml:space="preserve">../docs/components/aspect-ratio/README.md</t>
  </si>
  <si>
    <t xml:space="preserve">AR-22</t>
  </si>
  <si>
    <t xml:space="preserve">Component and package changelogs describe the release-facing AspectRatio addition.</t>
  </si>
  <si>
    <t xml:space="preserve">../docs/components/aspect-ratio/CHANGELOG.md; ../CHANGELOG.md</t>
  </si>
  <si>
    <t xml:space="preserve">AR-23</t>
  </si>
  <si>
    <t xml:space="preserve">Packed Consumer composes Aspect Ratio from its public subpath with Badge/Text metadata inside a realistic project Card.</t>
  </si>
  <si>
    <t xml:space="preserve">2026-07-28</t>
  </si>
  <si>
    <t xml:space="preserve">Tested through the packed public subpath in the real Consumer on desktop and mobile Chromium.</t>
  </si>
  <si>
    <t xml:space="preserve">AR-24</t>
  </si>
  <si>
    <t xml:space="preserve">Baselines cover overview, ratios, variants, radii, content, dark customization, mobile RTL, and forced colors.</t>
  </si>
  <si>
    <t xml:space="preserve">Owner baseline review remains open.</t>
  </si>
  <si>
    <t xml:space="preserve">AR-25</t>
  </si>
  <si>
    <t xml:space="preserve">Owner reviews geometry, clipping, semantics, keyboard focus, zoom, touch, RTL, appearances, and preferences.</t>
  </si>
  <si>
    <t xml:space="preserve">manual-tests/aspect-ratio.md</t>
  </si>
  <si>
    <t xml:space="preserve">AR-26</t>
  </si>
  <si>
    <t xml:space="preserve">Build, declarations, exports, SSR, CSS, docs, tarball, React 18/19, browser matrix, and packed Consumer pass.</t>
  </si>
  <si>
    <t xml:space="preserve">Unit, type, package, SSR, browser, visual, documentation, ownership, Consumer, and CSS build gates pass.</t>
  </si>
  <si>
    <t xml:space="preserve">Toolbar Evidence</t>
  </si>
  <si>
    <t xml:space="preserve">Assertion-level Atom ownership, six-part anatomy, visual recipes, keyboard behavior, toggle models, responsive containment, package, documentation, Consumer, and accessibility evidence.</t>
  </si>
  <si>
    <t xml:space="preserve">Brick styles released Atom 0.15.0 Toolbar behavior without recreating roving focus, orientation, direction, looping, or toggle state.</t>
  </si>
  <si>
    <t xml:space="preserve">../src/components/toolbar/Toolbar.tsx; ../package.json</t>
  </si>
  <si>
    <t xml:space="preserve">Exact Atom ownership is covered by source and focused tests.</t>
  </si>
  <si>
    <t xml:space="preserve">The Toolbar namespace and named exports expose Root, Button, Link, Separator, ToggleGroup, ToggleItem, props, size, and variant types.</t>
  </si>
  <si>
    <t xml:space="preserve">../test/components/toolbar/toolbar.test.tsx</t>
  </si>
  <si>
    <t xml:space="preserve">Six public parts render their exact Atom/native hosts, Brick classes, slots, roles, and relationships without added wrappers.</t>
  </si>
  <si>
    <t xml:space="preserve">Closed variant and size unions, native props, orientation, direction, refs, asChild, render, and toggle models type-check.</t>
  </si>
  <si>
    <t xml:space="preserve">../test/types/components/toolbar.test.ts</t>
  </si>
  <si>
    <t xml:space="preserve">Root and toolbar subpath exports preserve namespace and named runtime identity in the packed package.</t>
  </si>
  <si>
    <t xml:space="preserve">Toolbar imports server-safely and emits deterministic toolbar, command, link, separator, group, and pressed-state anatomy.</t>
  </si>
  <si>
    <t xml:space="preserve">The default soft, medium, horizontal, LTR Toolbar remains content-sized and exposes one named toolbar landmark.</t>
  </si>
  <si>
    <t xml:space="preserve">tests/components/toolbar/behavior.spec.ts</t>
  </si>
  <si>
    <t xml:space="preserve">Plain, soft, and outline change only the coordinated surface treatment.</t>
  </si>
  <si>
    <t xml:space="preserve">tests/components/toolbar/visual.spec.ts</t>
  </si>
  <si>
    <t xml:space="preserve">Owner comparison review remains open.</t>
  </si>
  <si>
    <t xml:space="preserve">Root / items</t>
  </si>
  <si>
    <t xml:space="preserve">Small, medium, and large coordinate root padding, target height, typography, icons, and separators without behavioral drift.</t>
  </si>
  <si>
    <t xml:space="preserve">Owner size review remains open.</t>
  </si>
  <si>
    <t xml:space="preserve">Commands</t>
  </si>
  <si>
    <t xml:space="preserve">Command buttons preserve native activation, disabled behavior, naming, focusability, and authored application actions.</t>
  </si>
  <si>
    <t xml:space="preserve">../test/components/toolbar/toolbar.test.tsx; tests/components/toolbar/behavior.spec.ts</t>
  </si>
  <si>
    <t xml:space="preserve">Links</t>
  </si>
  <si>
    <t xml:space="preserve">Links retain native anchor navigation and participate in the Toolbar roving-focus sequence without button semantics.</t>
  </si>
  <si>
    <t xml:space="preserve">Separators</t>
  </si>
  <si>
    <t xml:space="preserve">Separator</t>
  </si>
  <si>
    <t xml:space="preserve">Separators preserve semantic orientation and remain unfocusable visual boundaries.</t>
  </si>
  <si>
    <t xml:space="preserve">Single toggle</t>
  </si>
  <si>
    <t xml:space="preserve">ToggleGroup / ToggleItem</t>
  </si>
  <si>
    <t xml:space="preserve">Single-value toggles preserve controlled and uncontrolled Atom state with exact aria-pressed output.</t>
  </si>
  <si>
    <t xml:space="preserve">Multiple toggle</t>
  </si>
  <si>
    <t xml:space="preserve">Multiple-value toggles preserve independent pressed state without Toolbar absorbing selection ownership.</t>
  </si>
  <si>
    <t xml:space="preserve">All focusable parts</t>
  </si>
  <si>
    <t xml:space="preserve">One Tab entry, orientation-aware arrows, Home, End, looping, and disabled-item omission remain Atom-owned.</t>
  </si>
  <si>
    <t xml:space="preserve">tests/components/toolbar/behavior.spec.ts; @flowstack-ui/atom 0.15.0</t>
  </si>
  <si>
    <t xml:space="preserve">Root / Separator</t>
  </si>
  <si>
    <t xml:space="preserve">Horizontal and vertical layouts coordinate main-axis overflow, separator orientation, and direction-aware keyboard order.</t>
  </si>
  <si>
    <t xml:space="preserve">Native attributes, events, class, style, refs, asChild, render, and popup-trigger composition preserve exact final hosts.</t>
  </si>
  <si>
    <t xml:space="preserve">../test/components/toolbar/toolbar.test.tsx; src/components/toolbar/ToolbarPage.tsx</t>
  </si>
  <si>
    <t xml:space="preserve">Toolbar never wraps and uses main-axis overflow at narrow widths while consumers retain item-priority and overflow-menu ownership.</t>
  </si>
  <si>
    <t xml:space="preserve">Localized RTL evidence aligns logically and reverses horizontal Arrow navigation without changing authored DOM order.</t>
  </si>
  <si>
    <t xml:space="preserve">tests/components/toolbar/visual.spec.ts; tests/components/toolbar/behavior.spec.ts</t>
  </si>
  <si>
    <t xml:space="preserve">Automated RTL behavior passes; owner visual judgment remains open.</t>
  </si>
  <si>
    <t xml:space="preserve">Named toolbar/group semantics, native commands and links, pressed state, focus order, disabled omission, and the focused axe scan pass.</t>
  </si>
  <si>
    <t xml:space="preserve">Light and dark scopes preserve surface, text, state, separator, and focus contrast; customization remains legible.</t>
  </si>
  <si>
    <t xml:space="preserve">Forced colors preserves boundaries, separators, focus, disabled, and pressed cues; reduced motion adds no Toolbar-owned motion.</t>
  </si>
  <si>
    <t xml:space="preserve">tests/components/toolbar/visual.spec.ts; manual-tests/toolbar.md</t>
  </si>
  <si>
    <t xml:space="preserve">Automated preference baselines exist; human review remains open.</t>
  </si>
  <si>
    <t xml:space="preserve">Documented --brick-toolbar-* variables, stable classes, slots, data attributes, className, and style customize visuals without behavior drift.</t>
  </si>
  <si>
    <t xml:space="preserve">../docs/components/toolbar/README.md; src/components/toolbar/ToolbarPage.tsx</t>
  </si>
  <si>
    <t xml:space="preserve">TB-24</t>
  </si>
  <si>
    <t xml:space="preserve">One navigable Toolbar route exposes nine deterministic scenarios with real editor and data-view controls.</t>
  </si>
  <si>
    <t xml:space="preserve">src/components/toolbar/ToolbarPage.tsx</t>
  </si>
  <si>
    <t xml:space="preserve">TB-25</t>
  </si>
  <si>
    <t xml:space="preserve">The guide documents role, boundaries, six-part anatomy, API, keyboard model, recipes, responsive behavior, composition, customization, and exclusions.</t>
  </si>
  <si>
    <t xml:space="preserve">../docs/components/toolbar/README.md</t>
  </si>
  <si>
    <t xml:space="preserve">TB-26</t>
  </si>
  <si>
    <t xml:space="preserve">Component and package changelogs describe the release-facing Toolbar family.</t>
  </si>
  <si>
    <t xml:space="preserve">../docs/components/toolbar/CHANGELOG.md; ../CHANGELOG.md</t>
  </si>
  <si>
    <t xml:space="preserve">TB-27</t>
  </si>
  <si>
    <t xml:space="preserve">The packed Consumer composes document-view commands, separator, view toggles, and a help link through the public Toolbar subpath.</t>
  </si>
  <si>
    <t xml:space="preserve">Packed Consumer evidence passes on desktop and mobile Chromium.</t>
  </si>
  <si>
    <t xml:space="preserve">TB-28</t>
  </si>
  <si>
    <t xml:space="preserve">Baselines cover overview, anatomy, variants, sizes, commands, toggles, orientations, appearance, customization, responsive overflow, RTL, and preferences.</t>
  </si>
  <si>
    <t xml:space="preserve">TB-29</t>
  </si>
  <si>
    <t xml:space="preserve">Owner reviews semantics, keyboard order, focus, commands, links, toggles, overflow, zoom, touch, RTL, appearances, and preferences.</t>
  </si>
  <si>
    <t xml:space="preserve">manual-tests/toolbar.md</t>
  </si>
  <si>
    <t xml:space="preserve">TB-30</t>
  </si>
  <si>
    <t xml:space="preserve">Build, declarations, exports, SSR, CSS, docs, tarball, React 18/19, browser matrix, packed Consumer, and release gates pass.</t>
  </si>
  <si>
    <t xml:space="preserve">Local complete release verification passes; GitHub Actions verification is recorded in the private project record.</t>
  </si>
  <si>
    <t xml:space="preserve">Chip Evidence</t>
  </si>
  <si>
    <t xml:space="preserve">Assertion-level Atom ownership, three-part passive value anatomy, visual recipes, explicit removal, responsive containment, package, documentation, Consumer, and accessibility evidence.</t>
  </si>
  <si>
    <t xml:space="preserve">CH-01</t>
  </si>
  <si>
    <t xml:space="preserve">Brick styles released Atom 0.18.0 Badge and Button primitives without recreating activation or disabled behavior.</t>
  </si>
  <si>
    <t xml:space="preserve">../src/components/chip/Chip.tsx; ../package.json</t>
  </si>
  <si>
    <t xml:space="preserve">CH-02</t>
  </si>
  <si>
    <t xml:space="preserve">The Chip namespace and named exports expose Root, Label, RemoveTrigger, props, variants, tones, sizes, and shapes.</t>
  </si>
  <si>
    <t xml:space="preserve">../test/components/chip/chip.test.tsx</t>
  </si>
  <si>
    <t xml:space="preserve">CH-03</t>
  </si>
  <si>
    <t xml:space="preserve">Root / Label / RemoveTrigger</t>
  </si>
  <si>
    <t xml:space="preserve">Three public parts render their exact Atom/native hosts, Brick classes, slots, metadata, and refs without added wrappers.</t>
  </si>
  <si>
    <t xml:space="preserve">CH-04</t>
  </si>
  <si>
    <t xml:space="preserve">Closed recipe unions, native props, required accessible removal naming, refs, asChild, and render composition type-check.</t>
  </si>
  <si>
    <t xml:space="preserve">../test/types/components/chip.test.ts</t>
  </si>
  <si>
    <t xml:space="preserve">CH-05</t>
  </si>
  <si>
    <t xml:space="preserve">Root and chip subpath exports preserve namespace and named runtime identity in the built package.</t>
  </si>
  <si>
    <t xml:space="preserve">CH-06</t>
  </si>
  <si>
    <t xml:space="preserve">Chip imports server-safely and emits deterministic passive span, label, and independently named button anatomy.</t>
  </si>
  <si>
    <t xml:space="preserve">CH-07</t>
  </si>
  <si>
    <t xml:space="preserve">The default soft, neutral, medium, pill Chip remains passive and content-sized with no role, tab stop, or selection state.</t>
  </si>
  <si>
    <t xml:space="preserve">tests/components/chip/behavior.spec.ts</t>
  </si>
  <si>
    <t xml:space="preserve">CH-08</t>
  </si>
  <si>
    <t xml:space="preserve">Soft and outline change coordinated surface and border treatment without semantic drift.</t>
  </si>
  <si>
    <t xml:space="preserve">tests/components/chip/visual.spec.ts</t>
  </si>
  <si>
    <t xml:space="preserve">CH-09</t>
  </si>
  <si>
    <t xml:space="preserve">Tones</t>
  </si>
  <si>
    <t xml:space="preserve">Neutral and accent express identity emphasis without introducing success, warning, or error semantics.</t>
  </si>
  <si>
    <t xml:space="preserve">Owner tone review remains open.</t>
  </si>
  <si>
    <t xml:space="preserve">CH-10</t>
  </si>
  <si>
    <t xml:space="preserve">Root / RemoveTrigger</t>
  </si>
  <si>
    <t xml:space="preserve">Small, medium, and large coordinate typography, leading content, padding, and a minimum 24px remove target.</t>
  </si>
  <si>
    <t xml:space="preserve">tests/components/chip/visual.spec.ts; tests/components/chip/behavior.spec.ts</t>
  </si>
  <si>
    <t xml:space="preserve">Automated target geometry passes; owner size review remains open.</t>
  </si>
  <si>
    <t xml:space="preserve">CH-11</t>
  </si>
  <si>
    <t xml:space="preserve">Shapes</t>
  </si>
  <si>
    <t xml:space="preserve">Rounded and pill recipes change corners only while preserving anatomy and target geometry.</t>
  </si>
  <si>
    <t xml:space="preserve">Owner shape review remains open.</t>
  </si>
  <si>
    <t xml:space="preserve">CH-12</t>
  </si>
  <si>
    <t xml:space="preserve">Label</t>
  </si>
  <si>
    <t xml:space="preserve">Label remains a native one-line span and truncates long authored values without displacing adjacent content.</t>
  </si>
  <si>
    <t xml:space="preserve">CH-13</t>
  </si>
  <si>
    <t xml:space="preserve">Leading content</t>
  </si>
  <si>
    <t xml:space="preserve">Root / Label</t>
  </si>
  <si>
    <t xml:space="preserve">Authored Icon and Avatar content align without adding a Chip-owned semantic contract.</t>
  </si>
  <si>
    <t xml:space="preserve">Owner leading-content review remains open.</t>
  </si>
  <si>
    <t xml:space="preserve">CH-14</t>
  </si>
  <si>
    <t xml:space="preserve">Removal</t>
  </si>
  <si>
    <t xml:space="preserve">RemoveTrigger</t>
  </si>
  <si>
    <t xml:space="preserve">An explicitly named native button requests application-owned removal and preserves Enter, Space, click, and focus behavior.</t>
  </si>
  <si>
    <t xml:space="preserve">CH-15</t>
  </si>
  <si>
    <t xml:space="preserve">Disabled removal remains unavailable and exposes stable disabled metadata without disabling the passive value container.</t>
  </si>
  <si>
    <t xml:space="preserve">../test/components/chip/chip.test.tsx; tests/components/chip/behavior.spec.ts</t>
  </si>
  <si>
    <t xml:space="preserve">CH-16</t>
  </si>
  <si>
    <t xml:space="preserve">Native attributes, events, class, style, refs, asChild, render, authored icon content, and custom trigger content preserve final hosts.</t>
  </si>
  <si>
    <t xml:space="preserve">CH-17</t>
  </si>
  <si>
    <t xml:space="preserve">One Chip remains max-width contained while the parent owns wrapping between Chips and the remove target stays visible.</t>
  </si>
  <si>
    <t xml:space="preserve">CH-18</t>
  </si>
  <si>
    <t xml:space="preserve">Long English and Arabic values remain contained and use authored localized removal names.</t>
  </si>
  <si>
    <t xml:space="preserve">Automated containment passes; owner localization review remains open.</t>
  </si>
  <si>
    <t xml:space="preserve">CH-19</t>
  </si>
  <si>
    <t xml:space="preserve">Logical padding and authored child order place label, leading content, and remove action correctly in RTL.</t>
  </si>
  <si>
    <t xml:space="preserve">Automated RTL geometry passes; owner visual judgment remains open.</t>
  </si>
  <si>
    <t xml:space="preserve">CH-20</t>
  </si>
  <si>
    <t xml:space="preserve">Passive Root semantics, localized button naming, native disabled behavior, focus visibility, target geometry, and focused axe scan pass.</t>
  </si>
  <si>
    <t xml:space="preserve">CH-21</t>
  </si>
  <si>
    <t xml:space="preserve">Light and dark scopes preserve surface, border, text, remove-action, and focus contrast.</t>
  </si>
  <si>
    <t xml:space="preserve">CH-22</t>
  </si>
  <si>
    <t xml:space="preserve">Forced colors preserves boundaries, removal, disabled, and focus cues; reduced motion adds no Chip-owned motion.</t>
  </si>
  <si>
    <t xml:space="preserve">manual-tests/chip.md</t>
  </si>
  <si>
    <t xml:space="preserve">Preference protocol exists; human review remains open.</t>
  </si>
  <si>
    <t xml:space="preserve">CH-23</t>
  </si>
  <si>
    <t xml:space="preserve">Documented --brick-chip-* variables, stable classes, slots, data attributes, className, and style customize paint without semantic drift.</t>
  </si>
  <si>
    <t xml:space="preserve">../docs/components/chip/README.md; src/components/chip/ChipPage.tsx</t>
  </si>
  <si>
    <t xml:space="preserve">CH-24</t>
  </si>
  <si>
    <t xml:space="preserve">Public guidance</t>
  </si>
  <si>
    <t xml:space="preserve">The playground and guide distinguish Chip values from passive Badge tags and selectable Toggle filters; no Tag export exists.</t>
  </si>
  <si>
    <t xml:space="preserve">CH-25</t>
  </si>
  <si>
    <t xml:space="preserve">One navigable Chip route exposes nine deterministic scenarios for anatomy, recipes, content, removal, containment, appearance, and boundaries.</t>
  </si>
  <si>
    <t xml:space="preserve">src/components/chip/ChipPage.tsx</t>
  </si>
  <si>
    <t xml:space="preserve">CH-26</t>
  </si>
  <si>
    <t xml:space="preserve">The guide documents role, exclusions, anatomy, API, recipes, responsive behavior, accessibility, composition, customization, and tag terminology.</t>
  </si>
  <si>
    <t xml:space="preserve">../docs/components/chip/README.md</t>
  </si>
  <si>
    <t xml:space="preserve">CH-27</t>
  </si>
  <si>
    <t xml:space="preserve">Component and package changelogs describe the release-facing Chip family and its Atom-backed ownership.</t>
  </si>
  <si>
    <t xml:space="preserve">../docs/components/chip/CHANGELOG.md; ../CHANGELOG.md</t>
  </si>
  <si>
    <t xml:space="preserve">CH-28</t>
  </si>
  <si>
    <t xml:space="preserve">The packed Consumer composes removable release-reviewer values through the public chip subpath.</t>
  </si>
  <si>
    <t xml:space="preserve">CH-29</t>
  </si>
  <si>
    <t xml:space="preserve">Baselines cover overview, recipes, leading content, removal focus, appearance, customization, containment, RTL, and boundaries.</t>
  </si>
  <si>
    <t xml:space="preserve">CH-30</t>
  </si>
  <si>
    <t xml:space="preserve">Owner reviews semantics, removal focus, disabled state, zoom, touch, localization, RTL, appearances, preferences, and component boundaries.</t>
  </si>
  <si>
    <t xml:space="preserve">CH-31</t>
  </si>
  <si>
    <t xml:space="preserve">Build, declarations, exports, SSR, CSS, docs, tarball, React 18/19, browser coverage, packed Consumer, and release gates pass.</t>
  </si>
  <si>
    <t xml:space="preserve">Complete local check, packed React 18/19 consumers, focused browser suite, and packed Consumer verification pass.</t>
  </si>
  <si>
    <t xml:space="preserve">Combobox Evidence</t>
  </si>
  <si>
    <t xml:space="preserve">Assertion-level Atom-backed package, browser, mobile, human-review, documentation, Consumer, filtering, and positioning evidence.</t>
  </si>
  <si>
    <t xml:space="preserve">Root/Control</t>
  </si>
  <si>
    <t xml:space="preserve">Compound Combobox and visual context adapt released Atom 0.18.1 without recreating behavior.</t>
  </si>
  <si>
    <t xml:space="preserve">../src/components/combobox</t>
  </si>
  <si>
    <t xml:space="preserve">Focused implementation evidence passes.</t>
  </si>
  <si>
    <t xml:space="preserve">Root, Label, Control, Input, Clear, Indicator, Portal, Content, Listbox, Group, Item, Empty, and Loading are styled/exported.</t>
  </si>
  <si>
    <t xml:space="preserve">../test/components/combobox/combobox.test.tsx</t>
  </si>
  <si>
    <t xml:space="preserve">Root and combobox subpath exports expose the namespace, named parts, and public types.</t>
  </si>
  <si>
    <t xml:space="preserve">Recipes, refs, native props, and underline shape exclusion type-check.</t>
  </si>
  <si>
    <t xml:space="preserve">../test/types/components/combobox.test.ts</t>
  </si>
  <si>
    <t xml:space="preserve">Control/Content/Item</t>
  </si>
  <si>
    <t xml:space="preserve">../src/components/combobox/combobox.css</t>
  </si>
  <si>
    <t xml:space="preserve">Filtering</t>
  </si>
  <si>
    <t xml:space="preserve">Input/Listbox</t>
  </si>
  <si>
    <t xml:space="preserve">Typing filters authored options and exposes an empty result.</t>
  </si>
  <si>
    <t xml:space="preserve">tests/components/combobox/behavior.spec.ts</t>
  </si>
  <si>
    <t xml:space="preserve">Input/Item/Clear</t>
  </si>
  <si>
    <t xml:space="preserve">Keyboard and pointer selection update one value and Clear removes it.</t>
  </si>
  <si>
    <t xml:space="preserve">Free text</t>
  </si>
  <si>
    <t xml:space="preserve">Root/Input</t>
  </si>
  <si>
    <t xml:space="preserve">freeSolo permits values outside the option set.</t>
  </si>
  <si>
    <t xml:space="preserve">Input/Item/Messages</t>
  </si>
  <si>
    <t xml:space="preserve">Disabled, read-only, highlighted, selected, empty, and loading states remain distinct.</t>
  </si>
  <si>
    <t xml:space="preserve">human</t>
  </si>
  <si>
    <t xml:space="preserve">tests/components/combobox/visual.spec.ts</t>
  </si>
  <si>
    <t xml:space="preserve">Combobox implementation evidence added; manual human-review rows remain open.</t>
  </si>
  <si>
    <t xml:space="preserve">Control</t>
  </si>
  <si>
    <t xml:space="preserve">Outline, soft, underline, sizes, shapes, and width retain closed recipe data.</t>
  </si>
  <si>
    <t xml:space="preserve">Positioning</t>
  </si>
  <si>
    <t xml:space="preserve">Popup exposes collision-resolved side and remains viewport bounded.</t>
  </si>
  <si>
    <t xml:space="preserve">Touch</t>
  </si>
  <si>
    <t xml:space="preserve">Atom 0.18.1 defers outside-touch dismissal; physical mobile scrolling and flipping remain reachable.</t>
  </si>
  <si>
    <t xml:space="preserve">manual-tests/combobox.md</t>
  </si>
  <si>
    <t xml:space="preserve">Combobox route has no automated axe violations and preserves native roles.</t>
  </si>
  <si>
    <t xml:space="preserve">Light, dark, and forced-color states retain contrast and visible focus.</t>
  </si>
  <si>
    <t xml:space="preserve">Control/Content</t>
  </si>
  <si>
    <t xml:space="preserve">Narrow, zoomed, and keyboard-open layouts remain reachable without page overflow.</t>
  </si>
  <si>
    <t xml:space="preserve">Arabic RTL uses logical control and popup placement.</t>
  </si>
  <si>
    <t xml:space="preserve">CB-17</t>
  </si>
  <si>
    <t xml:space="preserve">Documented variables customize paint and radius without changing anatomy.</t>
  </si>
  <si>
    <t xml:space="preserve">CB-18</t>
  </si>
  <si>
    <t xml:space="preserve">Guide, changelog, contract metadata, and nine scenarios agree.</t>
  </si>
  <si>
    <t xml:space="preserve">../docs/components/combobox/README.md</t>
  </si>
  <si>
    <t xml:space="preserve">CB-19</t>
  </si>
  <si>
    <t xml:space="preserve">Packed Consumer imports the public subpath and filters/selects a realistic city.</t>
  </si>
  <si>
    <t xml:space="preserve">../apps/consumer/tests/consumer.spec.ts</t>
  </si>
  <si>
    <t xml:space="preserve">CB-20</t>
  </si>
  <si>
    <t xml:space="preserve">Packed artifact and clean React 18/19 consumers resolve JS, types, CSS, and Atom 0.18.1.</t>
  </si>
  <si>
    <t xml:space="preserve">../scripts/verify-consumers.mjs</t>
  </si>
  <si>
    <t xml:space="preserve">CB-21</t>
  </si>
  <si>
    <t xml:space="preserve">Numbered owner protocol covers visual, keyboard, touch, assistive technology, preferences, zoom, and RTL.</t>
  </si>
  <si>
    <t xml:space="preserve">CB-22</t>
  </si>
  <si>
    <t xml:space="preserve">Reviewed snapshots cover default, recipes, states, dark appearance, mobile RTL, and forced colors.</t>
  </si>
  <si>
    <t xml:space="preserve">Number Input Evidence</t>
  </si>
  <si>
    <t xml:space="preserve">Assertion-level Atom-backed package, browser, human-review, documentation, Consumer, stepping, bounds, and form evidence.</t>
  </si>
  <si>
    <t xml:space="preserve">NI-01</t>
  </si>
  <si>
    <t xml:space="preserve">Compound Number Input adapts released Atom 0.19.2 without recreating stepping or validation behavior.</t>
  </si>
  <si>
    <t xml:space="preserve">../src/components/number-input</t>
  </si>
  <si>
    <t xml:space="preserve">NI-02</t>
  </si>
  <si>
    <t xml:space="preserve">Root, Input, Increment, and Decrement are styled and independently exported.</t>
  </si>
  <si>
    <t xml:space="preserve">../test/components/number-input/number-input.test.tsx</t>
  </si>
  <si>
    <t xml:space="preserve">NI-03</t>
  </si>
  <si>
    <t xml:space="preserve">NumberInput</t>
  </si>
  <si>
    <t xml:space="preserve">Root and number-input subpath exports expose the namespace, named parts, and public types.</t>
  </si>
  <si>
    <t xml:space="preserve">NI-04</t>
  </si>
  <si>
    <t xml:space="preserve">../test/types/components/number-input.test.ts</t>
  </si>
  <si>
    <t xml:space="preserve">NI-05</t>
  </si>
  <si>
    <t xml:space="preserve">Static CSS ships recipes, state paint, logical actions, artwork, and documented variables.</t>
  </si>
  <si>
    <t xml:space="preserve">../src/components/number-input/number-input.css</t>
  </si>
  <si>
    <t xml:space="preserve">NI-06</t>
  </si>
  <si>
    <t xml:space="preserve">Stepping</t>
  </si>
  <si>
    <t xml:space="preserve">Input/actions</t>
  </si>
  <si>
    <t xml:space="preserve">Pointer and keyboard stepping respect step, precision, minimum, and maximum boundaries.</t>
  </si>
  <si>
    <t xml:space="preserve">tests/components/number-input/behavior.spec.ts</t>
  </si>
  <si>
    <t xml:space="preserve">NI-07</t>
  </si>
  <si>
    <t xml:space="preserve">Field relationships, required validity, native submission, and focus-on-error remain intact.</t>
  </si>
  <si>
    <t xml:space="preserve">NI-08</t>
  </si>
  <si>
    <t xml:space="preserve">Disabled, read-only, invalid, required, and boundary-disabled actions remain distinct.</t>
  </si>
  <si>
    <t xml:space="preserve">tests/components/number-input/visual.spec.ts</t>
  </si>
  <si>
    <t xml:space="preserve">2026-07-28: owner reviewed the generated Chromium baseline and its focused visual assertion.</t>
  </si>
  <si>
    <t xml:space="preserve">NI-09</t>
  </si>
  <si>
    <t xml:space="preserve">Outline, soft, underline, sizes, shapes, and width retain stable recipe data.</t>
  </si>
  <si>
    <t xml:space="preserve">NI-10</t>
  </si>
  <si>
    <t xml:space="preserve">Spinbutton and named step actions expose valid roles and the route has no axe violations.</t>
  </si>
  <si>
    <t xml:space="preserve">NI-11</t>
  </si>
  <si>
    <t xml:space="preserve">Light, dark, forced-color, focus, and invalid paint remain legible.</t>
  </si>
  <si>
    <t xml:space="preserve">NI-12</t>
  </si>
  <si>
    <t xml:space="preserve">Narrow and zoomed layouts remain reachable without page overflow.</t>
  </si>
  <si>
    <t xml:space="preserve">manual-tests/number-input.md</t>
  </si>
  <si>
    <t xml:space="preserve">Implementation evidence exists; required release or human-review gate remains open.</t>
  </si>
  <si>
    <t xml:space="preserve">NI-13</t>
  </si>
  <si>
    <t xml:space="preserve">Root/actions</t>
  </si>
  <si>
    <t xml:space="preserve">RTL places the logical action rail at the inline start without reversing numeric meaning.</t>
  </si>
  <si>
    <t xml:space="preserve">NI-14</t>
  </si>
  <si>
    <t xml:space="preserve">NI-15</t>
  </si>
  <si>
    <t xml:space="preserve">Guide, changelog, semantic contract, and nine scenarios agree.</t>
  </si>
  <si>
    <t xml:space="preserve">../docs/components/number-input/README.md</t>
  </si>
  <si>
    <t xml:space="preserve">NI-16</t>
  </si>
  <si>
    <t xml:space="preserve">Packed Consumer imports the public subpath and operates a Field-composed seat count.</t>
  </si>
  <si>
    <t xml:space="preserve">2026-07-28: packed Consumer evidence passes for the public subpath and clean React 18/19 consumers.</t>
  </si>
  <si>
    <t xml:space="preserve">NI-17</t>
  </si>
  <si>
    <t xml:space="preserve">Packed artifact and clean React 18/19 consumers resolve JS, types, CSS, and Atom 0.19.2.</t>
  </si>
  <si>
    <t xml:space="preserve">NI-18</t>
  </si>
  <si>
    <t xml:space="preserve">Numbered protocol covers visual, keyboard, pointer, forms, preferences, zoom, and RTL.</t>
  </si>
  <si>
    <t xml:space="preserve">NI-19</t>
  </si>
  <si>
    <t xml:space="preserve">Snapshots cover default, recipes, states, and mobile RTL stress.</t>
  </si>
  <si>
    <t xml:space="preserve">OTP Field Evidence</t>
  </si>
  <si>
    <t xml:space="preserve">Assertion-level Atom-backed package, browser, human-review, documentation, Consumer, code-entry, localization, and form evidence.</t>
  </si>
  <si>
    <t xml:space="preserve">OTP-01</t>
  </si>
  <si>
    <t xml:space="preserve">Compound OTP Field adapts released Atom 0.19.2 without recreating value, focus, paste, or validation behavior.</t>
  </si>
  <si>
    <t xml:space="preserve">../src/components/otp-field</t>
  </si>
  <si>
    <t xml:space="preserve">OTP-02</t>
  </si>
  <si>
    <t xml:space="preserve">Root, Group, Input, and Separator are styled and independently exported.</t>
  </si>
  <si>
    <t xml:space="preserve">../test/components/otp-field/otp-field.test.tsx</t>
  </si>
  <si>
    <t xml:space="preserve">OTP-03</t>
  </si>
  <si>
    <t xml:space="preserve">OTPField</t>
  </si>
  <si>
    <t xml:space="preserve">Root and otp-field subpath exports expose the namespace, named parts, and public types.</t>
  </si>
  <si>
    <t xml:space="preserve">OTP-04</t>
  </si>
  <si>
    <t xml:space="preserve">Recipes, refs, native props, indexes, layouts, and underline shape exclusion type-check.</t>
  </si>
  <si>
    <t xml:space="preserve">../test/types/components/otp-field.test.ts</t>
  </si>
  <si>
    <t xml:space="preserve">OTP-05</t>
  </si>
  <si>
    <t xml:space="preserve">Group/Input</t>
  </si>
  <si>
    <t xml:space="preserve">Static CSS ships separated, attached, state, focus, artwork, and documented variable recipes.</t>
  </si>
  <si>
    <t xml:space="preserve">../src/components/otp-field/otp-field.css</t>
  </si>
  <si>
    <t xml:space="preserve">OTP-06</t>
  </si>
  <si>
    <t xml:space="preserve">Entry</t>
  </si>
  <si>
    <t xml:space="preserve">Input cells</t>
  </si>
  <si>
    <t xml:space="preserve">Typing filters invalid characters, advances focus, and maintains one complete logical value.</t>
  </si>
  <si>
    <t xml:space="preserve">tests/components/otp-field/behavior.spec.ts</t>
  </si>
  <si>
    <t xml:space="preserve">OTP-07</t>
  </si>
  <si>
    <t xml:space="preserve">Only the first cell owns required validity and one hidden value submits and resets.</t>
  </si>
  <si>
    <t xml:space="preserve">OTP-08</t>
  </si>
  <si>
    <t xml:space="preserve">Generated position labels accept consumer-provided translations without changing behavior.</t>
  </si>
  <si>
    <t xml:space="preserve">OTP-09</t>
  </si>
  <si>
    <t xml:space="preserve">Disabled, read-only, invalid, required, filled, and masked states remain distinct.</t>
  </si>
  <si>
    <t xml:space="preserve">tests/components/otp-field/visual.spec.ts</t>
  </si>
  <si>
    <t xml:space="preserve">OTP-10</t>
  </si>
  <si>
    <t xml:space="preserve">Root/Group</t>
  </si>
  <si>
    <t xml:space="preserve">Outline, soft, underline, sizes, shapes, separated, and attached layouts retain stable data.</t>
  </si>
  <si>
    <t xml:space="preserve">OTP-11</t>
  </si>
  <si>
    <t xml:space="preserve">The group uses valid ARIA, cells expose position labels, and the route has no axe violations.</t>
  </si>
  <si>
    <t xml:space="preserve">OTP-12</t>
  </si>
  <si>
    <t xml:space="preserve">OTP-13</t>
  </si>
  <si>
    <t xml:space="preserve">Group</t>
  </si>
  <si>
    <t xml:space="preserve">Narrow and zoomed layouts remain reachable without clipping code cells.</t>
  </si>
  <si>
    <t xml:space="preserve">manual-tests/otp-field.md</t>
  </si>
  <si>
    <t xml:space="preserve">OTP-14</t>
  </si>
  <si>
    <t xml:space="preserve">RTL preserves logical code order and separator placement.</t>
  </si>
  <si>
    <t xml:space="preserve">OTP-15</t>
  </si>
  <si>
    <t xml:space="preserve">Documented variables customize cell size and radius without changing anatomy.</t>
  </si>
  <si>
    <t xml:space="preserve">OTP-16</t>
  </si>
  <si>
    <t xml:space="preserve">../docs/components/otp-field/README.md</t>
  </si>
  <si>
    <t xml:space="preserve">OTP-17</t>
  </si>
  <si>
    <t xml:space="preserve">Packed Consumer imports the public subpath and completes a Field-composed code.</t>
  </si>
  <si>
    <t xml:space="preserve">OTP-18</t>
  </si>
  <si>
    <t xml:space="preserve">OTP-19</t>
  </si>
  <si>
    <t xml:space="preserve">Numbered protocol covers visual, typing, paste, forms, assistive technology, preferences, zoom, and RTL.</t>
  </si>
  <si>
    <t xml:space="preserve">OTP-20</t>
  </si>
  <si>
    <t xml:space="preserve">Password Toggle Field Evidence</t>
  </si>
  <si>
    <t xml:space="preserve">Assertion-level Atom-backed package, browser, human-review, documentation, Consumer, visibility, localization, and form evidence.</t>
  </si>
  <si>
    <t xml:space="preserve">PTF-01</t>
  </si>
  <si>
    <t xml:space="preserve">Compound Password Toggle Field adapts released Atom 0.19.2 without recreating visibility or validation behavior.</t>
  </si>
  <si>
    <t xml:space="preserve">../src/components/password-toggle-field</t>
  </si>
  <si>
    <t xml:space="preserve">PTF-02</t>
  </si>
  <si>
    <t xml:space="preserve">Root, Input, Toggle, and Icon are styled and independently exported.</t>
  </si>
  <si>
    <t xml:space="preserve">../test/components/password-toggle-field/password-toggle-field.test.tsx</t>
  </si>
  <si>
    <t xml:space="preserve">PTF-03</t>
  </si>
  <si>
    <t xml:space="preserve">PasswordToggleField</t>
  </si>
  <si>
    <t xml:space="preserve">Root and password-toggle-field subpath exports expose namespace, named parts, and public types.</t>
  </si>
  <si>
    <t xml:space="preserve">PTF-04</t>
  </si>
  <si>
    <t xml:space="preserve">Recipes, refs, native props, custom artwork, and underline shape exclusion type-check.</t>
  </si>
  <si>
    <t xml:space="preserve">../test/types/components/password-toggle-field.test.ts</t>
  </si>
  <si>
    <t xml:space="preserve">PTF-05</t>
  </si>
  <si>
    <t xml:space="preserve">Static CSS ships recipes, states, logical toggle geometry, artwork, and documented variables.</t>
  </si>
  <si>
    <t xml:space="preserve">../src/components/password-toggle-field/password-toggle-field.css</t>
  </si>
  <si>
    <t xml:space="preserve">PTF-06</t>
  </si>
  <si>
    <t xml:space="preserve">Visibility</t>
  </si>
  <si>
    <t xml:space="preserve">Input/Toggle/Icon</t>
  </si>
  <si>
    <t xml:space="preserve">Toggle switches the native input type and synchronizes its label, state, and artwork.</t>
  </si>
  <si>
    <t xml:space="preserve">tests/components/password-toggle-field/behavior.spec.ts</t>
  </si>
  <si>
    <t xml:space="preserve">PTF-07</t>
  </si>
  <si>
    <t xml:space="preserve">Submission and reset restore a hidden password while preserving Field relationships and validity.</t>
  </si>
  <si>
    <t xml:space="preserve">PTF-08</t>
  </si>
  <si>
    <t xml:space="preserve">Show and hide action labels accept consumer-provided translations.</t>
  </si>
  <si>
    <t xml:space="preserve">PTF-09</t>
  </si>
  <si>
    <t xml:space="preserve">Disabled, read-only, invalid, required, visible, and hidden states remain distinct.</t>
  </si>
  <si>
    <t xml:space="preserve">tests/components/password-toggle-field/visual.spec.ts</t>
  </si>
  <si>
    <t xml:space="preserve">PTF-10</t>
  </si>
  <si>
    <t xml:space="preserve">PTF-11</t>
  </si>
  <si>
    <t xml:space="preserve">Input/Toggle</t>
  </si>
  <si>
    <t xml:space="preserve">Field naming and localized toggle names remain valid and the route has no axe violations.</t>
  </si>
  <si>
    <t xml:space="preserve">PTF-12</t>
  </si>
  <si>
    <t xml:space="preserve">PTF-13</t>
  </si>
  <si>
    <t xml:space="preserve">Narrow and zoomed layouts keep the input and toggle reachable without overflow.</t>
  </si>
  <si>
    <t xml:space="preserve">manual-tests/password-toggle-field.md</t>
  </si>
  <si>
    <t xml:space="preserve">PTF-14</t>
  </si>
  <si>
    <t xml:space="preserve">Root/Toggle</t>
  </si>
  <si>
    <t xml:space="preserve">RTL places the toggle at logical inline start and retains the localized action.</t>
  </si>
  <si>
    <t xml:space="preserve">PTF-15</t>
  </si>
  <si>
    <t xml:space="preserve">Documented variables customize height and radius without changing anatomy.</t>
  </si>
  <si>
    <t xml:space="preserve">PTF-16</t>
  </si>
  <si>
    <t xml:space="preserve">../docs/components/password-toggle-field/README.md</t>
  </si>
  <si>
    <t xml:space="preserve">PTF-17</t>
  </si>
  <si>
    <t xml:space="preserve">Packed Consumer imports the public subpath and operates a Field-composed password.</t>
  </si>
  <si>
    <t xml:space="preserve">PTF-18</t>
  </si>
  <si>
    <t xml:space="preserve">PTF-19</t>
  </si>
  <si>
    <t xml:space="preserve">Numbered protocol covers visual, visibility, forms, assistive technology, preferences, zoom, and RTL.</t>
  </si>
  <si>
    <t xml:space="preserve">PTF-20</t>
  </si>
  <si>
    <t xml:space="preserve">Slider Evidence</t>
  </si>
  <si>
    <t xml:space="preserve">Assertion-level Atom-backed package, browser, mobile, human-review, documentation, Consumer, form, range, and direction evidence.</t>
  </si>
  <si>
    <t xml:space="preserve">SL-01</t>
  </si>
  <si>
    <t xml:space="preserve">Six-part Brick adapter delegates behavior and semantics to exact installed Atom 0.19.6.</t>
  </si>
  <si>
    <t xml:space="preserve">../src/components/slider</t>
  </si>
  <si>
    <t xml:space="preserve">Build and focused adapter suite pass.</t>
  </si>
  <si>
    <t xml:space="preserve">SL-02</t>
  </si>
  <si>
    <t xml:space="preserve">Root, Track, Range, Thumb, Marker, and ValueLabel are independently styled and exported.</t>
  </si>
  <si>
    <t xml:space="preserve">../test/components/slider/slider.test.tsx</t>
  </si>
  <si>
    <t xml:space="preserve">Focused component suite passes.</t>
  </si>
  <si>
    <t xml:space="preserve">SL-03</t>
  </si>
  <si>
    <t xml:space="preserve">Root and slider subpath exports expose namespace, named parts, and public types.</t>
  </si>
  <si>
    <t xml:space="preserve">../package.json</t>
  </si>
  <si>
    <t xml:space="preserve">Build and typecheck pass.</t>
  </si>
  <si>
    <t xml:space="preserve">SL-04</t>
  </si>
  <si>
    <t xml:space="preserve">Closed size and variant recipes, refs, native props, marker value, and label render details type-check.</t>
  </si>
  <si>
    <t xml:space="preserve">../test/types/components/slider.test.ts</t>
  </si>
  <si>
    <t xml:space="preserve">Focused typecheck passes.</t>
  </si>
  <si>
    <t xml:space="preserve">SL-05</t>
  </si>
  <si>
    <t xml:space="preserve">Static CSS ships horizontal/vertical geometry, RTL, states, recipes, 44px targets, and documented variables.</t>
  </si>
  <si>
    <t xml:space="preserve">../src/components/slider/slider.css</t>
  </si>
  <si>
    <t xml:space="preserve">Production CSS build passes.</t>
  </si>
  <si>
    <t xml:space="preserve">SL-06</t>
  </si>
  <si>
    <t xml:space="preserve">Values</t>
  </si>
  <si>
    <t xml:space="preserve">Single and range values expose correct values and dependent accessible bounds.</t>
  </si>
  <si>
    <t xml:space="preserve">tests/components/slider/behavior.spec.ts</t>
  </si>
  <si>
    <t xml:space="preserve">Chromium behavior suite passes.</t>
  </si>
  <si>
    <t xml:space="preserve">SL-07</t>
  </si>
  <si>
    <t xml:space="preserve">Thumb</t>
  </si>
  <si>
    <t xml:space="preserve">Keyboard, click, drag, native touch, cancellation, capture loss, vertical, and direction-aware RTL input remain stable.</t>
  </si>
  <si>
    <t xml:space="preserve">Cross-browser pointer/capture and native mobile Chromium touch regressions pass against published Atom 0.19.6.</t>
  </si>
  <si>
    <t xml:space="preserve">SL-08</t>
  </si>
  <si>
    <t xml:space="preserve">Field/forms</t>
  </si>
  <si>
    <t xml:space="preserve">Standalone and Field state, one label, hidden named values, submit, and reset contracts are implemented.</t>
  </si>
  <si>
    <t xml:space="preserve">Component and Consumer builds pass.</t>
  </si>
  <si>
    <t xml:space="preserve">SL-09</t>
  </si>
  <si>
    <t xml:space="preserve">sm, md, lg and solid, soft recipes preserve interaction geometry.</t>
  </si>
  <si>
    <t xml:space="preserve">Recipe assertions pass.</t>
  </si>
  <si>
    <t xml:space="preserve">SL-10</t>
  </si>
  <si>
    <t xml:space="preserve">Marker/ValueLabel</t>
  </si>
  <si>
    <t xml:space="preserve">Markers position from authored values and value labels render default or formatted details decoratively.</t>
  </si>
  <si>
    <t xml:space="preserve">Focused assertions pass.</t>
  </si>
  <si>
    <t xml:space="preserve">SL-11</t>
  </si>
  <si>
    <t xml:space="preserve">Light, dark, customization, invalid, disabled, read-only, and required paint remain distinct.</t>
  </si>
  <si>
    <t xml:space="preserve">tests/components/slider/visual.spec.ts</t>
  </si>
  <si>
    <t xml:space="preserve">Owner accepted the corrected live appearance; Chromium visual baselines and preference-state evidence pass.</t>
  </si>
  <si>
    <t xml:space="preserve">SL-12</t>
  </si>
  <si>
    <t xml:space="preserve">Root/Track</t>
  </si>
  <si>
    <t xml:space="preserve">Narrow, long-label, vertical, RTL, mobile, zoom, reduced-motion, and forced-color layouts remain contained.</t>
  </si>
  <si>
    <t xml:space="preserve">Owner mobile/LAN review and automated narrow, vertical, RTL, zoom, motion, and forced-color evidence pass.</t>
  </si>
  <si>
    <t xml:space="preserve">SL-13</t>
  </si>
  <si>
    <t xml:space="preserve">Axe passes; every thumb exposes one named slider with value, bounds, orientation, and inherited state.</t>
  </si>
  <si>
    <t xml:space="preserve">Chromium axe and semantic assertions pass.</t>
  </si>
  <si>
    <t xml:space="preserve">SL-14</t>
  </si>
  <si>
    <t xml:space="preserve">Numbered 01-09 review protocol covers pointer, touch, keyboard, forms, AT, preferences, and stress.</t>
  </si>
  <si>
    <t xml:space="preserve">manual-tests/slider.md</t>
  </si>
  <si>
    <t xml:space="preserve">Protocol is current; its complete numbered execution remains the only open Slider requirement.</t>
  </si>
  <si>
    <t xml:space="preserve">SL-15</t>
  </si>
  <si>
    <t xml:space="preserve">Public guide and component changelog document anatomy, recipes, forms, accessibility, tokens, and evidence.</t>
  </si>
  <si>
    <t xml:space="preserve">../docs/components/slider/README.md</t>
  </si>
  <si>
    <t xml:space="preserve">Documentation verification passes.</t>
  </si>
  <si>
    <t xml:space="preserve">SL-16</t>
  </si>
  <si>
    <t xml:space="preserve">Packed public slider subpath composes a labelled named preference control in Consumer.</t>
  </si>
  <si>
    <t xml:space="preserve">Packed package and Consumer verification pass in the full release gate.</t>
  </si>
  <si>
    <t xml:space="preserve">Rating Evidence</t>
  </si>
  <si>
    <t xml:space="preserve">Assertion-level Atom-backed package, browser, mobile, human-review, documentation, Consumer, form, precision, and artwork evidence.</t>
  </si>
  <si>
    <t xml:space="preserve">RT-01</t>
  </si>
  <si>
    <t xml:space="preserve">Two-part Brick adapter delegates behavior and semantics to exact installed Atom 0.19.6.</t>
  </si>
  <si>
    <t xml:space="preserve">../src/components/rating</t>
  </si>
  <si>
    <t xml:space="preserve">RT-02</t>
  </si>
  <si>
    <t xml:space="preserve">Root and Item are styled/exported; empty and proportional fill artwork layers remain private.</t>
  </si>
  <si>
    <t xml:space="preserve">../test/components/rating/rating.test.tsx</t>
  </si>
  <si>
    <t xml:space="preserve">RT-03</t>
  </si>
  <si>
    <t xml:space="preserve">Root and rating subpath exports expose namespace, named parts, and public types.</t>
  </si>
  <si>
    <t xml:space="preserve">RT-04</t>
  </si>
  <si>
    <t xml:space="preserve">Closed size, tone, and variant recipes, refs, native props, and required item values type-check.</t>
  </si>
  <si>
    <t xml:space="preserve">../test/types/components/rating.test.ts</t>
  </si>
  <si>
    <t xml:space="preserve">RT-05</t>
  </si>
  <si>
    <t xml:space="preserve">Static CSS ships proportional fill, RTL, states, recipes, 44px targets, preferences, and documented variables.</t>
  </si>
  <si>
    <t xml:space="preserve">../src/components/rating/rating.css</t>
  </si>
  <si>
    <t xml:space="preserve">RT-06</t>
  </si>
  <si>
    <t xml:space="preserve">Five decorative items expose one focusable slider with numeric and human-readable value text.</t>
  </si>
  <si>
    <t xml:space="preserve">tests/components/rating/behavior.spec.ts</t>
  </si>
  <si>
    <t xml:space="preserve">Chromium semantics suite passes.</t>
  </si>
  <si>
    <t xml:space="preserve">RT-07</t>
  </si>
  <si>
    <t xml:space="preserve">Precision</t>
  </si>
  <si>
    <t xml:space="preserve">Integer and half-step values produce correct full, partial, and empty item fill.</t>
  </si>
  <si>
    <t xml:space="preserve">Fractional browser and component assertions pass.</t>
  </si>
  <si>
    <t xml:space="preserve">RT-08</t>
  </si>
  <si>
    <t xml:space="preserve">Keyboard, stable repeat activation, opt-in clearing, cross-item drag, native touch, capture loss, fractional segments, and RTL input work.</t>
  </si>
  <si>
    <t xml:space="preserve">The complete desktop/mobile browser matrix passes against published Atom 0.19.6, including allowClear and capture regressions.</t>
  </si>
  <si>
    <t xml:space="preserve">RT-09</t>
  </si>
  <si>
    <t xml:space="preserve">Standalone and Field state, one label, hidden scalar value, submit, reset, and focusable read-only contracts are implemented.</t>
  </si>
  <si>
    <t xml:space="preserve">RT-10</t>
  </si>
  <si>
    <t xml:space="preserve">Three sizes, two tones, and solid/outline variants preserve one interaction model.</t>
  </si>
  <si>
    <t xml:space="preserve">RT-11</t>
  </si>
  <si>
    <t xml:space="preserve">Artwork</t>
  </si>
  <si>
    <t xml:space="preserve">Default stars and consumer-provided decorative artwork receive identical proportional layers.</t>
  </si>
  <si>
    <t xml:space="preserve">Default and custom artwork assertions pass.</t>
  </si>
  <si>
    <t xml:space="preserve">RT-12</t>
  </si>
  <si>
    <t xml:space="preserve">tests/components/rating/visual.spec.ts</t>
  </si>
  <si>
    <t xml:space="preserve">Owner accepted the corrected live Rating presentation; Chromium visual baselines and state evidence pass.</t>
  </si>
  <si>
    <t xml:space="preserve">RT-13</t>
  </si>
  <si>
    <t xml:space="preserve">Narrow, long-label, RTL, mobile, zoom, reduced-motion, forced-color, and coarse-pointer layouts remain contained.</t>
  </si>
  <si>
    <t xml:space="preserve">Owner mobile/LAN review and automated narrow, RTL, zoom, motion, forced-color, and coarse-pointer evidence pass.</t>
  </si>
  <si>
    <t xml:space="preserve">RT-14</t>
  </si>
  <si>
    <t xml:space="preserve">Axe passes; decorative items remain silent and one slider exposes value and state.</t>
  </si>
  <si>
    <t xml:space="preserve">RT-15</t>
  </si>
  <si>
    <t xml:space="preserve">Numbered 01-09 protocol covers pointer, drag, touch, keyboard, forms, AT, preferences, and stress.</t>
  </si>
  <si>
    <t xml:space="preserve">manual-tests/rating.md</t>
  </si>
  <si>
    <t xml:space="preserve">Protocol is current; its complete numbered execution remains the only open Rating requirement.</t>
  </si>
  <si>
    <t xml:space="preserve">RT-16</t>
  </si>
  <si>
    <t xml:space="preserve">Public guide and changelog document anatomy, recipes, forms, accessibility, tokens, and evidence.</t>
  </si>
  <si>
    <t xml:space="preserve">../docs/components/rating/README.md</t>
  </si>
  <si>
    <t xml:space="preserve">RT-17</t>
  </si>
  <si>
    <t xml:space="preserve">Packed public rating subpath composes a labelled named workflow input in Consumer.</t>
  </si>
  <si>
    <t xml:space="preserve">File Upload Evidence</t>
  </si>
  <si>
    <t xml:space="preserve">Assertion-level Atom-backed picker, drag/drop, Field/Form, file-list, visual, responsive, accessibility, package, documentation, Consumer, and manual evidence.</t>
  </si>
  <si>
    <t xml:space="preserve">FU-01</t>
  </si>
  <si>
    <t xml:space="preserve">Brick styles exact installed Atom 0.19.7 picker, files, validation, Field/Form, drag/drop, document-drop protection, reset, and removal behavior without recreating it.</t>
  </si>
  <si>
    <t xml:space="preserve">../src/components/file-upload/FileUpload.tsx; ../package.json</t>
  </si>
  <si>
    <t xml:space="preserve">Exact Atom 0.19.7 is installed; complete source and package checks pass.</t>
  </si>
  <si>
    <t xml:space="preserve">FU-02</t>
  </si>
  <si>
    <t xml:space="preserve">Nine-part namespace and named exports expose Root, HiddenInput, Trigger, Dropzone, ItemGroup, Item, ItemName, ItemSize, and ItemDeleteTrigger.</t>
  </si>
  <si>
    <t xml:space="preserve">../test/components/file-upload/file-upload.test.tsx</t>
  </si>
  <si>
    <t xml:space="preserve">FU-03</t>
  </si>
  <si>
    <t xml:space="preserve">Native div, input, button, ul, li, and span hosts retain exact slots, classes, refs, function children, default picker copy, and file-specific removal naming.</t>
  </si>
  <si>
    <t xml:space="preserve">Focused anatomy, defaults, and ref assertions pass.</t>
  </si>
  <si>
    <t xml:space="preserve">FU-04</t>
  </si>
  <si>
    <t xml:space="preserve">Closed size, variant, and shape recipes plus fullWidth, Atom file/form props, part props, native composition, and refs type-check.</t>
  </si>
  <si>
    <t xml:space="preserve">../test/types/components/file-upload.test.ts</t>
  </si>
  <si>
    <t xml:space="preserve">Focused public-surface typecheck passes.</t>
  </si>
  <si>
    <t xml:space="preserve">FU-05</t>
  </si>
  <si>
    <t xml:space="preserve">Root and file-upload subpath exports preserve namespace and named runtime identity with complete declarations.</t>
  </si>
  <si>
    <t xml:space="preserve">../test/package/package.test.mjs; ../package.json</t>
  </si>
  <si>
    <t xml:space="preserve">Root/subpath runtime and declaration checks pass.</t>
  </si>
  <si>
    <t xml:space="preserve">FU-06</t>
  </si>
  <si>
    <t xml:space="preserve">Root / picker</t>
  </si>
  <si>
    <t xml:space="preserve">File Upload imports server-safely and emits deterministic empty picker and dropzone anatomy.</t>
  </si>
  <si>
    <t xml:space="preserve">SSR package assertion passes.</t>
  </si>
  <si>
    <t xml:space="preserve">FU-07</t>
  </si>
  <si>
    <t xml:space="preserve">Static CSS ships outline/soft, sm/md/lg, sharp/rounded, full/fit, state paint, logical containment, 44px actions, and public variables.</t>
  </si>
  <si>
    <t xml:space="preserve">../src/components/file-upload/file-upload.css</t>
  </si>
  <si>
    <t xml:space="preserve">Production CSS build and prototype checks pass.</t>
  </si>
  <si>
    <t xml:space="preserve">FU-08</t>
  </si>
  <si>
    <t xml:space="preserve">Picker</t>
  </si>
  <si>
    <t xml:space="preserve">HiddenInput / Trigger</t>
  </si>
  <si>
    <t xml:space="preserve">Native picker selection supports one or multiple accepted files, selected-file review, removal, and reselection through visible Trigger activation.</t>
  </si>
  <si>
    <t xml:space="preserve">tests/components/file-upload/behavior.spec.ts</t>
  </si>
  <si>
    <t xml:space="preserve">Picker selection and removal pass in all configured desktop and mobile browser projects.</t>
  </si>
  <si>
    <t xml:space="preserve">FU-09</t>
  </si>
  <si>
    <t xml:space="preserve">Drag and drop</t>
  </si>
  <si>
    <t xml:space="preserve">Dropzone</t>
  </si>
  <si>
    <t xml:space="preserve">Pre-drop accepted and rejected states are truthful, rejected candidates remain excluded, and file-only document-drop protection preserves unrelated drag/drop.</t>
  </si>
  <si>
    <t xml:space="preserve">tests/components/file-upload/behavior.spec.ts; @flowstack-ui/atom 0.19.7 behavior suite</t>
  </si>
  <si>
    <t xml:space="preserve">Drag acceptance/rejection passes in Chromium, Firefox, WebKit, mobile Chromium, and mobile WebKit.</t>
  </si>
  <si>
    <t xml:space="preserve">FU-10</t>
  </si>
  <si>
    <t xml:space="preserve">Constraints</t>
  </si>
  <si>
    <t xml:space="preserve">Root / Dropzone</t>
  </si>
  <si>
    <t xml:space="preserve">accept, maxFiles, maxSize, validateFile, append/replace, and localized rejection feedback remain application-observable and separate from Field invalidity.</t>
  </si>
  <si>
    <t xml:space="preserve">Accepted and rejected fixture assertions pass without conflating candidate rejection and invalid state.</t>
  </si>
  <si>
    <t xml:space="preserve">FU-11</t>
  </si>
  <si>
    <t xml:space="preserve">Field and forms</t>
  </si>
  <si>
    <t xml:space="preserve">Root / HiddenInput / Trigger</t>
  </si>
  <si>
    <t xml:space="preserve">Standalone and one-Field composition preserve one label, descriptions, required/invalid state, visible focus delegation, named FormData files, submit, external ownership, and reset.</t>
  </si>
  <si>
    <t xml:space="preserve">tests/components/file-upload/behavior.spec.ts; ../apps/consumer/tests/consumer.spec.ts</t>
  </si>
  <si>
    <t xml:space="preserve">Field relationships and native reset pass in focused browser and Consumer suites.</t>
  </si>
  <si>
    <t xml:space="preserve">FU-12</t>
  </si>
  <si>
    <t xml:space="preserve">All interactive parts</t>
  </si>
  <si>
    <t xml:space="preserve">Disabled and read-only states remain readable and non-mutating; controlled and uncontrolled file ownership stay distinct.</t>
  </si>
  <si>
    <t xml:space="preserve">../test/components/file-upload/file-upload.test.tsx; tests/components/file-upload/behavior.spec.ts</t>
  </si>
  <si>
    <t xml:space="preserve">Component and browser state assertions pass.</t>
  </si>
  <si>
    <t xml:space="preserve">FU-13</t>
  </si>
  <si>
    <t xml:space="preserve">Outline and soft recipes change only surface and border treatment while preserving anatomy and geometry.</t>
  </si>
  <si>
    <t xml:space="preserve">tests/components/file-upload/visual.spec.ts</t>
  </si>
  <si>
    <t xml:space="preserve">Chromium recipe baseline passes and was visually inspected.</t>
  </si>
  <si>
    <t xml:space="preserve">FU-14</t>
  </si>
  <si>
    <t xml:space="preserve">Sizes and shapes</t>
  </si>
  <si>
    <t xml:space="preserve">Root / actions / items</t>
  </si>
  <si>
    <t xml:space="preserve">sm, md, lg and sharp/rounded recipes preserve effective action targets, coordinated corners, and stable item geometry.</t>
  </si>
  <si>
    <t xml:space="preserve">tests/components/file-upload/behavior.spec.ts; tests/components/file-upload/visual.spec.ts</t>
  </si>
  <si>
    <t xml:space="preserve">Geometry and visual recipe evidence passes.</t>
  </si>
  <si>
    <t xml:space="preserve">FU-15</t>
  </si>
  <si>
    <t xml:space="preserve">File content</t>
  </si>
  <si>
    <t xml:space="preserve">Item / ItemName / ItemSize / ItemDeleteTrigger</t>
  </si>
  <si>
    <t xml:space="preserve">Multiple long filenames, complete accessible names, formatted sizes, and remove actions remain readable and contained without sharp overflow edges.</t>
  </si>
  <si>
    <t xml:space="preserve">Filled and stress baselines pass and were visually inspected.</t>
  </si>
  <si>
    <t xml:space="preserve">FU-16</t>
  </si>
  <si>
    <t xml:space="preserve">Full and intrinsic widths, narrow mobile reflow, wrapping instructions, ellipsized names, and 44px actions remain within the page.</t>
  </si>
  <si>
    <t xml:space="preserve">Narrow and target-size assertions pass in all configured browser/device projects.</t>
  </si>
  <si>
    <t xml:space="preserve">FU-17</t>
  </si>
  <si>
    <t xml:space="preserve">Logical layout visibly mirrors item actions and dropzone composition without changing filename direction or causing overflow.</t>
  </si>
  <si>
    <t xml:space="preserve">RTL action placement and containment assertions pass.</t>
  </si>
  <si>
    <t xml:space="preserve">FU-18</t>
  </si>
  <si>
    <t xml:space="preserve">Appearance and preferences</t>
  </si>
  <si>
    <t xml:space="preserve">Light, dark, forced-color, reduced-motion, invalid, disabled, read-only, accepted, and rejected paint retain boundaries and non-color distinctions.</t>
  </si>
  <si>
    <t xml:space="preserve">Appearance, state, and stress baselines pass and were visually inspected.</t>
  </si>
  <si>
    <t xml:space="preserve">FU-19</t>
  </si>
  <si>
    <t xml:space="preserve">Stable classes, slots, public variables, className, style, authored Trigger content, and custom delete content preserve Atom behavior.</t>
  </si>
  <si>
    <t xml:space="preserve">../test/components/file-upload/file-upload.test.tsx; ../docs/components/file-upload/README.md</t>
  </si>
  <si>
    <t xml:space="preserve">Customization assertions and documentation contract pass.</t>
  </si>
  <si>
    <t xml:space="preserve">FU-20</t>
  </si>
  <si>
    <t xml:space="preserve">HiddenInput / Trigger / Dropzone / items</t>
  </si>
  <si>
    <t xml:space="preserve">One field label, action wording, description/error relationships, required/invalid state, picker alternative, file-specific removal names, focus, targets, and axe checks pass.</t>
  </si>
  <si>
    <t xml:space="preserve">Focused axe and semantic assertions pass across all configured projects.</t>
  </si>
  <si>
    <t xml:space="preserve">FU-21</t>
  </si>
  <si>
    <t xml:space="preserve">One route exposes nine ordered, separately padded scenarios with compact badges, titles/descriptions, states, Field/Form, customization, responsive, and visibly mirrored RTL evidence.</t>
  </si>
  <si>
    <t xml:space="preserve">src/components/file-upload/FileUploadPage.tsx</t>
  </si>
  <si>
    <t xml:space="preserve">Playground ownership, composition, route, and focused browser checks pass.</t>
  </si>
  <si>
    <t xml:space="preserve">FU-22</t>
  </si>
  <si>
    <t xml:space="preserve">Visual baselines</t>
  </si>
  <si>
    <t xml:space="preserve">Reviewed baselines cover overview, variants, recipes, states, appearance/customization, and mobile stress without layout overflow.</t>
  </si>
  <si>
    <t xml:space="preserve">tests/components/file-upload/visual.spec.ts; tests/components/file-upload/visual.spec.ts-snapshots</t>
  </si>
  <si>
    <t xml:space="preserve">Six Chromium baselines pass and were visually inspected on July 29, 2026.</t>
  </si>
  <si>
    <t xml:space="preserve">FU-23</t>
  </si>
  <si>
    <t xml:space="preserve">Guide documents role, exclusions, anatomy, API, Field/Form composition, constraints, rejection policy, recipes, accessibility, customization, refs, and evidence.</t>
  </si>
  <si>
    <t xml:space="preserve">../docs/components/file-upload/README.md</t>
  </si>
  <si>
    <t xml:space="preserve">Structural and semantic documentation verification passes.</t>
  </si>
  <si>
    <t xml:space="preserve">FU-24</t>
  </si>
  <si>
    <t xml:space="preserve">Component and package changelogs describe the release-facing File Upload addition and Atom dependency.</t>
  </si>
  <si>
    <t xml:space="preserve">../docs/components/file-upload/CHANGELOG.md; ../CHANGELOG.md</t>
  </si>
  <si>
    <t xml:space="preserve">Changelog contract verification passes.</t>
  </si>
  <si>
    <t xml:space="preserve">FU-25</t>
  </si>
  <si>
    <t xml:space="preserve">Root / Field / items</t>
  </si>
  <si>
    <t xml:space="preserve">Packed Consumer composes a realistic local attachment field with constraints, rejection feedback, removal, native reset, and public file-upload subpath imports.</t>
  </si>
  <si>
    <t xml:space="preserve">Packed Consumer desktop/mobile suite and app artifact verification pass.</t>
  </si>
  <si>
    <t xml:space="preserve">FU-26</t>
  </si>
  <si>
    <t xml:space="preserve">Numbered owner protocol covers desktop/mobile picker, external file drag, keyboard, touch, assistive technology, Field/Form validation, preferences, zoom, RTL, and outside-drop safety.</t>
  </si>
  <si>
    <t xml:space="preserve">manual-tests/file-upload.md</t>
  </si>
  <si>
    <t xml:space="preserve">Human manual run intentionally deferred.</t>
  </si>
  <si>
    <t xml:space="preserve">FU-27</t>
  </si>
  <si>
    <t xml:space="preserve">Build, declarations, exports, SSR, CSS, docs, tarball, exact Atom 0.19.7, clean React 18/19 consumers, focused five-project browsers, and Consumer pass.</t>
  </si>
  <si>
    <t xml:space="preserve">Complete repository check, 853-file pack check, React 18/19, focused browser matrix, and packed Consumer verification pass.</t>
  </si>
  <si>
    <t xml:space="preserve">FU-28</t>
  </si>
  <si>
    <t xml:space="preserve">Network upload, previews, progress, retry, persistence, directory/capture/paste modes, transforms, duplicate policy, and server/security claims remain outside File Upload.</t>
  </si>
  <si>
    <t xml:space="preserve">Public boundary and exclusions are documented and verified.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</si>
</sst>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yyyy\-mm\-dd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FFFFFF"/>
      <name val="Aptos Display"/>
      <family val="2"/>
      <charset val="1"/>
    </font>
    <font>
      <sz val="10"/>
      <color rgb="FF5E6B7C"/>
      <name val="Aptos"/>
      <family val="2"/>
      <charset val="1"/>
    </font>
    <font>
      <b val="true"/>
      <sz val="9"/>
      <color rgb="FF5E6B7C"/>
      <name val="Aptos"/>
      <family val="2"/>
      <charset val="1"/>
    </font>
    <font>
      <b val="true"/>
      <sz val="14"/>
      <color rgb="FF172033"/>
      <name val="Aptos Display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F4F6F8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67DC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worksheet" Target="worksheets/sheet58.xml"/><Relationship Id="rId61" Type="http://schemas.openxmlformats.org/officeDocument/2006/relationships/worksheet" Target="worksheets/sheet59.xml"/><Relationship Id="rId62" Type="http://schemas.openxmlformats.org/officeDocument/2006/relationships/worksheet" Target="worksheets/sheet60.xml"/><Relationship Id="rId63" Type="http://schemas.openxmlformats.org/officeDocument/2006/relationships/worksheet" Target="worksheets/sheet61.xml"/><Relationship Id="rId64" Type="http://schemas.openxmlformats.org/officeDocument/2006/relationships/worksheet" Target="worksheets/sheet62.xml"/><Relationship Id="rId65" Type="http://schemas.openxmlformats.org/officeDocument/2006/relationships/worksheet" Target="worksheets/sheet63.xml"/><Relationship Id="rId66" Type="http://schemas.openxmlformats.org/officeDocument/2006/relationships/worksheet" Target="worksheets/sheet64.xml"/><Relationship Id="rId67" Type="http://schemas.openxmlformats.org/officeDocument/2006/relationships/worksheet" Target="worksheets/sheet65.xml"/><Relationship Id="rId68" Type="http://schemas.openxmlformats.org/officeDocument/2006/relationships/worksheet" Target="worksheets/sheet66.xml"/><Relationship Id="rId69" Type="http://schemas.openxmlformats.org/officeDocument/2006/relationships/worksheet" Target="worksheets/sheet67.xml"/><Relationship Id="rId70" Type="http://schemas.openxmlformats.org/officeDocument/2006/relationships/worksheet" Target="worksheets/sheet68.xml"/><Relationship Id="rId71" Type="http://schemas.openxmlformats.org/officeDocument/2006/relationships/worksheet" Target="worksheets/sheet69.xml"/><Relationship Id="rId72" Type="http://schemas.openxmlformats.org/officeDocument/2006/relationships/worksheet" Target="worksheets/sheet70.xml"/><Relationship Id="rId73" Type="http://schemas.openxmlformats.org/officeDocument/2006/relationships/worksheet" Target="worksheets/sheet71.xml"/><Relationship Id="rId7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overageIndex" displayName="CoverageIndex" ref="A7:M74" headerRowCount="1" totalsRowCount="0" totalsRowShown="0">
  <autoFilter ref="A7:M74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10.xml><?xml version="1.0" encoding="utf-8"?>
<table xmlns="http://schemas.openxmlformats.org/spreadsheetml/2006/main" id="10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leUploadEvidence" displayName="FileUploadEvidence" ref="A8:M36" headerRowCount="1" totalsRowCount="0" totalsRowShown="0">
  <autoFilter ref="A8:M36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21.xml><?xml version="1.0" encoding="utf-8"?>
<table xmlns="http://schemas.openxmlformats.org/spreadsheetml/2006/main" id="21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RatingEvidence" displayName="Rating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liderEvidence" displayName="Slid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7.xml><?xml version="1.0" encoding="utf-8"?>
<table xmlns="http://schemas.openxmlformats.org/spreadsheetml/2006/main" id="27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8.xml><?xml version="1.0" encoding="utf-8"?>
<table xmlns="http://schemas.openxmlformats.org/spreadsheetml/2006/main" id="28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9.xml><?xml version="1.0" encoding="utf-8"?>
<table xmlns="http://schemas.openxmlformats.org/spreadsheetml/2006/main" id="29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9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0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table" Target="../tables/table1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table" Target="../tables/table1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table" Target="../tables/table1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table" Target="../tables/table19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table" Target="../tables/table26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table" Target="../tables/table21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table" Target="../tables/table22.xm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table" Target="../tables/table27.x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table" Target="../tables/table28.x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table" Target="../tables/table25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table" Target="../tables/table29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table" Target="../tables/table16.xml"/>
</Relationships>
</file>

<file path=xl/worksheets/_rels/sheet4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3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4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4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5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5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54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56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5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5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5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6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62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63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_rels/sheet64.xml.rels><?xml version="1.0" encoding="UTF-8"?>
<Relationships xmlns="http://schemas.openxmlformats.org/package/2006/relationships"><Relationship Id="rId1" Type="http://schemas.openxmlformats.org/officeDocument/2006/relationships/drawing" Target="../drawings/drawing17.xml"/>
</Relationships>
</file>

<file path=xl/worksheets/_rels/sheet69.xml.rels><?xml version="1.0" encoding="UTF-8"?>
<Relationships xmlns="http://schemas.openxmlformats.org/package/2006/relationships"><Relationship Id="rId1" Type="http://schemas.openxmlformats.org/officeDocument/2006/relationships/drawing" Target="../drawings/drawing18.xml"/><Relationship Id="rId2" Type="http://schemas.openxmlformats.org/officeDocument/2006/relationships/table" Target="../tables/table24.xml"/>
</Relationships>
</file>

<file path=xl/worksheets/_rels/sheet70.xml.rels><?xml version="1.0" encoding="UTF-8"?>
<Relationships xmlns="http://schemas.openxmlformats.org/package/2006/relationships"><Relationship Id="rId1" Type="http://schemas.openxmlformats.org/officeDocument/2006/relationships/drawing" Target="../drawings/drawing19.xml"/><Relationship Id="rId2" Type="http://schemas.openxmlformats.org/officeDocument/2006/relationships/table" Target="../tables/table23.xml"/>
</Relationships>
</file>

<file path=xl/worksheets/_rels/sheet71.xml.rels><?xml version="1.0" encoding="UTF-8"?>
<Relationships xmlns="http://schemas.openxmlformats.org/package/2006/relationships"><Relationship Id="rId1" Type="http://schemas.openxmlformats.org/officeDocument/2006/relationships/drawing" Target="../drawings/drawing20.xml"/><Relationship Id="rId2" Type="http://schemas.openxmlformats.org/officeDocument/2006/relationships/table" Target="../tables/table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7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9" min="2" style="1" width="12.71"/>
    <col collapsed="false" customWidth="true" hidden="false" outlineLevel="0" max="10" min="10" style="2" width="14.71"/>
    <col collapsed="false" customWidth="true" hidden="false" outlineLevel="0" max="13" min="11" style="1" width="16.71"/>
  </cols>
  <sheetData>
    <row r="1" customFormat="false" ht="37.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2</v>
      </c>
      <c r="B4" s="6" t="n">
        <f aca="false">COUNTA(A8:A74)</f>
        <v>67</v>
      </c>
      <c r="D4" s="5" t="s">
        <v>3</v>
      </c>
      <c r="E4" s="6" t="n">
        <f aca="false">COUNTIF(M8:M74,"complete")</f>
        <v>1</v>
      </c>
      <c r="G4" s="5" t="s">
        <v>4</v>
      </c>
      <c r="H4" s="6" t="n">
        <f aca="false">COUNTIF(M8:M74,"blocked")</f>
        <v>0</v>
      </c>
      <c r="J4" s="5" t="s">
        <v>5</v>
      </c>
      <c r="K4" s="7" t="n">
        <f aca="false">IF(B4=0,0,E4/B4)</f>
        <v>0.0149253731343284</v>
      </c>
    </row>
    <row r="7" customFormat="false" ht="15" hidden="false" customHeight="true" outlineLevel="0" collapsed="false">
      <c r="A7" s="8" t="s">
        <v>6</v>
      </c>
      <c r="B7" s="8" t="s">
        <v>7</v>
      </c>
      <c r="C7" s="8" t="s">
        <v>8</v>
      </c>
      <c r="D7" s="8" t="s">
        <v>9</v>
      </c>
      <c r="E7" s="8" t="s">
        <v>10</v>
      </c>
      <c r="F7" s="8" t="s">
        <v>11</v>
      </c>
      <c r="G7" s="8" t="s">
        <v>12</v>
      </c>
      <c r="H7" s="8" t="s">
        <v>4</v>
      </c>
      <c r="I7" s="8" t="s">
        <v>13</v>
      </c>
      <c r="J7" s="9" t="s">
        <v>14</v>
      </c>
      <c r="K7" s="8" t="s">
        <v>15</v>
      </c>
      <c r="L7" s="8" t="s">
        <v>16</v>
      </c>
      <c r="M7" s="8" t="s">
        <v>5</v>
      </c>
    </row>
    <row r="8" customFormat="false" ht="24" hidden="false" customHeight="true" outlineLevel="0" collapsed="false">
      <c r="A8" s="1" t="s">
        <v>17</v>
      </c>
      <c r="B8" s="1" t="n">
        <f aca="true">INDIRECT("'"&amp;A8&amp;"'!B4")</f>
        <v>16</v>
      </c>
      <c r="C8" s="1" t="n">
        <f aca="true">COUNTIF(INDIRECT("'"&amp;A8&amp;"'!H9:H200"),"not started")</f>
        <v>0</v>
      </c>
      <c r="D8" s="1" t="n">
        <f aca="true">COUNTIF(INDIRECT("'"&amp;A8&amp;"'!H9:H200"),"partial")</f>
        <v>0</v>
      </c>
      <c r="E8" s="1" t="n">
        <f aca="true">COUNTIF(INDIRECT("'"&amp;A8&amp;"'!H9:H200"),"implemented")</f>
        <v>0</v>
      </c>
      <c r="F8" s="1" t="n">
        <f aca="true">COUNTIF(INDIRECT("'"&amp;A8&amp;"'!H9:H200"),"tested")</f>
        <v>11</v>
      </c>
      <c r="G8" s="1" t="n">
        <f aca="true">COUNTIF(INDIRECT("'"&amp;A8&amp;"'!H9:H200"),"verified")</f>
        <v>5</v>
      </c>
      <c r="H8" s="1" t="n">
        <f aca="true">COUNTIF(INDIRECT("'"&amp;A8&amp;"'!H9:H200"),"blocked")</f>
        <v>0</v>
      </c>
      <c r="I8" s="1" t="n">
        <f aca="true">COUNTIF(INDIRECT("'"&amp;A8&amp;"'!H9:H200"),"not applicable")</f>
        <v>0</v>
      </c>
      <c r="J8" s="2" t="n">
        <f aca="true">INDIRECT("'"&amp;A8&amp;"'!H4")</f>
        <v>1</v>
      </c>
      <c r="K8" s="1" t="n">
        <f aca="true">INDIRECT("'"&amp;A8&amp;"'!K4")</f>
        <v>0</v>
      </c>
      <c r="L8" s="1" t="n">
        <f aca="true">INDIRECT("'"&amp;A8&amp;"'!E5")</f>
        <v>0</v>
      </c>
      <c r="M8" s="1" t="str">
        <f aca="false">IF(AND(J8=1,K8="complete",L8="complete"),"complete",IF(H8&gt;0,"blocked","open"))</f>
        <v>open</v>
      </c>
    </row>
    <row r="9" customFormat="false" ht="24" hidden="false" customHeight="true" outlineLevel="0" collapsed="false">
      <c r="A9" s="1" t="s">
        <v>18</v>
      </c>
      <c r="B9" s="1" t="n">
        <f aca="true">INDIRECT("'"&amp;A9&amp;"'!B4")</f>
        <v>16</v>
      </c>
      <c r="C9" s="1" t="n">
        <f aca="true">COUNTIF(INDIRECT("'"&amp;A9&amp;"'!H9:H200"),"not started")</f>
        <v>0</v>
      </c>
      <c r="D9" s="1" t="n">
        <f aca="true">COUNTIF(INDIRECT("'"&amp;A9&amp;"'!H9:H200"),"partial")</f>
        <v>0</v>
      </c>
      <c r="E9" s="1" t="n">
        <f aca="true">COUNTIF(INDIRECT("'"&amp;A9&amp;"'!H9:H200"),"implemented")</f>
        <v>0</v>
      </c>
      <c r="F9" s="1" t="n">
        <f aca="true">COUNTIF(INDIRECT("'"&amp;A9&amp;"'!H9:H200"),"tested")</f>
        <v>11</v>
      </c>
      <c r="G9" s="1" t="n">
        <f aca="true">COUNTIF(INDIRECT("'"&amp;A9&amp;"'!H9:H200"),"verified")</f>
        <v>5</v>
      </c>
      <c r="H9" s="1" t="n">
        <f aca="true">COUNTIF(INDIRECT("'"&amp;A9&amp;"'!H9:H200"),"blocked")</f>
        <v>0</v>
      </c>
      <c r="I9" s="1" t="n">
        <f aca="true">COUNTIF(INDIRECT("'"&amp;A9&amp;"'!H9:H200"),"not applicable")</f>
        <v>0</v>
      </c>
      <c r="J9" s="2" t="n">
        <f aca="true">INDIRECT("'"&amp;A9&amp;"'!H4")</f>
        <v>1</v>
      </c>
      <c r="K9" s="1" t="n">
        <f aca="true">INDIRECT("'"&amp;A9&amp;"'!K4")</f>
        <v>0</v>
      </c>
      <c r="L9" s="1" t="n">
        <f aca="true">INDIRECT("'"&amp;A9&amp;"'!E5")</f>
        <v>0</v>
      </c>
      <c r="M9" s="1" t="str">
        <f aca="false">IF(AND(J9=1,K9="complete",L9="complete"),"complete",IF(H9&gt;0,"blocked","open"))</f>
        <v>open</v>
      </c>
    </row>
    <row r="10" customFormat="false" ht="24" hidden="false" customHeight="true" outlineLevel="0" collapsed="false">
      <c r="A10" s="1" t="s">
        <v>19</v>
      </c>
      <c r="B10" s="1" t="n">
        <f aca="true">INDIRECT("'"&amp;A10&amp;"'!B4")</f>
        <v>16</v>
      </c>
      <c r="C10" s="1" t="n">
        <f aca="true">COUNTIF(INDIRECT("'"&amp;A10&amp;"'!H9:H200"),"not started")</f>
        <v>0</v>
      </c>
      <c r="D10" s="1" t="n">
        <f aca="true">COUNTIF(INDIRECT("'"&amp;A10&amp;"'!H9:H200"),"partial")</f>
        <v>0</v>
      </c>
      <c r="E10" s="1" t="n">
        <f aca="true">COUNTIF(INDIRECT("'"&amp;A10&amp;"'!H9:H200"),"implemented")</f>
        <v>0</v>
      </c>
      <c r="F10" s="1" t="n">
        <f aca="true">COUNTIF(INDIRECT("'"&amp;A10&amp;"'!H9:H200"),"tested")</f>
        <v>11</v>
      </c>
      <c r="G10" s="1" t="n">
        <f aca="true">COUNTIF(INDIRECT("'"&amp;A10&amp;"'!H9:H200"),"verified")</f>
        <v>5</v>
      </c>
      <c r="H10" s="1" t="n">
        <f aca="true">COUNTIF(INDIRECT("'"&amp;A10&amp;"'!H9:H200"),"blocked")</f>
        <v>0</v>
      </c>
      <c r="I10" s="1" t="n">
        <f aca="true">COUNTIF(INDIRECT("'"&amp;A10&amp;"'!H9:H200"),"not applicable")</f>
        <v>0</v>
      </c>
      <c r="J10" s="2" t="n">
        <f aca="true">INDIRECT("'"&amp;A10&amp;"'!H4")</f>
        <v>1</v>
      </c>
      <c r="K10" s="1" t="n">
        <f aca="true">INDIRECT("'"&amp;A10&amp;"'!K4")</f>
        <v>0</v>
      </c>
      <c r="L10" s="1" t="n">
        <f aca="true">INDIRECT("'"&amp;A10&amp;"'!E5")</f>
        <v>0</v>
      </c>
      <c r="M10" s="1" t="str">
        <f aca="false">IF(AND(J10=1,K10="complete",L10="complete"),"complete",IF(H10&gt;0,"blocked","open"))</f>
        <v>open</v>
      </c>
    </row>
    <row r="11" customFormat="false" ht="24" hidden="false" customHeight="true" outlineLevel="0" collapsed="false">
      <c r="A11" s="1" t="s">
        <v>20</v>
      </c>
      <c r="B11" s="1" t="n">
        <f aca="true">INDIRECT("'"&amp;A11&amp;"'!B4")</f>
        <v>16</v>
      </c>
      <c r="C11" s="1" t="n">
        <f aca="true">COUNTIF(INDIRECT("'"&amp;A11&amp;"'!H9:H200"),"not started")</f>
        <v>0</v>
      </c>
      <c r="D11" s="1" t="n">
        <f aca="true">COUNTIF(INDIRECT("'"&amp;A11&amp;"'!H9:H200"),"partial")</f>
        <v>0</v>
      </c>
      <c r="E11" s="1" t="n">
        <f aca="true">COUNTIF(INDIRECT("'"&amp;A11&amp;"'!H9:H200"),"implemented")</f>
        <v>0</v>
      </c>
      <c r="F11" s="1" t="n">
        <f aca="true">COUNTIF(INDIRECT("'"&amp;A11&amp;"'!H9:H200"),"tested")</f>
        <v>11</v>
      </c>
      <c r="G11" s="1" t="n">
        <f aca="true">COUNTIF(INDIRECT("'"&amp;A11&amp;"'!H9:H200"),"verified")</f>
        <v>5</v>
      </c>
      <c r="H11" s="1" t="n">
        <f aca="true">COUNTIF(INDIRECT("'"&amp;A11&amp;"'!H9:H200"),"blocked")</f>
        <v>0</v>
      </c>
      <c r="I11" s="1" t="n">
        <f aca="true">COUNTIF(INDIRECT("'"&amp;A11&amp;"'!H9:H200"),"not applicable")</f>
        <v>0</v>
      </c>
      <c r="J11" s="2" t="n">
        <f aca="true">INDIRECT("'"&amp;A11&amp;"'!H4")</f>
        <v>1</v>
      </c>
      <c r="K11" s="1" t="n">
        <f aca="true">INDIRECT("'"&amp;A11&amp;"'!K4")</f>
        <v>0</v>
      </c>
      <c r="L11" s="1" t="n">
        <f aca="true">INDIRECT("'"&amp;A11&amp;"'!E5")</f>
        <v>0</v>
      </c>
      <c r="M11" s="1" t="str">
        <f aca="false">IF(AND(J11=1,K11="complete",L11="complete"),"complete",IF(H11&gt;0,"blocked","open"))</f>
        <v>open</v>
      </c>
    </row>
    <row r="12" customFormat="false" ht="24" hidden="false" customHeight="true" outlineLevel="0" collapsed="false">
      <c r="A12" s="1" t="s">
        <v>21</v>
      </c>
      <c r="B12" s="1" t="n">
        <f aca="true">INDIRECT("'"&amp;A12&amp;"'!B4")</f>
        <v>16</v>
      </c>
      <c r="C12" s="1" t="n">
        <f aca="true">COUNTIF(INDIRECT("'"&amp;A12&amp;"'!H9:H200"),"not started")</f>
        <v>0</v>
      </c>
      <c r="D12" s="1" t="n">
        <f aca="true">COUNTIF(INDIRECT("'"&amp;A12&amp;"'!H9:H200"),"partial")</f>
        <v>0</v>
      </c>
      <c r="E12" s="1" t="n">
        <f aca="true">COUNTIF(INDIRECT("'"&amp;A12&amp;"'!H9:H200"),"implemented")</f>
        <v>0</v>
      </c>
      <c r="F12" s="1" t="n">
        <f aca="true">COUNTIF(INDIRECT("'"&amp;A12&amp;"'!H9:H200"),"tested")</f>
        <v>11</v>
      </c>
      <c r="G12" s="1" t="n">
        <f aca="true">COUNTIF(INDIRECT("'"&amp;A12&amp;"'!H9:H200"),"verified")</f>
        <v>5</v>
      </c>
      <c r="H12" s="1" t="n">
        <f aca="true">COUNTIF(INDIRECT("'"&amp;A12&amp;"'!H9:H200"),"blocked")</f>
        <v>0</v>
      </c>
      <c r="I12" s="1" t="n">
        <f aca="true">COUNTIF(INDIRECT("'"&amp;A12&amp;"'!H9:H200"),"not applicable")</f>
        <v>0</v>
      </c>
      <c r="J12" s="2" t="n">
        <f aca="true">INDIRECT("'"&amp;A12&amp;"'!H4")</f>
        <v>1</v>
      </c>
      <c r="K12" s="1" t="n">
        <f aca="true">INDIRECT("'"&amp;A12&amp;"'!K4")</f>
        <v>0</v>
      </c>
      <c r="L12" s="1" t="n">
        <f aca="true">INDIRECT("'"&amp;A12&amp;"'!E5")</f>
        <v>0</v>
      </c>
      <c r="M12" s="1" t="str">
        <f aca="false">IF(AND(J12=1,K12="complete",L12="complete"),"complete",IF(H12&gt;0,"blocked","open"))</f>
        <v>open</v>
      </c>
    </row>
    <row r="13" customFormat="false" ht="24" hidden="false" customHeight="true" outlineLevel="0" collapsed="false">
      <c r="A13" s="1" t="s">
        <v>22</v>
      </c>
      <c r="B13" s="1" t="n">
        <f aca="true">INDIRECT("'"&amp;A13&amp;"'!B4")</f>
        <v>16</v>
      </c>
      <c r="C13" s="1" t="n">
        <f aca="true">COUNTIF(INDIRECT("'"&amp;A13&amp;"'!H9:H200"),"not started")</f>
        <v>0</v>
      </c>
      <c r="D13" s="1" t="n">
        <f aca="true">COUNTIF(INDIRECT("'"&amp;A13&amp;"'!H9:H200"),"partial")</f>
        <v>0</v>
      </c>
      <c r="E13" s="1" t="n">
        <f aca="true">COUNTIF(INDIRECT("'"&amp;A13&amp;"'!H9:H200"),"implemented")</f>
        <v>0</v>
      </c>
      <c r="F13" s="1" t="n">
        <f aca="true">COUNTIF(INDIRECT("'"&amp;A13&amp;"'!H9:H200"),"tested")</f>
        <v>11</v>
      </c>
      <c r="G13" s="1" t="n">
        <f aca="true">COUNTIF(INDIRECT("'"&amp;A13&amp;"'!H9:H200"),"verified")</f>
        <v>5</v>
      </c>
      <c r="H13" s="1" t="n">
        <f aca="true">COUNTIF(INDIRECT("'"&amp;A13&amp;"'!H9:H200"),"blocked")</f>
        <v>0</v>
      </c>
      <c r="I13" s="1" t="n">
        <f aca="true">COUNTIF(INDIRECT("'"&amp;A13&amp;"'!H9:H200"),"not applicable")</f>
        <v>0</v>
      </c>
      <c r="J13" s="2" t="n">
        <f aca="true">INDIRECT("'"&amp;A13&amp;"'!H4")</f>
        <v>1</v>
      </c>
      <c r="K13" s="1" t="n">
        <f aca="true">INDIRECT("'"&amp;A13&amp;"'!K4")</f>
        <v>0</v>
      </c>
      <c r="L13" s="1" t="n">
        <f aca="true">INDIRECT("'"&amp;A13&amp;"'!E5")</f>
        <v>0</v>
      </c>
      <c r="M13" s="1" t="str">
        <f aca="false">IF(AND(J13=1,K13="complete",L13="complete"),"complete",IF(H13&gt;0,"blocked","open"))</f>
        <v>open</v>
      </c>
    </row>
    <row r="14" customFormat="false" ht="24" hidden="false" customHeight="true" outlineLevel="0" collapsed="false">
      <c r="A14" s="1" t="s">
        <v>23</v>
      </c>
      <c r="B14" s="1" t="n">
        <f aca="true">INDIRECT("'"&amp;A14&amp;"'!B4")</f>
        <v>16</v>
      </c>
      <c r="C14" s="1" t="n">
        <f aca="true">COUNTIF(INDIRECT("'"&amp;A14&amp;"'!H9:H200"),"not started")</f>
        <v>0</v>
      </c>
      <c r="D14" s="1" t="n">
        <f aca="true">COUNTIF(INDIRECT("'"&amp;A14&amp;"'!H9:H200"),"partial")</f>
        <v>0</v>
      </c>
      <c r="E14" s="1" t="n">
        <f aca="true">COUNTIF(INDIRECT("'"&amp;A14&amp;"'!H9:H200"),"implemented")</f>
        <v>0</v>
      </c>
      <c r="F14" s="1" t="n">
        <f aca="true">COUNTIF(INDIRECT("'"&amp;A14&amp;"'!H9:H200"),"tested")</f>
        <v>11</v>
      </c>
      <c r="G14" s="1" t="n">
        <f aca="true">COUNTIF(INDIRECT("'"&amp;A14&amp;"'!H9:H200"),"verified")</f>
        <v>5</v>
      </c>
      <c r="H14" s="1" t="n">
        <f aca="true">COUNTIF(INDIRECT("'"&amp;A14&amp;"'!H9:H200"),"blocked")</f>
        <v>0</v>
      </c>
      <c r="I14" s="1" t="n">
        <f aca="true">COUNTIF(INDIRECT("'"&amp;A14&amp;"'!H9:H200"),"not applicable")</f>
        <v>0</v>
      </c>
      <c r="J14" s="2" t="n">
        <f aca="true">INDIRECT("'"&amp;A14&amp;"'!H4")</f>
        <v>1</v>
      </c>
      <c r="K14" s="1" t="n">
        <f aca="true">INDIRECT("'"&amp;A14&amp;"'!K4")</f>
        <v>0</v>
      </c>
      <c r="L14" s="1" t="n">
        <f aca="true">INDIRECT("'"&amp;A14&amp;"'!E5")</f>
        <v>0</v>
      </c>
      <c r="M14" s="1" t="str">
        <f aca="false">IF(AND(J14=1,K14="complete",L14="complete"),"complete",IF(H14&gt;0,"blocked","open"))</f>
        <v>open</v>
      </c>
    </row>
    <row r="15" customFormat="false" ht="24" hidden="false" customHeight="true" outlineLevel="0" collapsed="false">
      <c r="A15" s="1" t="s">
        <v>24</v>
      </c>
      <c r="B15" s="1" t="n">
        <f aca="true">INDIRECT("'"&amp;A15&amp;"'!B4")</f>
        <v>16</v>
      </c>
      <c r="C15" s="1" t="n">
        <f aca="true">COUNTIF(INDIRECT("'"&amp;A15&amp;"'!H9:H200"),"not started")</f>
        <v>0</v>
      </c>
      <c r="D15" s="1" t="n">
        <f aca="true">COUNTIF(INDIRECT("'"&amp;A15&amp;"'!H9:H200"),"partial")</f>
        <v>0</v>
      </c>
      <c r="E15" s="1" t="n">
        <f aca="true">COUNTIF(INDIRECT("'"&amp;A15&amp;"'!H9:H200"),"implemented")</f>
        <v>0</v>
      </c>
      <c r="F15" s="1" t="n">
        <f aca="true">COUNTIF(INDIRECT("'"&amp;A15&amp;"'!H9:H200"),"tested")</f>
        <v>11</v>
      </c>
      <c r="G15" s="1" t="n">
        <f aca="true">COUNTIF(INDIRECT("'"&amp;A15&amp;"'!H9:H200"),"verified")</f>
        <v>5</v>
      </c>
      <c r="H15" s="1" t="n">
        <f aca="true">COUNTIF(INDIRECT("'"&amp;A15&amp;"'!H9:H200"),"blocked")</f>
        <v>0</v>
      </c>
      <c r="I15" s="1" t="n">
        <f aca="true">COUNTIF(INDIRECT("'"&amp;A15&amp;"'!H9:H200"),"not applicable")</f>
        <v>0</v>
      </c>
      <c r="J15" s="2" t="n">
        <f aca="true">INDIRECT("'"&amp;A15&amp;"'!H4")</f>
        <v>1</v>
      </c>
      <c r="K15" s="1" t="n">
        <f aca="true">INDIRECT("'"&amp;A15&amp;"'!K4")</f>
        <v>0</v>
      </c>
      <c r="L15" s="1" t="n">
        <f aca="true">INDIRECT("'"&amp;A15&amp;"'!E5")</f>
        <v>0</v>
      </c>
      <c r="M15" s="1" t="str">
        <f aca="false">IF(AND(J15=1,K15="complete",L15="complete"),"complete",IF(H15&gt;0,"blocked","open"))</f>
        <v>open</v>
      </c>
    </row>
    <row r="16" customFormat="false" ht="24" hidden="false" customHeight="true" outlineLevel="0" collapsed="false">
      <c r="A16" s="1" t="s">
        <v>25</v>
      </c>
      <c r="B16" s="1" t="n">
        <f aca="true">INDIRECT("'"&amp;A16&amp;"'!B4")</f>
        <v>16</v>
      </c>
      <c r="C16" s="1" t="n">
        <f aca="true">COUNTIF(INDIRECT("'"&amp;A16&amp;"'!H9:H200"),"not started")</f>
        <v>0</v>
      </c>
      <c r="D16" s="1" t="n">
        <f aca="true">COUNTIF(INDIRECT("'"&amp;A16&amp;"'!H9:H200"),"partial")</f>
        <v>0</v>
      </c>
      <c r="E16" s="1" t="n">
        <f aca="true">COUNTIF(INDIRECT("'"&amp;A16&amp;"'!H9:H200"),"implemented")</f>
        <v>0</v>
      </c>
      <c r="F16" s="1" t="n">
        <f aca="true">COUNTIF(INDIRECT("'"&amp;A16&amp;"'!H9:H200"),"tested")</f>
        <v>11</v>
      </c>
      <c r="G16" s="1" t="n">
        <f aca="true">COUNTIF(INDIRECT("'"&amp;A16&amp;"'!H9:H200"),"verified")</f>
        <v>5</v>
      </c>
      <c r="H16" s="1" t="n">
        <f aca="true">COUNTIF(INDIRECT("'"&amp;A16&amp;"'!H9:H200"),"blocked")</f>
        <v>0</v>
      </c>
      <c r="I16" s="1" t="n">
        <f aca="true">COUNTIF(INDIRECT("'"&amp;A16&amp;"'!H9:H200"),"not applicable")</f>
        <v>0</v>
      </c>
      <c r="J16" s="2" t="n">
        <f aca="true">INDIRECT("'"&amp;A16&amp;"'!H4")</f>
        <v>1</v>
      </c>
      <c r="K16" s="1" t="n">
        <f aca="true">INDIRECT("'"&amp;A16&amp;"'!K4")</f>
        <v>0</v>
      </c>
      <c r="L16" s="1" t="n">
        <f aca="true">INDIRECT("'"&amp;A16&amp;"'!E5")</f>
        <v>0</v>
      </c>
      <c r="M16" s="1" t="str">
        <f aca="false">IF(AND(J16=1,K16="complete",L16="complete"),"complete",IF(H16&gt;0,"blocked","open"))</f>
        <v>open</v>
      </c>
    </row>
    <row r="17" customFormat="false" ht="24" hidden="false" customHeight="true" outlineLevel="0" collapsed="false">
      <c r="A17" s="1" t="s">
        <v>26</v>
      </c>
      <c r="B17" s="1" t="n">
        <f aca="true">INDIRECT("'"&amp;A17&amp;"'!B4")</f>
        <v>16</v>
      </c>
      <c r="C17" s="1" t="n">
        <f aca="true">COUNTIF(INDIRECT("'"&amp;A17&amp;"'!H9:H200"),"not started")</f>
        <v>0</v>
      </c>
      <c r="D17" s="1" t="n">
        <f aca="true">COUNTIF(INDIRECT("'"&amp;A17&amp;"'!H9:H200"),"partial")</f>
        <v>0</v>
      </c>
      <c r="E17" s="1" t="n">
        <f aca="true">COUNTIF(INDIRECT("'"&amp;A17&amp;"'!H9:H200"),"implemented")</f>
        <v>0</v>
      </c>
      <c r="F17" s="1" t="n">
        <f aca="true">COUNTIF(INDIRECT("'"&amp;A17&amp;"'!H9:H200"),"tested")</f>
        <v>11</v>
      </c>
      <c r="G17" s="1" t="n">
        <f aca="true">COUNTIF(INDIRECT("'"&amp;A17&amp;"'!H9:H200"),"verified")</f>
        <v>5</v>
      </c>
      <c r="H17" s="1" t="n">
        <f aca="true">COUNTIF(INDIRECT("'"&amp;A17&amp;"'!H9:H200"),"blocked")</f>
        <v>0</v>
      </c>
      <c r="I17" s="1" t="n">
        <f aca="true">COUNTIF(INDIRECT("'"&amp;A17&amp;"'!H9:H200"),"not applicable")</f>
        <v>0</v>
      </c>
      <c r="J17" s="2" t="n">
        <f aca="true">INDIRECT("'"&amp;A17&amp;"'!H4")</f>
        <v>1</v>
      </c>
      <c r="K17" s="1" t="n">
        <f aca="true">INDIRECT("'"&amp;A17&amp;"'!K4")</f>
        <v>0</v>
      </c>
      <c r="L17" s="1" t="n">
        <f aca="true">INDIRECT("'"&amp;A17&amp;"'!E5")</f>
        <v>0</v>
      </c>
      <c r="M17" s="1" t="str">
        <f aca="false">IF(AND(J17=1,K17="complete",L17="complete"),"complete",IF(H17&gt;0,"blocked","open"))</f>
        <v>open</v>
      </c>
    </row>
    <row r="18" customFormat="false" ht="24" hidden="false" customHeight="true" outlineLevel="0" collapsed="false">
      <c r="A18" s="1" t="s">
        <v>27</v>
      </c>
      <c r="B18" s="1" t="n">
        <f aca="true">INDIRECT("'"&amp;A18&amp;"'!B4")</f>
        <v>16</v>
      </c>
      <c r="C18" s="1" t="n">
        <f aca="true">COUNTIF(INDIRECT("'"&amp;A18&amp;"'!H9:H200"),"not started")</f>
        <v>0</v>
      </c>
      <c r="D18" s="1" t="n">
        <f aca="true">COUNTIF(INDIRECT("'"&amp;A18&amp;"'!H9:H200"),"partial")</f>
        <v>0</v>
      </c>
      <c r="E18" s="1" t="n">
        <f aca="true">COUNTIF(INDIRECT("'"&amp;A18&amp;"'!H9:H200"),"implemented")</f>
        <v>0</v>
      </c>
      <c r="F18" s="1" t="n">
        <f aca="true">COUNTIF(INDIRECT("'"&amp;A18&amp;"'!H9:H200"),"tested")</f>
        <v>11</v>
      </c>
      <c r="G18" s="1" t="n">
        <f aca="true">COUNTIF(INDIRECT("'"&amp;A18&amp;"'!H9:H200"),"verified")</f>
        <v>5</v>
      </c>
      <c r="H18" s="1" t="n">
        <f aca="true">COUNTIF(INDIRECT("'"&amp;A18&amp;"'!H9:H200"),"blocked")</f>
        <v>0</v>
      </c>
      <c r="I18" s="1" t="n">
        <f aca="true">COUNTIF(INDIRECT("'"&amp;A18&amp;"'!H9:H200"),"not applicable")</f>
        <v>0</v>
      </c>
      <c r="J18" s="2" t="n">
        <f aca="true">INDIRECT("'"&amp;A18&amp;"'!H4")</f>
        <v>1</v>
      </c>
      <c r="K18" s="1" t="n">
        <f aca="true">INDIRECT("'"&amp;A18&amp;"'!K4")</f>
        <v>0</v>
      </c>
      <c r="L18" s="1" t="n">
        <f aca="true">INDIRECT("'"&amp;A18&amp;"'!E5")</f>
        <v>0</v>
      </c>
      <c r="M18" s="1" t="str">
        <f aca="false">IF(AND(J18=1,K18="complete",L18="complete"),"complete",IF(H18&gt;0,"blocked","open"))</f>
        <v>open</v>
      </c>
    </row>
    <row r="19" customFormat="false" ht="24" hidden="false" customHeight="true" outlineLevel="0" collapsed="false">
      <c r="A19" s="1" t="s">
        <v>28</v>
      </c>
      <c r="B19" s="1" t="n">
        <f aca="true">INDIRECT("'"&amp;A19&amp;"'!B4")</f>
        <v>16</v>
      </c>
      <c r="C19" s="1" t="n">
        <f aca="true">COUNTIF(INDIRECT("'"&amp;A19&amp;"'!H9:H200"),"not started")</f>
        <v>0</v>
      </c>
      <c r="D19" s="1" t="n">
        <f aca="true">COUNTIF(INDIRECT("'"&amp;A19&amp;"'!H9:H200"),"partial")</f>
        <v>0</v>
      </c>
      <c r="E19" s="1" t="n">
        <f aca="true">COUNTIF(INDIRECT("'"&amp;A19&amp;"'!H9:H200"),"implemented")</f>
        <v>0</v>
      </c>
      <c r="F19" s="1" t="n">
        <f aca="true">COUNTIF(INDIRECT("'"&amp;A19&amp;"'!H9:H200"),"tested")</f>
        <v>11</v>
      </c>
      <c r="G19" s="1" t="n">
        <f aca="true">COUNTIF(INDIRECT("'"&amp;A19&amp;"'!H9:H200"),"verified")</f>
        <v>5</v>
      </c>
      <c r="H19" s="1" t="n">
        <f aca="true">COUNTIF(INDIRECT("'"&amp;A19&amp;"'!H9:H200"),"blocked")</f>
        <v>0</v>
      </c>
      <c r="I19" s="1" t="n">
        <f aca="true">COUNTIF(INDIRECT("'"&amp;A19&amp;"'!H9:H200"),"not applicable")</f>
        <v>0</v>
      </c>
      <c r="J19" s="2" t="n">
        <f aca="true">INDIRECT("'"&amp;A19&amp;"'!H4")</f>
        <v>1</v>
      </c>
      <c r="K19" s="1" t="n">
        <f aca="true">INDIRECT("'"&amp;A19&amp;"'!K4")</f>
        <v>0</v>
      </c>
      <c r="L19" s="1" t="n">
        <f aca="true">INDIRECT("'"&amp;A19&amp;"'!E5")</f>
        <v>0</v>
      </c>
      <c r="M19" s="1" t="str">
        <f aca="false">IF(AND(J19=1,K19="complete",L19="complete"),"complete",IF(H19&gt;0,"blocked","open"))</f>
        <v>open</v>
      </c>
    </row>
    <row r="20" customFormat="false" ht="24" hidden="false" customHeight="true" outlineLevel="0" collapsed="false">
      <c r="A20" s="1" t="s">
        <v>29</v>
      </c>
      <c r="B20" s="1" t="n">
        <f aca="true">INDIRECT("'"&amp;A20&amp;"'!B4")</f>
        <v>16</v>
      </c>
      <c r="C20" s="1" t="n">
        <f aca="true">COUNTIF(INDIRECT("'"&amp;A20&amp;"'!H9:H200"),"not started")</f>
        <v>0</v>
      </c>
      <c r="D20" s="1" t="n">
        <f aca="true">COUNTIF(INDIRECT("'"&amp;A20&amp;"'!H9:H200"),"partial")</f>
        <v>0</v>
      </c>
      <c r="E20" s="1" t="n">
        <f aca="true">COUNTIF(INDIRECT("'"&amp;A20&amp;"'!H9:H200"),"implemented")</f>
        <v>0</v>
      </c>
      <c r="F20" s="1" t="n">
        <f aca="true">COUNTIF(INDIRECT("'"&amp;A20&amp;"'!H9:H200"),"tested")</f>
        <v>11</v>
      </c>
      <c r="G20" s="1" t="n">
        <f aca="true">COUNTIF(INDIRECT("'"&amp;A20&amp;"'!H9:H200"),"verified")</f>
        <v>5</v>
      </c>
      <c r="H20" s="1" t="n">
        <f aca="true">COUNTIF(INDIRECT("'"&amp;A20&amp;"'!H9:H200"),"blocked")</f>
        <v>0</v>
      </c>
      <c r="I20" s="1" t="n">
        <f aca="true">COUNTIF(INDIRECT("'"&amp;A20&amp;"'!H9:H200"),"not applicable")</f>
        <v>0</v>
      </c>
      <c r="J20" s="2" t="n">
        <f aca="true">INDIRECT("'"&amp;A20&amp;"'!H4")</f>
        <v>1</v>
      </c>
      <c r="K20" s="1" t="n">
        <f aca="true">INDIRECT("'"&amp;A20&amp;"'!K4")</f>
        <v>0</v>
      </c>
      <c r="L20" s="1" t="n">
        <f aca="true">INDIRECT("'"&amp;A20&amp;"'!E5")</f>
        <v>0</v>
      </c>
      <c r="M20" s="1" t="str">
        <f aca="false">IF(AND(J20=1,K20="complete",L20="complete"),"complete",IF(H20&gt;0,"blocked","open"))</f>
        <v>open</v>
      </c>
    </row>
    <row r="21" customFormat="false" ht="24" hidden="false" customHeight="true" outlineLevel="0" collapsed="false">
      <c r="A21" s="1" t="s">
        <v>30</v>
      </c>
      <c r="B21" s="1" t="n">
        <f aca="true">INDIRECT("'"&amp;A21&amp;"'!B4")</f>
        <v>16</v>
      </c>
      <c r="C21" s="1" t="n">
        <f aca="true">COUNTIF(INDIRECT("'"&amp;A21&amp;"'!H9:H200"),"not started")</f>
        <v>0</v>
      </c>
      <c r="D21" s="1" t="n">
        <f aca="true">COUNTIF(INDIRECT("'"&amp;A21&amp;"'!H9:H200"),"partial")</f>
        <v>0</v>
      </c>
      <c r="E21" s="1" t="n">
        <f aca="true">COUNTIF(INDIRECT("'"&amp;A21&amp;"'!H9:H200"),"implemented")</f>
        <v>0</v>
      </c>
      <c r="F21" s="1" t="n">
        <f aca="true">COUNTIF(INDIRECT("'"&amp;A21&amp;"'!H9:H200"),"tested")</f>
        <v>11</v>
      </c>
      <c r="G21" s="1" t="n">
        <f aca="true">COUNTIF(INDIRECT("'"&amp;A21&amp;"'!H9:H200"),"verified")</f>
        <v>5</v>
      </c>
      <c r="H21" s="1" t="n">
        <f aca="true">COUNTIF(INDIRECT("'"&amp;A21&amp;"'!H9:H200"),"blocked")</f>
        <v>0</v>
      </c>
      <c r="I21" s="1" t="n">
        <f aca="true">COUNTIF(INDIRECT("'"&amp;A21&amp;"'!H9:H200"),"not applicable")</f>
        <v>0</v>
      </c>
      <c r="J21" s="2" t="n">
        <f aca="true">INDIRECT("'"&amp;A21&amp;"'!H4")</f>
        <v>1</v>
      </c>
      <c r="K21" s="1" t="n">
        <f aca="true">INDIRECT("'"&amp;A21&amp;"'!K4")</f>
        <v>0</v>
      </c>
      <c r="L21" s="1" t="n">
        <f aca="true">INDIRECT("'"&amp;A21&amp;"'!E5")</f>
        <v>0</v>
      </c>
      <c r="M21" s="1" t="str">
        <f aca="false">IF(AND(J21=1,K21="complete",L21="complete"),"complete",IF(H21&gt;0,"blocked","open"))</f>
        <v>open</v>
      </c>
    </row>
    <row r="22" customFormat="false" ht="24" hidden="false" customHeight="true" outlineLevel="0" collapsed="false">
      <c r="A22" s="1" t="s">
        <v>31</v>
      </c>
      <c r="B22" s="1" t="n">
        <f aca="true">INDIRECT("'"&amp;A22&amp;"'!B4")</f>
        <v>16</v>
      </c>
      <c r="C22" s="1" t="n">
        <f aca="true">COUNTIF(INDIRECT("'"&amp;A22&amp;"'!H9:H200"),"not started")</f>
        <v>0</v>
      </c>
      <c r="D22" s="1" t="n">
        <f aca="true">COUNTIF(INDIRECT("'"&amp;A22&amp;"'!H9:H200"),"partial")</f>
        <v>0</v>
      </c>
      <c r="E22" s="1" t="n">
        <f aca="true">COUNTIF(INDIRECT("'"&amp;A22&amp;"'!H9:H200"),"implemented")</f>
        <v>0</v>
      </c>
      <c r="F22" s="1" t="n">
        <f aca="true">COUNTIF(INDIRECT("'"&amp;A22&amp;"'!H9:H200"),"tested")</f>
        <v>11</v>
      </c>
      <c r="G22" s="1" t="n">
        <f aca="true">COUNTIF(INDIRECT("'"&amp;A22&amp;"'!H9:H200"),"verified")</f>
        <v>5</v>
      </c>
      <c r="H22" s="1" t="n">
        <f aca="true">COUNTIF(INDIRECT("'"&amp;A22&amp;"'!H9:H200"),"blocked")</f>
        <v>0</v>
      </c>
      <c r="I22" s="1" t="n">
        <f aca="true">COUNTIF(INDIRECT("'"&amp;A22&amp;"'!H9:H200"),"not applicable")</f>
        <v>0</v>
      </c>
      <c r="J22" s="2" t="n">
        <f aca="true">INDIRECT("'"&amp;A22&amp;"'!H4")</f>
        <v>1</v>
      </c>
      <c r="K22" s="1" t="n">
        <f aca="true">INDIRECT("'"&amp;A22&amp;"'!K4")</f>
        <v>0</v>
      </c>
      <c r="L22" s="1" t="n">
        <f aca="true">INDIRECT("'"&amp;A22&amp;"'!E5")</f>
        <v>0</v>
      </c>
      <c r="M22" s="1" t="str">
        <f aca="false">IF(AND(J22=1,K22="complete",L22="complete"),"complete",IF(H22&gt;0,"blocked","open"))</f>
        <v>open</v>
      </c>
    </row>
    <row r="23" customFormat="false" ht="24" hidden="false" customHeight="true" outlineLevel="0" collapsed="false">
      <c r="A23" s="1" t="s">
        <v>32</v>
      </c>
      <c r="B23" s="1" t="n">
        <f aca="true">INDIRECT("'"&amp;A23&amp;"'!B4")</f>
        <v>16</v>
      </c>
      <c r="C23" s="1" t="n">
        <f aca="true">COUNTIF(INDIRECT("'"&amp;A23&amp;"'!H9:H200"),"not started")</f>
        <v>0</v>
      </c>
      <c r="D23" s="1" t="n">
        <f aca="true">COUNTIF(INDIRECT("'"&amp;A23&amp;"'!H9:H200"),"partial")</f>
        <v>0</v>
      </c>
      <c r="E23" s="1" t="n">
        <f aca="true">COUNTIF(INDIRECT("'"&amp;A23&amp;"'!H9:H200"),"implemented")</f>
        <v>4</v>
      </c>
      <c r="F23" s="1" t="n">
        <f aca="true">COUNTIF(INDIRECT("'"&amp;A23&amp;"'!H9:H200"),"tested")</f>
        <v>11</v>
      </c>
      <c r="G23" s="1" t="n">
        <f aca="true">COUNTIF(INDIRECT("'"&amp;A23&amp;"'!H9:H200"),"verified")</f>
        <v>1</v>
      </c>
      <c r="H23" s="1" t="n">
        <f aca="true">COUNTIF(INDIRECT("'"&amp;A23&amp;"'!H9:H200"),"blocked")</f>
        <v>0</v>
      </c>
      <c r="I23" s="1" t="n">
        <f aca="true">COUNTIF(INDIRECT("'"&amp;A23&amp;"'!H9:H200"),"not applicable")</f>
        <v>0</v>
      </c>
      <c r="J23" s="2" t="n">
        <f aca="true">INDIRECT("'"&amp;A23&amp;"'!H4")</f>
        <v>0.75</v>
      </c>
      <c r="K23" s="1" t="str">
        <f aca="true">INDIRECT("'"&amp;A23&amp;"'!K4")</f>
        <v>open</v>
      </c>
      <c r="L23" s="1" t="str">
        <f aca="true">INDIRECT("'"&amp;A23&amp;"'!E5")</f>
        <v>complete</v>
      </c>
      <c r="M23" s="1" t="str">
        <f aca="false">IF(AND(J23=1,K23="complete",L23="complete"),"complete",IF(H23&gt;0,"blocked","open"))</f>
        <v>open</v>
      </c>
    </row>
    <row r="24" customFormat="false" ht="24" hidden="false" customHeight="true" outlineLevel="0" collapsed="false">
      <c r="A24" s="1" t="s">
        <v>33</v>
      </c>
      <c r="B24" s="1" t="n">
        <f aca="true">INDIRECT("'"&amp;A24&amp;"'!B4")</f>
        <v>17</v>
      </c>
      <c r="C24" s="1" t="n">
        <f aca="true">COUNTIF(INDIRECT("'"&amp;A24&amp;"'!H9:H200"),"not started")</f>
        <v>0</v>
      </c>
      <c r="D24" s="1" t="n">
        <f aca="true">COUNTIF(INDIRECT("'"&amp;A24&amp;"'!H9:H200"),"partial")</f>
        <v>0</v>
      </c>
      <c r="E24" s="1" t="n">
        <f aca="true">COUNTIF(INDIRECT("'"&amp;A24&amp;"'!H9:H200"),"implemented")</f>
        <v>3</v>
      </c>
      <c r="F24" s="1" t="n">
        <f aca="true">COUNTIF(INDIRECT("'"&amp;A24&amp;"'!H9:H200"),"tested")</f>
        <v>13</v>
      </c>
      <c r="G24" s="1" t="n">
        <f aca="true">COUNTIF(INDIRECT("'"&amp;A24&amp;"'!H9:H200"),"verified")</f>
        <v>1</v>
      </c>
      <c r="H24" s="1" t="n">
        <f aca="true">COUNTIF(INDIRECT("'"&amp;A24&amp;"'!H9:H200"),"blocked")</f>
        <v>0</v>
      </c>
      <c r="I24" s="1" t="n">
        <f aca="true">COUNTIF(INDIRECT("'"&amp;A24&amp;"'!H9:H200"),"not applicable")</f>
        <v>0</v>
      </c>
      <c r="J24" s="2" t="n">
        <f aca="true">INDIRECT("'"&amp;A24&amp;"'!H4")</f>
        <v>0.823529411764706</v>
      </c>
      <c r="K24" s="1" t="str">
        <f aca="true">INDIRECT("'"&amp;A24&amp;"'!K4")</f>
        <v>open</v>
      </c>
      <c r="L24" s="1" t="str">
        <f aca="true">INDIRECT("'"&amp;A24&amp;"'!E5")</f>
        <v>complete</v>
      </c>
      <c r="M24" s="1" t="str">
        <f aca="false">IF(AND(J24=1,K24="complete",L24="complete"),"complete",IF(H24&gt;0,"blocked","open"))</f>
        <v>open</v>
      </c>
    </row>
    <row r="25" customFormat="false" ht="24" hidden="false" customHeight="true" outlineLevel="0" collapsed="false">
      <c r="A25" s="1" t="s">
        <v>34</v>
      </c>
      <c r="B25" s="1" t="n">
        <f aca="true">INDIRECT("'"&amp;A25&amp;"'!B4")</f>
        <v>16</v>
      </c>
      <c r="C25" s="1" t="n">
        <f aca="true">COUNTIF(INDIRECT("'"&amp;A25&amp;"'!H9:H200"),"not started")</f>
        <v>0</v>
      </c>
      <c r="D25" s="1" t="n">
        <f aca="true">COUNTIF(INDIRECT("'"&amp;A25&amp;"'!H9:H200"),"partial")</f>
        <v>0</v>
      </c>
      <c r="E25" s="1" t="n">
        <f aca="true">COUNTIF(INDIRECT("'"&amp;A25&amp;"'!H9:H200"),"implemented")</f>
        <v>0</v>
      </c>
      <c r="F25" s="1" t="n">
        <f aca="true">COUNTIF(INDIRECT("'"&amp;A25&amp;"'!H9:H200"),"tested")</f>
        <v>11</v>
      </c>
      <c r="G25" s="1" t="n">
        <f aca="true">COUNTIF(INDIRECT("'"&amp;A25&amp;"'!H9:H200"),"verified")</f>
        <v>5</v>
      </c>
      <c r="H25" s="1" t="n">
        <f aca="true">COUNTIF(INDIRECT("'"&amp;A25&amp;"'!H9:H200"),"blocked")</f>
        <v>0</v>
      </c>
      <c r="I25" s="1" t="n">
        <f aca="true">COUNTIF(INDIRECT("'"&amp;A25&amp;"'!H9:H200"),"not applicable")</f>
        <v>0</v>
      </c>
      <c r="J25" s="2" t="n">
        <f aca="true">INDIRECT("'"&amp;A25&amp;"'!H4")</f>
        <v>1</v>
      </c>
      <c r="K25" s="1" t="n">
        <f aca="true">INDIRECT("'"&amp;A25&amp;"'!K4")</f>
        <v>0</v>
      </c>
      <c r="L25" s="1" t="n">
        <f aca="true">INDIRECT("'"&amp;A25&amp;"'!E5")</f>
        <v>0</v>
      </c>
      <c r="M25" s="1" t="str">
        <f aca="false">IF(AND(J25=1,K25="complete",L25="complete"),"complete",IF(H25&gt;0,"blocked","open"))</f>
        <v>open</v>
      </c>
    </row>
    <row r="26" customFormat="false" ht="24" hidden="false" customHeight="true" outlineLevel="0" collapsed="false">
      <c r="A26" s="1" t="s">
        <v>35</v>
      </c>
      <c r="B26" s="1" t="n">
        <f aca="true">INDIRECT("'"&amp;A26&amp;"'!B4")</f>
        <v>16</v>
      </c>
      <c r="C26" s="1" t="n">
        <f aca="true">COUNTIF(INDIRECT("'"&amp;A26&amp;"'!H9:H200"),"not started")</f>
        <v>0</v>
      </c>
      <c r="D26" s="1" t="n">
        <f aca="true">COUNTIF(INDIRECT("'"&amp;A26&amp;"'!H9:H200"),"partial")</f>
        <v>0</v>
      </c>
      <c r="E26" s="1" t="n">
        <f aca="true">COUNTIF(INDIRECT("'"&amp;A26&amp;"'!H9:H200"),"implemented")</f>
        <v>0</v>
      </c>
      <c r="F26" s="1" t="n">
        <f aca="true">COUNTIF(INDIRECT("'"&amp;A26&amp;"'!H9:H200"),"tested")</f>
        <v>11</v>
      </c>
      <c r="G26" s="1" t="n">
        <f aca="true">COUNTIF(INDIRECT("'"&amp;A26&amp;"'!H9:H200"),"verified")</f>
        <v>5</v>
      </c>
      <c r="H26" s="1" t="n">
        <f aca="true">COUNTIF(INDIRECT("'"&amp;A26&amp;"'!H9:H200"),"blocked")</f>
        <v>0</v>
      </c>
      <c r="I26" s="1" t="n">
        <f aca="true">COUNTIF(INDIRECT("'"&amp;A26&amp;"'!H9:H200"),"not applicable")</f>
        <v>0</v>
      </c>
      <c r="J26" s="2" t="n">
        <f aca="true">INDIRECT("'"&amp;A26&amp;"'!H4")</f>
        <v>1</v>
      </c>
      <c r="K26" s="1" t="n">
        <f aca="true">INDIRECT("'"&amp;A26&amp;"'!K4")</f>
        <v>0</v>
      </c>
      <c r="L26" s="1" t="n">
        <f aca="true">INDIRECT("'"&amp;A26&amp;"'!E5")</f>
        <v>0</v>
      </c>
      <c r="M26" s="1" t="str">
        <f aca="false">IF(AND(J26=1,K26="complete",L26="complete"),"complete",IF(H26&gt;0,"blocked","open"))</f>
        <v>open</v>
      </c>
    </row>
    <row r="27" customFormat="false" ht="24" hidden="false" customHeight="true" outlineLevel="0" collapsed="false">
      <c r="A27" s="1" t="s">
        <v>36</v>
      </c>
      <c r="B27" s="1" t="n">
        <f aca="true">INDIRECT("'"&amp;A27&amp;"'!B4")</f>
        <v>16</v>
      </c>
      <c r="C27" s="1" t="n">
        <f aca="true">COUNTIF(INDIRECT("'"&amp;A27&amp;"'!H9:H200"),"not started")</f>
        <v>0</v>
      </c>
      <c r="D27" s="1" t="n">
        <f aca="true">COUNTIF(INDIRECT("'"&amp;A27&amp;"'!H9:H200"),"partial")</f>
        <v>0</v>
      </c>
      <c r="E27" s="1" t="n">
        <f aca="true">COUNTIF(INDIRECT("'"&amp;A27&amp;"'!H9:H200"),"implemented")</f>
        <v>0</v>
      </c>
      <c r="F27" s="1" t="n">
        <f aca="true">COUNTIF(INDIRECT("'"&amp;A27&amp;"'!H9:H200"),"tested")</f>
        <v>11</v>
      </c>
      <c r="G27" s="1" t="n">
        <f aca="true">COUNTIF(INDIRECT("'"&amp;A27&amp;"'!H9:H200"),"verified")</f>
        <v>5</v>
      </c>
      <c r="H27" s="1" t="n">
        <f aca="true">COUNTIF(INDIRECT("'"&amp;A27&amp;"'!H9:H200"),"blocked")</f>
        <v>0</v>
      </c>
      <c r="I27" s="1" t="n">
        <f aca="true">COUNTIF(INDIRECT("'"&amp;A27&amp;"'!H9:H200"),"not applicable")</f>
        <v>0</v>
      </c>
      <c r="J27" s="2" t="n">
        <f aca="true">INDIRECT("'"&amp;A27&amp;"'!H4")</f>
        <v>1</v>
      </c>
      <c r="K27" s="1" t="n">
        <f aca="true">INDIRECT("'"&amp;A27&amp;"'!K4")</f>
        <v>0</v>
      </c>
      <c r="L27" s="1" t="n">
        <f aca="true">INDIRECT("'"&amp;A27&amp;"'!E5")</f>
        <v>0</v>
      </c>
      <c r="M27" s="1" t="str">
        <f aca="false">IF(AND(J27=1,K27="complete",L27="complete"),"complete",IF(H27&gt;0,"blocked","open"))</f>
        <v>open</v>
      </c>
    </row>
    <row r="28" customFormat="false" ht="15" hidden="false" customHeight="true" outlineLevel="0" collapsed="false">
      <c r="A28" s="1" t="s">
        <v>37</v>
      </c>
      <c r="B28" s="1" t="n">
        <f aca="true">INDIRECT("'"&amp;A28&amp;"'!B4")</f>
        <v>16</v>
      </c>
      <c r="C28" s="1" t="n">
        <f aca="true">COUNTIF(INDIRECT("'"&amp;A28&amp;"'!H9:H200"),"not started")</f>
        <v>0</v>
      </c>
      <c r="D28" s="1" t="n">
        <f aca="true">COUNTIF(INDIRECT("'"&amp;A28&amp;"'!H9:H200"),"partial")</f>
        <v>0</v>
      </c>
      <c r="E28" s="1" t="n">
        <f aca="true">COUNTIF(INDIRECT("'"&amp;A28&amp;"'!H9:H200"),"implemented")</f>
        <v>0</v>
      </c>
      <c r="F28" s="1" t="n">
        <f aca="true">COUNTIF(INDIRECT("'"&amp;A28&amp;"'!H9:H200"),"tested")</f>
        <v>11</v>
      </c>
      <c r="G28" s="1" t="n">
        <f aca="true">COUNTIF(INDIRECT("'"&amp;A28&amp;"'!H9:H200"),"verified")</f>
        <v>5</v>
      </c>
      <c r="H28" s="1" t="n">
        <f aca="true">COUNTIF(INDIRECT("'"&amp;A28&amp;"'!H9:H200"),"blocked")</f>
        <v>0</v>
      </c>
      <c r="I28" s="1" t="n">
        <f aca="true">COUNTIF(INDIRECT("'"&amp;A28&amp;"'!H9:H200"),"not applicable")</f>
        <v>0</v>
      </c>
      <c r="J28" s="2" t="n">
        <f aca="true">INDIRECT("'"&amp;A28&amp;"'!H4")</f>
        <v>1</v>
      </c>
      <c r="K28" s="1" t="n">
        <f aca="true">INDIRECT("'"&amp;A28&amp;"'!K4")</f>
        <v>0</v>
      </c>
      <c r="L28" s="1" t="n">
        <f aca="true">INDIRECT("'"&amp;A28&amp;"'!E5")</f>
        <v>0</v>
      </c>
      <c r="M28" s="1" t="str">
        <f aca="false">IF(AND(J28=1,K28="complete",L28="complete"),"complete",IF(H28&gt;0,"blocked","open"))</f>
        <v>open</v>
      </c>
    </row>
    <row r="29" customFormat="false" ht="15" hidden="false" customHeight="true" outlineLevel="0" collapsed="false">
      <c r="A29" s="1" t="s">
        <v>38</v>
      </c>
      <c r="B29" s="1" t="n">
        <f aca="true">INDIRECT("'"&amp;A29&amp;"'!B4")</f>
        <v>16</v>
      </c>
      <c r="C29" s="1" t="n">
        <f aca="true">COUNTIF(INDIRECT("'"&amp;A29&amp;"'!H9:H200"),"not started")</f>
        <v>0</v>
      </c>
      <c r="D29" s="1" t="n">
        <f aca="true">COUNTIF(INDIRECT("'"&amp;A29&amp;"'!H9:H200"),"partial")</f>
        <v>0</v>
      </c>
      <c r="E29" s="1" t="n">
        <f aca="true">COUNTIF(INDIRECT("'"&amp;A29&amp;"'!H9:H200"),"implemented")</f>
        <v>0</v>
      </c>
      <c r="F29" s="1" t="n">
        <f aca="true">COUNTIF(INDIRECT("'"&amp;A29&amp;"'!H9:H200"),"tested")</f>
        <v>11</v>
      </c>
      <c r="G29" s="1" t="n">
        <f aca="true">COUNTIF(INDIRECT("'"&amp;A29&amp;"'!H9:H200"),"verified")</f>
        <v>5</v>
      </c>
      <c r="H29" s="1" t="n">
        <f aca="true">COUNTIF(INDIRECT("'"&amp;A29&amp;"'!H9:H200"),"blocked")</f>
        <v>0</v>
      </c>
      <c r="I29" s="1" t="n">
        <f aca="true">COUNTIF(INDIRECT("'"&amp;A29&amp;"'!H9:H200"),"not applicable")</f>
        <v>0</v>
      </c>
      <c r="J29" s="2" t="n">
        <f aca="true">INDIRECT("'"&amp;A29&amp;"'!H4")</f>
        <v>1</v>
      </c>
      <c r="K29" s="1" t="n">
        <f aca="true">INDIRECT("'"&amp;A29&amp;"'!K4")</f>
        <v>0</v>
      </c>
      <c r="L29" s="1" t="n">
        <f aca="true">INDIRECT("'"&amp;A29&amp;"'!E5")</f>
        <v>0</v>
      </c>
      <c r="M29" s="1" t="str">
        <f aca="false">IF(AND(J29=1,K29="complete",L29="complete"),"complete",IF(H29&gt;0,"blocked","open"))</f>
        <v>open</v>
      </c>
    </row>
    <row r="30" customFormat="false" ht="15" hidden="false" customHeight="true" outlineLevel="0" collapsed="false">
      <c r="A30" s="1" t="s">
        <v>39</v>
      </c>
      <c r="B30" s="1" t="n">
        <f aca="true">INDIRECT("'"&amp;A30&amp;"'!B4")</f>
        <v>16</v>
      </c>
      <c r="C30" s="1" t="n">
        <f aca="true">COUNTIF(INDIRECT("'"&amp;A30&amp;"'!H9:H200"),"not started")</f>
        <v>0</v>
      </c>
      <c r="D30" s="1" t="n">
        <f aca="true">COUNTIF(INDIRECT("'"&amp;A30&amp;"'!H9:H200"),"partial")</f>
        <v>0</v>
      </c>
      <c r="E30" s="1" t="n">
        <f aca="true">COUNTIF(INDIRECT("'"&amp;A30&amp;"'!H9:H200"),"implemented")</f>
        <v>4</v>
      </c>
      <c r="F30" s="1" t="n">
        <f aca="true">COUNTIF(INDIRECT("'"&amp;A30&amp;"'!H9:H200"),"tested")</f>
        <v>11</v>
      </c>
      <c r="G30" s="1" t="n">
        <f aca="true">COUNTIF(INDIRECT("'"&amp;A30&amp;"'!H9:H200"),"verified")</f>
        <v>1</v>
      </c>
      <c r="H30" s="1" t="n">
        <f aca="true">COUNTIF(INDIRECT("'"&amp;A30&amp;"'!H9:H200"),"blocked")</f>
        <v>0</v>
      </c>
      <c r="I30" s="1" t="n">
        <f aca="true">COUNTIF(INDIRECT("'"&amp;A30&amp;"'!H9:H200"),"not applicable")</f>
        <v>0</v>
      </c>
      <c r="J30" s="2" t="n">
        <f aca="true">INDIRECT("'"&amp;A30&amp;"'!H4")</f>
        <v>0.75</v>
      </c>
      <c r="K30" s="1" t="str">
        <f aca="true">INDIRECT("'"&amp;A30&amp;"'!K4")</f>
        <v>open</v>
      </c>
      <c r="L30" s="1" t="str">
        <f aca="true">INDIRECT("'"&amp;A30&amp;"'!E5")</f>
        <v>complete</v>
      </c>
      <c r="M30" s="1" t="str">
        <f aca="false">IF(AND(J30=1,K30="complete",L30="complete"),"complete",IF(H30&gt;0,"blocked","open"))</f>
        <v>open</v>
      </c>
    </row>
    <row r="31" customFormat="false" ht="15" hidden="false" customHeight="true" outlineLevel="0" collapsed="false">
      <c r="A31" s="1" t="s">
        <v>40</v>
      </c>
      <c r="B31" s="1" t="n">
        <f aca="true">INDIRECT("'"&amp;A31&amp;"'!B4")</f>
        <v>16</v>
      </c>
      <c r="C31" s="1" t="n">
        <f aca="true">COUNTIF(INDIRECT("'"&amp;A31&amp;"'!H9:H200"),"not started")</f>
        <v>0</v>
      </c>
      <c r="D31" s="1" t="n">
        <f aca="true">COUNTIF(INDIRECT("'"&amp;A31&amp;"'!H9:H200"),"partial")</f>
        <v>0</v>
      </c>
      <c r="E31" s="1" t="n">
        <f aca="true">COUNTIF(INDIRECT("'"&amp;A31&amp;"'!H9:H200"),"implemented")</f>
        <v>4</v>
      </c>
      <c r="F31" s="1" t="n">
        <f aca="true">COUNTIF(INDIRECT("'"&amp;A31&amp;"'!H9:H200"),"tested")</f>
        <v>11</v>
      </c>
      <c r="G31" s="1" t="n">
        <f aca="true">COUNTIF(INDIRECT("'"&amp;A31&amp;"'!H9:H200"),"verified")</f>
        <v>1</v>
      </c>
      <c r="H31" s="1" t="n">
        <f aca="true">COUNTIF(INDIRECT("'"&amp;A31&amp;"'!H9:H200"),"blocked")</f>
        <v>0</v>
      </c>
      <c r="I31" s="1" t="n">
        <f aca="true">COUNTIF(INDIRECT("'"&amp;A31&amp;"'!H9:H200"),"not applicable")</f>
        <v>0</v>
      </c>
      <c r="J31" s="2" t="n">
        <f aca="true">INDIRECT("'"&amp;A31&amp;"'!H4")</f>
        <v>0.75</v>
      </c>
      <c r="K31" s="1" t="str">
        <f aca="true">INDIRECT("'"&amp;A31&amp;"'!K4")</f>
        <v>open</v>
      </c>
      <c r="L31" s="1" t="str">
        <f aca="true">INDIRECT("'"&amp;A31&amp;"'!E5")</f>
        <v>complete</v>
      </c>
      <c r="M31" s="1" t="str">
        <f aca="false">IF(AND(J31=1,K31="complete",L31="complete"),"complete",IF(H31&gt;0,"blocked","open"))</f>
        <v>open</v>
      </c>
    </row>
    <row r="32" customFormat="false" ht="15" hidden="false" customHeight="true" outlineLevel="0" collapsed="false">
      <c r="A32" s="1" t="s">
        <v>41</v>
      </c>
      <c r="B32" s="1" t="n">
        <f aca="true">INDIRECT("'"&amp;A32&amp;"'!B4")</f>
        <v>17</v>
      </c>
      <c r="C32" s="1" t="n">
        <f aca="true">COUNTIF(INDIRECT("'"&amp;A32&amp;"'!H9:H200"),"not started")</f>
        <v>0</v>
      </c>
      <c r="D32" s="1" t="n">
        <f aca="true">COUNTIF(INDIRECT("'"&amp;A32&amp;"'!H9:H200"),"partial")</f>
        <v>0</v>
      </c>
      <c r="E32" s="1" t="n">
        <f aca="true">COUNTIF(INDIRECT("'"&amp;A32&amp;"'!H9:H200"),"implemented")</f>
        <v>4</v>
      </c>
      <c r="F32" s="1" t="n">
        <f aca="true">COUNTIF(INDIRECT("'"&amp;A32&amp;"'!H9:H200"),"tested")</f>
        <v>12</v>
      </c>
      <c r="G32" s="1" t="n">
        <f aca="true">COUNTIF(INDIRECT("'"&amp;A32&amp;"'!H9:H200"),"verified")</f>
        <v>1</v>
      </c>
      <c r="H32" s="1" t="n">
        <f aca="true">COUNTIF(INDIRECT("'"&amp;A32&amp;"'!H9:H200"),"blocked")</f>
        <v>0</v>
      </c>
      <c r="I32" s="1" t="n">
        <f aca="true">COUNTIF(INDIRECT("'"&amp;A32&amp;"'!H9:H200"),"not applicable")</f>
        <v>0</v>
      </c>
      <c r="J32" s="2" t="n">
        <f aca="true">INDIRECT("'"&amp;A32&amp;"'!H4")</f>
        <v>0.764705882352941</v>
      </c>
      <c r="K32" s="1" t="str">
        <f aca="true">INDIRECT("'"&amp;A32&amp;"'!K4")</f>
        <v>open</v>
      </c>
      <c r="L32" s="1" t="str">
        <f aca="true">INDIRECT("'"&amp;A32&amp;"'!E5")</f>
        <v>complete</v>
      </c>
      <c r="M32" s="1" t="str">
        <f aca="false">IF(AND(J32=1,K32="complete",L32="complete"),"complete",IF(H32&gt;0,"blocked","open"))</f>
        <v>open</v>
      </c>
    </row>
    <row r="33" customFormat="false" ht="15" hidden="false" customHeight="true" outlineLevel="0" collapsed="false">
      <c r="A33" s="1" t="s">
        <v>42</v>
      </c>
      <c r="B33" s="1" t="n">
        <f aca="true">INDIRECT("'"&amp;A33&amp;"'!B4")</f>
        <v>17</v>
      </c>
      <c r="C33" s="1" t="n">
        <f aca="true">COUNTIF(INDIRECT("'"&amp;A33&amp;"'!H9:H200"),"not started")</f>
        <v>0</v>
      </c>
      <c r="D33" s="1" t="n">
        <f aca="true">COUNTIF(INDIRECT("'"&amp;A33&amp;"'!H9:H200"),"partial")</f>
        <v>0</v>
      </c>
      <c r="E33" s="1" t="n">
        <f aca="true">COUNTIF(INDIRECT("'"&amp;A33&amp;"'!H9:H200"),"implemented")</f>
        <v>4</v>
      </c>
      <c r="F33" s="1" t="n">
        <f aca="true">COUNTIF(INDIRECT("'"&amp;A33&amp;"'!H9:H200"),"tested")</f>
        <v>12</v>
      </c>
      <c r="G33" s="1" t="n">
        <f aca="true">COUNTIF(INDIRECT("'"&amp;A33&amp;"'!H9:H200"),"verified")</f>
        <v>1</v>
      </c>
      <c r="H33" s="1" t="n">
        <f aca="true">COUNTIF(INDIRECT("'"&amp;A33&amp;"'!H9:H200"),"blocked")</f>
        <v>0</v>
      </c>
      <c r="I33" s="1" t="n">
        <f aca="true">COUNTIF(INDIRECT("'"&amp;A33&amp;"'!H9:H200"),"not applicable")</f>
        <v>0</v>
      </c>
      <c r="J33" s="2" t="n">
        <f aca="true">INDIRECT("'"&amp;A33&amp;"'!H4")</f>
        <v>0.764705882352941</v>
      </c>
      <c r="K33" s="1" t="str">
        <f aca="true">INDIRECT("'"&amp;A33&amp;"'!K4")</f>
        <v>open</v>
      </c>
      <c r="L33" s="1" t="str">
        <f aca="true">INDIRECT("'"&amp;A33&amp;"'!E5")</f>
        <v>complete</v>
      </c>
      <c r="M33" s="1" t="str">
        <f aca="false">IF(AND(J33=1,K33="complete",L33="complete"),"complete",IF(H33&gt;0,"blocked","open"))</f>
        <v>open</v>
      </c>
    </row>
    <row r="34" customFormat="false" ht="15" hidden="false" customHeight="true" outlineLevel="0" collapsed="false">
      <c r="A34" s="1" t="s">
        <v>43</v>
      </c>
      <c r="B34" s="1" t="n">
        <f aca="true">INDIRECT("'"&amp;A34&amp;"'!B4")</f>
        <v>17</v>
      </c>
      <c r="C34" s="1" t="n">
        <f aca="true">COUNTIF(INDIRECT("'"&amp;A34&amp;"'!H9:H200"),"not started")</f>
        <v>0</v>
      </c>
      <c r="D34" s="1" t="n">
        <f aca="true">COUNTIF(INDIRECT("'"&amp;A34&amp;"'!H9:H200"),"partial")</f>
        <v>0</v>
      </c>
      <c r="E34" s="1" t="n">
        <f aca="true">COUNTIF(INDIRECT("'"&amp;A34&amp;"'!H9:H200"),"implemented")</f>
        <v>4</v>
      </c>
      <c r="F34" s="1" t="n">
        <f aca="true">COUNTIF(INDIRECT("'"&amp;A34&amp;"'!H9:H200"),"tested")</f>
        <v>12</v>
      </c>
      <c r="G34" s="1" t="n">
        <f aca="true">COUNTIF(INDIRECT("'"&amp;A34&amp;"'!H9:H200"),"verified")</f>
        <v>1</v>
      </c>
      <c r="H34" s="1" t="n">
        <f aca="true">COUNTIF(INDIRECT("'"&amp;A34&amp;"'!H9:H200"),"blocked")</f>
        <v>0</v>
      </c>
      <c r="I34" s="1" t="n">
        <f aca="true">COUNTIF(INDIRECT("'"&amp;A34&amp;"'!H9:H200"),"not applicable")</f>
        <v>0</v>
      </c>
      <c r="J34" s="2" t="n">
        <f aca="true">INDIRECT("'"&amp;A34&amp;"'!H4")</f>
        <v>0.764705882352941</v>
      </c>
      <c r="K34" s="1" t="str">
        <f aca="true">INDIRECT("'"&amp;A34&amp;"'!K4")</f>
        <v>open</v>
      </c>
      <c r="L34" s="1" t="str">
        <f aca="true">INDIRECT("'"&amp;A34&amp;"'!E5")</f>
        <v>complete</v>
      </c>
      <c r="M34" s="1" t="str">
        <f aca="false">IF(AND(J34=1,K34="complete",L34="complete"),"complete",IF(H34&gt;0,"blocked","open"))</f>
        <v>open</v>
      </c>
    </row>
    <row r="35" customFormat="false" ht="15" hidden="false" customHeight="true" outlineLevel="0" collapsed="false">
      <c r="A35" s="1" t="s">
        <v>44</v>
      </c>
      <c r="B35" s="1" t="n">
        <f aca="true">INDIRECT("'"&amp;A35&amp;"'!B4")</f>
        <v>17</v>
      </c>
      <c r="C35" s="1" t="n">
        <f aca="true">COUNTIF(INDIRECT("'"&amp;A35&amp;"'!H9:H200"),"not started")</f>
        <v>0</v>
      </c>
      <c r="D35" s="1" t="n">
        <f aca="true">COUNTIF(INDIRECT("'"&amp;A35&amp;"'!H9:H200"),"partial")</f>
        <v>0</v>
      </c>
      <c r="E35" s="1" t="n">
        <f aca="true">COUNTIF(INDIRECT("'"&amp;A35&amp;"'!H9:H200"),"implemented")</f>
        <v>4</v>
      </c>
      <c r="F35" s="1" t="n">
        <f aca="true">COUNTIF(INDIRECT("'"&amp;A35&amp;"'!H9:H200"),"tested")</f>
        <v>12</v>
      </c>
      <c r="G35" s="1" t="n">
        <f aca="true">COUNTIF(INDIRECT("'"&amp;A35&amp;"'!H9:H200"),"verified")</f>
        <v>1</v>
      </c>
      <c r="H35" s="1" t="n">
        <f aca="true">COUNTIF(INDIRECT("'"&amp;A35&amp;"'!H9:H200"),"blocked")</f>
        <v>0</v>
      </c>
      <c r="I35" s="1" t="n">
        <f aca="true">COUNTIF(INDIRECT("'"&amp;A35&amp;"'!H9:H200"),"not applicable")</f>
        <v>0</v>
      </c>
      <c r="J35" s="2" t="n">
        <f aca="true">INDIRECT("'"&amp;A35&amp;"'!H4")</f>
        <v>0.764705882352941</v>
      </c>
      <c r="K35" s="1" t="str">
        <f aca="true">INDIRECT("'"&amp;A35&amp;"'!K4")</f>
        <v>open</v>
      </c>
      <c r="L35" s="1" t="str">
        <f aca="true">INDIRECT("'"&amp;A35&amp;"'!E5")</f>
        <v>complete</v>
      </c>
      <c r="M35" s="1" t="str">
        <f aca="false">IF(AND(J35=1,K35="complete",L35="complete"),"complete",IF(H35&gt;0,"blocked","open"))</f>
        <v>open</v>
      </c>
    </row>
    <row r="36" customFormat="false" ht="15" hidden="false" customHeight="true" outlineLevel="0" collapsed="false">
      <c r="A36" s="1" t="s">
        <v>45</v>
      </c>
      <c r="B36" s="1" t="n">
        <f aca="true">INDIRECT("'"&amp;A36&amp;"'!B4")</f>
        <v>17</v>
      </c>
      <c r="C36" s="1" t="n">
        <f aca="true">COUNTIF(INDIRECT("'"&amp;A36&amp;"'!H9:H200"),"not started")</f>
        <v>0</v>
      </c>
      <c r="D36" s="1" t="n">
        <f aca="true">COUNTIF(INDIRECT("'"&amp;A36&amp;"'!H9:H200"),"partial")</f>
        <v>0</v>
      </c>
      <c r="E36" s="1" t="n">
        <f aca="true">COUNTIF(INDIRECT("'"&amp;A36&amp;"'!H9:H200"),"implemented")</f>
        <v>4</v>
      </c>
      <c r="F36" s="1" t="n">
        <f aca="true">COUNTIF(INDIRECT("'"&amp;A36&amp;"'!H9:H200"),"tested")</f>
        <v>12</v>
      </c>
      <c r="G36" s="1" t="n">
        <f aca="true">COUNTIF(INDIRECT("'"&amp;A36&amp;"'!H9:H200"),"verified")</f>
        <v>1</v>
      </c>
      <c r="H36" s="1" t="n">
        <f aca="true">COUNTIF(INDIRECT("'"&amp;A36&amp;"'!H9:H200"),"blocked")</f>
        <v>0</v>
      </c>
      <c r="I36" s="1" t="n">
        <f aca="true">COUNTIF(INDIRECT("'"&amp;A36&amp;"'!H9:H200"),"not applicable")</f>
        <v>0</v>
      </c>
      <c r="J36" s="2" t="n">
        <f aca="true">INDIRECT("'"&amp;A36&amp;"'!H4")</f>
        <v>0.764705882352941</v>
      </c>
      <c r="K36" s="1" t="str">
        <f aca="true">INDIRECT("'"&amp;A36&amp;"'!K4")</f>
        <v>open</v>
      </c>
      <c r="L36" s="1" t="str">
        <f aca="true">INDIRECT("'"&amp;A36&amp;"'!E5")</f>
        <v>complete</v>
      </c>
      <c r="M36" s="1" t="str">
        <f aca="false">IF(AND(J36=1,K36="complete",L36="complete"),"complete",IF(H36&gt;0,"blocked","open"))</f>
        <v>open</v>
      </c>
    </row>
    <row r="37" customFormat="false" ht="15" hidden="false" customHeight="true" outlineLevel="0" collapsed="false">
      <c r="A37" s="1" t="s">
        <v>46</v>
      </c>
      <c r="B37" s="1" t="n">
        <f aca="true">INDIRECT("'"&amp;A37&amp;"'!B4")</f>
        <v>15</v>
      </c>
      <c r="C37" s="1" t="n">
        <f aca="true">COUNTIF(INDIRECT("'"&amp;A37&amp;"'!H9:H200"),"not started")</f>
        <v>0</v>
      </c>
      <c r="D37" s="1" t="n">
        <f aca="true">COUNTIF(INDIRECT("'"&amp;A37&amp;"'!H9:H200"),"partial")</f>
        <v>0</v>
      </c>
      <c r="E37" s="1" t="n">
        <f aca="true">COUNTIF(INDIRECT("'"&amp;A37&amp;"'!H9:H200"),"implemented")</f>
        <v>4</v>
      </c>
      <c r="F37" s="1" t="n">
        <f aca="true">COUNTIF(INDIRECT("'"&amp;A37&amp;"'!H9:H200"),"tested")</f>
        <v>11</v>
      </c>
      <c r="G37" s="1" t="n">
        <f aca="true">COUNTIF(INDIRECT("'"&amp;A37&amp;"'!H9:H200"),"verified")</f>
        <v>0</v>
      </c>
      <c r="H37" s="1" t="n">
        <f aca="true">COUNTIF(INDIRECT("'"&amp;A37&amp;"'!H9:H200"),"blocked")</f>
        <v>0</v>
      </c>
      <c r="I37" s="1" t="n">
        <f aca="true">COUNTIF(INDIRECT("'"&amp;A37&amp;"'!H9:H200"),"not applicable")</f>
        <v>0</v>
      </c>
      <c r="J37" s="2" t="n">
        <f aca="true">INDIRECT("'"&amp;A37&amp;"'!H4")</f>
        <v>0.733333333333333</v>
      </c>
      <c r="K37" s="1" t="str">
        <f aca="true">INDIRECT("'"&amp;A37&amp;"'!K4")</f>
        <v>open</v>
      </c>
      <c r="L37" s="1" t="str">
        <f aca="true">INDIRECT("'"&amp;A37&amp;"'!E5")</f>
        <v>complete</v>
      </c>
      <c r="M37" s="1" t="str">
        <f aca="false">IF(AND(J37=1,K37="complete",L37="complete"),"complete",IF(H37&gt;0,"blocked","open"))</f>
        <v>open</v>
      </c>
    </row>
    <row r="38" customFormat="false" ht="15" hidden="false" customHeight="true" outlineLevel="0" collapsed="false">
      <c r="A38" s="1" t="s">
        <v>47</v>
      </c>
      <c r="B38" s="1" t="n">
        <f aca="true">INDIRECT("'"&amp;A38&amp;"'!B4")</f>
        <v>16</v>
      </c>
      <c r="C38" s="1" t="n">
        <f aca="true">COUNTIF(INDIRECT("'"&amp;A38&amp;"'!H9:H200"),"not started")</f>
        <v>0</v>
      </c>
      <c r="D38" s="1" t="n">
        <f aca="true">COUNTIF(INDIRECT("'"&amp;A38&amp;"'!H9:H200"),"partial")</f>
        <v>0</v>
      </c>
      <c r="E38" s="1" t="n">
        <f aca="true">COUNTIF(INDIRECT("'"&amp;A38&amp;"'!H9:H200"),"implemented")</f>
        <v>4</v>
      </c>
      <c r="F38" s="1" t="n">
        <f aca="true">COUNTIF(INDIRECT("'"&amp;A38&amp;"'!H9:H200"),"tested")</f>
        <v>12</v>
      </c>
      <c r="G38" s="1" t="n">
        <f aca="true">COUNTIF(INDIRECT("'"&amp;A38&amp;"'!H9:H200"),"verified")</f>
        <v>0</v>
      </c>
      <c r="H38" s="1" t="n">
        <f aca="true">COUNTIF(INDIRECT("'"&amp;A38&amp;"'!H9:H200"),"blocked")</f>
        <v>0</v>
      </c>
      <c r="I38" s="1" t="n">
        <f aca="true">COUNTIF(INDIRECT("'"&amp;A38&amp;"'!H9:H200"),"not applicable")</f>
        <v>0</v>
      </c>
      <c r="J38" s="2" t="n">
        <f aca="true">INDIRECT("'"&amp;A38&amp;"'!H4")</f>
        <v>0.75</v>
      </c>
      <c r="K38" s="1" t="str">
        <f aca="true">INDIRECT("'"&amp;A38&amp;"'!K4")</f>
        <v>open</v>
      </c>
      <c r="L38" s="1" t="str">
        <f aca="true">INDIRECT("'"&amp;A38&amp;"'!E5")</f>
        <v>complete</v>
      </c>
      <c r="M38" s="1" t="str">
        <f aca="false">IF(AND(J38=1,K38="complete",L38="complete"),"complete",IF(H38&gt;0,"blocked","open"))</f>
        <v>open</v>
      </c>
    </row>
    <row r="39" customFormat="false" ht="15" hidden="false" customHeight="true" outlineLevel="0" collapsed="false">
      <c r="A39" s="1" t="s">
        <v>48</v>
      </c>
      <c r="B39" s="1" t="n">
        <f aca="true">INDIRECT("'"&amp;A39&amp;"'!B4")</f>
        <v>16</v>
      </c>
      <c r="C39" s="1" t="n">
        <f aca="true">COUNTIF(INDIRECT("'"&amp;A39&amp;"'!H9:H200"),"not started")</f>
        <v>0</v>
      </c>
      <c r="D39" s="1" t="n">
        <f aca="true">COUNTIF(INDIRECT("'"&amp;A39&amp;"'!H9:H200"),"partial")</f>
        <v>0</v>
      </c>
      <c r="E39" s="1" t="n">
        <f aca="true">COUNTIF(INDIRECT("'"&amp;A39&amp;"'!H9:H200"),"implemented")</f>
        <v>0</v>
      </c>
      <c r="F39" s="1" t="n">
        <f aca="true">COUNTIF(INDIRECT("'"&amp;A39&amp;"'!H9:H200"),"tested")</f>
        <v>16</v>
      </c>
      <c r="G39" s="1" t="n">
        <f aca="true">COUNTIF(INDIRECT("'"&amp;A39&amp;"'!H9:H200"),"verified")</f>
        <v>0</v>
      </c>
      <c r="H39" s="1" t="n">
        <f aca="true">COUNTIF(INDIRECT("'"&amp;A39&amp;"'!H9:H200"),"blocked")</f>
        <v>0</v>
      </c>
      <c r="I39" s="1" t="n">
        <f aca="true">COUNTIF(INDIRECT("'"&amp;A39&amp;"'!H9:H200"),"not applicable")</f>
        <v>0</v>
      </c>
      <c r="J39" s="2" t="n">
        <f aca="true">INDIRECT("'"&amp;A39&amp;"'!H4")</f>
        <v>1</v>
      </c>
      <c r="K39" s="1" t="str">
        <f aca="true">INDIRECT("'"&amp;A39&amp;"'!K4")</f>
        <v>complete</v>
      </c>
      <c r="L39" s="1" t="str">
        <f aca="true">INDIRECT("'"&amp;A39&amp;"'!E5")</f>
        <v>complete</v>
      </c>
      <c r="M39" s="1" t="str">
        <f aca="false">IF(AND(J39=1,K39="complete",L39="complete"),"complete",IF(H39&gt;0,"blocked","open"))</f>
        <v>complete</v>
      </c>
    </row>
    <row r="40" customFormat="false" ht="15" hidden="false" customHeight="true" outlineLevel="0" collapsed="false">
      <c r="A40" s="1" t="s">
        <v>49</v>
      </c>
      <c r="B40" s="1" t="n">
        <f aca="true">INDIRECT("'"&amp;A40&amp;"'!B4")</f>
        <v>16</v>
      </c>
      <c r="C40" s="1" t="n">
        <f aca="true">COUNTIF(INDIRECT("'"&amp;A40&amp;"'!H9:H200"),"not started")</f>
        <v>0</v>
      </c>
      <c r="D40" s="1" t="n">
        <f aca="true">COUNTIF(INDIRECT("'"&amp;A40&amp;"'!H9:H200"),"partial")</f>
        <v>0</v>
      </c>
      <c r="E40" s="1" t="n">
        <f aca="true">COUNTIF(INDIRECT("'"&amp;A40&amp;"'!H9:H200"),"implemented")</f>
        <v>3</v>
      </c>
      <c r="F40" s="1" t="n">
        <f aca="true">COUNTIF(INDIRECT("'"&amp;A40&amp;"'!H9:H200"),"tested")</f>
        <v>13</v>
      </c>
      <c r="G40" s="1" t="n">
        <f aca="true">COUNTIF(INDIRECT("'"&amp;A40&amp;"'!H9:H200"),"verified")</f>
        <v>0</v>
      </c>
      <c r="H40" s="1" t="n">
        <f aca="true">COUNTIF(INDIRECT("'"&amp;A40&amp;"'!H9:H200"),"blocked")</f>
        <v>0</v>
      </c>
      <c r="I40" s="1" t="n">
        <f aca="true">COUNTIF(INDIRECT("'"&amp;A40&amp;"'!H9:H200"),"not applicable")</f>
        <v>0</v>
      </c>
      <c r="J40" s="2" t="n">
        <f aca="true">INDIRECT("'"&amp;A40&amp;"'!H4")</f>
        <v>0.8125</v>
      </c>
      <c r="K40" s="1" t="str">
        <f aca="true">INDIRECT("'"&amp;A40&amp;"'!K4")</f>
        <v>open</v>
      </c>
      <c r="L40" s="1" t="str">
        <f aca="true">INDIRECT("'"&amp;A40&amp;"'!E5")</f>
        <v>complete</v>
      </c>
      <c r="M40" s="1" t="str">
        <f aca="false">IF(AND(J40=1,K40="complete",L40="complete"),"complete",IF(H40&gt;0,"blocked","open"))</f>
        <v>open</v>
      </c>
    </row>
    <row r="41" customFormat="false" ht="15" hidden="false" customHeight="true" outlineLevel="0" collapsed="false">
      <c r="A41" s="1" t="s">
        <v>50</v>
      </c>
      <c r="B41" s="1" t="n">
        <f aca="true">INDIRECT("'"&amp;A41&amp;"'!B4")</f>
        <v>17</v>
      </c>
      <c r="C41" s="1" t="n">
        <f aca="true">COUNTIF(INDIRECT("'"&amp;A41&amp;"'!H9:H200"),"not started")</f>
        <v>0</v>
      </c>
      <c r="D41" s="1" t="n">
        <f aca="true">COUNTIF(INDIRECT("'"&amp;A41&amp;"'!H9:H200"),"partial")</f>
        <v>0</v>
      </c>
      <c r="E41" s="1" t="n">
        <f aca="true">COUNTIF(INDIRECT("'"&amp;A41&amp;"'!H9:H200"),"implemented")</f>
        <v>3</v>
      </c>
      <c r="F41" s="1" t="n">
        <f aca="true">COUNTIF(INDIRECT("'"&amp;A41&amp;"'!H9:H200"),"tested")</f>
        <v>14</v>
      </c>
      <c r="G41" s="1" t="n">
        <f aca="true">COUNTIF(INDIRECT("'"&amp;A41&amp;"'!H9:H200"),"verified")</f>
        <v>0</v>
      </c>
      <c r="H41" s="1" t="n">
        <f aca="true">COUNTIF(INDIRECT("'"&amp;A41&amp;"'!H9:H200"),"blocked")</f>
        <v>0</v>
      </c>
      <c r="I41" s="1" t="n">
        <f aca="true">COUNTIF(INDIRECT("'"&amp;A41&amp;"'!H9:H200"),"not applicable")</f>
        <v>0</v>
      </c>
      <c r="J41" s="2" t="n">
        <f aca="true">INDIRECT("'"&amp;A41&amp;"'!H4")</f>
        <v>0.823529411764706</v>
      </c>
      <c r="K41" s="1" t="str">
        <f aca="true">INDIRECT("'"&amp;A41&amp;"'!K4")</f>
        <v>open</v>
      </c>
      <c r="L41" s="1" t="str">
        <f aca="true">INDIRECT("'"&amp;A41&amp;"'!E5")</f>
        <v>complete</v>
      </c>
      <c r="M41" s="1" t="str">
        <f aca="false">IF(AND(J41=1,K41="complete",L41="complete"),"complete",IF(H41&gt;0,"blocked","open"))</f>
        <v>open</v>
      </c>
    </row>
    <row r="42" customFormat="false" ht="15" hidden="false" customHeight="true" outlineLevel="0" collapsed="false">
      <c r="A42" s="1" t="s">
        <v>51</v>
      </c>
      <c r="B42" s="1" t="n">
        <f aca="true">INDIRECT("'"&amp;A42&amp;"'!B4")</f>
        <v>22</v>
      </c>
      <c r="C42" s="1" t="n">
        <f aca="true">COUNTIF(INDIRECT("'"&amp;A42&amp;"'!H9:H200"),"not started")</f>
        <v>0</v>
      </c>
      <c r="D42" s="1" t="n">
        <f aca="true">COUNTIF(INDIRECT("'"&amp;A42&amp;"'!H9:H200"),"partial")</f>
        <v>0</v>
      </c>
      <c r="E42" s="1" t="n">
        <f aca="true">COUNTIF(INDIRECT("'"&amp;A42&amp;"'!H9:H200"),"implemented")</f>
        <v>3</v>
      </c>
      <c r="F42" s="1" t="n">
        <f aca="true">COUNTIF(INDIRECT("'"&amp;A42&amp;"'!H9:H200"),"tested")</f>
        <v>19</v>
      </c>
      <c r="G42" s="1" t="n">
        <f aca="true">COUNTIF(INDIRECT("'"&amp;A42&amp;"'!H9:H200"),"verified")</f>
        <v>0</v>
      </c>
      <c r="H42" s="1" t="n">
        <f aca="true">COUNTIF(INDIRECT("'"&amp;A42&amp;"'!H9:H200"),"blocked")</f>
        <v>0</v>
      </c>
      <c r="I42" s="1" t="n">
        <f aca="true">COUNTIF(INDIRECT("'"&amp;A42&amp;"'!H9:H200"),"not applicable")</f>
        <v>0</v>
      </c>
      <c r="J42" s="2" t="n">
        <f aca="true">INDIRECT("'"&amp;A42&amp;"'!H4")</f>
        <v>0.863636363636364</v>
      </c>
      <c r="K42" s="1" t="str">
        <f aca="true">INDIRECT("'"&amp;A42&amp;"'!K4")</f>
        <v>open</v>
      </c>
      <c r="L42" s="1" t="str">
        <f aca="true">INDIRECT("'"&amp;A42&amp;"'!E5")</f>
        <v>complete</v>
      </c>
      <c r="M42" s="1" t="str">
        <f aca="false">IF(AND(J42=1,K42="complete",L42="complete"),"complete",IF(H42&gt;0,"blocked","open"))</f>
        <v>open</v>
      </c>
    </row>
    <row r="43" customFormat="false" ht="15" hidden="false" customHeight="true" outlineLevel="0" collapsed="false">
      <c r="A43" s="1" t="s">
        <v>52</v>
      </c>
      <c r="B43" s="1" t="n">
        <f aca="true">INDIRECT("'"&amp;A43&amp;"'!B4")</f>
        <v>19</v>
      </c>
      <c r="C43" s="1" t="n">
        <f aca="true">COUNTIF(INDIRECT("'"&amp;A43&amp;"'!H9:H200"),"not started")</f>
        <v>0</v>
      </c>
      <c r="D43" s="1" t="n">
        <f aca="true">COUNTIF(INDIRECT("'"&amp;A43&amp;"'!H9:H200"),"partial")</f>
        <v>0</v>
      </c>
      <c r="E43" s="1" t="n">
        <f aca="true">COUNTIF(INDIRECT("'"&amp;A43&amp;"'!H9:H200"),"implemented")</f>
        <v>4</v>
      </c>
      <c r="F43" s="1" t="n">
        <f aca="true">COUNTIF(INDIRECT("'"&amp;A43&amp;"'!H9:H200"),"tested")</f>
        <v>14</v>
      </c>
      <c r="G43" s="1" t="n">
        <f aca="true">COUNTIF(INDIRECT("'"&amp;A43&amp;"'!H9:H200"),"verified")</f>
        <v>1</v>
      </c>
      <c r="H43" s="1" t="n">
        <f aca="true">COUNTIF(INDIRECT("'"&amp;A43&amp;"'!H9:H200"),"blocked")</f>
        <v>0</v>
      </c>
      <c r="I43" s="1" t="n">
        <f aca="true">COUNTIF(INDIRECT("'"&amp;A43&amp;"'!H9:H200"),"not applicable")</f>
        <v>0</v>
      </c>
      <c r="J43" s="2" t="n">
        <f aca="true">INDIRECT("'"&amp;A43&amp;"'!H4")</f>
        <v>0.789473684210526</v>
      </c>
      <c r="K43" s="1" t="str">
        <f aca="true">INDIRECT("'"&amp;A43&amp;"'!K4")</f>
        <v>open</v>
      </c>
      <c r="L43" s="1" t="str">
        <f aca="true">INDIRECT("'"&amp;A43&amp;"'!E5")</f>
        <v>complete</v>
      </c>
      <c r="M43" s="1" t="str">
        <f aca="false">IF(AND(J43=1,K43="complete",L43="complete"),"complete",IF(H43&gt;0,"blocked","open"))</f>
        <v>open</v>
      </c>
    </row>
    <row r="44" customFormat="false" ht="15" hidden="false" customHeight="true" outlineLevel="0" collapsed="false">
      <c r="A44" s="1" t="s">
        <v>53</v>
      </c>
      <c r="B44" s="1" t="n">
        <f aca="true">INDIRECT("'"&amp;A44&amp;"'!B4")</f>
        <v>22</v>
      </c>
      <c r="C44" s="1" t="n">
        <f aca="true">COUNTIF(INDIRECT("'"&amp;A44&amp;"'!H9:H200"),"not started")</f>
        <v>0</v>
      </c>
      <c r="D44" s="1" t="n">
        <f aca="true">COUNTIF(INDIRECT("'"&amp;A44&amp;"'!H9:H200"),"partial")</f>
        <v>0</v>
      </c>
      <c r="E44" s="1" t="n">
        <f aca="true">COUNTIF(INDIRECT("'"&amp;A44&amp;"'!H9:H200"),"implemented")</f>
        <v>6</v>
      </c>
      <c r="F44" s="1" t="n">
        <f aca="true">COUNTIF(INDIRECT("'"&amp;A44&amp;"'!H9:H200"),"tested")</f>
        <v>16</v>
      </c>
      <c r="G44" s="1" t="n">
        <f aca="true">COUNTIF(INDIRECT("'"&amp;A44&amp;"'!H9:H200"),"verified")</f>
        <v>0</v>
      </c>
      <c r="H44" s="1" t="n">
        <f aca="true">COUNTIF(INDIRECT("'"&amp;A44&amp;"'!H9:H200"),"blocked")</f>
        <v>0</v>
      </c>
      <c r="I44" s="1" t="n">
        <f aca="true">COUNTIF(INDIRECT("'"&amp;A44&amp;"'!H9:H200"),"not applicable")</f>
        <v>0</v>
      </c>
      <c r="J44" s="2" t="n">
        <f aca="true">INDIRECT("'"&amp;A44&amp;"'!H4")</f>
        <v>0.727272727272727</v>
      </c>
      <c r="K44" s="1" t="str">
        <f aca="true">INDIRECT("'"&amp;A44&amp;"'!K4")</f>
        <v>open</v>
      </c>
      <c r="L44" s="1" t="str">
        <f aca="true">INDIRECT("'"&amp;A44&amp;"'!E5")</f>
        <v>complete</v>
      </c>
      <c r="M44" s="1" t="str">
        <f aca="false">IF(AND(J44=1,K44="complete",L44="complete"),"complete",IF(H44&gt;0,"blocked","open"))</f>
        <v>open</v>
      </c>
    </row>
    <row r="45" customFormat="false" ht="15" hidden="false" customHeight="true" outlineLevel="0" collapsed="false">
      <c r="A45" s="1" t="s">
        <v>54</v>
      </c>
      <c r="B45" s="1" t="n">
        <f aca="true">INDIRECT("'"&amp;A45&amp;"'!B4")</f>
        <v>22</v>
      </c>
      <c r="C45" s="1" t="n">
        <f aca="true">COUNTIF(INDIRECT("'"&amp;A45&amp;"'!H9:H200"),"not started")</f>
        <v>0</v>
      </c>
      <c r="D45" s="1" t="n">
        <f aca="true">COUNTIF(INDIRECT("'"&amp;A45&amp;"'!H9:H200"),"partial")</f>
        <v>0</v>
      </c>
      <c r="E45" s="1" t="n">
        <f aca="true">COUNTIF(INDIRECT("'"&amp;A45&amp;"'!H9:H200"),"implemented")</f>
        <v>6</v>
      </c>
      <c r="F45" s="1" t="n">
        <f aca="true">COUNTIF(INDIRECT("'"&amp;A45&amp;"'!H9:H200"),"tested")</f>
        <v>16</v>
      </c>
      <c r="G45" s="1" t="n">
        <f aca="true">COUNTIF(INDIRECT("'"&amp;A45&amp;"'!H9:H200"),"verified")</f>
        <v>0</v>
      </c>
      <c r="H45" s="1" t="n">
        <f aca="true">COUNTIF(INDIRECT("'"&amp;A45&amp;"'!H9:H200"),"blocked")</f>
        <v>0</v>
      </c>
      <c r="I45" s="1" t="n">
        <f aca="true">COUNTIF(INDIRECT("'"&amp;A45&amp;"'!H9:H200"),"not applicable")</f>
        <v>0</v>
      </c>
      <c r="J45" s="2" t="n">
        <f aca="true">INDIRECT("'"&amp;A45&amp;"'!H4")</f>
        <v>0.727272727272727</v>
      </c>
      <c r="K45" s="1" t="str">
        <f aca="true">INDIRECT("'"&amp;A45&amp;"'!K4")</f>
        <v>open</v>
      </c>
      <c r="L45" s="1" t="str">
        <f aca="true">INDIRECT("'"&amp;A45&amp;"'!E5")</f>
        <v>complete</v>
      </c>
      <c r="M45" s="1" t="str">
        <f aca="false">IF(AND(J45=1,K45="complete",L45="complete"),"complete",IF(H45&gt;0,"blocked","open"))</f>
        <v>open</v>
      </c>
    </row>
    <row r="46" customFormat="false" ht="15" hidden="false" customHeight="true" outlineLevel="0" collapsed="false">
      <c r="A46" s="1" t="s">
        <v>55</v>
      </c>
      <c r="B46" s="1" t="n">
        <f aca="true">INDIRECT("'"&amp;A46&amp;"'!B4")</f>
        <v>22</v>
      </c>
      <c r="C46" s="1" t="n">
        <f aca="true">COUNTIF(INDIRECT("'"&amp;A46&amp;"'!H9:H200"),"not started")</f>
        <v>0</v>
      </c>
      <c r="D46" s="1" t="n">
        <f aca="true">COUNTIF(INDIRECT("'"&amp;A46&amp;"'!H9:H200"),"partial")</f>
        <v>0</v>
      </c>
      <c r="E46" s="1" t="n">
        <f aca="true">COUNTIF(INDIRECT("'"&amp;A46&amp;"'!H9:H200"),"implemented")</f>
        <v>5</v>
      </c>
      <c r="F46" s="1" t="n">
        <f aca="true">COUNTIF(INDIRECT("'"&amp;A46&amp;"'!H9:H200"),"tested")</f>
        <v>17</v>
      </c>
      <c r="G46" s="1" t="n">
        <f aca="true">COUNTIF(INDIRECT("'"&amp;A46&amp;"'!H9:H200"),"verified")</f>
        <v>0</v>
      </c>
      <c r="H46" s="1" t="n">
        <f aca="true">COUNTIF(INDIRECT("'"&amp;A46&amp;"'!H9:H200"),"blocked")</f>
        <v>0</v>
      </c>
      <c r="I46" s="1" t="n">
        <f aca="true">COUNTIF(INDIRECT("'"&amp;A46&amp;"'!H9:H200"),"not applicable")</f>
        <v>0</v>
      </c>
      <c r="J46" s="2" t="n">
        <f aca="true">INDIRECT("'"&amp;A46&amp;"'!H4")</f>
        <v>0.772727272727273</v>
      </c>
      <c r="K46" s="1" t="str">
        <f aca="true">INDIRECT("'"&amp;A46&amp;"'!K4")</f>
        <v>open</v>
      </c>
      <c r="L46" s="1" t="str">
        <f aca="true">INDIRECT("'"&amp;A46&amp;"'!E5")</f>
        <v>complete</v>
      </c>
      <c r="M46" s="1" t="str">
        <f aca="false">IF(AND(J46=1,K46="complete",L46="complete"),"complete",IF(H46&gt;0,"blocked","open"))</f>
        <v>open</v>
      </c>
    </row>
    <row r="47" customFormat="false" ht="15" hidden="false" customHeight="true" outlineLevel="0" collapsed="false">
      <c r="A47" s="1" t="s">
        <v>56</v>
      </c>
      <c r="B47" s="1" t="n">
        <f aca="true">INDIRECT("'"&amp;A47&amp;"'!B4")</f>
        <v>20</v>
      </c>
      <c r="C47" s="1" t="n">
        <f aca="true">COUNTIF(INDIRECT("'"&amp;A47&amp;"'!H9:H200"),"not started")</f>
        <v>2</v>
      </c>
      <c r="D47" s="1" t="n">
        <f aca="true">COUNTIF(INDIRECT("'"&amp;A47&amp;"'!H9:H200"),"partial")</f>
        <v>0</v>
      </c>
      <c r="E47" s="1" t="n">
        <f aca="true">COUNTIF(INDIRECT("'"&amp;A47&amp;"'!H9:H200"),"implemented")</f>
        <v>0</v>
      </c>
      <c r="F47" s="1" t="n">
        <f aca="true">COUNTIF(INDIRECT("'"&amp;A47&amp;"'!H9:H200"),"tested")</f>
        <v>18</v>
      </c>
      <c r="G47" s="1" t="n">
        <f aca="true">COUNTIF(INDIRECT("'"&amp;A47&amp;"'!H9:H200"),"verified")</f>
        <v>0</v>
      </c>
      <c r="H47" s="1" t="n">
        <f aca="true">COUNTIF(INDIRECT("'"&amp;A47&amp;"'!H9:H200"),"blocked")</f>
        <v>0</v>
      </c>
      <c r="I47" s="1" t="n">
        <f aca="true">COUNTIF(INDIRECT("'"&amp;A47&amp;"'!H9:H200"),"not applicable")</f>
        <v>0</v>
      </c>
      <c r="J47" s="2" t="n">
        <f aca="true">INDIRECT("'"&amp;A47&amp;"'!H4")</f>
        <v>0.9</v>
      </c>
      <c r="K47" s="1" t="str">
        <f aca="true">INDIRECT("'"&amp;A47&amp;"'!K4")</f>
        <v>open</v>
      </c>
      <c r="L47" s="1" t="str">
        <f aca="true">INDIRECT("'"&amp;A47&amp;"'!E5")</f>
        <v>complete</v>
      </c>
      <c r="M47" s="1" t="str">
        <f aca="false">IF(AND(J47=1,K47="complete",L47="complete"),"complete",IF(H47&gt;0,"blocked","open"))</f>
        <v>open</v>
      </c>
    </row>
    <row r="48" customFormat="false" ht="15" hidden="false" customHeight="true" outlineLevel="0" collapsed="false">
      <c r="A48" s="1" t="s">
        <v>57</v>
      </c>
      <c r="B48" s="1" t="n">
        <f aca="true">INDIRECT("'"&amp;A48&amp;"'!B4")</f>
        <v>20</v>
      </c>
      <c r="C48" s="1" t="n">
        <f aca="true">COUNTIF(INDIRECT("'"&amp;A48&amp;"'!H9:H200"),"not started")</f>
        <v>2</v>
      </c>
      <c r="D48" s="1" t="n">
        <f aca="true">COUNTIF(INDIRECT("'"&amp;A48&amp;"'!H9:H200"),"partial")</f>
        <v>0</v>
      </c>
      <c r="E48" s="1" t="n">
        <f aca="true">COUNTIF(INDIRECT("'"&amp;A48&amp;"'!H9:H200"),"implemented")</f>
        <v>0</v>
      </c>
      <c r="F48" s="1" t="n">
        <f aca="true">COUNTIF(INDIRECT("'"&amp;A48&amp;"'!H9:H200"),"tested")</f>
        <v>18</v>
      </c>
      <c r="G48" s="1" t="n">
        <f aca="true">COUNTIF(INDIRECT("'"&amp;A48&amp;"'!H9:H200"),"verified")</f>
        <v>0</v>
      </c>
      <c r="H48" s="1" t="n">
        <f aca="true">COUNTIF(INDIRECT("'"&amp;A48&amp;"'!H9:H200"),"blocked")</f>
        <v>0</v>
      </c>
      <c r="I48" s="1" t="n">
        <f aca="true">COUNTIF(INDIRECT("'"&amp;A48&amp;"'!H9:H200"),"not applicable")</f>
        <v>0</v>
      </c>
      <c r="J48" s="2" t="n">
        <f aca="true">INDIRECT("'"&amp;A48&amp;"'!H4")</f>
        <v>0.9</v>
      </c>
      <c r="K48" s="1" t="str">
        <f aca="true">INDIRECT("'"&amp;A48&amp;"'!B5")</f>
        <v>open</v>
      </c>
      <c r="L48" s="1" t="str">
        <f aca="true">INDIRECT("'"&amp;A48&amp;"'!E5")</f>
        <v>complete</v>
      </c>
      <c r="M48" s="1" t="str">
        <f aca="false">IF(AND(J48=1,K48="complete",L48="complete"),"complete",IF(H48&gt;0,"blocked","open"))</f>
        <v>open</v>
      </c>
    </row>
    <row r="49" customFormat="false" ht="15" hidden="false" customHeight="true" outlineLevel="0" collapsed="false">
      <c r="A49" s="1" t="s">
        <v>58</v>
      </c>
      <c r="B49" s="1" t="n">
        <f aca="true">INDIRECT("'"&amp;A49&amp;"'!B4")</f>
        <v>23</v>
      </c>
      <c r="C49" s="1" t="n">
        <f aca="true">COUNTIF(INDIRECT("'"&amp;A49&amp;"'!H9:H200"),"not started")</f>
        <v>1</v>
      </c>
      <c r="D49" s="1" t="n">
        <f aca="true">COUNTIF(INDIRECT("'"&amp;A49&amp;"'!H9:H200"),"partial")</f>
        <v>0</v>
      </c>
      <c r="E49" s="1" t="n">
        <f aca="true">COUNTIF(INDIRECT("'"&amp;A49&amp;"'!H9:H200"),"implemented")</f>
        <v>0</v>
      </c>
      <c r="F49" s="1" t="n">
        <f aca="true">COUNTIF(INDIRECT("'"&amp;A49&amp;"'!H9:H200"),"tested")</f>
        <v>19</v>
      </c>
      <c r="G49" s="1" t="n">
        <f aca="true">COUNTIF(INDIRECT("'"&amp;A49&amp;"'!H9:H200"),"verified")</f>
        <v>3</v>
      </c>
      <c r="H49" s="1" t="n">
        <f aca="true">COUNTIF(INDIRECT("'"&amp;A49&amp;"'!H9:H200"),"blocked")</f>
        <v>0</v>
      </c>
      <c r="I49" s="1" t="n">
        <f aca="true">COUNTIF(INDIRECT("'"&amp;A49&amp;"'!H9:H200"),"not applicable")</f>
        <v>0</v>
      </c>
      <c r="J49" s="2" t="n">
        <f aca="true">INDIRECT("'"&amp;A49&amp;"'!H4")</f>
        <v>0.956521739130435</v>
      </c>
      <c r="K49" s="1" t="str">
        <f aca="true">INDIRECT("'"&amp;A49&amp;"'!B5")</f>
        <v>open</v>
      </c>
      <c r="L49" s="1" t="str">
        <f aca="true">INDIRECT("'"&amp;A49&amp;"'!E5")</f>
        <v>complete</v>
      </c>
      <c r="M49" s="1" t="str">
        <f aca="false">IF(AND(J49=1,K49="complete",L49="complete"),"complete",IF(H49&gt;0,"blocked","open"))</f>
        <v>open</v>
      </c>
    </row>
    <row r="50" customFormat="false" ht="15" hidden="false" customHeight="true" outlineLevel="0" collapsed="false">
      <c r="A50" s="1" t="s">
        <v>59</v>
      </c>
      <c r="B50" s="1" t="n">
        <f aca="true">INDIRECT("'"&amp;A50&amp;"'!B4")</f>
        <v>23</v>
      </c>
      <c r="C50" s="1" t="n">
        <f aca="true">COUNTIF(INDIRECT("'"&amp;A50&amp;"'!H9:H200"),"not started")</f>
        <v>1</v>
      </c>
      <c r="D50" s="1" t="n">
        <f aca="true">COUNTIF(INDIRECT("'"&amp;A50&amp;"'!H9:H200"),"partial")</f>
        <v>0</v>
      </c>
      <c r="E50" s="1" t="n">
        <f aca="true">COUNTIF(INDIRECT("'"&amp;A50&amp;"'!H9:H200"),"implemented")</f>
        <v>0</v>
      </c>
      <c r="F50" s="1" t="n">
        <f aca="true">COUNTIF(INDIRECT("'"&amp;A50&amp;"'!H9:H200"),"tested")</f>
        <v>18</v>
      </c>
      <c r="G50" s="1" t="n">
        <f aca="true">COUNTIF(INDIRECT("'"&amp;A50&amp;"'!H9:H200"),"verified")</f>
        <v>4</v>
      </c>
      <c r="H50" s="1" t="n">
        <f aca="true">COUNTIF(INDIRECT("'"&amp;A50&amp;"'!H9:H200"),"blocked")</f>
        <v>0</v>
      </c>
      <c r="I50" s="1" t="n">
        <f aca="true">COUNTIF(INDIRECT("'"&amp;A50&amp;"'!H9:H200"),"not applicable")</f>
        <v>0</v>
      </c>
      <c r="J50" s="2" t="n">
        <f aca="true">INDIRECT("'"&amp;A50&amp;"'!H4")</f>
        <v>0.956521739130435</v>
      </c>
      <c r="K50" s="1" t="str">
        <f aca="true">INDIRECT("'"&amp;A50&amp;"'!K4")</f>
        <v>open</v>
      </c>
      <c r="L50" s="1" t="str">
        <f aca="true">INDIRECT("'"&amp;A50&amp;"'!E5")</f>
        <v>complete</v>
      </c>
      <c r="M50" s="1" t="str">
        <f aca="false">IF(AND(J50=1,K50="complete",L50="complete"),"complete",IF(H50&gt;0,"blocked","open"))</f>
        <v>open</v>
      </c>
    </row>
    <row r="51" customFormat="false" ht="15" hidden="false" customHeight="true" outlineLevel="0" collapsed="false">
      <c r="A51" s="1" t="s">
        <v>60</v>
      </c>
      <c r="B51" s="1" t="n">
        <f aca="true">INDIRECT("'"&amp;A51&amp;"'!B4")</f>
        <v>22</v>
      </c>
      <c r="C51" s="1" t="n">
        <f aca="true">COUNTIF(INDIRECT("'"&amp;A51&amp;"'!H9:H200"),"not started")</f>
        <v>1</v>
      </c>
      <c r="D51" s="1" t="n">
        <f aca="true">COUNTIF(INDIRECT("'"&amp;A51&amp;"'!H9:H200"),"partial")</f>
        <v>0</v>
      </c>
      <c r="E51" s="1" t="n">
        <f aca="true">COUNTIF(INDIRECT("'"&amp;A51&amp;"'!H9:H200"),"implemented")</f>
        <v>0</v>
      </c>
      <c r="F51" s="1" t="n">
        <f aca="true">COUNTIF(INDIRECT("'"&amp;A51&amp;"'!H9:H200"),"tested")</f>
        <v>16</v>
      </c>
      <c r="G51" s="1" t="n">
        <f aca="true">COUNTIF(INDIRECT("'"&amp;A51&amp;"'!H9:H200"),"verified")</f>
        <v>5</v>
      </c>
      <c r="H51" s="1" t="n">
        <f aca="true">COUNTIF(INDIRECT("'"&amp;A51&amp;"'!H9:H200"),"blocked")</f>
        <v>0</v>
      </c>
      <c r="I51" s="1" t="n">
        <f aca="true">COUNTIF(INDIRECT("'"&amp;A51&amp;"'!H9:H200"),"not applicable")</f>
        <v>0</v>
      </c>
      <c r="J51" s="2" t="n">
        <f aca="true">INDIRECT("'"&amp;A51&amp;"'!H4")</f>
        <v>0.954545454545455</v>
      </c>
      <c r="K51" s="1" t="str">
        <f aca="true">INDIRECT("'"&amp;A51&amp;"'!K4")</f>
        <v>open</v>
      </c>
      <c r="L51" s="1" t="str">
        <f aca="true">INDIRECT("'"&amp;A51&amp;"'!E5")</f>
        <v>complete</v>
      </c>
      <c r="M51" s="1" t="str">
        <f aca="false">IF(AND(J51=1,K51="complete",L51="complete"),"complete",IF(H51&gt;0,"blocked","open"))</f>
        <v>open</v>
      </c>
    </row>
    <row r="52" customFormat="false" ht="15" hidden="false" customHeight="true" outlineLevel="0" collapsed="false">
      <c r="A52" s="1" t="s">
        <v>61</v>
      </c>
      <c r="B52" s="1" t="n">
        <f aca="true">INDIRECT("'"&amp;A52&amp;"'!B4")</f>
        <v>23</v>
      </c>
      <c r="C52" s="1" t="n">
        <f aca="true">COUNTIF(INDIRECT("'"&amp;A52&amp;"'!H9:H200"),"not started")</f>
        <v>1</v>
      </c>
      <c r="D52" s="1" t="n">
        <f aca="true">COUNTIF(INDIRECT("'"&amp;A52&amp;"'!H9:H200"),"partial")</f>
        <v>0</v>
      </c>
      <c r="E52" s="1" t="n">
        <f aca="true">COUNTIF(INDIRECT("'"&amp;A52&amp;"'!H9:H200"),"implemented")</f>
        <v>0</v>
      </c>
      <c r="F52" s="1" t="n">
        <f aca="true">COUNTIF(INDIRECT("'"&amp;A52&amp;"'!H9:H200"),"tested")</f>
        <v>19</v>
      </c>
      <c r="G52" s="1" t="n">
        <f aca="true">COUNTIF(INDIRECT("'"&amp;A52&amp;"'!H9:H200"),"verified")</f>
        <v>3</v>
      </c>
      <c r="H52" s="1" t="n">
        <f aca="true">COUNTIF(INDIRECT("'"&amp;A52&amp;"'!H9:H200"),"blocked")</f>
        <v>0</v>
      </c>
      <c r="I52" s="1" t="n">
        <f aca="true">COUNTIF(INDIRECT("'"&amp;A52&amp;"'!H9:H200"),"not applicable")</f>
        <v>0</v>
      </c>
      <c r="J52" s="2" t="n">
        <f aca="true">INDIRECT("'"&amp;A52&amp;"'!H4")</f>
        <v>0.956521739130435</v>
      </c>
      <c r="K52" s="1" t="str">
        <f aca="true">INDIRECT("'"&amp;A52&amp;"'!K4")</f>
        <v>open</v>
      </c>
      <c r="L52" s="1" t="str">
        <f aca="true">INDIRECT("'"&amp;A52&amp;"'!E5")</f>
        <v>complete</v>
      </c>
      <c r="M52" s="1" t="str">
        <f aca="false">IF(AND(J52=1,K52="complete",L52="complete"),"complete",IF(H52&gt;0,"blocked","open"))</f>
        <v>open</v>
      </c>
    </row>
    <row r="53" customFormat="false" ht="15" hidden="false" customHeight="true" outlineLevel="0" collapsed="false">
      <c r="A53" s="1" t="s">
        <v>62</v>
      </c>
      <c r="B53" s="1" t="n">
        <f aca="true">INDIRECT("'"&amp;A53&amp;"'!B4")</f>
        <v>23</v>
      </c>
      <c r="C53" s="1" t="n">
        <f aca="true">COUNTIF(INDIRECT("'"&amp;A53&amp;"'!H9:H200"),"not started")</f>
        <v>1</v>
      </c>
      <c r="D53" s="1" t="n">
        <f aca="true">COUNTIF(INDIRECT("'"&amp;A53&amp;"'!H9:H200"),"partial")</f>
        <v>0</v>
      </c>
      <c r="E53" s="1" t="n">
        <f aca="true">COUNTIF(INDIRECT("'"&amp;A53&amp;"'!H9:H200"),"implemented")</f>
        <v>0</v>
      </c>
      <c r="F53" s="1" t="n">
        <f aca="true">COUNTIF(INDIRECT("'"&amp;A53&amp;"'!H9:H200"),"tested")</f>
        <v>19</v>
      </c>
      <c r="G53" s="1" t="n">
        <f aca="true">COUNTIF(INDIRECT("'"&amp;A53&amp;"'!H9:H200"),"verified")</f>
        <v>3</v>
      </c>
      <c r="H53" s="1" t="n">
        <f aca="true">COUNTIF(INDIRECT("'"&amp;A53&amp;"'!H9:H200"),"blocked")</f>
        <v>0</v>
      </c>
      <c r="I53" s="1" t="n">
        <f aca="true">COUNTIF(INDIRECT("'"&amp;A53&amp;"'!H9:H200"),"not applicable")</f>
        <v>0</v>
      </c>
      <c r="J53" s="2" t="n">
        <f aca="true">INDIRECT("'"&amp;A53&amp;"'!H4")</f>
        <v>0.956521739130435</v>
      </c>
      <c r="K53" s="1" t="str">
        <f aca="true">INDIRECT("'"&amp;A53&amp;"'!K4")</f>
        <v>open</v>
      </c>
      <c r="L53" s="1" t="str">
        <f aca="true">INDIRECT("'"&amp;A53&amp;"'!E5")</f>
        <v>complete</v>
      </c>
      <c r="M53" s="1" t="str">
        <f aca="false">IF(AND(J53=1,K53="complete",L53="complete"),"complete",IF(H53&gt;0,"blocked","open"))</f>
        <v>open</v>
      </c>
    </row>
    <row r="54" customFormat="false" ht="15" hidden="false" customHeight="true" outlineLevel="0" collapsed="false">
      <c r="A54" s="1" t="s">
        <v>63</v>
      </c>
      <c r="B54" s="1" t="n">
        <f aca="true">INDIRECT("'"&amp;A54&amp;"'!B4")</f>
        <v>23</v>
      </c>
      <c r="C54" s="1" t="n">
        <f aca="true">COUNTIF(INDIRECT("'"&amp;A54&amp;"'!H9:H200"),"not started")</f>
        <v>1</v>
      </c>
      <c r="D54" s="1" t="n">
        <f aca="true">COUNTIF(INDIRECT("'"&amp;A54&amp;"'!H9:H200"),"partial")</f>
        <v>0</v>
      </c>
      <c r="E54" s="1" t="n">
        <f aca="true">COUNTIF(INDIRECT("'"&amp;A54&amp;"'!H9:H200"),"implemented")</f>
        <v>0</v>
      </c>
      <c r="F54" s="1" t="n">
        <f aca="true">COUNTIF(INDIRECT("'"&amp;A54&amp;"'!H9:H200"),"tested")</f>
        <v>20</v>
      </c>
      <c r="G54" s="1" t="n">
        <f aca="true">COUNTIF(INDIRECT("'"&amp;A54&amp;"'!H9:H200"),"verified")</f>
        <v>2</v>
      </c>
      <c r="H54" s="1" t="n">
        <f aca="true">COUNTIF(INDIRECT("'"&amp;A54&amp;"'!H9:H200"),"blocked")</f>
        <v>0</v>
      </c>
      <c r="I54" s="1" t="n">
        <f aca="true">COUNTIF(INDIRECT("'"&amp;A54&amp;"'!H9:H200"),"not applicable")</f>
        <v>0</v>
      </c>
      <c r="J54" s="2" t="n">
        <f aca="true">INDIRECT("'"&amp;A54&amp;"'!H4")</f>
        <v>0.956521739130435</v>
      </c>
      <c r="K54" s="1" t="str">
        <f aca="true">INDIRECT("'"&amp;A54&amp;"'!K4")</f>
        <v>open</v>
      </c>
      <c r="L54" s="1" t="str">
        <f aca="true">INDIRECT("'"&amp;A54&amp;"'!E5")</f>
        <v>complete</v>
      </c>
      <c r="M54" s="1" t="str">
        <f aca="false">IF(AND(J54=1,K54="complete",L54="complete"),"complete",IF(H54&gt;0,"blocked","open"))</f>
        <v>open</v>
      </c>
    </row>
    <row r="55" customFormat="false" ht="15" hidden="false" customHeight="true" outlineLevel="0" collapsed="false">
      <c r="A55" s="1" t="s">
        <v>64</v>
      </c>
      <c r="B55" s="1" t="n">
        <f aca="true">INDIRECT("'"&amp;A55&amp;"'!B4")</f>
        <v>23</v>
      </c>
      <c r="C55" s="1" t="n">
        <f aca="true">COUNTIF(INDIRECT("'"&amp;A55&amp;"'!H9:H200"),"not started")</f>
        <v>1</v>
      </c>
      <c r="D55" s="1" t="n">
        <f aca="true">COUNTIF(INDIRECT("'"&amp;A55&amp;"'!H9:H200"),"partial")</f>
        <v>0</v>
      </c>
      <c r="E55" s="1" t="n">
        <f aca="true">COUNTIF(INDIRECT("'"&amp;A55&amp;"'!H9:H200"),"implemented")</f>
        <v>0</v>
      </c>
      <c r="F55" s="1" t="n">
        <f aca="true">COUNTIF(INDIRECT("'"&amp;A55&amp;"'!H9:H200"),"tested")</f>
        <v>20</v>
      </c>
      <c r="G55" s="1" t="n">
        <f aca="true">COUNTIF(INDIRECT("'"&amp;A55&amp;"'!H9:H200"),"verified")</f>
        <v>2</v>
      </c>
      <c r="H55" s="1" t="n">
        <f aca="true">COUNTIF(INDIRECT("'"&amp;A55&amp;"'!H9:H200"),"blocked")</f>
        <v>0</v>
      </c>
      <c r="I55" s="1" t="n">
        <f aca="true">COUNTIF(INDIRECT("'"&amp;A55&amp;"'!H9:H200"),"not applicable")</f>
        <v>0</v>
      </c>
      <c r="J55" s="2" t="n">
        <f aca="true">INDIRECT("'"&amp;A55&amp;"'!H4")</f>
        <v>0.956521739130435</v>
      </c>
      <c r="K55" s="1" t="str">
        <f aca="true">INDIRECT("'"&amp;A55&amp;"'!K4")</f>
        <v>open</v>
      </c>
      <c r="L55" s="1" t="str">
        <f aca="true">INDIRECT("'"&amp;A55&amp;"'!E5")</f>
        <v>complete</v>
      </c>
      <c r="M55" s="1" t="str">
        <f aca="false">IF(AND(J55=1,K55="complete",L55="complete"),"complete",IF(H55&gt;0,"blocked","open"))</f>
        <v>open</v>
      </c>
    </row>
    <row r="56" customFormat="false" ht="15" hidden="false" customHeight="true" outlineLevel="0" collapsed="false">
      <c r="A56" s="1" t="s">
        <v>65</v>
      </c>
      <c r="B56" s="1" t="n">
        <f aca="true">INDIRECT("'"&amp;A56&amp;"'!B4")</f>
        <v>28</v>
      </c>
      <c r="C56" s="1" t="n">
        <f aca="true">COUNTIF(INDIRECT("'"&amp;A56&amp;"'!H9:H200"),"not started")</f>
        <v>1</v>
      </c>
      <c r="D56" s="1" t="n">
        <f aca="true">COUNTIF(INDIRECT("'"&amp;A56&amp;"'!H9:H200"),"partial")</f>
        <v>0</v>
      </c>
      <c r="E56" s="1" t="n">
        <f aca="true">COUNTIF(INDIRECT("'"&amp;A56&amp;"'!H9:H200"),"implemented")</f>
        <v>0</v>
      </c>
      <c r="F56" s="1" t="n">
        <f aca="true">COUNTIF(INDIRECT("'"&amp;A56&amp;"'!H9:H200"),"tested")</f>
        <v>25</v>
      </c>
      <c r="G56" s="1" t="n">
        <f aca="true">COUNTIF(INDIRECT("'"&amp;A56&amp;"'!H9:H200"),"verified")</f>
        <v>2</v>
      </c>
      <c r="H56" s="1" t="n">
        <f aca="true">COUNTIF(INDIRECT("'"&amp;A56&amp;"'!H9:H200"),"blocked")</f>
        <v>0</v>
      </c>
      <c r="I56" s="1" t="n">
        <f aca="true">COUNTIF(INDIRECT("'"&amp;A56&amp;"'!H9:H200"),"not applicable")</f>
        <v>0</v>
      </c>
      <c r="J56" s="2" t="n">
        <f aca="true">INDIRECT("'"&amp;A56&amp;"'!H4")</f>
        <v>0.964285714285714</v>
      </c>
      <c r="K56" s="1" t="str">
        <f aca="true">INDIRECT("'"&amp;A56&amp;"'!K4")</f>
        <v>open</v>
      </c>
      <c r="L56" s="1" t="str">
        <f aca="true">INDIRECT("'"&amp;A56&amp;"'!E5")</f>
        <v>complete</v>
      </c>
      <c r="M56" s="1" t="str">
        <f aca="false">IF(AND(J56=1,K56="complete",L56="complete"),"complete",IF(H56&gt;0,"blocked","open"))</f>
        <v>open</v>
      </c>
    </row>
    <row r="57" customFormat="false" ht="15" hidden="false" customHeight="true" outlineLevel="0" collapsed="false">
      <c r="A57" s="1" t="s">
        <v>66</v>
      </c>
      <c r="B57" s="1" t="n">
        <f aca="true">INDIRECT("'"&amp;A57&amp;"'!B4")</f>
        <v>19</v>
      </c>
      <c r="C57" s="1" t="n">
        <f aca="true">COUNTIF(INDIRECT("'"&amp;A57&amp;"'!H9:H200"),"not started")</f>
        <v>1</v>
      </c>
      <c r="D57" s="1" t="n">
        <f aca="true">COUNTIF(INDIRECT("'"&amp;A57&amp;"'!H9:H200"),"partial")</f>
        <v>0</v>
      </c>
      <c r="E57" s="1" t="n">
        <f aca="true">COUNTIF(INDIRECT("'"&amp;A57&amp;"'!H9:H200"),"implemented")</f>
        <v>0</v>
      </c>
      <c r="F57" s="1" t="n">
        <f aca="true">COUNTIF(INDIRECT("'"&amp;A57&amp;"'!H9:H200"),"tested")</f>
        <v>17</v>
      </c>
      <c r="G57" s="1" t="n">
        <f aca="true">COUNTIF(INDIRECT("'"&amp;A57&amp;"'!H9:H200"),"verified")</f>
        <v>1</v>
      </c>
      <c r="H57" s="1" t="n">
        <f aca="true">COUNTIF(INDIRECT("'"&amp;A57&amp;"'!H9:H200"),"blocked")</f>
        <v>0</v>
      </c>
      <c r="I57" s="1" t="n">
        <f aca="true">COUNTIF(INDIRECT("'"&amp;A57&amp;"'!H9:H200"),"not applicable")</f>
        <v>0</v>
      </c>
      <c r="J57" s="2" t="n">
        <f aca="true">INDIRECT("'"&amp;A57&amp;"'!H4")</f>
        <v>0.947368421052632</v>
      </c>
      <c r="K57" s="1" t="str">
        <f aca="true">INDIRECT("'"&amp;A57&amp;"'!K4")</f>
        <v>open</v>
      </c>
      <c r="L57" s="1" t="str">
        <f aca="true">INDIRECT("'"&amp;A57&amp;"'!E5")</f>
        <v>complete</v>
      </c>
      <c r="M57" s="1" t="str">
        <f aca="false">IF(AND(J57=1,K57="complete",L57="complete"),"complete",IF(H57&gt;0,"blocked","open"))</f>
        <v>open</v>
      </c>
    </row>
    <row r="58" customFormat="false" ht="15" hidden="false" customHeight="true" outlineLevel="0" collapsed="false">
      <c r="A58" s="1" t="s">
        <v>67</v>
      </c>
      <c r="B58" s="1" t="n">
        <f aca="true">INDIRECT("'"&amp;A58&amp;"'!B4")</f>
        <v>25</v>
      </c>
      <c r="C58" s="1" t="n">
        <f aca="true">COUNTIF(INDIRECT("'"&amp;A58&amp;"'!H9:H200"),"not started")</f>
        <v>1</v>
      </c>
      <c r="D58" s="1" t="n">
        <f aca="true">COUNTIF(INDIRECT("'"&amp;A58&amp;"'!H9:H200"),"partial")</f>
        <v>0</v>
      </c>
      <c r="E58" s="1" t="n">
        <f aca="true">COUNTIF(INDIRECT("'"&amp;A58&amp;"'!H9:H200"),"implemented")</f>
        <v>0</v>
      </c>
      <c r="F58" s="1" t="n">
        <f aca="true">COUNTIF(INDIRECT("'"&amp;A58&amp;"'!H9:H200"),"tested")</f>
        <v>19</v>
      </c>
      <c r="G58" s="1" t="n">
        <f aca="true">COUNTIF(INDIRECT("'"&amp;A58&amp;"'!H9:H200"),"verified")</f>
        <v>5</v>
      </c>
      <c r="H58" s="1" t="n">
        <f aca="true">COUNTIF(INDIRECT("'"&amp;A58&amp;"'!H9:H200"),"blocked")</f>
        <v>0</v>
      </c>
      <c r="I58" s="1" t="n">
        <f aca="true">COUNTIF(INDIRECT("'"&amp;A58&amp;"'!H9:H200"),"not applicable")</f>
        <v>0</v>
      </c>
      <c r="J58" s="2" t="n">
        <f aca="true">INDIRECT("'"&amp;A58&amp;"'!H4")</f>
        <v>0.96</v>
      </c>
      <c r="K58" s="1" t="str">
        <f aca="true">INDIRECT("'"&amp;A58&amp;"'!K4")</f>
        <v>open</v>
      </c>
      <c r="L58" s="1" t="str">
        <f aca="true">INDIRECT("'"&amp;A58&amp;"'!E5")</f>
        <v>complete</v>
      </c>
      <c r="M58" s="1" t="str">
        <f aca="false">IF(AND(J58=1,K58="complete",L58="complete"),"complete",IF(H58&gt;0,"blocked","open"))</f>
        <v>open</v>
      </c>
    </row>
    <row r="59" customFormat="false" ht="15" hidden="false" customHeight="true" outlineLevel="0" collapsed="false">
      <c r="A59" s="1" t="s">
        <v>68</v>
      </c>
      <c r="B59" s="1" t="n">
        <f aca="true">INDIRECT("'"&amp;A59&amp;"'!B4")</f>
        <v>26</v>
      </c>
      <c r="C59" s="1" t="n">
        <f aca="true">COUNTIF(INDIRECT("'"&amp;A59&amp;"'!H9:H200"),"not started")</f>
        <v>1</v>
      </c>
      <c r="D59" s="1" t="n">
        <f aca="true">COUNTIF(INDIRECT("'"&amp;A59&amp;"'!H9:H200"),"partial")</f>
        <v>0</v>
      </c>
      <c r="E59" s="1" t="n">
        <f aca="true">COUNTIF(INDIRECT("'"&amp;A59&amp;"'!H9:H200"),"implemented")</f>
        <v>0</v>
      </c>
      <c r="F59" s="1" t="n">
        <f aca="true">COUNTIF(INDIRECT("'"&amp;A59&amp;"'!H9:H200"),"tested")</f>
        <v>20</v>
      </c>
      <c r="G59" s="1" t="n">
        <f aca="true">COUNTIF(INDIRECT("'"&amp;A59&amp;"'!H9:H200"),"verified")</f>
        <v>5</v>
      </c>
      <c r="H59" s="1" t="n">
        <f aca="true">COUNTIF(INDIRECT("'"&amp;A59&amp;"'!H9:H200"),"blocked")</f>
        <v>0</v>
      </c>
      <c r="I59" s="1" t="n">
        <f aca="true">COUNTIF(INDIRECT("'"&amp;A59&amp;"'!H9:H200"),"not applicable")</f>
        <v>0</v>
      </c>
      <c r="J59" s="2" t="n">
        <f aca="true">INDIRECT("'"&amp;A59&amp;"'!H4")</f>
        <v>0.961538461538462</v>
      </c>
      <c r="K59" s="1" t="str">
        <f aca="true">INDIRECT("'"&amp;A59&amp;"'!K4")</f>
        <v>open</v>
      </c>
      <c r="L59" s="1" t="str">
        <f aca="true">INDIRECT("'"&amp;A59&amp;"'!E5")</f>
        <v>complete</v>
      </c>
      <c r="M59" s="1" t="str">
        <f aca="false">IF(AND(J59=1,K59="complete",L59="complete"),"complete",IF(H59&gt;0,"blocked","open"))</f>
        <v>open</v>
      </c>
    </row>
    <row r="60" customFormat="false" ht="15" hidden="false" customHeight="true" outlineLevel="0" collapsed="false">
      <c r="A60" s="1" t="s">
        <v>69</v>
      </c>
      <c r="B60" s="1" t="n">
        <f aca="true">INDIRECT("'"&amp;A60&amp;"'!B4")</f>
        <v>31</v>
      </c>
      <c r="C60" s="1" t="n">
        <f aca="true">COUNTIF(INDIRECT("'"&amp;A60&amp;"'!H9:H200"),"not started")</f>
        <v>1</v>
      </c>
      <c r="D60" s="1" t="n">
        <f aca="true">COUNTIF(INDIRECT("'"&amp;A60&amp;"'!H9:H200"),"partial")</f>
        <v>0</v>
      </c>
      <c r="E60" s="1" t="n">
        <f aca="true">COUNTIF(INDIRECT("'"&amp;A60&amp;"'!H9:H200"),"implemented")</f>
        <v>0</v>
      </c>
      <c r="F60" s="1" t="n">
        <f aca="true">COUNTIF(INDIRECT("'"&amp;A60&amp;"'!H9:H200"),"tested")</f>
        <v>23</v>
      </c>
      <c r="G60" s="1" t="n">
        <f aca="true">COUNTIF(INDIRECT("'"&amp;A60&amp;"'!H9:H200"),"verified")</f>
        <v>7</v>
      </c>
      <c r="H60" s="1" t="n">
        <f aca="true">COUNTIF(INDIRECT("'"&amp;A60&amp;"'!H9:H200"),"blocked")</f>
        <v>0</v>
      </c>
      <c r="I60" s="1" t="n">
        <f aca="true">COUNTIF(INDIRECT("'"&amp;A60&amp;"'!H9:H200"),"not applicable")</f>
        <v>0</v>
      </c>
      <c r="J60" s="2" t="n">
        <f aca="true">INDIRECT("'"&amp;A60&amp;"'!H4")</f>
        <v>0.967741935483871</v>
      </c>
      <c r="K60" s="1" t="str">
        <f aca="true">INDIRECT("'"&amp;A60&amp;"'!K4")</f>
        <v>open</v>
      </c>
      <c r="L60" s="1" t="str">
        <f aca="true">INDIRECT("'"&amp;A60&amp;"'!E5")</f>
        <v>complete</v>
      </c>
      <c r="M60" s="1" t="str">
        <f aca="false">IF(AND(J60=1,K60="complete",L60="complete"),"complete",IF(H60&gt;0,"blocked","open"))</f>
        <v>open</v>
      </c>
    </row>
    <row r="61" customFormat="false" ht="15" hidden="false" customHeight="true" outlineLevel="0" collapsed="false">
      <c r="A61" s="1" t="s">
        <v>70</v>
      </c>
      <c r="B61" s="1" t="n">
        <f aca="true">INDIRECT("'"&amp;A61&amp;"'!B4")</f>
        <v>25</v>
      </c>
      <c r="C61" s="1" t="n">
        <f aca="true">COUNTIF(INDIRECT("'"&amp;A61&amp;"'!H9:H200"),"not started")</f>
        <v>1</v>
      </c>
      <c r="D61" s="1" t="n">
        <f aca="true">COUNTIF(INDIRECT("'"&amp;A61&amp;"'!H9:H200"),"partial")</f>
        <v>0</v>
      </c>
      <c r="E61" s="1" t="n">
        <f aca="true">COUNTIF(INDIRECT("'"&amp;A61&amp;"'!H9:H200"),"implemented")</f>
        <v>3</v>
      </c>
      <c r="F61" s="1" t="n">
        <f aca="true">COUNTIF(INDIRECT("'"&amp;A61&amp;"'!H9:H200"),"tested")</f>
        <v>21</v>
      </c>
      <c r="G61" s="1" t="n">
        <f aca="true">COUNTIF(INDIRECT("'"&amp;A61&amp;"'!H9:H200"),"verified")</f>
        <v>0</v>
      </c>
      <c r="H61" s="1" t="n">
        <f aca="true">COUNTIF(INDIRECT("'"&amp;A61&amp;"'!H9:H200"),"blocked")</f>
        <v>0</v>
      </c>
      <c r="I61" s="1" t="n">
        <f aca="true">COUNTIF(INDIRECT("'"&amp;A61&amp;"'!H9:H200"),"not applicable")</f>
        <v>0</v>
      </c>
      <c r="J61" s="2" t="n">
        <f aca="true">INDIRECT("'"&amp;A61&amp;"'!H4")</f>
        <v>0.84</v>
      </c>
      <c r="K61" s="1" t="str">
        <f aca="true">INDIRECT("'"&amp;A61&amp;"'!K4")</f>
        <v>open</v>
      </c>
      <c r="L61" s="1" t="str">
        <f aca="true">INDIRECT("'"&amp;A61&amp;"'!E5")</f>
        <v>complete</v>
      </c>
      <c r="M61" s="1" t="str">
        <f aca="false">IF(AND(J61=1,K61="complete",L61="complete"),"complete",IF(H61&gt;0,"blocked","open"))</f>
        <v>open</v>
      </c>
    </row>
    <row r="62" customFormat="false" ht="15" hidden="false" customHeight="true" outlineLevel="0" collapsed="false">
      <c r="A62" s="1" t="s">
        <v>71</v>
      </c>
      <c r="B62" s="1" t="n">
        <f aca="true">INDIRECT("'"&amp;A62&amp;"'!B4")</f>
        <v>26</v>
      </c>
      <c r="C62" s="1" t="n">
        <f aca="true">COUNTIF(INDIRECT("'"&amp;A62&amp;"'!H9:H200"),"not started")</f>
        <v>1</v>
      </c>
      <c r="D62" s="1" t="n">
        <f aca="true">COUNTIF(INDIRECT("'"&amp;A62&amp;"'!H9:H200"),"partial")</f>
        <v>0</v>
      </c>
      <c r="E62" s="1" t="n">
        <f aca="true">COUNTIF(INDIRECT("'"&amp;A62&amp;"'!H9:H200"),"implemented")</f>
        <v>3</v>
      </c>
      <c r="F62" s="1" t="n">
        <f aca="true">COUNTIF(INDIRECT("'"&amp;A62&amp;"'!H9:H200"),"tested")</f>
        <v>22</v>
      </c>
      <c r="G62" s="1" t="n">
        <f aca="true">COUNTIF(INDIRECT("'"&amp;A62&amp;"'!H9:H200"),"verified")</f>
        <v>0</v>
      </c>
      <c r="H62" s="1" t="n">
        <f aca="true">COUNTIF(INDIRECT("'"&amp;A62&amp;"'!H9:H200"),"blocked")</f>
        <v>0</v>
      </c>
      <c r="I62" s="1" t="n">
        <f aca="true">COUNTIF(INDIRECT("'"&amp;A62&amp;"'!H9:H200"),"not applicable")</f>
        <v>0</v>
      </c>
      <c r="J62" s="2" t="n">
        <f aca="true">INDIRECT("'"&amp;A62&amp;"'!H4")</f>
        <v>0.846153846153846</v>
      </c>
      <c r="K62" s="1" t="str">
        <f aca="true">INDIRECT("'"&amp;A62&amp;"'!K4")</f>
        <v>open</v>
      </c>
      <c r="L62" s="1" t="str">
        <f aca="true">INDIRECT("'"&amp;A62&amp;"'!E5")</f>
        <v>complete</v>
      </c>
      <c r="M62" s="1" t="str">
        <f aca="false">IF(AND(J62=1,K62="complete",L62="complete"),"complete",IF(H62&gt;0,"blocked","open"))</f>
        <v>open</v>
      </c>
    </row>
    <row r="63" customFormat="false" ht="15" hidden="false" customHeight="true" outlineLevel="0" collapsed="false">
      <c r="A63" s="1" t="s">
        <v>72</v>
      </c>
      <c r="B63" s="1" t="n">
        <f aca="true">INDIRECT("'"&amp;A63&amp;"'!B4")</f>
        <v>28</v>
      </c>
      <c r="C63" s="1" t="n">
        <f aca="true">COUNTIF(INDIRECT("'"&amp;A63&amp;"'!H9:H200"),"not started")</f>
        <v>1</v>
      </c>
      <c r="D63" s="1" t="n">
        <f aca="true">COUNTIF(INDIRECT("'"&amp;A63&amp;"'!H9:H200"),"partial")</f>
        <v>0</v>
      </c>
      <c r="E63" s="1" t="n">
        <f aca="true">COUNTIF(INDIRECT("'"&amp;A63&amp;"'!H9:H200"),"implemented")</f>
        <v>3</v>
      </c>
      <c r="F63" s="1" t="n">
        <f aca="true">COUNTIF(INDIRECT("'"&amp;A63&amp;"'!H9:H200"),"tested")</f>
        <v>24</v>
      </c>
      <c r="G63" s="1" t="n">
        <f aca="true">COUNTIF(INDIRECT("'"&amp;A63&amp;"'!H9:H200"),"verified")</f>
        <v>0</v>
      </c>
      <c r="H63" s="1" t="n">
        <f aca="true">COUNTIF(INDIRECT("'"&amp;A63&amp;"'!H9:H200"),"blocked")</f>
        <v>0</v>
      </c>
      <c r="I63" s="1" t="n">
        <f aca="true">COUNTIF(INDIRECT("'"&amp;A63&amp;"'!H9:H200"),"not applicable")</f>
        <v>0</v>
      </c>
      <c r="J63" s="2" t="n">
        <f aca="true">INDIRECT("'"&amp;A63&amp;"'!H4")</f>
        <v>0.857142857142857</v>
      </c>
      <c r="K63" s="1" t="str">
        <f aca="true">IF(COUNTIFS(INDIRECT("'"&amp;A63&amp;"'!E9:E200"),"package",INDIRECT("'"&amp;A63&amp;"'!M9:M200"),0)&gt;0,"open","complete")</f>
        <v>open</v>
      </c>
      <c r="L63" s="1" t="n">
        <f aca="true">COUNTIF(INDIRECT("'"&amp;A63&amp;"'!K9:K200"),"&lt;&gt;" )</f>
        <v>17</v>
      </c>
      <c r="M63" s="1" t="str">
        <f aca="false">IF(AND(J63=1,K63="complete"),"complete","in progress")</f>
        <v>in progress</v>
      </c>
    </row>
    <row r="64" customFormat="false" ht="15" hidden="false" customHeight="true" outlineLevel="0" collapsed="false">
      <c r="A64" s="1" t="s">
        <v>73</v>
      </c>
      <c r="B64" s="1" t="n">
        <f aca="true">INDIRECT("'"&amp;A64&amp;"'!B4")</f>
        <v>26</v>
      </c>
      <c r="C64" s="1" t="n">
        <f aca="true">COUNTIF(INDIRECT("'"&amp;A64&amp;"'!H9:H200"),"not started")</f>
        <v>1</v>
      </c>
      <c r="D64" s="1" t="n">
        <f aca="true">COUNTIF(INDIRECT("'"&amp;A64&amp;"'!H9:H200"),"partial")</f>
        <v>0</v>
      </c>
      <c r="E64" s="1" t="n">
        <f aca="true">COUNTIF(INDIRECT("'"&amp;A64&amp;"'!H9:H200"),"implemented")</f>
        <v>3</v>
      </c>
      <c r="F64" s="1" t="n">
        <f aca="true">COUNTIF(INDIRECT("'"&amp;A64&amp;"'!H9:H200"),"tested")</f>
        <v>22</v>
      </c>
      <c r="G64" s="1" t="n">
        <f aca="true">COUNTIF(INDIRECT("'"&amp;A64&amp;"'!H9:H200"),"verified")</f>
        <v>0</v>
      </c>
      <c r="H64" s="1" t="n">
        <f aca="true">COUNTIF(INDIRECT("'"&amp;A64&amp;"'!H9:H200"),"blocked")</f>
        <v>0</v>
      </c>
      <c r="I64" s="1" t="n">
        <f aca="true">COUNTIF(INDIRECT("'"&amp;A64&amp;"'!H9:H200"),"not applicable")</f>
        <v>0</v>
      </c>
      <c r="J64" s="2" t="n">
        <f aca="true">INDIRECT("'"&amp;A64&amp;"'!H4")</f>
        <v>0.846153846153846</v>
      </c>
      <c r="K64" s="1" t="str">
        <f aca="true">IF(COUNTIFS(INDIRECT("'"&amp;A64&amp;"'!E9:E200"),"package",INDIRECT("'"&amp;A64&amp;"'!M9:M200"),0)&gt;0,"open","complete")</f>
        <v>open</v>
      </c>
      <c r="L64" s="1" t="n">
        <f aca="true">COUNTIF(INDIRECT("'"&amp;A64&amp;"'!K9:K200"),"&lt;&gt;" )</f>
        <v>4</v>
      </c>
      <c r="M64" s="1" t="str">
        <f aca="false">IF(AND(J64=1,K64="complete"),"complete","in progress")</f>
        <v>in progress</v>
      </c>
    </row>
    <row r="65" customFormat="false" ht="15" hidden="false" customHeight="true" outlineLevel="0" collapsed="false">
      <c r="A65" s="1" t="s">
        <v>74</v>
      </c>
      <c r="B65" s="1" t="n">
        <f aca="true">INDIRECT("'"&amp;A65&amp;"'!B4")</f>
        <v>26</v>
      </c>
      <c r="C65" s="1" t="n">
        <f aca="true">COUNTIF(INDIRECT("'"&amp;A65&amp;"'!H9:H200"),"not started")</f>
        <v>1</v>
      </c>
      <c r="D65" s="1" t="n">
        <f aca="true">COUNTIF(INDIRECT("'"&amp;A65&amp;"'!H9:H200"),"partial")</f>
        <v>0</v>
      </c>
      <c r="E65" s="1" t="n">
        <f aca="true">COUNTIF(INDIRECT("'"&amp;A65&amp;"'!H9:H200"),"implemented")</f>
        <v>4</v>
      </c>
      <c r="F65" s="1" t="n">
        <f aca="true">COUNTIF(INDIRECT("'"&amp;A65&amp;"'!H9:H200"),"tested")</f>
        <v>21</v>
      </c>
      <c r="G65" s="1" t="n">
        <f aca="true">COUNTIF(INDIRECT("'"&amp;A65&amp;"'!H9:H200"),"verified")</f>
        <v>0</v>
      </c>
      <c r="H65" s="1" t="n">
        <f aca="true">COUNTIF(INDIRECT("'"&amp;A65&amp;"'!H9:H200"),"blocked")</f>
        <v>0</v>
      </c>
      <c r="I65" s="1" t="n">
        <f aca="true">COUNTIF(INDIRECT("'"&amp;A65&amp;"'!H9:H200"),"not applicable")</f>
        <v>0</v>
      </c>
      <c r="J65" s="2" t="n">
        <f aca="true">INDIRECT("'"&amp;A65&amp;"'!H4")</f>
        <v>0.807692307692308</v>
      </c>
      <c r="K65" s="1" t="str">
        <f aca="true">IF(COUNTIFS(INDIRECT("'"&amp;A65&amp;"'!E9:E200"),"package",INDIRECT("'"&amp;A65&amp;"'!M9:M200"),0)&gt;0,"open","complete")</f>
        <v>open</v>
      </c>
      <c r="L65" s="1" t="n">
        <f aca="true">COUNTIF(INDIRECT("'"&amp;A65&amp;"'!K9:K200"),"&lt;&gt;" )</f>
        <v>8</v>
      </c>
      <c r="M65" s="1" t="str">
        <f aca="false">IF(AND(J65=1,K65="complete"),"complete","in progress")</f>
        <v>in progress</v>
      </c>
    </row>
    <row r="66" customFormat="false" ht="15" hidden="false" customHeight="true" outlineLevel="0" collapsed="false">
      <c r="A66" s="1" t="s">
        <v>75</v>
      </c>
      <c r="B66" s="1" t="n">
        <f aca="true">INDIRECT("'"&amp;A66&amp;"'!B4")</f>
        <v>30</v>
      </c>
      <c r="C66" s="1" t="n">
        <f aca="true">COUNTIF(INDIRECT("'"&amp;A66&amp;"'!H9:H200"),"not started")</f>
        <v>1</v>
      </c>
      <c r="D66" s="1" t="n">
        <f aca="true">COUNTIF(INDIRECT("'"&amp;A66&amp;"'!H9:H200"),"partial")</f>
        <v>0</v>
      </c>
      <c r="E66" s="1" t="n">
        <f aca="true">COUNTIF(INDIRECT("'"&amp;A66&amp;"'!H9:H200"),"implemented")</f>
        <v>6</v>
      </c>
      <c r="F66" s="1" t="n">
        <f aca="true">COUNTIF(INDIRECT("'"&amp;A66&amp;"'!H9:H200"),"tested")</f>
        <v>23</v>
      </c>
      <c r="G66" s="1" t="n">
        <f aca="true">COUNTIF(INDIRECT("'"&amp;A66&amp;"'!H9:H200"),"verified")</f>
        <v>0</v>
      </c>
      <c r="H66" s="1" t="n">
        <f aca="true">COUNTIF(INDIRECT("'"&amp;A66&amp;"'!H9:H200"),"blocked")</f>
        <v>0</v>
      </c>
      <c r="I66" s="1" t="n">
        <f aca="true">COUNTIF(INDIRECT("'"&amp;A66&amp;"'!H9:H200"),"not applicable")</f>
        <v>0</v>
      </c>
      <c r="J66" s="2" t="n">
        <f aca="true">INDIRECT("'"&amp;A66&amp;"'!H4")</f>
        <v>0.766666666666667</v>
      </c>
      <c r="K66" s="1" t="str">
        <f aca="true">INDIRECT("'"&amp;A66&amp;"'!K4")</f>
        <v>open</v>
      </c>
      <c r="L66" s="1" t="str">
        <f aca="true">INDIRECT("'"&amp;A66&amp;"'!E5")</f>
        <v>complete</v>
      </c>
      <c r="M66" s="1" t="str">
        <f aca="false">IF(AND(J66=1,K66="complete",L66="complete"),"complete",IF(H66&gt;0,"blocked","open"))</f>
        <v>open</v>
      </c>
    </row>
    <row r="67" customFormat="false" ht="15" hidden="false" customHeight="true" outlineLevel="0" collapsed="false">
      <c r="A67" s="1" t="s">
        <v>76</v>
      </c>
      <c r="B67" s="1" t="n">
        <f aca="true">INDIRECT("'"&amp;A67&amp;"'!B4")</f>
        <v>31</v>
      </c>
      <c r="C67" s="1" t="n">
        <f aca="true">COUNTIF(INDIRECT("'"&amp;A67&amp;"'!H9:H200"),"not started")</f>
        <v>1</v>
      </c>
      <c r="D67" s="1" t="n">
        <f aca="true">COUNTIF(INDIRECT("'"&amp;A67&amp;"'!H9:H200"),"partial")</f>
        <v>0</v>
      </c>
      <c r="E67" s="1" t="n">
        <f aca="true">COUNTIF(INDIRECT("'"&amp;A67&amp;"'!H9:H200"),"implemented")</f>
        <v>10</v>
      </c>
      <c r="F67" s="1" t="n">
        <f aca="true">COUNTIF(INDIRECT("'"&amp;A67&amp;"'!H9:H200"),"tested")</f>
        <v>20</v>
      </c>
      <c r="G67" s="1" t="n">
        <f aca="true">COUNTIF(INDIRECT("'"&amp;A67&amp;"'!H9:H200"),"verified")</f>
        <v>0</v>
      </c>
      <c r="H67" s="1" t="n">
        <f aca="true">COUNTIF(INDIRECT("'"&amp;A67&amp;"'!H9:H200"),"blocked")</f>
        <v>0</v>
      </c>
      <c r="I67" s="1" t="n">
        <f aca="true">COUNTIF(INDIRECT("'"&amp;A67&amp;"'!H9:H200"),"not applicable")</f>
        <v>0</v>
      </c>
      <c r="J67" s="2" t="n">
        <f aca="true">INDIRECT("'"&amp;A67&amp;"'!H4")</f>
        <v>0.645161290322581</v>
      </c>
      <c r="K67" s="1" t="str">
        <f aca="true">INDIRECT("'"&amp;A67&amp;"'!K4")</f>
        <v>open</v>
      </c>
      <c r="L67" s="1" t="str">
        <f aca="true">INDIRECT("'"&amp;A67&amp;"'!E5")</f>
        <v>complete</v>
      </c>
      <c r="M67" s="1" t="str">
        <f aca="false">IF(AND(J67=1,K67="complete",L67="complete"),"complete",IF(H67&gt;0,"blocked","open"))</f>
        <v>open</v>
      </c>
    </row>
    <row r="68" customFormat="false" ht="15" hidden="false" customHeight="true" outlineLevel="0" collapsed="false">
      <c r="A68" s="1" t="s">
        <v>77</v>
      </c>
      <c r="B68" s="1" t="n">
        <f aca="true">INDIRECT("'"&amp;A68&amp;"'!B4")</f>
        <v>22</v>
      </c>
      <c r="C68" s="1" t="n">
        <f aca="true">COUNTIF(INDIRECT("'"&amp;A68&amp;"'!H9:H200"),"not started")</f>
        <v>0</v>
      </c>
      <c r="D68" s="1" t="n">
        <f aca="true">COUNTIF(INDIRECT("'"&amp;A68&amp;"'!H9:H200"),"partial")</f>
        <v>0</v>
      </c>
      <c r="E68" s="1" t="n">
        <f aca="true">COUNTIF(INDIRECT("'"&amp;A68&amp;"'!H9:H200"),"implemented")</f>
        <v>8</v>
      </c>
      <c r="F68" s="1" t="n">
        <f aca="true">COUNTIF(INDIRECT("'"&amp;A68&amp;"'!H9:H200"),"tested")</f>
        <v>14</v>
      </c>
      <c r="G68" s="1" t="n">
        <f aca="true">COUNTIF(INDIRECT("'"&amp;A68&amp;"'!H9:H200"),"verified")</f>
        <v>0</v>
      </c>
      <c r="H68" s="1" t="n">
        <f aca="true">COUNTIF(INDIRECT("'"&amp;A68&amp;"'!H9:H200"),"blocked")</f>
        <v>0</v>
      </c>
      <c r="I68" s="1" t="n">
        <f aca="true">COUNTIF(INDIRECT("'"&amp;A68&amp;"'!H9:H200"),"not applicable")</f>
        <v>0</v>
      </c>
      <c r="J68" s="2" t="n">
        <f aca="false">B68-SUM(C68:I68)</f>
        <v>0</v>
      </c>
      <c r="K68" s="1" t="str">
        <f aca="true">INDIRECT("'"&amp;A68&amp;"'!B5")</f>
        <v>open</v>
      </c>
      <c r="L68" s="1" t="str">
        <f aca="true">INDIRECT("'"&amp;A68&amp;"'!E5")</f>
        <v>complete</v>
      </c>
      <c r="M68" s="1" t="str">
        <f aca="false">IF(AND(J68=0,K68="complete",L68="complete"),"complete",IF(H68&gt;0,"blocked","open"))</f>
        <v>open</v>
      </c>
    </row>
    <row r="69" customFormat="false" ht="15" hidden="false" customHeight="true" outlineLevel="0" collapsed="false">
      <c r="A69" s="1" t="s">
        <v>78</v>
      </c>
      <c r="B69" s="1" t="n">
        <f aca="true">INDIRECT("'"&amp;A69&amp;"'!B4")</f>
        <v>19</v>
      </c>
      <c r="C69" s="1" t="n">
        <f aca="true">COUNTIF(INDIRECT("'"&amp;A69&amp;"'!H9:H200"),"not started")</f>
        <v>0</v>
      </c>
      <c r="D69" s="1" t="n">
        <f aca="true">COUNTIF(INDIRECT("'"&amp;A69&amp;"'!H9:H200"),"partial")</f>
        <v>0</v>
      </c>
      <c r="E69" s="1" t="n">
        <f aca="true">COUNTIF(INDIRECT("'"&amp;A69&amp;"'!H9:H200"),"implemented")</f>
        <v>2</v>
      </c>
      <c r="F69" s="1" t="n">
        <f aca="true">COUNTIF(INDIRECT("'"&amp;A69&amp;"'!H9:H200"),"tested")</f>
        <v>12</v>
      </c>
      <c r="G69" s="1" t="n">
        <f aca="true">COUNTIF(INDIRECT("'"&amp;A69&amp;"'!H9:H200"),"verified")</f>
        <v>5</v>
      </c>
      <c r="H69" s="1" t="n">
        <f aca="true">COUNTIF(INDIRECT("'"&amp;A69&amp;"'!H9:H200"),"blocked")</f>
        <v>0</v>
      </c>
      <c r="I69" s="1" t="n">
        <f aca="true">COUNTIF(INDIRECT("'"&amp;A69&amp;"'!H9:H200"),"not applicable")</f>
        <v>0</v>
      </c>
      <c r="J69" s="2" t="n">
        <f aca="false">B69-SUM(C69:I69)</f>
        <v>0</v>
      </c>
      <c r="K69" s="1" t="str">
        <f aca="true">INDIRECT("'"&amp;A69&amp;"'!B5")</f>
        <v>open</v>
      </c>
      <c r="L69" s="1" t="str">
        <f aca="true">INDIRECT("'"&amp;A69&amp;"'!E5")</f>
        <v>complete</v>
      </c>
      <c r="M69" s="1" t="str">
        <f aca="false">IF(AND(J69=0,K69="complete",L69="complete"),"complete",IF(H69&gt;0,"blocked","open"))</f>
        <v>open</v>
      </c>
    </row>
    <row r="70" customFormat="false" ht="15" hidden="false" customHeight="true" outlineLevel="0" collapsed="false">
      <c r="A70" s="1" t="s">
        <v>79</v>
      </c>
      <c r="B70" s="1" t="n">
        <f aca="true">INDIRECT("'"&amp;A70&amp;"'!B4")</f>
        <v>20</v>
      </c>
      <c r="C70" s="1" t="n">
        <f aca="true">COUNTIF(INDIRECT("'"&amp;A70&amp;"'!H9:H200"),"not started")</f>
        <v>0</v>
      </c>
      <c r="D70" s="1" t="n">
        <f aca="true">COUNTIF(INDIRECT("'"&amp;A70&amp;"'!H9:H200"),"partial")</f>
        <v>0</v>
      </c>
      <c r="E70" s="1" t="n">
        <f aca="true">COUNTIF(INDIRECT("'"&amp;A70&amp;"'!H9:H200"),"implemented")</f>
        <v>2</v>
      </c>
      <c r="F70" s="1" t="n">
        <f aca="true">COUNTIF(INDIRECT("'"&amp;A70&amp;"'!H9:H200"),"tested")</f>
        <v>13</v>
      </c>
      <c r="G70" s="1" t="n">
        <f aca="true">COUNTIF(INDIRECT("'"&amp;A70&amp;"'!H9:H200"),"verified")</f>
        <v>5</v>
      </c>
      <c r="H70" s="1" t="n">
        <f aca="true">COUNTIF(INDIRECT("'"&amp;A70&amp;"'!H9:H200"),"blocked")</f>
        <v>0</v>
      </c>
      <c r="I70" s="1" t="n">
        <f aca="true">COUNTIF(INDIRECT("'"&amp;A70&amp;"'!H9:H200"),"not applicable")</f>
        <v>0</v>
      </c>
      <c r="J70" s="2" t="n">
        <f aca="false">B70-SUM(C70:I70)</f>
        <v>0</v>
      </c>
      <c r="K70" s="1" t="str">
        <f aca="true">INDIRECT("'"&amp;A70&amp;"'!B5")</f>
        <v>open</v>
      </c>
      <c r="L70" s="1" t="str">
        <f aca="true">INDIRECT("'"&amp;A70&amp;"'!E5")</f>
        <v>complete</v>
      </c>
      <c r="M70" s="1" t="str">
        <f aca="false">IF(AND(J70=0,K70="complete",L70="complete"),"complete",IF(H70&gt;0,"blocked","open"))</f>
        <v>open</v>
      </c>
    </row>
    <row r="71" customFormat="false" ht="15" hidden="false" customHeight="true" outlineLevel="0" collapsed="false">
      <c r="A71" s="1" t="s">
        <v>80</v>
      </c>
      <c r="B71" s="1" t="n">
        <f aca="true">INDIRECT("'"&amp;A71&amp;"'!B4")</f>
        <v>20</v>
      </c>
      <c r="C71" s="1" t="n">
        <f aca="true">COUNTIF(INDIRECT("'"&amp;A71&amp;"'!H9:H200"),"not started")</f>
        <v>0</v>
      </c>
      <c r="D71" s="1" t="n">
        <f aca="true">COUNTIF(INDIRECT("'"&amp;A71&amp;"'!H9:H200"),"partial")</f>
        <v>0</v>
      </c>
      <c r="E71" s="1" t="n">
        <f aca="true">COUNTIF(INDIRECT("'"&amp;A71&amp;"'!H9:H200"),"implemented")</f>
        <v>2</v>
      </c>
      <c r="F71" s="1" t="n">
        <f aca="true">COUNTIF(INDIRECT("'"&amp;A71&amp;"'!H9:H200"),"tested")</f>
        <v>13</v>
      </c>
      <c r="G71" s="1" t="n">
        <f aca="true">COUNTIF(INDIRECT("'"&amp;A71&amp;"'!H9:H200"),"verified")</f>
        <v>5</v>
      </c>
      <c r="H71" s="1" t="n">
        <f aca="true">COUNTIF(INDIRECT("'"&amp;A71&amp;"'!H9:H200"),"blocked")</f>
        <v>0</v>
      </c>
      <c r="I71" s="1" t="n">
        <f aca="true">COUNTIF(INDIRECT("'"&amp;A71&amp;"'!H9:H200"),"not applicable")</f>
        <v>0</v>
      </c>
      <c r="J71" s="2" t="n">
        <f aca="false">B71-SUM(C71:I71)</f>
        <v>0</v>
      </c>
      <c r="K71" s="1" t="str">
        <f aca="true">INDIRECT("'"&amp;A71&amp;"'!B5")</f>
        <v>open</v>
      </c>
      <c r="L71" s="1" t="str">
        <f aca="true">INDIRECT("'"&amp;A71&amp;"'!E5")</f>
        <v>complete</v>
      </c>
      <c r="M71" s="1" t="str">
        <f aca="false">IF(AND(J71=0,K71="complete",L71="complete"),"complete",IF(H71&gt;0,"blocked","open"))</f>
        <v>open</v>
      </c>
    </row>
    <row r="72" customFormat="false" ht="15" hidden="false" customHeight="true" outlineLevel="0" collapsed="false">
      <c r="A72" s="1" t="s">
        <v>81</v>
      </c>
      <c r="B72" s="1" t="n">
        <f aca="true">INDIRECT("'"&amp;A72&amp;"'!B4")</f>
        <v>16</v>
      </c>
      <c r="C72" s="1" t="n">
        <f aca="true">COUNTIF(INDIRECT("'"&amp;A72&amp;"'!H9:H200"),"not started")</f>
        <v>0</v>
      </c>
      <c r="D72" s="1" t="n">
        <f aca="true">COUNTIF(INDIRECT("'"&amp;A72&amp;"'!H9:H200"),"partial")</f>
        <v>0</v>
      </c>
      <c r="E72" s="1" t="n">
        <f aca="true">COUNTIF(INDIRECT("'"&amp;A72&amp;"'!H9:H200"),"implemented")</f>
        <v>1</v>
      </c>
      <c r="F72" s="1" t="n">
        <f aca="true">COUNTIF(INDIRECT("'"&amp;A72&amp;"'!H9:H200"),"tested")</f>
        <v>13</v>
      </c>
      <c r="G72" s="1" t="n">
        <f aca="true">COUNTIF(INDIRECT("'"&amp;A72&amp;"'!H9:H200"),"verified")</f>
        <v>2</v>
      </c>
      <c r="H72" s="1" t="n">
        <f aca="true">COUNTIF(INDIRECT("'"&amp;A72&amp;"'!H9:H200"),"blocked")</f>
        <v>0</v>
      </c>
      <c r="I72" s="1" t="n">
        <f aca="true">COUNTIF(INDIRECT("'"&amp;A72&amp;"'!H9:H200"),"not applicable")</f>
        <v>0</v>
      </c>
      <c r="J72" s="2" t="n">
        <f aca="false">B72-SUM(C72:I72)</f>
        <v>0</v>
      </c>
      <c r="K72" s="1" t="str">
        <f aca="true">INDIRECT("'"&amp;A72&amp;"'!B5")</f>
        <v>open</v>
      </c>
      <c r="L72" s="1" t="str">
        <f aca="true">INDIRECT("'"&amp;A72&amp;"'!E5")</f>
        <v>complete</v>
      </c>
      <c r="M72" s="1" t="str">
        <f aca="false">IF(AND(J72=0,K72="complete",L72="complete"),"complete",IF(H72&gt;0,"blocked","open"))</f>
        <v>open</v>
      </c>
    </row>
    <row r="73" customFormat="false" ht="15" hidden="false" customHeight="true" outlineLevel="0" collapsed="false">
      <c r="A73" s="1" t="s">
        <v>82</v>
      </c>
      <c r="B73" s="1" t="n">
        <f aca="true">INDIRECT("'"&amp;A73&amp;"'!B4")</f>
        <v>17</v>
      </c>
      <c r="C73" s="1" t="n">
        <f aca="true">COUNTIF(INDIRECT("'"&amp;A73&amp;"'!H9:H200"),"not started")</f>
        <v>0</v>
      </c>
      <c r="D73" s="1" t="n">
        <f aca="true">COUNTIF(INDIRECT("'"&amp;A73&amp;"'!H9:H200"),"partial")</f>
        <v>0</v>
      </c>
      <c r="E73" s="1" t="n">
        <f aca="true">COUNTIF(INDIRECT("'"&amp;A73&amp;"'!H9:H200"),"implemented")</f>
        <v>1</v>
      </c>
      <c r="F73" s="1" t="n">
        <f aca="true">COUNTIF(INDIRECT("'"&amp;A73&amp;"'!H9:H200"),"tested")</f>
        <v>14</v>
      </c>
      <c r="G73" s="1" t="n">
        <f aca="true">COUNTIF(INDIRECT("'"&amp;A73&amp;"'!H9:H200"),"verified")</f>
        <v>2</v>
      </c>
      <c r="H73" s="1" t="n">
        <f aca="true">COUNTIF(INDIRECT("'"&amp;A73&amp;"'!H9:H200"),"blocked")</f>
        <v>0</v>
      </c>
      <c r="I73" s="1" t="n">
        <f aca="true">COUNTIF(INDIRECT("'"&amp;A73&amp;"'!H9:H200"),"not applicable")</f>
        <v>0</v>
      </c>
      <c r="J73" s="2" t="n">
        <f aca="false">B73-SUM(C73:I73)</f>
        <v>0</v>
      </c>
      <c r="K73" s="1" t="str">
        <f aca="true">INDIRECT("'"&amp;A73&amp;"'!B5")</f>
        <v>open</v>
      </c>
      <c r="L73" s="1" t="str">
        <f aca="true">INDIRECT("'"&amp;A73&amp;"'!E5")</f>
        <v>complete</v>
      </c>
      <c r="M73" s="1" t="str">
        <f aca="false">IF(AND(J73=0,K73="complete",L73="complete"),"complete",IF(H73&gt;0,"blocked","open"))</f>
        <v>open</v>
      </c>
    </row>
    <row r="74" customFormat="false" ht="15" hidden="false" customHeight="true" outlineLevel="0" collapsed="false">
      <c r="A74" s="1" t="s">
        <v>83</v>
      </c>
      <c r="B74" s="1" t="n">
        <f aca="true">INDIRECT("'"&amp;A74&amp;"'!B4")</f>
        <v>28</v>
      </c>
      <c r="C74" s="1" t="n">
        <f aca="true">COUNTIF(INDIRECT("'"&amp;A74&amp;"'!H9:H200"),"not started")</f>
        <v>1</v>
      </c>
      <c r="D74" s="1" t="n">
        <f aca="true">COUNTIF(INDIRECT("'"&amp;A74&amp;"'!H9:H200"),"partial")</f>
        <v>0</v>
      </c>
      <c r="E74" s="1" t="n">
        <f aca="true">COUNTIF(INDIRECT("'"&amp;A74&amp;"'!H9:H200"),"implemented")</f>
        <v>0</v>
      </c>
      <c r="F74" s="1" t="n">
        <f aca="true">COUNTIF(INDIRECT("'"&amp;A74&amp;"'!H9:H200"),"tested")</f>
        <v>27</v>
      </c>
      <c r="G74" s="1" t="n">
        <f aca="true">COUNTIF(INDIRECT("'"&amp;A74&amp;"'!H9:H200"),"verified")</f>
        <v>0</v>
      </c>
      <c r="H74" s="1" t="n">
        <f aca="true">COUNTIF(INDIRECT("'"&amp;A74&amp;"'!H9:H200"),"blocked")</f>
        <v>0</v>
      </c>
      <c r="I74" s="1" t="n">
        <f aca="true">COUNTIF(INDIRECT("'"&amp;A74&amp;"'!H9:H200"),"not applicable")</f>
        <v>0</v>
      </c>
      <c r="J74" s="2" t="n">
        <f aca="true">INDIRECT("'"&amp;A74&amp;"'!H4")</f>
        <v>0.964285714285714</v>
      </c>
      <c r="K74" s="1" t="str">
        <f aca="true">INDIRECT("'"&amp;A74&amp;"'!K4")</f>
        <v>complete</v>
      </c>
      <c r="L74" s="1" t="str">
        <f aca="true">INDIRECT("'"&amp;A74&amp;"'!E5")</f>
        <v>complete</v>
      </c>
      <c r="M74" s="1" t="str">
        <f aca="false">IF(AND(J74=1,K74="complete",L74="complete"),"complete",IF(H74&gt;0,"blocked","open"))</f>
        <v>open</v>
      </c>
    </row>
  </sheetData>
  <autoFilter ref="A7:M74"/>
  <mergeCells count="2">
    <mergeCell ref="A1:M1"/>
    <mergeCell ref="A2:M2"/>
  </mergeCells>
  <conditionalFormatting sqref="M8:M57">
    <cfRule type="containsText" priority="2" operator="containsText" aboveAverage="0" equalAverage="0" bottom="0" percent="0" rank="0" text="complete" dxfId="3">
      <formula>NOT(ISERROR(SEARCH("complete",M8)))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4.71"/>
    <col collapsed="false" customWidth="true" hidden="false" outlineLevel="0" max="2" min="2" style="1" width="105.71"/>
  </cols>
  <sheetData>
    <row r="1" customFormat="false" ht="37.5" hidden="false" customHeight="true" outlineLevel="0" collapsed="false">
      <c r="A1" s="3" t="s">
        <v>84</v>
      </c>
      <c r="B1" s="3"/>
      <c r="C1" s="3"/>
      <c r="D1" s="3"/>
    </row>
    <row r="2" customFormat="false" ht="27.75" hidden="false" customHeight="true" outlineLevel="0" collapsed="false">
      <c r="A2" s="4" t="s">
        <v>85</v>
      </c>
      <c r="B2" s="4"/>
      <c r="C2" s="4"/>
      <c r="D2" s="4"/>
    </row>
    <row r="3" customFormat="false" ht="15" hidden="false" customHeight="true" outlineLevel="0" collapsed="false">
      <c r="A3" s="8" t="s">
        <v>86</v>
      </c>
      <c r="B3" s="8" t="s">
        <v>87</v>
      </c>
    </row>
    <row r="4" customFormat="false" ht="30" hidden="false" customHeight="true" outlineLevel="0" collapsed="false">
      <c r="A4" s="1" t="s">
        <v>88</v>
      </c>
      <c r="B4" s="1" t="s">
        <v>89</v>
      </c>
    </row>
    <row r="5" customFormat="false" ht="30" hidden="false" customHeight="true" outlineLevel="0" collapsed="false">
      <c r="A5" s="1" t="s">
        <v>90</v>
      </c>
      <c r="B5" s="1" t="s">
        <v>91</v>
      </c>
    </row>
    <row r="6" customFormat="false" ht="30" hidden="false" customHeight="true" outlineLevel="0" collapsed="false">
      <c r="A6" s="1" t="s">
        <v>92</v>
      </c>
      <c r="B6" s="1" t="s">
        <v>93</v>
      </c>
    </row>
    <row r="7" customFormat="false" ht="30" hidden="false" customHeight="true" outlineLevel="0" collapsed="false">
      <c r="A7" s="1" t="s">
        <v>94</v>
      </c>
      <c r="B7" s="1" t="s">
        <v>95</v>
      </c>
    </row>
    <row r="8" customFormat="false" ht="30" hidden="false" customHeight="true" outlineLevel="0" collapsed="false">
      <c r="A8" s="1" t="s">
        <v>96</v>
      </c>
      <c r="B8" s="1" t="s">
        <v>97</v>
      </c>
    </row>
    <row r="9" customFormat="false" ht="30" hidden="false" customHeight="true" outlineLevel="0" collapsed="false">
      <c r="A9" s="1" t="s">
        <v>98</v>
      </c>
      <c r="B9" s="1" t="s">
        <v>99</v>
      </c>
    </row>
    <row r="10" customFormat="false" ht="30" hidden="false" customHeight="true" outlineLevel="0" collapsed="false">
      <c r="A10" s="1" t="s">
        <v>100</v>
      </c>
      <c r="B10" s="1" t="s">
        <v>101</v>
      </c>
    </row>
    <row r="11" customFormat="false" ht="30" hidden="false" customHeight="true" outlineLevel="0" collapsed="false">
      <c r="A11" s="1" t="s">
        <v>102</v>
      </c>
      <c r="B11" s="1" t="s">
        <v>103</v>
      </c>
    </row>
    <row r="12" customFormat="false" ht="30" hidden="false" customHeight="true" outlineLevel="0" collapsed="false">
      <c r="A12" s="1" t="s">
        <v>104</v>
      </c>
      <c r="B12" s="1" t="s">
        <v>105</v>
      </c>
    </row>
    <row r="13" customFormat="false" ht="30" hidden="false" customHeight="true" outlineLevel="0" collapsed="false">
      <c r="A13" s="1" t="s">
        <v>106</v>
      </c>
      <c r="B13" s="1" t="s">
        <v>107</v>
      </c>
    </row>
    <row r="14" customFormat="false" ht="30" hidden="false" customHeight="true" outlineLevel="0" collapsed="false">
      <c r="A14" s="1" t="s">
        <v>108</v>
      </c>
      <c r="B14" s="1" t="s">
        <v>109</v>
      </c>
    </row>
    <row r="15" customFormat="false" ht="30" hidden="false" customHeight="true" outlineLevel="0" collapsed="false">
      <c r="A15" s="1" t="s">
        <v>110</v>
      </c>
      <c r="B15" s="1" t="s">
        <v>111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92</v>
      </c>
      <c r="B1" s="1" t="s">
        <v>112</v>
      </c>
    </row>
    <row r="2" customFormat="false" ht="15" hidden="false" customHeight="true" outlineLevel="0" collapsed="false">
      <c r="A2" s="1" t="s">
        <v>94</v>
      </c>
      <c r="B2" s="1" t="s">
        <v>113</v>
      </c>
    </row>
    <row r="3" customFormat="false" ht="15" hidden="false" customHeight="true" outlineLevel="0" collapsed="false">
      <c r="A3" s="1" t="s">
        <v>96</v>
      </c>
    </row>
    <row r="4" customFormat="false" ht="15" hidden="false" customHeight="true" outlineLevel="0" collapsed="false">
      <c r="A4" s="1" t="s">
        <v>98</v>
      </c>
    </row>
    <row r="5" customFormat="false" ht="15" hidden="false" customHeight="true" outlineLevel="0" collapsed="false">
      <c r="A5" s="1" t="s">
        <v>100</v>
      </c>
    </row>
    <row r="6" customFormat="false" ht="15" hidden="false" customHeight="true" outlineLevel="0" collapsed="false">
      <c r="A6" s="1" t="s">
        <v>102</v>
      </c>
    </row>
    <row r="7" customFormat="false" ht="15" hidden="false" customHeight="true" outlineLevel="0" collapsed="false">
      <c r="A7" s="1" t="s">
        <v>104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130</v>
      </c>
      <c r="B9" s="1" t="s">
        <v>131</v>
      </c>
      <c r="C9" s="1" t="s">
        <v>132</v>
      </c>
      <c r="D9" s="1" t="s">
        <v>133</v>
      </c>
      <c r="E9" s="1" t="s">
        <v>134</v>
      </c>
      <c r="F9" s="1" t="s">
        <v>135</v>
      </c>
      <c r="G9" s="1" t="s">
        <v>136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137</v>
      </c>
      <c r="B10" s="1" t="s">
        <v>138</v>
      </c>
      <c r="C10" s="1" t="s">
        <v>132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141</v>
      </c>
      <c r="B11" s="1" t="s">
        <v>142</v>
      </c>
      <c r="C11" s="1" t="s">
        <v>132</v>
      </c>
      <c r="D11" s="1" t="s">
        <v>143</v>
      </c>
      <c r="E11" s="1" t="s">
        <v>134</v>
      </c>
      <c r="F11" s="1" t="s">
        <v>144</v>
      </c>
      <c r="G11" s="1" t="s">
        <v>145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146</v>
      </c>
      <c r="B12" s="1" t="s">
        <v>147</v>
      </c>
      <c r="C12" s="1" t="s">
        <v>132</v>
      </c>
      <c r="D12" s="1" t="s">
        <v>148</v>
      </c>
      <c r="E12" s="1" t="s">
        <v>134</v>
      </c>
      <c r="F12" s="1" t="s">
        <v>149</v>
      </c>
      <c r="G12" s="1" t="s">
        <v>150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151</v>
      </c>
      <c r="B13" s="1" t="s">
        <v>152</v>
      </c>
      <c r="C13" s="1" t="s">
        <v>132</v>
      </c>
      <c r="D13" s="1" t="s">
        <v>153</v>
      </c>
      <c r="E13" s="1" t="s">
        <v>134</v>
      </c>
      <c r="F13" s="1" t="s">
        <v>154</v>
      </c>
      <c r="G13" s="1" t="s">
        <v>155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156</v>
      </c>
      <c r="B14" s="1" t="s">
        <v>157</v>
      </c>
      <c r="C14" s="1" t="s">
        <v>132</v>
      </c>
      <c r="D14" s="1" t="s">
        <v>158</v>
      </c>
      <c r="E14" s="1" t="s">
        <v>134</v>
      </c>
      <c r="F14" s="1" t="s">
        <v>159</v>
      </c>
      <c r="G14" s="1" t="s">
        <v>160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161</v>
      </c>
      <c r="B15" s="1" t="s">
        <v>162</v>
      </c>
      <c r="C15" s="1" t="s">
        <v>132</v>
      </c>
      <c r="D15" s="1" t="s">
        <v>163</v>
      </c>
      <c r="E15" s="1" t="s">
        <v>134</v>
      </c>
      <c r="F15" s="1" t="s">
        <v>164</v>
      </c>
      <c r="G15" s="1" t="s">
        <v>165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166</v>
      </c>
      <c r="B16" s="1" t="s">
        <v>167</v>
      </c>
      <c r="C16" s="1" t="s">
        <v>132</v>
      </c>
      <c r="D16" s="1" t="s">
        <v>168</v>
      </c>
      <c r="E16" s="1" t="s">
        <v>134</v>
      </c>
      <c r="F16" s="1" t="s">
        <v>169</v>
      </c>
      <c r="G16" s="1" t="s">
        <v>170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172</v>
      </c>
      <c r="B17" s="1" t="s">
        <v>173</v>
      </c>
      <c r="C17" s="1" t="s">
        <v>132</v>
      </c>
      <c r="D17" s="1" t="s">
        <v>174</v>
      </c>
      <c r="E17" s="1" t="s">
        <v>134</v>
      </c>
      <c r="F17" s="1" t="s">
        <v>175</v>
      </c>
      <c r="G17" s="1" t="s">
        <v>176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178</v>
      </c>
      <c r="B18" s="1" t="s">
        <v>179</v>
      </c>
      <c r="C18" s="1" t="s">
        <v>132</v>
      </c>
      <c r="D18" s="1" t="s">
        <v>180</v>
      </c>
      <c r="E18" s="1" t="s">
        <v>134</v>
      </c>
      <c r="F18" s="1" t="s">
        <v>175</v>
      </c>
      <c r="G18" s="1" t="s">
        <v>176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181</v>
      </c>
      <c r="B19" s="1" t="s">
        <v>182</v>
      </c>
      <c r="C19" s="1" t="s">
        <v>132</v>
      </c>
      <c r="D19" s="1" t="s">
        <v>183</v>
      </c>
      <c r="E19" s="1" t="s">
        <v>134</v>
      </c>
      <c r="F19" s="1" t="s">
        <v>175</v>
      </c>
      <c r="G19" s="1" t="s">
        <v>184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186</v>
      </c>
      <c r="B20" s="1" t="s">
        <v>187</v>
      </c>
      <c r="C20" s="1" t="s">
        <v>132</v>
      </c>
      <c r="D20" s="1" t="s">
        <v>188</v>
      </c>
      <c r="E20" s="1" t="s">
        <v>134</v>
      </c>
      <c r="F20" s="1" t="s">
        <v>175</v>
      </c>
      <c r="G20" s="1" t="s">
        <v>176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190</v>
      </c>
      <c r="B21" s="1" t="s">
        <v>191</v>
      </c>
      <c r="C21" s="1" t="s">
        <v>132</v>
      </c>
      <c r="D21" s="1" t="s">
        <v>192</v>
      </c>
      <c r="E21" s="1" t="s">
        <v>134</v>
      </c>
      <c r="F21" s="1" t="s">
        <v>193</v>
      </c>
      <c r="G21" s="1" t="s">
        <v>194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195</v>
      </c>
      <c r="B22" s="1" t="s">
        <v>196</v>
      </c>
      <c r="C22" s="1" t="s">
        <v>132</v>
      </c>
      <c r="D22" s="1" t="s">
        <v>197</v>
      </c>
      <c r="E22" s="1" t="s">
        <v>134</v>
      </c>
      <c r="F22" s="1" t="s">
        <v>193</v>
      </c>
      <c r="G22" s="1" t="s">
        <v>198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199</v>
      </c>
      <c r="B23" s="1" t="s">
        <v>200</v>
      </c>
      <c r="C23" s="1" t="s">
        <v>132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204</v>
      </c>
      <c r="B24" s="1" t="s">
        <v>205</v>
      </c>
      <c r="C24" s="1" t="s">
        <v>132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209</v>
      </c>
      <c r="B9" s="1" t="s">
        <v>131</v>
      </c>
      <c r="C9" s="1" t="s">
        <v>210</v>
      </c>
      <c r="D9" s="1" t="s">
        <v>133</v>
      </c>
      <c r="E9" s="1" t="s">
        <v>134</v>
      </c>
      <c r="F9" s="1" t="s">
        <v>135</v>
      </c>
      <c r="G9" s="1" t="s">
        <v>211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212</v>
      </c>
      <c r="B10" s="1" t="s">
        <v>138</v>
      </c>
      <c r="C10" s="1" t="s">
        <v>210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213</v>
      </c>
      <c r="B11" s="1" t="s">
        <v>142</v>
      </c>
      <c r="C11" s="1" t="s">
        <v>210</v>
      </c>
      <c r="D11" s="1" t="s">
        <v>143</v>
      </c>
      <c r="E11" s="1" t="s">
        <v>134</v>
      </c>
      <c r="F11" s="1" t="s">
        <v>144</v>
      </c>
      <c r="G11" s="1" t="s">
        <v>214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215</v>
      </c>
      <c r="B12" s="1" t="s">
        <v>147</v>
      </c>
      <c r="C12" s="1" t="s">
        <v>210</v>
      </c>
      <c r="D12" s="1" t="s">
        <v>148</v>
      </c>
      <c r="E12" s="1" t="s">
        <v>134</v>
      </c>
      <c r="F12" s="1" t="s">
        <v>149</v>
      </c>
      <c r="G12" s="1" t="s">
        <v>216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217</v>
      </c>
      <c r="B13" s="1" t="s">
        <v>152</v>
      </c>
      <c r="C13" s="1" t="s">
        <v>210</v>
      </c>
      <c r="D13" s="1" t="s">
        <v>153</v>
      </c>
      <c r="E13" s="1" t="s">
        <v>134</v>
      </c>
      <c r="F13" s="1" t="s">
        <v>154</v>
      </c>
      <c r="G13" s="1" t="s">
        <v>218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219</v>
      </c>
      <c r="B14" s="1" t="s">
        <v>157</v>
      </c>
      <c r="C14" s="1" t="s">
        <v>210</v>
      </c>
      <c r="D14" s="1" t="s">
        <v>158</v>
      </c>
      <c r="E14" s="1" t="s">
        <v>134</v>
      </c>
      <c r="F14" s="1" t="s">
        <v>159</v>
      </c>
      <c r="G14" s="1" t="s">
        <v>220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221</v>
      </c>
      <c r="B15" s="1" t="s">
        <v>162</v>
      </c>
      <c r="C15" s="1" t="s">
        <v>210</v>
      </c>
      <c r="D15" s="1" t="s">
        <v>163</v>
      </c>
      <c r="E15" s="1" t="s">
        <v>134</v>
      </c>
      <c r="F15" s="1" t="s">
        <v>164</v>
      </c>
      <c r="G15" s="1" t="s">
        <v>222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223</v>
      </c>
      <c r="B16" s="1" t="s">
        <v>167</v>
      </c>
      <c r="C16" s="1" t="s">
        <v>210</v>
      </c>
      <c r="D16" s="1" t="s">
        <v>168</v>
      </c>
      <c r="E16" s="1" t="s">
        <v>134</v>
      </c>
      <c r="F16" s="1" t="s">
        <v>169</v>
      </c>
      <c r="G16" s="1" t="s">
        <v>224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225</v>
      </c>
      <c r="B17" s="1" t="s">
        <v>173</v>
      </c>
      <c r="C17" s="1" t="s">
        <v>210</v>
      </c>
      <c r="D17" s="1" t="s">
        <v>174</v>
      </c>
      <c r="E17" s="1" t="s">
        <v>134</v>
      </c>
      <c r="F17" s="1" t="s">
        <v>175</v>
      </c>
      <c r="G17" s="1" t="s">
        <v>226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227</v>
      </c>
      <c r="B18" s="1" t="s">
        <v>179</v>
      </c>
      <c r="C18" s="1" t="s">
        <v>210</v>
      </c>
      <c r="D18" s="1" t="s">
        <v>180</v>
      </c>
      <c r="E18" s="1" t="s">
        <v>134</v>
      </c>
      <c r="F18" s="1" t="s">
        <v>175</v>
      </c>
      <c r="G18" s="1" t="s">
        <v>226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228</v>
      </c>
      <c r="B19" s="1" t="s">
        <v>182</v>
      </c>
      <c r="C19" s="1" t="s">
        <v>210</v>
      </c>
      <c r="D19" s="1" t="s">
        <v>183</v>
      </c>
      <c r="E19" s="1" t="s">
        <v>134</v>
      </c>
      <c r="F19" s="1" t="s">
        <v>175</v>
      </c>
      <c r="G19" s="1" t="s">
        <v>229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230</v>
      </c>
      <c r="B20" s="1" t="s">
        <v>187</v>
      </c>
      <c r="C20" s="1" t="s">
        <v>210</v>
      </c>
      <c r="D20" s="1" t="s">
        <v>188</v>
      </c>
      <c r="E20" s="1" t="s">
        <v>134</v>
      </c>
      <c r="F20" s="1" t="s">
        <v>175</v>
      </c>
      <c r="G20" s="1" t="s">
        <v>226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231</v>
      </c>
      <c r="B21" s="1" t="s">
        <v>191</v>
      </c>
      <c r="C21" s="1" t="s">
        <v>210</v>
      </c>
      <c r="D21" s="1" t="s">
        <v>192</v>
      </c>
      <c r="E21" s="1" t="s">
        <v>134</v>
      </c>
      <c r="F21" s="1" t="s">
        <v>193</v>
      </c>
      <c r="G21" s="1" t="s">
        <v>232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233</v>
      </c>
      <c r="B22" s="1" t="s">
        <v>196</v>
      </c>
      <c r="C22" s="1" t="s">
        <v>210</v>
      </c>
      <c r="D22" s="1" t="s">
        <v>197</v>
      </c>
      <c r="E22" s="1" t="s">
        <v>134</v>
      </c>
      <c r="F22" s="1" t="s">
        <v>193</v>
      </c>
      <c r="G22" s="1" t="s">
        <v>234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235</v>
      </c>
      <c r="B23" s="1" t="s">
        <v>200</v>
      </c>
      <c r="C23" s="1" t="s">
        <v>210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236</v>
      </c>
      <c r="B24" s="1" t="s">
        <v>205</v>
      </c>
      <c r="C24" s="1" t="s">
        <v>210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238</v>
      </c>
      <c r="B9" s="1" t="s">
        <v>131</v>
      </c>
      <c r="C9" s="1" t="s">
        <v>19</v>
      </c>
      <c r="D9" s="1" t="s">
        <v>133</v>
      </c>
      <c r="E9" s="1" t="s">
        <v>134</v>
      </c>
      <c r="F9" s="1" t="s">
        <v>135</v>
      </c>
      <c r="G9" s="1" t="s">
        <v>239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240</v>
      </c>
      <c r="B10" s="1" t="s">
        <v>138</v>
      </c>
      <c r="C10" s="1" t="s">
        <v>19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241</v>
      </c>
      <c r="B11" s="1" t="s">
        <v>142</v>
      </c>
      <c r="C11" s="1" t="s">
        <v>19</v>
      </c>
      <c r="D11" s="1" t="s">
        <v>143</v>
      </c>
      <c r="E11" s="1" t="s">
        <v>134</v>
      </c>
      <c r="F11" s="1" t="s">
        <v>144</v>
      </c>
      <c r="G11" s="1" t="s">
        <v>242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243</v>
      </c>
      <c r="B12" s="1" t="s">
        <v>147</v>
      </c>
      <c r="C12" s="1" t="s">
        <v>19</v>
      </c>
      <c r="D12" s="1" t="s">
        <v>148</v>
      </c>
      <c r="E12" s="1" t="s">
        <v>134</v>
      </c>
      <c r="F12" s="1" t="s">
        <v>149</v>
      </c>
      <c r="G12" s="1" t="s">
        <v>244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245</v>
      </c>
      <c r="B13" s="1" t="s">
        <v>152</v>
      </c>
      <c r="C13" s="1" t="s">
        <v>19</v>
      </c>
      <c r="D13" s="1" t="s">
        <v>153</v>
      </c>
      <c r="E13" s="1" t="s">
        <v>134</v>
      </c>
      <c r="F13" s="1" t="s">
        <v>154</v>
      </c>
      <c r="G13" s="1" t="s">
        <v>246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247</v>
      </c>
      <c r="B14" s="1" t="s">
        <v>157</v>
      </c>
      <c r="C14" s="1" t="s">
        <v>19</v>
      </c>
      <c r="D14" s="1" t="s">
        <v>158</v>
      </c>
      <c r="E14" s="1" t="s">
        <v>134</v>
      </c>
      <c r="F14" s="1" t="s">
        <v>159</v>
      </c>
      <c r="G14" s="1" t="s">
        <v>248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249</v>
      </c>
      <c r="B15" s="1" t="s">
        <v>162</v>
      </c>
      <c r="C15" s="1" t="s">
        <v>19</v>
      </c>
      <c r="D15" s="1" t="s">
        <v>163</v>
      </c>
      <c r="E15" s="1" t="s">
        <v>134</v>
      </c>
      <c r="F15" s="1" t="s">
        <v>164</v>
      </c>
      <c r="G15" s="1" t="s">
        <v>250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251</v>
      </c>
      <c r="B16" s="1" t="s">
        <v>167</v>
      </c>
      <c r="C16" s="1" t="s">
        <v>19</v>
      </c>
      <c r="D16" s="1" t="s">
        <v>168</v>
      </c>
      <c r="E16" s="1" t="s">
        <v>134</v>
      </c>
      <c r="F16" s="1" t="s">
        <v>169</v>
      </c>
      <c r="G16" s="1" t="s">
        <v>252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253</v>
      </c>
      <c r="B17" s="1" t="s">
        <v>173</v>
      </c>
      <c r="C17" s="1" t="s">
        <v>19</v>
      </c>
      <c r="D17" s="1" t="s">
        <v>174</v>
      </c>
      <c r="E17" s="1" t="s">
        <v>134</v>
      </c>
      <c r="F17" s="1" t="s">
        <v>175</v>
      </c>
      <c r="G17" s="1" t="s">
        <v>254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255</v>
      </c>
      <c r="B18" s="1" t="s">
        <v>179</v>
      </c>
      <c r="C18" s="1" t="s">
        <v>19</v>
      </c>
      <c r="D18" s="1" t="s">
        <v>180</v>
      </c>
      <c r="E18" s="1" t="s">
        <v>134</v>
      </c>
      <c r="F18" s="1" t="s">
        <v>175</v>
      </c>
      <c r="G18" s="1" t="s">
        <v>254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256</v>
      </c>
      <c r="B19" s="1" t="s">
        <v>182</v>
      </c>
      <c r="C19" s="1" t="s">
        <v>19</v>
      </c>
      <c r="D19" s="1" t="s">
        <v>183</v>
      </c>
      <c r="E19" s="1" t="s">
        <v>134</v>
      </c>
      <c r="F19" s="1" t="s">
        <v>175</v>
      </c>
      <c r="G19" s="1" t="s">
        <v>257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258</v>
      </c>
      <c r="B20" s="1" t="s">
        <v>187</v>
      </c>
      <c r="C20" s="1" t="s">
        <v>19</v>
      </c>
      <c r="D20" s="1" t="s">
        <v>188</v>
      </c>
      <c r="E20" s="1" t="s">
        <v>134</v>
      </c>
      <c r="F20" s="1" t="s">
        <v>175</v>
      </c>
      <c r="G20" s="1" t="s">
        <v>254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259</v>
      </c>
      <c r="B21" s="1" t="s">
        <v>191</v>
      </c>
      <c r="C21" s="1" t="s">
        <v>19</v>
      </c>
      <c r="D21" s="1" t="s">
        <v>192</v>
      </c>
      <c r="E21" s="1" t="s">
        <v>134</v>
      </c>
      <c r="F21" s="1" t="s">
        <v>193</v>
      </c>
      <c r="G21" s="1" t="s">
        <v>260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261</v>
      </c>
      <c r="B22" s="1" t="s">
        <v>196</v>
      </c>
      <c r="C22" s="1" t="s">
        <v>19</v>
      </c>
      <c r="D22" s="1" t="s">
        <v>197</v>
      </c>
      <c r="E22" s="1" t="s">
        <v>134</v>
      </c>
      <c r="F22" s="1" t="s">
        <v>193</v>
      </c>
      <c r="G22" s="1" t="s">
        <v>262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263</v>
      </c>
      <c r="B23" s="1" t="s">
        <v>200</v>
      </c>
      <c r="C23" s="1" t="s">
        <v>19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264</v>
      </c>
      <c r="B24" s="1" t="s">
        <v>205</v>
      </c>
      <c r="C24" s="1" t="s">
        <v>19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266</v>
      </c>
      <c r="B9" s="1" t="s">
        <v>131</v>
      </c>
      <c r="C9" s="1" t="s">
        <v>20</v>
      </c>
      <c r="D9" s="1" t="s">
        <v>133</v>
      </c>
      <c r="E9" s="1" t="s">
        <v>134</v>
      </c>
      <c r="F9" s="1" t="s">
        <v>135</v>
      </c>
      <c r="G9" s="1" t="s">
        <v>267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268</v>
      </c>
      <c r="B10" s="1" t="s">
        <v>138</v>
      </c>
      <c r="C10" s="1" t="s">
        <v>20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269</v>
      </c>
      <c r="B11" s="1" t="s">
        <v>142</v>
      </c>
      <c r="C11" s="1" t="s">
        <v>20</v>
      </c>
      <c r="D11" s="1" t="s">
        <v>143</v>
      </c>
      <c r="E11" s="1" t="s">
        <v>134</v>
      </c>
      <c r="F11" s="1" t="s">
        <v>144</v>
      </c>
      <c r="G11" s="1" t="s">
        <v>270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271</v>
      </c>
      <c r="B12" s="1" t="s">
        <v>147</v>
      </c>
      <c r="C12" s="1" t="s">
        <v>20</v>
      </c>
      <c r="D12" s="1" t="s">
        <v>148</v>
      </c>
      <c r="E12" s="1" t="s">
        <v>134</v>
      </c>
      <c r="F12" s="1" t="s">
        <v>149</v>
      </c>
      <c r="G12" s="1" t="s">
        <v>272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273</v>
      </c>
      <c r="B13" s="1" t="s">
        <v>152</v>
      </c>
      <c r="C13" s="1" t="s">
        <v>20</v>
      </c>
      <c r="D13" s="1" t="s">
        <v>153</v>
      </c>
      <c r="E13" s="1" t="s">
        <v>134</v>
      </c>
      <c r="F13" s="1" t="s">
        <v>154</v>
      </c>
      <c r="G13" s="1" t="s">
        <v>274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275</v>
      </c>
      <c r="B14" s="1" t="s">
        <v>157</v>
      </c>
      <c r="C14" s="1" t="s">
        <v>20</v>
      </c>
      <c r="D14" s="1" t="s">
        <v>158</v>
      </c>
      <c r="E14" s="1" t="s">
        <v>134</v>
      </c>
      <c r="F14" s="1" t="s">
        <v>159</v>
      </c>
      <c r="G14" s="1" t="s">
        <v>276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277</v>
      </c>
      <c r="B15" s="1" t="s">
        <v>162</v>
      </c>
      <c r="C15" s="1" t="s">
        <v>20</v>
      </c>
      <c r="D15" s="1" t="s">
        <v>163</v>
      </c>
      <c r="E15" s="1" t="s">
        <v>134</v>
      </c>
      <c r="F15" s="1" t="s">
        <v>164</v>
      </c>
      <c r="G15" s="1" t="s">
        <v>278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279</v>
      </c>
      <c r="B16" s="1" t="s">
        <v>167</v>
      </c>
      <c r="C16" s="1" t="s">
        <v>20</v>
      </c>
      <c r="D16" s="1" t="s">
        <v>168</v>
      </c>
      <c r="E16" s="1" t="s">
        <v>134</v>
      </c>
      <c r="F16" s="1" t="s">
        <v>169</v>
      </c>
      <c r="G16" s="1" t="s">
        <v>280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281</v>
      </c>
      <c r="B17" s="1" t="s">
        <v>173</v>
      </c>
      <c r="C17" s="1" t="s">
        <v>20</v>
      </c>
      <c r="D17" s="1" t="s">
        <v>174</v>
      </c>
      <c r="E17" s="1" t="s">
        <v>134</v>
      </c>
      <c r="F17" s="1" t="s">
        <v>175</v>
      </c>
      <c r="G17" s="1" t="s">
        <v>282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283</v>
      </c>
      <c r="B18" s="1" t="s">
        <v>179</v>
      </c>
      <c r="C18" s="1" t="s">
        <v>20</v>
      </c>
      <c r="D18" s="1" t="s">
        <v>180</v>
      </c>
      <c r="E18" s="1" t="s">
        <v>134</v>
      </c>
      <c r="F18" s="1" t="s">
        <v>175</v>
      </c>
      <c r="G18" s="1" t="s">
        <v>282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284</v>
      </c>
      <c r="B19" s="1" t="s">
        <v>182</v>
      </c>
      <c r="C19" s="1" t="s">
        <v>20</v>
      </c>
      <c r="D19" s="1" t="s">
        <v>183</v>
      </c>
      <c r="E19" s="1" t="s">
        <v>134</v>
      </c>
      <c r="F19" s="1" t="s">
        <v>175</v>
      </c>
      <c r="G19" s="1" t="s">
        <v>285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286</v>
      </c>
      <c r="B20" s="1" t="s">
        <v>187</v>
      </c>
      <c r="C20" s="1" t="s">
        <v>20</v>
      </c>
      <c r="D20" s="1" t="s">
        <v>188</v>
      </c>
      <c r="E20" s="1" t="s">
        <v>134</v>
      </c>
      <c r="F20" s="1" t="s">
        <v>175</v>
      </c>
      <c r="G20" s="1" t="s">
        <v>282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287</v>
      </c>
      <c r="B21" s="1" t="s">
        <v>191</v>
      </c>
      <c r="C21" s="1" t="s">
        <v>20</v>
      </c>
      <c r="D21" s="1" t="s">
        <v>192</v>
      </c>
      <c r="E21" s="1" t="s">
        <v>134</v>
      </c>
      <c r="F21" s="1" t="s">
        <v>193</v>
      </c>
      <c r="G21" s="1" t="s">
        <v>288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289</v>
      </c>
      <c r="B22" s="1" t="s">
        <v>196</v>
      </c>
      <c r="C22" s="1" t="s">
        <v>20</v>
      </c>
      <c r="D22" s="1" t="s">
        <v>197</v>
      </c>
      <c r="E22" s="1" t="s">
        <v>134</v>
      </c>
      <c r="F22" s="1" t="s">
        <v>193</v>
      </c>
      <c r="G22" s="1" t="s">
        <v>290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291</v>
      </c>
      <c r="B23" s="1" t="s">
        <v>200</v>
      </c>
      <c r="C23" s="1" t="s">
        <v>20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292</v>
      </c>
      <c r="B24" s="1" t="s">
        <v>205</v>
      </c>
      <c r="C24" s="1" t="s">
        <v>20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266</v>
      </c>
      <c r="B9" s="1" t="s">
        <v>131</v>
      </c>
      <c r="C9" s="1" t="s">
        <v>21</v>
      </c>
      <c r="D9" s="1" t="s">
        <v>133</v>
      </c>
      <c r="E9" s="1" t="s">
        <v>134</v>
      </c>
      <c r="F9" s="1" t="s">
        <v>135</v>
      </c>
      <c r="G9" s="1" t="s">
        <v>294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268</v>
      </c>
      <c r="B10" s="1" t="s">
        <v>138</v>
      </c>
      <c r="C10" s="1" t="s">
        <v>21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269</v>
      </c>
      <c r="B11" s="1" t="s">
        <v>142</v>
      </c>
      <c r="C11" s="1" t="s">
        <v>21</v>
      </c>
      <c r="D11" s="1" t="s">
        <v>143</v>
      </c>
      <c r="E11" s="1" t="s">
        <v>134</v>
      </c>
      <c r="F11" s="1" t="s">
        <v>144</v>
      </c>
      <c r="G11" s="1" t="s">
        <v>295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271</v>
      </c>
      <c r="B12" s="1" t="s">
        <v>147</v>
      </c>
      <c r="C12" s="1" t="s">
        <v>21</v>
      </c>
      <c r="D12" s="1" t="s">
        <v>148</v>
      </c>
      <c r="E12" s="1" t="s">
        <v>134</v>
      </c>
      <c r="F12" s="1" t="s">
        <v>149</v>
      </c>
      <c r="G12" s="1" t="s">
        <v>296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273</v>
      </c>
      <c r="B13" s="1" t="s">
        <v>152</v>
      </c>
      <c r="C13" s="1" t="s">
        <v>21</v>
      </c>
      <c r="D13" s="1" t="s">
        <v>153</v>
      </c>
      <c r="E13" s="1" t="s">
        <v>134</v>
      </c>
      <c r="F13" s="1" t="s">
        <v>154</v>
      </c>
      <c r="G13" s="1" t="s">
        <v>297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275</v>
      </c>
      <c r="B14" s="1" t="s">
        <v>157</v>
      </c>
      <c r="C14" s="1" t="s">
        <v>21</v>
      </c>
      <c r="D14" s="1" t="s">
        <v>158</v>
      </c>
      <c r="E14" s="1" t="s">
        <v>134</v>
      </c>
      <c r="F14" s="1" t="s">
        <v>159</v>
      </c>
      <c r="G14" s="1" t="s">
        <v>298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277</v>
      </c>
      <c r="B15" s="1" t="s">
        <v>162</v>
      </c>
      <c r="C15" s="1" t="s">
        <v>21</v>
      </c>
      <c r="D15" s="1" t="s">
        <v>163</v>
      </c>
      <c r="E15" s="1" t="s">
        <v>134</v>
      </c>
      <c r="F15" s="1" t="s">
        <v>164</v>
      </c>
      <c r="G15" s="1" t="s">
        <v>299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279</v>
      </c>
      <c r="B16" s="1" t="s">
        <v>167</v>
      </c>
      <c r="C16" s="1" t="s">
        <v>21</v>
      </c>
      <c r="D16" s="1" t="s">
        <v>168</v>
      </c>
      <c r="E16" s="1" t="s">
        <v>134</v>
      </c>
      <c r="F16" s="1" t="s">
        <v>169</v>
      </c>
      <c r="G16" s="1" t="s">
        <v>300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281</v>
      </c>
      <c r="B17" s="1" t="s">
        <v>173</v>
      </c>
      <c r="C17" s="1" t="s">
        <v>21</v>
      </c>
      <c r="D17" s="1" t="s">
        <v>174</v>
      </c>
      <c r="E17" s="1" t="s">
        <v>134</v>
      </c>
      <c r="F17" s="1" t="s">
        <v>175</v>
      </c>
      <c r="G17" s="1" t="s">
        <v>301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283</v>
      </c>
      <c r="B18" s="1" t="s">
        <v>179</v>
      </c>
      <c r="C18" s="1" t="s">
        <v>21</v>
      </c>
      <c r="D18" s="1" t="s">
        <v>180</v>
      </c>
      <c r="E18" s="1" t="s">
        <v>134</v>
      </c>
      <c r="F18" s="1" t="s">
        <v>175</v>
      </c>
      <c r="G18" s="1" t="s">
        <v>301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284</v>
      </c>
      <c r="B19" s="1" t="s">
        <v>182</v>
      </c>
      <c r="C19" s="1" t="s">
        <v>21</v>
      </c>
      <c r="D19" s="1" t="s">
        <v>183</v>
      </c>
      <c r="E19" s="1" t="s">
        <v>134</v>
      </c>
      <c r="F19" s="1" t="s">
        <v>175</v>
      </c>
      <c r="G19" s="1" t="s">
        <v>302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286</v>
      </c>
      <c r="B20" s="1" t="s">
        <v>187</v>
      </c>
      <c r="C20" s="1" t="s">
        <v>21</v>
      </c>
      <c r="D20" s="1" t="s">
        <v>188</v>
      </c>
      <c r="E20" s="1" t="s">
        <v>134</v>
      </c>
      <c r="F20" s="1" t="s">
        <v>175</v>
      </c>
      <c r="G20" s="1" t="s">
        <v>301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287</v>
      </c>
      <c r="B21" s="1" t="s">
        <v>191</v>
      </c>
      <c r="C21" s="1" t="s">
        <v>21</v>
      </c>
      <c r="D21" s="1" t="s">
        <v>192</v>
      </c>
      <c r="E21" s="1" t="s">
        <v>134</v>
      </c>
      <c r="F21" s="1" t="s">
        <v>193</v>
      </c>
      <c r="G21" s="1" t="s">
        <v>303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289</v>
      </c>
      <c r="B22" s="1" t="s">
        <v>196</v>
      </c>
      <c r="C22" s="1" t="s">
        <v>21</v>
      </c>
      <c r="D22" s="1" t="s">
        <v>197</v>
      </c>
      <c r="E22" s="1" t="s">
        <v>134</v>
      </c>
      <c r="F22" s="1" t="s">
        <v>193</v>
      </c>
      <c r="G22" s="1" t="s">
        <v>304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291</v>
      </c>
      <c r="B23" s="1" t="s">
        <v>200</v>
      </c>
      <c r="C23" s="1" t="s">
        <v>21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292</v>
      </c>
      <c r="B24" s="1" t="s">
        <v>205</v>
      </c>
      <c r="C24" s="1" t="s">
        <v>21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306</v>
      </c>
      <c r="B9" s="1" t="s">
        <v>131</v>
      </c>
      <c r="C9" s="1" t="s">
        <v>22</v>
      </c>
      <c r="D9" s="1" t="s">
        <v>133</v>
      </c>
      <c r="E9" s="1" t="s">
        <v>134</v>
      </c>
      <c r="F9" s="1" t="s">
        <v>135</v>
      </c>
      <c r="G9" s="1" t="s">
        <v>307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308</v>
      </c>
      <c r="B10" s="1" t="s">
        <v>138</v>
      </c>
      <c r="C10" s="1" t="s">
        <v>22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309</v>
      </c>
      <c r="B11" s="1" t="s">
        <v>142</v>
      </c>
      <c r="C11" s="1" t="s">
        <v>22</v>
      </c>
      <c r="D11" s="1" t="s">
        <v>143</v>
      </c>
      <c r="E11" s="1" t="s">
        <v>134</v>
      </c>
      <c r="F11" s="1" t="s">
        <v>144</v>
      </c>
      <c r="G11" s="1" t="s">
        <v>310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311</v>
      </c>
      <c r="B12" s="1" t="s">
        <v>147</v>
      </c>
      <c r="C12" s="1" t="s">
        <v>22</v>
      </c>
      <c r="D12" s="1" t="s">
        <v>148</v>
      </c>
      <c r="E12" s="1" t="s">
        <v>134</v>
      </c>
      <c r="F12" s="1" t="s">
        <v>149</v>
      </c>
      <c r="G12" s="1" t="s">
        <v>312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313</v>
      </c>
      <c r="B13" s="1" t="s">
        <v>152</v>
      </c>
      <c r="C13" s="1" t="s">
        <v>22</v>
      </c>
      <c r="D13" s="1" t="s">
        <v>153</v>
      </c>
      <c r="E13" s="1" t="s">
        <v>134</v>
      </c>
      <c r="F13" s="1" t="s">
        <v>154</v>
      </c>
      <c r="G13" s="1" t="s">
        <v>314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315</v>
      </c>
      <c r="B14" s="1" t="s">
        <v>157</v>
      </c>
      <c r="C14" s="1" t="s">
        <v>22</v>
      </c>
      <c r="D14" s="1" t="s">
        <v>158</v>
      </c>
      <c r="E14" s="1" t="s">
        <v>134</v>
      </c>
      <c r="F14" s="1" t="s">
        <v>159</v>
      </c>
      <c r="G14" s="1" t="s">
        <v>316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317</v>
      </c>
      <c r="B15" s="1" t="s">
        <v>162</v>
      </c>
      <c r="C15" s="1" t="s">
        <v>22</v>
      </c>
      <c r="D15" s="1" t="s">
        <v>163</v>
      </c>
      <c r="E15" s="1" t="s">
        <v>134</v>
      </c>
      <c r="F15" s="1" t="s">
        <v>164</v>
      </c>
      <c r="G15" s="1" t="s">
        <v>318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319</v>
      </c>
      <c r="B16" s="1" t="s">
        <v>167</v>
      </c>
      <c r="C16" s="1" t="s">
        <v>22</v>
      </c>
      <c r="D16" s="1" t="s">
        <v>168</v>
      </c>
      <c r="E16" s="1" t="s">
        <v>134</v>
      </c>
      <c r="F16" s="1" t="s">
        <v>169</v>
      </c>
      <c r="G16" s="1" t="s">
        <v>320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321</v>
      </c>
      <c r="B17" s="1" t="s">
        <v>173</v>
      </c>
      <c r="C17" s="1" t="s">
        <v>22</v>
      </c>
      <c r="D17" s="1" t="s">
        <v>174</v>
      </c>
      <c r="E17" s="1" t="s">
        <v>134</v>
      </c>
      <c r="F17" s="1" t="s">
        <v>175</v>
      </c>
      <c r="G17" s="1" t="s">
        <v>322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323</v>
      </c>
      <c r="B18" s="1" t="s">
        <v>179</v>
      </c>
      <c r="C18" s="1" t="s">
        <v>22</v>
      </c>
      <c r="D18" s="1" t="s">
        <v>180</v>
      </c>
      <c r="E18" s="1" t="s">
        <v>134</v>
      </c>
      <c r="F18" s="1" t="s">
        <v>175</v>
      </c>
      <c r="G18" s="1" t="s">
        <v>322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324</v>
      </c>
      <c r="B19" s="1" t="s">
        <v>182</v>
      </c>
      <c r="C19" s="1" t="s">
        <v>22</v>
      </c>
      <c r="D19" s="1" t="s">
        <v>183</v>
      </c>
      <c r="E19" s="1" t="s">
        <v>134</v>
      </c>
      <c r="F19" s="1" t="s">
        <v>175</v>
      </c>
      <c r="G19" s="1" t="s">
        <v>325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326</v>
      </c>
      <c r="B20" s="1" t="s">
        <v>187</v>
      </c>
      <c r="C20" s="1" t="s">
        <v>22</v>
      </c>
      <c r="D20" s="1" t="s">
        <v>188</v>
      </c>
      <c r="E20" s="1" t="s">
        <v>134</v>
      </c>
      <c r="F20" s="1" t="s">
        <v>175</v>
      </c>
      <c r="G20" s="1" t="s">
        <v>322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327</v>
      </c>
      <c r="B21" s="1" t="s">
        <v>191</v>
      </c>
      <c r="C21" s="1" t="s">
        <v>22</v>
      </c>
      <c r="D21" s="1" t="s">
        <v>192</v>
      </c>
      <c r="E21" s="1" t="s">
        <v>134</v>
      </c>
      <c r="F21" s="1" t="s">
        <v>193</v>
      </c>
      <c r="G21" s="1" t="s">
        <v>328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329</v>
      </c>
      <c r="B22" s="1" t="s">
        <v>196</v>
      </c>
      <c r="C22" s="1" t="s">
        <v>22</v>
      </c>
      <c r="D22" s="1" t="s">
        <v>197</v>
      </c>
      <c r="E22" s="1" t="s">
        <v>134</v>
      </c>
      <c r="F22" s="1" t="s">
        <v>193</v>
      </c>
      <c r="G22" s="1" t="s">
        <v>330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331</v>
      </c>
      <c r="B23" s="1" t="s">
        <v>200</v>
      </c>
      <c r="C23" s="1" t="s">
        <v>22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332</v>
      </c>
      <c r="B24" s="1" t="s">
        <v>205</v>
      </c>
      <c r="C24" s="1" t="s">
        <v>22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306</v>
      </c>
      <c r="B9" s="1" t="s">
        <v>131</v>
      </c>
      <c r="C9" s="1" t="s">
        <v>23</v>
      </c>
      <c r="D9" s="1" t="s">
        <v>133</v>
      </c>
      <c r="E9" s="1" t="s">
        <v>134</v>
      </c>
      <c r="F9" s="1" t="s">
        <v>135</v>
      </c>
      <c r="G9" s="1" t="s">
        <v>334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308</v>
      </c>
      <c r="B10" s="1" t="s">
        <v>138</v>
      </c>
      <c r="C10" s="1" t="s">
        <v>23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309</v>
      </c>
      <c r="B11" s="1" t="s">
        <v>142</v>
      </c>
      <c r="C11" s="1" t="s">
        <v>23</v>
      </c>
      <c r="D11" s="1" t="s">
        <v>143</v>
      </c>
      <c r="E11" s="1" t="s">
        <v>134</v>
      </c>
      <c r="F11" s="1" t="s">
        <v>144</v>
      </c>
      <c r="G11" s="1" t="s">
        <v>335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311</v>
      </c>
      <c r="B12" s="1" t="s">
        <v>147</v>
      </c>
      <c r="C12" s="1" t="s">
        <v>23</v>
      </c>
      <c r="D12" s="1" t="s">
        <v>148</v>
      </c>
      <c r="E12" s="1" t="s">
        <v>134</v>
      </c>
      <c r="F12" s="1" t="s">
        <v>149</v>
      </c>
      <c r="G12" s="1" t="s">
        <v>336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313</v>
      </c>
      <c r="B13" s="1" t="s">
        <v>152</v>
      </c>
      <c r="C13" s="1" t="s">
        <v>23</v>
      </c>
      <c r="D13" s="1" t="s">
        <v>153</v>
      </c>
      <c r="E13" s="1" t="s">
        <v>134</v>
      </c>
      <c r="F13" s="1" t="s">
        <v>154</v>
      </c>
      <c r="G13" s="1" t="s">
        <v>337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315</v>
      </c>
      <c r="B14" s="1" t="s">
        <v>157</v>
      </c>
      <c r="C14" s="1" t="s">
        <v>23</v>
      </c>
      <c r="D14" s="1" t="s">
        <v>158</v>
      </c>
      <c r="E14" s="1" t="s">
        <v>134</v>
      </c>
      <c r="F14" s="1" t="s">
        <v>159</v>
      </c>
      <c r="G14" s="1" t="s">
        <v>338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317</v>
      </c>
      <c r="B15" s="1" t="s">
        <v>162</v>
      </c>
      <c r="C15" s="1" t="s">
        <v>23</v>
      </c>
      <c r="D15" s="1" t="s">
        <v>163</v>
      </c>
      <c r="E15" s="1" t="s">
        <v>134</v>
      </c>
      <c r="F15" s="1" t="s">
        <v>164</v>
      </c>
      <c r="G15" s="1" t="s">
        <v>339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319</v>
      </c>
      <c r="B16" s="1" t="s">
        <v>167</v>
      </c>
      <c r="C16" s="1" t="s">
        <v>23</v>
      </c>
      <c r="D16" s="1" t="s">
        <v>168</v>
      </c>
      <c r="E16" s="1" t="s">
        <v>134</v>
      </c>
      <c r="F16" s="1" t="s">
        <v>169</v>
      </c>
      <c r="G16" s="1" t="s">
        <v>340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321</v>
      </c>
      <c r="B17" s="1" t="s">
        <v>173</v>
      </c>
      <c r="C17" s="1" t="s">
        <v>23</v>
      </c>
      <c r="D17" s="1" t="s">
        <v>174</v>
      </c>
      <c r="E17" s="1" t="s">
        <v>134</v>
      </c>
      <c r="F17" s="1" t="s">
        <v>175</v>
      </c>
      <c r="G17" s="1" t="s">
        <v>341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323</v>
      </c>
      <c r="B18" s="1" t="s">
        <v>179</v>
      </c>
      <c r="C18" s="1" t="s">
        <v>23</v>
      </c>
      <c r="D18" s="1" t="s">
        <v>180</v>
      </c>
      <c r="E18" s="1" t="s">
        <v>134</v>
      </c>
      <c r="F18" s="1" t="s">
        <v>175</v>
      </c>
      <c r="G18" s="1" t="s">
        <v>341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324</v>
      </c>
      <c r="B19" s="1" t="s">
        <v>182</v>
      </c>
      <c r="C19" s="1" t="s">
        <v>23</v>
      </c>
      <c r="D19" s="1" t="s">
        <v>183</v>
      </c>
      <c r="E19" s="1" t="s">
        <v>134</v>
      </c>
      <c r="F19" s="1" t="s">
        <v>175</v>
      </c>
      <c r="G19" s="1" t="s">
        <v>342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326</v>
      </c>
      <c r="B20" s="1" t="s">
        <v>187</v>
      </c>
      <c r="C20" s="1" t="s">
        <v>23</v>
      </c>
      <c r="D20" s="1" t="s">
        <v>188</v>
      </c>
      <c r="E20" s="1" t="s">
        <v>134</v>
      </c>
      <c r="F20" s="1" t="s">
        <v>175</v>
      </c>
      <c r="G20" s="1" t="s">
        <v>341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327</v>
      </c>
      <c r="B21" s="1" t="s">
        <v>191</v>
      </c>
      <c r="C21" s="1" t="s">
        <v>23</v>
      </c>
      <c r="D21" s="1" t="s">
        <v>192</v>
      </c>
      <c r="E21" s="1" t="s">
        <v>134</v>
      </c>
      <c r="F21" s="1" t="s">
        <v>193</v>
      </c>
      <c r="G21" s="1" t="s">
        <v>343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329</v>
      </c>
      <c r="B22" s="1" t="s">
        <v>196</v>
      </c>
      <c r="C22" s="1" t="s">
        <v>23</v>
      </c>
      <c r="D22" s="1" t="s">
        <v>197</v>
      </c>
      <c r="E22" s="1" t="s">
        <v>134</v>
      </c>
      <c r="F22" s="1" t="s">
        <v>193</v>
      </c>
      <c r="G22" s="1" t="s">
        <v>344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331</v>
      </c>
      <c r="B23" s="1" t="s">
        <v>200</v>
      </c>
      <c r="C23" s="1" t="s">
        <v>23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332</v>
      </c>
      <c r="B24" s="1" t="s">
        <v>205</v>
      </c>
      <c r="C24" s="1" t="s">
        <v>23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346</v>
      </c>
      <c r="B9" s="1" t="s">
        <v>131</v>
      </c>
      <c r="C9" s="1" t="s">
        <v>347</v>
      </c>
      <c r="D9" s="1" t="s">
        <v>133</v>
      </c>
      <c r="E9" s="1" t="s">
        <v>134</v>
      </c>
      <c r="F9" s="1" t="s">
        <v>135</v>
      </c>
      <c r="G9" s="1" t="s">
        <v>348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349</v>
      </c>
      <c r="B10" s="1" t="s">
        <v>138</v>
      </c>
      <c r="C10" s="1" t="s">
        <v>347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350</v>
      </c>
      <c r="B11" s="1" t="s">
        <v>142</v>
      </c>
      <c r="C11" s="1" t="s">
        <v>347</v>
      </c>
      <c r="D11" s="1" t="s">
        <v>143</v>
      </c>
      <c r="E11" s="1" t="s">
        <v>134</v>
      </c>
      <c r="F11" s="1" t="s">
        <v>144</v>
      </c>
      <c r="G11" s="1" t="s">
        <v>351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352</v>
      </c>
      <c r="B12" s="1" t="s">
        <v>147</v>
      </c>
      <c r="C12" s="1" t="s">
        <v>347</v>
      </c>
      <c r="D12" s="1" t="s">
        <v>148</v>
      </c>
      <c r="E12" s="1" t="s">
        <v>134</v>
      </c>
      <c r="F12" s="1" t="s">
        <v>149</v>
      </c>
      <c r="G12" s="1" t="s">
        <v>353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354</v>
      </c>
      <c r="B13" s="1" t="s">
        <v>152</v>
      </c>
      <c r="C13" s="1" t="s">
        <v>347</v>
      </c>
      <c r="D13" s="1" t="s">
        <v>153</v>
      </c>
      <c r="E13" s="1" t="s">
        <v>134</v>
      </c>
      <c r="F13" s="1" t="s">
        <v>154</v>
      </c>
      <c r="G13" s="1" t="s">
        <v>355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356</v>
      </c>
      <c r="B14" s="1" t="s">
        <v>157</v>
      </c>
      <c r="C14" s="1" t="s">
        <v>347</v>
      </c>
      <c r="D14" s="1" t="s">
        <v>158</v>
      </c>
      <c r="E14" s="1" t="s">
        <v>134</v>
      </c>
      <c r="F14" s="1" t="s">
        <v>159</v>
      </c>
      <c r="G14" s="1" t="s">
        <v>357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358</v>
      </c>
      <c r="B15" s="1" t="s">
        <v>162</v>
      </c>
      <c r="C15" s="1" t="s">
        <v>347</v>
      </c>
      <c r="D15" s="1" t="s">
        <v>163</v>
      </c>
      <c r="E15" s="1" t="s">
        <v>134</v>
      </c>
      <c r="F15" s="1" t="s">
        <v>164</v>
      </c>
      <c r="G15" s="1" t="s">
        <v>359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360</v>
      </c>
      <c r="B16" s="1" t="s">
        <v>167</v>
      </c>
      <c r="C16" s="1" t="s">
        <v>347</v>
      </c>
      <c r="D16" s="1" t="s">
        <v>168</v>
      </c>
      <c r="E16" s="1" t="s">
        <v>134</v>
      </c>
      <c r="F16" s="1" t="s">
        <v>169</v>
      </c>
      <c r="G16" s="1" t="s">
        <v>361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362</v>
      </c>
      <c r="B17" s="1" t="s">
        <v>173</v>
      </c>
      <c r="C17" s="1" t="s">
        <v>347</v>
      </c>
      <c r="D17" s="1" t="s">
        <v>174</v>
      </c>
      <c r="E17" s="1" t="s">
        <v>134</v>
      </c>
      <c r="F17" s="1" t="s">
        <v>175</v>
      </c>
      <c r="G17" s="1" t="s">
        <v>363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364</v>
      </c>
      <c r="B18" s="1" t="s">
        <v>179</v>
      </c>
      <c r="C18" s="1" t="s">
        <v>347</v>
      </c>
      <c r="D18" s="1" t="s">
        <v>180</v>
      </c>
      <c r="E18" s="1" t="s">
        <v>134</v>
      </c>
      <c r="F18" s="1" t="s">
        <v>175</v>
      </c>
      <c r="G18" s="1" t="s">
        <v>363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365</v>
      </c>
      <c r="B19" s="1" t="s">
        <v>182</v>
      </c>
      <c r="C19" s="1" t="s">
        <v>347</v>
      </c>
      <c r="D19" s="1" t="s">
        <v>183</v>
      </c>
      <c r="E19" s="1" t="s">
        <v>134</v>
      </c>
      <c r="F19" s="1" t="s">
        <v>175</v>
      </c>
      <c r="G19" s="1" t="s">
        <v>366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367</v>
      </c>
      <c r="B20" s="1" t="s">
        <v>187</v>
      </c>
      <c r="C20" s="1" t="s">
        <v>347</v>
      </c>
      <c r="D20" s="1" t="s">
        <v>188</v>
      </c>
      <c r="E20" s="1" t="s">
        <v>134</v>
      </c>
      <c r="F20" s="1" t="s">
        <v>175</v>
      </c>
      <c r="G20" s="1" t="s">
        <v>363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368</v>
      </c>
      <c r="B21" s="1" t="s">
        <v>191</v>
      </c>
      <c r="C21" s="1" t="s">
        <v>347</v>
      </c>
      <c r="D21" s="1" t="s">
        <v>192</v>
      </c>
      <c r="E21" s="1" t="s">
        <v>134</v>
      </c>
      <c r="F21" s="1" t="s">
        <v>193</v>
      </c>
      <c r="G21" s="1" t="s">
        <v>369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370</v>
      </c>
      <c r="B22" s="1" t="s">
        <v>196</v>
      </c>
      <c r="C22" s="1" t="s">
        <v>347</v>
      </c>
      <c r="D22" s="1" t="s">
        <v>197</v>
      </c>
      <c r="E22" s="1" t="s">
        <v>134</v>
      </c>
      <c r="F22" s="1" t="s">
        <v>193</v>
      </c>
      <c r="G22" s="1" t="s">
        <v>371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372</v>
      </c>
      <c r="B23" s="1" t="s">
        <v>200</v>
      </c>
      <c r="C23" s="1" t="s">
        <v>347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373</v>
      </c>
      <c r="B24" s="1" t="s">
        <v>205</v>
      </c>
      <c r="C24" s="1" t="s">
        <v>347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374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375</v>
      </c>
      <c r="B9" s="1" t="s">
        <v>131</v>
      </c>
      <c r="C9" s="1" t="s">
        <v>25</v>
      </c>
      <c r="D9" s="1" t="s">
        <v>133</v>
      </c>
      <c r="E9" s="1" t="s">
        <v>134</v>
      </c>
      <c r="F9" s="1" t="s">
        <v>135</v>
      </c>
      <c r="G9" s="1" t="s">
        <v>376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377</v>
      </c>
      <c r="B10" s="1" t="s">
        <v>138</v>
      </c>
      <c r="C10" s="1" t="s">
        <v>25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378</v>
      </c>
      <c r="B11" s="1" t="s">
        <v>142</v>
      </c>
      <c r="C11" s="1" t="s">
        <v>25</v>
      </c>
      <c r="D11" s="1" t="s">
        <v>143</v>
      </c>
      <c r="E11" s="1" t="s">
        <v>134</v>
      </c>
      <c r="F11" s="1" t="s">
        <v>144</v>
      </c>
      <c r="G11" s="1" t="s">
        <v>379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380</v>
      </c>
      <c r="B12" s="1" t="s">
        <v>147</v>
      </c>
      <c r="C12" s="1" t="s">
        <v>25</v>
      </c>
      <c r="D12" s="1" t="s">
        <v>148</v>
      </c>
      <c r="E12" s="1" t="s">
        <v>134</v>
      </c>
      <c r="F12" s="1" t="s">
        <v>149</v>
      </c>
      <c r="G12" s="1" t="s">
        <v>381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382</v>
      </c>
      <c r="B13" s="1" t="s">
        <v>152</v>
      </c>
      <c r="C13" s="1" t="s">
        <v>25</v>
      </c>
      <c r="D13" s="1" t="s">
        <v>153</v>
      </c>
      <c r="E13" s="1" t="s">
        <v>134</v>
      </c>
      <c r="F13" s="1" t="s">
        <v>154</v>
      </c>
      <c r="G13" s="1" t="s">
        <v>383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384</v>
      </c>
      <c r="B14" s="1" t="s">
        <v>157</v>
      </c>
      <c r="C14" s="1" t="s">
        <v>25</v>
      </c>
      <c r="D14" s="1" t="s">
        <v>158</v>
      </c>
      <c r="E14" s="1" t="s">
        <v>134</v>
      </c>
      <c r="F14" s="1" t="s">
        <v>159</v>
      </c>
      <c r="G14" s="1" t="s">
        <v>385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386</v>
      </c>
      <c r="B15" s="1" t="s">
        <v>162</v>
      </c>
      <c r="C15" s="1" t="s">
        <v>25</v>
      </c>
      <c r="D15" s="1" t="s">
        <v>163</v>
      </c>
      <c r="E15" s="1" t="s">
        <v>134</v>
      </c>
      <c r="F15" s="1" t="s">
        <v>164</v>
      </c>
      <c r="G15" s="1" t="s">
        <v>387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388</v>
      </c>
      <c r="B16" s="1" t="s">
        <v>167</v>
      </c>
      <c r="C16" s="1" t="s">
        <v>25</v>
      </c>
      <c r="D16" s="1" t="s">
        <v>168</v>
      </c>
      <c r="E16" s="1" t="s">
        <v>134</v>
      </c>
      <c r="F16" s="1" t="s">
        <v>169</v>
      </c>
      <c r="G16" s="1" t="s">
        <v>389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390</v>
      </c>
      <c r="B17" s="1" t="s">
        <v>173</v>
      </c>
      <c r="C17" s="1" t="s">
        <v>25</v>
      </c>
      <c r="D17" s="1" t="s">
        <v>174</v>
      </c>
      <c r="E17" s="1" t="s">
        <v>134</v>
      </c>
      <c r="F17" s="1" t="s">
        <v>175</v>
      </c>
      <c r="G17" s="1" t="s">
        <v>391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392</v>
      </c>
      <c r="B18" s="1" t="s">
        <v>179</v>
      </c>
      <c r="C18" s="1" t="s">
        <v>25</v>
      </c>
      <c r="D18" s="1" t="s">
        <v>180</v>
      </c>
      <c r="E18" s="1" t="s">
        <v>134</v>
      </c>
      <c r="F18" s="1" t="s">
        <v>175</v>
      </c>
      <c r="G18" s="1" t="s">
        <v>391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393</v>
      </c>
      <c r="B19" s="1" t="s">
        <v>182</v>
      </c>
      <c r="C19" s="1" t="s">
        <v>25</v>
      </c>
      <c r="D19" s="1" t="s">
        <v>183</v>
      </c>
      <c r="E19" s="1" t="s">
        <v>134</v>
      </c>
      <c r="F19" s="1" t="s">
        <v>175</v>
      </c>
      <c r="G19" s="1" t="s">
        <v>394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395</v>
      </c>
      <c r="B20" s="1" t="s">
        <v>187</v>
      </c>
      <c r="C20" s="1" t="s">
        <v>25</v>
      </c>
      <c r="D20" s="1" t="s">
        <v>188</v>
      </c>
      <c r="E20" s="1" t="s">
        <v>134</v>
      </c>
      <c r="F20" s="1" t="s">
        <v>175</v>
      </c>
      <c r="G20" s="1" t="s">
        <v>391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396</v>
      </c>
      <c r="B21" s="1" t="s">
        <v>191</v>
      </c>
      <c r="C21" s="1" t="s">
        <v>25</v>
      </c>
      <c r="D21" s="1" t="s">
        <v>192</v>
      </c>
      <c r="E21" s="1" t="s">
        <v>134</v>
      </c>
      <c r="F21" s="1" t="s">
        <v>193</v>
      </c>
      <c r="G21" s="1" t="s">
        <v>397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398</v>
      </c>
      <c r="B22" s="1" t="s">
        <v>196</v>
      </c>
      <c r="C22" s="1" t="s">
        <v>25</v>
      </c>
      <c r="D22" s="1" t="s">
        <v>197</v>
      </c>
      <c r="E22" s="1" t="s">
        <v>134</v>
      </c>
      <c r="F22" s="1" t="s">
        <v>193</v>
      </c>
      <c r="G22" s="1" t="s">
        <v>399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400</v>
      </c>
      <c r="B23" s="1" t="s">
        <v>200</v>
      </c>
      <c r="C23" s="1" t="s">
        <v>25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401</v>
      </c>
      <c r="B24" s="1" t="s">
        <v>205</v>
      </c>
      <c r="C24" s="1" t="s">
        <v>25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375</v>
      </c>
      <c r="B9" s="1" t="s">
        <v>131</v>
      </c>
      <c r="C9" s="1" t="s">
        <v>26</v>
      </c>
      <c r="D9" s="1" t="s">
        <v>133</v>
      </c>
      <c r="E9" s="1" t="s">
        <v>134</v>
      </c>
      <c r="F9" s="1" t="s">
        <v>135</v>
      </c>
      <c r="G9" s="1" t="s">
        <v>403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377</v>
      </c>
      <c r="B10" s="1" t="s">
        <v>138</v>
      </c>
      <c r="C10" s="1" t="s">
        <v>26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378</v>
      </c>
      <c r="B11" s="1" t="s">
        <v>142</v>
      </c>
      <c r="C11" s="1" t="s">
        <v>26</v>
      </c>
      <c r="D11" s="1" t="s">
        <v>143</v>
      </c>
      <c r="E11" s="1" t="s">
        <v>134</v>
      </c>
      <c r="F11" s="1" t="s">
        <v>144</v>
      </c>
      <c r="G11" s="1" t="s">
        <v>404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380</v>
      </c>
      <c r="B12" s="1" t="s">
        <v>147</v>
      </c>
      <c r="C12" s="1" t="s">
        <v>26</v>
      </c>
      <c r="D12" s="1" t="s">
        <v>148</v>
      </c>
      <c r="E12" s="1" t="s">
        <v>134</v>
      </c>
      <c r="F12" s="1" t="s">
        <v>149</v>
      </c>
      <c r="G12" s="1" t="s">
        <v>405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382</v>
      </c>
      <c r="B13" s="1" t="s">
        <v>152</v>
      </c>
      <c r="C13" s="1" t="s">
        <v>26</v>
      </c>
      <c r="D13" s="1" t="s">
        <v>153</v>
      </c>
      <c r="E13" s="1" t="s">
        <v>134</v>
      </c>
      <c r="F13" s="1" t="s">
        <v>154</v>
      </c>
      <c r="G13" s="1" t="s">
        <v>406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384</v>
      </c>
      <c r="B14" s="1" t="s">
        <v>157</v>
      </c>
      <c r="C14" s="1" t="s">
        <v>26</v>
      </c>
      <c r="D14" s="1" t="s">
        <v>158</v>
      </c>
      <c r="E14" s="1" t="s">
        <v>134</v>
      </c>
      <c r="F14" s="1" t="s">
        <v>159</v>
      </c>
      <c r="G14" s="1" t="s">
        <v>407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386</v>
      </c>
      <c r="B15" s="1" t="s">
        <v>162</v>
      </c>
      <c r="C15" s="1" t="s">
        <v>26</v>
      </c>
      <c r="D15" s="1" t="s">
        <v>163</v>
      </c>
      <c r="E15" s="1" t="s">
        <v>134</v>
      </c>
      <c r="F15" s="1" t="s">
        <v>164</v>
      </c>
      <c r="G15" s="1" t="s">
        <v>408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388</v>
      </c>
      <c r="B16" s="1" t="s">
        <v>167</v>
      </c>
      <c r="C16" s="1" t="s">
        <v>26</v>
      </c>
      <c r="D16" s="1" t="s">
        <v>168</v>
      </c>
      <c r="E16" s="1" t="s">
        <v>134</v>
      </c>
      <c r="F16" s="1" t="s">
        <v>169</v>
      </c>
      <c r="G16" s="1" t="s">
        <v>409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390</v>
      </c>
      <c r="B17" s="1" t="s">
        <v>173</v>
      </c>
      <c r="C17" s="1" t="s">
        <v>26</v>
      </c>
      <c r="D17" s="1" t="s">
        <v>174</v>
      </c>
      <c r="E17" s="1" t="s">
        <v>134</v>
      </c>
      <c r="F17" s="1" t="s">
        <v>175</v>
      </c>
      <c r="G17" s="1" t="s">
        <v>410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392</v>
      </c>
      <c r="B18" s="1" t="s">
        <v>179</v>
      </c>
      <c r="C18" s="1" t="s">
        <v>26</v>
      </c>
      <c r="D18" s="1" t="s">
        <v>180</v>
      </c>
      <c r="E18" s="1" t="s">
        <v>134</v>
      </c>
      <c r="F18" s="1" t="s">
        <v>175</v>
      </c>
      <c r="G18" s="1" t="s">
        <v>410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393</v>
      </c>
      <c r="B19" s="1" t="s">
        <v>182</v>
      </c>
      <c r="C19" s="1" t="s">
        <v>26</v>
      </c>
      <c r="D19" s="1" t="s">
        <v>183</v>
      </c>
      <c r="E19" s="1" t="s">
        <v>134</v>
      </c>
      <c r="F19" s="1" t="s">
        <v>175</v>
      </c>
      <c r="G19" s="1" t="s">
        <v>411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395</v>
      </c>
      <c r="B20" s="1" t="s">
        <v>187</v>
      </c>
      <c r="C20" s="1" t="s">
        <v>26</v>
      </c>
      <c r="D20" s="1" t="s">
        <v>188</v>
      </c>
      <c r="E20" s="1" t="s">
        <v>134</v>
      </c>
      <c r="F20" s="1" t="s">
        <v>175</v>
      </c>
      <c r="G20" s="1" t="s">
        <v>410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396</v>
      </c>
      <c r="B21" s="1" t="s">
        <v>191</v>
      </c>
      <c r="C21" s="1" t="s">
        <v>26</v>
      </c>
      <c r="D21" s="1" t="s">
        <v>192</v>
      </c>
      <c r="E21" s="1" t="s">
        <v>134</v>
      </c>
      <c r="F21" s="1" t="s">
        <v>193</v>
      </c>
      <c r="G21" s="1" t="s">
        <v>412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398</v>
      </c>
      <c r="B22" s="1" t="s">
        <v>196</v>
      </c>
      <c r="C22" s="1" t="s">
        <v>26</v>
      </c>
      <c r="D22" s="1" t="s">
        <v>197</v>
      </c>
      <c r="E22" s="1" t="s">
        <v>134</v>
      </c>
      <c r="F22" s="1" t="s">
        <v>193</v>
      </c>
      <c r="G22" s="1" t="s">
        <v>413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400</v>
      </c>
      <c r="B23" s="1" t="s">
        <v>200</v>
      </c>
      <c r="C23" s="1" t="s">
        <v>26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401</v>
      </c>
      <c r="B24" s="1" t="s">
        <v>205</v>
      </c>
      <c r="C24" s="1" t="s">
        <v>26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415</v>
      </c>
      <c r="B9" s="1" t="s">
        <v>131</v>
      </c>
      <c r="C9" s="1" t="s">
        <v>27</v>
      </c>
      <c r="D9" s="1" t="s">
        <v>133</v>
      </c>
      <c r="E9" s="1" t="s">
        <v>134</v>
      </c>
      <c r="F9" s="1" t="s">
        <v>135</v>
      </c>
      <c r="G9" s="1" t="s">
        <v>416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417</v>
      </c>
      <c r="B10" s="1" t="s">
        <v>138</v>
      </c>
      <c r="C10" s="1" t="s">
        <v>27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418</v>
      </c>
      <c r="B11" s="1" t="s">
        <v>142</v>
      </c>
      <c r="C11" s="1" t="s">
        <v>27</v>
      </c>
      <c r="D11" s="1" t="s">
        <v>143</v>
      </c>
      <c r="E11" s="1" t="s">
        <v>134</v>
      </c>
      <c r="F11" s="1" t="s">
        <v>144</v>
      </c>
      <c r="G11" s="1" t="s">
        <v>419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420</v>
      </c>
      <c r="B12" s="1" t="s">
        <v>147</v>
      </c>
      <c r="C12" s="1" t="s">
        <v>27</v>
      </c>
      <c r="D12" s="1" t="s">
        <v>148</v>
      </c>
      <c r="E12" s="1" t="s">
        <v>134</v>
      </c>
      <c r="F12" s="1" t="s">
        <v>149</v>
      </c>
      <c r="G12" s="1" t="s">
        <v>421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422</v>
      </c>
      <c r="B13" s="1" t="s">
        <v>152</v>
      </c>
      <c r="C13" s="1" t="s">
        <v>27</v>
      </c>
      <c r="D13" s="1" t="s">
        <v>153</v>
      </c>
      <c r="E13" s="1" t="s">
        <v>134</v>
      </c>
      <c r="F13" s="1" t="s">
        <v>154</v>
      </c>
      <c r="G13" s="1" t="s">
        <v>423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424</v>
      </c>
      <c r="B14" s="1" t="s">
        <v>157</v>
      </c>
      <c r="C14" s="1" t="s">
        <v>27</v>
      </c>
      <c r="D14" s="1" t="s">
        <v>158</v>
      </c>
      <c r="E14" s="1" t="s">
        <v>134</v>
      </c>
      <c r="F14" s="1" t="s">
        <v>159</v>
      </c>
      <c r="G14" s="1" t="s">
        <v>425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426</v>
      </c>
      <c r="B15" s="1" t="s">
        <v>162</v>
      </c>
      <c r="C15" s="1" t="s">
        <v>27</v>
      </c>
      <c r="D15" s="1" t="s">
        <v>163</v>
      </c>
      <c r="E15" s="1" t="s">
        <v>134</v>
      </c>
      <c r="F15" s="1" t="s">
        <v>164</v>
      </c>
      <c r="G15" s="1" t="s">
        <v>427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428</v>
      </c>
      <c r="B16" s="1" t="s">
        <v>167</v>
      </c>
      <c r="C16" s="1" t="s">
        <v>27</v>
      </c>
      <c r="D16" s="1" t="s">
        <v>168</v>
      </c>
      <c r="E16" s="1" t="s">
        <v>134</v>
      </c>
      <c r="F16" s="1" t="s">
        <v>169</v>
      </c>
      <c r="G16" s="1" t="s">
        <v>429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430</v>
      </c>
      <c r="B17" s="1" t="s">
        <v>173</v>
      </c>
      <c r="C17" s="1" t="s">
        <v>27</v>
      </c>
      <c r="D17" s="1" t="s">
        <v>174</v>
      </c>
      <c r="E17" s="1" t="s">
        <v>134</v>
      </c>
      <c r="F17" s="1" t="s">
        <v>175</v>
      </c>
      <c r="G17" s="1" t="s">
        <v>431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432</v>
      </c>
      <c r="B18" s="1" t="s">
        <v>179</v>
      </c>
      <c r="C18" s="1" t="s">
        <v>27</v>
      </c>
      <c r="D18" s="1" t="s">
        <v>180</v>
      </c>
      <c r="E18" s="1" t="s">
        <v>134</v>
      </c>
      <c r="F18" s="1" t="s">
        <v>175</v>
      </c>
      <c r="G18" s="1" t="s">
        <v>431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433</v>
      </c>
      <c r="B19" s="1" t="s">
        <v>182</v>
      </c>
      <c r="C19" s="1" t="s">
        <v>27</v>
      </c>
      <c r="D19" s="1" t="s">
        <v>183</v>
      </c>
      <c r="E19" s="1" t="s">
        <v>134</v>
      </c>
      <c r="F19" s="1" t="s">
        <v>175</v>
      </c>
      <c r="G19" s="1" t="s">
        <v>434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435</v>
      </c>
      <c r="B20" s="1" t="s">
        <v>187</v>
      </c>
      <c r="C20" s="1" t="s">
        <v>27</v>
      </c>
      <c r="D20" s="1" t="s">
        <v>188</v>
      </c>
      <c r="E20" s="1" t="s">
        <v>134</v>
      </c>
      <c r="F20" s="1" t="s">
        <v>175</v>
      </c>
      <c r="G20" s="1" t="s">
        <v>431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436</v>
      </c>
      <c r="B21" s="1" t="s">
        <v>191</v>
      </c>
      <c r="C21" s="1" t="s">
        <v>27</v>
      </c>
      <c r="D21" s="1" t="s">
        <v>192</v>
      </c>
      <c r="E21" s="1" t="s">
        <v>134</v>
      </c>
      <c r="F21" s="1" t="s">
        <v>193</v>
      </c>
      <c r="G21" s="1" t="s">
        <v>437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438</v>
      </c>
      <c r="B22" s="1" t="s">
        <v>196</v>
      </c>
      <c r="C22" s="1" t="s">
        <v>27</v>
      </c>
      <c r="D22" s="1" t="s">
        <v>197</v>
      </c>
      <c r="E22" s="1" t="s">
        <v>134</v>
      </c>
      <c r="F22" s="1" t="s">
        <v>193</v>
      </c>
      <c r="G22" s="1" t="s">
        <v>439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440</v>
      </c>
      <c r="B23" s="1" t="s">
        <v>200</v>
      </c>
      <c r="C23" s="1" t="s">
        <v>27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441</v>
      </c>
      <c r="B24" s="1" t="s">
        <v>205</v>
      </c>
      <c r="C24" s="1" t="s">
        <v>27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415</v>
      </c>
      <c r="B9" s="1" t="s">
        <v>131</v>
      </c>
      <c r="C9" s="1" t="s">
        <v>28</v>
      </c>
      <c r="D9" s="1" t="s">
        <v>133</v>
      </c>
      <c r="E9" s="1" t="s">
        <v>134</v>
      </c>
      <c r="F9" s="1" t="s">
        <v>135</v>
      </c>
      <c r="G9" s="1" t="s">
        <v>443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417</v>
      </c>
      <c r="B10" s="1" t="s">
        <v>138</v>
      </c>
      <c r="C10" s="1" t="s">
        <v>28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418</v>
      </c>
      <c r="B11" s="1" t="s">
        <v>142</v>
      </c>
      <c r="C11" s="1" t="s">
        <v>28</v>
      </c>
      <c r="D11" s="1" t="s">
        <v>143</v>
      </c>
      <c r="E11" s="1" t="s">
        <v>134</v>
      </c>
      <c r="F11" s="1" t="s">
        <v>144</v>
      </c>
      <c r="G11" s="1" t="s">
        <v>444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420</v>
      </c>
      <c r="B12" s="1" t="s">
        <v>147</v>
      </c>
      <c r="C12" s="1" t="s">
        <v>28</v>
      </c>
      <c r="D12" s="1" t="s">
        <v>148</v>
      </c>
      <c r="E12" s="1" t="s">
        <v>134</v>
      </c>
      <c r="F12" s="1" t="s">
        <v>149</v>
      </c>
      <c r="G12" s="1" t="s">
        <v>445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422</v>
      </c>
      <c r="B13" s="1" t="s">
        <v>152</v>
      </c>
      <c r="C13" s="1" t="s">
        <v>28</v>
      </c>
      <c r="D13" s="1" t="s">
        <v>153</v>
      </c>
      <c r="E13" s="1" t="s">
        <v>134</v>
      </c>
      <c r="F13" s="1" t="s">
        <v>154</v>
      </c>
      <c r="G13" s="1" t="s">
        <v>446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424</v>
      </c>
      <c r="B14" s="1" t="s">
        <v>157</v>
      </c>
      <c r="C14" s="1" t="s">
        <v>28</v>
      </c>
      <c r="D14" s="1" t="s">
        <v>158</v>
      </c>
      <c r="E14" s="1" t="s">
        <v>134</v>
      </c>
      <c r="F14" s="1" t="s">
        <v>159</v>
      </c>
      <c r="G14" s="1" t="s">
        <v>447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426</v>
      </c>
      <c r="B15" s="1" t="s">
        <v>162</v>
      </c>
      <c r="C15" s="1" t="s">
        <v>28</v>
      </c>
      <c r="D15" s="1" t="s">
        <v>163</v>
      </c>
      <c r="E15" s="1" t="s">
        <v>134</v>
      </c>
      <c r="F15" s="1" t="s">
        <v>164</v>
      </c>
      <c r="G15" s="1" t="s">
        <v>448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428</v>
      </c>
      <c r="B16" s="1" t="s">
        <v>167</v>
      </c>
      <c r="C16" s="1" t="s">
        <v>28</v>
      </c>
      <c r="D16" s="1" t="s">
        <v>168</v>
      </c>
      <c r="E16" s="1" t="s">
        <v>134</v>
      </c>
      <c r="F16" s="1" t="s">
        <v>169</v>
      </c>
      <c r="G16" s="1" t="s">
        <v>449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430</v>
      </c>
      <c r="B17" s="1" t="s">
        <v>173</v>
      </c>
      <c r="C17" s="1" t="s">
        <v>28</v>
      </c>
      <c r="D17" s="1" t="s">
        <v>174</v>
      </c>
      <c r="E17" s="1" t="s">
        <v>134</v>
      </c>
      <c r="F17" s="1" t="s">
        <v>175</v>
      </c>
      <c r="G17" s="1" t="s">
        <v>450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432</v>
      </c>
      <c r="B18" s="1" t="s">
        <v>179</v>
      </c>
      <c r="C18" s="1" t="s">
        <v>28</v>
      </c>
      <c r="D18" s="1" t="s">
        <v>180</v>
      </c>
      <c r="E18" s="1" t="s">
        <v>134</v>
      </c>
      <c r="F18" s="1" t="s">
        <v>175</v>
      </c>
      <c r="G18" s="1" t="s">
        <v>450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433</v>
      </c>
      <c r="B19" s="1" t="s">
        <v>182</v>
      </c>
      <c r="C19" s="1" t="s">
        <v>28</v>
      </c>
      <c r="D19" s="1" t="s">
        <v>183</v>
      </c>
      <c r="E19" s="1" t="s">
        <v>134</v>
      </c>
      <c r="F19" s="1" t="s">
        <v>175</v>
      </c>
      <c r="G19" s="1" t="s">
        <v>451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435</v>
      </c>
      <c r="B20" s="1" t="s">
        <v>187</v>
      </c>
      <c r="C20" s="1" t="s">
        <v>28</v>
      </c>
      <c r="D20" s="1" t="s">
        <v>188</v>
      </c>
      <c r="E20" s="1" t="s">
        <v>134</v>
      </c>
      <c r="F20" s="1" t="s">
        <v>175</v>
      </c>
      <c r="G20" s="1" t="s">
        <v>450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436</v>
      </c>
      <c r="B21" s="1" t="s">
        <v>191</v>
      </c>
      <c r="C21" s="1" t="s">
        <v>28</v>
      </c>
      <c r="D21" s="1" t="s">
        <v>192</v>
      </c>
      <c r="E21" s="1" t="s">
        <v>134</v>
      </c>
      <c r="F21" s="1" t="s">
        <v>193</v>
      </c>
      <c r="G21" s="1" t="s">
        <v>452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438</v>
      </c>
      <c r="B22" s="1" t="s">
        <v>196</v>
      </c>
      <c r="C22" s="1" t="s">
        <v>28</v>
      </c>
      <c r="D22" s="1" t="s">
        <v>197</v>
      </c>
      <c r="E22" s="1" t="s">
        <v>134</v>
      </c>
      <c r="F22" s="1" t="s">
        <v>193</v>
      </c>
      <c r="G22" s="1" t="s">
        <v>453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440</v>
      </c>
      <c r="B23" s="1" t="s">
        <v>200</v>
      </c>
      <c r="C23" s="1" t="s">
        <v>28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441</v>
      </c>
      <c r="B24" s="1" t="s">
        <v>205</v>
      </c>
      <c r="C24" s="1" t="s">
        <v>28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454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415</v>
      </c>
      <c r="B9" s="1" t="s">
        <v>131</v>
      </c>
      <c r="C9" s="1" t="s">
        <v>29</v>
      </c>
      <c r="D9" s="1" t="s">
        <v>133</v>
      </c>
      <c r="E9" s="1" t="s">
        <v>134</v>
      </c>
      <c r="F9" s="1" t="s">
        <v>135</v>
      </c>
      <c r="G9" s="1" t="s">
        <v>455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417</v>
      </c>
      <c r="B10" s="1" t="s">
        <v>138</v>
      </c>
      <c r="C10" s="1" t="s">
        <v>29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418</v>
      </c>
      <c r="B11" s="1" t="s">
        <v>142</v>
      </c>
      <c r="C11" s="1" t="s">
        <v>29</v>
      </c>
      <c r="D11" s="1" t="s">
        <v>143</v>
      </c>
      <c r="E11" s="1" t="s">
        <v>134</v>
      </c>
      <c r="F11" s="1" t="s">
        <v>144</v>
      </c>
      <c r="G11" s="1" t="s">
        <v>456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420</v>
      </c>
      <c r="B12" s="1" t="s">
        <v>147</v>
      </c>
      <c r="C12" s="1" t="s">
        <v>29</v>
      </c>
      <c r="D12" s="1" t="s">
        <v>148</v>
      </c>
      <c r="E12" s="1" t="s">
        <v>134</v>
      </c>
      <c r="F12" s="1" t="s">
        <v>149</v>
      </c>
      <c r="G12" s="1" t="s">
        <v>457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422</v>
      </c>
      <c r="B13" s="1" t="s">
        <v>152</v>
      </c>
      <c r="C13" s="1" t="s">
        <v>29</v>
      </c>
      <c r="D13" s="1" t="s">
        <v>153</v>
      </c>
      <c r="E13" s="1" t="s">
        <v>134</v>
      </c>
      <c r="F13" s="1" t="s">
        <v>154</v>
      </c>
      <c r="G13" s="1" t="s">
        <v>458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424</v>
      </c>
      <c r="B14" s="1" t="s">
        <v>157</v>
      </c>
      <c r="C14" s="1" t="s">
        <v>29</v>
      </c>
      <c r="D14" s="1" t="s">
        <v>158</v>
      </c>
      <c r="E14" s="1" t="s">
        <v>134</v>
      </c>
      <c r="F14" s="1" t="s">
        <v>159</v>
      </c>
      <c r="G14" s="1" t="s">
        <v>459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426</v>
      </c>
      <c r="B15" s="1" t="s">
        <v>162</v>
      </c>
      <c r="C15" s="1" t="s">
        <v>29</v>
      </c>
      <c r="D15" s="1" t="s">
        <v>163</v>
      </c>
      <c r="E15" s="1" t="s">
        <v>134</v>
      </c>
      <c r="F15" s="1" t="s">
        <v>164</v>
      </c>
      <c r="G15" s="1" t="s">
        <v>460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428</v>
      </c>
      <c r="B16" s="1" t="s">
        <v>167</v>
      </c>
      <c r="C16" s="1" t="s">
        <v>29</v>
      </c>
      <c r="D16" s="1" t="s">
        <v>168</v>
      </c>
      <c r="E16" s="1" t="s">
        <v>134</v>
      </c>
      <c r="F16" s="1" t="s">
        <v>169</v>
      </c>
      <c r="G16" s="1" t="s">
        <v>461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430</v>
      </c>
      <c r="B17" s="1" t="s">
        <v>173</v>
      </c>
      <c r="C17" s="1" t="s">
        <v>29</v>
      </c>
      <c r="D17" s="1" t="s">
        <v>174</v>
      </c>
      <c r="E17" s="1" t="s">
        <v>134</v>
      </c>
      <c r="F17" s="1" t="s">
        <v>175</v>
      </c>
      <c r="G17" s="1" t="s">
        <v>462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432</v>
      </c>
      <c r="B18" s="1" t="s">
        <v>179</v>
      </c>
      <c r="C18" s="1" t="s">
        <v>29</v>
      </c>
      <c r="D18" s="1" t="s">
        <v>180</v>
      </c>
      <c r="E18" s="1" t="s">
        <v>134</v>
      </c>
      <c r="F18" s="1" t="s">
        <v>175</v>
      </c>
      <c r="G18" s="1" t="s">
        <v>462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433</v>
      </c>
      <c r="B19" s="1" t="s">
        <v>182</v>
      </c>
      <c r="C19" s="1" t="s">
        <v>29</v>
      </c>
      <c r="D19" s="1" t="s">
        <v>183</v>
      </c>
      <c r="E19" s="1" t="s">
        <v>134</v>
      </c>
      <c r="F19" s="1" t="s">
        <v>175</v>
      </c>
      <c r="G19" s="1" t="s">
        <v>463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435</v>
      </c>
      <c r="B20" s="1" t="s">
        <v>187</v>
      </c>
      <c r="C20" s="1" t="s">
        <v>29</v>
      </c>
      <c r="D20" s="1" t="s">
        <v>188</v>
      </c>
      <c r="E20" s="1" t="s">
        <v>134</v>
      </c>
      <c r="F20" s="1" t="s">
        <v>175</v>
      </c>
      <c r="G20" s="1" t="s">
        <v>462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436</v>
      </c>
      <c r="B21" s="1" t="s">
        <v>191</v>
      </c>
      <c r="C21" s="1" t="s">
        <v>29</v>
      </c>
      <c r="D21" s="1" t="s">
        <v>192</v>
      </c>
      <c r="E21" s="1" t="s">
        <v>134</v>
      </c>
      <c r="F21" s="1" t="s">
        <v>193</v>
      </c>
      <c r="G21" s="1" t="s">
        <v>464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438</v>
      </c>
      <c r="B22" s="1" t="s">
        <v>196</v>
      </c>
      <c r="C22" s="1" t="s">
        <v>29</v>
      </c>
      <c r="D22" s="1" t="s">
        <v>197</v>
      </c>
      <c r="E22" s="1" t="s">
        <v>134</v>
      </c>
      <c r="F22" s="1" t="s">
        <v>193</v>
      </c>
      <c r="G22" s="1" t="s">
        <v>465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440</v>
      </c>
      <c r="B23" s="1" t="s">
        <v>200</v>
      </c>
      <c r="C23" s="1" t="s">
        <v>29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441</v>
      </c>
      <c r="B24" s="1" t="s">
        <v>205</v>
      </c>
      <c r="C24" s="1" t="s">
        <v>29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467</v>
      </c>
      <c r="B9" s="1" t="s">
        <v>131</v>
      </c>
      <c r="C9" s="1" t="s">
        <v>468</v>
      </c>
      <c r="D9" s="1" t="s">
        <v>133</v>
      </c>
      <c r="E9" s="1" t="s">
        <v>134</v>
      </c>
      <c r="F9" s="1" t="s">
        <v>135</v>
      </c>
      <c r="G9" s="1" t="s">
        <v>469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470</v>
      </c>
      <c r="B10" s="1" t="s">
        <v>138</v>
      </c>
      <c r="C10" s="1" t="s">
        <v>468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471</v>
      </c>
      <c r="B11" s="1" t="s">
        <v>142</v>
      </c>
      <c r="C11" s="1" t="s">
        <v>468</v>
      </c>
      <c r="D11" s="1" t="s">
        <v>143</v>
      </c>
      <c r="E11" s="1" t="s">
        <v>134</v>
      </c>
      <c r="F11" s="1" t="s">
        <v>144</v>
      </c>
      <c r="G11" s="1" t="s">
        <v>472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473</v>
      </c>
      <c r="B12" s="1" t="s">
        <v>147</v>
      </c>
      <c r="C12" s="1" t="s">
        <v>468</v>
      </c>
      <c r="D12" s="1" t="s">
        <v>148</v>
      </c>
      <c r="E12" s="1" t="s">
        <v>134</v>
      </c>
      <c r="F12" s="1" t="s">
        <v>149</v>
      </c>
      <c r="G12" s="1" t="s">
        <v>474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475</v>
      </c>
      <c r="B13" s="1" t="s">
        <v>152</v>
      </c>
      <c r="C13" s="1" t="s">
        <v>468</v>
      </c>
      <c r="D13" s="1" t="s">
        <v>153</v>
      </c>
      <c r="E13" s="1" t="s">
        <v>134</v>
      </c>
      <c r="F13" s="1" t="s">
        <v>154</v>
      </c>
      <c r="G13" s="1" t="s">
        <v>476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477</v>
      </c>
      <c r="B14" s="1" t="s">
        <v>157</v>
      </c>
      <c r="C14" s="1" t="s">
        <v>468</v>
      </c>
      <c r="D14" s="1" t="s">
        <v>158</v>
      </c>
      <c r="E14" s="1" t="s">
        <v>134</v>
      </c>
      <c r="F14" s="1" t="s">
        <v>159</v>
      </c>
      <c r="G14" s="1" t="s">
        <v>478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479</v>
      </c>
      <c r="B15" s="1" t="s">
        <v>162</v>
      </c>
      <c r="C15" s="1" t="s">
        <v>468</v>
      </c>
      <c r="D15" s="1" t="s">
        <v>163</v>
      </c>
      <c r="E15" s="1" t="s">
        <v>134</v>
      </c>
      <c r="F15" s="1" t="s">
        <v>164</v>
      </c>
      <c r="G15" s="1" t="s">
        <v>480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481</v>
      </c>
      <c r="B16" s="1" t="s">
        <v>167</v>
      </c>
      <c r="C16" s="1" t="s">
        <v>468</v>
      </c>
      <c r="D16" s="1" t="s">
        <v>168</v>
      </c>
      <c r="E16" s="1" t="s">
        <v>134</v>
      </c>
      <c r="F16" s="1" t="s">
        <v>169</v>
      </c>
      <c r="G16" s="1" t="s">
        <v>482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483</v>
      </c>
      <c r="B17" s="1" t="s">
        <v>173</v>
      </c>
      <c r="C17" s="1" t="s">
        <v>468</v>
      </c>
      <c r="D17" s="1" t="s">
        <v>174</v>
      </c>
      <c r="E17" s="1" t="s">
        <v>134</v>
      </c>
      <c r="F17" s="1" t="s">
        <v>175</v>
      </c>
      <c r="G17" s="1" t="s">
        <v>484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485</v>
      </c>
      <c r="B18" s="1" t="s">
        <v>179</v>
      </c>
      <c r="C18" s="1" t="s">
        <v>468</v>
      </c>
      <c r="D18" s="1" t="s">
        <v>180</v>
      </c>
      <c r="E18" s="1" t="s">
        <v>134</v>
      </c>
      <c r="F18" s="1" t="s">
        <v>175</v>
      </c>
      <c r="G18" s="1" t="s">
        <v>484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486</v>
      </c>
      <c r="B19" s="1" t="s">
        <v>182</v>
      </c>
      <c r="C19" s="1" t="s">
        <v>468</v>
      </c>
      <c r="D19" s="1" t="s">
        <v>183</v>
      </c>
      <c r="E19" s="1" t="s">
        <v>134</v>
      </c>
      <c r="F19" s="1" t="s">
        <v>175</v>
      </c>
      <c r="G19" s="1" t="s">
        <v>487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488</v>
      </c>
      <c r="B20" s="1" t="s">
        <v>187</v>
      </c>
      <c r="C20" s="1" t="s">
        <v>468</v>
      </c>
      <c r="D20" s="1" t="s">
        <v>188</v>
      </c>
      <c r="E20" s="1" t="s">
        <v>134</v>
      </c>
      <c r="F20" s="1" t="s">
        <v>175</v>
      </c>
      <c r="G20" s="1" t="s">
        <v>484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489</v>
      </c>
      <c r="B21" s="1" t="s">
        <v>191</v>
      </c>
      <c r="C21" s="1" t="s">
        <v>468</v>
      </c>
      <c r="D21" s="1" t="s">
        <v>192</v>
      </c>
      <c r="E21" s="1" t="s">
        <v>134</v>
      </c>
      <c r="F21" s="1" t="s">
        <v>193</v>
      </c>
      <c r="G21" s="1" t="s">
        <v>490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491</v>
      </c>
      <c r="B22" s="1" t="s">
        <v>196</v>
      </c>
      <c r="C22" s="1" t="s">
        <v>468</v>
      </c>
      <c r="D22" s="1" t="s">
        <v>197</v>
      </c>
      <c r="E22" s="1" t="s">
        <v>134</v>
      </c>
      <c r="F22" s="1" t="s">
        <v>193</v>
      </c>
      <c r="G22" s="1" t="s">
        <v>492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493</v>
      </c>
      <c r="B23" s="1" t="s">
        <v>200</v>
      </c>
      <c r="C23" s="1" t="s">
        <v>468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494</v>
      </c>
      <c r="B24" s="1" t="s">
        <v>205</v>
      </c>
      <c r="C24" s="1" t="s">
        <v>468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495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496</v>
      </c>
      <c r="B9" s="1" t="s">
        <v>131</v>
      </c>
      <c r="C9" s="1" t="s">
        <v>497</v>
      </c>
      <c r="D9" s="1" t="s">
        <v>133</v>
      </c>
      <c r="E9" s="1" t="s">
        <v>134</v>
      </c>
      <c r="F9" s="1" t="s">
        <v>135</v>
      </c>
      <c r="G9" s="1" t="s">
        <v>498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499</v>
      </c>
      <c r="B10" s="1" t="s">
        <v>138</v>
      </c>
      <c r="C10" s="1" t="s">
        <v>497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500</v>
      </c>
      <c r="B11" s="1" t="s">
        <v>142</v>
      </c>
      <c r="C11" s="1" t="s">
        <v>497</v>
      </c>
      <c r="D11" s="1" t="s">
        <v>143</v>
      </c>
      <c r="E11" s="1" t="s">
        <v>134</v>
      </c>
      <c r="F11" s="1" t="s">
        <v>144</v>
      </c>
      <c r="G11" s="1" t="s">
        <v>501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502</v>
      </c>
      <c r="B12" s="1" t="s">
        <v>147</v>
      </c>
      <c r="C12" s="1" t="s">
        <v>497</v>
      </c>
      <c r="D12" s="1" t="s">
        <v>148</v>
      </c>
      <c r="E12" s="1" t="s">
        <v>134</v>
      </c>
      <c r="F12" s="1" t="s">
        <v>149</v>
      </c>
      <c r="G12" s="1" t="s">
        <v>503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504</v>
      </c>
      <c r="B13" s="1" t="s">
        <v>152</v>
      </c>
      <c r="C13" s="1" t="s">
        <v>497</v>
      </c>
      <c r="D13" s="1" t="s">
        <v>153</v>
      </c>
      <c r="E13" s="1" t="s">
        <v>134</v>
      </c>
      <c r="F13" s="1" t="s">
        <v>154</v>
      </c>
      <c r="G13" s="1" t="s">
        <v>505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506</v>
      </c>
      <c r="B14" s="1" t="s">
        <v>157</v>
      </c>
      <c r="C14" s="1" t="s">
        <v>497</v>
      </c>
      <c r="D14" s="1" t="s">
        <v>158</v>
      </c>
      <c r="E14" s="1" t="s">
        <v>134</v>
      </c>
      <c r="F14" s="1" t="s">
        <v>159</v>
      </c>
      <c r="G14" s="1" t="s">
        <v>507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508</v>
      </c>
      <c r="B15" s="1" t="s">
        <v>162</v>
      </c>
      <c r="C15" s="1" t="s">
        <v>497</v>
      </c>
      <c r="D15" s="1" t="s">
        <v>163</v>
      </c>
      <c r="E15" s="1" t="s">
        <v>134</v>
      </c>
      <c r="F15" s="1" t="s">
        <v>164</v>
      </c>
      <c r="G15" s="1" t="s">
        <v>509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510</v>
      </c>
      <c r="B16" s="1" t="s">
        <v>167</v>
      </c>
      <c r="C16" s="1" t="s">
        <v>497</v>
      </c>
      <c r="D16" s="1" t="s">
        <v>168</v>
      </c>
      <c r="E16" s="1" t="s">
        <v>134</v>
      </c>
      <c r="F16" s="1" t="s">
        <v>169</v>
      </c>
      <c r="G16" s="1" t="s">
        <v>511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512</v>
      </c>
      <c r="B17" s="1" t="s">
        <v>173</v>
      </c>
      <c r="C17" s="1" t="s">
        <v>497</v>
      </c>
      <c r="D17" s="1" t="s">
        <v>174</v>
      </c>
      <c r="E17" s="1" t="s">
        <v>134</v>
      </c>
      <c r="F17" s="1" t="s">
        <v>175</v>
      </c>
      <c r="G17" s="1" t="s">
        <v>513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514</v>
      </c>
      <c r="B18" s="1" t="s">
        <v>179</v>
      </c>
      <c r="C18" s="1" t="s">
        <v>497</v>
      </c>
      <c r="D18" s="1" t="s">
        <v>180</v>
      </c>
      <c r="E18" s="1" t="s">
        <v>134</v>
      </c>
      <c r="F18" s="1" t="s">
        <v>175</v>
      </c>
      <c r="G18" s="1" t="s">
        <v>513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515</v>
      </c>
      <c r="B19" s="1" t="s">
        <v>182</v>
      </c>
      <c r="C19" s="1" t="s">
        <v>497</v>
      </c>
      <c r="D19" s="1" t="s">
        <v>183</v>
      </c>
      <c r="E19" s="1" t="s">
        <v>134</v>
      </c>
      <c r="F19" s="1" t="s">
        <v>175</v>
      </c>
      <c r="G19" s="1" t="s">
        <v>516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517</v>
      </c>
      <c r="B20" s="1" t="s">
        <v>187</v>
      </c>
      <c r="C20" s="1" t="s">
        <v>497</v>
      </c>
      <c r="D20" s="1" t="s">
        <v>188</v>
      </c>
      <c r="E20" s="1" t="s">
        <v>134</v>
      </c>
      <c r="F20" s="1" t="s">
        <v>175</v>
      </c>
      <c r="G20" s="1" t="s">
        <v>513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518</v>
      </c>
      <c r="B21" s="1" t="s">
        <v>191</v>
      </c>
      <c r="C21" s="1" t="s">
        <v>497</v>
      </c>
      <c r="D21" s="1" t="s">
        <v>192</v>
      </c>
      <c r="E21" s="1" t="s">
        <v>134</v>
      </c>
      <c r="F21" s="1" t="s">
        <v>193</v>
      </c>
      <c r="G21" s="1" t="s">
        <v>519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520</v>
      </c>
      <c r="B22" s="1" t="s">
        <v>196</v>
      </c>
      <c r="C22" s="1" t="s">
        <v>497</v>
      </c>
      <c r="D22" s="1" t="s">
        <v>197</v>
      </c>
      <c r="E22" s="1" t="s">
        <v>134</v>
      </c>
      <c r="F22" s="1" t="s">
        <v>193</v>
      </c>
      <c r="G22" s="1" t="s">
        <v>521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522</v>
      </c>
      <c r="B23" s="1" t="s">
        <v>200</v>
      </c>
      <c r="C23" s="1" t="s">
        <v>497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523</v>
      </c>
      <c r="B24" s="1" t="s">
        <v>205</v>
      </c>
      <c r="C24" s="1" t="s">
        <v>497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524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525</v>
      </c>
      <c r="B9" s="12" t="s">
        <v>131</v>
      </c>
      <c r="C9" s="12" t="s">
        <v>32</v>
      </c>
      <c r="D9" s="13" t="s">
        <v>526</v>
      </c>
      <c r="E9" s="12" t="s">
        <v>134</v>
      </c>
      <c r="F9" s="12" t="s">
        <v>135</v>
      </c>
      <c r="G9" s="13" t="s">
        <v>527</v>
      </c>
      <c r="H9" s="12" t="s">
        <v>98</v>
      </c>
      <c r="I9" s="12" t="s">
        <v>113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528</v>
      </c>
      <c r="B10" s="12" t="s">
        <v>138</v>
      </c>
      <c r="C10" s="12" t="s">
        <v>32</v>
      </c>
      <c r="D10" s="13" t="s">
        <v>529</v>
      </c>
      <c r="E10" s="12" t="s">
        <v>134</v>
      </c>
      <c r="F10" s="12" t="s">
        <v>134</v>
      </c>
      <c r="G10" s="13" t="s">
        <v>140</v>
      </c>
      <c r="H10" s="12" t="s">
        <v>98</v>
      </c>
      <c r="I10" s="12" t="s">
        <v>113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530</v>
      </c>
      <c r="B11" s="12" t="s">
        <v>142</v>
      </c>
      <c r="C11" s="12" t="s">
        <v>32</v>
      </c>
      <c r="D11" s="13" t="s">
        <v>531</v>
      </c>
      <c r="E11" s="12" t="s">
        <v>134</v>
      </c>
      <c r="F11" s="12" t="s">
        <v>144</v>
      </c>
      <c r="G11" s="13" t="s">
        <v>532</v>
      </c>
      <c r="H11" s="12" t="s">
        <v>98</v>
      </c>
      <c r="I11" s="12" t="s">
        <v>113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533</v>
      </c>
      <c r="B12" s="12" t="s">
        <v>147</v>
      </c>
      <c r="C12" s="12" t="s">
        <v>32</v>
      </c>
      <c r="D12" s="13" t="s">
        <v>534</v>
      </c>
      <c r="E12" s="12" t="s">
        <v>134</v>
      </c>
      <c r="F12" s="12" t="s">
        <v>149</v>
      </c>
      <c r="G12" s="13" t="s">
        <v>535</v>
      </c>
      <c r="H12" s="12" t="s">
        <v>98</v>
      </c>
      <c r="I12" s="12" t="s">
        <v>113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536</v>
      </c>
      <c r="B13" s="12" t="s">
        <v>152</v>
      </c>
      <c r="C13" s="12" t="s">
        <v>32</v>
      </c>
      <c r="D13" s="13" t="s">
        <v>537</v>
      </c>
      <c r="E13" s="12" t="s">
        <v>134</v>
      </c>
      <c r="F13" s="12" t="s">
        <v>154</v>
      </c>
      <c r="G13" s="13" t="s">
        <v>538</v>
      </c>
      <c r="H13" s="12" t="s">
        <v>98</v>
      </c>
      <c r="I13" s="12" t="s">
        <v>113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539</v>
      </c>
      <c r="B14" s="12" t="s">
        <v>157</v>
      </c>
      <c r="C14" s="12" t="s">
        <v>32</v>
      </c>
      <c r="D14" s="13" t="s">
        <v>540</v>
      </c>
      <c r="E14" s="12" t="s">
        <v>134</v>
      </c>
      <c r="F14" s="12" t="s">
        <v>159</v>
      </c>
      <c r="G14" s="13" t="s">
        <v>541</v>
      </c>
      <c r="H14" s="12" t="s">
        <v>98</v>
      </c>
      <c r="I14" s="12" t="s">
        <v>113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542</v>
      </c>
      <c r="B15" s="12" t="s">
        <v>162</v>
      </c>
      <c r="C15" s="12" t="s">
        <v>32</v>
      </c>
      <c r="D15" s="13" t="s">
        <v>543</v>
      </c>
      <c r="E15" s="12" t="s">
        <v>134</v>
      </c>
      <c r="F15" s="12" t="s">
        <v>164</v>
      </c>
      <c r="G15" s="13" t="s">
        <v>544</v>
      </c>
      <c r="H15" s="12" t="s">
        <v>98</v>
      </c>
      <c r="I15" s="12" t="s">
        <v>113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545</v>
      </c>
      <c r="B16" s="12" t="s">
        <v>167</v>
      </c>
      <c r="C16" s="12" t="s">
        <v>32</v>
      </c>
      <c r="D16" s="13" t="s">
        <v>546</v>
      </c>
      <c r="E16" s="12" t="s">
        <v>134</v>
      </c>
      <c r="F16" s="12" t="s">
        <v>169</v>
      </c>
      <c r="G16" s="13" t="s">
        <v>547</v>
      </c>
      <c r="H16" s="12" t="s">
        <v>100</v>
      </c>
      <c r="I16" s="12" t="s">
        <v>112</v>
      </c>
      <c r="J16" s="14" t="n">
        <v>46227</v>
      </c>
      <c r="K16" s="13" t="s">
        <v>548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549</v>
      </c>
      <c r="B17" s="12" t="s">
        <v>173</v>
      </c>
      <c r="C17" s="12" t="s">
        <v>32</v>
      </c>
      <c r="D17" s="13" t="s">
        <v>550</v>
      </c>
      <c r="E17" s="12" t="s">
        <v>134</v>
      </c>
      <c r="F17" s="12" t="s">
        <v>175</v>
      </c>
      <c r="G17" s="13" t="s">
        <v>551</v>
      </c>
      <c r="H17" s="12" t="s">
        <v>96</v>
      </c>
      <c r="I17" s="12" t="s">
        <v>112</v>
      </c>
      <c r="J17" s="14"/>
      <c r="K17" s="13" t="s">
        <v>552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553</v>
      </c>
      <c r="B18" s="12" t="s">
        <v>179</v>
      </c>
      <c r="C18" s="12" t="s">
        <v>32</v>
      </c>
      <c r="D18" s="13" t="s">
        <v>554</v>
      </c>
      <c r="E18" s="12" t="s">
        <v>134</v>
      </c>
      <c r="F18" s="12" t="s">
        <v>175</v>
      </c>
      <c r="G18" s="13" t="s">
        <v>555</v>
      </c>
      <c r="H18" s="12" t="s">
        <v>96</v>
      </c>
      <c r="I18" s="12" t="s">
        <v>112</v>
      </c>
      <c r="J18" s="14"/>
      <c r="K18" s="13" t="s">
        <v>556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557</v>
      </c>
      <c r="B19" s="12" t="s">
        <v>182</v>
      </c>
      <c r="C19" s="12" t="s">
        <v>32</v>
      </c>
      <c r="D19" s="13" t="s">
        <v>558</v>
      </c>
      <c r="E19" s="12" t="s">
        <v>134</v>
      </c>
      <c r="F19" s="12" t="s">
        <v>175</v>
      </c>
      <c r="G19" s="13" t="s">
        <v>559</v>
      </c>
      <c r="H19" s="12" t="s">
        <v>96</v>
      </c>
      <c r="I19" s="12" t="s">
        <v>112</v>
      </c>
      <c r="J19" s="14"/>
      <c r="K19" s="13" t="s">
        <v>560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561</v>
      </c>
      <c r="B20" s="12" t="s">
        <v>187</v>
      </c>
      <c r="C20" s="12" t="s">
        <v>32</v>
      </c>
      <c r="D20" s="13" t="s">
        <v>562</v>
      </c>
      <c r="E20" s="12" t="s">
        <v>134</v>
      </c>
      <c r="F20" s="12" t="s">
        <v>175</v>
      </c>
      <c r="G20" s="13" t="s">
        <v>551</v>
      </c>
      <c r="H20" s="12" t="s">
        <v>96</v>
      </c>
      <c r="I20" s="12" t="s">
        <v>112</v>
      </c>
      <c r="J20" s="14"/>
      <c r="K20" s="13" t="s">
        <v>563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564</v>
      </c>
      <c r="B21" s="12" t="s">
        <v>191</v>
      </c>
      <c r="C21" s="12" t="s">
        <v>32</v>
      </c>
      <c r="D21" s="13" t="s">
        <v>565</v>
      </c>
      <c r="E21" s="12" t="s">
        <v>134</v>
      </c>
      <c r="F21" s="12" t="s">
        <v>193</v>
      </c>
      <c r="G21" s="13" t="s">
        <v>566</v>
      </c>
      <c r="H21" s="12" t="s">
        <v>98</v>
      </c>
      <c r="I21" s="12" t="s">
        <v>113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567</v>
      </c>
      <c r="B22" s="12" t="s">
        <v>196</v>
      </c>
      <c r="C22" s="12" t="s">
        <v>32</v>
      </c>
      <c r="D22" s="13" t="s">
        <v>568</v>
      </c>
      <c r="E22" s="12" t="s">
        <v>134</v>
      </c>
      <c r="F22" s="12" t="s">
        <v>193</v>
      </c>
      <c r="G22" s="13" t="s">
        <v>569</v>
      </c>
      <c r="H22" s="12" t="s">
        <v>98</v>
      </c>
      <c r="I22" s="12" t="s">
        <v>113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570</v>
      </c>
      <c r="B23" s="12" t="s">
        <v>200</v>
      </c>
      <c r="C23" s="12" t="s">
        <v>32</v>
      </c>
      <c r="D23" s="13" t="s">
        <v>571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572</v>
      </c>
      <c r="B24" s="12" t="s">
        <v>205</v>
      </c>
      <c r="C24" s="12" t="s">
        <v>32</v>
      </c>
      <c r="D24" s="13" t="s">
        <v>573</v>
      </c>
      <c r="E24" s="12" t="s">
        <v>134</v>
      </c>
      <c r="F24" s="12" t="s">
        <v>134</v>
      </c>
      <c r="G24" s="13" t="s">
        <v>574</v>
      </c>
      <c r="H24" s="12" t="s">
        <v>98</v>
      </c>
      <c r="I24" s="12" t="s">
        <v>113</v>
      </c>
      <c r="J24" s="14" t="n">
        <v>46227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575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576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577</v>
      </c>
      <c r="B9" s="12" t="s">
        <v>131</v>
      </c>
      <c r="C9" s="12" t="s">
        <v>33</v>
      </c>
      <c r="D9" s="13" t="s">
        <v>578</v>
      </c>
      <c r="E9" s="12" t="s">
        <v>134</v>
      </c>
      <c r="F9" s="12" t="s">
        <v>135</v>
      </c>
      <c r="G9" s="13" t="s">
        <v>579</v>
      </c>
      <c r="H9" s="12" t="s">
        <v>98</v>
      </c>
      <c r="I9" s="12" t="s">
        <v>113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580</v>
      </c>
      <c r="B10" s="12" t="s">
        <v>138</v>
      </c>
      <c r="C10" s="12" t="s">
        <v>33</v>
      </c>
      <c r="D10" s="13" t="s">
        <v>581</v>
      </c>
      <c r="E10" s="12" t="s">
        <v>134</v>
      </c>
      <c r="F10" s="12" t="s">
        <v>134</v>
      </c>
      <c r="G10" s="13" t="s">
        <v>582</v>
      </c>
      <c r="H10" s="12" t="s">
        <v>98</v>
      </c>
      <c r="I10" s="12" t="s">
        <v>113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583</v>
      </c>
      <c r="B11" s="12" t="s">
        <v>142</v>
      </c>
      <c r="C11" s="12" t="s">
        <v>33</v>
      </c>
      <c r="D11" s="13" t="s">
        <v>584</v>
      </c>
      <c r="E11" s="12" t="s">
        <v>134</v>
      </c>
      <c r="F11" s="12" t="s">
        <v>144</v>
      </c>
      <c r="G11" s="13" t="s">
        <v>585</v>
      </c>
      <c r="H11" s="12" t="s">
        <v>98</v>
      </c>
      <c r="I11" s="12" t="s">
        <v>113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586</v>
      </c>
      <c r="B12" s="12" t="s">
        <v>147</v>
      </c>
      <c r="C12" s="12" t="s">
        <v>33</v>
      </c>
      <c r="D12" s="13" t="s">
        <v>587</v>
      </c>
      <c r="E12" s="12" t="s">
        <v>134</v>
      </c>
      <c r="F12" s="12" t="s">
        <v>149</v>
      </c>
      <c r="G12" s="13" t="s">
        <v>588</v>
      </c>
      <c r="H12" s="12" t="s">
        <v>98</v>
      </c>
      <c r="I12" s="12" t="s">
        <v>113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589</v>
      </c>
      <c r="B13" s="12" t="s">
        <v>152</v>
      </c>
      <c r="C13" s="12" t="s">
        <v>33</v>
      </c>
      <c r="D13" s="13" t="s">
        <v>590</v>
      </c>
      <c r="E13" s="12" t="s">
        <v>134</v>
      </c>
      <c r="F13" s="12" t="s">
        <v>154</v>
      </c>
      <c r="G13" s="13" t="s">
        <v>591</v>
      </c>
      <c r="H13" s="12" t="s">
        <v>98</v>
      </c>
      <c r="I13" s="12" t="s">
        <v>113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592</v>
      </c>
      <c r="B14" s="12" t="s">
        <v>157</v>
      </c>
      <c r="C14" s="12" t="s">
        <v>33</v>
      </c>
      <c r="D14" s="13" t="s">
        <v>593</v>
      </c>
      <c r="E14" s="12" t="s">
        <v>134</v>
      </c>
      <c r="F14" s="12" t="s">
        <v>159</v>
      </c>
      <c r="G14" s="13" t="s">
        <v>594</v>
      </c>
      <c r="H14" s="12" t="s">
        <v>98</v>
      </c>
      <c r="I14" s="12" t="s">
        <v>113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595</v>
      </c>
      <c r="B15" s="12" t="s">
        <v>162</v>
      </c>
      <c r="C15" s="12" t="s">
        <v>33</v>
      </c>
      <c r="D15" s="13" t="s">
        <v>596</v>
      </c>
      <c r="E15" s="12" t="s">
        <v>134</v>
      </c>
      <c r="F15" s="12" t="s">
        <v>164</v>
      </c>
      <c r="G15" s="13" t="s">
        <v>594</v>
      </c>
      <c r="H15" s="12" t="s">
        <v>98</v>
      </c>
      <c r="I15" s="12" t="s">
        <v>113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597</v>
      </c>
      <c r="B16" s="12" t="s">
        <v>167</v>
      </c>
      <c r="C16" s="12" t="s">
        <v>33</v>
      </c>
      <c r="D16" s="13" t="s">
        <v>598</v>
      </c>
      <c r="E16" s="12" t="s">
        <v>134</v>
      </c>
      <c r="F16" s="12" t="s">
        <v>169</v>
      </c>
      <c r="G16" s="13" t="s">
        <v>599</v>
      </c>
      <c r="H16" s="12" t="s">
        <v>100</v>
      </c>
      <c r="I16" s="12" t="s">
        <v>112</v>
      </c>
      <c r="J16" s="14"/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600</v>
      </c>
      <c r="B17" s="12" t="s">
        <v>173</v>
      </c>
      <c r="C17" s="12" t="s">
        <v>33</v>
      </c>
      <c r="D17" s="13" t="s">
        <v>601</v>
      </c>
      <c r="E17" s="12" t="s">
        <v>134</v>
      </c>
      <c r="F17" s="12" t="s">
        <v>175</v>
      </c>
      <c r="G17" s="13" t="s">
        <v>602</v>
      </c>
      <c r="H17" s="12" t="s">
        <v>96</v>
      </c>
      <c r="I17" s="12" t="s">
        <v>112</v>
      </c>
      <c r="J17" s="14"/>
      <c r="K17" s="13" t="s">
        <v>603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604</v>
      </c>
      <c r="B18" s="12" t="s">
        <v>179</v>
      </c>
      <c r="C18" s="12" t="s">
        <v>33</v>
      </c>
      <c r="D18" s="13" t="s">
        <v>605</v>
      </c>
      <c r="E18" s="12" t="s">
        <v>134</v>
      </c>
      <c r="F18" s="12" t="s">
        <v>175</v>
      </c>
      <c r="G18" s="13" t="s">
        <v>606</v>
      </c>
      <c r="H18" s="12" t="s">
        <v>96</v>
      </c>
      <c r="I18" s="12" t="s">
        <v>112</v>
      </c>
      <c r="J18" s="14"/>
      <c r="K18" s="13" t="s">
        <v>607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608</v>
      </c>
      <c r="B19" s="12" t="s">
        <v>182</v>
      </c>
      <c r="C19" s="12" t="s">
        <v>33</v>
      </c>
      <c r="D19" s="13" t="s">
        <v>609</v>
      </c>
      <c r="E19" s="12" t="s">
        <v>134</v>
      </c>
      <c r="F19" s="12" t="s">
        <v>159</v>
      </c>
      <c r="G19" s="13" t="s">
        <v>594</v>
      </c>
      <c r="H19" s="12" t="s">
        <v>98</v>
      </c>
      <c r="I19" s="12" t="s">
        <v>113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610</v>
      </c>
      <c r="B20" s="12" t="s">
        <v>187</v>
      </c>
      <c r="C20" s="12" t="s">
        <v>33</v>
      </c>
      <c r="D20" s="13" t="s">
        <v>611</v>
      </c>
      <c r="E20" s="12" t="s">
        <v>134</v>
      </c>
      <c r="F20" s="12" t="s">
        <v>175</v>
      </c>
      <c r="G20" s="13" t="s">
        <v>602</v>
      </c>
      <c r="H20" s="12" t="s">
        <v>96</v>
      </c>
      <c r="I20" s="12" t="s">
        <v>112</v>
      </c>
      <c r="J20" s="14"/>
      <c r="K20" s="13" t="s">
        <v>612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613</v>
      </c>
      <c r="B21" s="12" t="s">
        <v>191</v>
      </c>
      <c r="C21" s="12" t="s">
        <v>33</v>
      </c>
      <c r="D21" s="13" t="s">
        <v>614</v>
      </c>
      <c r="E21" s="12" t="s">
        <v>134</v>
      </c>
      <c r="F21" s="12" t="s">
        <v>193</v>
      </c>
      <c r="G21" s="13" t="s">
        <v>615</v>
      </c>
      <c r="H21" s="12" t="s">
        <v>98</v>
      </c>
      <c r="I21" s="12" t="s">
        <v>113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616</v>
      </c>
      <c r="B22" s="12" t="s">
        <v>196</v>
      </c>
      <c r="C22" s="12" t="s">
        <v>33</v>
      </c>
      <c r="D22" s="13" t="s">
        <v>617</v>
      </c>
      <c r="E22" s="12" t="s">
        <v>134</v>
      </c>
      <c r="F22" s="12" t="s">
        <v>193</v>
      </c>
      <c r="G22" s="13" t="s">
        <v>618</v>
      </c>
      <c r="H22" s="12" t="s">
        <v>98</v>
      </c>
      <c r="I22" s="12" t="s">
        <v>113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619</v>
      </c>
      <c r="B23" s="12" t="s">
        <v>200</v>
      </c>
      <c r="C23" s="12" t="s">
        <v>33</v>
      </c>
      <c r="D23" s="13" t="s">
        <v>620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621</v>
      </c>
      <c r="B24" s="12" t="s">
        <v>622</v>
      </c>
      <c r="C24" s="12" t="s">
        <v>33</v>
      </c>
      <c r="D24" s="13" t="s">
        <v>623</v>
      </c>
      <c r="E24" s="12" t="s">
        <v>134</v>
      </c>
      <c r="F24" s="12" t="s">
        <v>624</v>
      </c>
      <c r="G24" s="13" t="s">
        <v>625</v>
      </c>
      <c r="H24" s="12" t="s">
        <v>98</v>
      </c>
      <c r="I24" s="12" t="s">
        <v>113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626</v>
      </c>
      <c r="B25" s="12" t="s">
        <v>205</v>
      </c>
      <c r="C25" s="12" t="s">
        <v>33</v>
      </c>
      <c r="D25" s="13" t="s">
        <v>627</v>
      </c>
      <c r="E25" s="12" t="s">
        <v>134</v>
      </c>
      <c r="F25" s="12" t="s">
        <v>134</v>
      </c>
      <c r="G25" s="13" t="s">
        <v>628</v>
      </c>
      <c r="H25" s="12" t="s">
        <v>98</v>
      </c>
      <c r="I25" s="12" t="s">
        <v>113</v>
      </c>
      <c r="J25" s="14" t="n">
        <v>46228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5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629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630</v>
      </c>
      <c r="B9" s="12" t="s">
        <v>131</v>
      </c>
      <c r="C9" s="12" t="s">
        <v>40</v>
      </c>
      <c r="D9" s="13" t="s">
        <v>631</v>
      </c>
      <c r="E9" s="12" t="s">
        <v>134</v>
      </c>
      <c r="F9" s="12" t="s">
        <v>135</v>
      </c>
      <c r="G9" s="13" t="s">
        <v>632</v>
      </c>
      <c r="H9" s="12" t="s">
        <v>98</v>
      </c>
      <c r="I9" s="12" t="s">
        <v>113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633</v>
      </c>
      <c r="B10" s="12" t="s">
        <v>138</v>
      </c>
      <c r="C10" s="12" t="s">
        <v>40</v>
      </c>
      <c r="D10" s="13" t="s">
        <v>634</v>
      </c>
      <c r="E10" s="12" t="s">
        <v>134</v>
      </c>
      <c r="F10" s="12" t="s">
        <v>134</v>
      </c>
      <c r="G10" s="13" t="s">
        <v>140</v>
      </c>
      <c r="H10" s="12" t="s">
        <v>98</v>
      </c>
      <c r="I10" s="12" t="s">
        <v>113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635</v>
      </c>
      <c r="B11" s="12" t="s">
        <v>142</v>
      </c>
      <c r="C11" s="12" t="s">
        <v>40</v>
      </c>
      <c r="D11" s="13" t="s">
        <v>636</v>
      </c>
      <c r="E11" s="12" t="s">
        <v>134</v>
      </c>
      <c r="F11" s="12" t="s">
        <v>144</v>
      </c>
      <c r="G11" s="13" t="s">
        <v>637</v>
      </c>
      <c r="H11" s="12" t="s">
        <v>98</v>
      </c>
      <c r="I11" s="12" t="s">
        <v>113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638</v>
      </c>
      <c r="B12" s="12" t="s">
        <v>147</v>
      </c>
      <c r="C12" s="12" t="s">
        <v>40</v>
      </c>
      <c r="D12" s="13" t="s">
        <v>639</v>
      </c>
      <c r="E12" s="12" t="s">
        <v>134</v>
      </c>
      <c r="F12" s="12" t="s">
        <v>149</v>
      </c>
      <c r="G12" s="13" t="s">
        <v>640</v>
      </c>
      <c r="H12" s="12" t="s">
        <v>98</v>
      </c>
      <c r="I12" s="12" t="s">
        <v>113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641</v>
      </c>
      <c r="B13" s="12" t="s">
        <v>152</v>
      </c>
      <c r="C13" s="12" t="s">
        <v>40</v>
      </c>
      <c r="D13" s="13" t="s">
        <v>642</v>
      </c>
      <c r="E13" s="12" t="s">
        <v>134</v>
      </c>
      <c r="F13" s="12" t="s">
        <v>154</v>
      </c>
      <c r="G13" s="13" t="s">
        <v>643</v>
      </c>
      <c r="H13" s="12" t="s">
        <v>98</v>
      </c>
      <c r="I13" s="12" t="s">
        <v>113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644</v>
      </c>
      <c r="B14" s="12" t="s">
        <v>157</v>
      </c>
      <c r="C14" s="12" t="s">
        <v>40</v>
      </c>
      <c r="D14" s="13" t="s">
        <v>645</v>
      </c>
      <c r="E14" s="12" t="s">
        <v>134</v>
      </c>
      <c r="F14" s="12" t="s">
        <v>159</v>
      </c>
      <c r="G14" s="13" t="s">
        <v>646</v>
      </c>
      <c r="H14" s="12" t="s">
        <v>98</v>
      </c>
      <c r="I14" s="12" t="s">
        <v>113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647</v>
      </c>
      <c r="B15" s="12" t="s">
        <v>162</v>
      </c>
      <c r="C15" s="12" t="s">
        <v>40</v>
      </c>
      <c r="D15" s="13" t="s">
        <v>648</v>
      </c>
      <c r="E15" s="12" t="s">
        <v>134</v>
      </c>
      <c r="F15" s="12" t="s">
        <v>164</v>
      </c>
      <c r="G15" s="13" t="s">
        <v>646</v>
      </c>
      <c r="H15" s="12" t="s">
        <v>98</v>
      </c>
      <c r="I15" s="12" t="s">
        <v>113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649</v>
      </c>
      <c r="B16" s="12" t="s">
        <v>167</v>
      </c>
      <c r="C16" s="12" t="s">
        <v>40</v>
      </c>
      <c r="D16" s="13" t="s">
        <v>650</v>
      </c>
      <c r="E16" s="12" t="s">
        <v>134</v>
      </c>
      <c r="F16" s="12" t="s">
        <v>169</v>
      </c>
      <c r="G16" s="13" t="s">
        <v>651</v>
      </c>
      <c r="H16" s="12" t="s">
        <v>100</v>
      </c>
      <c r="I16" s="12" t="s">
        <v>112</v>
      </c>
      <c r="J16" s="14" t="n">
        <v>46227</v>
      </c>
      <c r="K16" s="13" t="s">
        <v>652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653</v>
      </c>
      <c r="B17" s="12" t="s">
        <v>173</v>
      </c>
      <c r="C17" s="12" t="s">
        <v>40</v>
      </c>
      <c r="D17" s="13" t="s">
        <v>654</v>
      </c>
      <c r="E17" s="12" t="s">
        <v>134</v>
      </c>
      <c r="F17" s="12" t="s">
        <v>175</v>
      </c>
      <c r="G17" s="13" t="s">
        <v>655</v>
      </c>
      <c r="H17" s="12" t="s">
        <v>96</v>
      </c>
      <c r="I17" s="12" t="s">
        <v>112</v>
      </c>
      <c r="J17" s="14"/>
      <c r="K17" s="13" t="s">
        <v>656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657</v>
      </c>
      <c r="B18" s="12" t="s">
        <v>179</v>
      </c>
      <c r="C18" s="12" t="s">
        <v>40</v>
      </c>
      <c r="D18" s="13" t="s">
        <v>658</v>
      </c>
      <c r="E18" s="12" t="s">
        <v>134</v>
      </c>
      <c r="F18" s="12" t="s">
        <v>175</v>
      </c>
      <c r="G18" s="13" t="s">
        <v>659</v>
      </c>
      <c r="H18" s="12" t="s">
        <v>96</v>
      </c>
      <c r="I18" s="12" t="s">
        <v>112</v>
      </c>
      <c r="J18" s="14"/>
      <c r="K18" s="13" t="s">
        <v>660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661</v>
      </c>
      <c r="B19" s="12" t="s">
        <v>662</v>
      </c>
      <c r="C19" s="12" t="s">
        <v>40</v>
      </c>
      <c r="D19" s="13" t="s">
        <v>663</v>
      </c>
      <c r="E19" s="12" t="s">
        <v>134</v>
      </c>
      <c r="F19" s="12" t="s">
        <v>159</v>
      </c>
      <c r="G19" s="13" t="s">
        <v>646</v>
      </c>
      <c r="H19" s="12" t="s">
        <v>98</v>
      </c>
      <c r="I19" s="12" t="s">
        <v>113</v>
      </c>
      <c r="J19" s="14" t="n">
        <v>46227</v>
      </c>
      <c r="K19" s="13" t="s">
        <v>560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664</v>
      </c>
      <c r="B20" s="12" t="s">
        <v>187</v>
      </c>
      <c r="C20" s="12" t="s">
        <v>40</v>
      </c>
      <c r="D20" s="13" t="s">
        <v>665</v>
      </c>
      <c r="E20" s="12" t="s">
        <v>134</v>
      </c>
      <c r="F20" s="12" t="s">
        <v>175</v>
      </c>
      <c r="G20" s="13" t="s">
        <v>655</v>
      </c>
      <c r="H20" s="12" t="s">
        <v>96</v>
      </c>
      <c r="I20" s="12" t="s">
        <v>112</v>
      </c>
      <c r="J20" s="14"/>
      <c r="K20" s="13" t="s">
        <v>563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666</v>
      </c>
      <c r="B21" s="12" t="s">
        <v>191</v>
      </c>
      <c r="C21" s="12" t="s">
        <v>40</v>
      </c>
      <c r="D21" s="13" t="s">
        <v>565</v>
      </c>
      <c r="E21" s="12" t="s">
        <v>134</v>
      </c>
      <c r="F21" s="12" t="s">
        <v>193</v>
      </c>
      <c r="G21" s="13" t="s">
        <v>667</v>
      </c>
      <c r="H21" s="12" t="s">
        <v>98</v>
      </c>
      <c r="I21" s="12" t="s">
        <v>113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668</v>
      </c>
      <c r="B22" s="12" t="s">
        <v>196</v>
      </c>
      <c r="C22" s="12" t="s">
        <v>40</v>
      </c>
      <c r="D22" s="13" t="s">
        <v>669</v>
      </c>
      <c r="E22" s="12" t="s">
        <v>134</v>
      </c>
      <c r="F22" s="12" t="s">
        <v>193</v>
      </c>
      <c r="G22" s="13" t="s">
        <v>670</v>
      </c>
      <c r="H22" s="12" t="s">
        <v>98</v>
      </c>
      <c r="I22" s="12" t="s">
        <v>113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671</v>
      </c>
      <c r="B23" s="12" t="s">
        <v>200</v>
      </c>
      <c r="C23" s="12" t="s">
        <v>40</v>
      </c>
      <c r="D23" s="13" t="s">
        <v>672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673</v>
      </c>
      <c r="B24" s="12" t="s">
        <v>205</v>
      </c>
      <c r="C24" s="12" t="s">
        <v>40</v>
      </c>
      <c r="D24" s="13" t="s">
        <v>573</v>
      </c>
      <c r="E24" s="12" t="s">
        <v>134</v>
      </c>
      <c r="F24" s="12" t="s">
        <v>134</v>
      </c>
      <c r="G24" s="13" t="s">
        <v>574</v>
      </c>
      <c r="H24" s="12" t="s">
        <v>96</v>
      </c>
      <c r="I24" s="12" t="s">
        <v>112</v>
      </c>
      <c r="J24" s="14" t="n">
        <v>46227</v>
      </c>
      <c r="K24" s="13" t="s">
        <v>674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675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676</v>
      </c>
      <c r="B9" s="1" t="s">
        <v>131</v>
      </c>
      <c r="C9" s="1" t="s">
        <v>677</v>
      </c>
      <c r="D9" s="1" t="s">
        <v>133</v>
      </c>
      <c r="E9" s="1" t="s">
        <v>134</v>
      </c>
      <c r="F9" s="1" t="s">
        <v>135</v>
      </c>
      <c r="G9" s="1" t="s">
        <v>267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678</v>
      </c>
      <c r="B10" s="1" t="s">
        <v>138</v>
      </c>
      <c r="C10" s="1" t="s">
        <v>677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679</v>
      </c>
      <c r="B11" s="1" t="s">
        <v>142</v>
      </c>
      <c r="C11" s="1" t="s">
        <v>677</v>
      </c>
      <c r="D11" s="1" t="s">
        <v>143</v>
      </c>
      <c r="E11" s="1" t="s">
        <v>134</v>
      </c>
      <c r="F11" s="1" t="s">
        <v>144</v>
      </c>
      <c r="G11" s="1" t="s">
        <v>680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681</v>
      </c>
      <c r="B12" s="1" t="s">
        <v>147</v>
      </c>
      <c r="C12" s="1" t="s">
        <v>677</v>
      </c>
      <c r="D12" s="1" t="s">
        <v>148</v>
      </c>
      <c r="E12" s="1" t="s">
        <v>134</v>
      </c>
      <c r="F12" s="1" t="s">
        <v>149</v>
      </c>
      <c r="G12" s="1" t="s">
        <v>272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682</v>
      </c>
      <c r="B13" s="1" t="s">
        <v>152</v>
      </c>
      <c r="C13" s="1" t="s">
        <v>677</v>
      </c>
      <c r="D13" s="1" t="s">
        <v>153</v>
      </c>
      <c r="E13" s="1" t="s">
        <v>134</v>
      </c>
      <c r="F13" s="1" t="s">
        <v>154</v>
      </c>
      <c r="G13" s="1" t="s">
        <v>683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684</v>
      </c>
      <c r="B14" s="1" t="s">
        <v>157</v>
      </c>
      <c r="C14" s="1" t="s">
        <v>677</v>
      </c>
      <c r="D14" s="1" t="s">
        <v>158</v>
      </c>
      <c r="E14" s="1" t="s">
        <v>134</v>
      </c>
      <c r="F14" s="1" t="s">
        <v>159</v>
      </c>
      <c r="G14" s="1" t="s">
        <v>685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686</v>
      </c>
      <c r="B15" s="1" t="s">
        <v>162</v>
      </c>
      <c r="C15" s="1" t="s">
        <v>677</v>
      </c>
      <c r="D15" s="1" t="s">
        <v>163</v>
      </c>
      <c r="E15" s="1" t="s">
        <v>134</v>
      </c>
      <c r="F15" s="1" t="s">
        <v>164</v>
      </c>
      <c r="G15" s="1" t="s">
        <v>687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688</v>
      </c>
      <c r="B16" s="1" t="s">
        <v>167</v>
      </c>
      <c r="C16" s="1" t="s">
        <v>677</v>
      </c>
      <c r="D16" s="1" t="s">
        <v>168</v>
      </c>
      <c r="E16" s="1" t="s">
        <v>134</v>
      </c>
      <c r="F16" s="1" t="s">
        <v>169</v>
      </c>
      <c r="G16" s="1" t="s">
        <v>689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690</v>
      </c>
      <c r="B17" s="1" t="s">
        <v>173</v>
      </c>
      <c r="C17" s="1" t="s">
        <v>677</v>
      </c>
      <c r="D17" s="1" t="s">
        <v>174</v>
      </c>
      <c r="E17" s="1" t="s">
        <v>134</v>
      </c>
      <c r="F17" s="1" t="s">
        <v>175</v>
      </c>
      <c r="G17" s="1" t="s">
        <v>691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692</v>
      </c>
      <c r="B18" s="1" t="s">
        <v>179</v>
      </c>
      <c r="C18" s="1" t="s">
        <v>677</v>
      </c>
      <c r="D18" s="1" t="s">
        <v>180</v>
      </c>
      <c r="E18" s="1" t="s">
        <v>134</v>
      </c>
      <c r="F18" s="1" t="s">
        <v>175</v>
      </c>
      <c r="G18" s="1" t="s">
        <v>691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693</v>
      </c>
      <c r="B19" s="1" t="s">
        <v>182</v>
      </c>
      <c r="C19" s="1" t="s">
        <v>677</v>
      </c>
      <c r="D19" s="1" t="s">
        <v>183</v>
      </c>
      <c r="E19" s="1" t="s">
        <v>134</v>
      </c>
      <c r="F19" s="1" t="s">
        <v>175</v>
      </c>
      <c r="G19" s="1" t="s">
        <v>694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695</v>
      </c>
      <c r="B20" s="1" t="s">
        <v>187</v>
      </c>
      <c r="C20" s="1" t="s">
        <v>677</v>
      </c>
      <c r="D20" s="1" t="s">
        <v>188</v>
      </c>
      <c r="E20" s="1" t="s">
        <v>134</v>
      </c>
      <c r="F20" s="1" t="s">
        <v>175</v>
      </c>
      <c r="G20" s="1" t="s">
        <v>691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696</v>
      </c>
      <c r="B21" s="1" t="s">
        <v>191</v>
      </c>
      <c r="C21" s="1" t="s">
        <v>677</v>
      </c>
      <c r="D21" s="1" t="s">
        <v>192</v>
      </c>
      <c r="E21" s="1" t="s">
        <v>134</v>
      </c>
      <c r="F21" s="1" t="s">
        <v>193</v>
      </c>
      <c r="G21" s="1" t="s">
        <v>697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698</v>
      </c>
      <c r="B22" s="1" t="s">
        <v>196</v>
      </c>
      <c r="C22" s="1" t="s">
        <v>677</v>
      </c>
      <c r="D22" s="1" t="s">
        <v>197</v>
      </c>
      <c r="E22" s="1" t="s">
        <v>134</v>
      </c>
      <c r="F22" s="1" t="s">
        <v>193</v>
      </c>
      <c r="G22" s="1" t="s">
        <v>699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700</v>
      </c>
      <c r="B23" s="1" t="s">
        <v>200</v>
      </c>
      <c r="C23" s="1" t="s">
        <v>677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701</v>
      </c>
      <c r="B24" s="1" t="s">
        <v>205</v>
      </c>
      <c r="C24" s="1" t="s">
        <v>677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703</v>
      </c>
      <c r="B9" s="1" t="s">
        <v>131</v>
      </c>
      <c r="C9" s="1" t="s">
        <v>35</v>
      </c>
      <c r="D9" s="1" t="s">
        <v>133</v>
      </c>
      <c r="E9" s="1" t="s">
        <v>134</v>
      </c>
      <c r="F9" s="1" t="s">
        <v>135</v>
      </c>
      <c r="G9" s="1" t="s">
        <v>704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705</v>
      </c>
      <c r="B10" s="1" t="s">
        <v>138</v>
      </c>
      <c r="C10" s="1" t="s">
        <v>35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706</v>
      </c>
      <c r="B11" s="1" t="s">
        <v>142</v>
      </c>
      <c r="C11" s="1" t="s">
        <v>35</v>
      </c>
      <c r="D11" s="1" t="s">
        <v>143</v>
      </c>
      <c r="E11" s="1" t="s">
        <v>134</v>
      </c>
      <c r="F11" s="1" t="s">
        <v>144</v>
      </c>
      <c r="G11" s="1" t="s">
        <v>707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708</v>
      </c>
      <c r="B12" s="1" t="s">
        <v>147</v>
      </c>
      <c r="C12" s="1" t="s">
        <v>35</v>
      </c>
      <c r="D12" s="1" t="s">
        <v>148</v>
      </c>
      <c r="E12" s="1" t="s">
        <v>134</v>
      </c>
      <c r="F12" s="1" t="s">
        <v>149</v>
      </c>
      <c r="G12" s="1" t="s">
        <v>709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710</v>
      </c>
      <c r="B13" s="1" t="s">
        <v>152</v>
      </c>
      <c r="C13" s="1" t="s">
        <v>35</v>
      </c>
      <c r="D13" s="1" t="s">
        <v>153</v>
      </c>
      <c r="E13" s="1" t="s">
        <v>134</v>
      </c>
      <c r="F13" s="1" t="s">
        <v>154</v>
      </c>
      <c r="G13" s="1" t="s">
        <v>711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712</v>
      </c>
      <c r="B14" s="1" t="s">
        <v>157</v>
      </c>
      <c r="C14" s="1" t="s">
        <v>35</v>
      </c>
      <c r="D14" s="1" t="s">
        <v>158</v>
      </c>
      <c r="E14" s="1" t="s">
        <v>134</v>
      </c>
      <c r="F14" s="1" t="s">
        <v>159</v>
      </c>
      <c r="G14" s="1" t="s">
        <v>713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714</v>
      </c>
      <c r="B15" s="1" t="s">
        <v>162</v>
      </c>
      <c r="C15" s="1" t="s">
        <v>35</v>
      </c>
      <c r="D15" s="1" t="s">
        <v>163</v>
      </c>
      <c r="E15" s="1" t="s">
        <v>134</v>
      </c>
      <c r="F15" s="1" t="s">
        <v>164</v>
      </c>
      <c r="G15" s="1" t="s">
        <v>715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716</v>
      </c>
      <c r="B16" s="1" t="s">
        <v>167</v>
      </c>
      <c r="C16" s="1" t="s">
        <v>35</v>
      </c>
      <c r="D16" s="1" t="s">
        <v>168</v>
      </c>
      <c r="E16" s="1" t="s">
        <v>134</v>
      </c>
      <c r="F16" s="1" t="s">
        <v>169</v>
      </c>
      <c r="G16" s="1" t="s">
        <v>717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718</v>
      </c>
      <c r="B17" s="1" t="s">
        <v>173</v>
      </c>
      <c r="C17" s="1" t="s">
        <v>35</v>
      </c>
      <c r="D17" s="1" t="s">
        <v>174</v>
      </c>
      <c r="E17" s="1" t="s">
        <v>134</v>
      </c>
      <c r="F17" s="1" t="s">
        <v>175</v>
      </c>
      <c r="G17" s="1" t="s">
        <v>719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720</v>
      </c>
      <c r="B18" s="1" t="s">
        <v>179</v>
      </c>
      <c r="C18" s="1" t="s">
        <v>35</v>
      </c>
      <c r="D18" s="1" t="s">
        <v>180</v>
      </c>
      <c r="E18" s="1" t="s">
        <v>134</v>
      </c>
      <c r="F18" s="1" t="s">
        <v>175</v>
      </c>
      <c r="G18" s="1" t="s">
        <v>719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721</v>
      </c>
      <c r="B19" s="1" t="s">
        <v>182</v>
      </c>
      <c r="C19" s="1" t="s">
        <v>35</v>
      </c>
      <c r="D19" s="1" t="s">
        <v>183</v>
      </c>
      <c r="E19" s="1" t="s">
        <v>134</v>
      </c>
      <c r="F19" s="1" t="s">
        <v>175</v>
      </c>
      <c r="G19" s="1" t="s">
        <v>722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723</v>
      </c>
      <c r="B20" s="1" t="s">
        <v>187</v>
      </c>
      <c r="C20" s="1" t="s">
        <v>35</v>
      </c>
      <c r="D20" s="1" t="s">
        <v>188</v>
      </c>
      <c r="E20" s="1" t="s">
        <v>134</v>
      </c>
      <c r="F20" s="1" t="s">
        <v>175</v>
      </c>
      <c r="G20" s="1" t="s">
        <v>719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724</v>
      </c>
      <c r="B21" s="1" t="s">
        <v>191</v>
      </c>
      <c r="C21" s="1" t="s">
        <v>35</v>
      </c>
      <c r="D21" s="1" t="s">
        <v>192</v>
      </c>
      <c r="E21" s="1" t="s">
        <v>134</v>
      </c>
      <c r="F21" s="1" t="s">
        <v>193</v>
      </c>
      <c r="G21" s="1" t="s">
        <v>725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726</v>
      </c>
      <c r="B22" s="1" t="s">
        <v>196</v>
      </c>
      <c r="C22" s="1" t="s">
        <v>35</v>
      </c>
      <c r="D22" s="1" t="s">
        <v>197</v>
      </c>
      <c r="E22" s="1" t="s">
        <v>134</v>
      </c>
      <c r="F22" s="1" t="s">
        <v>193</v>
      </c>
      <c r="G22" s="1" t="s">
        <v>727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728</v>
      </c>
      <c r="B23" s="1" t="s">
        <v>200</v>
      </c>
      <c r="C23" s="1" t="s">
        <v>35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729</v>
      </c>
      <c r="B24" s="1" t="s">
        <v>205</v>
      </c>
      <c r="C24" s="1" t="s">
        <v>35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630</v>
      </c>
      <c r="B9" s="1" t="s">
        <v>131</v>
      </c>
      <c r="C9" s="1" t="s">
        <v>36</v>
      </c>
      <c r="D9" s="1" t="s">
        <v>133</v>
      </c>
      <c r="E9" s="1" t="s">
        <v>134</v>
      </c>
      <c r="F9" s="1" t="s">
        <v>135</v>
      </c>
      <c r="G9" s="1" t="s">
        <v>731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633</v>
      </c>
      <c r="B10" s="1" t="s">
        <v>138</v>
      </c>
      <c r="C10" s="1" t="s">
        <v>36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635</v>
      </c>
      <c r="B11" s="1" t="s">
        <v>142</v>
      </c>
      <c r="C11" s="1" t="s">
        <v>36</v>
      </c>
      <c r="D11" s="1" t="s">
        <v>143</v>
      </c>
      <c r="E11" s="1" t="s">
        <v>134</v>
      </c>
      <c r="F11" s="1" t="s">
        <v>144</v>
      </c>
      <c r="G11" s="1" t="s">
        <v>732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638</v>
      </c>
      <c r="B12" s="1" t="s">
        <v>147</v>
      </c>
      <c r="C12" s="1" t="s">
        <v>36</v>
      </c>
      <c r="D12" s="1" t="s">
        <v>148</v>
      </c>
      <c r="E12" s="1" t="s">
        <v>134</v>
      </c>
      <c r="F12" s="1" t="s">
        <v>149</v>
      </c>
      <c r="G12" s="1" t="s">
        <v>733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641</v>
      </c>
      <c r="B13" s="1" t="s">
        <v>152</v>
      </c>
      <c r="C13" s="1" t="s">
        <v>36</v>
      </c>
      <c r="D13" s="1" t="s">
        <v>153</v>
      </c>
      <c r="E13" s="1" t="s">
        <v>134</v>
      </c>
      <c r="F13" s="1" t="s">
        <v>154</v>
      </c>
      <c r="G13" s="1" t="s">
        <v>734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644</v>
      </c>
      <c r="B14" s="1" t="s">
        <v>157</v>
      </c>
      <c r="C14" s="1" t="s">
        <v>36</v>
      </c>
      <c r="D14" s="1" t="s">
        <v>158</v>
      </c>
      <c r="E14" s="1" t="s">
        <v>134</v>
      </c>
      <c r="F14" s="1" t="s">
        <v>159</v>
      </c>
      <c r="G14" s="1" t="s">
        <v>735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647</v>
      </c>
      <c r="B15" s="1" t="s">
        <v>162</v>
      </c>
      <c r="C15" s="1" t="s">
        <v>36</v>
      </c>
      <c r="D15" s="1" t="s">
        <v>163</v>
      </c>
      <c r="E15" s="1" t="s">
        <v>134</v>
      </c>
      <c r="F15" s="1" t="s">
        <v>164</v>
      </c>
      <c r="G15" s="1" t="s">
        <v>736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649</v>
      </c>
      <c r="B16" s="1" t="s">
        <v>167</v>
      </c>
      <c r="C16" s="1" t="s">
        <v>36</v>
      </c>
      <c r="D16" s="1" t="s">
        <v>168</v>
      </c>
      <c r="E16" s="1" t="s">
        <v>134</v>
      </c>
      <c r="F16" s="1" t="s">
        <v>169</v>
      </c>
      <c r="G16" s="1" t="s">
        <v>737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653</v>
      </c>
      <c r="B17" s="1" t="s">
        <v>173</v>
      </c>
      <c r="C17" s="1" t="s">
        <v>36</v>
      </c>
      <c r="D17" s="1" t="s">
        <v>174</v>
      </c>
      <c r="E17" s="1" t="s">
        <v>134</v>
      </c>
      <c r="F17" s="1" t="s">
        <v>175</v>
      </c>
      <c r="G17" s="1" t="s">
        <v>738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657</v>
      </c>
      <c r="B18" s="1" t="s">
        <v>179</v>
      </c>
      <c r="C18" s="1" t="s">
        <v>36</v>
      </c>
      <c r="D18" s="1" t="s">
        <v>180</v>
      </c>
      <c r="E18" s="1" t="s">
        <v>134</v>
      </c>
      <c r="F18" s="1" t="s">
        <v>175</v>
      </c>
      <c r="G18" s="1" t="s">
        <v>738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661</v>
      </c>
      <c r="B19" s="1" t="s">
        <v>182</v>
      </c>
      <c r="C19" s="1" t="s">
        <v>36</v>
      </c>
      <c r="D19" s="1" t="s">
        <v>183</v>
      </c>
      <c r="E19" s="1" t="s">
        <v>134</v>
      </c>
      <c r="F19" s="1" t="s">
        <v>175</v>
      </c>
      <c r="G19" s="1" t="s">
        <v>739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664</v>
      </c>
      <c r="B20" s="1" t="s">
        <v>187</v>
      </c>
      <c r="C20" s="1" t="s">
        <v>36</v>
      </c>
      <c r="D20" s="1" t="s">
        <v>188</v>
      </c>
      <c r="E20" s="1" t="s">
        <v>134</v>
      </c>
      <c r="F20" s="1" t="s">
        <v>175</v>
      </c>
      <c r="G20" s="1" t="s">
        <v>738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666</v>
      </c>
      <c r="B21" s="1" t="s">
        <v>191</v>
      </c>
      <c r="C21" s="1" t="s">
        <v>36</v>
      </c>
      <c r="D21" s="1" t="s">
        <v>192</v>
      </c>
      <c r="E21" s="1" t="s">
        <v>134</v>
      </c>
      <c r="F21" s="1" t="s">
        <v>193</v>
      </c>
      <c r="G21" s="1" t="s">
        <v>740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668</v>
      </c>
      <c r="B22" s="1" t="s">
        <v>196</v>
      </c>
      <c r="C22" s="1" t="s">
        <v>36</v>
      </c>
      <c r="D22" s="1" t="s">
        <v>197</v>
      </c>
      <c r="E22" s="1" t="s">
        <v>134</v>
      </c>
      <c r="F22" s="1" t="s">
        <v>193</v>
      </c>
      <c r="G22" s="1" t="s">
        <v>741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671</v>
      </c>
      <c r="B23" s="1" t="s">
        <v>200</v>
      </c>
      <c r="C23" s="1" t="s">
        <v>36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673</v>
      </c>
      <c r="B24" s="1" t="s">
        <v>205</v>
      </c>
      <c r="C24" s="1" t="s">
        <v>36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742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743</v>
      </c>
      <c r="B9" s="1" t="s">
        <v>131</v>
      </c>
      <c r="C9" s="1" t="s">
        <v>744</v>
      </c>
      <c r="D9" s="1" t="s">
        <v>133</v>
      </c>
      <c r="E9" s="1" t="s">
        <v>134</v>
      </c>
      <c r="F9" s="1" t="s">
        <v>135</v>
      </c>
      <c r="G9" s="1" t="s">
        <v>745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746</v>
      </c>
      <c r="B10" s="1" t="s">
        <v>138</v>
      </c>
      <c r="C10" s="1" t="s">
        <v>744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747</v>
      </c>
      <c r="B11" s="1" t="s">
        <v>142</v>
      </c>
      <c r="C11" s="1" t="s">
        <v>744</v>
      </c>
      <c r="D11" s="1" t="s">
        <v>143</v>
      </c>
      <c r="E11" s="1" t="s">
        <v>134</v>
      </c>
      <c r="F11" s="1" t="s">
        <v>144</v>
      </c>
      <c r="G11" s="1" t="s">
        <v>748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749</v>
      </c>
      <c r="B12" s="1" t="s">
        <v>147</v>
      </c>
      <c r="C12" s="1" t="s">
        <v>744</v>
      </c>
      <c r="D12" s="1" t="s">
        <v>148</v>
      </c>
      <c r="E12" s="1" t="s">
        <v>134</v>
      </c>
      <c r="F12" s="1" t="s">
        <v>149</v>
      </c>
      <c r="G12" s="1" t="s">
        <v>750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751</v>
      </c>
      <c r="B13" s="1" t="s">
        <v>152</v>
      </c>
      <c r="C13" s="1" t="s">
        <v>744</v>
      </c>
      <c r="D13" s="1" t="s">
        <v>153</v>
      </c>
      <c r="E13" s="1" t="s">
        <v>134</v>
      </c>
      <c r="F13" s="1" t="s">
        <v>154</v>
      </c>
      <c r="G13" s="1" t="s">
        <v>752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753</v>
      </c>
      <c r="B14" s="1" t="s">
        <v>157</v>
      </c>
      <c r="C14" s="1" t="s">
        <v>744</v>
      </c>
      <c r="D14" s="1" t="s">
        <v>158</v>
      </c>
      <c r="E14" s="1" t="s">
        <v>134</v>
      </c>
      <c r="F14" s="1" t="s">
        <v>159</v>
      </c>
      <c r="G14" s="1" t="s">
        <v>754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755</v>
      </c>
      <c r="B15" s="1" t="s">
        <v>162</v>
      </c>
      <c r="C15" s="1" t="s">
        <v>744</v>
      </c>
      <c r="D15" s="1" t="s">
        <v>163</v>
      </c>
      <c r="E15" s="1" t="s">
        <v>134</v>
      </c>
      <c r="F15" s="1" t="s">
        <v>164</v>
      </c>
      <c r="G15" s="1" t="s">
        <v>756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757</v>
      </c>
      <c r="B16" s="1" t="s">
        <v>167</v>
      </c>
      <c r="C16" s="1" t="s">
        <v>744</v>
      </c>
      <c r="D16" s="1" t="s">
        <v>168</v>
      </c>
      <c r="E16" s="1" t="s">
        <v>134</v>
      </c>
      <c r="F16" s="1" t="s">
        <v>169</v>
      </c>
      <c r="G16" s="1" t="s">
        <v>758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759</v>
      </c>
      <c r="B17" s="1" t="s">
        <v>173</v>
      </c>
      <c r="C17" s="1" t="s">
        <v>744</v>
      </c>
      <c r="D17" s="1" t="s">
        <v>174</v>
      </c>
      <c r="E17" s="1" t="s">
        <v>134</v>
      </c>
      <c r="F17" s="1" t="s">
        <v>175</v>
      </c>
      <c r="G17" s="1" t="s">
        <v>760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761</v>
      </c>
      <c r="B18" s="1" t="s">
        <v>179</v>
      </c>
      <c r="C18" s="1" t="s">
        <v>744</v>
      </c>
      <c r="D18" s="1" t="s">
        <v>180</v>
      </c>
      <c r="E18" s="1" t="s">
        <v>134</v>
      </c>
      <c r="F18" s="1" t="s">
        <v>175</v>
      </c>
      <c r="G18" s="1" t="s">
        <v>760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762</v>
      </c>
      <c r="B19" s="1" t="s">
        <v>182</v>
      </c>
      <c r="C19" s="1" t="s">
        <v>744</v>
      </c>
      <c r="D19" s="1" t="s">
        <v>183</v>
      </c>
      <c r="E19" s="1" t="s">
        <v>134</v>
      </c>
      <c r="F19" s="1" t="s">
        <v>175</v>
      </c>
      <c r="G19" s="1" t="s">
        <v>763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764</v>
      </c>
      <c r="B20" s="1" t="s">
        <v>187</v>
      </c>
      <c r="C20" s="1" t="s">
        <v>744</v>
      </c>
      <c r="D20" s="1" t="s">
        <v>188</v>
      </c>
      <c r="E20" s="1" t="s">
        <v>134</v>
      </c>
      <c r="F20" s="1" t="s">
        <v>175</v>
      </c>
      <c r="G20" s="1" t="s">
        <v>760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765</v>
      </c>
      <c r="B21" s="1" t="s">
        <v>191</v>
      </c>
      <c r="C21" s="1" t="s">
        <v>744</v>
      </c>
      <c r="D21" s="1" t="s">
        <v>192</v>
      </c>
      <c r="E21" s="1" t="s">
        <v>134</v>
      </c>
      <c r="F21" s="1" t="s">
        <v>193</v>
      </c>
      <c r="G21" s="1" t="s">
        <v>766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767</v>
      </c>
      <c r="B22" s="1" t="s">
        <v>196</v>
      </c>
      <c r="C22" s="1" t="s">
        <v>744</v>
      </c>
      <c r="D22" s="1" t="s">
        <v>197</v>
      </c>
      <c r="E22" s="1" t="s">
        <v>134</v>
      </c>
      <c r="F22" s="1" t="s">
        <v>193</v>
      </c>
      <c r="G22" s="1" t="s">
        <v>768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769</v>
      </c>
      <c r="B23" s="1" t="s">
        <v>200</v>
      </c>
      <c r="C23" s="1" t="s">
        <v>744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770</v>
      </c>
      <c r="B24" s="1" t="s">
        <v>205</v>
      </c>
      <c r="C24" s="1" t="s">
        <v>744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771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116</v>
      </c>
      <c r="E4" s="6" t="n">
        <f aca="false">SUM(M9:M24)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772</v>
      </c>
      <c r="B9" s="12" t="s">
        <v>131</v>
      </c>
      <c r="C9" s="12" t="s">
        <v>39</v>
      </c>
      <c r="D9" s="13" t="s">
        <v>773</v>
      </c>
      <c r="E9" s="12" t="s">
        <v>134</v>
      </c>
      <c r="F9" s="12" t="s">
        <v>135</v>
      </c>
      <c r="G9" s="13" t="s">
        <v>774</v>
      </c>
      <c r="H9" s="12" t="s">
        <v>98</v>
      </c>
      <c r="I9" s="12" t="s">
        <v>113</v>
      </c>
      <c r="J9" s="14" t="n">
        <v>46227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775</v>
      </c>
      <c r="B10" s="12" t="s">
        <v>138</v>
      </c>
      <c r="C10" s="12" t="s">
        <v>776</v>
      </c>
      <c r="D10" s="13" t="s">
        <v>777</v>
      </c>
      <c r="E10" s="12" t="s">
        <v>134</v>
      </c>
      <c r="F10" s="12" t="s">
        <v>134</v>
      </c>
      <c r="G10" s="13" t="s">
        <v>140</v>
      </c>
      <c r="H10" s="12" t="s">
        <v>98</v>
      </c>
      <c r="I10" s="12" t="s">
        <v>113</v>
      </c>
      <c r="J10" s="14" t="n">
        <v>46227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778</v>
      </c>
      <c r="B11" s="12" t="s">
        <v>142</v>
      </c>
      <c r="C11" s="12" t="s">
        <v>776</v>
      </c>
      <c r="D11" s="13" t="s">
        <v>779</v>
      </c>
      <c r="E11" s="12" t="s">
        <v>134</v>
      </c>
      <c r="F11" s="12" t="s">
        <v>144</v>
      </c>
      <c r="G11" s="13" t="s">
        <v>780</v>
      </c>
      <c r="H11" s="12" t="s">
        <v>98</v>
      </c>
      <c r="I11" s="12" t="s">
        <v>113</v>
      </c>
      <c r="J11" s="14" t="n">
        <v>46227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781</v>
      </c>
      <c r="B12" s="12" t="s">
        <v>147</v>
      </c>
      <c r="C12" s="12" t="s">
        <v>782</v>
      </c>
      <c r="D12" s="13" t="s">
        <v>783</v>
      </c>
      <c r="E12" s="12" t="s">
        <v>134</v>
      </c>
      <c r="F12" s="12" t="s">
        <v>149</v>
      </c>
      <c r="G12" s="13" t="s">
        <v>784</v>
      </c>
      <c r="H12" s="12" t="s">
        <v>98</v>
      </c>
      <c r="I12" s="12" t="s">
        <v>113</v>
      </c>
      <c r="J12" s="14" t="n">
        <v>46227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785</v>
      </c>
      <c r="B13" s="12" t="s">
        <v>152</v>
      </c>
      <c r="C13" s="12" t="s">
        <v>776</v>
      </c>
      <c r="D13" s="13" t="s">
        <v>786</v>
      </c>
      <c r="E13" s="12" t="s">
        <v>134</v>
      </c>
      <c r="F13" s="12" t="s">
        <v>154</v>
      </c>
      <c r="G13" s="13" t="s">
        <v>787</v>
      </c>
      <c r="H13" s="12" t="s">
        <v>98</v>
      </c>
      <c r="I13" s="12" t="s">
        <v>113</v>
      </c>
      <c r="J13" s="14" t="n">
        <v>46227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788</v>
      </c>
      <c r="B14" s="12" t="s">
        <v>157</v>
      </c>
      <c r="C14" s="12" t="s">
        <v>776</v>
      </c>
      <c r="D14" s="13" t="s">
        <v>789</v>
      </c>
      <c r="E14" s="12" t="s">
        <v>134</v>
      </c>
      <c r="F14" s="12" t="s">
        <v>159</v>
      </c>
      <c r="G14" s="13" t="s">
        <v>790</v>
      </c>
      <c r="H14" s="12" t="s">
        <v>98</v>
      </c>
      <c r="I14" s="12" t="s">
        <v>113</v>
      </c>
      <c r="J14" s="14" t="n">
        <v>46227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791</v>
      </c>
      <c r="B15" s="12" t="s">
        <v>162</v>
      </c>
      <c r="C15" s="12" t="s">
        <v>782</v>
      </c>
      <c r="D15" s="13" t="s">
        <v>792</v>
      </c>
      <c r="E15" s="12" t="s">
        <v>134</v>
      </c>
      <c r="F15" s="12" t="s">
        <v>164</v>
      </c>
      <c r="G15" s="13" t="s">
        <v>790</v>
      </c>
      <c r="H15" s="12" t="s">
        <v>98</v>
      </c>
      <c r="I15" s="12" t="s">
        <v>113</v>
      </c>
      <c r="J15" s="14" t="n">
        <v>46227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793</v>
      </c>
      <c r="B16" s="12" t="s">
        <v>167</v>
      </c>
      <c r="C16" s="12" t="s">
        <v>776</v>
      </c>
      <c r="D16" s="13" t="s">
        <v>794</v>
      </c>
      <c r="E16" s="12" t="s">
        <v>134</v>
      </c>
      <c r="F16" s="12" t="s">
        <v>169</v>
      </c>
      <c r="G16" s="13" t="s">
        <v>795</v>
      </c>
      <c r="H16" s="12" t="s">
        <v>100</v>
      </c>
      <c r="I16" s="12" t="s">
        <v>112</v>
      </c>
      <c r="J16" s="14" t="n">
        <v>46227</v>
      </c>
      <c r="K16" s="13" t="s">
        <v>796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797</v>
      </c>
      <c r="B17" s="12" t="s">
        <v>173</v>
      </c>
      <c r="C17" s="12" t="s">
        <v>776</v>
      </c>
      <c r="D17" s="13" t="s">
        <v>798</v>
      </c>
      <c r="E17" s="12" t="s">
        <v>134</v>
      </c>
      <c r="F17" s="12" t="s">
        <v>175</v>
      </c>
      <c r="G17" s="13" t="s">
        <v>799</v>
      </c>
      <c r="H17" s="12" t="s">
        <v>96</v>
      </c>
      <c r="I17" s="12" t="s">
        <v>112</v>
      </c>
      <c r="J17" s="14"/>
      <c r="K17" s="13" t="s">
        <v>800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801</v>
      </c>
      <c r="B18" s="12" t="s">
        <v>179</v>
      </c>
      <c r="C18" s="12" t="s">
        <v>782</v>
      </c>
      <c r="D18" s="13" t="s">
        <v>802</v>
      </c>
      <c r="E18" s="12" t="s">
        <v>134</v>
      </c>
      <c r="F18" s="12" t="s">
        <v>175</v>
      </c>
      <c r="G18" s="13" t="s">
        <v>803</v>
      </c>
      <c r="H18" s="12" t="s">
        <v>96</v>
      </c>
      <c r="I18" s="12" t="s">
        <v>112</v>
      </c>
      <c r="J18" s="14"/>
      <c r="K18" s="13" t="s">
        <v>804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805</v>
      </c>
      <c r="B19" s="12" t="s">
        <v>662</v>
      </c>
      <c r="C19" s="12" t="s">
        <v>782</v>
      </c>
      <c r="D19" s="13" t="s">
        <v>806</v>
      </c>
      <c r="E19" s="12" t="s">
        <v>134</v>
      </c>
      <c r="F19" s="12" t="s">
        <v>159</v>
      </c>
      <c r="G19" s="13" t="s">
        <v>790</v>
      </c>
      <c r="H19" s="12" t="s">
        <v>98</v>
      </c>
      <c r="I19" s="12" t="s">
        <v>113</v>
      </c>
      <c r="J19" s="14" t="n">
        <v>46227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807</v>
      </c>
      <c r="B20" s="12" t="s">
        <v>187</v>
      </c>
      <c r="C20" s="12" t="s">
        <v>776</v>
      </c>
      <c r="D20" s="13" t="s">
        <v>808</v>
      </c>
      <c r="E20" s="12" t="s">
        <v>134</v>
      </c>
      <c r="F20" s="12" t="s">
        <v>175</v>
      </c>
      <c r="G20" s="13" t="s">
        <v>799</v>
      </c>
      <c r="H20" s="12" t="s">
        <v>96</v>
      </c>
      <c r="I20" s="12" t="s">
        <v>112</v>
      </c>
      <c r="J20" s="14"/>
      <c r="K20" s="13" t="s">
        <v>809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810</v>
      </c>
      <c r="B21" s="12" t="s">
        <v>191</v>
      </c>
      <c r="C21" s="12" t="s">
        <v>776</v>
      </c>
      <c r="D21" s="13" t="s">
        <v>811</v>
      </c>
      <c r="E21" s="12" t="s">
        <v>134</v>
      </c>
      <c r="F21" s="12" t="s">
        <v>193</v>
      </c>
      <c r="G21" s="13" t="s">
        <v>812</v>
      </c>
      <c r="H21" s="12" t="s">
        <v>98</v>
      </c>
      <c r="I21" s="12" t="s">
        <v>113</v>
      </c>
      <c r="J21" s="14" t="n">
        <v>46227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813</v>
      </c>
      <c r="B22" s="12" t="s">
        <v>196</v>
      </c>
      <c r="C22" s="12" t="s">
        <v>776</v>
      </c>
      <c r="D22" s="13" t="s">
        <v>814</v>
      </c>
      <c r="E22" s="12" t="s">
        <v>134</v>
      </c>
      <c r="F22" s="12" t="s">
        <v>193</v>
      </c>
      <c r="G22" s="13" t="s">
        <v>815</v>
      </c>
      <c r="H22" s="12" t="s">
        <v>98</v>
      </c>
      <c r="I22" s="12" t="s">
        <v>113</v>
      </c>
      <c r="J22" s="14" t="n">
        <v>46227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816</v>
      </c>
      <c r="B23" s="12" t="s">
        <v>200</v>
      </c>
      <c r="C23" s="12" t="s">
        <v>817</v>
      </c>
      <c r="D23" s="13" t="s">
        <v>818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 t="n">
        <v>46227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819</v>
      </c>
      <c r="B24" s="12" t="s">
        <v>205</v>
      </c>
      <c r="C24" s="12" t="s">
        <v>776</v>
      </c>
      <c r="D24" s="13" t="s">
        <v>820</v>
      </c>
      <c r="E24" s="12" t="s">
        <v>134</v>
      </c>
      <c r="F24" s="12" t="s">
        <v>134</v>
      </c>
      <c r="G24" s="13" t="s">
        <v>821</v>
      </c>
      <c r="H24" s="12" t="s">
        <v>96</v>
      </c>
      <c r="I24" s="12" t="s">
        <v>112</v>
      </c>
      <c r="J24" s="14" t="n">
        <v>46227</v>
      </c>
      <c r="K24" s="13" t="s">
        <v>822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823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v>16</v>
      </c>
      <c r="D4" s="5" t="s">
        <v>116</v>
      </c>
      <c r="E4" s="6" t="n">
        <v>16</v>
      </c>
      <c r="G4" s="5" t="s">
        <v>14</v>
      </c>
      <c r="H4" s="7" t="n">
        <v>1</v>
      </c>
      <c r="J4" s="5" t="s">
        <v>15</v>
      </c>
      <c r="K4" s="6"/>
    </row>
    <row r="5" customFormat="false" ht="17.25" hidden="false" customHeight="true" outlineLevel="0" collapsed="false">
      <c r="A5" s="5" t="s">
        <v>117</v>
      </c>
      <c r="B5" s="6"/>
      <c r="D5" s="5" t="s">
        <v>16</v>
      </c>
      <c r="E5" s="6"/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630</v>
      </c>
      <c r="B9" s="1" t="s">
        <v>131</v>
      </c>
      <c r="C9" s="1" t="s">
        <v>38</v>
      </c>
      <c r="D9" s="1" t="s">
        <v>133</v>
      </c>
      <c r="E9" s="1" t="s">
        <v>134</v>
      </c>
      <c r="F9" s="1" t="s">
        <v>135</v>
      </c>
      <c r="G9" s="1" t="s">
        <v>824</v>
      </c>
      <c r="H9" s="8" t="s">
        <v>98</v>
      </c>
      <c r="I9" s="8" t="s">
        <v>113</v>
      </c>
      <c r="J9" s="10" t="n">
        <v>46227</v>
      </c>
      <c r="L9" s="1" t="n">
        <v>1</v>
      </c>
      <c r="M9" s="1" t="n">
        <v>1</v>
      </c>
    </row>
    <row r="10" customFormat="false" ht="42" hidden="false" customHeight="true" outlineLevel="0" collapsed="false">
      <c r="A10" s="1" t="s">
        <v>633</v>
      </c>
      <c r="B10" s="1" t="s">
        <v>138</v>
      </c>
      <c r="C10" s="1" t="s">
        <v>38</v>
      </c>
      <c r="D10" s="1" t="s">
        <v>139</v>
      </c>
      <c r="E10" s="1" t="s">
        <v>134</v>
      </c>
      <c r="F10" s="1" t="s">
        <v>134</v>
      </c>
      <c r="G10" s="1" t="s">
        <v>140</v>
      </c>
      <c r="H10" s="8" t="s">
        <v>98</v>
      </c>
      <c r="I10" s="8" t="s">
        <v>113</v>
      </c>
      <c r="J10" s="10" t="n">
        <v>46227</v>
      </c>
      <c r="L10" s="1" t="n">
        <v>1</v>
      </c>
      <c r="M10" s="1" t="n">
        <v>1</v>
      </c>
    </row>
    <row r="11" customFormat="false" ht="42" hidden="false" customHeight="true" outlineLevel="0" collapsed="false">
      <c r="A11" s="1" t="s">
        <v>635</v>
      </c>
      <c r="B11" s="1" t="s">
        <v>142</v>
      </c>
      <c r="C11" s="1" t="s">
        <v>38</v>
      </c>
      <c r="D11" s="1" t="s">
        <v>143</v>
      </c>
      <c r="E11" s="1" t="s">
        <v>134</v>
      </c>
      <c r="F11" s="1" t="s">
        <v>144</v>
      </c>
      <c r="G11" s="1" t="s">
        <v>825</v>
      </c>
      <c r="H11" s="8" t="s">
        <v>98</v>
      </c>
      <c r="I11" s="8" t="s">
        <v>113</v>
      </c>
      <c r="J11" s="10" t="n">
        <v>46227</v>
      </c>
      <c r="L11" s="1" t="n">
        <v>1</v>
      </c>
      <c r="M11" s="1" t="n">
        <v>1</v>
      </c>
    </row>
    <row r="12" customFormat="false" ht="42" hidden="false" customHeight="true" outlineLevel="0" collapsed="false">
      <c r="A12" s="1" t="s">
        <v>638</v>
      </c>
      <c r="B12" s="1" t="s">
        <v>147</v>
      </c>
      <c r="C12" s="1" t="s">
        <v>38</v>
      </c>
      <c r="D12" s="1" t="s">
        <v>148</v>
      </c>
      <c r="E12" s="1" t="s">
        <v>134</v>
      </c>
      <c r="F12" s="1" t="s">
        <v>149</v>
      </c>
      <c r="G12" s="1" t="s">
        <v>826</v>
      </c>
      <c r="H12" s="8" t="s">
        <v>98</v>
      </c>
      <c r="I12" s="8" t="s">
        <v>113</v>
      </c>
      <c r="J12" s="10" t="n">
        <v>46227</v>
      </c>
      <c r="L12" s="1" t="n">
        <v>1</v>
      </c>
      <c r="M12" s="1" t="n">
        <v>1</v>
      </c>
    </row>
    <row r="13" customFormat="false" ht="42" hidden="false" customHeight="true" outlineLevel="0" collapsed="false">
      <c r="A13" s="1" t="s">
        <v>641</v>
      </c>
      <c r="B13" s="1" t="s">
        <v>152</v>
      </c>
      <c r="C13" s="1" t="s">
        <v>38</v>
      </c>
      <c r="D13" s="1" t="s">
        <v>153</v>
      </c>
      <c r="E13" s="1" t="s">
        <v>134</v>
      </c>
      <c r="F13" s="1" t="s">
        <v>154</v>
      </c>
      <c r="G13" s="1" t="s">
        <v>827</v>
      </c>
      <c r="H13" s="8" t="s">
        <v>98</v>
      </c>
      <c r="I13" s="8" t="s">
        <v>113</v>
      </c>
      <c r="J13" s="10" t="n">
        <v>46227</v>
      </c>
      <c r="L13" s="1" t="n">
        <v>1</v>
      </c>
      <c r="M13" s="1" t="n">
        <v>1</v>
      </c>
    </row>
    <row r="14" customFormat="false" ht="42" hidden="false" customHeight="true" outlineLevel="0" collapsed="false">
      <c r="A14" s="1" t="s">
        <v>644</v>
      </c>
      <c r="B14" s="1" t="s">
        <v>157</v>
      </c>
      <c r="C14" s="1" t="s">
        <v>38</v>
      </c>
      <c r="D14" s="1" t="s">
        <v>158</v>
      </c>
      <c r="E14" s="1" t="s">
        <v>134</v>
      </c>
      <c r="F14" s="1" t="s">
        <v>159</v>
      </c>
      <c r="G14" s="1" t="s">
        <v>828</v>
      </c>
      <c r="H14" s="8" t="s">
        <v>98</v>
      </c>
      <c r="I14" s="8" t="s">
        <v>113</v>
      </c>
      <c r="J14" s="10" t="n">
        <v>46227</v>
      </c>
      <c r="L14" s="1" t="n">
        <v>1</v>
      </c>
      <c r="M14" s="1" t="n">
        <v>1</v>
      </c>
    </row>
    <row r="15" customFormat="false" ht="42" hidden="false" customHeight="true" outlineLevel="0" collapsed="false">
      <c r="A15" s="1" t="s">
        <v>647</v>
      </c>
      <c r="B15" s="1" t="s">
        <v>162</v>
      </c>
      <c r="C15" s="1" t="s">
        <v>38</v>
      </c>
      <c r="D15" s="1" t="s">
        <v>163</v>
      </c>
      <c r="E15" s="1" t="s">
        <v>134</v>
      </c>
      <c r="F15" s="1" t="s">
        <v>164</v>
      </c>
      <c r="G15" s="1" t="s">
        <v>829</v>
      </c>
      <c r="H15" s="8" t="s">
        <v>98</v>
      </c>
      <c r="I15" s="8" t="s">
        <v>113</v>
      </c>
      <c r="J15" s="10" t="n">
        <v>46227</v>
      </c>
      <c r="L15" s="1" t="n">
        <v>1</v>
      </c>
      <c r="M15" s="1" t="n">
        <v>1</v>
      </c>
    </row>
    <row r="16" customFormat="false" ht="42" hidden="false" customHeight="true" outlineLevel="0" collapsed="false">
      <c r="A16" s="1" t="s">
        <v>649</v>
      </c>
      <c r="B16" s="1" t="s">
        <v>167</v>
      </c>
      <c r="C16" s="1" t="s">
        <v>38</v>
      </c>
      <c r="D16" s="1" t="s">
        <v>168</v>
      </c>
      <c r="E16" s="1" t="s">
        <v>134</v>
      </c>
      <c r="F16" s="1" t="s">
        <v>169</v>
      </c>
      <c r="G16" s="1" t="s">
        <v>830</v>
      </c>
      <c r="H16" s="8" t="s">
        <v>100</v>
      </c>
      <c r="I16" s="8" t="s">
        <v>112</v>
      </c>
      <c r="J16" s="10" t="n">
        <v>46227</v>
      </c>
      <c r="K16" s="1" t="s">
        <v>171</v>
      </c>
      <c r="L16" s="1" t="n">
        <v>1</v>
      </c>
      <c r="M16" s="1" t="n">
        <v>1</v>
      </c>
    </row>
    <row r="17" customFormat="false" ht="42" hidden="false" customHeight="true" outlineLevel="0" collapsed="false">
      <c r="A17" s="1" t="s">
        <v>653</v>
      </c>
      <c r="B17" s="1" t="s">
        <v>173</v>
      </c>
      <c r="C17" s="1" t="s">
        <v>38</v>
      </c>
      <c r="D17" s="1" t="s">
        <v>174</v>
      </c>
      <c r="E17" s="1" t="s">
        <v>134</v>
      </c>
      <c r="F17" s="1" t="s">
        <v>175</v>
      </c>
      <c r="G17" s="1" t="s">
        <v>831</v>
      </c>
      <c r="H17" s="8" t="s">
        <v>100</v>
      </c>
      <c r="I17" s="8" t="s">
        <v>112</v>
      </c>
      <c r="J17" s="10" t="n">
        <v>46227</v>
      </c>
      <c r="K17" s="1" t="s">
        <v>177</v>
      </c>
      <c r="L17" s="1" t="n">
        <v>1</v>
      </c>
      <c r="M17" s="1" t="n">
        <v>1</v>
      </c>
    </row>
    <row r="18" customFormat="false" ht="42" hidden="false" customHeight="true" outlineLevel="0" collapsed="false">
      <c r="A18" s="1" t="s">
        <v>657</v>
      </c>
      <c r="B18" s="1" t="s">
        <v>179</v>
      </c>
      <c r="C18" s="1" t="s">
        <v>38</v>
      </c>
      <c r="D18" s="1" t="s">
        <v>180</v>
      </c>
      <c r="E18" s="1" t="s">
        <v>134</v>
      </c>
      <c r="F18" s="1" t="s">
        <v>175</v>
      </c>
      <c r="G18" s="1" t="s">
        <v>831</v>
      </c>
      <c r="H18" s="8" t="s">
        <v>100</v>
      </c>
      <c r="I18" s="8" t="s">
        <v>112</v>
      </c>
      <c r="J18" s="10" t="n">
        <v>46227</v>
      </c>
      <c r="K18" s="1" t="s">
        <v>177</v>
      </c>
      <c r="L18" s="1" t="n">
        <v>1</v>
      </c>
      <c r="M18" s="1" t="n">
        <v>1</v>
      </c>
    </row>
    <row r="19" customFormat="false" ht="42" hidden="false" customHeight="true" outlineLevel="0" collapsed="false">
      <c r="A19" s="1" t="s">
        <v>661</v>
      </c>
      <c r="B19" s="1" t="s">
        <v>182</v>
      </c>
      <c r="C19" s="1" t="s">
        <v>38</v>
      </c>
      <c r="D19" s="1" t="s">
        <v>183</v>
      </c>
      <c r="E19" s="1" t="s">
        <v>134</v>
      </c>
      <c r="F19" s="1" t="s">
        <v>175</v>
      </c>
      <c r="G19" s="1" t="s">
        <v>832</v>
      </c>
      <c r="H19" s="8" t="s">
        <v>100</v>
      </c>
      <c r="I19" s="8" t="s">
        <v>112</v>
      </c>
      <c r="J19" s="10" t="n">
        <v>46227</v>
      </c>
      <c r="K19" s="1" t="s">
        <v>185</v>
      </c>
      <c r="L19" s="1" t="n">
        <v>1</v>
      </c>
      <c r="M19" s="1" t="n">
        <v>1</v>
      </c>
    </row>
    <row r="20" customFormat="false" ht="42" hidden="false" customHeight="true" outlineLevel="0" collapsed="false">
      <c r="A20" s="1" t="s">
        <v>664</v>
      </c>
      <c r="B20" s="1" t="s">
        <v>187</v>
      </c>
      <c r="C20" s="1" t="s">
        <v>38</v>
      </c>
      <c r="D20" s="1" t="s">
        <v>188</v>
      </c>
      <c r="E20" s="1" t="s">
        <v>134</v>
      </c>
      <c r="F20" s="1" t="s">
        <v>175</v>
      </c>
      <c r="G20" s="1" t="s">
        <v>831</v>
      </c>
      <c r="H20" s="8" t="s">
        <v>100</v>
      </c>
      <c r="I20" s="8" t="s">
        <v>112</v>
      </c>
      <c r="J20" s="10" t="n">
        <v>46227</v>
      </c>
      <c r="K20" s="1" t="s">
        <v>189</v>
      </c>
      <c r="L20" s="1" t="n">
        <v>1</v>
      </c>
      <c r="M20" s="1" t="n">
        <v>1</v>
      </c>
    </row>
    <row r="21" customFormat="false" ht="42" hidden="false" customHeight="true" outlineLevel="0" collapsed="false">
      <c r="A21" s="1" t="s">
        <v>666</v>
      </c>
      <c r="B21" s="1" t="s">
        <v>191</v>
      </c>
      <c r="C21" s="1" t="s">
        <v>38</v>
      </c>
      <c r="D21" s="1" t="s">
        <v>192</v>
      </c>
      <c r="E21" s="1" t="s">
        <v>134</v>
      </c>
      <c r="F21" s="1" t="s">
        <v>193</v>
      </c>
      <c r="G21" s="1" t="s">
        <v>833</v>
      </c>
      <c r="H21" s="8" t="s">
        <v>98</v>
      </c>
      <c r="I21" s="8" t="s">
        <v>113</v>
      </c>
      <c r="J21" s="10" t="n">
        <v>46227</v>
      </c>
      <c r="L21" s="1" t="n">
        <v>1</v>
      </c>
      <c r="M21" s="1" t="n">
        <v>1</v>
      </c>
    </row>
    <row r="22" customFormat="false" ht="42" hidden="false" customHeight="true" outlineLevel="0" collapsed="false">
      <c r="A22" s="1" t="s">
        <v>668</v>
      </c>
      <c r="B22" s="1" t="s">
        <v>196</v>
      </c>
      <c r="C22" s="1" t="s">
        <v>38</v>
      </c>
      <c r="D22" s="1" t="s">
        <v>197</v>
      </c>
      <c r="E22" s="1" t="s">
        <v>134</v>
      </c>
      <c r="F22" s="1" t="s">
        <v>193</v>
      </c>
      <c r="G22" s="1" t="s">
        <v>834</v>
      </c>
      <c r="H22" s="8" t="s">
        <v>98</v>
      </c>
      <c r="I22" s="8" t="s">
        <v>113</v>
      </c>
      <c r="J22" s="10" t="n">
        <v>46227</v>
      </c>
      <c r="L22" s="1" t="n">
        <v>1</v>
      </c>
      <c r="M22" s="1" t="n">
        <v>1</v>
      </c>
    </row>
    <row r="23" customFormat="false" ht="42" hidden="false" customHeight="true" outlineLevel="0" collapsed="false">
      <c r="A23" s="1" t="s">
        <v>671</v>
      </c>
      <c r="B23" s="1" t="s">
        <v>200</v>
      </c>
      <c r="C23" s="1" t="s">
        <v>38</v>
      </c>
      <c r="D23" s="1" t="s">
        <v>201</v>
      </c>
      <c r="E23" s="1" t="s">
        <v>202</v>
      </c>
      <c r="F23" s="1" t="s">
        <v>202</v>
      </c>
      <c r="G23" s="1" t="s">
        <v>203</v>
      </c>
      <c r="H23" s="8" t="s">
        <v>98</v>
      </c>
      <c r="I23" s="8" t="s">
        <v>113</v>
      </c>
      <c r="J23" s="10" t="n">
        <v>46227</v>
      </c>
      <c r="L23" s="1" t="n">
        <v>1</v>
      </c>
      <c r="M23" s="1" t="n">
        <v>1</v>
      </c>
    </row>
    <row r="24" customFormat="false" ht="42" hidden="false" customHeight="true" outlineLevel="0" collapsed="false">
      <c r="A24" s="1" t="s">
        <v>673</v>
      </c>
      <c r="B24" s="1" t="s">
        <v>205</v>
      </c>
      <c r="C24" s="1" t="s">
        <v>38</v>
      </c>
      <c r="D24" s="1" t="s">
        <v>206</v>
      </c>
      <c r="E24" s="1" t="s">
        <v>134</v>
      </c>
      <c r="F24" s="1" t="s">
        <v>134</v>
      </c>
      <c r="G24" s="1" t="s">
        <v>207</v>
      </c>
      <c r="H24" s="8" t="s">
        <v>98</v>
      </c>
      <c r="I24" s="8" t="s">
        <v>113</v>
      </c>
      <c r="J24" s="10" t="n">
        <v>46227</v>
      </c>
      <c r="L24" s="1" t="n">
        <v>1</v>
      </c>
      <c r="M24" s="1" t="n">
        <v>1</v>
      </c>
    </row>
  </sheetData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836</v>
      </c>
      <c r="B9" s="12" t="s">
        <v>131</v>
      </c>
      <c r="C9" s="12" t="s">
        <v>837</v>
      </c>
      <c r="D9" s="13" t="s">
        <v>838</v>
      </c>
      <c r="E9" s="12" t="s">
        <v>134</v>
      </c>
      <c r="F9" s="12" t="s">
        <v>135</v>
      </c>
      <c r="G9" s="13" t="s">
        <v>839</v>
      </c>
      <c r="H9" s="12" t="s">
        <v>98</v>
      </c>
      <c r="I9" s="12" t="s">
        <v>113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840</v>
      </c>
      <c r="B10" s="12" t="s">
        <v>138</v>
      </c>
      <c r="C10" s="12" t="s">
        <v>41</v>
      </c>
      <c r="D10" s="13" t="s">
        <v>841</v>
      </c>
      <c r="E10" s="12" t="s">
        <v>134</v>
      </c>
      <c r="F10" s="12" t="s">
        <v>134</v>
      </c>
      <c r="G10" s="13" t="s">
        <v>582</v>
      </c>
      <c r="H10" s="12" t="s">
        <v>98</v>
      </c>
      <c r="I10" s="12" t="s">
        <v>113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842</v>
      </c>
      <c r="B11" s="12" t="s">
        <v>142</v>
      </c>
      <c r="C11" s="12" t="s">
        <v>837</v>
      </c>
      <c r="D11" s="13" t="s">
        <v>843</v>
      </c>
      <c r="E11" s="12" t="s">
        <v>134</v>
      </c>
      <c r="F11" s="12" t="s">
        <v>144</v>
      </c>
      <c r="G11" s="13" t="s">
        <v>844</v>
      </c>
      <c r="H11" s="12" t="s">
        <v>98</v>
      </c>
      <c r="I11" s="12" t="s">
        <v>113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845</v>
      </c>
      <c r="B12" s="12" t="s">
        <v>147</v>
      </c>
      <c r="C12" s="12" t="s">
        <v>837</v>
      </c>
      <c r="D12" s="13" t="s">
        <v>846</v>
      </c>
      <c r="E12" s="12" t="s">
        <v>134</v>
      </c>
      <c r="F12" s="12" t="s">
        <v>149</v>
      </c>
      <c r="G12" s="13" t="s">
        <v>847</v>
      </c>
      <c r="H12" s="12" t="s">
        <v>98</v>
      </c>
      <c r="I12" s="12" t="s">
        <v>113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848</v>
      </c>
      <c r="B13" s="12" t="s">
        <v>152</v>
      </c>
      <c r="C13" s="12" t="s">
        <v>837</v>
      </c>
      <c r="D13" s="13" t="s">
        <v>849</v>
      </c>
      <c r="E13" s="12" t="s">
        <v>134</v>
      </c>
      <c r="F13" s="12" t="s">
        <v>154</v>
      </c>
      <c r="G13" s="13" t="s">
        <v>850</v>
      </c>
      <c r="H13" s="12" t="s">
        <v>98</v>
      </c>
      <c r="I13" s="12" t="s">
        <v>113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851</v>
      </c>
      <c r="B14" s="12" t="s">
        <v>157</v>
      </c>
      <c r="C14" s="12" t="s">
        <v>782</v>
      </c>
      <c r="D14" s="13" t="s">
        <v>852</v>
      </c>
      <c r="E14" s="12" t="s">
        <v>134</v>
      </c>
      <c r="F14" s="12" t="s">
        <v>159</v>
      </c>
      <c r="G14" s="13" t="s">
        <v>853</v>
      </c>
      <c r="H14" s="12" t="s">
        <v>98</v>
      </c>
      <c r="I14" s="12" t="s">
        <v>113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854</v>
      </c>
      <c r="B15" s="12" t="s">
        <v>157</v>
      </c>
      <c r="C15" s="12" t="s">
        <v>855</v>
      </c>
      <c r="D15" s="13" t="s">
        <v>856</v>
      </c>
      <c r="E15" s="12" t="s">
        <v>134</v>
      </c>
      <c r="F15" s="12" t="s">
        <v>159</v>
      </c>
      <c r="G15" s="13" t="s">
        <v>853</v>
      </c>
      <c r="H15" s="12" t="s">
        <v>98</v>
      </c>
      <c r="I15" s="12" t="s">
        <v>113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857</v>
      </c>
      <c r="B16" s="12" t="s">
        <v>162</v>
      </c>
      <c r="C16" s="12" t="s">
        <v>837</v>
      </c>
      <c r="D16" s="13" t="s">
        <v>858</v>
      </c>
      <c r="E16" s="12" t="s">
        <v>134</v>
      </c>
      <c r="F16" s="12" t="s">
        <v>164</v>
      </c>
      <c r="G16" s="13" t="s">
        <v>853</v>
      </c>
      <c r="H16" s="12" t="s">
        <v>98</v>
      </c>
      <c r="I16" s="12" t="s">
        <v>113</v>
      </c>
      <c r="J16" s="14" t="n">
        <v>46228</v>
      </c>
      <c r="K16" s="13" t="s">
        <v>796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859</v>
      </c>
      <c r="B17" s="12" t="s">
        <v>167</v>
      </c>
      <c r="C17" s="12" t="s">
        <v>837</v>
      </c>
      <c r="D17" s="13" t="s">
        <v>860</v>
      </c>
      <c r="E17" s="12" t="s">
        <v>134</v>
      </c>
      <c r="F17" s="12" t="s">
        <v>169</v>
      </c>
      <c r="G17" s="13" t="s">
        <v>861</v>
      </c>
      <c r="H17" s="12" t="s">
        <v>100</v>
      </c>
      <c r="I17" s="12" t="s">
        <v>112</v>
      </c>
      <c r="J17" s="14" t="n">
        <v>46228</v>
      </c>
      <c r="K17" s="13" t="s">
        <v>862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863</v>
      </c>
      <c r="B18" s="12" t="s">
        <v>173</v>
      </c>
      <c r="C18" s="12" t="s">
        <v>837</v>
      </c>
      <c r="D18" s="13" t="s">
        <v>864</v>
      </c>
      <c r="E18" s="12" t="s">
        <v>134</v>
      </c>
      <c r="F18" s="12" t="s">
        <v>175</v>
      </c>
      <c r="G18" s="13" t="s">
        <v>865</v>
      </c>
      <c r="H18" s="12" t="s">
        <v>96</v>
      </c>
      <c r="I18" s="12" t="s">
        <v>112</v>
      </c>
      <c r="J18" s="14"/>
      <c r="K18" s="13" t="s">
        <v>800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866</v>
      </c>
      <c r="B19" s="12" t="s">
        <v>179</v>
      </c>
      <c r="C19" s="12" t="s">
        <v>837</v>
      </c>
      <c r="D19" s="13" t="s">
        <v>867</v>
      </c>
      <c r="E19" s="12" t="s">
        <v>134</v>
      </c>
      <c r="F19" s="12" t="s">
        <v>175</v>
      </c>
      <c r="G19" s="13" t="s">
        <v>868</v>
      </c>
      <c r="H19" s="12" t="s">
        <v>96</v>
      </c>
      <c r="I19" s="12" t="s">
        <v>112</v>
      </c>
      <c r="J19" s="14" t="n">
        <v>46227</v>
      </c>
      <c r="K19" s="13" t="s">
        <v>804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869</v>
      </c>
      <c r="B20" s="12" t="s">
        <v>662</v>
      </c>
      <c r="C20" s="12" t="s">
        <v>837</v>
      </c>
      <c r="D20" s="13" t="s">
        <v>870</v>
      </c>
      <c r="E20" s="12" t="s">
        <v>134</v>
      </c>
      <c r="F20" s="12" t="s">
        <v>159</v>
      </c>
      <c r="G20" s="13" t="s">
        <v>853</v>
      </c>
      <c r="H20" s="12" t="s">
        <v>98</v>
      </c>
      <c r="I20" s="12" t="s">
        <v>113</v>
      </c>
      <c r="J20" s="14" t="n">
        <v>46228</v>
      </c>
      <c r="K20" s="13" t="s">
        <v>809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871</v>
      </c>
      <c r="B21" s="12" t="s">
        <v>187</v>
      </c>
      <c r="C21" s="12" t="s">
        <v>837</v>
      </c>
      <c r="D21" s="13" t="s">
        <v>872</v>
      </c>
      <c r="E21" s="12" t="s">
        <v>134</v>
      </c>
      <c r="F21" s="12" t="s">
        <v>175</v>
      </c>
      <c r="G21" s="13" t="s">
        <v>865</v>
      </c>
      <c r="H21" s="12" t="s">
        <v>96</v>
      </c>
      <c r="I21" s="12" t="s">
        <v>112</v>
      </c>
      <c r="J21" s="14" t="n">
        <v>46227</v>
      </c>
      <c r="K21" s="13" t="s">
        <v>809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873</v>
      </c>
      <c r="B22" s="12" t="s">
        <v>191</v>
      </c>
      <c r="C22" s="12" t="s">
        <v>41</v>
      </c>
      <c r="D22" s="13" t="s">
        <v>874</v>
      </c>
      <c r="E22" s="12" t="s">
        <v>134</v>
      </c>
      <c r="F22" s="12" t="s">
        <v>193</v>
      </c>
      <c r="G22" s="13" t="s">
        <v>875</v>
      </c>
      <c r="H22" s="12" t="s">
        <v>98</v>
      </c>
      <c r="I22" s="12" t="s">
        <v>113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876</v>
      </c>
      <c r="B23" s="12" t="s">
        <v>196</v>
      </c>
      <c r="C23" s="12" t="s">
        <v>41</v>
      </c>
      <c r="D23" s="13" t="s">
        <v>877</v>
      </c>
      <c r="E23" s="12" t="s">
        <v>134</v>
      </c>
      <c r="F23" s="12" t="s">
        <v>193</v>
      </c>
      <c r="G23" s="13" t="s">
        <v>878</v>
      </c>
      <c r="H23" s="12" t="s">
        <v>98</v>
      </c>
      <c r="I23" s="12" t="s">
        <v>113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879</v>
      </c>
      <c r="B24" s="12" t="s">
        <v>200</v>
      </c>
      <c r="C24" s="12" t="s">
        <v>837</v>
      </c>
      <c r="D24" s="13" t="s">
        <v>880</v>
      </c>
      <c r="E24" s="12" t="s">
        <v>202</v>
      </c>
      <c r="F24" s="12" t="s">
        <v>202</v>
      </c>
      <c r="G24" s="13" t="s">
        <v>203</v>
      </c>
      <c r="H24" s="12" t="s">
        <v>98</v>
      </c>
      <c r="I24" s="12" t="s">
        <v>113</v>
      </c>
      <c r="J24" s="14" t="n">
        <v>46228</v>
      </c>
      <c r="K24" s="13" t="s">
        <v>822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881</v>
      </c>
      <c r="B25" s="12" t="s">
        <v>205</v>
      </c>
      <c r="C25" s="12" t="s">
        <v>41</v>
      </c>
      <c r="D25" s="13" t="s">
        <v>882</v>
      </c>
      <c r="E25" s="12" t="s">
        <v>134</v>
      </c>
      <c r="F25" s="12" t="s">
        <v>134</v>
      </c>
      <c r="G25" s="13" t="s">
        <v>883</v>
      </c>
      <c r="H25" s="12" t="s">
        <v>96</v>
      </c>
      <c r="I25" s="12" t="s">
        <v>112</v>
      </c>
      <c r="J25" s="14" t="n">
        <v>46228</v>
      </c>
      <c r="K25" s="13" t="s">
        <v>822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884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885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306</v>
      </c>
      <c r="B9" s="12" t="s">
        <v>131</v>
      </c>
      <c r="C9" s="12" t="s">
        <v>42</v>
      </c>
      <c r="D9" s="13" t="s">
        <v>886</v>
      </c>
      <c r="E9" s="12" t="s">
        <v>134</v>
      </c>
      <c r="F9" s="12" t="s">
        <v>135</v>
      </c>
      <c r="G9" s="13" t="s">
        <v>887</v>
      </c>
      <c r="H9" s="12" t="s">
        <v>98</v>
      </c>
      <c r="I9" s="12" t="s">
        <v>113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308</v>
      </c>
      <c r="B10" s="12" t="s">
        <v>138</v>
      </c>
      <c r="C10" s="12" t="s">
        <v>42</v>
      </c>
      <c r="D10" s="13" t="s">
        <v>888</v>
      </c>
      <c r="E10" s="12" t="s">
        <v>134</v>
      </c>
      <c r="F10" s="12" t="s">
        <v>134</v>
      </c>
      <c r="G10" s="13" t="s">
        <v>582</v>
      </c>
      <c r="H10" s="12" t="s">
        <v>98</v>
      </c>
      <c r="I10" s="12" t="s">
        <v>113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309</v>
      </c>
      <c r="B11" s="12" t="s">
        <v>142</v>
      </c>
      <c r="C11" s="12" t="s">
        <v>42</v>
      </c>
      <c r="D11" s="13" t="s">
        <v>889</v>
      </c>
      <c r="E11" s="12" t="s">
        <v>134</v>
      </c>
      <c r="F11" s="12" t="s">
        <v>144</v>
      </c>
      <c r="G11" s="13" t="s">
        <v>890</v>
      </c>
      <c r="H11" s="12" t="s">
        <v>98</v>
      </c>
      <c r="I11" s="12" t="s">
        <v>113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311</v>
      </c>
      <c r="B12" s="12" t="s">
        <v>147</v>
      </c>
      <c r="C12" s="12" t="s">
        <v>42</v>
      </c>
      <c r="D12" s="13" t="s">
        <v>891</v>
      </c>
      <c r="E12" s="12" t="s">
        <v>134</v>
      </c>
      <c r="F12" s="12" t="s">
        <v>149</v>
      </c>
      <c r="G12" s="13" t="s">
        <v>892</v>
      </c>
      <c r="H12" s="12" t="s">
        <v>98</v>
      </c>
      <c r="I12" s="12" t="s">
        <v>113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313</v>
      </c>
      <c r="B13" s="12" t="s">
        <v>152</v>
      </c>
      <c r="C13" s="12" t="s">
        <v>42</v>
      </c>
      <c r="D13" s="13" t="s">
        <v>893</v>
      </c>
      <c r="E13" s="12" t="s">
        <v>134</v>
      </c>
      <c r="F13" s="12" t="s">
        <v>154</v>
      </c>
      <c r="G13" s="13" t="s">
        <v>894</v>
      </c>
      <c r="H13" s="12" t="s">
        <v>98</v>
      </c>
      <c r="I13" s="12" t="s">
        <v>113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315</v>
      </c>
      <c r="B14" s="12" t="s">
        <v>157</v>
      </c>
      <c r="C14" s="12" t="s">
        <v>42</v>
      </c>
      <c r="D14" s="13" t="s">
        <v>895</v>
      </c>
      <c r="E14" s="12" t="s">
        <v>134</v>
      </c>
      <c r="F14" s="12" t="s">
        <v>159</v>
      </c>
      <c r="G14" s="13" t="s">
        <v>896</v>
      </c>
      <c r="H14" s="12" t="s">
        <v>98</v>
      </c>
      <c r="I14" s="12" t="s">
        <v>113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317</v>
      </c>
      <c r="B15" s="12" t="s">
        <v>162</v>
      </c>
      <c r="C15" s="12" t="s">
        <v>42</v>
      </c>
      <c r="D15" s="13" t="s">
        <v>897</v>
      </c>
      <c r="E15" s="12" t="s">
        <v>134</v>
      </c>
      <c r="F15" s="12" t="s">
        <v>164</v>
      </c>
      <c r="G15" s="13" t="s">
        <v>896</v>
      </c>
      <c r="H15" s="12" t="s">
        <v>98</v>
      </c>
      <c r="I15" s="12" t="s">
        <v>113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319</v>
      </c>
      <c r="B16" s="12" t="s">
        <v>167</v>
      </c>
      <c r="C16" s="12" t="s">
        <v>42</v>
      </c>
      <c r="D16" s="13" t="s">
        <v>898</v>
      </c>
      <c r="E16" s="12" t="s">
        <v>134</v>
      </c>
      <c r="F16" s="12" t="s">
        <v>169</v>
      </c>
      <c r="G16" s="13" t="s">
        <v>899</v>
      </c>
      <c r="H16" s="12" t="s">
        <v>100</v>
      </c>
      <c r="I16" s="12" t="s">
        <v>112</v>
      </c>
      <c r="J16" s="14" t="n">
        <v>46228</v>
      </c>
      <c r="K16" s="13" t="s">
        <v>900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321</v>
      </c>
      <c r="B17" s="12" t="s">
        <v>173</v>
      </c>
      <c r="C17" s="12" t="s">
        <v>42</v>
      </c>
      <c r="D17" s="13" t="s">
        <v>901</v>
      </c>
      <c r="E17" s="12" t="s">
        <v>134</v>
      </c>
      <c r="F17" s="12" t="s">
        <v>175</v>
      </c>
      <c r="G17" s="13" t="s">
        <v>902</v>
      </c>
      <c r="H17" s="12" t="s">
        <v>96</v>
      </c>
      <c r="I17" s="12" t="s">
        <v>112</v>
      </c>
      <c r="J17" s="14"/>
      <c r="K17" s="13" t="s">
        <v>903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323</v>
      </c>
      <c r="B18" s="12" t="s">
        <v>179</v>
      </c>
      <c r="C18" s="12" t="s">
        <v>42</v>
      </c>
      <c r="D18" s="13" t="s">
        <v>904</v>
      </c>
      <c r="E18" s="12" t="s">
        <v>134</v>
      </c>
      <c r="F18" s="12" t="s">
        <v>175</v>
      </c>
      <c r="G18" s="13" t="s">
        <v>905</v>
      </c>
      <c r="H18" s="12" t="s">
        <v>96</v>
      </c>
      <c r="I18" s="12" t="s">
        <v>112</v>
      </c>
      <c r="J18" s="14"/>
      <c r="K18" s="13" t="s">
        <v>804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324</v>
      </c>
      <c r="B19" s="12" t="s">
        <v>662</v>
      </c>
      <c r="C19" s="12" t="s">
        <v>42</v>
      </c>
      <c r="D19" s="13" t="s">
        <v>906</v>
      </c>
      <c r="E19" s="12" t="s">
        <v>134</v>
      </c>
      <c r="F19" s="12" t="s">
        <v>159</v>
      </c>
      <c r="G19" s="13" t="s">
        <v>896</v>
      </c>
      <c r="H19" s="12" t="s">
        <v>98</v>
      </c>
      <c r="I19" s="12" t="s">
        <v>113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326</v>
      </c>
      <c r="B20" s="12" t="s">
        <v>187</v>
      </c>
      <c r="C20" s="12" t="s">
        <v>42</v>
      </c>
      <c r="D20" s="13" t="s">
        <v>907</v>
      </c>
      <c r="E20" s="12" t="s">
        <v>134</v>
      </c>
      <c r="F20" s="12" t="s">
        <v>175</v>
      </c>
      <c r="G20" s="13" t="s">
        <v>902</v>
      </c>
      <c r="H20" s="12" t="s">
        <v>96</v>
      </c>
      <c r="I20" s="12" t="s">
        <v>112</v>
      </c>
      <c r="J20" s="14"/>
      <c r="K20" s="13" t="s">
        <v>908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327</v>
      </c>
      <c r="B21" s="12" t="s">
        <v>191</v>
      </c>
      <c r="C21" s="12" t="s">
        <v>42</v>
      </c>
      <c r="D21" s="13" t="s">
        <v>909</v>
      </c>
      <c r="E21" s="12" t="s">
        <v>134</v>
      </c>
      <c r="F21" s="12" t="s">
        <v>193</v>
      </c>
      <c r="G21" s="13" t="s">
        <v>910</v>
      </c>
      <c r="H21" s="12" t="s">
        <v>98</v>
      </c>
      <c r="I21" s="12" t="s">
        <v>113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329</v>
      </c>
      <c r="B22" s="12" t="s">
        <v>196</v>
      </c>
      <c r="C22" s="12" t="s">
        <v>42</v>
      </c>
      <c r="D22" s="13" t="s">
        <v>911</v>
      </c>
      <c r="E22" s="12" t="s">
        <v>134</v>
      </c>
      <c r="F22" s="12" t="s">
        <v>193</v>
      </c>
      <c r="G22" s="13" t="s">
        <v>912</v>
      </c>
      <c r="H22" s="12" t="s">
        <v>98</v>
      </c>
      <c r="I22" s="12" t="s">
        <v>113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331</v>
      </c>
      <c r="B23" s="12" t="s">
        <v>200</v>
      </c>
      <c r="C23" s="12" t="s">
        <v>42</v>
      </c>
      <c r="D23" s="13" t="s">
        <v>913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332</v>
      </c>
      <c r="B24" s="12" t="s">
        <v>622</v>
      </c>
      <c r="C24" s="12" t="s">
        <v>42</v>
      </c>
      <c r="D24" s="13" t="s">
        <v>914</v>
      </c>
      <c r="E24" s="12" t="s">
        <v>134</v>
      </c>
      <c r="F24" s="12" t="s">
        <v>134</v>
      </c>
      <c r="G24" s="13" t="s">
        <v>915</v>
      </c>
      <c r="H24" s="12" t="s">
        <v>98</v>
      </c>
      <c r="I24" s="12" t="s">
        <v>113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916</v>
      </c>
      <c r="B25" s="12" t="s">
        <v>205</v>
      </c>
      <c r="C25" s="12" t="s">
        <v>42</v>
      </c>
      <c r="D25" s="13" t="s">
        <v>917</v>
      </c>
      <c r="E25" s="12" t="s">
        <v>134</v>
      </c>
      <c r="F25" s="12" t="s">
        <v>134</v>
      </c>
      <c r="G25" s="13" t="s">
        <v>918</v>
      </c>
      <c r="H25" s="12" t="s">
        <v>96</v>
      </c>
      <c r="I25" s="12" t="s">
        <v>112</v>
      </c>
      <c r="J25" s="14"/>
      <c r="K25" s="13" t="s">
        <v>822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919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772</v>
      </c>
      <c r="B9" s="12" t="s">
        <v>131</v>
      </c>
      <c r="C9" s="12" t="s">
        <v>43</v>
      </c>
      <c r="D9" s="13" t="s">
        <v>921</v>
      </c>
      <c r="E9" s="12" t="s">
        <v>134</v>
      </c>
      <c r="F9" s="12" t="s">
        <v>135</v>
      </c>
      <c r="G9" s="13" t="s">
        <v>922</v>
      </c>
      <c r="H9" s="12" t="s">
        <v>98</v>
      </c>
      <c r="I9" s="12" t="s">
        <v>113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775</v>
      </c>
      <c r="B10" s="12" t="s">
        <v>138</v>
      </c>
      <c r="C10" s="12" t="s">
        <v>43</v>
      </c>
      <c r="D10" s="13" t="s">
        <v>923</v>
      </c>
      <c r="E10" s="12" t="s">
        <v>134</v>
      </c>
      <c r="F10" s="12" t="s">
        <v>134</v>
      </c>
      <c r="G10" s="13" t="s">
        <v>582</v>
      </c>
      <c r="H10" s="12" t="s">
        <v>98</v>
      </c>
      <c r="I10" s="12" t="s">
        <v>113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778</v>
      </c>
      <c r="B11" s="12" t="s">
        <v>142</v>
      </c>
      <c r="C11" s="12" t="s">
        <v>43</v>
      </c>
      <c r="D11" s="13" t="s">
        <v>924</v>
      </c>
      <c r="E11" s="12" t="s">
        <v>134</v>
      </c>
      <c r="F11" s="12" t="s">
        <v>144</v>
      </c>
      <c r="G11" s="13" t="s">
        <v>925</v>
      </c>
      <c r="H11" s="12" t="s">
        <v>98</v>
      </c>
      <c r="I11" s="12" t="s">
        <v>113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781</v>
      </c>
      <c r="B12" s="12" t="s">
        <v>147</v>
      </c>
      <c r="C12" s="12" t="s">
        <v>43</v>
      </c>
      <c r="D12" s="13" t="s">
        <v>926</v>
      </c>
      <c r="E12" s="12" t="s">
        <v>134</v>
      </c>
      <c r="F12" s="12" t="s">
        <v>149</v>
      </c>
      <c r="G12" s="13" t="s">
        <v>927</v>
      </c>
      <c r="H12" s="12" t="s">
        <v>98</v>
      </c>
      <c r="I12" s="12" t="s">
        <v>113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785</v>
      </c>
      <c r="B13" s="12" t="s">
        <v>152</v>
      </c>
      <c r="C13" s="12" t="s">
        <v>43</v>
      </c>
      <c r="D13" s="13" t="s">
        <v>928</v>
      </c>
      <c r="E13" s="12" t="s">
        <v>134</v>
      </c>
      <c r="F13" s="12" t="s">
        <v>154</v>
      </c>
      <c r="G13" s="13" t="s">
        <v>929</v>
      </c>
      <c r="H13" s="12" t="s">
        <v>98</v>
      </c>
      <c r="I13" s="12" t="s">
        <v>113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788</v>
      </c>
      <c r="B14" s="12" t="s">
        <v>157</v>
      </c>
      <c r="C14" s="12" t="s">
        <v>43</v>
      </c>
      <c r="D14" s="13" t="s">
        <v>930</v>
      </c>
      <c r="E14" s="12" t="s">
        <v>134</v>
      </c>
      <c r="F14" s="12" t="s">
        <v>159</v>
      </c>
      <c r="G14" s="13" t="s">
        <v>931</v>
      </c>
      <c r="H14" s="12" t="s">
        <v>98</v>
      </c>
      <c r="I14" s="12" t="s">
        <v>113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791</v>
      </c>
      <c r="B15" s="12" t="s">
        <v>162</v>
      </c>
      <c r="C15" s="12" t="s">
        <v>43</v>
      </c>
      <c r="D15" s="13" t="s">
        <v>932</v>
      </c>
      <c r="E15" s="12" t="s">
        <v>134</v>
      </c>
      <c r="F15" s="12" t="s">
        <v>164</v>
      </c>
      <c r="G15" s="13" t="s">
        <v>931</v>
      </c>
      <c r="H15" s="12" t="s">
        <v>98</v>
      </c>
      <c r="I15" s="12" t="s">
        <v>113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793</v>
      </c>
      <c r="B16" s="12" t="s">
        <v>167</v>
      </c>
      <c r="C16" s="12" t="s">
        <v>43</v>
      </c>
      <c r="D16" s="13" t="s">
        <v>933</v>
      </c>
      <c r="E16" s="12" t="s">
        <v>134</v>
      </c>
      <c r="F16" s="12" t="s">
        <v>169</v>
      </c>
      <c r="G16" s="13" t="s">
        <v>934</v>
      </c>
      <c r="H16" s="12" t="s">
        <v>100</v>
      </c>
      <c r="I16" s="12" t="s">
        <v>112</v>
      </c>
      <c r="J16" s="14" t="n">
        <v>46228</v>
      </c>
      <c r="K16" s="13" t="s">
        <v>935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797</v>
      </c>
      <c r="B17" s="12" t="s">
        <v>173</v>
      </c>
      <c r="C17" s="12" t="s">
        <v>43</v>
      </c>
      <c r="D17" s="13" t="s">
        <v>936</v>
      </c>
      <c r="E17" s="12" t="s">
        <v>134</v>
      </c>
      <c r="F17" s="12" t="s">
        <v>175</v>
      </c>
      <c r="G17" s="13" t="s">
        <v>937</v>
      </c>
      <c r="H17" s="12" t="s">
        <v>96</v>
      </c>
      <c r="I17" s="12" t="s">
        <v>112</v>
      </c>
      <c r="J17" s="14"/>
      <c r="K17" s="13" t="s">
        <v>903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801</v>
      </c>
      <c r="B18" s="12" t="s">
        <v>179</v>
      </c>
      <c r="C18" s="12" t="s">
        <v>43</v>
      </c>
      <c r="D18" s="13" t="s">
        <v>938</v>
      </c>
      <c r="E18" s="12" t="s">
        <v>134</v>
      </c>
      <c r="F18" s="12" t="s">
        <v>175</v>
      </c>
      <c r="G18" s="13" t="s">
        <v>939</v>
      </c>
      <c r="H18" s="12" t="s">
        <v>96</v>
      </c>
      <c r="I18" s="12" t="s">
        <v>112</v>
      </c>
      <c r="J18" s="14"/>
      <c r="K18" s="13" t="s">
        <v>804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805</v>
      </c>
      <c r="B19" s="12" t="s">
        <v>662</v>
      </c>
      <c r="C19" s="12" t="s">
        <v>43</v>
      </c>
      <c r="D19" s="13" t="s">
        <v>940</v>
      </c>
      <c r="E19" s="12" t="s">
        <v>134</v>
      </c>
      <c r="F19" s="12" t="s">
        <v>159</v>
      </c>
      <c r="G19" s="13" t="s">
        <v>931</v>
      </c>
      <c r="H19" s="12" t="s">
        <v>98</v>
      </c>
      <c r="I19" s="12" t="s">
        <v>113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807</v>
      </c>
      <c r="B20" s="12" t="s">
        <v>187</v>
      </c>
      <c r="C20" s="12" t="s">
        <v>43</v>
      </c>
      <c r="D20" s="13" t="s">
        <v>941</v>
      </c>
      <c r="E20" s="12" t="s">
        <v>134</v>
      </c>
      <c r="F20" s="12" t="s">
        <v>175</v>
      </c>
      <c r="G20" s="13" t="s">
        <v>937</v>
      </c>
      <c r="H20" s="12" t="s">
        <v>96</v>
      </c>
      <c r="I20" s="12" t="s">
        <v>112</v>
      </c>
      <c r="J20" s="14"/>
      <c r="K20" s="13" t="s">
        <v>908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810</v>
      </c>
      <c r="B21" s="12" t="s">
        <v>191</v>
      </c>
      <c r="C21" s="12" t="s">
        <v>43</v>
      </c>
      <c r="D21" s="13" t="s">
        <v>942</v>
      </c>
      <c r="E21" s="12" t="s">
        <v>134</v>
      </c>
      <c r="F21" s="12" t="s">
        <v>193</v>
      </c>
      <c r="G21" s="13" t="s">
        <v>943</v>
      </c>
      <c r="H21" s="12" t="s">
        <v>98</v>
      </c>
      <c r="I21" s="12" t="s">
        <v>113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813</v>
      </c>
      <c r="B22" s="12" t="s">
        <v>196</v>
      </c>
      <c r="C22" s="12" t="s">
        <v>43</v>
      </c>
      <c r="D22" s="13" t="s">
        <v>944</v>
      </c>
      <c r="E22" s="12" t="s">
        <v>134</v>
      </c>
      <c r="F22" s="12" t="s">
        <v>193</v>
      </c>
      <c r="G22" s="13" t="s">
        <v>945</v>
      </c>
      <c r="H22" s="12" t="s">
        <v>98</v>
      </c>
      <c r="I22" s="12" t="s">
        <v>113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816</v>
      </c>
      <c r="B23" s="12" t="s">
        <v>200</v>
      </c>
      <c r="C23" s="12" t="s">
        <v>43</v>
      </c>
      <c r="D23" s="13" t="s">
        <v>946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819</v>
      </c>
      <c r="B24" s="12" t="s">
        <v>622</v>
      </c>
      <c r="C24" s="12" t="s">
        <v>43</v>
      </c>
      <c r="D24" s="13" t="s">
        <v>947</v>
      </c>
      <c r="E24" s="12" t="s">
        <v>134</v>
      </c>
      <c r="F24" s="12" t="s">
        <v>134</v>
      </c>
      <c r="G24" s="13" t="s">
        <v>948</v>
      </c>
      <c r="H24" s="12" t="s">
        <v>98</v>
      </c>
      <c r="I24" s="12" t="s">
        <v>113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949</v>
      </c>
      <c r="B25" s="12" t="s">
        <v>205</v>
      </c>
      <c r="C25" s="12" t="s">
        <v>43</v>
      </c>
      <c r="D25" s="13" t="s">
        <v>950</v>
      </c>
      <c r="E25" s="12" t="s">
        <v>134</v>
      </c>
      <c r="F25" s="12" t="s">
        <v>134</v>
      </c>
      <c r="G25" s="13" t="s">
        <v>951</v>
      </c>
      <c r="H25" s="12" t="s">
        <v>96</v>
      </c>
      <c r="I25" s="12" t="s">
        <v>112</v>
      </c>
      <c r="J25" s="14"/>
      <c r="K25" s="13" t="s">
        <v>822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375</v>
      </c>
      <c r="B9" s="12" t="s">
        <v>131</v>
      </c>
      <c r="C9" s="12" t="s">
        <v>44</v>
      </c>
      <c r="D9" s="13" t="s">
        <v>954</v>
      </c>
      <c r="E9" s="12" t="s">
        <v>134</v>
      </c>
      <c r="F9" s="12" t="s">
        <v>135</v>
      </c>
      <c r="G9" s="13" t="s">
        <v>955</v>
      </c>
      <c r="H9" s="12" t="s">
        <v>98</v>
      </c>
      <c r="I9" s="12" t="s">
        <v>113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377</v>
      </c>
      <c r="B10" s="12" t="s">
        <v>138</v>
      </c>
      <c r="C10" s="12" t="s">
        <v>44</v>
      </c>
      <c r="D10" s="13" t="s">
        <v>956</v>
      </c>
      <c r="E10" s="12" t="s">
        <v>134</v>
      </c>
      <c r="F10" s="12" t="s">
        <v>134</v>
      </c>
      <c r="G10" s="13" t="s">
        <v>582</v>
      </c>
      <c r="H10" s="12" t="s">
        <v>98</v>
      </c>
      <c r="I10" s="12" t="s">
        <v>113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378</v>
      </c>
      <c r="B11" s="12" t="s">
        <v>142</v>
      </c>
      <c r="C11" s="12" t="s">
        <v>44</v>
      </c>
      <c r="D11" s="13" t="s">
        <v>957</v>
      </c>
      <c r="E11" s="12" t="s">
        <v>134</v>
      </c>
      <c r="F11" s="12" t="s">
        <v>144</v>
      </c>
      <c r="G11" s="13" t="s">
        <v>958</v>
      </c>
      <c r="H11" s="12" t="s">
        <v>98</v>
      </c>
      <c r="I11" s="12" t="s">
        <v>113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380</v>
      </c>
      <c r="B12" s="12" t="s">
        <v>147</v>
      </c>
      <c r="C12" s="12" t="s">
        <v>44</v>
      </c>
      <c r="D12" s="13" t="s">
        <v>959</v>
      </c>
      <c r="E12" s="12" t="s">
        <v>134</v>
      </c>
      <c r="F12" s="12" t="s">
        <v>149</v>
      </c>
      <c r="G12" s="13" t="s">
        <v>960</v>
      </c>
      <c r="H12" s="12" t="s">
        <v>98</v>
      </c>
      <c r="I12" s="12" t="s">
        <v>113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382</v>
      </c>
      <c r="B13" s="12" t="s">
        <v>152</v>
      </c>
      <c r="C13" s="12" t="s">
        <v>44</v>
      </c>
      <c r="D13" s="13" t="s">
        <v>961</v>
      </c>
      <c r="E13" s="12" t="s">
        <v>134</v>
      </c>
      <c r="F13" s="12" t="s">
        <v>154</v>
      </c>
      <c r="G13" s="13" t="s">
        <v>962</v>
      </c>
      <c r="H13" s="12" t="s">
        <v>98</v>
      </c>
      <c r="I13" s="12" t="s">
        <v>113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384</v>
      </c>
      <c r="B14" s="12" t="s">
        <v>157</v>
      </c>
      <c r="C14" s="12" t="s">
        <v>44</v>
      </c>
      <c r="D14" s="13" t="s">
        <v>963</v>
      </c>
      <c r="E14" s="12" t="s">
        <v>134</v>
      </c>
      <c r="F14" s="12" t="s">
        <v>159</v>
      </c>
      <c r="G14" s="13" t="s">
        <v>964</v>
      </c>
      <c r="H14" s="12" t="s">
        <v>98</v>
      </c>
      <c r="I14" s="12" t="s">
        <v>113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386</v>
      </c>
      <c r="B15" s="12" t="s">
        <v>162</v>
      </c>
      <c r="C15" s="12" t="s">
        <v>44</v>
      </c>
      <c r="D15" s="13" t="s">
        <v>965</v>
      </c>
      <c r="E15" s="12" t="s">
        <v>134</v>
      </c>
      <c r="F15" s="12" t="s">
        <v>164</v>
      </c>
      <c r="G15" s="13" t="s">
        <v>964</v>
      </c>
      <c r="H15" s="12" t="s">
        <v>98</v>
      </c>
      <c r="I15" s="12" t="s">
        <v>113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388</v>
      </c>
      <c r="B16" s="12" t="s">
        <v>167</v>
      </c>
      <c r="C16" s="12" t="s">
        <v>44</v>
      </c>
      <c r="D16" s="13" t="s">
        <v>966</v>
      </c>
      <c r="E16" s="12" t="s">
        <v>134</v>
      </c>
      <c r="F16" s="12" t="s">
        <v>169</v>
      </c>
      <c r="G16" s="13" t="s">
        <v>967</v>
      </c>
      <c r="H16" s="12" t="s">
        <v>100</v>
      </c>
      <c r="I16" s="12" t="s">
        <v>112</v>
      </c>
      <c r="J16" s="14" t="n">
        <v>46228</v>
      </c>
      <c r="K16" s="13" t="s">
        <v>968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390</v>
      </c>
      <c r="B17" s="12" t="s">
        <v>173</v>
      </c>
      <c r="C17" s="12" t="s">
        <v>44</v>
      </c>
      <c r="D17" s="13" t="s">
        <v>969</v>
      </c>
      <c r="E17" s="12" t="s">
        <v>134</v>
      </c>
      <c r="F17" s="12" t="s">
        <v>175</v>
      </c>
      <c r="G17" s="13" t="s">
        <v>970</v>
      </c>
      <c r="H17" s="12" t="s">
        <v>96</v>
      </c>
      <c r="I17" s="12" t="s">
        <v>112</v>
      </c>
      <c r="J17" s="14"/>
      <c r="K17" s="13" t="s">
        <v>903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392</v>
      </c>
      <c r="B18" s="12" t="s">
        <v>179</v>
      </c>
      <c r="C18" s="12" t="s">
        <v>44</v>
      </c>
      <c r="D18" s="13" t="s">
        <v>971</v>
      </c>
      <c r="E18" s="12" t="s">
        <v>134</v>
      </c>
      <c r="F18" s="12" t="s">
        <v>175</v>
      </c>
      <c r="G18" s="13" t="s">
        <v>972</v>
      </c>
      <c r="H18" s="12" t="s">
        <v>96</v>
      </c>
      <c r="I18" s="12" t="s">
        <v>112</v>
      </c>
      <c r="J18" s="14"/>
      <c r="K18" s="13" t="s">
        <v>804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393</v>
      </c>
      <c r="B19" s="12" t="s">
        <v>662</v>
      </c>
      <c r="C19" s="12" t="s">
        <v>44</v>
      </c>
      <c r="D19" s="13" t="s">
        <v>973</v>
      </c>
      <c r="E19" s="12" t="s">
        <v>134</v>
      </c>
      <c r="F19" s="12" t="s">
        <v>159</v>
      </c>
      <c r="G19" s="13" t="s">
        <v>964</v>
      </c>
      <c r="H19" s="12" t="s">
        <v>98</v>
      </c>
      <c r="I19" s="12" t="s">
        <v>113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395</v>
      </c>
      <c r="B20" s="12" t="s">
        <v>187</v>
      </c>
      <c r="C20" s="12" t="s">
        <v>44</v>
      </c>
      <c r="D20" s="13" t="s">
        <v>974</v>
      </c>
      <c r="E20" s="12" t="s">
        <v>134</v>
      </c>
      <c r="F20" s="12" t="s">
        <v>175</v>
      </c>
      <c r="G20" s="13" t="s">
        <v>970</v>
      </c>
      <c r="H20" s="12" t="s">
        <v>96</v>
      </c>
      <c r="I20" s="12" t="s">
        <v>112</v>
      </c>
      <c r="J20" s="14"/>
      <c r="K20" s="13" t="s">
        <v>908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396</v>
      </c>
      <c r="B21" s="12" t="s">
        <v>191</v>
      </c>
      <c r="C21" s="12" t="s">
        <v>44</v>
      </c>
      <c r="D21" s="13" t="s">
        <v>975</v>
      </c>
      <c r="E21" s="12" t="s">
        <v>134</v>
      </c>
      <c r="F21" s="12" t="s">
        <v>193</v>
      </c>
      <c r="G21" s="13" t="s">
        <v>976</v>
      </c>
      <c r="H21" s="12" t="s">
        <v>98</v>
      </c>
      <c r="I21" s="12" t="s">
        <v>113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398</v>
      </c>
      <c r="B22" s="12" t="s">
        <v>196</v>
      </c>
      <c r="C22" s="12" t="s">
        <v>44</v>
      </c>
      <c r="D22" s="13" t="s">
        <v>977</v>
      </c>
      <c r="E22" s="12" t="s">
        <v>134</v>
      </c>
      <c r="F22" s="12" t="s">
        <v>193</v>
      </c>
      <c r="G22" s="13" t="s">
        <v>978</v>
      </c>
      <c r="H22" s="12" t="s">
        <v>98</v>
      </c>
      <c r="I22" s="12" t="s">
        <v>113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400</v>
      </c>
      <c r="B23" s="12" t="s">
        <v>200</v>
      </c>
      <c r="C23" s="12" t="s">
        <v>44</v>
      </c>
      <c r="D23" s="13" t="s">
        <v>979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401</v>
      </c>
      <c r="B24" s="12" t="s">
        <v>622</v>
      </c>
      <c r="C24" s="12" t="s">
        <v>44</v>
      </c>
      <c r="D24" s="13" t="s">
        <v>980</v>
      </c>
      <c r="E24" s="12" t="s">
        <v>134</v>
      </c>
      <c r="F24" s="12" t="s">
        <v>134</v>
      </c>
      <c r="G24" s="13" t="s">
        <v>981</v>
      </c>
      <c r="H24" s="12" t="s">
        <v>98</v>
      </c>
      <c r="I24" s="12" t="s">
        <v>113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982</v>
      </c>
      <c r="B25" s="12" t="s">
        <v>205</v>
      </c>
      <c r="C25" s="12" t="s">
        <v>44</v>
      </c>
      <c r="D25" s="13" t="s">
        <v>983</v>
      </c>
      <c r="E25" s="12" t="s">
        <v>134</v>
      </c>
      <c r="F25" s="12" t="s">
        <v>134</v>
      </c>
      <c r="G25" s="13" t="s">
        <v>984</v>
      </c>
      <c r="H25" s="12" t="s">
        <v>96</v>
      </c>
      <c r="I25" s="12" t="s">
        <v>112</v>
      </c>
      <c r="J25" s="14"/>
      <c r="K25" s="13" t="s">
        <v>822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985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986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116</v>
      </c>
      <c r="E4" s="6" t="n">
        <f aca="false">SUM(M9:M25)</f>
        <v>13</v>
      </c>
      <c r="G4" s="5" t="s">
        <v>14</v>
      </c>
      <c r="H4" s="7" t="n">
        <f aca="false">IF(B4=0,0,E4/B4)</f>
        <v>0.764705882352941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987</v>
      </c>
      <c r="B9" s="12" t="s">
        <v>131</v>
      </c>
      <c r="C9" s="12" t="s">
        <v>45</v>
      </c>
      <c r="D9" s="13" t="s">
        <v>988</v>
      </c>
      <c r="E9" s="12" t="s">
        <v>134</v>
      </c>
      <c r="F9" s="12" t="s">
        <v>135</v>
      </c>
      <c r="G9" s="13" t="s">
        <v>989</v>
      </c>
      <c r="H9" s="12" t="s">
        <v>98</v>
      </c>
      <c r="I9" s="12" t="s">
        <v>113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990</v>
      </c>
      <c r="B10" s="12" t="s">
        <v>138</v>
      </c>
      <c r="C10" s="12" t="s">
        <v>45</v>
      </c>
      <c r="D10" s="13" t="s">
        <v>991</v>
      </c>
      <c r="E10" s="12" t="s">
        <v>134</v>
      </c>
      <c r="F10" s="12" t="s">
        <v>134</v>
      </c>
      <c r="G10" s="13" t="s">
        <v>582</v>
      </c>
      <c r="H10" s="12" t="s">
        <v>98</v>
      </c>
      <c r="I10" s="12" t="s">
        <v>113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992</v>
      </c>
      <c r="B11" s="12" t="s">
        <v>142</v>
      </c>
      <c r="C11" s="12" t="s">
        <v>45</v>
      </c>
      <c r="D11" s="13" t="s">
        <v>993</v>
      </c>
      <c r="E11" s="12" t="s">
        <v>134</v>
      </c>
      <c r="F11" s="12" t="s">
        <v>144</v>
      </c>
      <c r="G11" s="13" t="s">
        <v>994</v>
      </c>
      <c r="H11" s="12" t="s">
        <v>98</v>
      </c>
      <c r="I11" s="12" t="s">
        <v>113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995</v>
      </c>
      <c r="B12" s="12" t="s">
        <v>147</v>
      </c>
      <c r="C12" s="12" t="s">
        <v>45</v>
      </c>
      <c r="D12" s="13" t="s">
        <v>996</v>
      </c>
      <c r="E12" s="12" t="s">
        <v>134</v>
      </c>
      <c r="F12" s="12" t="s">
        <v>149</v>
      </c>
      <c r="G12" s="13" t="s">
        <v>997</v>
      </c>
      <c r="H12" s="12" t="s">
        <v>98</v>
      </c>
      <c r="I12" s="12" t="s">
        <v>113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998</v>
      </c>
      <c r="B13" s="12" t="s">
        <v>152</v>
      </c>
      <c r="C13" s="12" t="s">
        <v>45</v>
      </c>
      <c r="D13" s="13" t="s">
        <v>999</v>
      </c>
      <c r="E13" s="12" t="s">
        <v>134</v>
      </c>
      <c r="F13" s="12" t="s">
        <v>154</v>
      </c>
      <c r="G13" s="13" t="s">
        <v>1000</v>
      </c>
      <c r="H13" s="12" t="s">
        <v>98</v>
      </c>
      <c r="I13" s="12" t="s">
        <v>113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1001</v>
      </c>
      <c r="B14" s="12" t="s">
        <v>157</v>
      </c>
      <c r="C14" s="12" t="s">
        <v>45</v>
      </c>
      <c r="D14" s="13" t="s">
        <v>1002</v>
      </c>
      <c r="E14" s="12" t="s">
        <v>134</v>
      </c>
      <c r="F14" s="12" t="s">
        <v>159</v>
      </c>
      <c r="G14" s="13" t="s">
        <v>1003</v>
      </c>
      <c r="H14" s="12" t="s">
        <v>98</v>
      </c>
      <c r="I14" s="12" t="s">
        <v>113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1004</v>
      </c>
      <c r="B15" s="12" t="s">
        <v>162</v>
      </c>
      <c r="C15" s="12" t="s">
        <v>45</v>
      </c>
      <c r="D15" s="13" t="s">
        <v>1005</v>
      </c>
      <c r="E15" s="12" t="s">
        <v>134</v>
      </c>
      <c r="F15" s="12" t="s">
        <v>164</v>
      </c>
      <c r="G15" s="13" t="s">
        <v>1003</v>
      </c>
      <c r="H15" s="12" t="s">
        <v>98</v>
      </c>
      <c r="I15" s="12" t="s">
        <v>113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1006</v>
      </c>
      <c r="B16" s="12" t="s">
        <v>167</v>
      </c>
      <c r="C16" s="12" t="s">
        <v>45</v>
      </c>
      <c r="D16" s="13" t="s">
        <v>1007</v>
      </c>
      <c r="E16" s="12" t="s">
        <v>134</v>
      </c>
      <c r="F16" s="12" t="s">
        <v>169</v>
      </c>
      <c r="G16" s="13" t="s">
        <v>1008</v>
      </c>
      <c r="H16" s="12" t="s">
        <v>100</v>
      </c>
      <c r="I16" s="12" t="s">
        <v>112</v>
      </c>
      <c r="J16" s="14" t="n">
        <v>46228</v>
      </c>
      <c r="K16" s="13" t="s">
        <v>1009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1010</v>
      </c>
      <c r="B17" s="12" t="s">
        <v>173</v>
      </c>
      <c r="C17" s="12" t="s">
        <v>45</v>
      </c>
      <c r="D17" s="13" t="s">
        <v>1011</v>
      </c>
      <c r="E17" s="12" t="s">
        <v>134</v>
      </c>
      <c r="F17" s="12" t="s">
        <v>175</v>
      </c>
      <c r="G17" s="13" t="s">
        <v>1012</v>
      </c>
      <c r="H17" s="12" t="s">
        <v>96</v>
      </c>
      <c r="I17" s="12" t="s">
        <v>112</v>
      </c>
      <c r="J17" s="14"/>
      <c r="K17" s="13" t="s">
        <v>903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1013</v>
      </c>
      <c r="B18" s="12" t="s">
        <v>179</v>
      </c>
      <c r="C18" s="12" t="s">
        <v>45</v>
      </c>
      <c r="D18" s="13" t="s">
        <v>1014</v>
      </c>
      <c r="E18" s="12" t="s">
        <v>134</v>
      </c>
      <c r="F18" s="12" t="s">
        <v>175</v>
      </c>
      <c r="G18" s="13" t="s">
        <v>1015</v>
      </c>
      <c r="H18" s="12" t="s">
        <v>96</v>
      </c>
      <c r="I18" s="12" t="s">
        <v>112</v>
      </c>
      <c r="J18" s="14"/>
      <c r="K18" s="13" t="s">
        <v>804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1016</v>
      </c>
      <c r="B19" s="12" t="s">
        <v>662</v>
      </c>
      <c r="C19" s="12" t="s">
        <v>45</v>
      </c>
      <c r="D19" s="13" t="s">
        <v>1017</v>
      </c>
      <c r="E19" s="12" t="s">
        <v>134</v>
      </c>
      <c r="F19" s="12" t="s">
        <v>159</v>
      </c>
      <c r="G19" s="13" t="s">
        <v>1003</v>
      </c>
      <c r="H19" s="12" t="s">
        <v>98</v>
      </c>
      <c r="I19" s="12" t="s">
        <v>113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1018</v>
      </c>
      <c r="B20" s="12" t="s">
        <v>187</v>
      </c>
      <c r="C20" s="12" t="s">
        <v>45</v>
      </c>
      <c r="D20" s="13" t="s">
        <v>1019</v>
      </c>
      <c r="E20" s="12" t="s">
        <v>134</v>
      </c>
      <c r="F20" s="12" t="s">
        <v>175</v>
      </c>
      <c r="G20" s="13" t="s">
        <v>1012</v>
      </c>
      <c r="H20" s="12" t="s">
        <v>96</v>
      </c>
      <c r="I20" s="12" t="s">
        <v>112</v>
      </c>
      <c r="J20" s="14"/>
      <c r="K20" s="13" t="s">
        <v>908</v>
      </c>
      <c r="L20" s="12" t="n">
        <v>1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1020</v>
      </c>
      <c r="B21" s="12" t="s">
        <v>191</v>
      </c>
      <c r="C21" s="12" t="s">
        <v>45</v>
      </c>
      <c r="D21" s="13" t="s">
        <v>1021</v>
      </c>
      <c r="E21" s="12" t="s">
        <v>134</v>
      </c>
      <c r="F21" s="12" t="s">
        <v>193</v>
      </c>
      <c r="G21" s="13" t="s">
        <v>1022</v>
      </c>
      <c r="H21" s="12" t="s">
        <v>98</v>
      </c>
      <c r="I21" s="12" t="s">
        <v>113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1023</v>
      </c>
      <c r="B22" s="12" t="s">
        <v>196</v>
      </c>
      <c r="C22" s="12" t="s">
        <v>45</v>
      </c>
      <c r="D22" s="13" t="s">
        <v>1024</v>
      </c>
      <c r="E22" s="12" t="s">
        <v>134</v>
      </c>
      <c r="F22" s="12" t="s">
        <v>193</v>
      </c>
      <c r="G22" s="13" t="s">
        <v>1025</v>
      </c>
      <c r="H22" s="12" t="s">
        <v>98</v>
      </c>
      <c r="I22" s="12" t="s">
        <v>113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1026</v>
      </c>
      <c r="B23" s="12" t="s">
        <v>200</v>
      </c>
      <c r="C23" s="12" t="s">
        <v>45</v>
      </c>
      <c r="D23" s="13" t="s">
        <v>1027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1028</v>
      </c>
      <c r="B24" s="12" t="s">
        <v>622</v>
      </c>
      <c r="C24" s="12" t="s">
        <v>45</v>
      </c>
      <c r="D24" s="13" t="s">
        <v>1029</v>
      </c>
      <c r="E24" s="12" t="s">
        <v>134</v>
      </c>
      <c r="F24" s="12" t="s">
        <v>134</v>
      </c>
      <c r="G24" s="13" t="s">
        <v>1030</v>
      </c>
      <c r="H24" s="12" t="s">
        <v>98</v>
      </c>
      <c r="I24" s="12" t="s">
        <v>113</v>
      </c>
      <c r="J24" s="14" t="n">
        <v>46228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1031</v>
      </c>
      <c r="B25" s="12" t="s">
        <v>205</v>
      </c>
      <c r="C25" s="12" t="s">
        <v>45</v>
      </c>
      <c r="D25" s="13" t="s">
        <v>1032</v>
      </c>
      <c r="E25" s="12" t="s">
        <v>134</v>
      </c>
      <c r="F25" s="12" t="s">
        <v>134</v>
      </c>
      <c r="G25" s="13" t="s">
        <v>1033</v>
      </c>
      <c r="H25" s="12" t="s">
        <v>96</v>
      </c>
      <c r="I25" s="12" t="s">
        <v>112</v>
      </c>
      <c r="J25" s="14"/>
      <c r="K25" s="13" t="s">
        <v>1034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1036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15</v>
      </c>
      <c r="D4" s="5" t="s">
        <v>116</v>
      </c>
      <c r="E4" s="6" t="n">
        <f aca="false">SUM(M9:M25)</f>
        <v>11</v>
      </c>
      <c r="G4" s="5" t="s">
        <v>14</v>
      </c>
      <c r="H4" s="7" t="n">
        <f aca="false">IF(B4=0,0,E4/B4)</f>
        <v>0.733333333333333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1037</v>
      </c>
      <c r="B9" s="12" t="s">
        <v>131</v>
      </c>
      <c r="C9" s="12" t="s">
        <v>46</v>
      </c>
      <c r="D9" s="13" t="s">
        <v>1038</v>
      </c>
      <c r="E9" s="12" t="s">
        <v>134</v>
      </c>
      <c r="F9" s="12" t="s">
        <v>135</v>
      </c>
      <c r="G9" s="13" t="s">
        <v>1039</v>
      </c>
      <c r="H9" s="12" t="s">
        <v>98</v>
      </c>
      <c r="I9" s="12" t="s">
        <v>113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1040</v>
      </c>
      <c r="B10" s="12" t="s">
        <v>138</v>
      </c>
      <c r="C10" s="12" t="s">
        <v>46</v>
      </c>
      <c r="D10" s="13" t="s">
        <v>1041</v>
      </c>
      <c r="E10" s="12" t="s">
        <v>134</v>
      </c>
      <c r="F10" s="12" t="s">
        <v>134</v>
      </c>
      <c r="G10" s="13" t="s">
        <v>582</v>
      </c>
      <c r="H10" s="12" t="s">
        <v>98</v>
      </c>
      <c r="I10" s="12" t="s">
        <v>113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1042</v>
      </c>
      <c r="B11" s="12" t="s">
        <v>142</v>
      </c>
      <c r="C11" s="12" t="s">
        <v>46</v>
      </c>
      <c r="D11" s="13" t="s">
        <v>1043</v>
      </c>
      <c r="E11" s="12" t="s">
        <v>134</v>
      </c>
      <c r="F11" s="12" t="s">
        <v>144</v>
      </c>
      <c r="G11" s="13" t="s">
        <v>1044</v>
      </c>
      <c r="H11" s="12" t="s">
        <v>98</v>
      </c>
      <c r="I11" s="12" t="s">
        <v>113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1045</v>
      </c>
      <c r="B12" s="12" t="s">
        <v>147</v>
      </c>
      <c r="C12" s="12" t="s">
        <v>46</v>
      </c>
      <c r="D12" s="13" t="s">
        <v>1046</v>
      </c>
      <c r="E12" s="12" t="s">
        <v>134</v>
      </c>
      <c r="F12" s="12" t="s">
        <v>149</v>
      </c>
      <c r="G12" s="13" t="s">
        <v>1047</v>
      </c>
      <c r="H12" s="12" t="s">
        <v>98</v>
      </c>
      <c r="I12" s="12" t="s">
        <v>113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1048</v>
      </c>
      <c r="B13" s="12" t="s">
        <v>152</v>
      </c>
      <c r="C13" s="12" t="s">
        <v>46</v>
      </c>
      <c r="D13" s="13" t="s">
        <v>1049</v>
      </c>
      <c r="E13" s="12" t="s">
        <v>134</v>
      </c>
      <c r="F13" s="12" t="s">
        <v>154</v>
      </c>
      <c r="G13" s="13" t="s">
        <v>1050</v>
      </c>
      <c r="H13" s="12" t="s">
        <v>98</v>
      </c>
      <c r="I13" s="12" t="s">
        <v>113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1051</v>
      </c>
      <c r="B14" s="12" t="s">
        <v>157</v>
      </c>
      <c r="C14" s="12" t="s">
        <v>46</v>
      </c>
      <c r="D14" s="13" t="s">
        <v>1052</v>
      </c>
      <c r="E14" s="12" t="s">
        <v>134</v>
      </c>
      <c r="F14" s="12" t="s">
        <v>159</v>
      </c>
      <c r="G14" s="13" t="s">
        <v>1053</v>
      </c>
      <c r="H14" s="12" t="s">
        <v>98</v>
      </c>
      <c r="I14" s="12" t="s">
        <v>113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1054</v>
      </c>
      <c r="B15" s="12" t="s">
        <v>162</v>
      </c>
      <c r="C15" s="12" t="s">
        <v>46</v>
      </c>
      <c r="D15" s="13" t="s">
        <v>1055</v>
      </c>
      <c r="E15" s="12" t="s">
        <v>134</v>
      </c>
      <c r="F15" s="12" t="s">
        <v>164</v>
      </c>
      <c r="G15" s="13" t="s">
        <v>1053</v>
      </c>
      <c r="H15" s="12" t="s">
        <v>98</v>
      </c>
      <c r="I15" s="12" t="s">
        <v>113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1056</v>
      </c>
      <c r="B16" s="12" t="s">
        <v>167</v>
      </c>
      <c r="C16" s="12" t="s">
        <v>46</v>
      </c>
      <c r="D16" s="13" t="s">
        <v>1057</v>
      </c>
      <c r="E16" s="12" t="s">
        <v>134</v>
      </c>
      <c r="F16" s="12" t="s">
        <v>169</v>
      </c>
      <c r="G16" s="13" t="s">
        <v>1058</v>
      </c>
      <c r="H16" s="12" t="s">
        <v>96</v>
      </c>
      <c r="I16" s="12" t="s">
        <v>112</v>
      </c>
      <c r="J16" s="14" t="n">
        <v>46228</v>
      </c>
      <c r="K16" s="13" t="s">
        <v>1059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1060</v>
      </c>
      <c r="B17" s="12" t="s">
        <v>173</v>
      </c>
      <c r="C17" s="12" t="s">
        <v>46</v>
      </c>
      <c r="D17" s="13" t="s">
        <v>1061</v>
      </c>
      <c r="E17" s="12" t="s">
        <v>134</v>
      </c>
      <c r="F17" s="12" t="s">
        <v>175</v>
      </c>
      <c r="G17" s="13" t="s">
        <v>1062</v>
      </c>
      <c r="H17" s="12" t="s">
        <v>96</v>
      </c>
      <c r="I17" s="12" t="s">
        <v>112</v>
      </c>
      <c r="J17" s="14"/>
      <c r="K17" s="13" t="s">
        <v>1063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1064</v>
      </c>
      <c r="B18" s="12" t="s">
        <v>187</v>
      </c>
      <c r="C18" s="12" t="s">
        <v>46</v>
      </c>
      <c r="D18" s="13" t="s">
        <v>1065</v>
      </c>
      <c r="E18" s="12" t="s">
        <v>134</v>
      </c>
      <c r="F18" s="12" t="s">
        <v>175</v>
      </c>
      <c r="G18" s="13" t="s">
        <v>1062</v>
      </c>
      <c r="H18" s="12" t="s">
        <v>96</v>
      </c>
      <c r="I18" s="12" t="s">
        <v>112</v>
      </c>
      <c r="J18" s="14"/>
      <c r="K18" s="13" t="s">
        <v>1063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1066</v>
      </c>
      <c r="B19" s="12" t="s">
        <v>191</v>
      </c>
      <c r="C19" s="12" t="s">
        <v>46</v>
      </c>
      <c r="D19" s="13" t="s">
        <v>1067</v>
      </c>
      <c r="E19" s="12" t="s">
        <v>134</v>
      </c>
      <c r="F19" s="12" t="s">
        <v>193</v>
      </c>
      <c r="G19" s="13" t="s">
        <v>1068</v>
      </c>
      <c r="H19" s="12" t="s">
        <v>98</v>
      </c>
      <c r="I19" s="12" t="s">
        <v>113</v>
      </c>
      <c r="J19" s="14" t="n">
        <v>46228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1069</v>
      </c>
      <c r="B20" s="12" t="s">
        <v>196</v>
      </c>
      <c r="C20" s="12" t="s">
        <v>46</v>
      </c>
      <c r="D20" s="13" t="s">
        <v>1070</v>
      </c>
      <c r="E20" s="12" t="s">
        <v>134</v>
      </c>
      <c r="F20" s="12" t="s">
        <v>193</v>
      </c>
      <c r="G20" s="13" t="s">
        <v>1071</v>
      </c>
      <c r="H20" s="12" t="s">
        <v>98</v>
      </c>
      <c r="I20" s="12" t="s">
        <v>113</v>
      </c>
      <c r="J20" s="14" t="n">
        <v>46228</v>
      </c>
      <c r="K20" s="13" t="s">
        <v>908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1072</v>
      </c>
      <c r="B21" s="12" t="s">
        <v>200</v>
      </c>
      <c r="C21" s="12" t="s">
        <v>46</v>
      </c>
      <c r="D21" s="13" t="s">
        <v>1073</v>
      </c>
      <c r="E21" s="12" t="s">
        <v>202</v>
      </c>
      <c r="F21" s="12" t="s">
        <v>202</v>
      </c>
      <c r="G21" s="13" t="s">
        <v>203</v>
      </c>
      <c r="H21" s="12" t="s">
        <v>98</v>
      </c>
      <c r="I21" s="12" t="s">
        <v>113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1074</v>
      </c>
      <c r="B22" s="12" t="s">
        <v>622</v>
      </c>
      <c r="C22" s="12" t="s">
        <v>46</v>
      </c>
      <c r="D22" s="13" t="s">
        <v>1075</v>
      </c>
      <c r="E22" s="12" t="s">
        <v>134</v>
      </c>
      <c r="F22" s="12" t="s">
        <v>134</v>
      </c>
      <c r="G22" s="13" t="s">
        <v>1076</v>
      </c>
      <c r="H22" s="12" t="s">
        <v>98</v>
      </c>
      <c r="I22" s="12" t="s">
        <v>113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1077</v>
      </c>
      <c r="B23" s="12" t="s">
        <v>205</v>
      </c>
      <c r="C23" s="12" t="s">
        <v>46</v>
      </c>
      <c r="D23" s="13" t="s">
        <v>1032</v>
      </c>
      <c r="E23" s="12" t="s">
        <v>134</v>
      </c>
      <c r="F23" s="12" t="s">
        <v>134</v>
      </c>
      <c r="G23" s="13" t="s">
        <v>628</v>
      </c>
      <c r="H23" s="12" t="s">
        <v>96</v>
      </c>
      <c r="I23" s="12" t="s">
        <v>112</v>
      </c>
      <c r="J23" s="14" t="n">
        <v>46228</v>
      </c>
      <c r="K23" s="13" t="s">
        <v>1078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/>
      <c r="B24" s="12"/>
      <c r="C24" s="12"/>
      <c r="D24" s="13"/>
      <c r="E24" s="12"/>
      <c r="F24" s="12"/>
      <c r="G24" s="13"/>
      <c r="H24" s="12"/>
      <c r="I24" s="12"/>
      <c r="J24" s="14"/>
      <c r="K24" s="13"/>
      <c r="L24" s="12"/>
      <c r="M24" s="12"/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1079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1080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116</v>
      </c>
      <c r="E4" s="6" t="n">
        <f aca="false">SUM(M9:M25)</f>
        <v>12</v>
      </c>
      <c r="G4" s="5" t="s">
        <v>14</v>
      </c>
      <c r="H4" s="7" t="n">
        <f aca="false">IF(B4=0,0,E4/B4)</f>
        <v>0.75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1081</v>
      </c>
      <c r="B9" s="12" t="s">
        <v>131</v>
      </c>
      <c r="C9" s="12" t="s">
        <v>1082</v>
      </c>
      <c r="D9" s="13" t="s">
        <v>1083</v>
      </c>
      <c r="E9" s="12" t="s">
        <v>134</v>
      </c>
      <c r="F9" s="12" t="s">
        <v>135</v>
      </c>
      <c r="G9" s="13" t="s">
        <v>1084</v>
      </c>
      <c r="H9" s="12" t="s">
        <v>98</v>
      </c>
      <c r="I9" s="12" t="s">
        <v>113</v>
      </c>
      <c r="J9" s="14" t="n">
        <v>46228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1085</v>
      </c>
      <c r="B10" s="12" t="s">
        <v>182</v>
      </c>
      <c r="C10" s="12" t="s">
        <v>1086</v>
      </c>
      <c r="D10" s="13" t="s">
        <v>1087</v>
      </c>
      <c r="E10" s="12" t="s">
        <v>134</v>
      </c>
      <c r="F10" s="12" t="s">
        <v>154</v>
      </c>
      <c r="G10" s="13" t="s">
        <v>1088</v>
      </c>
      <c r="H10" s="12" t="s">
        <v>98</v>
      </c>
      <c r="I10" s="12" t="s">
        <v>113</v>
      </c>
      <c r="J10" s="14" t="n">
        <v>46228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1089</v>
      </c>
      <c r="B11" s="12" t="s">
        <v>1090</v>
      </c>
      <c r="C11" s="12" t="s">
        <v>1091</v>
      </c>
      <c r="D11" s="13" t="s">
        <v>1092</v>
      </c>
      <c r="E11" s="12" t="s">
        <v>134</v>
      </c>
      <c r="F11" s="12" t="s">
        <v>154</v>
      </c>
      <c r="G11" s="13" t="s">
        <v>1088</v>
      </c>
      <c r="H11" s="12" t="s">
        <v>98</v>
      </c>
      <c r="I11" s="12" t="s">
        <v>113</v>
      </c>
      <c r="J11" s="14" t="n">
        <v>46228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1093</v>
      </c>
      <c r="B12" s="12" t="s">
        <v>138</v>
      </c>
      <c r="C12" s="12" t="s">
        <v>47</v>
      </c>
      <c r="D12" s="13" t="s">
        <v>1094</v>
      </c>
      <c r="E12" s="12" t="s">
        <v>134</v>
      </c>
      <c r="F12" s="12" t="s">
        <v>134</v>
      </c>
      <c r="G12" s="13" t="s">
        <v>582</v>
      </c>
      <c r="H12" s="12" t="s">
        <v>98</v>
      </c>
      <c r="I12" s="12" t="s">
        <v>113</v>
      </c>
      <c r="J12" s="14" t="n">
        <v>46228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1095</v>
      </c>
      <c r="B13" s="12" t="s">
        <v>142</v>
      </c>
      <c r="C13" s="12" t="s">
        <v>47</v>
      </c>
      <c r="D13" s="13" t="s">
        <v>1096</v>
      </c>
      <c r="E13" s="12" t="s">
        <v>134</v>
      </c>
      <c r="F13" s="12" t="s">
        <v>144</v>
      </c>
      <c r="G13" s="13" t="s">
        <v>1097</v>
      </c>
      <c r="H13" s="12" t="s">
        <v>98</v>
      </c>
      <c r="I13" s="12" t="s">
        <v>113</v>
      </c>
      <c r="J13" s="14" t="n">
        <v>46228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1098</v>
      </c>
      <c r="B14" s="12" t="s">
        <v>147</v>
      </c>
      <c r="C14" s="12" t="s">
        <v>47</v>
      </c>
      <c r="D14" s="13" t="s">
        <v>1099</v>
      </c>
      <c r="E14" s="12" t="s">
        <v>134</v>
      </c>
      <c r="F14" s="12" t="s">
        <v>149</v>
      </c>
      <c r="G14" s="13" t="s">
        <v>1100</v>
      </c>
      <c r="H14" s="12" t="s">
        <v>98</v>
      </c>
      <c r="I14" s="12" t="s">
        <v>113</v>
      </c>
      <c r="J14" s="14" t="n">
        <v>46228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1101</v>
      </c>
      <c r="B15" s="12" t="s">
        <v>157</v>
      </c>
      <c r="C15" s="12" t="s">
        <v>47</v>
      </c>
      <c r="D15" s="13" t="s">
        <v>1102</v>
      </c>
      <c r="E15" s="12" t="s">
        <v>134</v>
      </c>
      <c r="F15" s="12" t="s">
        <v>159</v>
      </c>
      <c r="G15" s="13" t="s">
        <v>1103</v>
      </c>
      <c r="H15" s="12" t="s">
        <v>98</v>
      </c>
      <c r="I15" s="12" t="s">
        <v>113</v>
      </c>
      <c r="J15" s="14" t="n">
        <v>46228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1104</v>
      </c>
      <c r="B16" s="12" t="s">
        <v>162</v>
      </c>
      <c r="C16" s="12" t="s">
        <v>1105</v>
      </c>
      <c r="D16" s="13" t="s">
        <v>1106</v>
      </c>
      <c r="E16" s="12" t="s">
        <v>134</v>
      </c>
      <c r="F16" s="12" t="s">
        <v>164</v>
      </c>
      <c r="G16" s="13" t="s">
        <v>1103</v>
      </c>
      <c r="H16" s="12" t="s">
        <v>98</v>
      </c>
      <c r="I16" s="12" t="s">
        <v>113</v>
      </c>
      <c r="J16" s="14" t="n">
        <v>46228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1107</v>
      </c>
      <c r="B17" s="12" t="s">
        <v>167</v>
      </c>
      <c r="C17" s="12" t="s">
        <v>47</v>
      </c>
      <c r="D17" s="13" t="s">
        <v>1108</v>
      </c>
      <c r="E17" s="12" t="s">
        <v>134</v>
      </c>
      <c r="F17" s="12" t="s">
        <v>169</v>
      </c>
      <c r="G17" s="13" t="s">
        <v>1109</v>
      </c>
      <c r="H17" s="12" t="s">
        <v>96</v>
      </c>
      <c r="I17" s="12" t="s">
        <v>112</v>
      </c>
      <c r="J17" s="14"/>
      <c r="K17" s="13" t="s">
        <v>1059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1110</v>
      </c>
      <c r="B18" s="12" t="s">
        <v>173</v>
      </c>
      <c r="C18" s="12" t="s">
        <v>47</v>
      </c>
      <c r="D18" s="13" t="s">
        <v>1111</v>
      </c>
      <c r="E18" s="12" t="s">
        <v>134</v>
      </c>
      <c r="F18" s="12" t="s">
        <v>175</v>
      </c>
      <c r="G18" s="13" t="s">
        <v>1112</v>
      </c>
      <c r="H18" s="12" t="s">
        <v>96</v>
      </c>
      <c r="I18" s="12" t="s">
        <v>112</v>
      </c>
      <c r="J18" s="14"/>
      <c r="K18" s="13" t="s">
        <v>1063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1113</v>
      </c>
      <c r="B19" s="12" t="s">
        <v>187</v>
      </c>
      <c r="C19" s="12" t="s">
        <v>47</v>
      </c>
      <c r="D19" s="13" t="s">
        <v>1114</v>
      </c>
      <c r="E19" s="12" t="s">
        <v>134</v>
      </c>
      <c r="F19" s="12" t="s">
        <v>175</v>
      </c>
      <c r="G19" s="13" t="s">
        <v>1112</v>
      </c>
      <c r="H19" s="12" t="s">
        <v>96</v>
      </c>
      <c r="I19" s="12" t="s">
        <v>112</v>
      </c>
      <c r="J19" s="14" t="n">
        <v>46228</v>
      </c>
      <c r="K19" s="13" t="s">
        <v>1063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1115</v>
      </c>
      <c r="B20" s="12" t="s">
        <v>191</v>
      </c>
      <c r="C20" s="12" t="s">
        <v>47</v>
      </c>
      <c r="D20" s="13" t="s">
        <v>1116</v>
      </c>
      <c r="E20" s="12" t="s">
        <v>134</v>
      </c>
      <c r="F20" s="12" t="s">
        <v>193</v>
      </c>
      <c r="G20" s="13" t="s">
        <v>1117</v>
      </c>
      <c r="H20" s="12" t="s">
        <v>98</v>
      </c>
      <c r="I20" s="12" t="s">
        <v>113</v>
      </c>
      <c r="J20" s="14" t="n">
        <v>46228</v>
      </c>
      <c r="K20" s="13" t="s">
        <v>908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1118</v>
      </c>
      <c r="B21" s="12" t="s">
        <v>196</v>
      </c>
      <c r="C21" s="12" t="s">
        <v>47</v>
      </c>
      <c r="D21" s="13" t="s">
        <v>1119</v>
      </c>
      <c r="E21" s="12" t="s">
        <v>134</v>
      </c>
      <c r="F21" s="12" t="s">
        <v>193</v>
      </c>
      <c r="G21" s="13" t="s">
        <v>1120</v>
      </c>
      <c r="H21" s="12" t="s">
        <v>98</v>
      </c>
      <c r="I21" s="12" t="s">
        <v>113</v>
      </c>
      <c r="J21" s="14" t="n">
        <v>46228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1121</v>
      </c>
      <c r="B22" s="12" t="s">
        <v>200</v>
      </c>
      <c r="C22" s="12" t="s">
        <v>47</v>
      </c>
      <c r="D22" s="13" t="s">
        <v>1122</v>
      </c>
      <c r="E22" s="12" t="s">
        <v>202</v>
      </c>
      <c r="F22" s="12" t="s">
        <v>202</v>
      </c>
      <c r="G22" s="13" t="s">
        <v>203</v>
      </c>
      <c r="H22" s="12" t="s">
        <v>98</v>
      </c>
      <c r="I22" s="12" t="s">
        <v>113</v>
      </c>
      <c r="J22" s="14" t="n">
        <v>46228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1123</v>
      </c>
      <c r="B23" s="12" t="s">
        <v>622</v>
      </c>
      <c r="C23" s="12" t="s">
        <v>47</v>
      </c>
      <c r="D23" s="13" t="s">
        <v>1124</v>
      </c>
      <c r="E23" s="12" t="s">
        <v>134</v>
      </c>
      <c r="F23" s="12" t="s">
        <v>134</v>
      </c>
      <c r="G23" s="13" t="s">
        <v>1076</v>
      </c>
      <c r="H23" s="12" t="s">
        <v>98</v>
      </c>
      <c r="I23" s="12" t="s">
        <v>113</v>
      </c>
      <c r="J23" s="14" t="n">
        <v>46228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1125</v>
      </c>
      <c r="B24" s="12" t="s">
        <v>205</v>
      </c>
      <c r="C24" s="12" t="s">
        <v>47</v>
      </c>
      <c r="D24" s="13" t="s">
        <v>1126</v>
      </c>
      <c r="E24" s="12" t="s">
        <v>134</v>
      </c>
      <c r="F24" s="12" t="s">
        <v>134</v>
      </c>
      <c r="G24" s="13" t="s">
        <v>628</v>
      </c>
      <c r="H24" s="12" t="s">
        <v>96</v>
      </c>
      <c r="I24" s="12" t="s">
        <v>112</v>
      </c>
      <c r="J24" s="14" t="n">
        <v>46228</v>
      </c>
      <c r="K24" s="13" t="s">
        <v>1078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1127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1128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116</v>
      </c>
      <c r="E4" s="6" t="n">
        <f aca="false">SUM(M9:M25)</f>
        <v>16</v>
      </c>
      <c r="G4" s="5" t="s">
        <v>14</v>
      </c>
      <c r="H4" s="7" t="n">
        <f aca="false">IF(B4=0,0,E4/B4)</f>
        <v>1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complete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1129</v>
      </c>
      <c r="B9" s="12" t="s">
        <v>131</v>
      </c>
      <c r="C9" s="12" t="s">
        <v>1082</v>
      </c>
      <c r="D9" s="13" t="s">
        <v>1130</v>
      </c>
      <c r="E9" s="12" t="s">
        <v>134</v>
      </c>
      <c r="F9" s="12" t="s">
        <v>135</v>
      </c>
      <c r="G9" s="13" t="s">
        <v>1084</v>
      </c>
      <c r="H9" s="12" t="s">
        <v>98</v>
      </c>
      <c r="I9" s="12" t="s">
        <v>113</v>
      </c>
      <c r="J9" s="14" t="s">
        <v>134</v>
      </c>
      <c r="K9" s="13" t="s">
        <v>1131</v>
      </c>
      <c r="L9" s="12"/>
      <c r="M9" s="12" t="n">
        <f aca="false">IF(OR(H9="not started",H9="partial"),0,1)</f>
        <v>1</v>
      </c>
    </row>
    <row r="10" customFormat="false" ht="54" hidden="false" customHeight="true" outlineLevel="0" collapsed="false">
      <c r="A10" s="12" t="s">
        <v>1132</v>
      </c>
      <c r="B10" s="12" t="s">
        <v>1133</v>
      </c>
      <c r="C10" s="12" t="s">
        <v>782</v>
      </c>
      <c r="D10" s="13" t="s">
        <v>1134</v>
      </c>
      <c r="E10" s="12" t="s">
        <v>134</v>
      </c>
      <c r="F10" s="12" t="s">
        <v>154</v>
      </c>
      <c r="G10" s="13" t="s">
        <v>1088</v>
      </c>
      <c r="H10" s="12" t="s">
        <v>98</v>
      </c>
      <c r="I10" s="12" t="s">
        <v>113</v>
      </c>
      <c r="J10" s="14" t="s">
        <v>134</v>
      </c>
      <c r="K10" s="13" t="s">
        <v>1131</v>
      </c>
      <c r="L10" s="12"/>
      <c r="M10" s="12" t="n">
        <f aca="false">IF(OR(H10="not started",H10="partial"),0,1)</f>
        <v>1</v>
      </c>
    </row>
    <row r="11" customFormat="false" ht="54" hidden="false" customHeight="true" outlineLevel="0" collapsed="false">
      <c r="A11" s="12" t="s">
        <v>1135</v>
      </c>
      <c r="B11" s="12" t="s">
        <v>1086</v>
      </c>
      <c r="C11" s="12" t="s">
        <v>33</v>
      </c>
      <c r="D11" s="13" t="s">
        <v>1136</v>
      </c>
      <c r="E11" s="12" t="s">
        <v>134</v>
      </c>
      <c r="F11" s="12" t="s">
        <v>154</v>
      </c>
      <c r="G11" s="13" t="s">
        <v>1088</v>
      </c>
      <c r="H11" s="12" t="s">
        <v>98</v>
      </c>
      <c r="I11" s="12" t="s">
        <v>113</v>
      </c>
      <c r="J11" s="14" t="s">
        <v>134</v>
      </c>
      <c r="K11" s="13" t="s">
        <v>1131</v>
      </c>
      <c r="L11" s="12"/>
      <c r="M11" s="12" t="n">
        <f aca="false">IF(OR(H11="not started",H11="partial"),0,1)</f>
        <v>1</v>
      </c>
    </row>
    <row r="12" customFormat="false" ht="54" hidden="false" customHeight="true" outlineLevel="0" collapsed="false">
      <c r="A12" s="12" t="s">
        <v>1137</v>
      </c>
      <c r="B12" s="12" t="s">
        <v>1138</v>
      </c>
      <c r="C12" s="12" t="s">
        <v>1139</v>
      </c>
      <c r="D12" s="13" t="s">
        <v>1140</v>
      </c>
      <c r="E12" s="12" t="s">
        <v>134</v>
      </c>
      <c r="F12" s="12" t="s">
        <v>134</v>
      </c>
      <c r="G12" s="13" t="s">
        <v>582</v>
      </c>
      <c r="H12" s="12" t="s">
        <v>98</v>
      </c>
      <c r="I12" s="12" t="s">
        <v>113</v>
      </c>
      <c r="J12" s="14" t="s">
        <v>134</v>
      </c>
      <c r="K12" s="13" t="s">
        <v>1131</v>
      </c>
      <c r="L12" s="12"/>
      <c r="M12" s="12" t="n">
        <f aca="false">IF(OR(H12="not started",H12="partial"),0,1)</f>
        <v>1</v>
      </c>
    </row>
    <row r="13" customFormat="false" ht="54" hidden="false" customHeight="true" outlineLevel="0" collapsed="false">
      <c r="A13" s="12" t="s">
        <v>1141</v>
      </c>
      <c r="B13" s="12" t="s">
        <v>138</v>
      </c>
      <c r="C13" s="12" t="s">
        <v>48</v>
      </c>
      <c r="D13" s="13" t="s">
        <v>1142</v>
      </c>
      <c r="E13" s="12" t="s">
        <v>134</v>
      </c>
      <c r="F13" s="12" t="s">
        <v>144</v>
      </c>
      <c r="G13" s="13" t="s">
        <v>1097</v>
      </c>
      <c r="H13" s="12" t="s">
        <v>98</v>
      </c>
      <c r="I13" s="12" t="s">
        <v>113</v>
      </c>
      <c r="J13" s="14" t="s">
        <v>134</v>
      </c>
      <c r="K13" s="13" t="s">
        <v>1131</v>
      </c>
      <c r="L13" s="12"/>
      <c r="M13" s="12" t="n">
        <f aca="false">IF(OR(H13="not started",H13="partial"),0,1)</f>
        <v>1</v>
      </c>
    </row>
    <row r="14" customFormat="false" ht="54" hidden="false" customHeight="true" outlineLevel="0" collapsed="false">
      <c r="A14" s="12" t="s">
        <v>1143</v>
      </c>
      <c r="B14" s="12" t="s">
        <v>142</v>
      </c>
      <c r="C14" s="12" t="s">
        <v>48</v>
      </c>
      <c r="D14" s="13" t="s">
        <v>1144</v>
      </c>
      <c r="E14" s="12" t="s">
        <v>134</v>
      </c>
      <c r="F14" s="12" t="s">
        <v>149</v>
      </c>
      <c r="G14" s="13" t="s">
        <v>1100</v>
      </c>
      <c r="H14" s="12" t="s">
        <v>98</v>
      </c>
      <c r="I14" s="12" t="s">
        <v>113</v>
      </c>
      <c r="J14" s="14" t="s">
        <v>134</v>
      </c>
      <c r="K14" s="13" t="s">
        <v>1131</v>
      </c>
      <c r="L14" s="12"/>
      <c r="M14" s="12" t="n">
        <f aca="false">IF(OR(H14="not started",H14="partial"),0,1)</f>
        <v>1</v>
      </c>
    </row>
    <row r="15" customFormat="false" ht="54" hidden="false" customHeight="true" outlineLevel="0" collapsed="false">
      <c r="A15" s="12" t="s">
        <v>1145</v>
      </c>
      <c r="B15" s="12" t="s">
        <v>147</v>
      </c>
      <c r="C15" s="12" t="s">
        <v>48</v>
      </c>
      <c r="D15" s="13" t="s">
        <v>1146</v>
      </c>
      <c r="E15" s="12" t="s">
        <v>134</v>
      </c>
      <c r="F15" s="12" t="s">
        <v>159</v>
      </c>
      <c r="G15" s="13" t="s">
        <v>1103</v>
      </c>
      <c r="H15" s="12" t="s">
        <v>98</v>
      </c>
      <c r="I15" s="12" t="s">
        <v>113</v>
      </c>
      <c r="J15" s="14" t="s">
        <v>134</v>
      </c>
      <c r="K15" s="13" t="s">
        <v>1131</v>
      </c>
      <c r="L15" s="12"/>
      <c r="M15" s="12" t="n">
        <f aca="false">IF(OR(H15="not started",H15="partial"),0,1)</f>
        <v>1</v>
      </c>
    </row>
    <row r="16" customFormat="false" ht="54" hidden="false" customHeight="true" outlineLevel="0" collapsed="false">
      <c r="A16" s="12" t="s">
        <v>1147</v>
      </c>
      <c r="B16" s="12" t="s">
        <v>157</v>
      </c>
      <c r="C16" s="12" t="s">
        <v>48</v>
      </c>
      <c r="D16" s="13" t="s">
        <v>1148</v>
      </c>
      <c r="E16" s="12" t="s">
        <v>134</v>
      </c>
      <c r="F16" s="12" t="s">
        <v>164</v>
      </c>
      <c r="G16" s="13" t="s">
        <v>1103</v>
      </c>
      <c r="H16" s="12" t="s">
        <v>98</v>
      </c>
      <c r="I16" s="12" t="s">
        <v>113</v>
      </c>
      <c r="J16" s="14" t="s">
        <v>134</v>
      </c>
      <c r="K16" s="13" t="s">
        <v>1131</v>
      </c>
      <c r="L16" s="12"/>
      <c r="M16" s="12" t="n">
        <f aca="false">IF(OR(H16="not started",H16="partial"),0,1)</f>
        <v>1</v>
      </c>
    </row>
    <row r="17" customFormat="false" ht="54" hidden="false" customHeight="true" outlineLevel="0" collapsed="false">
      <c r="A17" s="12" t="s">
        <v>1149</v>
      </c>
      <c r="B17" s="12" t="s">
        <v>162</v>
      </c>
      <c r="C17" s="12" t="s">
        <v>1150</v>
      </c>
      <c r="D17" s="13" t="s">
        <v>1151</v>
      </c>
      <c r="E17" s="12" t="s">
        <v>134</v>
      </c>
      <c r="F17" s="12" t="s">
        <v>169</v>
      </c>
      <c r="G17" s="13" t="s">
        <v>1109</v>
      </c>
      <c r="H17" s="12" t="s">
        <v>98</v>
      </c>
      <c r="I17" s="12" t="s">
        <v>112</v>
      </c>
      <c r="J17" s="14" t="s">
        <v>134</v>
      </c>
      <c r="K17" s="13" t="s">
        <v>1131</v>
      </c>
      <c r="L17" s="12"/>
      <c r="M17" s="12" t="n">
        <f aca="false">IF(OR(H17="not started",H17="partial"),0,1)</f>
        <v>1</v>
      </c>
    </row>
    <row r="18" customFormat="false" ht="54" hidden="false" customHeight="true" outlineLevel="0" collapsed="false">
      <c r="A18" s="12" t="s">
        <v>1152</v>
      </c>
      <c r="B18" s="12" t="s">
        <v>167</v>
      </c>
      <c r="C18" s="12" t="s">
        <v>48</v>
      </c>
      <c r="D18" s="13" t="s">
        <v>1153</v>
      </c>
      <c r="E18" s="12" t="s">
        <v>134</v>
      </c>
      <c r="F18" s="12" t="s">
        <v>175</v>
      </c>
      <c r="G18" s="13" t="s">
        <v>1112</v>
      </c>
      <c r="H18" s="12" t="s">
        <v>98</v>
      </c>
      <c r="I18" s="12" t="s">
        <v>112</v>
      </c>
      <c r="J18" s="14" t="s">
        <v>134</v>
      </c>
      <c r="K18" s="13" t="s">
        <v>1131</v>
      </c>
      <c r="L18" s="12"/>
      <c r="M18" s="12" t="n">
        <f aca="false">IF(OR(H18="not started",H18="partial"),0,1)</f>
        <v>1</v>
      </c>
    </row>
    <row r="19" customFormat="false" ht="54" hidden="false" customHeight="true" outlineLevel="0" collapsed="false">
      <c r="A19" s="12" t="s">
        <v>1154</v>
      </c>
      <c r="B19" s="12" t="s">
        <v>187</v>
      </c>
      <c r="C19" s="12" t="s">
        <v>48</v>
      </c>
      <c r="D19" s="13" t="s">
        <v>1155</v>
      </c>
      <c r="E19" s="12" t="s">
        <v>134</v>
      </c>
      <c r="F19" s="12" t="s">
        <v>175</v>
      </c>
      <c r="G19" s="13" t="s">
        <v>1112</v>
      </c>
      <c r="H19" s="12" t="s">
        <v>98</v>
      </c>
      <c r="I19" s="12" t="s">
        <v>112</v>
      </c>
      <c r="J19" s="14" t="s">
        <v>134</v>
      </c>
      <c r="K19" s="13" t="s">
        <v>1156</v>
      </c>
      <c r="L19" s="12"/>
      <c r="M19" s="12" t="n">
        <f aca="false">IF(OR(H19="not started",H19="partial"),0,1)</f>
        <v>1</v>
      </c>
    </row>
    <row r="20" customFormat="false" ht="54" hidden="false" customHeight="true" outlineLevel="0" collapsed="false">
      <c r="A20" s="12" t="s">
        <v>1157</v>
      </c>
      <c r="B20" s="12" t="s">
        <v>191</v>
      </c>
      <c r="C20" s="12" t="s">
        <v>48</v>
      </c>
      <c r="D20" s="13" t="s">
        <v>1158</v>
      </c>
      <c r="E20" s="12" t="s">
        <v>134</v>
      </c>
      <c r="F20" s="12" t="s">
        <v>193</v>
      </c>
      <c r="G20" s="13" t="s">
        <v>1117</v>
      </c>
      <c r="H20" s="12" t="s">
        <v>98</v>
      </c>
      <c r="I20" s="12" t="s">
        <v>113</v>
      </c>
      <c r="J20" s="14" t="s">
        <v>134</v>
      </c>
      <c r="K20" s="13" t="s">
        <v>1131</v>
      </c>
      <c r="L20" s="12"/>
      <c r="M20" s="12" t="n">
        <f aca="false">IF(OR(H20="not started",H20="partial"),0,1)</f>
        <v>1</v>
      </c>
    </row>
    <row r="21" customFormat="false" ht="54" hidden="false" customHeight="true" outlineLevel="0" collapsed="false">
      <c r="A21" s="12" t="s">
        <v>1159</v>
      </c>
      <c r="B21" s="12" t="s">
        <v>196</v>
      </c>
      <c r="C21" s="12" t="s">
        <v>48</v>
      </c>
      <c r="D21" s="13" t="s">
        <v>1160</v>
      </c>
      <c r="E21" s="12" t="s">
        <v>134</v>
      </c>
      <c r="F21" s="12" t="s">
        <v>193</v>
      </c>
      <c r="G21" s="13" t="s">
        <v>1120</v>
      </c>
      <c r="H21" s="12" t="s">
        <v>98</v>
      </c>
      <c r="I21" s="12" t="s">
        <v>113</v>
      </c>
      <c r="J21" s="14" t="s">
        <v>134</v>
      </c>
      <c r="K21" s="13" t="s">
        <v>1131</v>
      </c>
      <c r="L21" s="12"/>
      <c r="M21" s="12" t="n">
        <f aca="false">IF(OR(H21="not started",H21="partial"),0,1)</f>
        <v>1</v>
      </c>
    </row>
    <row r="22" customFormat="false" ht="54" hidden="false" customHeight="true" outlineLevel="0" collapsed="false">
      <c r="A22" s="12" t="s">
        <v>1161</v>
      </c>
      <c r="B22" s="12" t="s">
        <v>200</v>
      </c>
      <c r="C22" s="12" t="s">
        <v>48</v>
      </c>
      <c r="D22" s="13" t="s">
        <v>1162</v>
      </c>
      <c r="E22" s="12" t="s">
        <v>202</v>
      </c>
      <c r="F22" s="12" t="s">
        <v>202</v>
      </c>
      <c r="G22" s="13" t="s">
        <v>203</v>
      </c>
      <c r="H22" s="12" t="s">
        <v>98</v>
      </c>
      <c r="I22" s="12" t="s">
        <v>113</v>
      </c>
      <c r="J22" s="14" t="s">
        <v>134</v>
      </c>
      <c r="K22" s="13" t="s">
        <v>1131</v>
      </c>
      <c r="L22" s="12"/>
      <c r="M22" s="12" t="n">
        <f aca="false">IF(OR(H22="not started",H22="partial"),0,1)</f>
        <v>1</v>
      </c>
    </row>
    <row r="23" customFormat="false" ht="54" hidden="false" customHeight="true" outlineLevel="0" collapsed="false">
      <c r="A23" s="12" t="s">
        <v>1163</v>
      </c>
      <c r="B23" s="12" t="s">
        <v>622</v>
      </c>
      <c r="C23" s="12" t="s">
        <v>48</v>
      </c>
      <c r="D23" s="13" t="s">
        <v>1164</v>
      </c>
      <c r="E23" s="12" t="s">
        <v>134</v>
      </c>
      <c r="F23" s="12" t="s">
        <v>134</v>
      </c>
      <c r="G23" s="13" t="s">
        <v>1076</v>
      </c>
      <c r="H23" s="12" t="s">
        <v>98</v>
      </c>
      <c r="I23" s="12" t="s">
        <v>113</v>
      </c>
      <c r="J23" s="14" t="s">
        <v>134</v>
      </c>
      <c r="K23" s="13" t="s">
        <v>1131</v>
      </c>
      <c r="L23" s="12"/>
      <c r="M23" s="12" t="n">
        <f aca="false">IF(OR(H23="not started",H23="partial"),0,1)</f>
        <v>1</v>
      </c>
    </row>
    <row r="24" customFormat="false" ht="54" hidden="false" customHeight="true" outlineLevel="0" collapsed="false">
      <c r="A24" s="12" t="s">
        <v>1165</v>
      </c>
      <c r="B24" s="12" t="s">
        <v>205</v>
      </c>
      <c r="C24" s="12" t="s">
        <v>48</v>
      </c>
      <c r="D24" s="13" t="s">
        <v>1126</v>
      </c>
      <c r="E24" s="12" t="s">
        <v>134</v>
      </c>
      <c r="F24" s="12" t="s">
        <v>134</v>
      </c>
      <c r="G24" s="13" t="s">
        <v>628</v>
      </c>
      <c r="H24" s="12" t="s">
        <v>98</v>
      </c>
      <c r="I24" s="12" t="s">
        <v>113</v>
      </c>
      <c r="J24" s="14" t="s">
        <v>134</v>
      </c>
      <c r="K24" s="13" t="s">
        <v>1131</v>
      </c>
      <c r="L24" s="12"/>
      <c r="M24" s="12" t="n">
        <f aca="false">IF(OR(H24="not started",H24="partial"),0,1)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1166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1167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16</v>
      </c>
      <c r="D4" s="5" t="s">
        <v>116</v>
      </c>
      <c r="E4" s="6" t="n">
        <f aca="false">SUM(M9:M25)</f>
        <v>13</v>
      </c>
      <c r="G4" s="5" t="s">
        <v>14</v>
      </c>
      <c r="H4" s="7" t="n">
        <f aca="false">IF(B4=0,0,E4/B4)</f>
        <v>0.8125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1168</v>
      </c>
      <c r="B9" s="12" t="s">
        <v>131</v>
      </c>
      <c r="C9" s="12" t="s">
        <v>1169</v>
      </c>
      <c r="D9" s="13" t="s">
        <v>1170</v>
      </c>
      <c r="E9" s="12" t="s">
        <v>134</v>
      </c>
      <c r="F9" s="12" t="s">
        <v>135</v>
      </c>
      <c r="G9" s="13" t="s">
        <v>1171</v>
      </c>
      <c r="H9" s="12" t="s">
        <v>98</v>
      </c>
      <c r="I9" s="12" t="s">
        <v>113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1172</v>
      </c>
      <c r="B10" s="12" t="s">
        <v>1173</v>
      </c>
      <c r="C10" s="12" t="s">
        <v>782</v>
      </c>
      <c r="D10" s="13" t="s">
        <v>1174</v>
      </c>
      <c r="E10" s="12" t="s">
        <v>134</v>
      </c>
      <c r="F10" s="12" t="s">
        <v>154</v>
      </c>
      <c r="G10" s="13" t="s">
        <v>1175</v>
      </c>
      <c r="H10" s="12" t="s">
        <v>98</v>
      </c>
      <c r="I10" s="12" t="s">
        <v>113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1176</v>
      </c>
      <c r="B11" s="12" t="s">
        <v>1133</v>
      </c>
      <c r="C11" s="12" t="s">
        <v>1177</v>
      </c>
      <c r="D11" s="13" t="s">
        <v>1178</v>
      </c>
      <c r="E11" s="12" t="s">
        <v>134</v>
      </c>
      <c r="F11" s="12" t="s">
        <v>159</v>
      </c>
      <c r="G11" s="13" t="s">
        <v>1179</v>
      </c>
      <c r="H11" s="12" t="s">
        <v>98</v>
      </c>
      <c r="I11" s="12" t="s">
        <v>113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1180</v>
      </c>
      <c r="B12" s="12" t="s">
        <v>162</v>
      </c>
      <c r="C12" s="12" t="s">
        <v>1181</v>
      </c>
      <c r="D12" s="13" t="s">
        <v>1182</v>
      </c>
      <c r="E12" s="12" t="s">
        <v>134</v>
      </c>
      <c r="F12" s="12" t="s">
        <v>159</v>
      </c>
      <c r="G12" s="13" t="s">
        <v>1179</v>
      </c>
      <c r="H12" s="12" t="s">
        <v>98</v>
      </c>
      <c r="I12" s="12" t="s">
        <v>113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1183</v>
      </c>
      <c r="B13" s="12" t="s">
        <v>182</v>
      </c>
      <c r="C13" s="12" t="s">
        <v>1184</v>
      </c>
      <c r="D13" s="13" t="s">
        <v>1185</v>
      </c>
      <c r="E13" s="12" t="s">
        <v>134</v>
      </c>
      <c r="F13" s="12" t="s">
        <v>154</v>
      </c>
      <c r="G13" s="13" t="s">
        <v>1175</v>
      </c>
      <c r="H13" s="12" t="s">
        <v>98</v>
      </c>
      <c r="I13" s="12" t="s">
        <v>113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1186</v>
      </c>
      <c r="B14" s="12" t="s">
        <v>138</v>
      </c>
      <c r="C14" s="12" t="s">
        <v>49</v>
      </c>
      <c r="D14" s="13" t="s">
        <v>1187</v>
      </c>
      <c r="E14" s="12" t="s">
        <v>134</v>
      </c>
      <c r="F14" s="12" t="s">
        <v>134</v>
      </c>
      <c r="G14" s="13" t="s">
        <v>140</v>
      </c>
      <c r="H14" s="12" t="s">
        <v>98</v>
      </c>
      <c r="I14" s="12" t="s">
        <v>113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1188</v>
      </c>
      <c r="B15" s="12" t="s">
        <v>142</v>
      </c>
      <c r="C15" s="12" t="s">
        <v>49</v>
      </c>
      <c r="D15" s="13" t="s">
        <v>1189</v>
      </c>
      <c r="E15" s="12" t="s">
        <v>134</v>
      </c>
      <c r="F15" s="12" t="s">
        <v>144</v>
      </c>
      <c r="G15" s="13" t="s">
        <v>1190</v>
      </c>
      <c r="H15" s="12" t="s">
        <v>98</v>
      </c>
      <c r="I15" s="12" t="s">
        <v>113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1191</v>
      </c>
      <c r="B16" s="12" t="s">
        <v>147</v>
      </c>
      <c r="C16" s="12" t="s">
        <v>49</v>
      </c>
      <c r="D16" s="13" t="s">
        <v>1192</v>
      </c>
      <c r="E16" s="12" t="s">
        <v>134</v>
      </c>
      <c r="F16" s="12" t="s">
        <v>149</v>
      </c>
      <c r="G16" s="13" t="s">
        <v>1193</v>
      </c>
      <c r="H16" s="12" t="s">
        <v>98</v>
      </c>
      <c r="I16" s="12" t="s">
        <v>113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1194</v>
      </c>
      <c r="B17" s="12" t="s">
        <v>167</v>
      </c>
      <c r="C17" s="12" t="s">
        <v>49</v>
      </c>
      <c r="D17" s="13" t="s">
        <v>1195</v>
      </c>
      <c r="E17" s="12" t="s">
        <v>134</v>
      </c>
      <c r="F17" s="12" t="s">
        <v>169</v>
      </c>
      <c r="G17" s="13" t="s">
        <v>1196</v>
      </c>
      <c r="H17" s="12" t="s">
        <v>96</v>
      </c>
      <c r="I17" s="12" t="s">
        <v>112</v>
      </c>
      <c r="J17" s="14"/>
      <c r="K17" s="13" t="s">
        <v>1197</v>
      </c>
      <c r="L17" s="12" t="n">
        <v>1</v>
      </c>
      <c r="M17" s="12" t="n">
        <f aca="false">IF(OR(H17="not started",H17="partial",H17="implemented"),0,1)</f>
        <v>0</v>
      </c>
    </row>
    <row r="18" customFormat="false" ht="54" hidden="false" customHeight="true" outlineLevel="0" collapsed="false">
      <c r="A18" s="12" t="s">
        <v>1198</v>
      </c>
      <c r="B18" s="12" t="s">
        <v>173</v>
      </c>
      <c r="C18" s="12" t="s">
        <v>49</v>
      </c>
      <c r="D18" s="13" t="s">
        <v>1199</v>
      </c>
      <c r="E18" s="12" t="s">
        <v>134</v>
      </c>
      <c r="F18" s="12" t="s">
        <v>175</v>
      </c>
      <c r="G18" s="13" t="s">
        <v>1200</v>
      </c>
      <c r="H18" s="12" t="s">
        <v>96</v>
      </c>
      <c r="I18" s="12" t="s">
        <v>112</v>
      </c>
      <c r="J18" s="14"/>
      <c r="K18" s="13" t="s">
        <v>1197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1201</v>
      </c>
      <c r="B19" s="12" t="s">
        <v>187</v>
      </c>
      <c r="C19" s="12" t="s">
        <v>49</v>
      </c>
      <c r="D19" s="13" t="s">
        <v>1202</v>
      </c>
      <c r="E19" s="12" t="s">
        <v>134</v>
      </c>
      <c r="F19" s="12" t="s">
        <v>175</v>
      </c>
      <c r="G19" s="13" t="s">
        <v>1200</v>
      </c>
      <c r="H19" s="12" t="s">
        <v>96</v>
      </c>
      <c r="I19" s="12" t="s">
        <v>112</v>
      </c>
      <c r="J19" s="14"/>
      <c r="K19" s="13" t="s">
        <v>1197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1203</v>
      </c>
      <c r="B20" s="12" t="s">
        <v>191</v>
      </c>
      <c r="C20" s="12" t="s">
        <v>49</v>
      </c>
      <c r="D20" s="13" t="s">
        <v>1204</v>
      </c>
      <c r="E20" s="12" t="s">
        <v>134</v>
      </c>
      <c r="F20" s="12" t="s">
        <v>193</v>
      </c>
      <c r="G20" s="13" t="s">
        <v>1205</v>
      </c>
      <c r="H20" s="12" t="s">
        <v>98</v>
      </c>
      <c r="I20" s="12" t="s">
        <v>113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1206</v>
      </c>
      <c r="B21" s="12" t="s">
        <v>196</v>
      </c>
      <c r="C21" s="12" t="s">
        <v>49</v>
      </c>
      <c r="D21" s="13" t="s">
        <v>1207</v>
      </c>
      <c r="E21" s="12" t="s">
        <v>134</v>
      </c>
      <c r="F21" s="12" t="s">
        <v>193</v>
      </c>
      <c r="G21" s="13" t="s">
        <v>1208</v>
      </c>
      <c r="H21" s="12" t="s">
        <v>98</v>
      </c>
      <c r="I21" s="12" t="s">
        <v>113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1209</v>
      </c>
      <c r="B22" s="12" t="s">
        <v>200</v>
      </c>
      <c r="C22" s="12" t="s">
        <v>49</v>
      </c>
      <c r="D22" s="13" t="s">
        <v>1210</v>
      </c>
      <c r="E22" s="12" t="s">
        <v>202</v>
      </c>
      <c r="F22" s="12" t="s">
        <v>202</v>
      </c>
      <c r="G22" s="13" t="s">
        <v>203</v>
      </c>
      <c r="H22" s="12" t="s">
        <v>98</v>
      </c>
      <c r="I22" s="12" t="s">
        <v>113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1211</v>
      </c>
      <c r="B23" s="12" t="s">
        <v>622</v>
      </c>
      <c r="C23" s="12" t="s">
        <v>1212</v>
      </c>
      <c r="D23" s="13" t="s">
        <v>1213</v>
      </c>
      <c r="E23" s="12" t="s">
        <v>134</v>
      </c>
      <c r="F23" s="12" t="s">
        <v>1214</v>
      </c>
      <c r="G23" s="13" t="s">
        <v>1215</v>
      </c>
      <c r="H23" s="12" t="s">
        <v>98</v>
      </c>
      <c r="I23" s="12" t="s">
        <v>113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1216</v>
      </c>
      <c r="B24" s="12" t="s">
        <v>205</v>
      </c>
      <c r="C24" s="12" t="s">
        <v>49</v>
      </c>
      <c r="D24" s="13" t="s">
        <v>1126</v>
      </c>
      <c r="E24" s="12" t="s">
        <v>134</v>
      </c>
      <c r="F24" s="12" t="s">
        <v>134</v>
      </c>
      <c r="G24" s="13" t="s">
        <v>582</v>
      </c>
      <c r="H24" s="12" t="s">
        <v>98</v>
      </c>
      <c r="I24" s="12" t="s">
        <v>113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1217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1218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116</v>
      </c>
      <c r="E4" s="6" t="n">
        <f aca="false">SUM(M9:M25)</f>
        <v>14</v>
      </c>
      <c r="G4" s="5" t="s">
        <v>14</v>
      </c>
      <c r="H4" s="7" t="n">
        <f aca="false">IF(B4=0,0,E4/B4)</f>
        <v>0.823529411764706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1219</v>
      </c>
      <c r="B9" s="12" t="s">
        <v>131</v>
      </c>
      <c r="C9" s="12" t="s">
        <v>50</v>
      </c>
      <c r="D9" s="13" t="s">
        <v>1220</v>
      </c>
      <c r="E9" s="12" t="s">
        <v>134</v>
      </c>
      <c r="F9" s="12" t="s">
        <v>135</v>
      </c>
      <c r="G9" s="13" t="s">
        <v>1221</v>
      </c>
      <c r="H9" s="12" t="s">
        <v>98</v>
      </c>
      <c r="I9" s="12" t="s">
        <v>113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1222</v>
      </c>
      <c r="B10" s="12" t="s">
        <v>162</v>
      </c>
      <c r="C10" s="12" t="s">
        <v>50</v>
      </c>
      <c r="D10" s="13" t="s">
        <v>1223</v>
      </c>
      <c r="E10" s="12" t="s">
        <v>134</v>
      </c>
      <c r="F10" s="12" t="s">
        <v>154</v>
      </c>
      <c r="G10" s="13" t="s">
        <v>1224</v>
      </c>
      <c r="H10" s="12" t="s">
        <v>98</v>
      </c>
      <c r="I10" s="12" t="s">
        <v>113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1225</v>
      </c>
      <c r="B11" s="12" t="s">
        <v>1133</v>
      </c>
      <c r="C11" s="12" t="s">
        <v>50</v>
      </c>
      <c r="D11" s="13" t="s">
        <v>1226</v>
      </c>
      <c r="E11" s="12" t="s">
        <v>134</v>
      </c>
      <c r="F11" s="12" t="s">
        <v>159</v>
      </c>
      <c r="G11" s="13" t="s">
        <v>1227</v>
      </c>
      <c r="H11" s="12" t="s">
        <v>98</v>
      </c>
      <c r="I11" s="12" t="s">
        <v>113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1228</v>
      </c>
      <c r="B12" s="12" t="s">
        <v>1229</v>
      </c>
      <c r="C12" s="12" t="s">
        <v>50</v>
      </c>
      <c r="D12" s="13" t="s">
        <v>1230</v>
      </c>
      <c r="E12" s="12" t="s">
        <v>134</v>
      </c>
      <c r="F12" s="12" t="s">
        <v>159</v>
      </c>
      <c r="G12" s="13" t="s">
        <v>1227</v>
      </c>
      <c r="H12" s="12" t="s">
        <v>98</v>
      </c>
      <c r="I12" s="12" t="s">
        <v>113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1231</v>
      </c>
      <c r="B13" s="12" t="s">
        <v>1232</v>
      </c>
      <c r="C13" s="12" t="s">
        <v>1233</v>
      </c>
      <c r="D13" s="13" t="s">
        <v>1234</v>
      </c>
      <c r="E13" s="12" t="s">
        <v>134</v>
      </c>
      <c r="F13" s="12" t="s">
        <v>159</v>
      </c>
      <c r="G13" s="13" t="s">
        <v>1235</v>
      </c>
      <c r="H13" s="12" t="s">
        <v>98</v>
      </c>
      <c r="I13" s="12" t="s">
        <v>113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1236</v>
      </c>
      <c r="B14" s="12" t="s">
        <v>182</v>
      </c>
      <c r="C14" s="12" t="s">
        <v>50</v>
      </c>
      <c r="D14" s="13" t="s">
        <v>1237</v>
      </c>
      <c r="E14" s="12" t="s">
        <v>134</v>
      </c>
      <c r="F14" s="12" t="s">
        <v>154</v>
      </c>
      <c r="G14" s="13" t="s">
        <v>1224</v>
      </c>
      <c r="H14" s="12" t="s">
        <v>98</v>
      </c>
      <c r="I14" s="12" t="s">
        <v>113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1238</v>
      </c>
      <c r="B15" s="12" t="s">
        <v>138</v>
      </c>
      <c r="C15" s="12" t="s">
        <v>50</v>
      </c>
      <c r="D15" s="13" t="s">
        <v>1239</v>
      </c>
      <c r="E15" s="12" t="s">
        <v>134</v>
      </c>
      <c r="F15" s="12" t="s">
        <v>134</v>
      </c>
      <c r="G15" s="13" t="s">
        <v>140</v>
      </c>
      <c r="H15" s="12" t="s">
        <v>98</v>
      </c>
      <c r="I15" s="12" t="s">
        <v>113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1240</v>
      </c>
      <c r="B16" s="12" t="s">
        <v>142</v>
      </c>
      <c r="C16" s="12" t="s">
        <v>50</v>
      </c>
      <c r="D16" s="13" t="s">
        <v>1241</v>
      </c>
      <c r="E16" s="12" t="s">
        <v>134</v>
      </c>
      <c r="F16" s="12" t="s">
        <v>144</v>
      </c>
      <c r="G16" s="13" t="s">
        <v>1242</v>
      </c>
      <c r="H16" s="12" t="s">
        <v>98</v>
      </c>
      <c r="I16" s="12" t="s">
        <v>113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1243</v>
      </c>
      <c r="B17" s="12" t="s">
        <v>147</v>
      </c>
      <c r="C17" s="12" t="s">
        <v>50</v>
      </c>
      <c r="D17" s="13" t="s">
        <v>1244</v>
      </c>
      <c r="E17" s="12" t="s">
        <v>134</v>
      </c>
      <c r="F17" s="12" t="s">
        <v>149</v>
      </c>
      <c r="G17" s="13" t="s">
        <v>1245</v>
      </c>
      <c r="H17" s="12" t="s">
        <v>98</v>
      </c>
      <c r="I17" s="12" t="s">
        <v>113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1246</v>
      </c>
      <c r="B18" s="12" t="s">
        <v>167</v>
      </c>
      <c r="C18" s="12" t="s">
        <v>50</v>
      </c>
      <c r="D18" s="13" t="s">
        <v>1247</v>
      </c>
      <c r="E18" s="12" t="s">
        <v>134</v>
      </c>
      <c r="F18" s="12" t="s">
        <v>169</v>
      </c>
      <c r="G18" s="13" t="s">
        <v>1248</v>
      </c>
      <c r="H18" s="12" t="s">
        <v>96</v>
      </c>
      <c r="I18" s="12" t="s">
        <v>112</v>
      </c>
      <c r="J18" s="14"/>
      <c r="K18" s="13" t="s">
        <v>1197</v>
      </c>
      <c r="L18" s="12" t="n">
        <v>1</v>
      </c>
      <c r="M18" s="12" t="n">
        <f aca="false">IF(OR(H18="not started",H18="partial",H18="implemented"),0,1)</f>
        <v>0</v>
      </c>
    </row>
    <row r="19" customFormat="false" ht="54" hidden="false" customHeight="true" outlineLevel="0" collapsed="false">
      <c r="A19" s="12" t="s">
        <v>1249</v>
      </c>
      <c r="B19" s="12" t="s">
        <v>173</v>
      </c>
      <c r="C19" s="12" t="s">
        <v>50</v>
      </c>
      <c r="D19" s="13" t="s">
        <v>1250</v>
      </c>
      <c r="E19" s="12" t="s">
        <v>134</v>
      </c>
      <c r="F19" s="12" t="s">
        <v>175</v>
      </c>
      <c r="G19" s="13" t="s">
        <v>1251</v>
      </c>
      <c r="H19" s="12" t="s">
        <v>96</v>
      </c>
      <c r="I19" s="12" t="s">
        <v>112</v>
      </c>
      <c r="J19" s="14"/>
      <c r="K19" s="13" t="s">
        <v>1197</v>
      </c>
      <c r="L19" s="12" t="n">
        <v>1</v>
      </c>
      <c r="M19" s="12" t="n">
        <f aca="false">IF(OR(H19="not started",H19="partial",H19="implemented"),0,1)</f>
        <v>0</v>
      </c>
    </row>
    <row r="20" customFormat="false" ht="54" hidden="false" customHeight="true" outlineLevel="0" collapsed="false">
      <c r="A20" s="12" t="s">
        <v>1252</v>
      </c>
      <c r="B20" s="12" t="s">
        <v>187</v>
      </c>
      <c r="C20" s="12" t="s">
        <v>50</v>
      </c>
      <c r="D20" s="13" t="s">
        <v>1253</v>
      </c>
      <c r="E20" s="12" t="s">
        <v>134</v>
      </c>
      <c r="F20" s="12" t="s">
        <v>175</v>
      </c>
      <c r="G20" s="13" t="s">
        <v>1251</v>
      </c>
      <c r="H20" s="12" t="s">
        <v>96</v>
      </c>
      <c r="I20" s="12" t="s">
        <v>112</v>
      </c>
      <c r="J20" s="14"/>
      <c r="K20" s="13" t="s">
        <v>1197</v>
      </c>
      <c r="L20" s="12" t="n">
        <v>1</v>
      </c>
      <c r="M20" s="12" t="n">
        <f aca="false">IF(OR(H20="not started",H20="partial",H20="implemented"),0,1)</f>
        <v>0</v>
      </c>
    </row>
    <row r="21" customFormat="false" ht="54" hidden="false" customHeight="true" outlineLevel="0" collapsed="false">
      <c r="A21" s="12" t="s">
        <v>1254</v>
      </c>
      <c r="B21" s="12" t="s">
        <v>191</v>
      </c>
      <c r="C21" s="12" t="s">
        <v>50</v>
      </c>
      <c r="D21" s="13" t="s">
        <v>1255</v>
      </c>
      <c r="E21" s="12" t="s">
        <v>134</v>
      </c>
      <c r="F21" s="12" t="s">
        <v>193</v>
      </c>
      <c r="G21" s="13" t="s">
        <v>1256</v>
      </c>
      <c r="H21" s="12" t="s">
        <v>98</v>
      </c>
      <c r="I21" s="12" t="s">
        <v>113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1257</v>
      </c>
      <c r="B22" s="12" t="s">
        <v>196</v>
      </c>
      <c r="C22" s="12" t="s">
        <v>50</v>
      </c>
      <c r="D22" s="13" t="s">
        <v>1258</v>
      </c>
      <c r="E22" s="12" t="s">
        <v>134</v>
      </c>
      <c r="F22" s="12" t="s">
        <v>193</v>
      </c>
      <c r="G22" s="13" t="s">
        <v>1259</v>
      </c>
      <c r="H22" s="12" t="s">
        <v>98</v>
      </c>
      <c r="I22" s="12" t="s">
        <v>113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1260</v>
      </c>
      <c r="B23" s="12" t="s">
        <v>200</v>
      </c>
      <c r="C23" s="12" t="s">
        <v>50</v>
      </c>
      <c r="D23" s="13" t="s">
        <v>1261</v>
      </c>
      <c r="E23" s="12" t="s">
        <v>202</v>
      </c>
      <c r="F23" s="12" t="s">
        <v>202</v>
      </c>
      <c r="G23" s="13" t="s">
        <v>203</v>
      </c>
      <c r="H23" s="12" t="s">
        <v>98</v>
      </c>
      <c r="I23" s="12" t="s">
        <v>113</v>
      </c>
      <c r="J23" s="14"/>
      <c r="K23" s="13"/>
      <c r="L23" s="12" t="n">
        <v>1</v>
      </c>
      <c r="M23" s="12" t="n">
        <f aca="false">IF(OR(H23="not started",H23="partial",H23="implemented"),0,1)</f>
        <v>1</v>
      </c>
    </row>
    <row r="24" customFormat="false" ht="54" hidden="false" customHeight="true" outlineLevel="0" collapsed="false">
      <c r="A24" s="12" t="s">
        <v>1262</v>
      </c>
      <c r="B24" s="12" t="s">
        <v>622</v>
      </c>
      <c r="C24" s="12" t="s">
        <v>1212</v>
      </c>
      <c r="D24" s="13" t="s">
        <v>1263</v>
      </c>
      <c r="E24" s="12" t="s">
        <v>134</v>
      </c>
      <c r="F24" s="12" t="s">
        <v>1214</v>
      </c>
      <c r="G24" s="13" t="s">
        <v>1264</v>
      </c>
      <c r="H24" s="12" t="s">
        <v>98</v>
      </c>
      <c r="I24" s="12" t="s">
        <v>113</v>
      </c>
      <c r="J24" s="14"/>
      <c r="K24" s="13"/>
      <c r="L24" s="12" t="n">
        <v>1</v>
      </c>
      <c r="M24" s="12" t="n">
        <f aca="false">IF(OR(H24="not started",H24="partial",H24="implemented"),0,1)</f>
        <v>1</v>
      </c>
    </row>
    <row r="25" customFormat="false" ht="54" hidden="false" customHeight="true" outlineLevel="0" collapsed="false">
      <c r="A25" s="12" t="s">
        <v>1265</v>
      </c>
      <c r="B25" s="12" t="s">
        <v>205</v>
      </c>
      <c r="C25" s="12" t="s">
        <v>50</v>
      </c>
      <c r="D25" s="13" t="s">
        <v>1266</v>
      </c>
      <c r="E25" s="12" t="s">
        <v>134</v>
      </c>
      <c r="F25" s="12" t="s">
        <v>134</v>
      </c>
      <c r="G25" s="13" t="s">
        <v>140</v>
      </c>
      <c r="H25" s="12" t="s">
        <v>98</v>
      </c>
      <c r="I25" s="12" t="s">
        <v>113</v>
      </c>
      <c r="J25" s="14"/>
      <c r="K25" s="13"/>
      <c r="L25" s="12" t="n">
        <v>1</v>
      </c>
      <c r="M25" s="12" t="n">
        <f aca="false">IF(OR(H25="not started",H25="partial",H25="implemented"),0,1)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1267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1268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116</v>
      </c>
      <c r="E4" s="6" t="n">
        <f aca="false">SUM(M9:M30)</f>
        <v>19</v>
      </c>
      <c r="G4" s="5" t="s">
        <v>14</v>
      </c>
      <c r="H4" s="7" t="n">
        <f aca="false">IF(B4=0,0,E4/B4)</f>
        <v>0.863636363636364</v>
      </c>
      <c r="J4" s="5" t="s">
        <v>15</v>
      </c>
      <c r="K4" s="6" t="str">
        <f aca="false">IF(COUNTIFS(E9:E25,"package",M9:M25,0)&gt;0,"open","complete")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1269</v>
      </c>
      <c r="B9" s="12" t="s">
        <v>131</v>
      </c>
      <c r="C9" s="12" t="s">
        <v>1270</v>
      </c>
      <c r="D9" s="13" t="s">
        <v>1271</v>
      </c>
      <c r="E9" s="12" t="s">
        <v>134</v>
      </c>
      <c r="F9" s="12" t="s">
        <v>135</v>
      </c>
      <c r="G9" s="13" t="s">
        <v>1272</v>
      </c>
      <c r="H9" s="12" t="s">
        <v>98</v>
      </c>
      <c r="I9" s="12" t="s">
        <v>113</v>
      </c>
      <c r="J9" s="14"/>
      <c r="K9" s="13"/>
      <c r="L9" s="12" t="n">
        <v>1</v>
      </c>
      <c r="M9" s="12" t="n">
        <f aca="false">IF(OR(H9="not started",H9="partial",H9="implemented"),0,1)</f>
        <v>1</v>
      </c>
    </row>
    <row r="10" customFormat="false" ht="54" hidden="false" customHeight="true" outlineLevel="0" collapsed="false">
      <c r="A10" s="12" t="s">
        <v>1273</v>
      </c>
      <c r="B10" s="12" t="s">
        <v>1274</v>
      </c>
      <c r="C10" s="12" t="s">
        <v>782</v>
      </c>
      <c r="D10" s="13" t="s">
        <v>1275</v>
      </c>
      <c r="E10" s="12" t="s">
        <v>134</v>
      </c>
      <c r="F10" s="12" t="s">
        <v>1276</v>
      </c>
      <c r="G10" s="13" t="s">
        <v>1277</v>
      </c>
      <c r="H10" s="12" t="s">
        <v>98</v>
      </c>
      <c r="I10" s="12" t="s">
        <v>113</v>
      </c>
      <c r="J10" s="14"/>
      <c r="K10" s="13"/>
      <c r="L10" s="12" t="n">
        <v>1</v>
      </c>
      <c r="M10" s="12" t="n">
        <f aca="false">IF(OR(H10="not started",H10="partial",H10="implemented"),0,1)</f>
        <v>1</v>
      </c>
    </row>
    <row r="11" customFormat="false" ht="54" hidden="false" customHeight="true" outlineLevel="0" collapsed="false">
      <c r="A11" s="12" t="s">
        <v>1278</v>
      </c>
      <c r="B11" s="12" t="s">
        <v>1279</v>
      </c>
      <c r="C11" s="12" t="s">
        <v>1086</v>
      </c>
      <c r="D11" s="13" t="s">
        <v>1280</v>
      </c>
      <c r="E11" s="12" t="s">
        <v>134</v>
      </c>
      <c r="F11" s="12" t="s">
        <v>154</v>
      </c>
      <c r="G11" s="13" t="s">
        <v>1281</v>
      </c>
      <c r="H11" s="12" t="s">
        <v>98</v>
      </c>
      <c r="I11" s="12" t="s">
        <v>113</v>
      </c>
      <c r="J11" s="14"/>
      <c r="K11" s="13"/>
      <c r="L11" s="12" t="n">
        <v>1</v>
      </c>
      <c r="M11" s="12" t="n">
        <f aca="false">IF(OR(H11="not started",H11="partial",H11="implemented"),0,1)</f>
        <v>1</v>
      </c>
    </row>
    <row r="12" customFormat="false" ht="54" hidden="false" customHeight="true" outlineLevel="0" collapsed="false">
      <c r="A12" s="12" t="s">
        <v>1282</v>
      </c>
      <c r="B12" s="12" t="s">
        <v>1283</v>
      </c>
      <c r="C12" s="12" t="s">
        <v>1283</v>
      </c>
      <c r="D12" s="13" t="s">
        <v>1284</v>
      </c>
      <c r="E12" s="12" t="s">
        <v>134</v>
      </c>
      <c r="F12" s="12" t="s">
        <v>159</v>
      </c>
      <c r="G12" s="13" t="s">
        <v>1285</v>
      </c>
      <c r="H12" s="12" t="s">
        <v>98</v>
      </c>
      <c r="I12" s="12" t="s">
        <v>113</v>
      </c>
      <c r="J12" s="14"/>
      <c r="K12" s="13"/>
      <c r="L12" s="12" t="n">
        <v>1</v>
      </c>
      <c r="M12" s="12" t="n">
        <f aca="false">IF(OR(H12="not started",H12="partial",H12="implemented"),0,1)</f>
        <v>1</v>
      </c>
    </row>
    <row r="13" customFormat="false" ht="54" hidden="false" customHeight="true" outlineLevel="0" collapsed="false">
      <c r="A13" s="12" t="s">
        <v>1286</v>
      </c>
      <c r="B13" s="12" t="s">
        <v>1287</v>
      </c>
      <c r="C13" s="12" t="s">
        <v>1086</v>
      </c>
      <c r="D13" s="13" t="s">
        <v>1288</v>
      </c>
      <c r="E13" s="12" t="s">
        <v>134</v>
      </c>
      <c r="F13" s="12" t="s">
        <v>159</v>
      </c>
      <c r="G13" s="13" t="s">
        <v>1285</v>
      </c>
      <c r="H13" s="12" t="s">
        <v>98</v>
      </c>
      <c r="I13" s="12" t="s">
        <v>113</v>
      </c>
      <c r="J13" s="14"/>
      <c r="K13" s="13"/>
      <c r="L13" s="12" t="n">
        <v>1</v>
      </c>
      <c r="M13" s="12" t="n">
        <f aca="false">IF(OR(H13="not started",H13="partial",H13="implemented"),0,1)</f>
        <v>1</v>
      </c>
    </row>
    <row r="14" customFormat="false" ht="54" hidden="false" customHeight="true" outlineLevel="0" collapsed="false">
      <c r="A14" s="12" t="s">
        <v>1289</v>
      </c>
      <c r="B14" s="12" t="s">
        <v>1290</v>
      </c>
      <c r="C14" s="12" t="s">
        <v>1086</v>
      </c>
      <c r="D14" s="13" t="s">
        <v>1291</v>
      </c>
      <c r="E14" s="12" t="s">
        <v>134</v>
      </c>
      <c r="F14" s="12" t="s">
        <v>159</v>
      </c>
      <c r="G14" s="13" t="s">
        <v>1285</v>
      </c>
      <c r="H14" s="12" t="s">
        <v>98</v>
      </c>
      <c r="I14" s="12" t="s">
        <v>113</v>
      </c>
      <c r="J14" s="14"/>
      <c r="K14" s="13"/>
      <c r="L14" s="12" t="n">
        <v>1</v>
      </c>
      <c r="M14" s="12" t="n">
        <f aca="false">IF(OR(H14="not started",H14="partial",H14="implemented"),0,1)</f>
        <v>1</v>
      </c>
    </row>
    <row r="15" customFormat="false" ht="54" hidden="false" customHeight="true" outlineLevel="0" collapsed="false">
      <c r="A15" s="12" t="s">
        <v>1292</v>
      </c>
      <c r="B15" s="12" t="s">
        <v>1293</v>
      </c>
      <c r="C15" s="12" t="s">
        <v>782</v>
      </c>
      <c r="D15" s="13" t="s">
        <v>1294</v>
      </c>
      <c r="E15" s="12" t="s">
        <v>134</v>
      </c>
      <c r="F15" s="12" t="s">
        <v>159</v>
      </c>
      <c r="G15" s="13" t="s">
        <v>1285</v>
      </c>
      <c r="H15" s="12" t="s">
        <v>98</v>
      </c>
      <c r="I15" s="12" t="s">
        <v>113</v>
      </c>
      <c r="J15" s="14"/>
      <c r="K15" s="13"/>
      <c r="L15" s="12" t="n">
        <v>1</v>
      </c>
      <c r="M15" s="12" t="n">
        <f aca="false">IF(OR(H15="not started",H15="partial",H15="implemented"),0,1)</f>
        <v>1</v>
      </c>
    </row>
    <row r="16" customFormat="false" ht="54" hidden="false" customHeight="true" outlineLevel="0" collapsed="false">
      <c r="A16" s="12" t="s">
        <v>1295</v>
      </c>
      <c r="B16" s="12" t="s">
        <v>162</v>
      </c>
      <c r="C16" s="12" t="s">
        <v>1296</v>
      </c>
      <c r="D16" s="13" t="s">
        <v>1297</v>
      </c>
      <c r="E16" s="12" t="s">
        <v>134</v>
      </c>
      <c r="F16" s="12" t="s">
        <v>159</v>
      </c>
      <c r="G16" s="13" t="s">
        <v>1285</v>
      </c>
      <c r="H16" s="12" t="s">
        <v>98</v>
      </c>
      <c r="I16" s="12" t="s">
        <v>113</v>
      </c>
      <c r="J16" s="14"/>
      <c r="K16" s="13"/>
      <c r="L16" s="12" t="n">
        <v>1</v>
      </c>
      <c r="M16" s="12" t="n">
        <f aca="false">IF(OR(H16="not started",H16="partial",H16="implemented"),0,1)</f>
        <v>1</v>
      </c>
    </row>
    <row r="17" customFormat="false" ht="54" hidden="false" customHeight="true" outlineLevel="0" collapsed="false">
      <c r="A17" s="12" t="s">
        <v>1298</v>
      </c>
      <c r="B17" s="12" t="s">
        <v>182</v>
      </c>
      <c r="C17" s="12" t="s">
        <v>1184</v>
      </c>
      <c r="D17" s="13" t="s">
        <v>1299</v>
      </c>
      <c r="E17" s="12" t="s">
        <v>134</v>
      </c>
      <c r="F17" s="12" t="s">
        <v>154</v>
      </c>
      <c r="G17" s="13" t="s">
        <v>1300</v>
      </c>
      <c r="H17" s="12" t="s">
        <v>98</v>
      </c>
      <c r="I17" s="12" t="s">
        <v>113</v>
      </c>
      <c r="J17" s="14"/>
      <c r="K17" s="13"/>
      <c r="L17" s="12" t="n">
        <v>1</v>
      </c>
      <c r="M17" s="12" t="n">
        <f aca="false">IF(OR(H17="not started",H17="partial",H17="implemented"),0,1)</f>
        <v>1</v>
      </c>
    </row>
    <row r="18" customFormat="false" ht="54" hidden="false" customHeight="true" outlineLevel="0" collapsed="false">
      <c r="A18" s="12" t="s">
        <v>1301</v>
      </c>
      <c r="B18" s="12" t="s">
        <v>138</v>
      </c>
      <c r="C18" s="12" t="s">
        <v>51</v>
      </c>
      <c r="D18" s="13" t="s">
        <v>1302</v>
      </c>
      <c r="E18" s="12" t="s">
        <v>134</v>
      </c>
      <c r="F18" s="12" t="s">
        <v>134</v>
      </c>
      <c r="G18" s="13" t="s">
        <v>140</v>
      </c>
      <c r="H18" s="12" t="s">
        <v>98</v>
      </c>
      <c r="I18" s="12" t="s">
        <v>113</v>
      </c>
      <c r="J18" s="14"/>
      <c r="K18" s="13"/>
      <c r="L18" s="12" t="n">
        <v>1</v>
      </c>
      <c r="M18" s="12" t="n">
        <f aca="false">IF(OR(H18="not started",H18="partial",H18="implemented"),0,1)</f>
        <v>1</v>
      </c>
    </row>
    <row r="19" customFormat="false" ht="54" hidden="false" customHeight="true" outlineLevel="0" collapsed="false">
      <c r="A19" s="12" t="s">
        <v>1303</v>
      </c>
      <c r="B19" s="12" t="s">
        <v>142</v>
      </c>
      <c r="C19" s="12" t="s">
        <v>51</v>
      </c>
      <c r="D19" s="13" t="s">
        <v>1304</v>
      </c>
      <c r="E19" s="12" t="s">
        <v>134</v>
      </c>
      <c r="F19" s="12" t="s">
        <v>144</v>
      </c>
      <c r="G19" s="13" t="s">
        <v>1305</v>
      </c>
      <c r="H19" s="12" t="s">
        <v>98</v>
      </c>
      <c r="I19" s="12" t="s">
        <v>113</v>
      </c>
      <c r="J19" s="14"/>
      <c r="K19" s="13"/>
      <c r="L19" s="12" t="n">
        <v>1</v>
      </c>
      <c r="M19" s="12" t="n">
        <f aca="false">IF(OR(H19="not started",H19="partial",H19="implemented"),0,1)</f>
        <v>1</v>
      </c>
    </row>
    <row r="20" customFormat="false" ht="54" hidden="false" customHeight="true" outlineLevel="0" collapsed="false">
      <c r="A20" s="12" t="s">
        <v>1306</v>
      </c>
      <c r="B20" s="12" t="s">
        <v>147</v>
      </c>
      <c r="C20" s="12" t="s">
        <v>51</v>
      </c>
      <c r="D20" s="13" t="s">
        <v>1307</v>
      </c>
      <c r="E20" s="12" t="s">
        <v>134</v>
      </c>
      <c r="F20" s="12" t="s">
        <v>149</v>
      </c>
      <c r="G20" s="13" t="s">
        <v>1308</v>
      </c>
      <c r="H20" s="12" t="s">
        <v>98</v>
      </c>
      <c r="I20" s="12" t="s">
        <v>113</v>
      </c>
      <c r="J20" s="14"/>
      <c r="K20" s="13"/>
      <c r="L20" s="12" t="n">
        <v>1</v>
      </c>
      <c r="M20" s="12" t="n">
        <f aca="false">IF(OR(H20="not started",H20="partial",H20="implemented"),0,1)</f>
        <v>1</v>
      </c>
    </row>
    <row r="21" customFormat="false" ht="54" hidden="false" customHeight="true" outlineLevel="0" collapsed="false">
      <c r="A21" s="12" t="s">
        <v>1309</v>
      </c>
      <c r="B21" s="12" t="s">
        <v>1310</v>
      </c>
      <c r="C21" s="12" t="s">
        <v>51</v>
      </c>
      <c r="D21" s="13" t="s">
        <v>1311</v>
      </c>
      <c r="E21" s="12" t="s">
        <v>134</v>
      </c>
      <c r="F21" s="12" t="s">
        <v>134</v>
      </c>
      <c r="G21" s="13" t="s">
        <v>1312</v>
      </c>
      <c r="H21" s="12" t="s">
        <v>98</v>
      </c>
      <c r="I21" s="12" t="s">
        <v>113</v>
      </c>
      <c r="J21" s="14"/>
      <c r="K21" s="13"/>
      <c r="L21" s="12" t="n">
        <v>1</v>
      </c>
      <c r="M21" s="12" t="n">
        <f aca="false">IF(OR(H21="not started",H21="partial",H21="implemented"),0,1)</f>
        <v>1</v>
      </c>
    </row>
    <row r="22" customFormat="false" ht="54" hidden="false" customHeight="true" outlineLevel="0" collapsed="false">
      <c r="A22" s="12" t="s">
        <v>1313</v>
      </c>
      <c r="B22" s="12" t="s">
        <v>622</v>
      </c>
      <c r="C22" s="12" t="s">
        <v>51</v>
      </c>
      <c r="D22" s="13" t="s">
        <v>1314</v>
      </c>
      <c r="E22" s="12" t="s">
        <v>134</v>
      </c>
      <c r="F22" s="12" t="s">
        <v>159</v>
      </c>
      <c r="G22" s="13" t="s">
        <v>1315</v>
      </c>
      <c r="H22" s="12" t="s">
        <v>98</v>
      </c>
      <c r="I22" s="12" t="s">
        <v>113</v>
      </c>
      <c r="J22" s="14"/>
      <c r="K22" s="13"/>
      <c r="L22" s="12" t="n">
        <v>1</v>
      </c>
      <c r="M22" s="12" t="n">
        <f aca="false">IF(OR(H22="not started",H22="partial",H22="implemented"),0,1)</f>
        <v>1</v>
      </c>
    </row>
    <row r="23" customFormat="false" ht="54" hidden="false" customHeight="true" outlineLevel="0" collapsed="false">
      <c r="A23" s="12" t="s">
        <v>1316</v>
      </c>
      <c r="B23" s="12" t="s">
        <v>167</v>
      </c>
      <c r="C23" s="12" t="s">
        <v>51</v>
      </c>
      <c r="D23" s="13" t="s">
        <v>1317</v>
      </c>
      <c r="E23" s="12" t="s">
        <v>134</v>
      </c>
      <c r="F23" s="12" t="s">
        <v>169</v>
      </c>
      <c r="G23" s="13" t="s">
        <v>1318</v>
      </c>
      <c r="H23" s="12" t="s">
        <v>96</v>
      </c>
      <c r="I23" s="12" t="s">
        <v>112</v>
      </c>
      <c r="J23" s="14"/>
      <c r="K23" s="13" t="s">
        <v>1319</v>
      </c>
      <c r="L23" s="12" t="n">
        <v>1</v>
      </c>
      <c r="M23" s="12" t="n">
        <f aca="false">IF(OR(H23="not started",H23="partial",H23="implemented"),0,1)</f>
        <v>0</v>
      </c>
    </row>
    <row r="24" customFormat="false" ht="54" hidden="false" customHeight="true" outlineLevel="0" collapsed="false">
      <c r="A24" s="12" t="s">
        <v>1320</v>
      </c>
      <c r="B24" s="12" t="s">
        <v>173</v>
      </c>
      <c r="C24" s="12" t="s">
        <v>51</v>
      </c>
      <c r="D24" s="13" t="s">
        <v>1321</v>
      </c>
      <c r="E24" s="12" t="s">
        <v>134</v>
      </c>
      <c r="F24" s="12" t="s">
        <v>175</v>
      </c>
      <c r="G24" s="13" t="s">
        <v>1322</v>
      </c>
      <c r="H24" s="12" t="s">
        <v>96</v>
      </c>
      <c r="I24" s="12" t="s">
        <v>112</v>
      </c>
      <c r="J24" s="14"/>
      <c r="K24" s="13" t="s">
        <v>1319</v>
      </c>
      <c r="L24" s="12" t="n">
        <v>1</v>
      </c>
      <c r="M24" s="12" t="n">
        <f aca="false">IF(OR(H24="not started",H24="partial",H24="implemented"),0,1)</f>
        <v>0</v>
      </c>
    </row>
    <row r="25" customFormat="false" ht="54" hidden="false" customHeight="true" outlineLevel="0" collapsed="false">
      <c r="A25" s="12" t="s">
        <v>1323</v>
      </c>
      <c r="B25" s="12" t="s">
        <v>187</v>
      </c>
      <c r="C25" s="12" t="s">
        <v>51</v>
      </c>
      <c r="D25" s="13" t="s">
        <v>1324</v>
      </c>
      <c r="E25" s="12" t="s">
        <v>134</v>
      </c>
      <c r="F25" s="12" t="s">
        <v>175</v>
      </c>
      <c r="G25" s="13" t="s">
        <v>1322</v>
      </c>
      <c r="H25" s="12" t="s">
        <v>96</v>
      </c>
      <c r="I25" s="12" t="s">
        <v>112</v>
      </c>
      <c r="J25" s="14"/>
      <c r="K25" s="13" t="s">
        <v>1319</v>
      </c>
      <c r="L25" s="12" t="n">
        <v>1</v>
      </c>
      <c r="M25" s="12" t="n">
        <f aca="false">IF(OR(H25="not started",H25="partial",H25="implemented"),0,1)</f>
        <v>0</v>
      </c>
    </row>
    <row r="26" customFormat="false" ht="54" hidden="false" customHeight="true" outlineLevel="0" collapsed="false">
      <c r="A26" s="12" t="s">
        <v>1325</v>
      </c>
      <c r="B26" s="12" t="s">
        <v>191</v>
      </c>
      <c r="C26" s="12" t="s">
        <v>51</v>
      </c>
      <c r="D26" s="13" t="s">
        <v>1326</v>
      </c>
      <c r="E26" s="12" t="s">
        <v>134</v>
      </c>
      <c r="F26" s="12" t="s">
        <v>193</v>
      </c>
      <c r="G26" s="13" t="s">
        <v>1327</v>
      </c>
      <c r="H26" s="12" t="s">
        <v>98</v>
      </c>
      <c r="I26" s="12" t="s">
        <v>113</v>
      </c>
      <c r="J26" s="14"/>
      <c r="K26" s="13"/>
      <c r="L26" s="12" t="n">
        <v>1</v>
      </c>
      <c r="M26" s="12" t="n">
        <f aca="false">IF(OR(H26="not started",H26="partial",H26="implemented"),0,1)</f>
        <v>1</v>
      </c>
    </row>
    <row r="27" customFormat="false" ht="54" hidden="false" customHeight="true" outlineLevel="0" collapsed="false">
      <c r="A27" s="12" t="s">
        <v>1328</v>
      </c>
      <c r="B27" s="12" t="s">
        <v>196</v>
      </c>
      <c r="C27" s="12" t="s">
        <v>51</v>
      </c>
      <c r="D27" s="13" t="s">
        <v>1329</v>
      </c>
      <c r="E27" s="12" t="s">
        <v>134</v>
      </c>
      <c r="F27" s="12" t="s">
        <v>193</v>
      </c>
      <c r="G27" s="13" t="s">
        <v>1330</v>
      </c>
      <c r="H27" s="12" t="s">
        <v>98</v>
      </c>
      <c r="I27" s="12" t="s">
        <v>113</v>
      </c>
      <c r="J27" s="14"/>
      <c r="K27" s="13"/>
      <c r="L27" s="12" t="n">
        <v>1</v>
      </c>
      <c r="M27" s="12" t="n">
        <f aca="false">IF(OR(H27="not started",H27="partial",H27="implemented"),0,1)</f>
        <v>1</v>
      </c>
    </row>
    <row r="28" customFormat="false" ht="54" hidden="false" customHeight="true" outlineLevel="0" collapsed="false">
      <c r="A28" s="12" t="s">
        <v>1331</v>
      </c>
      <c r="B28" s="12" t="s">
        <v>200</v>
      </c>
      <c r="C28" s="12" t="s">
        <v>51</v>
      </c>
      <c r="D28" s="13" t="s">
        <v>1332</v>
      </c>
      <c r="E28" s="12" t="s">
        <v>202</v>
      </c>
      <c r="F28" s="12" t="s">
        <v>202</v>
      </c>
      <c r="G28" s="13" t="s">
        <v>203</v>
      </c>
      <c r="H28" s="12" t="s">
        <v>98</v>
      </c>
      <c r="I28" s="12" t="s">
        <v>113</v>
      </c>
      <c r="J28" s="14"/>
      <c r="K28" s="13"/>
      <c r="L28" s="12" t="n">
        <v>1</v>
      </c>
      <c r="M28" s="12" t="n">
        <f aca="false">IF(OR(H28="not started",H28="partial",H28="implemented"),0,1)</f>
        <v>1</v>
      </c>
    </row>
    <row r="29" customFormat="false" ht="54" hidden="false" customHeight="true" outlineLevel="0" collapsed="false">
      <c r="A29" s="12" t="s">
        <v>1333</v>
      </c>
      <c r="B29" s="12" t="s">
        <v>1212</v>
      </c>
      <c r="C29" s="12" t="s">
        <v>51</v>
      </c>
      <c r="D29" s="13" t="s">
        <v>1334</v>
      </c>
      <c r="E29" s="12" t="s">
        <v>134</v>
      </c>
      <c r="F29" s="12" t="s">
        <v>1214</v>
      </c>
      <c r="G29" s="13" t="s">
        <v>1335</v>
      </c>
      <c r="H29" s="12" t="s">
        <v>98</v>
      </c>
      <c r="I29" s="12" t="s">
        <v>113</v>
      </c>
      <c r="J29" s="14"/>
      <c r="K29" s="13"/>
      <c r="L29" s="12" t="n">
        <v>1</v>
      </c>
      <c r="M29" s="12" t="n">
        <f aca="false">IF(OR(H29="not started",H29="partial",H29="implemented"),0,1)</f>
        <v>1</v>
      </c>
    </row>
    <row r="30" customFormat="false" ht="54" hidden="false" customHeight="true" outlineLevel="0" collapsed="false">
      <c r="A30" s="12" t="s">
        <v>1336</v>
      </c>
      <c r="B30" s="12" t="s">
        <v>205</v>
      </c>
      <c r="C30" s="12" t="s">
        <v>51</v>
      </c>
      <c r="D30" s="13" t="s">
        <v>1337</v>
      </c>
      <c r="E30" s="12" t="s">
        <v>134</v>
      </c>
      <c r="F30" s="12" t="s">
        <v>134</v>
      </c>
      <c r="G30" s="13" t="s">
        <v>140</v>
      </c>
      <c r="H30" s="12" t="s">
        <v>98</v>
      </c>
      <c r="I30" s="12" t="s">
        <v>113</v>
      </c>
      <c r="J30" s="14"/>
      <c r="K30" s="13"/>
      <c r="L30" s="12" t="n">
        <v>1</v>
      </c>
      <c r="M30" s="12" t="n">
        <f aca="false">IF(OR(H30="not started",H30="partial",H30="implemented"),0,1)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116</v>
      </c>
      <c r="E4" s="6" t="n">
        <f aca="false">SUM(M9:M27)</f>
        <v>15</v>
      </c>
      <c r="G4" s="5" t="s">
        <v>14</v>
      </c>
      <c r="H4" s="7" t="n">
        <f aca="false">IF(B4=0,0,E4/B4)</f>
        <v>0.789473684210526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577</v>
      </c>
      <c r="B9" s="12" t="s">
        <v>131</v>
      </c>
      <c r="C9" s="12" t="s">
        <v>1340</v>
      </c>
      <c r="D9" s="13" t="s">
        <v>1341</v>
      </c>
      <c r="E9" s="12" t="s">
        <v>134</v>
      </c>
      <c r="F9" s="12" t="s">
        <v>135</v>
      </c>
      <c r="G9" s="13" t="s">
        <v>1342</v>
      </c>
      <c r="H9" s="12" t="s">
        <v>98</v>
      </c>
      <c r="I9" s="12" t="s">
        <v>113</v>
      </c>
      <c r="J9" s="14" t="n">
        <v>46229</v>
      </c>
      <c r="K9" s="13"/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580</v>
      </c>
      <c r="B10" s="12" t="s">
        <v>1343</v>
      </c>
      <c r="C10" s="12" t="s">
        <v>1344</v>
      </c>
      <c r="D10" s="13" t="s">
        <v>1345</v>
      </c>
      <c r="E10" s="12" t="s">
        <v>134</v>
      </c>
      <c r="F10" s="12" t="s">
        <v>154</v>
      </c>
      <c r="G10" s="13" t="s">
        <v>1346</v>
      </c>
      <c r="H10" s="12" t="s">
        <v>98</v>
      </c>
      <c r="I10" s="12" t="s">
        <v>113</v>
      </c>
      <c r="J10" s="14" t="n">
        <v>46229</v>
      </c>
      <c r="K10" s="13"/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583</v>
      </c>
      <c r="B11" s="12" t="s">
        <v>138</v>
      </c>
      <c r="C11" s="12" t="s">
        <v>52</v>
      </c>
      <c r="D11" s="13" t="s">
        <v>1347</v>
      </c>
      <c r="E11" s="12" t="s">
        <v>134</v>
      </c>
      <c r="F11" s="12" t="s">
        <v>134</v>
      </c>
      <c r="G11" s="13" t="s">
        <v>582</v>
      </c>
      <c r="H11" s="12" t="s">
        <v>98</v>
      </c>
      <c r="I11" s="12" t="s">
        <v>113</v>
      </c>
      <c r="J11" s="14" t="n">
        <v>46229</v>
      </c>
      <c r="K11" s="13"/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586</v>
      </c>
      <c r="B12" s="12" t="s">
        <v>142</v>
      </c>
      <c r="C12" s="12" t="s">
        <v>52</v>
      </c>
      <c r="D12" s="13" t="s">
        <v>1348</v>
      </c>
      <c r="E12" s="12" t="s">
        <v>134</v>
      </c>
      <c r="F12" s="12" t="s">
        <v>144</v>
      </c>
      <c r="G12" s="13" t="s">
        <v>1349</v>
      </c>
      <c r="H12" s="12" t="s">
        <v>98</v>
      </c>
      <c r="I12" s="12" t="s">
        <v>113</v>
      </c>
      <c r="J12" s="14" t="n">
        <v>46229</v>
      </c>
      <c r="K12" s="13"/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589</v>
      </c>
      <c r="B13" s="12" t="s">
        <v>147</v>
      </c>
      <c r="C13" s="12" t="s">
        <v>52</v>
      </c>
      <c r="D13" s="13" t="s">
        <v>1350</v>
      </c>
      <c r="E13" s="12" t="s">
        <v>134</v>
      </c>
      <c r="F13" s="12" t="s">
        <v>149</v>
      </c>
      <c r="G13" s="13" t="s">
        <v>1351</v>
      </c>
      <c r="H13" s="12" t="s">
        <v>98</v>
      </c>
      <c r="I13" s="12" t="s">
        <v>113</v>
      </c>
      <c r="J13" s="14" t="n">
        <v>46229</v>
      </c>
      <c r="K13" s="13"/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592</v>
      </c>
      <c r="B14" s="12" t="s">
        <v>152</v>
      </c>
      <c r="C14" s="12" t="s">
        <v>52</v>
      </c>
      <c r="D14" s="13" t="s">
        <v>1352</v>
      </c>
      <c r="E14" s="12" t="s">
        <v>134</v>
      </c>
      <c r="F14" s="12" t="s">
        <v>154</v>
      </c>
      <c r="G14" s="13" t="s">
        <v>1346</v>
      </c>
      <c r="H14" s="12" t="s">
        <v>98</v>
      </c>
      <c r="I14" s="12" t="s">
        <v>113</v>
      </c>
      <c r="J14" s="14" t="n">
        <v>46229</v>
      </c>
      <c r="K14" s="13"/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595</v>
      </c>
      <c r="B15" s="12" t="s">
        <v>157</v>
      </c>
      <c r="C15" s="12" t="s">
        <v>1353</v>
      </c>
      <c r="D15" s="13" t="s">
        <v>1354</v>
      </c>
      <c r="E15" s="12" t="s">
        <v>134</v>
      </c>
      <c r="F15" s="12" t="s">
        <v>159</v>
      </c>
      <c r="G15" s="13" t="s">
        <v>1355</v>
      </c>
      <c r="H15" s="12" t="s">
        <v>98</v>
      </c>
      <c r="I15" s="12" t="s">
        <v>113</v>
      </c>
      <c r="J15" s="14" t="n">
        <v>46229</v>
      </c>
      <c r="K15" s="13"/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597</v>
      </c>
      <c r="B16" s="12" t="s">
        <v>1293</v>
      </c>
      <c r="C16" s="12" t="s">
        <v>1356</v>
      </c>
      <c r="D16" s="13" t="s">
        <v>1357</v>
      </c>
      <c r="E16" s="12" t="s">
        <v>134</v>
      </c>
      <c r="F16" s="12" t="s">
        <v>159</v>
      </c>
      <c r="G16" s="13" t="s">
        <v>1355</v>
      </c>
      <c r="H16" s="12" t="s">
        <v>98</v>
      </c>
      <c r="I16" s="12" t="s">
        <v>113</v>
      </c>
      <c r="J16" s="14" t="n">
        <v>46229</v>
      </c>
      <c r="K16" s="13"/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600</v>
      </c>
      <c r="B17" s="12" t="s">
        <v>162</v>
      </c>
      <c r="C17" s="12" t="s">
        <v>1358</v>
      </c>
      <c r="D17" s="13" t="s">
        <v>1359</v>
      </c>
      <c r="E17" s="12" t="s">
        <v>134</v>
      </c>
      <c r="F17" s="12" t="s">
        <v>164</v>
      </c>
      <c r="G17" s="13" t="s">
        <v>1355</v>
      </c>
      <c r="H17" s="12" t="s">
        <v>98</v>
      </c>
      <c r="I17" s="12" t="s">
        <v>113</v>
      </c>
      <c r="J17" s="14" t="n">
        <v>46229</v>
      </c>
      <c r="K17" s="13"/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604</v>
      </c>
      <c r="B18" s="12" t="s">
        <v>167</v>
      </c>
      <c r="C18" s="12" t="s">
        <v>52</v>
      </c>
      <c r="D18" s="13" t="s">
        <v>1360</v>
      </c>
      <c r="E18" s="12" t="s">
        <v>134</v>
      </c>
      <c r="F18" s="12" t="s">
        <v>169</v>
      </c>
      <c r="G18" s="13" t="s">
        <v>1361</v>
      </c>
      <c r="H18" s="12" t="s">
        <v>100</v>
      </c>
      <c r="I18" s="12" t="s">
        <v>112</v>
      </c>
      <c r="J18" s="14" t="n">
        <v>46229</v>
      </c>
      <c r="K18" s="13" t="s">
        <v>1362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608</v>
      </c>
      <c r="B19" s="12" t="s">
        <v>173</v>
      </c>
      <c r="C19" s="12" t="s">
        <v>52</v>
      </c>
      <c r="D19" s="13" t="s">
        <v>1363</v>
      </c>
      <c r="E19" s="12" t="s">
        <v>134</v>
      </c>
      <c r="F19" s="12" t="s">
        <v>175</v>
      </c>
      <c r="G19" s="13" t="s">
        <v>1364</v>
      </c>
      <c r="H19" s="12" t="s">
        <v>96</v>
      </c>
      <c r="I19" s="12" t="s">
        <v>112</v>
      </c>
      <c r="J19" s="14"/>
      <c r="K19" s="13" t="s">
        <v>903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610</v>
      </c>
      <c r="B20" s="12" t="s">
        <v>179</v>
      </c>
      <c r="C20" s="12" t="s">
        <v>52</v>
      </c>
      <c r="D20" s="13" t="s">
        <v>1365</v>
      </c>
      <c r="E20" s="12" t="s">
        <v>134</v>
      </c>
      <c r="F20" s="12" t="s">
        <v>175</v>
      </c>
      <c r="G20" s="13" t="s">
        <v>1366</v>
      </c>
      <c r="H20" s="12" t="s">
        <v>96</v>
      </c>
      <c r="I20" s="12" t="s">
        <v>112</v>
      </c>
      <c r="J20" s="14"/>
      <c r="K20" s="13" t="s">
        <v>804</v>
      </c>
      <c r="M20" s="12" t="n">
        <f aca="false">IF(OR(AND(I20="yes",H20="verified"),AND(I20="no",OR(H20="tested",H20="verified")),AND(H20="not applicable",K20&lt;&gt;"")),1,0)</f>
        <v>0</v>
      </c>
    </row>
    <row r="21" customFormat="false" ht="54" hidden="false" customHeight="true" outlineLevel="0" collapsed="false">
      <c r="A21" s="12" t="s">
        <v>613</v>
      </c>
      <c r="B21" s="12" t="s">
        <v>1279</v>
      </c>
      <c r="C21" s="12" t="s">
        <v>1340</v>
      </c>
      <c r="D21" s="13" t="s">
        <v>1367</v>
      </c>
      <c r="E21" s="12" t="s">
        <v>134</v>
      </c>
      <c r="F21" s="12" t="s">
        <v>159</v>
      </c>
      <c r="G21" s="13" t="s">
        <v>1368</v>
      </c>
      <c r="H21" s="12" t="s">
        <v>98</v>
      </c>
      <c r="I21" s="12" t="s">
        <v>113</v>
      </c>
      <c r="J21" s="14" t="n">
        <v>46229</v>
      </c>
      <c r="K21" s="13"/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616</v>
      </c>
      <c r="B22" s="12" t="s">
        <v>187</v>
      </c>
      <c r="C22" s="12" t="s">
        <v>52</v>
      </c>
      <c r="D22" s="13" t="s">
        <v>1369</v>
      </c>
      <c r="E22" s="12" t="s">
        <v>134</v>
      </c>
      <c r="F22" s="12" t="s">
        <v>175</v>
      </c>
      <c r="G22" s="13" t="s">
        <v>1364</v>
      </c>
      <c r="H22" s="12" t="s">
        <v>96</v>
      </c>
      <c r="I22" s="12" t="s">
        <v>112</v>
      </c>
      <c r="J22" s="14"/>
      <c r="K22" s="13" t="s">
        <v>908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619</v>
      </c>
      <c r="B23" s="12" t="s">
        <v>191</v>
      </c>
      <c r="C23" s="12" t="s">
        <v>52</v>
      </c>
      <c r="D23" s="13" t="s">
        <v>1370</v>
      </c>
      <c r="E23" s="12" t="s">
        <v>134</v>
      </c>
      <c r="F23" s="12" t="s">
        <v>193</v>
      </c>
      <c r="G23" s="13" t="s">
        <v>1371</v>
      </c>
      <c r="H23" s="12" t="s">
        <v>98</v>
      </c>
      <c r="I23" s="12" t="s">
        <v>113</v>
      </c>
      <c r="J23" s="14" t="n">
        <v>46229</v>
      </c>
      <c r="K23" s="13"/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621</v>
      </c>
      <c r="B24" s="12" t="s">
        <v>196</v>
      </c>
      <c r="C24" s="12" t="s">
        <v>52</v>
      </c>
      <c r="D24" s="13" t="s">
        <v>1372</v>
      </c>
      <c r="E24" s="12" t="s">
        <v>134</v>
      </c>
      <c r="F24" s="12" t="s">
        <v>193</v>
      </c>
      <c r="G24" s="13" t="s">
        <v>1373</v>
      </c>
      <c r="H24" s="12" t="s">
        <v>98</v>
      </c>
      <c r="I24" s="12" t="s">
        <v>113</v>
      </c>
      <c r="J24" s="14" t="n">
        <v>46229</v>
      </c>
      <c r="K24" s="13"/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626</v>
      </c>
      <c r="B25" s="12" t="s">
        <v>200</v>
      </c>
      <c r="C25" s="12" t="s">
        <v>52</v>
      </c>
      <c r="D25" s="13" t="s">
        <v>1374</v>
      </c>
      <c r="E25" s="12" t="s">
        <v>202</v>
      </c>
      <c r="F25" s="12" t="s">
        <v>202</v>
      </c>
      <c r="G25" s="13" t="s">
        <v>203</v>
      </c>
      <c r="H25" s="12" t="s">
        <v>98</v>
      </c>
      <c r="I25" s="12" t="s">
        <v>113</v>
      </c>
      <c r="J25" s="14" t="n">
        <v>46229</v>
      </c>
      <c r="K25" s="13"/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1375</v>
      </c>
      <c r="B26" s="12" t="s">
        <v>622</v>
      </c>
      <c r="C26" s="12" t="s">
        <v>52</v>
      </c>
      <c r="D26" s="13" t="s">
        <v>1376</v>
      </c>
      <c r="E26" s="12" t="s">
        <v>134</v>
      </c>
      <c r="F26" s="12" t="s">
        <v>134</v>
      </c>
      <c r="G26" s="13" t="s">
        <v>1377</v>
      </c>
      <c r="H26" s="12" t="s">
        <v>98</v>
      </c>
      <c r="I26" s="12" t="s">
        <v>113</v>
      </c>
      <c r="J26" s="14" t="n">
        <v>46229</v>
      </c>
      <c r="K26" s="13"/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1378</v>
      </c>
      <c r="B27" s="12" t="s">
        <v>205</v>
      </c>
      <c r="C27" s="12" t="s">
        <v>52</v>
      </c>
      <c r="D27" s="13" t="s">
        <v>1379</v>
      </c>
      <c r="E27" s="12" t="s">
        <v>134</v>
      </c>
      <c r="F27" s="12" t="s">
        <v>134</v>
      </c>
      <c r="G27" s="13" t="s">
        <v>1380</v>
      </c>
      <c r="H27" s="12" t="s">
        <v>96</v>
      </c>
      <c r="I27" s="12" t="s">
        <v>112</v>
      </c>
      <c r="J27" s="14"/>
      <c r="K27" s="13" t="s">
        <v>1381</v>
      </c>
      <c r="M27" s="12" t="n">
        <f aca="false">IF(OR(AND(I27="yes",H27="verified"),AND(I27="no",OR(H27="tested",H27="verified")),AND(H27="not applicable",K27&lt;&gt;"")),1,0)</f>
        <v>0</v>
      </c>
    </row>
  </sheetData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1382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1383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116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772</v>
      </c>
      <c r="B9" s="12" t="s">
        <v>131</v>
      </c>
      <c r="C9" s="12" t="s">
        <v>1384</v>
      </c>
      <c r="D9" s="13" t="s">
        <v>1385</v>
      </c>
      <c r="E9" s="12" t="s">
        <v>134</v>
      </c>
      <c r="F9" s="12" t="s">
        <v>135</v>
      </c>
      <c r="G9" s="13" t="s">
        <v>1386</v>
      </c>
      <c r="H9" s="12" t="s">
        <v>98</v>
      </c>
      <c r="I9" s="12" t="s">
        <v>113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775</v>
      </c>
      <c r="B10" s="12" t="s">
        <v>1343</v>
      </c>
      <c r="C10" s="12" t="s">
        <v>1184</v>
      </c>
      <c r="D10" s="13" t="s">
        <v>1387</v>
      </c>
      <c r="E10" s="12" t="s">
        <v>134</v>
      </c>
      <c r="F10" s="12" t="s">
        <v>154</v>
      </c>
      <c r="G10" s="13" t="s">
        <v>1388</v>
      </c>
      <c r="H10" s="12" t="s">
        <v>98</v>
      </c>
      <c r="I10" s="12" t="s">
        <v>113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778</v>
      </c>
      <c r="B11" s="12" t="s">
        <v>138</v>
      </c>
      <c r="C11" s="12" t="s">
        <v>53</v>
      </c>
      <c r="D11" s="13" t="s">
        <v>1389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781</v>
      </c>
      <c r="B12" s="12" t="s">
        <v>142</v>
      </c>
      <c r="C12" s="12" t="s">
        <v>1390</v>
      </c>
      <c r="D12" s="13" t="s">
        <v>1391</v>
      </c>
      <c r="E12" s="12" t="s">
        <v>134</v>
      </c>
      <c r="F12" s="12" t="s">
        <v>144</v>
      </c>
      <c r="G12" s="13" t="s">
        <v>1392</v>
      </c>
      <c r="H12" s="12" t="s">
        <v>98</v>
      </c>
      <c r="I12" s="12" t="s">
        <v>113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785</v>
      </c>
      <c r="B13" s="12" t="s">
        <v>147</v>
      </c>
      <c r="C13" s="12" t="s">
        <v>1393</v>
      </c>
      <c r="D13" s="13" t="s">
        <v>1394</v>
      </c>
      <c r="E13" s="12" t="s">
        <v>134</v>
      </c>
      <c r="F13" s="12" t="s">
        <v>149</v>
      </c>
      <c r="G13" s="13" t="s">
        <v>1395</v>
      </c>
      <c r="H13" s="12" t="s">
        <v>98</v>
      </c>
      <c r="I13" s="12" t="s">
        <v>113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788</v>
      </c>
      <c r="B14" s="12" t="s">
        <v>1396</v>
      </c>
      <c r="C14" s="12" t="s">
        <v>1397</v>
      </c>
      <c r="D14" s="13" t="s">
        <v>1398</v>
      </c>
      <c r="E14" s="12" t="s">
        <v>134</v>
      </c>
      <c r="F14" s="12" t="s">
        <v>154</v>
      </c>
      <c r="G14" s="13" t="s">
        <v>1399</v>
      </c>
      <c r="H14" s="12" t="s">
        <v>98</v>
      </c>
      <c r="I14" s="12" t="s">
        <v>113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791</v>
      </c>
      <c r="B15" s="12" t="s">
        <v>1133</v>
      </c>
      <c r="C15" s="12" t="s">
        <v>1384</v>
      </c>
      <c r="D15" s="13" t="s">
        <v>1400</v>
      </c>
      <c r="E15" s="12" t="s">
        <v>134</v>
      </c>
      <c r="F15" s="12" t="s">
        <v>159</v>
      </c>
      <c r="G15" s="13" t="s">
        <v>1401</v>
      </c>
      <c r="H15" s="12" t="s">
        <v>98</v>
      </c>
      <c r="I15" s="12" t="s">
        <v>113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793</v>
      </c>
      <c r="B16" s="12" t="s">
        <v>1402</v>
      </c>
      <c r="C16" s="12" t="s">
        <v>1403</v>
      </c>
      <c r="D16" s="13" t="s">
        <v>1404</v>
      </c>
      <c r="E16" s="12" t="s">
        <v>134</v>
      </c>
      <c r="F16" s="12" t="s">
        <v>159</v>
      </c>
      <c r="G16" s="13" t="s">
        <v>1405</v>
      </c>
      <c r="H16" s="12" t="s">
        <v>98</v>
      </c>
      <c r="I16" s="12" t="s">
        <v>113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797</v>
      </c>
      <c r="B17" s="12" t="s">
        <v>1406</v>
      </c>
      <c r="C17" s="12" t="s">
        <v>1407</v>
      </c>
      <c r="D17" s="13" t="s">
        <v>1408</v>
      </c>
      <c r="E17" s="12" t="s">
        <v>134</v>
      </c>
      <c r="F17" s="12" t="s">
        <v>159</v>
      </c>
      <c r="G17" s="13" t="s">
        <v>1401</v>
      </c>
      <c r="H17" s="12" t="s">
        <v>98</v>
      </c>
      <c r="I17" s="12" t="s">
        <v>113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801</v>
      </c>
      <c r="B18" s="12" t="s">
        <v>1409</v>
      </c>
      <c r="C18" s="12" t="s">
        <v>1384</v>
      </c>
      <c r="D18" s="13" t="s">
        <v>1410</v>
      </c>
      <c r="E18" s="12" t="s">
        <v>134</v>
      </c>
      <c r="F18" s="12" t="s">
        <v>159</v>
      </c>
      <c r="G18" s="13" t="s">
        <v>1405</v>
      </c>
      <c r="H18" s="12" t="s">
        <v>98</v>
      </c>
      <c r="I18" s="12" t="s">
        <v>113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805</v>
      </c>
      <c r="B19" s="12" t="s">
        <v>182</v>
      </c>
      <c r="C19" s="12" t="s">
        <v>1411</v>
      </c>
      <c r="D19" s="13" t="s">
        <v>1412</v>
      </c>
      <c r="E19" s="12" t="s">
        <v>134</v>
      </c>
      <c r="F19" s="12" t="s">
        <v>154</v>
      </c>
      <c r="G19" s="13" t="s">
        <v>1399</v>
      </c>
      <c r="H19" s="12" t="s">
        <v>98</v>
      </c>
      <c r="I19" s="12" t="s">
        <v>113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807</v>
      </c>
      <c r="B20" s="12" t="s">
        <v>162</v>
      </c>
      <c r="C20" s="12" t="s">
        <v>53</v>
      </c>
      <c r="D20" s="13" t="s">
        <v>1413</v>
      </c>
      <c r="E20" s="12" t="s">
        <v>134</v>
      </c>
      <c r="F20" s="12" t="s">
        <v>164</v>
      </c>
      <c r="G20" s="13" t="s">
        <v>1401</v>
      </c>
      <c r="H20" s="12" t="s">
        <v>98</v>
      </c>
      <c r="I20" s="12" t="s">
        <v>113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810</v>
      </c>
      <c r="B21" s="12" t="s">
        <v>167</v>
      </c>
      <c r="C21" s="12" t="s">
        <v>53</v>
      </c>
      <c r="D21" s="13" t="s">
        <v>1414</v>
      </c>
      <c r="E21" s="12" t="s">
        <v>134</v>
      </c>
      <c r="F21" s="12" t="s">
        <v>169</v>
      </c>
      <c r="G21" s="13" t="s">
        <v>1415</v>
      </c>
      <c r="H21" s="12" t="s">
        <v>96</v>
      </c>
      <c r="I21" s="12" t="s">
        <v>112</v>
      </c>
      <c r="J21" s="14"/>
      <c r="K21" s="13" t="s">
        <v>1416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813</v>
      </c>
      <c r="B22" s="12" t="s">
        <v>173</v>
      </c>
      <c r="C22" s="12" t="s">
        <v>1417</v>
      </c>
      <c r="D22" s="13" t="s">
        <v>1418</v>
      </c>
      <c r="E22" s="12" t="s">
        <v>134</v>
      </c>
      <c r="F22" s="12" t="s">
        <v>175</v>
      </c>
      <c r="G22" s="13" t="s">
        <v>1419</v>
      </c>
      <c r="H22" s="12" t="s">
        <v>96</v>
      </c>
      <c r="I22" s="12" t="s">
        <v>112</v>
      </c>
      <c r="J22" s="14"/>
      <c r="K22" s="13" t="s">
        <v>1420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816</v>
      </c>
      <c r="B23" s="12" t="s">
        <v>1421</v>
      </c>
      <c r="C23" s="12" t="s">
        <v>1086</v>
      </c>
      <c r="D23" s="13" t="s">
        <v>1422</v>
      </c>
      <c r="E23" s="12" t="s">
        <v>134</v>
      </c>
      <c r="F23" s="12" t="s">
        <v>175</v>
      </c>
      <c r="G23" s="13" t="s">
        <v>1423</v>
      </c>
      <c r="H23" s="12" t="s">
        <v>96</v>
      </c>
      <c r="I23" s="12" t="s">
        <v>112</v>
      </c>
      <c r="J23" s="14"/>
      <c r="K23" s="13" t="s">
        <v>1424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819</v>
      </c>
      <c r="B24" s="12" t="s">
        <v>1425</v>
      </c>
      <c r="C24" s="12" t="s">
        <v>53</v>
      </c>
      <c r="D24" s="13" t="s">
        <v>1426</v>
      </c>
      <c r="E24" s="12" t="s">
        <v>134</v>
      </c>
      <c r="F24" s="12" t="s">
        <v>175</v>
      </c>
      <c r="G24" s="13" t="s">
        <v>1419</v>
      </c>
      <c r="H24" s="12" t="s">
        <v>96</v>
      </c>
      <c r="I24" s="12" t="s">
        <v>112</v>
      </c>
      <c r="J24" s="14"/>
      <c r="K24" s="13" t="s">
        <v>1427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949</v>
      </c>
      <c r="B25" s="12" t="s">
        <v>179</v>
      </c>
      <c r="C25" s="12" t="s">
        <v>53</v>
      </c>
      <c r="D25" s="13" t="s">
        <v>554</v>
      </c>
      <c r="E25" s="12" t="s">
        <v>134</v>
      </c>
      <c r="F25" s="12" t="s">
        <v>175</v>
      </c>
      <c r="G25" s="13" t="s">
        <v>1428</v>
      </c>
      <c r="H25" s="12" t="s">
        <v>96</v>
      </c>
      <c r="I25" s="12" t="s">
        <v>112</v>
      </c>
      <c r="J25" s="14"/>
      <c r="K25" s="13" t="s">
        <v>1429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1430</v>
      </c>
      <c r="B26" s="12" t="s">
        <v>187</v>
      </c>
      <c r="C26" s="12" t="s">
        <v>53</v>
      </c>
      <c r="D26" s="13" t="s">
        <v>1431</v>
      </c>
      <c r="E26" s="12" t="s">
        <v>134</v>
      </c>
      <c r="F26" s="12" t="s">
        <v>175</v>
      </c>
      <c r="G26" s="13" t="s">
        <v>1419</v>
      </c>
      <c r="H26" s="12" t="s">
        <v>96</v>
      </c>
      <c r="I26" s="12" t="s">
        <v>112</v>
      </c>
      <c r="J26" s="14"/>
      <c r="K26" s="13" t="s">
        <v>563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1432</v>
      </c>
      <c r="B27" s="12" t="s">
        <v>191</v>
      </c>
      <c r="C27" s="12" t="s">
        <v>53</v>
      </c>
      <c r="D27" s="13" t="s">
        <v>1433</v>
      </c>
      <c r="E27" s="12" t="s">
        <v>134</v>
      </c>
      <c r="F27" s="12" t="s">
        <v>193</v>
      </c>
      <c r="G27" s="13" t="s">
        <v>1434</v>
      </c>
      <c r="H27" s="12" t="s">
        <v>98</v>
      </c>
      <c r="I27" s="12" t="s">
        <v>113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1435</v>
      </c>
      <c r="B28" s="12" t="s">
        <v>196</v>
      </c>
      <c r="C28" s="12" t="s">
        <v>53</v>
      </c>
      <c r="D28" s="13" t="s">
        <v>1436</v>
      </c>
      <c r="E28" s="12" t="s">
        <v>134</v>
      </c>
      <c r="F28" s="12" t="s">
        <v>193</v>
      </c>
      <c r="G28" s="13" t="s">
        <v>1437</v>
      </c>
      <c r="H28" s="12" t="s">
        <v>98</v>
      </c>
      <c r="I28" s="12" t="s">
        <v>113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1438</v>
      </c>
      <c r="B29" s="12" t="s">
        <v>200</v>
      </c>
      <c r="C29" s="12" t="s">
        <v>53</v>
      </c>
      <c r="D29" s="13" t="s">
        <v>1439</v>
      </c>
      <c r="E29" s="12" t="s">
        <v>202</v>
      </c>
      <c r="F29" s="12" t="s">
        <v>202</v>
      </c>
      <c r="G29" s="13" t="s">
        <v>203</v>
      </c>
      <c r="H29" s="12" t="s">
        <v>98</v>
      </c>
      <c r="I29" s="12" t="s">
        <v>113</v>
      </c>
      <c r="J29" s="14" t="s">
        <v>1440</v>
      </c>
      <c r="K29" s="13" t="s">
        <v>1441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1442</v>
      </c>
      <c r="B30" s="12" t="s">
        <v>205</v>
      </c>
      <c r="C30" s="12" t="s">
        <v>53</v>
      </c>
      <c r="D30" s="13" t="s">
        <v>1443</v>
      </c>
      <c r="E30" s="12" t="s">
        <v>134</v>
      </c>
      <c r="F30" s="12" t="s">
        <v>134</v>
      </c>
      <c r="G30" s="13" t="s">
        <v>574</v>
      </c>
      <c r="H30" s="12" t="s">
        <v>98</v>
      </c>
      <c r="I30" s="12" t="s">
        <v>113</v>
      </c>
      <c r="J30" s="14" t="s">
        <v>1440</v>
      </c>
      <c r="K30" s="13" t="s">
        <v>1444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116</v>
      </c>
      <c r="E4" s="6" t="n">
        <f aca="false">SUM(M9:M30)</f>
        <v>16</v>
      </c>
      <c r="G4" s="5" t="s">
        <v>14</v>
      </c>
      <c r="H4" s="7" t="n">
        <f aca="false">IF(B4=0,0,E4/B4)</f>
        <v>0.727272727272727</v>
      </c>
      <c r="J4" s="5" t="s">
        <v>15</v>
      </c>
      <c r="K4" s="6" t="str">
        <f aca="false">IF(COUNTIFS(E9:E24,"package",M9:M24,0)&gt;0,"open","complete")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1447</v>
      </c>
      <c r="B9" s="12" t="s">
        <v>131</v>
      </c>
      <c r="C9" s="12" t="s">
        <v>1384</v>
      </c>
      <c r="D9" s="13" t="s">
        <v>1448</v>
      </c>
      <c r="E9" s="12" t="s">
        <v>134</v>
      </c>
      <c r="F9" s="12" t="s">
        <v>135</v>
      </c>
      <c r="G9" s="13" t="s">
        <v>1449</v>
      </c>
      <c r="H9" s="12" t="s">
        <v>98</v>
      </c>
      <c r="I9" s="12" t="s">
        <v>113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1450</v>
      </c>
      <c r="B10" s="12" t="s">
        <v>1343</v>
      </c>
      <c r="C10" s="12" t="s">
        <v>1184</v>
      </c>
      <c r="D10" s="13" t="s">
        <v>1387</v>
      </c>
      <c r="E10" s="12" t="s">
        <v>134</v>
      </c>
      <c r="F10" s="12" t="s">
        <v>154</v>
      </c>
      <c r="G10" s="13" t="s">
        <v>1451</v>
      </c>
      <c r="H10" s="12" t="s">
        <v>98</v>
      </c>
      <c r="I10" s="12" t="s">
        <v>113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1452</v>
      </c>
      <c r="B11" s="12" t="s">
        <v>138</v>
      </c>
      <c r="C11" s="12" t="s">
        <v>54</v>
      </c>
      <c r="D11" s="13" t="s">
        <v>1453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1454</v>
      </c>
      <c r="B12" s="12" t="s">
        <v>142</v>
      </c>
      <c r="C12" s="12" t="s">
        <v>1390</v>
      </c>
      <c r="D12" s="13" t="s">
        <v>1455</v>
      </c>
      <c r="E12" s="12" t="s">
        <v>134</v>
      </c>
      <c r="F12" s="12" t="s">
        <v>144</v>
      </c>
      <c r="G12" s="13" t="s">
        <v>1456</v>
      </c>
      <c r="H12" s="12" t="s">
        <v>98</v>
      </c>
      <c r="I12" s="12" t="s">
        <v>113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1457</v>
      </c>
      <c r="B13" s="12" t="s">
        <v>147</v>
      </c>
      <c r="C13" s="12" t="s">
        <v>1393</v>
      </c>
      <c r="D13" s="13" t="s">
        <v>1394</v>
      </c>
      <c r="E13" s="12" t="s">
        <v>134</v>
      </c>
      <c r="F13" s="12" t="s">
        <v>149</v>
      </c>
      <c r="G13" s="13" t="s">
        <v>1458</v>
      </c>
      <c r="H13" s="12" t="s">
        <v>98</v>
      </c>
      <c r="I13" s="12" t="s">
        <v>113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1459</v>
      </c>
      <c r="B14" s="12" t="s">
        <v>1396</v>
      </c>
      <c r="C14" s="12" t="s">
        <v>1397</v>
      </c>
      <c r="D14" s="13" t="s">
        <v>1460</v>
      </c>
      <c r="E14" s="12" t="s">
        <v>134</v>
      </c>
      <c r="F14" s="12" t="s">
        <v>154</v>
      </c>
      <c r="G14" s="13" t="s">
        <v>1461</v>
      </c>
      <c r="H14" s="12" t="s">
        <v>98</v>
      </c>
      <c r="I14" s="12" t="s">
        <v>113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1462</v>
      </c>
      <c r="B15" s="12" t="s">
        <v>1133</v>
      </c>
      <c r="C15" s="12" t="s">
        <v>1384</v>
      </c>
      <c r="D15" s="13" t="s">
        <v>1400</v>
      </c>
      <c r="E15" s="12" t="s">
        <v>134</v>
      </c>
      <c r="F15" s="12" t="s">
        <v>159</v>
      </c>
      <c r="G15" s="13" t="s">
        <v>1463</v>
      </c>
      <c r="H15" s="12" t="s">
        <v>98</v>
      </c>
      <c r="I15" s="12" t="s">
        <v>113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1464</v>
      </c>
      <c r="B16" s="12" t="s">
        <v>1402</v>
      </c>
      <c r="C16" s="12" t="s">
        <v>1403</v>
      </c>
      <c r="D16" s="13" t="s">
        <v>1465</v>
      </c>
      <c r="E16" s="12" t="s">
        <v>134</v>
      </c>
      <c r="F16" s="12" t="s">
        <v>159</v>
      </c>
      <c r="G16" s="13" t="s">
        <v>1466</v>
      </c>
      <c r="H16" s="12" t="s">
        <v>98</v>
      </c>
      <c r="I16" s="12" t="s">
        <v>113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1467</v>
      </c>
      <c r="B17" s="12" t="s">
        <v>1406</v>
      </c>
      <c r="C17" s="12" t="s">
        <v>1407</v>
      </c>
      <c r="D17" s="13" t="s">
        <v>1408</v>
      </c>
      <c r="E17" s="12" t="s">
        <v>134</v>
      </c>
      <c r="F17" s="12" t="s">
        <v>159</v>
      </c>
      <c r="G17" s="13" t="s">
        <v>1463</v>
      </c>
      <c r="H17" s="12" t="s">
        <v>98</v>
      </c>
      <c r="I17" s="12" t="s">
        <v>113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1468</v>
      </c>
      <c r="B18" s="12" t="s">
        <v>1409</v>
      </c>
      <c r="C18" s="12" t="s">
        <v>1384</v>
      </c>
      <c r="D18" s="13" t="s">
        <v>1469</v>
      </c>
      <c r="E18" s="12" t="s">
        <v>134</v>
      </c>
      <c r="F18" s="12" t="s">
        <v>159</v>
      </c>
      <c r="G18" s="13" t="s">
        <v>1466</v>
      </c>
      <c r="H18" s="12" t="s">
        <v>98</v>
      </c>
      <c r="I18" s="12" t="s">
        <v>113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1470</v>
      </c>
      <c r="B19" s="12" t="s">
        <v>182</v>
      </c>
      <c r="C19" s="12" t="s">
        <v>1411</v>
      </c>
      <c r="D19" s="13" t="s">
        <v>1412</v>
      </c>
      <c r="E19" s="12" t="s">
        <v>134</v>
      </c>
      <c r="F19" s="12" t="s">
        <v>154</v>
      </c>
      <c r="G19" s="13" t="s">
        <v>1461</v>
      </c>
      <c r="H19" s="12" t="s">
        <v>98</v>
      </c>
      <c r="I19" s="12" t="s">
        <v>113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1471</v>
      </c>
      <c r="B20" s="12" t="s">
        <v>162</v>
      </c>
      <c r="C20" s="12" t="s">
        <v>54</v>
      </c>
      <c r="D20" s="13" t="s">
        <v>1472</v>
      </c>
      <c r="E20" s="12" t="s">
        <v>134</v>
      </c>
      <c r="F20" s="12" t="s">
        <v>164</v>
      </c>
      <c r="G20" s="13" t="s">
        <v>1463</v>
      </c>
      <c r="H20" s="12" t="s">
        <v>98</v>
      </c>
      <c r="I20" s="12" t="s">
        <v>113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1473</v>
      </c>
      <c r="B21" s="12" t="s">
        <v>167</v>
      </c>
      <c r="C21" s="12" t="s">
        <v>54</v>
      </c>
      <c r="D21" s="13" t="s">
        <v>1414</v>
      </c>
      <c r="E21" s="12" t="s">
        <v>134</v>
      </c>
      <c r="F21" s="12" t="s">
        <v>169</v>
      </c>
      <c r="G21" s="13" t="s">
        <v>1474</v>
      </c>
      <c r="H21" s="12" t="s">
        <v>96</v>
      </c>
      <c r="I21" s="12" t="s">
        <v>112</v>
      </c>
      <c r="J21" s="14"/>
      <c r="K21" s="13" t="s">
        <v>1416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1475</v>
      </c>
      <c r="B22" s="12" t="s">
        <v>173</v>
      </c>
      <c r="C22" s="12" t="s">
        <v>1417</v>
      </c>
      <c r="D22" s="13" t="s">
        <v>1418</v>
      </c>
      <c r="E22" s="12" t="s">
        <v>134</v>
      </c>
      <c r="F22" s="12" t="s">
        <v>175</v>
      </c>
      <c r="G22" s="13" t="s">
        <v>1476</v>
      </c>
      <c r="H22" s="12" t="s">
        <v>96</v>
      </c>
      <c r="I22" s="12" t="s">
        <v>112</v>
      </c>
      <c r="J22" s="14"/>
      <c r="K22" s="13" t="s">
        <v>1420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1477</v>
      </c>
      <c r="B23" s="12" t="s">
        <v>1421</v>
      </c>
      <c r="C23" s="12" t="s">
        <v>1086</v>
      </c>
      <c r="D23" s="13" t="s">
        <v>1478</v>
      </c>
      <c r="E23" s="12" t="s">
        <v>134</v>
      </c>
      <c r="F23" s="12" t="s">
        <v>175</v>
      </c>
      <c r="G23" s="13" t="s">
        <v>1479</v>
      </c>
      <c r="H23" s="12" t="s">
        <v>96</v>
      </c>
      <c r="I23" s="12" t="s">
        <v>112</v>
      </c>
      <c r="J23" s="14"/>
      <c r="K23" s="13" t="s">
        <v>1424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1480</v>
      </c>
      <c r="B24" s="12" t="s">
        <v>1425</v>
      </c>
      <c r="C24" s="12" t="s">
        <v>54</v>
      </c>
      <c r="D24" s="13" t="s">
        <v>1426</v>
      </c>
      <c r="E24" s="12" t="s">
        <v>134</v>
      </c>
      <c r="F24" s="12" t="s">
        <v>175</v>
      </c>
      <c r="G24" s="13" t="s">
        <v>1476</v>
      </c>
      <c r="H24" s="12" t="s">
        <v>96</v>
      </c>
      <c r="I24" s="12" t="s">
        <v>112</v>
      </c>
      <c r="J24" s="14"/>
      <c r="K24" s="13" t="s">
        <v>1427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1481</v>
      </c>
      <c r="B25" s="12" t="s">
        <v>179</v>
      </c>
      <c r="C25" s="12" t="s">
        <v>54</v>
      </c>
      <c r="D25" s="13" t="s">
        <v>554</v>
      </c>
      <c r="E25" s="12" t="s">
        <v>134</v>
      </c>
      <c r="F25" s="12" t="s">
        <v>175</v>
      </c>
      <c r="G25" s="13" t="s">
        <v>1482</v>
      </c>
      <c r="H25" s="12" t="s">
        <v>96</v>
      </c>
      <c r="I25" s="12" t="s">
        <v>112</v>
      </c>
      <c r="J25" s="14"/>
      <c r="K25" s="13" t="s">
        <v>1429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1483</v>
      </c>
      <c r="B26" s="12" t="s">
        <v>187</v>
      </c>
      <c r="C26" s="12" t="s">
        <v>54</v>
      </c>
      <c r="D26" s="13" t="s">
        <v>1484</v>
      </c>
      <c r="E26" s="12" t="s">
        <v>134</v>
      </c>
      <c r="F26" s="12" t="s">
        <v>175</v>
      </c>
      <c r="G26" s="13" t="s">
        <v>1476</v>
      </c>
      <c r="H26" s="12" t="s">
        <v>96</v>
      </c>
      <c r="I26" s="12" t="s">
        <v>112</v>
      </c>
      <c r="J26" s="14"/>
      <c r="K26" s="13" t="s">
        <v>563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1485</v>
      </c>
      <c r="B27" s="12" t="s">
        <v>191</v>
      </c>
      <c r="C27" s="12" t="s">
        <v>54</v>
      </c>
      <c r="D27" s="13" t="s">
        <v>1433</v>
      </c>
      <c r="E27" s="12" t="s">
        <v>134</v>
      </c>
      <c r="F27" s="12" t="s">
        <v>193</v>
      </c>
      <c r="G27" s="13" t="s">
        <v>1486</v>
      </c>
      <c r="H27" s="12" t="s">
        <v>98</v>
      </c>
      <c r="I27" s="12" t="s">
        <v>113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1487</v>
      </c>
      <c r="B28" s="12" t="s">
        <v>196</v>
      </c>
      <c r="C28" s="12" t="s">
        <v>54</v>
      </c>
      <c r="D28" s="13" t="s">
        <v>1488</v>
      </c>
      <c r="E28" s="12" t="s">
        <v>134</v>
      </c>
      <c r="F28" s="12" t="s">
        <v>193</v>
      </c>
      <c r="G28" s="13" t="s">
        <v>1489</v>
      </c>
      <c r="H28" s="12" t="s">
        <v>98</v>
      </c>
      <c r="I28" s="12" t="s">
        <v>113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1490</v>
      </c>
      <c r="B29" s="12" t="s">
        <v>200</v>
      </c>
      <c r="C29" s="12" t="s">
        <v>54</v>
      </c>
      <c r="D29" s="13" t="s">
        <v>1491</v>
      </c>
      <c r="E29" s="12" t="s">
        <v>202</v>
      </c>
      <c r="F29" s="12" t="s">
        <v>202</v>
      </c>
      <c r="G29" s="13" t="s">
        <v>203</v>
      </c>
      <c r="H29" s="12" t="s">
        <v>98</v>
      </c>
      <c r="I29" s="12" t="s">
        <v>113</v>
      </c>
      <c r="J29" s="14" t="n">
        <v>46229</v>
      </c>
      <c r="K29" s="13" t="s">
        <v>1441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1492</v>
      </c>
      <c r="B30" s="12" t="s">
        <v>205</v>
      </c>
      <c r="C30" s="12" t="s">
        <v>54</v>
      </c>
      <c r="D30" s="13" t="s">
        <v>1443</v>
      </c>
      <c r="E30" s="12" t="s">
        <v>134</v>
      </c>
      <c r="F30" s="12" t="s">
        <v>134</v>
      </c>
      <c r="G30" s="13" t="s">
        <v>574</v>
      </c>
      <c r="H30" s="12" t="s">
        <v>98</v>
      </c>
      <c r="I30" s="12" t="s">
        <v>113</v>
      </c>
      <c r="J30" s="14" t="n">
        <v>46229</v>
      </c>
      <c r="K30" s="13" t="s">
        <v>1444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67DC"/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1493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1494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116</v>
      </c>
      <c r="E4" s="6" t="n">
        <f aca="false">SUM(M9:M30)</f>
        <v>17</v>
      </c>
      <c r="G4" s="5" t="s">
        <v>14</v>
      </c>
      <c r="H4" s="7" t="n">
        <f aca="false">IF(B4=0,0,E4/B4)</f>
        <v>0.772727272727273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1495</v>
      </c>
      <c r="B9" s="12" t="s">
        <v>131</v>
      </c>
      <c r="C9" s="12" t="s">
        <v>782</v>
      </c>
      <c r="D9" s="13" t="s">
        <v>1496</v>
      </c>
      <c r="E9" s="12" t="s">
        <v>134</v>
      </c>
      <c r="F9" s="12" t="s">
        <v>135</v>
      </c>
      <c r="G9" s="13" t="s">
        <v>1497</v>
      </c>
      <c r="H9" s="12" t="s">
        <v>98</v>
      </c>
      <c r="I9" s="12" t="s">
        <v>113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1498</v>
      </c>
      <c r="B10" s="12" t="s">
        <v>1343</v>
      </c>
      <c r="C10" s="12" t="s">
        <v>1499</v>
      </c>
      <c r="D10" s="13" t="s">
        <v>1500</v>
      </c>
      <c r="E10" s="12" t="s">
        <v>134</v>
      </c>
      <c r="F10" s="12" t="s">
        <v>154</v>
      </c>
      <c r="G10" s="13" t="s">
        <v>1501</v>
      </c>
      <c r="H10" s="12" t="s">
        <v>98</v>
      </c>
      <c r="I10" s="12" t="s">
        <v>113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1502</v>
      </c>
      <c r="B11" s="12" t="s">
        <v>138</v>
      </c>
      <c r="C11" s="12" t="s">
        <v>55</v>
      </c>
      <c r="D11" s="13" t="s">
        <v>1503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1504</v>
      </c>
      <c r="B12" s="12" t="s">
        <v>142</v>
      </c>
      <c r="C12" s="12" t="s">
        <v>1499</v>
      </c>
      <c r="D12" s="13" t="s">
        <v>1505</v>
      </c>
      <c r="E12" s="12" t="s">
        <v>134</v>
      </c>
      <c r="F12" s="12" t="s">
        <v>144</v>
      </c>
      <c r="G12" s="13" t="s">
        <v>1506</v>
      </c>
      <c r="H12" s="12" t="s">
        <v>98</v>
      </c>
      <c r="I12" s="12" t="s">
        <v>113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1507</v>
      </c>
      <c r="B13" s="12" t="s">
        <v>147</v>
      </c>
      <c r="C13" s="12" t="s">
        <v>1499</v>
      </c>
      <c r="D13" s="13" t="s">
        <v>1508</v>
      </c>
      <c r="E13" s="12" t="s">
        <v>134</v>
      </c>
      <c r="F13" s="12" t="s">
        <v>149</v>
      </c>
      <c r="G13" s="13" t="s">
        <v>1509</v>
      </c>
      <c r="H13" s="12" t="s">
        <v>98</v>
      </c>
      <c r="I13" s="12" t="s">
        <v>113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1510</v>
      </c>
      <c r="B14" s="12" t="s">
        <v>1133</v>
      </c>
      <c r="C14" s="12" t="s">
        <v>782</v>
      </c>
      <c r="D14" s="13" t="s">
        <v>1511</v>
      </c>
      <c r="E14" s="12" t="s">
        <v>134</v>
      </c>
      <c r="F14" s="12" t="s">
        <v>159</v>
      </c>
      <c r="G14" s="13" t="s">
        <v>1512</v>
      </c>
      <c r="H14" s="12" t="s">
        <v>98</v>
      </c>
      <c r="I14" s="12" t="s">
        <v>113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1513</v>
      </c>
      <c r="B15" s="12" t="s">
        <v>1514</v>
      </c>
      <c r="C15" s="12" t="s">
        <v>782</v>
      </c>
      <c r="D15" s="13" t="s">
        <v>1515</v>
      </c>
      <c r="E15" s="12" t="s">
        <v>134</v>
      </c>
      <c r="F15" s="12" t="s">
        <v>159</v>
      </c>
      <c r="G15" s="13" t="s">
        <v>1512</v>
      </c>
      <c r="H15" s="12" t="s">
        <v>98</v>
      </c>
      <c r="I15" s="12" t="s">
        <v>113</v>
      </c>
      <c r="J15" s="14" t="n">
        <v>46229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1516</v>
      </c>
      <c r="B16" s="12" t="s">
        <v>1517</v>
      </c>
      <c r="C16" s="12" t="s">
        <v>782</v>
      </c>
      <c r="D16" s="13" t="s">
        <v>1518</v>
      </c>
      <c r="E16" s="12" t="s">
        <v>134</v>
      </c>
      <c r="F16" s="12" t="s">
        <v>159</v>
      </c>
      <c r="G16" s="13" t="s">
        <v>1519</v>
      </c>
      <c r="H16" s="12" t="s">
        <v>98</v>
      </c>
      <c r="I16" s="12" t="s">
        <v>113</v>
      </c>
      <c r="J16" s="14" t="n">
        <v>46229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1520</v>
      </c>
      <c r="B17" s="12" t="s">
        <v>1521</v>
      </c>
      <c r="C17" s="12" t="s">
        <v>1499</v>
      </c>
      <c r="D17" s="13" t="s">
        <v>1522</v>
      </c>
      <c r="E17" s="12" t="s">
        <v>134</v>
      </c>
      <c r="F17" s="12" t="s">
        <v>159</v>
      </c>
      <c r="G17" s="13" t="s">
        <v>1512</v>
      </c>
      <c r="H17" s="12" t="s">
        <v>98</v>
      </c>
      <c r="I17" s="12" t="s">
        <v>113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1523</v>
      </c>
      <c r="B18" s="12" t="s">
        <v>1409</v>
      </c>
      <c r="C18" s="12" t="s">
        <v>782</v>
      </c>
      <c r="D18" s="13" t="s">
        <v>1524</v>
      </c>
      <c r="E18" s="12" t="s">
        <v>134</v>
      </c>
      <c r="F18" s="12" t="s">
        <v>159</v>
      </c>
      <c r="G18" s="13" t="s">
        <v>1519</v>
      </c>
      <c r="H18" s="12" t="s">
        <v>98</v>
      </c>
      <c r="I18" s="12" t="s">
        <v>113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1525</v>
      </c>
      <c r="B19" s="12" t="s">
        <v>182</v>
      </c>
      <c r="C19" s="12" t="s">
        <v>782</v>
      </c>
      <c r="D19" s="13" t="s">
        <v>1526</v>
      </c>
      <c r="E19" s="12" t="s">
        <v>134</v>
      </c>
      <c r="F19" s="12" t="s">
        <v>154</v>
      </c>
      <c r="G19" s="13" t="s">
        <v>1527</v>
      </c>
      <c r="H19" s="12" t="s">
        <v>98</v>
      </c>
      <c r="I19" s="12" t="s">
        <v>113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1528</v>
      </c>
      <c r="B20" s="12" t="s">
        <v>162</v>
      </c>
      <c r="C20" s="12" t="s">
        <v>55</v>
      </c>
      <c r="D20" s="13" t="s">
        <v>1529</v>
      </c>
      <c r="E20" s="12" t="s">
        <v>134</v>
      </c>
      <c r="F20" s="12" t="s">
        <v>164</v>
      </c>
      <c r="G20" s="13" t="s">
        <v>1512</v>
      </c>
      <c r="H20" s="12" t="s">
        <v>98</v>
      </c>
      <c r="I20" s="12" t="s">
        <v>113</v>
      </c>
      <c r="J20" s="14" t="n">
        <v>46229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1530</v>
      </c>
      <c r="B21" s="12" t="s">
        <v>1531</v>
      </c>
      <c r="C21" s="12" t="s">
        <v>782</v>
      </c>
      <c r="D21" s="13" t="s">
        <v>1532</v>
      </c>
      <c r="E21" s="12" t="s">
        <v>134</v>
      </c>
      <c r="F21" s="12" t="s">
        <v>159</v>
      </c>
      <c r="G21" s="13" t="s">
        <v>1533</v>
      </c>
      <c r="H21" s="12" t="s">
        <v>98</v>
      </c>
      <c r="I21" s="12" t="s">
        <v>113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1534</v>
      </c>
      <c r="B22" s="12" t="s">
        <v>167</v>
      </c>
      <c r="C22" s="12" t="s">
        <v>55</v>
      </c>
      <c r="D22" s="13" t="s">
        <v>1535</v>
      </c>
      <c r="E22" s="12" t="s">
        <v>134</v>
      </c>
      <c r="F22" s="12" t="s">
        <v>169</v>
      </c>
      <c r="G22" s="13" t="s">
        <v>1536</v>
      </c>
      <c r="H22" s="12" t="s">
        <v>96</v>
      </c>
      <c r="I22" s="12" t="s">
        <v>112</v>
      </c>
      <c r="J22" s="14"/>
      <c r="K22" s="13" t="s">
        <v>1416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1537</v>
      </c>
      <c r="B23" s="12" t="s">
        <v>173</v>
      </c>
      <c r="C23" s="12" t="s">
        <v>782</v>
      </c>
      <c r="D23" s="13" t="s">
        <v>1538</v>
      </c>
      <c r="E23" s="12" t="s">
        <v>134</v>
      </c>
      <c r="F23" s="12" t="s">
        <v>175</v>
      </c>
      <c r="G23" s="13" t="s">
        <v>1539</v>
      </c>
      <c r="H23" s="12" t="s">
        <v>96</v>
      </c>
      <c r="I23" s="12" t="s">
        <v>112</v>
      </c>
      <c r="J23" s="14"/>
      <c r="K23" s="13" t="s">
        <v>1540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1541</v>
      </c>
      <c r="B24" s="12" t="s">
        <v>179</v>
      </c>
      <c r="C24" s="12" t="s">
        <v>1499</v>
      </c>
      <c r="D24" s="13" t="s">
        <v>554</v>
      </c>
      <c r="E24" s="12" t="s">
        <v>134</v>
      </c>
      <c r="F24" s="12" t="s">
        <v>175</v>
      </c>
      <c r="G24" s="13" t="s">
        <v>1542</v>
      </c>
      <c r="H24" s="12" t="s">
        <v>96</v>
      </c>
      <c r="I24" s="12" t="s">
        <v>112</v>
      </c>
      <c r="J24" s="14"/>
      <c r="K24" s="13" t="s">
        <v>1543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23.25" hidden="false" customHeight="true" outlineLevel="0" collapsed="false">
      <c r="A25" s="12" t="s">
        <v>1544</v>
      </c>
      <c r="B25" s="12" t="s">
        <v>1425</v>
      </c>
      <c r="C25" s="12" t="s">
        <v>55</v>
      </c>
      <c r="D25" s="13" t="s">
        <v>1545</v>
      </c>
      <c r="E25" s="12" t="s">
        <v>134</v>
      </c>
      <c r="F25" s="12" t="s">
        <v>175</v>
      </c>
      <c r="G25" s="13" t="s">
        <v>1539</v>
      </c>
      <c r="H25" s="12" t="s">
        <v>96</v>
      </c>
      <c r="I25" s="12" t="s">
        <v>112</v>
      </c>
      <c r="J25" s="14"/>
      <c r="K25" s="13" t="s">
        <v>1427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23.25" hidden="false" customHeight="true" outlineLevel="0" collapsed="false">
      <c r="A26" s="12" t="s">
        <v>1546</v>
      </c>
      <c r="B26" s="12" t="s">
        <v>187</v>
      </c>
      <c r="C26" s="12" t="s">
        <v>55</v>
      </c>
      <c r="D26" s="13" t="s">
        <v>1547</v>
      </c>
      <c r="E26" s="12" t="s">
        <v>134</v>
      </c>
      <c r="F26" s="12" t="s">
        <v>175</v>
      </c>
      <c r="G26" s="13" t="s">
        <v>1539</v>
      </c>
      <c r="H26" s="12" t="s">
        <v>96</v>
      </c>
      <c r="I26" s="12" t="s">
        <v>112</v>
      </c>
      <c r="J26" s="14"/>
      <c r="K26" s="13" t="s">
        <v>563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23.25" hidden="false" customHeight="true" outlineLevel="0" collapsed="false">
      <c r="A27" s="12" t="s">
        <v>1548</v>
      </c>
      <c r="B27" s="12" t="s">
        <v>191</v>
      </c>
      <c r="C27" s="12" t="s">
        <v>55</v>
      </c>
      <c r="D27" s="13" t="s">
        <v>1549</v>
      </c>
      <c r="E27" s="12" t="s">
        <v>134</v>
      </c>
      <c r="F27" s="12" t="s">
        <v>193</v>
      </c>
      <c r="G27" s="13" t="s">
        <v>1550</v>
      </c>
      <c r="H27" s="12" t="s">
        <v>98</v>
      </c>
      <c r="I27" s="12" t="s">
        <v>113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23.25" hidden="false" customHeight="true" outlineLevel="0" collapsed="false">
      <c r="A28" s="12" t="s">
        <v>1551</v>
      </c>
      <c r="B28" s="12" t="s">
        <v>196</v>
      </c>
      <c r="C28" s="12" t="s">
        <v>55</v>
      </c>
      <c r="D28" s="13" t="s">
        <v>1552</v>
      </c>
      <c r="E28" s="12" t="s">
        <v>134</v>
      </c>
      <c r="F28" s="12" t="s">
        <v>193</v>
      </c>
      <c r="G28" s="13" t="s">
        <v>1553</v>
      </c>
      <c r="H28" s="12" t="s">
        <v>98</v>
      </c>
      <c r="I28" s="12" t="s">
        <v>113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23.25" hidden="false" customHeight="true" outlineLevel="0" collapsed="false">
      <c r="A29" s="12" t="s">
        <v>1554</v>
      </c>
      <c r="B29" s="12" t="s">
        <v>200</v>
      </c>
      <c r="C29" s="12" t="s">
        <v>55</v>
      </c>
      <c r="D29" s="13" t="s">
        <v>1555</v>
      </c>
      <c r="E29" s="12" t="s">
        <v>202</v>
      </c>
      <c r="F29" s="12" t="s">
        <v>202</v>
      </c>
      <c r="G29" s="13" t="s">
        <v>203</v>
      </c>
      <c r="H29" s="12" t="s">
        <v>98</v>
      </c>
      <c r="I29" s="12" t="s">
        <v>113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23.25" hidden="false" customHeight="true" outlineLevel="0" collapsed="false">
      <c r="A30" s="12" t="s">
        <v>1556</v>
      </c>
      <c r="B30" s="12" t="s">
        <v>205</v>
      </c>
      <c r="C30" s="12" t="s">
        <v>55</v>
      </c>
      <c r="D30" s="13" t="s">
        <v>1443</v>
      </c>
      <c r="E30" s="12" t="s">
        <v>134</v>
      </c>
      <c r="F30" s="12" t="s">
        <v>134</v>
      </c>
      <c r="G30" s="13" t="s">
        <v>574</v>
      </c>
      <c r="H30" s="12" t="s">
        <v>98</v>
      </c>
      <c r="I30" s="12" t="s">
        <v>113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1557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1558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1559</v>
      </c>
      <c r="B9" s="1" t="s">
        <v>131</v>
      </c>
      <c r="C9" s="1" t="s">
        <v>1560</v>
      </c>
      <c r="D9" s="1" t="s">
        <v>1561</v>
      </c>
      <c r="E9" s="1" t="s">
        <v>134</v>
      </c>
      <c r="F9" s="1" t="s">
        <v>135</v>
      </c>
      <c r="G9" s="1" t="s">
        <v>1562</v>
      </c>
      <c r="H9" s="1" t="s">
        <v>98</v>
      </c>
      <c r="I9" s="1" t="s">
        <v>113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1563</v>
      </c>
      <c r="B10" s="1" t="s">
        <v>1343</v>
      </c>
      <c r="C10" s="1" t="s">
        <v>1560</v>
      </c>
      <c r="D10" s="1" t="s">
        <v>1564</v>
      </c>
      <c r="E10" s="1" t="s">
        <v>134</v>
      </c>
      <c r="F10" s="1" t="s">
        <v>154</v>
      </c>
      <c r="G10" s="1" t="s">
        <v>1565</v>
      </c>
      <c r="H10" s="1" t="s">
        <v>98</v>
      </c>
      <c r="I10" s="1" t="s">
        <v>113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1566</v>
      </c>
      <c r="B11" s="1" t="s">
        <v>138</v>
      </c>
      <c r="C11" s="1" t="s">
        <v>1567</v>
      </c>
      <c r="D11" s="1" t="s">
        <v>1568</v>
      </c>
      <c r="E11" s="1" t="s">
        <v>134</v>
      </c>
      <c r="F11" s="1" t="s">
        <v>134</v>
      </c>
      <c r="G11" s="1" t="s">
        <v>140</v>
      </c>
      <c r="H11" s="1" t="s">
        <v>98</v>
      </c>
      <c r="I11" s="1" t="s">
        <v>113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1569</v>
      </c>
      <c r="B12" s="1" t="s">
        <v>142</v>
      </c>
      <c r="C12" s="1" t="s">
        <v>1560</v>
      </c>
      <c r="D12" s="1" t="s">
        <v>1570</v>
      </c>
      <c r="E12" s="1" t="s">
        <v>134</v>
      </c>
      <c r="F12" s="1" t="s">
        <v>144</v>
      </c>
      <c r="G12" s="1" t="s">
        <v>1571</v>
      </c>
      <c r="H12" s="1" t="s">
        <v>98</v>
      </c>
      <c r="I12" s="1" t="s">
        <v>113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1572</v>
      </c>
      <c r="B13" s="1" t="s">
        <v>147</v>
      </c>
      <c r="C13" s="1" t="s">
        <v>1560</v>
      </c>
      <c r="D13" s="1" t="s">
        <v>1573</v>
      </c>
      <c r="E13" s="1" t="s">
        <v>134</v>
      </c>
      <c r="F13" s="1" t="s">
        <v>149</v>
      </c>
      <c r="G13" s="1" t="s">
        <v>1574</v>
      </c>
      <c r="H13" s="1" t="s">
        <v>98</v>
      </c>
      <c r="I13" s="1" t="s">
        <v>113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1575</v>
      </c>
      <c r="B14" s="1" t="s">
        <v>1576</v>
      </c>
      <c r="C14" s="1" t="s">
        <v>1560</v>
      </c>
      <c r="D14" s="1" t="s">
        <v>1577</v>
      </c>
      <c r="E14" s="1" t="s">
        <v>134</v>
      </c>
      <c r="F14" s="1" t="s">
        <v>159</v>
      </c>
      <c r="G14" s="1" t="s">
        <v>1578</v>
      </c>
      <c r="H14" s="1" t="s">
        <v>98</v>
      </c>
      <c r="I14" s="1" t="s">
        <v>113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1579</v>
      </c>
      <c r="B15" s="1" t="s">
        <v>1580</v>
      </c>
      <c r="C15" s="1" t="s">
        <v>782</v>
      </c>
      <c r="D15" s="1" t="s">
        <v>1581</v>
      </c>
      <c r="E15" s="1" t="s">
        <v>134</v>
      </c>
      <c r="F15" s="1" t="s">
        <v>159</v>
      </c>
      <c r="G15" s="1" t="s">
        <v>1578</v>
      </c>
      <c r="H15" s="1" t="s">
        <v>98</v>
      </c>
      <c r="I15" s="1" t="s">
        <v>113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1582</v>
      </c>
      <c r="B16" s="1" t="s">
        <v>1583</v>
      </c>
      <c r="C16" s="1" t="s">
        <v>1560</v>
      </c>
      <c r="D16" s="1" t="s">
        <v>1584</v>
      </c>
      <c r="E16" s="1" t="s">
        <v>134</v>
      </c>
      <c r="F16" s="1" t="s">
        <v>159</v>
      </c>
      <c r="G16" s="1" t="s">
        <v>1578</v>
      </c>
      <c r="H16" s="1" t="s">
        <v>98</v>
      </c>
      <c r="I16" s="1" t="s">
        <v>113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1585</v>
      </c>
      <c r="B17" s="1" t="s">
        <v>90</v>
      </c>
      <c r="C17" s="1" t="s">
        <v>782</v>
      </c>
      <c r="D17" s="1" t="s">
        <v>1586</v>
      </c>
      <c r="E17" s="1" t="s">
        <v>134</v>
      </c>
      <c r="F17" s="1" t="s">
        <v>154</v>
      </c>
      <c r="G17" s="1" t="s">
        <v>1587</v>
      </c>
      <c r="H17" s="1" t="s">
        <v>98</v>
      </c>
      <c r="I17" s="1" t="s">
        <v>113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1588</v>
      </c>
      <c r="B18" s="1" t="s">
        <v>1589</v>
      </c>
      <c r="C18" s="1" t="s">
        <v>1560</v>
      </c>
      <c r="D18" s="1" t="s">
        <v>1590</v>
      </c>
      <c r="E18" s="1" t="s">
        <v>134</v>
      </c>
      <c r="F18" s="1" t="s">
        <v>159</v>
      </c>
      <c r="G18" s="1" t="s">
        <v>1578</v>
      </c>
      <c r="H18" s="1" t="s">
        <v>98</v>
      </c>
      <c r="I18" s="1" t="s">
        <v>113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1591</v>
      </c>
      <c r="B19" s="1" t="s">
        <v>1592</v>
      </c>
      <c r="C19" s="1" t="s">
        <v>1560</v>
      </c>
      <c r="D19" s="1" t="s">
        <v>1593</v>
      </c>
      <c r="E19" s="1" t="s">
        <v>134</v>
      </c>
      <c r="F19" s="1" t="s">
        <v>159</v>
      </c>
      <c r="G19" s="1" t="s">
        <v>1587</v>
      </c>
      <c r="H19" s="1" t="s">
        <v>98</v>
      </c>
      <c r="I19" s="1" t="s">
        <v>113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1594</v>
      </c>
      <c r="B20" s="1" t="s">
        <v>1409</v>
      </c>
      <c r="C20" s="1" t="s">
        <v>782</v>
      </c>
      <c r="D20" s="1" t="s">
        <v>1595</v>
      </c>
      <c r="E20" s="1" t="s">
        <v>134</v>
      </c>
      <c r="F20" s="1" t="s">
        <v>159</v>
      </c>
      <c r="G20" s="1" t="s">
        <v>1578</v>
      </c>
      <c r="H20" s="1" t="s">
        <v>98</v>
      </c>
      <c r="I20" s="1" t="s">
        <v>113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1596</v>
      </c>
      <c r="B21" s="1" t="s">
        <v>182</v>
      </c>
      <c r="C21" s="1" t="s">
        <v>1560</v>
      </c>
      <c r="D21" s="1" t="s">
        <v>1597</v>
      </c>
      <c r="E21" s="1" t="s">
        <v>134</v>
      </c>
      <c r="F21" s="1" t="s">
        <v>159</v>
      </c>
      <c r="G21" s="1" t="s">
        <v>1578</v>
      </c>
      <c r="H21" s="1" t="s">
        <v>98</v>
      </c>
      <c r="I21" s="1" t="s">
        <v>113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1598</v>
      </c>
      <c r="B22" s="1" t="s">
        <v>162</v>
      </c>
      <c r="C22" s="1" t="s">
        <v>1560</v>
      </c>
      <c r="D22" s="1" t="s">
        <v>1599</v>
      </c>
      <c r="E22" s="1" t="s">
        <v>134</v>
      </c>
      <c r="F22" s="1" t="s">
        <v>164</v>
      </c>
      <c r="G22" s="1" t="s">
        <v>1578</v>
      </c>
      <c r="H22" s="1" t="s">
        <v>98</v>
      </c>
      <c r="I22" s="1" t="s">
        <v>113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1600</v>
      </c>
      <c r="B23" s="1" t="s">
        <v>167</v>
      </c>
      <c r="C23" s="1" t="s">
        <v>1567</v>
      </c>
      <c r="D23" s="1" t="s">
        <v>1601</v>
      </c>
      <c r="E23" s="1" t="s">
        <v>134</v>
      </c>
      <c r="F23" s="1" t="s">
        <v>169</v>
      </c>
      <c r="G23" s="1" t="s">
        <v>1602</v>
      </c>
      <c r="H23" s="1" t="s">
        <v>92</v>
      </c>
      <c r="I23" s="1" t="s">
        <v>112</v>
      </c>
      <c r="J23" s="10" t="n">
        <v>46229</v>
      </c>
      <c r="K23" s="1" t="s">
        <v>1603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1604</v>
      </c>
      <c r="B24" s="1" t="s">
        <v>187</v>
      </c>
      <c r="C24" s="1" t="s">
        <v>1567</v>
      </c>
      <c r="D24" s="1" t="s">
        <v>1605</v>
      </c>
      <c r="E24" s="1" t="s">
        <v>134</v>
      </c>
      <c r="F24" s="1" t="s">
        <v>175</v>
      </c>
      <c r="G24" s="1" t="s">
        <v>1606</v>
      </c>
      <c r="H24" s="1" t="s">
        <v>92</v>
      </c>
      <c r="I24" s="1" t="s">
        <v>112</v>
      </c>
      <c r="J24" s="10" t="n">
        <v>46229</v>
      </c>
      <c r="K24" s="1" t="s">
        <v>1607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1608</v>
      </c>
      <c r="B25" s="1" t="s">
        <v>191</v>
      </c>
      <c r="C25" s="1" t="s">
        <v>1567</v>
      </c>
      <c r="D25" s="1" t="s">
        <v>1609</v>
      </c>
      <c r="E25" s="1" t="s">
        <v>134</v>
      </c>
      <c r="F25" s="1" t="s">
        <v>193</v>
      </c>
      <c r="G25" s="1" t="s">
        <v>1610</v>
      </c>
      <c r="H25" s="1" t="s">
        <v>98</v>
      </c>
      <c r="I25" s="1" t="s">
        <v>113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1611</v>
      </c>
      <c r="B26" s="1" t="s">
        <v>196</v>
      </c>
      <c r="C26" s="1" t="s">
        <v>1567</v>
      </c>
      <c r="D26" s="1" t="s">
        <v>1612</v>
      </c>
      <c r="E26" s="1" t="s">
        <v>134</v>
      </c>
      <c r="F26" s="1" t="s">
        <v>193</v>
      </c>
      <c r="G26" s="1" t="s">
        <v>1613</v>
      </c>
      <c r="H26" s="1" t="s">
        <v>98</v>
      </c>
      <c r="I26" s="1" t="s">
        <v>113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1614</v>
      </c>
      <c r="B27" s="1" t="s">
        <v>200</v>
      </c>
      <c r="C27" s="1" t="s">
        <v>1567</v>
      </c>
      <c r="D27" s="1" t="s">
        <v>1615</v>
      </c>
      <c r="E27" s="1" t="s">
        <v>202</v>
      </c>
      <c r="F27" s="1" t="s">
        <v>202</v>
      </c>
      <c r="G27" s="1" t="s">
        <v>203</v>
      </c>
      <c r="H27" s="1" t="s">
        <v>98</v>
      </c>
      <c r="I27" s="1" t="s">
        <v>113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1616</v>
      </c>
      <c r="B28" s="1" t="s">
        <v>205</v>
      </c>
      <c r="C28" s="1" t="s">
        <v>1567</v>
      </c>
      <c r="D28" s="1" t="s">
        <v>1617</v>
      </c>
      <c r="E28" s="1" t="s">
        <v>134</v>
      </c>
      <c r="F28" s="1" t="s">
        <v>134</v>
      </c>
      <c r="G28" s="1" t="s">
        <v>207</v>
      </c>
      <c r="H28" s="1" t="s">
        <v>98</v>
      </c>
      <c r="I28" s="1" t="s">
        <v>113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autoFilter ref="A8:M28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42" hidden="false" customHeight="true" outlineLevel="0" collapsed="false">
      <c r="A9" s="1" t="s">
        <v>1620</v>
      </c>
      <c r="B9" s="1" t="s">
        <v>131</v>
      </c>
      <c r="C9" s="1" t="s">
        <v>1621</v>
      </c>
      <c r="D9" s="1" t="s">
        <v>1622</v>
      </c>
      <c r="E9" s="1" t="s">
        <v>134</v>
      </c>
      <c r="F9" s="1" t="s">
        <v>135</v>
      </c>
      <c r="G9" s="1" t="s">
        <v>1623</v>
      </c>
      <c r="H9" s="1" t="s">
        <v>98</v>
      </c>
      <c r="I9" s="1" t="s">
        <v>113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1624</v>
      </c>
      <c r="B10" s="1" t="s">
        <v>1343</v>
      </c>
      <c r="C10" s="1" t="s">
        <v>1621</v>
      </c>
      <c r="D10" s="1" t="s">
        <v>1625</v>
      </c>
      <c r="E10" s="1" t="s">
        <v>134</v>
      </c>
      <c r="F10" s="1" t="s">
        <v>154</v>
      </c>
      <c r="G10" s="1" t="s">
        <v>1626</v>
      </c>
      <c r="H10" s="1" t="s">
        <v>98</v>
      </c>
      <c r="I10" s="1" t="s">
        <v>113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1627</v>
      </c>
      <c r="B11" s="1" t="s">
        <v>138</v>
      </c>
      <c r="C11" s="1" t="s">
        <v>57</v>
      </c>
      <c r="D11" s="1" t="s">
        <v>1628</v>
      </c>
      <c r="E11" s="1" t="s">
        <v>134</v>
      </c>
      <c r="F11" s="1" t="s">
        <v>134</v>
      </c>
      <c r="G11" s="1" t="s">
        <v>140</v>
      </c>
      <c r="H11" s="1" t="s">
        <v>98</v>
      </c>
      <c r="I11" s="1" t="s">
        <v>113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1629</v>
      </c>
      <c r="B12" s="1" t="s">
        <v>142</v>
      </c>
      <c r="C12" s="1" t="s">
        <v>1621</v>
      </c>
      <c r="D12" s="1" t="s">
        <v>1630</v>
      </c>
      <c r="E12" s="1" t="s">
        <v>134</v>
      </c>
      <c r="F12" s="1" t="s">
        <v>144</v>
      </c>
      <c r="G12" s="1" t="s">
        <v>1631</v>
      </c>
      <c r="H12" s="1" t="s">
        <v>98</v>
      </c>
      <c r="I12" s="1" t="s">
        <v>113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1632</v>
      </c>
      <c r="B13" s="1" t="s">
        <v>147</v>
      </c>
      <c r="C13" s="1" t="s">
        <v>1621</v>
      </c>
      <c r="D13" s="1" t="s">
        <v>1633</v>
      </c>
      <c r="E13" s="1" t="s">
        <v>134</v>
      </c>
      <c r="F13" s="1" t="s">
        <v>149</v>
      </c>
      <c r="G13" s="1" t="s">
        <v>1634</v>
      </c>
      <c r="H13" s="1" t="s">
        <v>98</v>
      </c>
      <c r="I13" s="1" t="s">
        <v>113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1635</v>
      </c>
      <c r="B14" s="1" t="s">
        <v>1576</v>
      </c>
      <c r="C14" s="1" t="s">
        <v>1621</v>
      </c>
      <c r="D14" s="1" t="s">
        <v>1636</v>
      </c>
      <c r="E14" s="1" t="s">
        <v>134</v>
      </c>
      <c r="F14" s="1" t="s">
        <v>159</v>
      </c>
      <c r="G14" s="1" t="s">
        <v>1637</v>
      </c>
      <c r="H14" s="1" t="s">
        <v>98</v>
      </c>
      <c r="I14" s="1" t="s">
        <v>113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1638</v>
      </c>
      <c r="B15" s="1" t="s">
        <v>1580</v>
      </c>
      <c r="C15" s="1" t="s">
        <v>782</v>
      </c>
      <c r="D15" s="1" t="s">
        <v>1639</v>
      </c>
      <c r="E15" s="1" t="s">
        <v>134</v>
      </c>
      <c r="F15" s="1" t="s">
        <v>159</v>
      </c>
      <c r="G15" s="1" t="s">
        <v>1637</v>
      </c>
      <c r="H15" s="1" t="s">
        <v>98</v>
      </c>
      <c r="I15" s="1" t="s">
        <v>113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1640</v>
      </c>
      <c r="B16" s="1" t="s">
        <v>1583</v>
      </c>
      <c r="C16" s="1" t="s">
        <v>782</v>
      </c>
      <c r="D16" s="1" t="s">
        <v>1641</v>
      </c>
      <c r="E16" s="1" t="s">
        <v>134</v>
      </c>
      <c r="F16" s="1" t="s">
        <v>159</v>
      </c>
      <c r="G16" s="1" t="s">
        <v>1637</v>
      </c>
      <c r="H16" s="1" t="s">
        <v>98</v>
      </c>
      <c r="I16" s="1" t="s">
        <v>113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1642</v>
      </c>
      <c r="B17" s="1" t="s">
        <v>90</v>
      </c>
      <c r="C17" s="1" t="s">
        <v>782</v>
      </c>
      <c r="D17" s="1" t="s">
        <v>1643</v>
      </c>
      <c r="E17" s="1" t="s">
        <v>134</v>
      </c>
      <c r="F17" s="1" t="s">
        <v>154</v>
      </c>
      <c r="G17" s="1" t="s">
        <v>1644</v>
      </c>
      <c r="H17" s="1" t="s">
        <v>98</v>
      </c>
      <c r="I17" s="1" t="s">
        <v>113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1645</v>
      </c>
      <c r="B18" s="1" t="s">
        <v>1589</v>
      </c>
      <c r="C18" s="1" t="s">
        <v>1621</v>
      </c>
      <c r="D18" s="1" t="s">
        <v>1646</v>
      </c>
      <c r="E18" s="1" t="s">
        <v>134</v>
      </c>
      <c r="F18" s="1" t="s">
        <v>159</v>
      </c>
      <c r="G18" s="1" t="s">
        <v>1644</v>
      </c>
      <c r="H18" s="1" t="s">
        <v>98</v>
      </c>
      <c r="I18" s="1" t="s">
        <v>113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1647</v>
      </c>
      <c r="B19" s="1" t="s">
        <v>1592</v>
      </c>
      <c r="C19" s="1" t="s">
        <v>1621</v>
      </c>
      <c r="D19" s="1" t="s">
        <v>1648</v>
      </c>
      <c r="E19" s="1" t="s">
        <v>134</v>
      </c>
      <c r="F19" s="1" t="s">
        <v>154</v>
      </c>
      <c r="G19" s="1" t="s">
        <v>1626</v>
      </c>
      <c r="H19" s="1" t="s">
        <v>98</v>
      </c>
      <c r="I19" s="1" t="s">
        <v>113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1649</v>
      </c>
      <c r="B20" s="1" t="s">
        <v>1409</v>
      </c>
      <c r="C20" s="1" t="s">
        <v>782</v>
      </c>
      <c r="D20" s="1" t="s">
        <v>1650</v>
      </c>
      <c r="E20" s="1" t="s">
        <v>134</v>
      </c>
      <c r="F20" s="1" t="s">
        <v>159</v>
      </c>
      <c r="G20" s="1" t="s">
        <v>1637</v>
      </c>
      <c r="H20" s="1" t="s">
        <v>98</v>
      </c>
      <c r="I20" s="1" t="s">
        <v>113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1651</v>
      </c>
      <c r="B21" s="1" t="s">
        <v>182</v>
      </c>
      <c r="C21" s="1" t="s">
        <v>1621</v>
      </c>
      <c r="D21" s="1" t="s">
        <v>1652</v>
      </c>
      <c r="E21" s="1" t="s">
        <v>134</v>
      </c>
      <c r="F21" s="1" t="s">
        <v>159</v>
      </c>
      <c r="G21" s="1" t="s">
        <v>1637</v>
      </c>
      <c r="H21" s="1" t="s">
        <v>98</v>
      </c>
      <c r="I21" s="1" t="s">
        <v>113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1653</v>
      </c>
      <c r="B22" s="1" t="s">
        <v>162</v>
      </c>
      <c r="C22" s="1" t="s">
        <v>1621</v>
      </c>
      <c r="D22" s="1" t="s">
        <v>1654</v>
      </c>
      <c r="E22" s="1" t="s">
        <v>134</v>
      </c>
      <c r="F22" s="1" t="s">
        <v>164</v>
      </c>
      <c r="G22" s="1" t="s">
        <v>1637</v>
      </c>
      <c r="H22" s="1" t="s">
        <v>98</v>
      </c>
      <c r="I22" s="1" t="s">
        <v>113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1655</v>
      </c>
      <c r="B23" s="1" t="s">
        <v>167</v>
      </c>
      <c r="C23" s="1" t="s">
        <v>57</v>
      </c>
      <c r="D23" s="1" t="s">
        <v>1656</v>
      </c>
      <c r="E23" s="1" t="s">
        <v>134</v>
      </c>
      <c r="F23" s="1" t="s">
        <v>169</v>
      </c>
      <c r="G23" s="1" t="s">
        <v>1657</v>
      </c>
      <c r="H23" s="1" t="s">
        <v>92</v>
      </c>
      <c r="I23" s="1" t="s">
        <v>112</v>
      </c>
      <c r="J23" s="10" t="n">
        <v>46229</v>
      </c>
      <c r="K23" s="1" t="s">
        <v>1658</v>
      </c>
      <c r="L23" s="1" t="n">
        <v>1</v>
      </c>
      <c r="M23" s="1" t="n">
        <f aca="false">IF(OR(AND(I23="yes",H23="verified"),AND(I23="no",OR(H23="tested",H23="verified")),AND(H23="not applicable",K23&lt;&gt;"")),1,0)</f>
        <v>0</v>
      </c>
    </row>
    <row r="24" customFormat="false" ht="42" hidden="false" customHeight="true" outlineLevel="0" collapsed="false">
      <c r="A24" s="1" t="s">
        <v>1659</v>
      </c>
      <c r="B24" s="1" t="s">
        <v>187</v>
      </c>
      <c r="C24" s="1" t="s">
        <v>57</v>
      </c>
      <c r="D24" s="1" t="s">
        <v>1660</v>
      </c>
      <c r="E24" s="1" t="s">
        <v>134</v>
      </c>
      <c r="F24" s="1" t="s">
        <v>175</v>
      </c>
      <c r="G24" s="1" t="s">
        <v>1661</v>
      </c>
      <c r="H24" s="1" t="s">
        <v>92</v>
      </c>
      <c r="I24" s="1" t="s">
        <v>112</v>
      </c>
      <c r="J24" s="10" t="n">
        <v>46229</v>
      </c>
      <c r="K24" s="1" t="s">
        <v>1662</v>
      </c>
      <c r="L24" s="1" t="n">
        <v>1</v>
      </c>
      <c r="M24" s="1" t="n">
        <f aca="false">IF(OR(AND(I24="yes",H24="verified"),AND(I24="no",OR(H24="tested",H24="verified")),AND(H24="not applicable",K24&lt;&gt;"")),1,0)</f>
        <v>0</v>
      </c>
    </row>
    <row r="25" customFormat="false" ht="15" hidden="false" customHeight="true" outlineLevel="0" collapsed="false">
      <c r="A25" s="1" t="s">
        <v>1663</v>
      </c>
      <c r="B25" s="1" t="s">
        <v>191</v>
      </c>
      <c r="C25" s="1" t="s">
        <v>57</v>
      </c>
      <c r="D25" s="1" t="s">
        <v>1609</v>
      </c>
      <c r="E25" s="1" t="s">
        <v>134</v>
      </c>
      <c r="F25" s="1" t="s">
        <v>193</v>
      </c>
      <c r="G25" s="1" t="s">
        <v>1664</v>
      </c>
      <c r="H25" s="1" t="s">
        <v>98</v>
      </c>
      <c r="I25" s="1" t="s">
        <v>113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1665</v>
      </c>
      <c r="B26" s="1" t="s">
        <v>196</v>
      </c>
      <c r="C26" s="1" t="s">
        <v>57</v>
      </c>
      <c r="D26" s="1" t="s">
        <v>1612</v>
      </c>
      <c r="E26" s="1" t="s">
        <v>134</v>
      </c>
      <c r="F26" s="1" t="s">
        <v>193</v>
      </c>
      <c r="G26" s="1" t="s">
        <v>1666</v>
      </c>
      <c r="H26" s="1" t="s">
        <v>98</v>
      </c>
      <c r="I26" s="1" t="s">
        <v>113</v>
      </c>
      <c r="J26" s="10" t="n">
        <v>46229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15" hidden="false" customHeight="true" outlineLevel="0" collapsed="false">
      <c r="A27" s="1" t="s">
        <v>1667</v>
      </c>
      <c r="B27" s="1" t="s">
        <v>200</v>
      </c>
      <c r="C27" s="1" t="s">
        <v>57</v>
      </c>
      <c r="D27" s="1" t="s">
        <v>1668</v>
      </c>
      <c r="E27" s="1" t="s">
        <v>202</v>
      </c>
      <c r="F27" s="1" t="s">
        <v>202</v>
      </c>
      <c r="G27" s="1" t="s">
        <v>203</v>
      </c>
      <c r="H27" s="1" t="s">
        <v>98</v>
      </c>
      <c r="I27" s="1" t="s">
        <v>113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1669</v>
      </c>
      <c r="B28" s="1" t="s">
        <v>205</v>
      </c>
      <c r="C28" s="1" t="s">
        <v>57</v>
      </c>
      <c r="D28" s="1" t="s">
        <v>1670</v>
      </c>
      <c r="E28" s="1" t="s">
        <v>134</v>
      </c>
      <c r="F28" s="1" t="s">
        <v>134</v>
      </c>
      <c r="G28" s="1" t="s">
        <v>207</v>
      </c>
      <c r="H28" s="1" t="s">
        <v>98</v>
      </c>
      <c r="I28" s="1" t="s">
        <v>113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1671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1672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42" hidden="false" customHeight="true" outlineLevel="0" collapsed="false">
      <c r="A9" s="1" t="s">
        <v>1673</v>
      </c>
      <c r="B9" s="1" t="s">
        <v>90</v>
      </c>
      <c r="C9" s="1" t="s">
        <v>1674</v>
      </c>
      <c r="D9" s="1" t="s">
        <v>1675</v>
      </c>
      <c r="E9" s="1" t="s">
        <v>134</v>
      </c>
      <c r="F9" s="1" t="s">
        <v>135</v>
      </c>
      <c r="G9" s="1" t="s">
        <v>1676</v>
      </c>
      <c r="H9" s="1" t="s">
        <v>98</v>
      </c>
      <c r="I9" s="1" t="s">
        <v>113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1677</v>
      </c>
      <c r="B10" s="1" t="s">
        <v>1343</v>
      </c>
      <c r="C10" s="1" t="s">
        <v>1184</v>
      </c>
      <c r="D10" s="1" t="s">
        <v>1678</v>
      </c>
      <c r="E10" s="1" t="s">
        <v>134</v>
      </c>
      <c r="F10" s="1" t="s">
        <v>154</v>
      </c>
      <c r="G10" s="1" t="s">
        <v>1679</v>
      </c>
      <c r="H10" s="1" t="s">
        <v>98</v>
      </c>
      <c r="I10" s="1" t="s">
        <v>113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1680</v>
      </c>
      <c r="B11" s="1" t="s">
        <v>138</v>
      </c>
      <c r="C11" s="1" t="s">
        <v>58</v>
      </c>
      <c r="D11" s="1" t="s">
        <v>1681</v>
      </c>
      <c r="E11" s="1" t="s">
        <v>134</v>
      </c>
      <c r="F11" s="1" t="s">
        <v>134</v>
      </c>
      <c r="G11" s="1" t="s">
        <v>140</v>
      </c>
      <c r="H11" s="1" t="s">
        <v>98</v>
      </c>
      <c r="I11" s="1" t="s">
        <v>113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1682</v>
      </c>
      <c r="B12" s="1" t="s">
        <v>142</v>
      </c>
      <c r="C12" s="1" t="s">
        <v>1184</v>
      </c>
      <c r="D12" s="1" t="s">
        <v>1683</v>
      </c>
      <c r="E12" s="1" t="s">
        <v>134</v>
      </c>
      <c r="F12" s="1" t="s">
        <v>144</v>
      </c>
      <c r="G12" s="1" t="s">
        <v>1684</v>
      </c>
      <c r="H12" s="1" t="s">
        <v>98</v>
      </c>
      <c r="I12" s="1" t="s">
        <v>113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1685</v>
      </c>
      <c r="B13" s="1" t="s">
        <v>147</v>
      </c>
      <c r="C13" s="1" t="s">
        <v>1184</v>
      </c>
      <c r="D13" s="1" t="s">
        <v>1686</v>
      </c>
      <c r="E13" s="1" t="s">
        <v>134</v>
      </c>
      <c r="F13" s="1" t="s">
        <v>149</v>
      </c>
      <c r="G13" s="1" t="s">
        <v>1687</v>
      </c>
      <c r="H13" s="1" t="s">
        <v>98</v>
      </c>
      <c r="I13" s="1" t="s">
        <v>113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1688</v>
      </c>
      <c r="B14" s="1" t="s">
        <v>1576</v>
      </c>
      <c r="C14" s="1" t="s">
        <v>1689</v>
      </c>
      <c r="D14" s="1" t="s">
        <v>1690</v>
      </c>
      <c r="E14" s="1" t="s">
        <v>134</v>
      </c>
      <c r="F14" s="1" t="s">
        <v>159</v>
      </c>
      <c r="G14" s="1" t="s">
        <v>1691</v>
      </c>
      <c r="H14" s="1" t="s">
        <v>98</v>
      </c>
      <c r="I14" s="1" t="s">
        <v>113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1692</v>
      </c>
      <c r="B15" s="1" t="s">
        <v>1693</v>
      </c>
      <c r="C15" s="1" t="s">
        <v>1694</v>
      </c>
      <c r="D15" s="1" t="s">
        <v>1695</v>
      </c>
      <c r="E15" s="1" t="s">
        <v>134</v>
      </c>
      <c r="F15" s="1" t="s">
        <v>169</v>
      </c>
      <c r="G15" s="1" t="s">
        <v>1696</v>
      </c>
      <c r="H15" s="1" t="s">
        <v>100</v>
      </c>
      <c r="I15" s="1" t="s">
        <v>112</v>
      </c>
      <c r="J15" s="10" t="n">
        <v>46229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1697</v>
      </c>
      <c r="B16" s="1" t="s">
        <v>1698</v>
      </c>
      <c r="C16" s="1" t="s">
        <v>782</v>
      </c>
      <c r="D16" s="1" t="s">
        <v>1699</v>
      </c>
      <c r="E16" s="1" t="s">
        <v>134</v>
      </c>
      <c r="F16" s="1" t="s">
        <v>169</v>
      </c>
      <c r="G16" s="1" t="s">
        <v>1696</v>
      </c>
      <c r="H16" s="1" t="s">
        <v>100</v>
      </c>
      <c r="I16" s="1" t="s">
        <v>112</v>
      </c>
      <c r="J16" s="10" t="n">
        <v>46229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1700</v>
      </c>
      <c r="B17" s="1" t="s">
        <v>1086</v>
      </c>
      <c r="C17" s="1" t="s">
        <v>1701</v>
      </c>
      <c r="D17" s="1" t="s">
        <v>1702</v>
      </c>
      <c r="E17" s="1" t="s">
        <v>134</v>
      </c>
      <c r="F17" s="1" t="s">
        <v>159</v>
      </c>
      <c r="G17" s="1" t="s">
        <v>1703</v>
      </c>
      <c r="H17" s="1" t="s">
        <v>98</v>
      </c>
      <c r="I17" s="1" t="s">
        <v>113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1704</v>
      </c>
      <c r="B18" s="1" t="s">
        <v>1705</v>
      </c>
      <c r="C18" s="1" t="s">
        <v>1706</v>
      </c>
      <c r="D18" s="1" t="s">
        <v>1707</v>
      </c>
      <c r="E18" s="1" t="s">
        <v>134</v>
      </c>
      <c r="F18" s="1" t="s">
        <v>164</v>
      </c>
      <c r="G18" s="1" t="s">
        <v>1708</v>
      </c>
      <c r="H18" s="1" t="s">
        <v>98</v>
      </c>
      <c r="I18" s="1" t="s">
        <v>113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1709</v>
      </c>
      <c r="B19" s="1" t="s">
        <v>1710</v>
      </c>
      <c r="C19" s="1" t="s">
        <v>1711</v>
      </c>
      <c r="D19" s="1" t="s">
        <v>1712</v>
      </c>
      <c r="E19" s="1" t="s">
        <v>134</v>
      </c>
      <c r="F19" s="1" t="s">
        <v>154</v>
      </c>
      <c r="G19" s="1" t="s">
        <v>1708</v>
      </c>
      <c r="H19" s="1" t="s">
        <v>98</v>
      </c>
      <c r="I19" s="1" t="s">
        <v>113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1713</v>
      </c>
      <c r="B20" s="1" t="s">
        <v>1714</v>
      </c>
      <c r="C20" s="1" t="s">
        <v>1711</v>
      </c>
      <c r="D20" s="1" t="s">
        <v>1715</v>
      </c>
      <c r="E20" s="1" t="s">
        <v>134</v>
      </c>
      <c r="F20" s="1" t="s">
        <v>159</v>
      </c>
      <c r="G20" s="1" t="s">
        <v>1691</v>
      </c>
      <c r="H20" s="1" t="s">
        <v>98</v>
      </c>
      <c r="I20" s="1" t="s">
        <v>113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1716</v>
      </c>
      <c r="B21" s="1" t="s">
        <v>1717</v>
      </c>
      <c r="C21" s="1" t="s">
        <v>33</v>
      </c>
      <c r="D21" s="1" t="s">
        <v>1718</v>
      </c>
      <c r="E21" s="1" t="s">
        <v>134</v>
      </c>
      <c r="F21" s="1" t="s">
        <v>159</v>
      </c>
      <c r="G21" s="1" t="s">
        <v>1691</v>
      </c>
      <c r="H21" s="1" t="s">
        <v>98</v>
      </c>
      <c r="I21" s="1" t="s">
        <v>113</v>
      </c>
      <c r="J21" s="10" t="n">
        <v>46229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1719</v>
      </c>
      <c r="B22" s="1" t="s">
        <v>182</v>
      </c>
      <c r="C22" s="1" t="s">
        <v>1184</v>
      </c>
      <c r="D22" s="1" t="s">
        <v>1720</v>
      </c>
      <c r="E22" s="1" t="s">
        <v>134</v>
      </c>
      <c r="F22" s="1" t="s">
        <v>159</v>
      </c>
      <c r="G22" s="1" t="s">
        <v>1708</v>
      </c>
      <c r="H22" s="1" t="s">
        <v>98</v>
      </c>
      <c r="I22" s="1" t="s">
        <v>113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1721</v>
      </c>
      <c r="B23" s="1" t="s">
        <v>173</v>
      </c>
      <c r="C23" s="1" t="s">
        <v>1722</v>
      </c>
      <c r="D23" s="1" t="s">
        <v>1723</v>
      </c>
      <c r="E23" s="1" t="s">
        <v>134</v>
      </c>
      <c r="F23" s="1" t="s">
        <v>159</v>
      </c>
      <c r="G23" s="1" t="s">
        <v>1703</v>
      </c>
      <c r="H23" s="1" t="s">
        <v>98</v>
      </c>
      <c r="I23" s="1" t="s">
        <v>113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1724</v>
      </c>
      <c r="B24" s="1" t="s">
        <v>162</v>
      </c>
      <c r="C24" s="1" t="s">
        <v>1184</v>
      </c>
      <c r="D24" s="1" t="s">
        <v>1725</v>
      </c>
      <c r="E24" s="1" t="s">
        <v>134</v>
      </c>
      <c r="F24" s="1" t="s">
        <v>164</v>
      </c>
      <c r="G24" s="1" t="s">
        <v>1691</v>
      </c>
      <c r="H24" s="1" t="s">
        <v>98</v>
      </c>
      <c r="I24" s="1" t="s">
        <v>113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15" hidden="false" customHeight="true" outlineLevel="0" collapsed="false">
      <c r="A25" s="1" t="s">
        <v>1726</v>
      </c>
      <c r="B25" s="1" t="s">
        <v>167</v>
      </c>
      <c r="C25" s="1" t="s">
        <v>58</v>
      </c>
      <c r="D25" s="1" t="s">
        <v>1727</v>
      </c>
      <c r="E25" s="1" t="s">
        <v>134</v>
      </c>
      <c r="F25" s="1" t="s">
        <v>169</v>
      </c>
      <c r="G25" s="1" t="s">
        <v>1696</v>
      </c>
      <c r="H25" s="1" t="s">
        <v>100</v>
      </c>
      <c r="I25" s="1" t="s">
        <v>112</v>
      </c>
      <c r="J25" s="10" t="n">
        <v>46229</v>
      </c>
      <c r="K25" s="1" t="s">
        <v>1728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15" hidden="false" customHeight="true" outlineLevel="0" collapsed="false">
      <c r="A26" s="1" t="s">
        <v>1729</v>
      </c>
      <c r="B26" s="1" t="s">
        <v>187</v>
      </c>
      <c r="C26" s="1" t="s">
        <v>58</v>
      </c>
      <c r="D26" s="1" t="s">
        <v>1730</v>
      </c>
      <c r="E26" s="1" t="s">
        <v>134</v>
      </c>
      <c r="F26" s="1" t="s">
        <v>175</v>
      </c>
      <c r="G26" s="1" t="s">
        <v>1731</v>
      </c>
      <c r="H26" s="1" t="s">
        <v>92</v>
      </c>
      <c r="I26" s="1" t="s">
        <v>112</v>
      </c>
      <c r="J26" s="10" t="n">
        <v>46229</v>
      </c>
      <c r="K26" s="1" t="s">
        <v>1662</v>
      </c>
      <c r="L26" s="1" t="n">
        <v>1</v>
      </c>
      <c r="M26" s="1" t="n">
        <f aca="false">IF(OR(AND(I26="yes",H26="verified"),AND(I26="no",OR(H26="tested",H26="verified")),AND(H26="not applicable",K26&lt;&gt;"")),1,0)</f>
        <v>0</v>
      </c>
    </row>
    <row r="27" customFormat="false" ht="15" hidden="false" customHeight="true" outlineLevel="0" collapsed="false">
      <c r="A27" s="1" t="s">
        <v>1732</v>
      </c>
      <c r="B27" s="1" t="s">
        <v>191</v>
      </c>
      <c r="C27" s="1" t="s">
        <v>58</v>
      </c>
      <c r="D27" s="1" t="s">
        <v>1733</v>
      </c>
      <c r="E27" s="1" t="s">
        <v>134</v>
      </c>
      <c r="F27" s="1" t="s">
        <v>193</v>
      </c>
      <c r="G27" s="1" t="s">
        <v>1734</v>
      </c>
      <c r="H27" s="1" t="s">
        <v>98</v>
      </c>
      <c r="I27" s="1" t="s">
        <v>113</v>
      </c>
      <c r="J27" s="10" t="n">
        <v>46229</v>
      </c>
      <c r="L27" s="1" t="n">
        <v>1</v>
      </c>
      <c r="M27" s="1" t="n">
        <f aca="false">IF(OR(AND(I27="yes",H27="verified"),AND(I27="no",OR(H27="tested",H27="verified")),AND(H27="not applicable",K27&lt;&gt;"")),1,0)</f>
        <v>1</v>
      </c>
    </row>
    <row r="28" customFormat="false" ht="15" hidden="false" customHeight="true" outlineLevel="0" collapsed="false">
      <c r="A28" s="1" t="s">
        <v>1735</v>
      </c>
      <c r="B28" s="1" t="s">
        <v>196</v>
      </c>
      <c r="C28" s="1" t="s">
        <v>58</v>
      </c>
      <c r="D28" s="1" t="s">
        <v>1736</v>
      </c>
      <c r="E28" s="1" t="s">
        <v>134</v>
      </c>
      <c r="F28" s="1" t="s">
        <v>193</v>
      </c>
      <c r="G28" s="1" t="s">
        <v>1737</v>
      </c>
      <c r="H28" s="1" t="s">
        <v>98</v>
      </c>
      <c r="I28" s="1" t="s">
        <v>113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15" hidden="false" customHeight="true" outlineLevel="0" collapsed="false">
      <c r="A29" s="1" t="s">
        <v>1738</v>
      </c>
      <c r="B29" s="1" t="s">
        <v>622</v>
      </c>
      <c r="C29" s="1" t="s">
        <v>58</v>
      </c>
      <c r="D29" s="1" t="s">
        <v>1739</v>
      </c>
      <c r="E29" s="1" t="s">
        <v>134</v>
      </c>
      <c r="F29" s="1" t="s">
        <v>624</v>
      </c>
      <c r="G29" s="1" t="s">
        <v>1740</v>
      </c>
      <c r="H29" s="1" t="s">
        <v>98</v>
      </c>
      <c r="I29" s="1" t="s">
        <v>113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15" hidden="false" customHeight="true" outlineLevel="0" collapsed="false">
      <c r="A30" s="1" t="s">
        <v>1741</v>
      </c>
      <c r="B30" s="1" t="s">
        <v>200</v>
      </c>
      <c r="C30" s="1" t="s">
        <v>58</v>
      </c>
      <c r="D30" s="1" t="s">
        <v>1742</v>
      </c>
      <c r="E30" s="1" t="s">
        <v>202</v>
      </c>
      <c r="F30" s="1" t="s">
        <v>202</v>
      </c>
      <c r="G30" s="1" t="s">
        <v>203</v>
      </c>
      <c r="H30" s="1" t="s">
        <v>98</v>
      </c>
      <c r="I30" s="1" t="s">
        <v>113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" t="s">
        <v>1743</v>
      </c>
      <c r="B31" s="1" t="s">
        <v>205</v>
      </c>
      <c r="C31" s="1" t="s">
        <v>58</v>
      </c>
      <c r="D31" s="1" t="s">
        <v>1744</v>
      </c>
      <c r="E31" s="1" t="s">
        <v>134</v>
      </c>
      <c r="F31" s="1" t="s">
        <v>134</v>
      </c>
      <c r="G31" s="1" t="s">
        <v>207</v>
      </c>
      <c r="H31" s="1" t="s">
        <v>98</v>
      </c>
      <c r="I31" s="1" t="s">
        <v>113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1745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42" hidden="false" customHeight="true" outlineLevel="0" collapsed="false">
      <c r="A9" s="1" t="s">
        <v>1747</v>
      </c>
      <c r="B9" s="1" t="s">
        <v>90</v>
      </c>
      <c r="C9" s="1" t="s">
        <v>1184</v>
      </c>
      <c r="D9" s="1" t="s">
        <v>1748</v>
      </c>
      <c r="E9" s="1" t="s">
        <v>134</v>
      </c>
      <c r="F9" s="1" t="s">
        <v>135</v>
      </c>
      <c r="G9" s="1" t="s">
        <v>1749</v>
      </c>
      <c r="H9" s="8" t="s">
        <v>98</v>
      </c>
      <c r="I9" s="8" t="s">
        <v>113</v>
      </c>
      <c r="J9" s="10" t="n">
        <v>46229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1750</v>
      </c>
      <c r="B10" s="1" t="s">
        <v>1343</v>
      </c>
      <c r="C10" s="1" t="s">
        <v>1751</v>
      </c>
      <c r="D10" s="1" t="s">
        <v>1752</v>
      </c>
      <c r="E10" s="1" t="s">
        <v>134</v>
      </c>
      <c r="F10" s="1" t="s">
        <v>154</v>
      </c>
      <c r="G10" s="1" t="s">
        <v>1753</v>
      </c>
      <c r="H10" s="8" t="s">
        <v>98</v>
      </c>
      <c r="I10" s="8" t="s">
        <v>113</v>
      </c>
      <c r="J10" s="10" t="n">
        <v>46229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1754</v>
      </c>
      <c r="B11" s="1" t="s">
        <v>138</v>
      </c>
      <c r="C11" s="1" t="s">
        <v>59</v>
      </c>
      <c r="D11" s="1" t="s">
        <v>1755</v>
      </c>
      <c r="E11" s="1" t="s">
        <v>134</v>
      </c>
      <c r="F11" s="1" t="s">
        <v>134</v>
      </c>
      <c r="G11" s="1" t="s">
        <v>140</v>
      </c>
      <c r="H11" s="8" t="s">
        <v>98</v>
      </c>
      <c r="I11" s="8" t="s">
        <v>113</v>
      </c>
      <c r="J11" s="10" t="n">
        <v>46229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1756</v>
      </c>
      <c r="B12" s="1" t="s">
        <v>142</v>
      </c>
      <c r="C12" s="1" t="s">
        <v>1184</v>
      </c>
      <c r="D12" s="1" t="s">
        <v>1757</v>
      </c>
      <c r="E12" s="1" t="s">
        <v>134</v>
      </c>
      <c r="F12" s="1" t="s">
        <v>144</v>
      </c>
      <c r="G12" s="1" t="s">
        <v>1758</v>
      </c>
      <c r="H12" s="8" t="s">
        <v>98</v>
      </c>
      <c r="I12" s="8" t="s">
        <v>113</v>
      </c>
      <c r="J12" s="10" t="n">
        <v>46229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1759</v>
      </c>
      <c r="B13" s="1" t="s">
        <v>147</v>
      </c>
      <c r="C13" s="1" t="s">
        <v>1184</v>
      </c>
      <c r="D13" s="1" t="s">
        <v>1760</v>
      </c>
      <c r="E13" s="1" t="s">
        <v>134</v>
      </c>
      <c r="F13" s="1" t="s">
        <v>149</v>
      </c>
      <c r="G13" s="1" t="s">
        <v>1761</v>
      </c>
      <c r="H13" s="8" t="s">
        <v>98</v>
      </c>
      <c r="I13" s="8" t="s">
        <v>113</v>
      </c>
      <c r="J13" s="10" t="n">
        <v>46229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1762</v>
      </c>
      <c r="B14" s="1" t="s">
        <v>1576</v>
      </c>
      <c r="C14" s="1" t="s">
        <v>1763</v>
      </c>
      <c r="D14" s="1" t="s">
        <v>1764</v>
      </c>
      <c r="E14" s="1" t="s">
        <v>134</v>
      </c>
      <c r="F14" s="1" t="s">
        <v>159</v>
      </c>
      <c r="G14" s="1" t="s">
        <v>1765</v>
      </c>
      <c r="H14" s="8" t="s">
        <v>98</v>
      </c>
      <c r="I14" s="8" t="s">
        <v>113</v>
      </c>
      <c r="J14" s="10" t="n">
        <v>46229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1766</v>
      </c>
      <c r="B15" s="1" t="s">
        <v>1693</v>
      </c>
      <c r="C15" s="1" t="s">
        <v>1184</v>
      </c>
      <c r="D15" s="1" t="s">
        <v>1767</v>
      </c>
      <c r="E15" s="1" t="s">
        <v>134</v>
      </c>
      <c r="F15" s="1" t="s">
        <v>169</v>
      </c>
      <c r="G15" s="1" t="s">
        <v>1768</v>
      </c>
      <c r="H15" s="8" t="s">
        <v>100</v>
      </c>
      <c r="I15" s="8" t="s">
        <v>112</v>
      </c>
      <c r="J15" s="10" t="n">
        <v>46229</v>
      </c>
      <c r="K15" s="1" t="s">
        <v>1769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1770</v>
      </c>
      <c r="B16" s="1" t="s">
        <v>1698</v>
      </c>
      <c r="C16" s="1" t="s">
        <v>1771</v>
      </c>
      <c r="D16" s="1" t="s">
        <v>1772</v>
      </c>
      <c r="E16" s="1" t="s">
        <v>134</v>
      </c>
      <c r="F16" s="1" t="s">
        <v>169</v>
      </c>
      <c r="G16" s="1" t="s">
        <v>1768</v>
      </c>
      <c r="H16" s="8" t="s">
        <v>100</v>
      </c>
      <c r="I16" s="8" t="s">
        <v>112</v>
      </c>
      <c r="J16" s="10" t="n">
        <v>46229</v>
      </c>
      <c r="K16" s="1" t="s">
        <v>1773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1774</v>
      </c>
      <c r="B17" s="1" t="s">
        <v>1775</v>
      </c>
      <c r="C17" s="1" t="s">
        <v>1776</v>
      </c>
      <c r="D17" s="1" t="s">
        <v>1777</v>
      </c>
      <c r="E17" s="1" t="s">
        <v>134</v>
      </c>
      <c r="F17" s="1" t="s">
        <v>159</v>
      </c>
      <c r="G17" s="1" t="s">
        <v>1778</v>
      </c>
      <c r="H17" s="8" t="s">
        <v>98</v>
      </c>
      <c r="I17" s="8" t="s">
        <v>113</v>
      </c>
      <c r="J17" s="10" t="n">
        <v>46229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1779</v>
      </c>
      <c r="B18" s="1" t="s">
        <v>1589</v>
      </c>
      <c r="C18" s="1" t="s">
        <v>1780</v>
      </c>
      <c r="D18" s="1" t="s">
        <v>1781</v>
      </c>
      <c r="E18" s="1" t="s">
        <v>134</v>
      </c>
      <c r="F18" s="1" t="s">
        <v>159</v>
      </c>
      <c r="G18" s="1" t="s">
        <v>1778</v>
      </c>
      <c r="H18" s="8" t="s">
        <v>98</v>
      </c>
      <c r="I18" s="8" t="s">
        <v>113</v>
      </c>
      <c r="J18" s="10" t="n">
        <v>46229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1782</v>
      </c>
      <c r="B19" s="1" t="s">
        <v>1783</v>
      </c>
      <c r="C19" s="1" t="s">
        <v>1776</v>
      </c>
      <c r="D19" s="1" t="s">
        <v>1784</v>
      </c>
      <c r="E19" s="1" t="s">
        <v>134</v>
      </c>
      <c r="F19" s="1" t="s">
        <v>159</v>
      </c>
      <c r="G19" s="1" t="s">
        <v>1765</v>
      </c>
      <c r="H19" s="8" t="s">
        <v>98</v>
      </c>
      <c r="I19" s="8" t="s">
        <v>113</v>
      </c>
      <c r="J19" s="10" t="n">
        <v>46229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1785</v>
      </c>
      <c r="B20" s="1" t="s">
        <v>1786</v>
      </c>
      <c r="C20" s="1" t="s">
        <v>1086</v>
      </c>
      <c r="D20" s="1" t="s">
        <v>1787</v>
      </c>
      <c r="E20" s="1" t="s">
        <v>134</v>
      </c>
      <c r="F20" s="1" t="s">
        <v>154</v>
      </c>
      <c r="G20" s="1" t="s">
        <v>1788</v>
      </c>
      <c r="H20" s="8" t="s">
        <v>98</v>
      </c>
      <c r="I20" s="8" t="s">
        <v>113</v>
      </c>
      <c r="J20" s="10" t="n">
        <v>46229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1789</v>
      </c>
      <c r="B21" s="1" t="s">
        <v>1790</v>
      </c>
      <c r="C21" s="1" t="s">
        <v>1790</v>
      </c>
      <c r="D21" s="1" t="s">
        <v>1791</v>
      </c>
      <c r="E21" s="1" t="s">
        <v>134</v>
      </c>
      <c r="F21" s="1" t="s">
        <v>169</v>
      </c>
      <c r="G21" s="1" t="s">
        <v>1768</v>
      </c>
      <c r="H21" s="8" t="s">
        <v>100</v>
      </c>
      <c r="I21" s="8" t="s">
        <v>112</v>
      </c>
      <c r="J21" s="10" t="n">
        <v>46229</v>
      </c>
      <c r="K21" s="1" t="s">
        <v>1792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1793</v>
      </c>
      <c r="B22" s="1" t="s">
        <v>182</v>
      </c>
      <c r="C22" s="1" t="s">
        <v>1763</v>
      </c>
      <c r="D22" s="1" t="s">
        <v>1794</v>
      </c>
      <c r="E22" s="1" t="s">
        <v>134</v>
      </c>
      <c r="F22" s="1" t="s">
        <v>159</v>
      </c>
      <c r="G22" s="1" t="s">
        <v>1788</v>
      </c>
      <c r="H22" s="8" t="s">
        <v>98</v>
      </c>
      <c r="I22" s="8" t="s">
        <v>113</v>
      </c>
      <c r="J22" s="10" t="n">
        <v>46229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1795</v>
      </c>
      <c r="B23" s="1" t="s">
        <v>173</v>
      </c>
      <c r="C23" s="1" t="s">
        <v>1722</v>
      </c>
      <c r="D23" s="1" t="s">
        <v>1796</v>
      </c>
      <c r="E23" s="1" t="s">
        <v>134</v>
      </c>
      <c r="F23" s="1" t="s">
        <v>159</v>
      </c>
      <c r="G23" s="1" t="s">
        <v>1778</v>
      </c>
      <c r="H23" s="8" t="s">
        <v>98</v>
      </c>
      <c r="I23" s="8" t="s">
        <v>113</v>
      </c>
      <c r="J23" s="10" t="n">
        <v>46229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1797</v>
      </c>
      <c r="B24" s="1" t="s">
        <v>1229</v>
      </c>
      <c r="C24" s="1" t="s">
        <v>1722</v>
      </c>
      <c r="D24" s="1" t="s">
        <v>1798</v>
      </c>
      <c r="E24" s="1" t="s">
        <v>134</v>
      </c>
      <c r="F24" s="1" t="s">
        <v>159</v>
      </c>
      <c r="G24" s="1" t="s">
        <v>1765</v>
      </c>
      <c r="H24" s="8" t="s">
        <v>98</v>
      </c>
      <c r="I24" s="8" t="s">
        <v>113</v>
      </c>
      <c r="J24" s="10" t="n">
        <v>46229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1799</v>
      </c>
      <c r="B25" s="1" t="s">
        <v>162</v>
      </c>
      <c r="C25" s="1" t="s">
        <v>1184</v>
      </c>
      <c r="D25" s="1" t="s">
        <v>1800</v>
      </c>
      <c r="E25" s="1" t="s">
        <v>134</v>
      </c>
      <c r="F25" s="1" t="s">
        <v>164</v>
      </c>
      <c r="G25" s="1" t="s">
        <v>1765</v>
      </c>
      <c r="H25" s="8" t="s">
        <v>98</v>
      </c>
      <c r="I25" s="8" t="s">
        <v>113</v>
      </c>
      <c r="J25" s="10" t="n">
        <v>46229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1801</v>
      </c>
      <c r="B26" s="1" t="s">
        <v>167</v>
      </c>
      <c r="C26" s="1" t="s">
        <v>59</v>
      </c>
      <c r="D26" s="1" t="s">
        <v>1802</v>
      </c>
      <c r="E26" s="1" t="s">
        <v>134</v>
      </c>
      <c r="F26" s="1" t="s">
        <v>169</v>
      </c>
      <c r="G26" s="1" t="s">
        <v>1768</v>
      </c>
      <c r="H26" s="8" t="s">
        <v>100</v>
      </c>
      <c r="I26" s="8" t="s">
        <v>112</v>
      </c>
      <c r="J26" s="10" t="n">
        <v>46229</v>
      </c>
      <c r="K26" s="1" t="s">
        <v>1803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1804</v>
      </c>
      <c r="B27" s="1" t="s">
        <v>187</v>
      </c>
      <c r="C27" s="1" t="s">
        <v>59</v>
      </c>
      <c r="D27" s="1" t="s">
        <v>1805</v>
      </c>
      <c r="E27" s="1" t="s">
        <v>134</v>
      </c>
      <c r="F27" s="1" t="s">
        <v>175</v>
      </c>
      <c r="G27" s="1" t="s">
        <v>1806</v>
      </c>
      <c r="H27" s="8" t="s">
        <v>92</v>
      </c>
      <c r="I27" s="8" t="s">
        <v>112</v>
      </c>
      <c r="J27" s="10" t="n">
        <v>46229</v>
      </c>
      <c r="K27" s="1" t="s">
        <v>1807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1808</v>
      </c>
      <c r="B28" s="1" t="s">
        <v>191</v>
      </c>
      <c r="C28" s="1" t="s">
        <v>59</v>
      </c>
      <c r="D28" s="1" t="s">
        <v>1809</v>
      </c>
      <c r="E28" s="1" t="s">
        <v>134</v>
      </c>
      <c r="F28" s="1" t="s">
        <v>193</v>
      </c>
      <c r="G28" s="1" t="s">
        <v>1810</v>
      </c>
      <c r="H28" s="8" t="s">
        <v>98</v>
      </c>
      <c r="I28" s="8" t="s">
        <v>113</v>
      </c>
      <c r="J28" s="10" t="n">
        <v>46229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1811</v>
      </c>
      <c r="B29" s="1" t="s">
        <v>622</v>
      </c>
      <c r="C29" s="1" t="s">
        <v>59</v>
      </c>
      <c r="D29" s="1" t="s">
        <v>1812</v>
      </c>
      <c r="E29" s="1" t="s">
        <v>134</v>
      </c>
      <c r="F29" s="1" t="s">
        <v>624</v>
      </c>
      <c r="G29" s="1" t="s">
        <v>1813</v>
      </c>
      <c r="H29" s="8" t="s">
        <v>98</v>
      </c>
      <c r="I29" s="8" t="s">
        <v>113</v>
      </c>
      <c r="J29" s="10" t="n">
        <v>46229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1814</v>
      </c>
      <c r="B30" s="1" t="s">
        <v>200</v>
      </c>
      <c r="C30" s="1" t="s">
        <v>59</v>
      </c>
      <c r="D30" s="1" t="s">
        <v>1815</v>
      </c>
      <c r="E30" s="1" t="s">
        <v>202</v>
      </c>
      <c r="F30" s="1" t="s">
        <v>202</v>
      </c>
      <c r="G30" s="1" t="s">
        <v>203</v>
      </c>
      <c r="H30" s="8" t="s">
        <v>98</v>
      </c>
      <c r="I30" s="8" t="s">
        <v>113</v>
      </c>
      <c r="J30" s="10" t="n">
        <v>46229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1816</v>
      </c>
      <c r="B31" s="1" t="s">
        <v>205</v>
      </c>
      <c r="C31" s="1" t="s">
        <v>59</v>
      </c>
      <c r="D31" s="1" t="s">
        <v>1817</v>
      </c>
      <c r="E31" s="1" t="s">
        <v>134</v>
      </c>
      <c r="F31" s="1" t="s">
        <v>134</v>
      </c>
      <c r="G31" s="1" t="s">
        <v>207</v>
      </c>
      <c r="H31" s="8" t="s">
        <v>98</v>
      </c>
      <c r="I31" s="8" t="s">
        <v>113</v>
      </c>
      <c r="J31" s="10" t="n">
        <v>46229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autoFilter ref="A8:M31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1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1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1818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1819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116</v>
      </c>
      <c r="E4" s="6" t="n">
        <f aca="false">SUM(M9:M30)</f>
        <v>21</v>
      </c>
      <c r="G4" s="5" t="s">
        <v>14</v>
      </c>
      <c r="H4" s="7" t="n">
        <f aca="false">IF(B4=0,0,E4/B4)</f>
        <v>0.954545454545455</v>
      </c>
      <c r="J4" s="5" t="s">
        <v>15</v>
      </c>
      <c r="K4" s="6" t="str">
        <f aca="false">IF(COUNTIFS(E9:E30,"package",M9:M30,0)&gt;0,"open","complete")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1820</v>
      </c>
      <c r="B9" s="12" t="s">
        <v>90</v>
      </c>
      <c r="C9" s="12" t="s">
        <v>60</v>
      </c>
      <c r="D9" s="13" t="s">
        <v>1821</v>
      </c>
      <c r="E9" s="12" t="s">
        <v>134</v>
      </c>
      <c r="F9" s="12" t="s">
        <v>135</v>
      </c>
      <c r="G9" s="13" t="s">
        <v>1822</v>
      </c>
      <c r="H9" s="12" t="s">
        <v>98</v>
      </c>
      <c r="I9" s="12" t="s">
        <v>113</v>
      </c>
      <c r="J9" s="14" t="n">
        <v>46229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1823</v>
      </c>
      <c r="B10" s="12" t="s">
        <v>1343</v>
      </c>
      <c r="C10" s="12" t="s">
        <v>60</v>
      </c>
      <c r="D10" s="13" t="s">
        <v>1824</v>
      </c>
      <c r="E10" s="12" t="s">
        <v>134</v>
      </c>
      <c r="F10" s="12" t="s">
        <v>154</v>
      </c>
      <c r="G10" s="13" t="s">
        <v>1825</v>
      </c>
      <c r="H10" s="12" t="s">
        <v>98</v>
      </c>
      <c r="I10" s="12" t="s">
        <v>113</v>
      </c>
      <c r="J10" s="14" t="n">
        <v>46229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1826</v>
      </c>
      <c r="B11" s="12" t="s">
        <v>138</v>
      </c>
      <c r="C11" s="12" t="s">
        <v>60</v>
      </c>
      <c r="D11" s="13" t="s">
        <v>1827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n">
        <v>46229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1828</v>
      </c>
      <c r="B12" s="12" t="s">
        <v>142</v>
      </c>
      <c r="C12" s="12" t="s">
        <v>60</v>
      </c>
      <c r="D12" s="13" t="s">
        <v>1829</v>
      </c>
      <c r="E12" s="12" t="s">
        <v>134</v>
      </c>
      <c r="F12" s="12" t="s">
        <v>144</v>
      </c>
      <c r="G12" s="13" t="s">
        <v>1830</v>
      </c>
      <c r="H12" s="12" t="s">
        <v>98</v>
      </c>
      <c r="I12" s="12" t="s">
        <v>113</v>
      </c>
      <c r="J12" s="14" t="n">
        <v>46229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1831</v>
      </c>
      <c r="B13" s="12" t="s">
        <v>147</v>
      </c>
      <c r="C13" s="12" t="s">
        <v>60</v>
      </c>
      <c r="D13" s="13" t="s">
        <v>1832</v>
      </c>
      <c r="E13" s="12" t="s">
        <v>134</v>
      </c>
      <c r="F13" s="12" t="s">
        <v>149</v>
      </c>
      <c r="G13" s="13" t="s">
        <v>1833</v>
      </c>
      <c r="H13" s="12" t="s">
        <v>98</v>
      </c>
      <c r="I13" s="12" t="s">
        <v>113</v>
      </c>
      <c r="J13" s="14" t="n">
        <v>46229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1834</v>
      </c>
      <c r="B14" s="12" t="s">
        <v>1576</v>
      </c>
      <c r="C14" s="12" t="s">
        <v>60</v>
      </c>
      <c r="D14" s="13" t="s">
        <v>1835</v>
      </c>
      <c r="E14" s="12" t="s">
        <v>134</v>
      </c>
      <c r="F14" s="12" t="s">
        <v>159</v>
      </c>
      <c r="G14" s="13" t="s">
        <v>1836</v>
      </c>
      <c r="H14" s="12" t="s">
        <v>98</v>
      </c>
      <c r="I14" s="12" t="s">
        <v>113</v>
      </c>
      <c r="J14" s="14" t="n">
        <v>46229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1837</v>
      </c>
      <c r="B15" s="12" t="s">
        <v>1693</v>
      </c>
      <c r="C15" s="12" t="s">
        <v>60</v>
      </c>
      <c r="D15" s="13" t="s">
        <v>1838</v>
      </c>
      <c r="E15" s="12" t="s">
        <v>134</v>
      </c>
      <c r="F15" s="12" t="s">
        <v>169</v>
      </c>
      <c r="G15" s="13" t="s">
        <v>1839</v>
      </c>
      <c r="H15" s="12" t="s">
        <v>100</v>
      </c>
      <c r="I15" s="12" t="s">
        <v>112</v>
      </c>
      <c r="J15" s="14" t="n">
        <v>46229</v>
      </c>
      <c r="K15" s="13" t="s">
        <v>1769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1840</v>
      </c>
      <c r="B16" s="12" t="s">
        <v>1841</v>
      </c>
      <c r="C16" s="12" t="s">
        <v>60</v>
      </c>
      <c r="D16" s="13" t="s">
        <v>1842</v>
      </c>
      <c r="E16" s="12" t="s">
        <v>134</v>
      </c>
      <c r="F16" s="12" t="s">
        <v>169</v>
      </c>
      <c r="G16" s="13" t="s">
        <v>1839</v>
      </c>
      <c r="H16" s="12" t="s">
        <v>100</v>
      </c>
      <c r="I16" s="12" t="s">
        <v>112</v>
      </c>
      <c r="J16" s="14" t="n">
        <v>46229</v>
      </c>
      <c r="K16" s="13" t="s">
        <v>1843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1844</v>
      </c>
      <c r="B17" s="12" t="s">
        <v>1845</v>
      </c>
      <c r="C17" s="12" t="s">
        <v>60</v>
      </c>
      <c r="D17" s="13" t="s">
        <v>1846</v>
      </c>
      <c r="E17" s="12" t="s">
        <v>134</v>
      </c>
      <c r="F17" s="12" t="s">
        <v>159</v>
      </c>
      <c r="G17" s="13" t="s">
        <v>1847</v>
      </c>
      <c r="H17" s="12" t="s">
        <v>98</v>
      </c>
      <c r="I17" s="12" t="s">
        <v>113</v>
      </c>
      <c r="J17" s="14" t="n">
        <v>46229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1848</v>
      </c>
      <c r="B18" s="12" t="s">
        <v>1849</v>
      </c>
      <c r="C18" s="12" t="s">
        <v>60</v>
      </c>
      <c r="D18" s="13" t="s">
        <v>1850</v>
      </c>
      <c r="E18" s="12" t="s">
        <v>134</v>
      </c>
      <c r="F18" s="12" t="s">
        <v>159</v>
      </c>
      <c r="G18" s="13" t="s">
        <v>1836</v>
      </c>
      <c r="H18" s="12" t="s">
        <v>98</v>
      </c>
      <c r="I18" s="12" t="s">
        <v>113</v>
      </c>
      <c r="J18" s="14" t="n">
        <v>46229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1851</v>
      </c>
      <c r="B19" s="12" t="s">
        <v>1852</v>
      </c>
      <c r="C19" s="12" t="s">
        <v>60</v>
      </c>
      <c r="D19" s="13" t="s">
        <v>1853</v>
      </c>
      <c r="E19" s="12" t="s">
        <v>134</v>
      </c>
      <c r="F19" s="12" t="s">
        <v>159</v>
      </c>
      <c r="G19" s="13" t="s">
        <v>1854</v>
      </c>
      <c r="H19" s="12" t="s">
        <v>98</v>
      </c>
      <c r="I19" s="12" t="s">
        <v>113</v>
      </c>
      <c r="J19" s="14" t="n">
        <v>46229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1855</v>
      </c>
      <c r="B20" s="12" t="s">
        <v>182</v>
      </c>
      <c r="C20" s="12" t="s">
        <v>60</v>
      </c>
      <c r="D20" s="13" t="s">
        <v>1856</v>
      </c>
      <c r="E20" s="12" t="s">
        <v>134</v>
      </c>
      <c r="F20" s="12" t="s">
        <v>169</v>
      </c>
      <c r="G20" s="13" t="s">
        <v>1839</v>
      </c>
      <c r="H20" s="12" t="s">
        <v>100</v>
      </c>
      <c r="I20" s="12" t="s">
        <v>112</v>
      </c>
      <c r="J20" s="14" t="n">
        <v>46229</v>
      </c>
      <c r="K20" s="13" t="s">
        <v>1857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1858</v>
      </c>
      <c r="B21" s="12" t="s">
        <v>162</v>
      </c>
      <c r="C21" s="12" t="s">
        <v>60</v>
      </c>
      <c r="D21" s="13" t="s">
        <v>1859</v>
      </c>
      <c r="E21" s="12" t="s">
        <v>134</v>
      </c>
      <c r="F21" s="12" t="s">
        <v>164</v>
      </c>
      <c r="G21" s="13" t="s">
        <v>1836</v>
      </c>
      <c r="H21" s="12" t="s">
        <v>98</v>
      </c>
      <c r="I21" s="12" t="s">
        <v>113</v>
      </c>
      <c r="J21" s="14" t="n">
        <v>46229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1860</v>
      </c>
      <c r="B22" s="12" t="s">
        <v>173</v>
      </c>
      <c r="C22" s="12" t="s">
        <v>60</v>
      </c>
      <c r="D22" s="13" t="s">
        <v>1861</v>
      </c>
      <c r="E22" s="12" t="s">
        <v>134</v>
      </c>
      <c r="F22" s="12" t="s">
        <v>159</v>
      </c>
      <c r="G22" s="13" t="s">
        <v>1847</v>
      </c>
      <c r="H22" s="12" t="s">
        <v>98</v>
      </c>
      <c r="I22" s="12" t="s">
        <v>113</v>
      </c>
      <c r="J22" s="14" t="n">
        <v>46229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1862</v>
      </c>
      <c r="B23" s="12" t="s">
        <v>1863</v>
      </c>
      <c r="C23" s="12" t="s">
        <v>60</v>
      </c>
      <c r="D23" s="13" t="s">
        <v>1864</v>
      </c>
      <c r="E23" s="12" t="s">
        <v>134</v>
      </c>
      <c r="F23" s="12" t="s">
        <v>169</v>
      </c>
      <c r="G23" s="13" t="s">
        <v>1839</v>
      </c>
      <c r="H23" s="12" t="s">
        <v>100</v>
      </c>
      <c r="I23" s="12" t="s">
        <v>112</v>
      </c>
      <c r="J23" s="14" t="n">
        <v>46229</v>
      </c>
      <c r="K23" s="13" t="s">
        <v>1865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1866</v>
      </c>
      <c r="B24" s="12" t="s">
        <v>167</v>
      </c>
      <c r="C24" s="12" t="s">
        <v>60</v>
      </c>
      <c r="D24" s="13" t="s">
        <v>1867</v>
      </c>
      <c r="E24" s="12" t="s">
        <v>134</v>
      </c>
      <c r="F24" s="12" t="s">
        <v>169</v>
      </c>
      <c r="G24" s="13" t="s">
        <v>1839</v>
      </c>
      <c r="H24" s="12" t="s">
        <v>100</v>
      </c>
      <c r="I24" s="12" t="s">
        <v>112</v>
      </c>
      <c r="J24" s="14" t="n">
        <v>46229</v>
      </c>
      <c r="K24" s="13" t="s">
        <v>1868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1869</v>
      </c>
      <c r="B25" s="12" t="s">
        <v>187</v>
      </c>
      <c r="C25" s="12" t="s">
        <v>60</v>
      </c>
      <c r="D25" s="13" t="s">
        <v>1870</v>
      </c>
      <c r="E25" s="12" t="s">
        <v>134</v>
      </c>
      <c r="F25" s="12" t="s">
        <v>175</v>
      </c>
      <c r="G25" s="13" t="s">
        <v>1871</v>
      </c>
      <c r="H25" s="12" t="s">
        <v>92</v>
      </c>
      <c r="I25" s="12" t="s">
        <v>112</v>
      </c>
      <c r="J25" s="14" t="n">
        <v>46229</v>
      </c>
      <c r="K25" s="13" t="s">
        <v>1807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1872</v>
      </c>
      <c r="B26" s="12" t="s">
        <v>191</v>
      </c>
      <c r="C26" s="12" t="s">
        <v>60</v>
      </c>
      <c r="D26" s="13" t="s">
        <v>1873</v>
      </c>
      <c r="E26" s="12" t="s">
        <v>134</v>
      </c>
      <c r="F26" s="12" t="s">
        <v>193</v>
      </c>
      <c r="G26" s="13" t="s">
        <v>1874</v>
      </c>
      <c r="H26" s="12" t="s">
        <v>98</v>
      </c>
      <c r="I26" s="12" t="s">
        <v>113</v>
      </c>
      <c r="J26" s="14" t="n">
        <v>46229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1875</v>
      </c>
      <c r="B27" s="12" t="s">
        <v>196</v>
      </c>
      <c r="C27" s="12" t="s">
        <v>60</v>
      </c>
      <c r="D27" s="13" t="s">
        <v>1876</v>
      </c>
      <c r="E27" s="12" t="s">
        <v>134</v>
      </c>
      <c r="F27" s="12" t="s">
        <v>193</v>
      </c>
      <c r="G27" s="13" t="s">
        <v>1877</v>
      </c>
      <c r="H27" s="12" t="s">
        <v>98</v>
      </c>
      <c r="I27" s="12" t="s">
        <v>113</v>
      </c>
      <c r="J27" s="14" t="n">
        <v>46229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1878</v>
      </c>
      <c r="B28" s="12" t="s">
        <v>622</v>
      </c>
      <c r="C28" s="12" t="s">
        <v>60</v>
      </c>
      <c r="D28" s="13" t="s">
        <v>1879</v>
      </c>
      <c r="E28" s="12" t="s">
        <v>134</v>
      </c>
      <c r="F28" s="12" t="s">
        <v>624</v>
      </c>
      <c r="G28" s="13" t="s">
        <v>1880</v>
      </c>
      <c r="H28" s="12" t="s">
        <v>98</v>
      </c>
      <c r="I28" s="12" t="s">
        <v>113</v>
      </c>
      <c r="J28" s="14" t="n">
        <v>46229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1881</v>
      </c>
      <c r="B29" s="12" t="s">
        <v>200</v>
      </c>
      <c r="C29" s="12" t="s">
        <v>60</v>
      </c>
      <c r="D29" s="13" t="s">
        <v>1882</v>
      </c>
      <c r="E29" s="12" t="s">
        <v>202</v>
      </c>
      <c r="F29" s="12" t="s">
        <v>202</v>
      </c>
      <c r="G29" s="13" t="s">
        <v>203</v>
      </c>
      <c r="H29" s="12" t="s">
        <v>98</v>
      </c>
      <c r="I29" s="12" t="s">
        <v>113</v>
      </c>
      <c r="J29" s="14" t="n">
        <v>46229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1883</v>
      </c>
      <c r="B30" s="12" t="s">
        <v>205</v>
      </c>
      <c r="C30" s="12" t="s">
        <v>60</v>
      </c>
      <c r="D30" s="13" t="s">
        <v>1884</v>
      </c>
      <c r="E30" s="12" t="s">
        <v>134</v>
      </c>
      <c r="F30" s="12" t="s">
        <v>134</v>
      </c>
      <c r="G30" s="13" t="s">
        <v>207</v>
      </c>
      <c r="H30" s="12" t="s">
        <v>98</v>
      </c>
      <c r="I30" s="12" t="s">
        <v>113</v>
      </c>
      <c r="J30" s="14" t="n">
        <v>46229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</sheetData>
  <autoFilter ref="A8:M30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0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0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1885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42" hidden="false" customHeight="true" outlineLevel="0" collapsed="false">
      <c r="A9" s="1" t="s">
        <v>1886</v>
      </c>
      <c r="B9" s="1" t="s">
        <v>90</v>
      </c>
      <c r="C9" s="1" t="s">
        <v>1184</v>
      </c>
      <c r="D9" s="1" t="s">
        <v>1887</v>
      </c>
      <c r="E9" s="1" t="s">
        <v>134</v>
      </c>
      <c r="F9" s="1" t="s">
        <v>135</v>
      </c>
      <c r="G9" s="1" t="s">
        <v>1888</v>
      </c>
      <c r="H9" s="1" t="s">
        <v>98</v>
      </c>
      <c r="I9" s="1" t="s">
        <v>113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1889</v>
      </c>
      <c r="B10" s="1" t="s">
        <v>1343</v>
      </c>
      <c r="C10" s="1" t="s">
        <v>1184</v>
      </c>
      <c r="D10" s="1" t="s">
        <v>1890</v>
      </c>
      <c r="E10" s="1" t="s">
        <v>134</v>
      </c>
      <c r="F10" s="1" t="s">
        <v>154</v>
      </c>
      <c r="G10" s="1" t="s">
        <v>1891</v>
      </c>
      <c r="H10" s="1" t="s">
        <v>98</v>
      </c>
      <c r="I10" s="1" t="s">
        <v>113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1892</v>
      </c>
      <c r="B11" s="1" t="s">
        <v>138</v>
      </c>
      <c r="C11" s="1" t="s">
        <v>1893</v>
      </c>
      <c r="D11" s="1" t="s">
        <v>1894</v>
      </c>
      <c r="E11" s="1" t="s">
        <v>134</v>
      </c>
      <c r="F11" s="1" t="s">
        <v>134</v>
      </c>
      <c r="G11" s="1" t="s">
        <v>1895</v>
      </c>
      <c r="H11" s="1" t="s">
        <v>98</v>
      </c>
      <c r="I11" s="1" t="s">
        <v>113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1896</v>
      </c>
      <c r="B12" s="1" t="s">
        <v>142</v>
      </c>
      <c r="C12" s="1" t="s">
        <v>1184</v>
      </c>
      <c r="D12" s="1" t="s">
        <v>1897</v>
      </c>
      <c r="E12" s="1" t="s">
        <v>134</v>
      </c>
      <c r="F12" s="1" t="s">
        <v>144</v>
      </c>
      <c r="G12" s="1" t="s">
        <v>1898</v>
      </c>
      <c r="H12" s="1" t="s">
        <v>98</v>
      </c>
      <c r="I12" s="1" t="s">
        <v>113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1899</v>
      </c>
      <c r="B13" s="1" t="s">
        <v>147</v>
      </c>
      <c r="C13" s="1" t="s">
        <v>1184</v>
      </c>
      <c r="D13" s="1" t="s">
        <v>1900</v>
      </c>
      <c r="E13" s="1" t="s">
        <v>134</v>
      </c>
      <c r="F13" s="1" t="s">
        <v>149</v>
      </c>
      <c r="G13" s="1" t="s">
        <v>1901</v>
      </c>
      <c r="H13" s="1" t="s">
        <v>98</v>
      </c>
      <c r="I13" s="1" t="s">
        <v>113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1902</v>
      </c>
      <c r="B14" s="1" t="s">
        <v>1576</v>
      </c>
      <c r="C14" s="1" t="s">
        <v>1903</v>
      </c>
      <c r="D14" s="1" t="s">
        <v>1904</v>
      </c>
      <c r="E14" s="1" t="s">
        <v>134</v>
      </c>
      <c r="F14" s="1" t="s">
        <v>159</v>
      </c>
      <c r="G14" s="1" t="s">
        <v>1905</v>
      </c>
      <c r="H14" s="1" t="s">
        <v>98</v>
      </c>
      <c r="I14" s="1" t="s">
        <v>113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1906</v>
      </c>
      <c r="B15" s="1" t="s">
        <v>1698</v>
      </c>
      <c r="C15" s="1" t="s">
        <v>1907</v>
      </c>
      <c r="D15" s="1" t="s">
        <v>1908</v>
      </c>
      <c r="E15" s="1" t="s">
        <v>134</v>
      </c>
      <c r="F15" s="1" t="s">
        <v>169</v>
      </c>
      <c r="G15" s="1" t="s">
        <v>1909</v>
      </c>
      <c r="H15" s="1" t="s">
        <v>100</v>
      </c>
      <c r="I15" s="1" t="s">
        <v>112</v>
      </c>
      <c r="J15" s="10" t="n">
        <v>46230</v>
      </c>
      <c r="K15" s="1" t="s">
        <v>1910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1911</v>
      </c>
      <c r="B16" s="1" t="s">
        <v>1343</v>
      </c>
      <c r="C16" s="1" t="s">
        <v>1912</v>
      </c>
      <c r="D16" s="1" t="s">
        <v>1913</v>
      </c>
      <c r="E16" s="1" t="s">
        <v>134</v>
      </c>
      <c r="F16" s="1" t="s">
        <v>169</v>
      </c>
      <c r="G16" s="1" t="s">
        <v>1909</v>
      </c>
      <c r="H16" s="1" t="s">
        <v>100</v>
      </c>
      <c r="I16" s="1" t="s">
        <v>112</v>
      </c>
      <c r="J16" s="10" t="n">
        <v>46230</v>
      </c>
      <c r="K16" s="1" t="s">
        <v>1914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1915</v>
      </c>
      <c r="B17" s="1" t="s">
        <v>1916</v>
      </c>
      <c r="C17" s="1" t="s">
        <v>1917</v>
      </c>
      <c r="D17" s="1" t="s">
        <v>1918</v>
      </c>
      <c r="E17" s="1" t="s">
        <v>134</v>
      </c>
      <c r="F17" s="1" t="s">
        <v>159</v>
      </c>
      <c r="G17" s="1" t="s">
        <v>1905</v>
      </c>
      <c r="H17" s="1" t="s">
        <v>98</v>
      </c>
      <c r="I17" s="1" t="s">
        <v>113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1919</v>
      </c>
      <c r="B18" s="1" t="s">
        <v>1589</v>
      </c>
      <c r="C18" s="1" t="s">
        <v>1920</v>
      </c>
      <c r="D18" s="1" t="s">
        <v>1921</v>
      </c>
      <c r="E18" s="1" t="s">
        <v>134</v>
      </c>
      <c r="F18" s="1" t="s">
        <v>159</v>
      </c>
      <c r="G18" s="1" t="s">
        <v>1922</v>
      </c>
      <c r="H18" s="1" t="s">
        <v>98</v>
      </c>
      <c r="I18" s="1" t="s">
        <v>113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1923</v>
      </c>
      <c r="B19" s="1" t="s">
        <v>1924</v>
      </c>
      <c r="C19" s="1" t="s">
        <v>1925</v>
      </c>
      <c r="D19" s="1" t="s">
        <v>1926</v>
      </c>
      <c r="E19" s="1" t="s">
        <v>134</v>
      </c>
      <c r="F19" s="1" t="s">
        <v>159</v>
      </c>
      <c r="G19" s="1" t="s">
        <v>1905</v>
      </c>
      <c r="H19" s="1" t="s">
        <v>98</v>
      </c>
      <c r="I19" s="1" t="s">
        <v>113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1927</v>
      </c>
      <c r="B20" s="1" t="s">
        <v>1583</v>
      </c>
      <c r="C20" s="1" t="s">
        <v>1417</v>
      </c>
      <c r="D20" s="1" t="s">
        <v>1928</v>
      </c>
      <c r="E20" s="1" t="s">
        <v>134</v>
      </c>
      <c r="F20" s="1" t="s">
        <v>159</v>
      </c>
      <c r="G20" s="1" t="s">
        <v>1905</v>
      </c>
      <c r="H20" s="1" t="s">
        <v>98</v>
      </c>
      <c r="I20" s="1" t="s">
        <v>113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1929</v>
      </c>
      <c r="B21" s="1" t="s">
        <v>182</v>
      </c>
      <c r="C21" s="1" t="s">
        <v>1930</v>
      </c>
      <c r="D21" s="1" t="s">
        <v>1931</v>
      </c>
      <c r="E21" s="1" t="s">
        <v>134</v>
      </c>
      <c r="F21" s="1" t="s">
        <v>159</v>
      </c>
      <c r="G21" s="1" t="s">
        <v>1932</v>
      </c>
      <c r="H21" s="1" t="s">
        <v>98</v>
      </c>
      <c r="I21" s="1" t="s">
        <v>113</v>
      </c>
      <c r="J21" s="10" t="n">
        <v>46230</v>
      </c>
      <c r="K21" s="1" t="s">
        <v>1792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1933</v>
      </c>
      <c r="B22" s="1" t="s">
        <v>173</v>
      </c>
      <c r="C22" s="1" t="s">
        <v>1907</v>
      </c>
      <c r="D22" s="1" t="s">
        <v>1934</v>
      </c>
      <c r="E22" s="1" t="s">
        <v>134</v>
      </c>
      <c r="F22" s="1" t="s">
        <v>159</v>
      </c>
      <c r="G22" s="1" t="s">
        <v>1922</v>
      </c>
      <c r="H22" s="1" t="s">
        <v>98</v>
      </c>
      <c r="I22" s="1" t="s">
        <v>113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1935</v>
      </c>
      <c r="B23" s="1" t="s">
        <v>1229</v>
      </c>
      <c r="C23" s="1" t="s">
        <v>1907</v>
      </c>
      <c r="D23" s="1" t="s">
        <v>1936</v>
      </c>
      <c r="E23" s="1" t="s">
        <v>134</v>
      </c>
      <c r="F23" s="1" t="s">
        <v>159</v>
      </c>
      <c r="G23" s="1" t="s">
        <v>1905</v>
      </c>
      <c r="H23" s="1" t="s">
        <v>98</v>
      </c>
      <c r="I23" s="1" t="s">
        <v>113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1937</v>
      </c>
      <c r="B24" s="1" t="s">
        <v>162</v>
      </c>
      <c r="C24" s="1" t="s">
        <v>1184</v>
      </c>
      <c r="D24" s="1" t="s">
        <v>1938</v>
      </c>
      <c r="E24" s="1" t="s">
        <v>134</v>
      </c>
      <c r="F24" s="1" t="s">
        <v>164</v>
      </c>
      <c r="G24" s="1" t="s">
        <v>1905</v>
      </c>
      <c r="H24" s="1" t="s">
        <v>98</v>
      </c>
      <c r="I24" s="1" t="s">
        <v>113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1939</v>
      </c>
      <c r="B25" s="1" t="s">
        <v>167</v>
      </c>
      <c r="C25" s="1" t="s">
        <v>1893</v>
      </c>
      <c r="D25" s="1" t="s">
        <v>1940</v>
      </c>
      <c r="E25" s="1" t="s">
        <v>134</v>
      </c>
      <c r="F25" s="1" t="s">
        <v>169</v>
      </c>
      <c r="G25" s="1" t="s">
        <v>1909</v>
      </c>
      <c r="H25" s="1" t="s">
        <v>100</v>
      </c>
      <c r="I25" s="1" t="s">
        <v>112</v>
      </c>
      <c r="J25" s="10" t="n">
        <v>46230</v>
      </c>
      <c r="K25" s="1" t="s">
        <v>1941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1942</v>
      </c>
      <c r="B26" s="1" t="s">
        <v>1583</v>
      </c>
      <c r="C26" s="1" t="s">
        <v>1943</v>
      </c>
      <c r="D26" s="1" t="s">
        <v>1944</v>
      </c>
      <c r="E26" s="1" t="s">
        <v>134</v>
      </c>
      <c r="F26" s="1" t="s">
        <v>159</v>
      </c>
      <c r="G26" s="1" t="s">
        <v>1905</v>
      </c>
      <c r="H26" s="1" t="s">
        <v>98</v>
      </c>
      <c r="I26" s="1" t="s">
        <v>113</v>
      </c>
      <c r="J26" s="10" t="n">
        <v>46230</v>
      </c>
      <c r="K26" s="1" t="s">
        <v>1803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1945</v>
      </c>
      <c r="B27" s="1" t="s">
        <v>187</v>
      </c>
      <c r="C27" s="1" t="s">
        <v>61</v>
      </c>
      <c r="D27" s="1" t="s">
        <v>1946</v>
      </c>
      <c r="E27" s="1" t="s">
        <v>134</v>
      </c>
      <c r="F27" s="1" t="s">
        <v>175</v>
      </c>
      <c r="G27" s="1" t="s">
        <v>1947</v>
      </c>
      <c r="H27" s="1" t="s">
        <v>92</v>
      </c>
      <c r="I27" s="1" t="s">
        <v>112</v>
      </c>
      <c r="J27" s="10" t="n">
        <v>46230</v>
      </c>
      <c r="K27" s="1" t="s">
        <v>1807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1948</v>
      </c>
      <c r="B28" s="1" t="s">
        <v>191</v>
      </c>
      <c r="C28" s="1" t="s">
        <v>61</v>
      </c>
      <c r="D28" s="1" t="s">
        <v>1809</v>
      </c>
      <c r="E28" s="1" t="s">
        <v>134</v>
      </c>
      <c r="F28" s="1" t="s">
        <v>193</v>
      </c>
      <c r="G28" s="1" t="s">
        <v>1949</v>
      </c>
      <c r="H28" s="1" t="s">
        <v>98</v>
      </c>
      <c r="I28" s="1" t="s">
        <v>113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1950</v>
      </c>
      <c r="B29" s="1" t="s">
        <v>622</v>
      </c>
      <c r="C29" s="1" t="s">
        <v>61</v>
      </c>
      <c r="D29" s="1" t="s">
        <v>1951</v>
      </c>
      <c r="E29" s="1" t="s">
        <v>134</v>
      </c>
      <c r="F29" s="1" t="s">
        <v>624</v>
      </c>
      <c r="G29" s="1" t="s">
        <v>1952</v>
      </c>
      <c r="H29" s="1" t="s">
        <v>98</v>
      </c>
      <c r="I29" s="1" t="s">
        <v>113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1953</v>
      </c>
      <c r="B30" s="1" t="s">
        <v>200</v>
      </c>
      <c r="C30" s="1" t="s">
        <v>61</v>
      </c>
      <c r="D30" s="1" t="s">
        <v>1954</v>
      </c>
      <c r="E30" s="1" t="s">
        <v>202</v>
      </c>
      <c r="F30" s="1" t="s">
        <v>202</v>
      </c>
      <c r="G30" s="1" t="s">
        <v>203</v>
      </c>
      <c r="H30" s="1" t="s">
        <v>98</v>
      </c>
      <c r="I30" s="1" t="s">
        <v>113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1955</v>
      </c>
      <c r="B31" s="1" t="s">
        <v>205</v>
      </c>
      <c r="C31" s="1" t="s">
        <v>61</v>
      </c>
      <c r="D31" s="1" t="s">
        <v>1817</v>
      </c>
      <c r="E31" s="1" t="s">
        <v>134</v>
      </c>
      <c r="F31" s="1" t="s">
        <v>134</v>
      </c>
      <c r="G31" s="1" t="s">
        <v>207</v>
      </c>
      <c r="H31" s="1" t="s">
        <v>98</v>
      </c>
      <c r="I31" s="1" t="s">
        <v>113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1956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42" hidden="false" customHeight="true" outlineLevel="0" collapsed="false">
      <c r="A9" s="1" t="s">
        <v>1957</v>
      </c>
      <c r="B9" s="1" t="s">
        <v>90</v>
      </c>
      <c r="C9" s="1" t="s">
        <v>1184</v>
      </c>
      <c r="D9" s="1" t="s">
        <v>1958</v>
      </c>
      <c r="E9" s="1" t="s">
        <v>134</v>
      </c>
      <c r="F9" s="1" t="s">
        <v>135</v>
      </c>
      <c r="G9" s="1" t="s">
        <v>1959</v>
      </c>
      <c r="H9" s="1" t="s">
        <v>98</v>
      </c>
      <c r="I9" s="1" t="s">
        <v>113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1960</v>
      </c>
      <c r="B10" s="1" t="s">
        <v>1343</v>
      </c>
      <c r="C10" s="1" t="s">
        <v>1184</v>
      </c>
      <c r="D10" s="1" t="s">
        <v>1961</v>
      </c>
      <c r="E10" s="1" t="s">
        <v>134</v>
      </c>
      <c r="F10" s="1" t="s">
        <v>154</v>
      </c>
      <c r="G10" s="1" t="s">
        <v>1962</v>
      </c>
      <c r="H10" s="1" t="s">
        <v>98</v>
      </c>
      <c r="I10" s="1" t="s">
        <v>113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1963</v>
      </c>
      <c r="B11" s="1" t="s">
        <v>138</v>
      </c>
      <c r="C11" s="1" t="s">
        <v>1964</v>
      </c>
      <c r="D11" s="1" t="s">
        <v>1965</v>
      </c>
      <c r="E11" s="1" t="s">
        <v>134</v>
      </c>
      <c r="F11" s="1" t="s">
        <v>134</v>
      </c>
      <c r="G11" s="1" t="s">
        <v>1895</v>
      </c>
      <c r="H11" s="1" t="s">
        <v>98</v>
      </c>
      <c r="I11" s="1" t="s">
        <v>113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1966</v>
      </c>
      <c r="B12" s="1" t="s">
        <v>142</v>
      </c>
      <c r="C12" s="1" t="s">
        <v>1184</v>
      </c>
      <c r="D12" s="1" t="s">
        <v>1967</v>
      </c>
      <c r="E12" s="1" t="s">
        <v>134</v>
      </c>
      <c r="F12" s="1" t="s">
        <v>144</v>
      </c>
      <c r="G12" s="1" t="s">
        <v>1968</v>
      </c>
      <c r="H12" s="1" t="s">
        <v>98</v>
      </c>
      <c r="I12" s="1" t="s">
        <v>113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1969</v>
      </c>
      <c r="B13" s="1" t="s">
        <v>147</v>
      </c>
      <c r="C13" s="1" t="s">
        <v>1184</v>
      </c>
      <c r="D13" s="1" t="s">
        <v>1970</v>
      </c>
      <c r="E13" s="1" t="s">
        <v>134</v>
      </c>
      <c r="F13" s="1" t="s">
        <v>149</v>
      </c>
      <c r="G13" s="1" t="s">
        <v>1971</v>
      </c>
      <c r="H13" s="1" t="s">
        <v>98</v>
      </c>
      <c r="I13" s="1" t="s">
        <v>113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1972</v>
      </c>
      <c r="B14" s="1" t="s">
        <v>1973</v>
      </c>
      <c r="C14" s="1" t="s">
        <v>1417</v>
      </c>
      <c r="D14" s="1" t="s">
        <v>1974</v>
      </c>
      <c r="E14" s="1" t="s">
        <v>134</v>
      </c>
      <c r="F14" s="1" t="s">
        <v>159</v>
      </c>
      <c r="G14" s="1" t="s">
        <v>1975</v>
      </c>
      <c r="H14" s="1" t="s">
        <v>98</v>
      </c>
      <c r="I14" s="1" t="s">
        <v>113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1976</v>
      </c>
      <c r="B15" s="1" t="s">
        <v>1698</v>
      </c>
      <c r="C15" s="1" t="s">
        <v>1907</v>
      </c>
      <c r="D15" s="1" t="s">
        <v>1977</v>
      </c>
      <c r="E15" s="1" t="s">
        <v>134</v>
      </c>
      <c r="F15" s="1" t="s">
        <v>169</v>
      </c>
      <c r="G15" s="1" t="s">
        <v>1978</v>
      </c>
      <c r="H15" s="1" t="s">
        <v>100</v>
      </c>
      <c r="I15" s="1" t="s">
        <v>112</v>
      </c>
      <c r="J15" s="10" t="n">
        <v>46230</v>
      </c>
      <c r="K15" s="1" t="s">
        <v>1979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1980</v>
      </c>
      <c r="B16" s="1" t="s">
        <v>1343</v>
      </c>
      <c r="C16" s="1" t="s">
        <v>1981</v>
      </c>
      <c r="D16" s="1" t="s">
        <v>1982</v>
      </c>
      <c r="E16" s="1" t="s">
        <v>134</v>
      </c>
      <c r="F16" s="1" t="s">
        <v>169</v>
      </c>
      <c r="G16" s="1" t="s">
        <v>1978</v>
      </c>
      <c r="H16" s="1" t="s">
        <v>100</v>
      </c>
      <c r="I16" s="1" t="s">
        <v>112</v>
      </c>
      <c r="J16" s="10" t="n">
        <v>46230</v>
      </c>
      <c r="K16" s="1" t="s">
        <v>1979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1983</v>
      </c>
      <c r="B17" s="1" t="s">
        <v>1916</v>
      </c>
      <c r="C17" s="1" t="s">
        <v>1917</v>
      </c>
      <c r="D17" s="1" t="s">
        <v>1984</v>
      </c>
      <c r="E17" s="1" t="s">
        <v>134</v>
      </c>
      <c r="F17" s="1" t="s">
        <v>159</v>
      </c>
      <c r="G17" s="1" t="s">
        <v>1975</v>
      </c>
      <c r="H17" s="1" t="s">
        <v>98</v>
      </c>
      <c r="I17" s="1" t="s">
        <v>113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1985</v>
      </c>
      <c r="B18" s="1" t="s">
        <v>1589</v>
      </c>
      <c r="C18" s="1" t="s">
        <v>1920</v>
      </c>
      <c r="D18" s="1" t="s">
        <v>1986</v>
      </c>
      <c r="E18" s="1" t="s">
        <v>134</v>
      </c>
      <c r="F18" s="1" t="s">
        <v>159</v>
      </c>
      <c r="G18" s="1" t="s">
        <v>1975</v>
      </c>
      <c r="H18" s="1" t="s">
        <v>98</v>
      </c>
      <c r="I18" s="1" t="s">
        <v>113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1987</v>
      </c>
      <c r="B19" s="1" t="s">
        <v>1924</v>
      </c>
      <c r="C19" s="1" t="s">
        <v>1925</v>
      </c>
      <c r="D19" s="1" t="s">
        <v>1988</v>
      </c>
      <c r="E19" s="1" t="s">
        <v>134</v>
      </c>
      <c r="F19" s="1" t="s">
        <v>159</v>
      </c>
      <c r="G19" s="1" t="s">
        <v>1975</v>
      </c>
      <c r="H19" s="1" t="s">
        <v>98</v>
      </c>
      <c r="I19" s="1" t="s">
        <v>113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1989</v>
      </c>
      <c r="B20" s="1" t="s">
        <v>1583</v>
      </c>
      <c r="C20" s="1" t="s">
        <v>1943</v>
      </c>
      <c r="D20" s="1" t="s">
        <v>1944</v>
      </c>
      <c r="E20" s="1" t="s">
        <v>134</v>
      </c>
      <c r="F20" s="1" t="s">
        <v>159</v>
      </c>
      <c r="G20" s="1" t="s">
        <v>1975</v>
      </c>
      <c r="H20" s="1" t="s">
        <v>98</v>
      </c>
      <c r="I20" s="1" t="s">
        <v>113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1990</v>
      </c>
      <c r="B21" s="1" t="s">
        <v>182</v>
      </c>
      <c r="C21" s="1" t="s">
        <v>1991</v>
      </c>
      <c r="D21" s="1" t="s">
        <v>1992</v>
      </c>
      <c r="E21" s="1" t="s">
        <v>134</v>
      </c>
      <c r="F21" s="1" t="s">
        <v>159</v>
      </c>
      <c r="G21" s="1" t="s">
        <v>1975</v>
      </c>
      <c r="H21" s="1" t="s">
        <v>98</v>
      </c>
      <c r="I21" s="1" t="s">
        <v>113</v>
      </c>
      <c r="J21" s="10" t="n">
        <v>46230</v>
      </c>
      <c r="K21" s="1" t="s">
        <v>1792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1993</v>
      </c>
      <c r="B22" s="1" t="s">
        <v>173</v>
      </c>
      <c r="C22" s="1" t="s">
        <v>1184</v>
      </c>
      <c r="D22" s="1" t="s">
        <v>1994</v>
      </c>
      <c r="E22" s="1" t="s">
        <v>134</v>
      </c>
      <c r="F22" s="1" t="s">
        <v>159</v>
      </c>
      <c r="G22" s="1" t="s">
        <v>1975</v>
      </c>
      <c r="H22" s="1" t="s">
        <v>98</v>
      </c>
      <c r="I22" s="1" t="s">
        <v>113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1995</v>
      </c>
      <c r="B23" s="1" t="s">
        <v>1229</v>
      </c>
      <c r="C23" s="1" t="s">
        <v>1184</v>
      </c>
      <c r="D23" s="1" t="s">
        <v>1996</v>
      </c>
      <c r="E23" s="1" t="s">
        <v>134</v>
      </c>
      <c r="F23" s="1" t="s">
        <v>159</v>
      </c>
      <c r="G23" s="1" t="s">
        <v>1975</v>
      </c>
      <c r="H23" s="1" t="s">
        <v>98</v>
      </c>
      <c r="I23" s="1" t="s">
        <v>113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1997</v>
      </c>
      <c r="B24" s="1" t="s">
        <v>162</v>
      </c>
      <c r="C24" s="1" t="s">
        <v>1184</v>
      </c>
      <c r="D24" s="1" t="s">
        <v>1998</v>
      </c>
      <c r="E24" s="1" t="s">
        <v>134</v>
      </c>
      <c r="F24" s="1" t="s">
        <v>164</v>
      </c>
      <c r="G24" s="1" t="s">
        <v>1975</v>
      </c>
      <c r="H24" s="1" t="s">
        <v>98</v>
      </c>
      <c r="I24" s="1" t="s">
        <v>113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1999</v>
      </c>
      <c r="B25" s="1" t="s">
        <v>167</v>
      </c>
      <c r="C25" s="1" t="s">
        <v>1184</v>
      </c>
      <c r="D25" s="1" t="s">
        <v>2000</v>
      </c>
      <c r="E25" s="1" t="s">
        <v>134</v>
      </c>
      <c r="F25" s="1" t="s">
        <v>169</v>
      </c>
      <c r="G25" s="1" t="s">
        <v>1978</v>
      </c>
      <c r="H25" s="1" t="s">
        <v>100</v>
      </c>
      <c r="I25" s="1" t="s">
        <v>112</v>
      </c>
      <c r="J25" s="10" t="n">
        <v>46230</v>
      </c>
      <c r="K25" s="1" t="s">
        <v>2001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2002</v>
      </c>
      <c r="B26" s="1" t="s">
        <v>2003</v>
      </c>
      <c r="C26" s="1" t="s">
        <v>1184</v>
      </c>
      <c r="D26" s="1" t="s">
        <v>2004</v>
      </c>
      <c r="E26" s="1" t="s">
        <v>134</v>
      </c>
      <c r="F26" s="1" t="s">
        <v>159</v>
      </c>
      <c r="G26" s="1" t="s">
        <v>1975</v>
      </c>
      <c r="H26" s="1" t="s">
        <v>98</v>
      </c>
      <c r="I26" s="1" t="s">
        <v>113</v>
      </c>
      <c r="J26" s="10" t="n">
        <v>46230</v>
      </c>
      <c r="K26" s="1" t="s">
        <v>1803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2005</v>
      </c>
      <c r="B27" s="1" t="s">
        <v>187</v>
      </c>
      <c r="C27" s="1" t="s">
        <v>62</v>
      </c>
      <c r="D27" s="1" t="s">
        <v>1946</v>
      </c>
      <c r="E27" s="1" t="s">
        <v>134</v>
      </c>
      <c r="F27" s="1" t="s">
        <v>175</v>
      </c>
      <c r="G27" s="1" t="s">
        <v>2006</v>
      </c>
      <c r="H27" s="1" t="s">
        <v>92</v>
      </c>
      <c r="I27" s="1" t="s">
        <v>112</v>
      </c>
      <c r="J27" s="10" t="n">
        <v>46230</v>
      </c>
      <c r="K27" s="1" t="s">
        <v>1807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2007</v>
      </c>
      <c r="B28" s="1" t="s">
        <v>191</v>
      </c>
      <c r="C28" s="1" t="s">
        <v>62</v>
      </c>
      <c r="D28" s="1" t="s">
        <v>1809</v>
      </c>
      <c r="E28" s="1" t="s">
        <v>134</v>
      </c>
      <c r="F28" s="1" t="s">
        <v>193</v>
      </c>
      <c r="G28" s="1" t="s">
        <v>2008</v>
      </c>
      <c r="H28" s="1" t="s">
        <v>98</v>
      </c>
      <c r="I28" s="1" t="s">
        <v>113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2009</v>
      </c>
      <c r="B29" s="1" t="s">
        <v>622</v>
      </c>
      <c r="C29" s="1" t="s">
        <v>62</v>
      </c>
      <c r="D29" s="1" t="s">
        <v>1951</v>
      </c>
      <c r="E29" s="1" t="s">
        <v>134</v>
      </c>
      <c r="F29" s="1" t="s">
        <v>624</v>
      </c>
      <c r="G29" s="1" t="s">
        <v>2010</v>
      </c>
      <c r="H29" s="1" t="s">
        <v>98</v>
      </c>
      <c r="I29" s="1" t="s">
        <v>113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2011</v>
      </c>
      <c r="B30" s="1" t="s">
        <v>200</v>
      </c>
      <c r="C30" s="1" t="s">
        <v>62</v>
      </c>
      <c r="D30" s="1" t="s">
        <v>1954</v>
      </c>
      <c r="E30" s="1" t="s">
        <v>202</v>
      </c>
      <c r="F30" s="1" t="s">
        <v>202</v>
      </c>
      <c r="G30" s="1" t="s">
        <v>203</v>
      </c>
      <c r="H30" s="1" t="s">
        <v>98</v>
      </c>
      <c r="I30" s="1" t="s">
        <v>113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2012</v>
      </c>
      <c r="B31" s="1" t="s">
        <v>205</v>
      </c>
      <c r="C31" s="1" t="s">
        <v>62</v>
      </c>
      <c r="D31" s="1" t="s">
        <v>1817</v>
      </c>
      <c r="E31" s="1" t="s">
        <v>134</v>
      </c>
      <c r="F31" s="1" t="s">
        <v>134</v>
      </c>
      <c r="G31" s="1" t="s">
        <v>207</v>
      </c>
      <c r="H31" s="1" t="s">
        <v>98</v>
      </c>
      <c r="I31" s="1" t="s">
        <v>113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2013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42" hidden="false" customHeight="true" outlineLevel="0" collapsed="false">
      <c r="A9" s="1" t="s">
        <v>2014</v>
      </c>
      <c r="B9" s="1" t="s">
        <v>90</v>
      </c>
      <c r="C9" s="1" t="s">
        <v>1184</v>
      </c>
      <c r="D9" s="1" t="s">
        <v>2015</v>
      </c>
      <c r="E9" s="1" t="s">
        <v>134</v>
      </c>
      <c r="F9" s="1" t="s">
        <v>135</v>
      </c>
      <c r="G9" s="1" t="s">
        <v>2016</v>
      </c>
      <c r="H9" s="1" t="s">
        <v>98</v>
      </c>
      <c r="I9" s="1" t="s">
        <v>113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2017</v>
      </c>
      <c r="B10" s="1" t="s">
        <v>1343</v>
      </c>
      <c r="C10" s="1" t="s">
        <v>1184</v>
      </c>
      <c r="D10" s="1" t="s">
        <v>1961</v>
      </c>
      <c r="E10" s="1" t="s">
        <v>134</v>
      </c>
      <c r="F10" s="1" t="s">
        <v>154</v>
      </c>
      <c r="G10" s="1" t="s">
        <v>2018</v>
      </c>
      <c r="H10" s="1" t="s">
        <v>98</v>
      </c>
      <c r="I10" s="1" t="s">
        <v>113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2019</v>
      </c>
      <c r="B11" s="1" t="s">
        <v>138</v>
      </c>
      <c r="C11" s="1" t="s">
        <v>63</v>
      </c>
      <c r="D11" s="1" t="s">
        <v>1965</v>
      </c>
      <c r="E11" s="1" t="s">
        <v>134</v>
      </c>
      <c r="F11" s="1" t="s">
        <v>134</v>
      </c>
      <c r="G11" s="1" t="s">
        <v>1895</v>
      </c>
      <c r="H11" s="1" t="s">
        <v>98</v>
      </c>
      <c r="I11" s="1" t="s">
        <v>113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2020</v>
      </c>
      <c r="B12" s="1" t="s">
        <v>142</v>
      </c>
      <c r="C12" s="1" t="s">
        <v>1184</v>
      </c>
      <c r="D12" s="1" t="s">
        <v>1967</v>
      </c>
      <c r="E12" s="1" t="s">
        <v>134</v>
      </c>
      <c r="F12" s="1" t="s">
        <v>144</v>
      </c>
      <c r="G12" s="1" t="s">
        <v>2021</v>
      </c>
      <c r="H12" s="1" t="s">
        <v>98</v>
      </c>
      <c r="I12" s="1" t="s">
        <v>113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2022</v>
      </c>
      <c r="B13" s="1" t="s">
        <v>147</v>
      </c>
      <c r="C13" s="1" t="s">
        <v>1184</v>
      </c>
      <c r="D13" s="1" t="s">
        <v>1970</v>
      </c>
      <c r="E13" s="1" t="s">
        <v>134</v>
      </c>
      <c r="F13" s="1" t="s">
        <v>149</v>
      </c>
      <c r="G13" s="1" t="s">
        <v>2023</v>
      </c>
      <c r="H13" s="1" t="s">
        <v>98</v>
      </c>
      <c r="I13" s="1" t="s">
        <v>113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2024</v>
      </c>
      <c r="B14" s="1" t="s">
        <v>1576</v>
      </c>
      <c r="C14" s="1" t="s">
        <v>2025</v>
      </c>
      <c r="D14" s="1" t="s">
        <v>2026</v>
      </c>
      <c r="E14" s="1" t="s">
        <v>134</v>
      </c>
      <c r="F14" s="1" t="s">
        <v>159</v>
      </c>
      <c r="G14" s="1" t="s">
        <v>2027</v>
      </c>
      <c r="H14" s="1" t="s">
        <v>98</v>
      </c>
      <c r="I14" s="1" t="s">
        <v>113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2028</v>
      </c>
      <c r="B15" s="1" t="s">
        <v>2029</v>
      </c>
      <c r="C15" s="1" t="s">
        <v>1384</v>
      </c>
      <c r="D15" s="1" t="s">
        <v>2030</v>
      </c>
      <c r="E15" s="1" t="s">
        <v>134</v>
      </c>
      <c r="F15" s="1" t="s">
        <v>159</v>
      </c>
      <c r="G15" s="1" t="s">
        <v>2027</v>
      </c>
      <c r="H15" s="1" t="s">
        <v>98</v>
      </c>
      <c r="I15" s="1" t="s">
        <v>113</v>
      </c>
      <c r="J15" s="10" t="n">
        <v>46230</v>
      </c>
      <c r="K15" s="1" t="s">
        <v>1769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2031</v>
      </c>
      <c r="B16" s="1" t="s">
        <v>1698</v>
      </c>
      <c r="C16" s="1" t="s">
        <v>2032</v>
      </c>
      <c r="D16" s="1" t="s">
        <v>2033</v>
      </c>
      <c r="E16" s="1" t="s">
        <v>134</v>
      </c>
      <c r="F16" s="1" t="s">
        <v>169</v>
      </c>
      <c r="G16" s="1" t="s">
        <v>2034</v>
      </c>
      <c r="H16" s="1" t="s">
        <v>100</v>
      </c>
      <c r="I16" s="1" t="s">
        <v>112</v>
      </c>
      <c r="J16" s="10" t="n">
        <v>46230</v>
      </c>
      <c r="K16" s="1" t="s">
        <v>1979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2035</v>
      </c>
      <c r="B17" s="1" t="s">
        <v>1589</v>
      </c>
      <c r="C17" s="1" t="s">
        <v>2036</v>
      </c>
      <c r="D17" s="1" t="s">
        <v>2037</v>
      </c>
      <c r="E17" s="1" t="s">
        <v>134</v>
      </c>
      <c r="F17" s="1" t="s">
        <v>159</v>
      </c>
      <c r="G17" s="1" t="s">
        <v>2027</v>
      </c>
      <c r="H17" s="1" t="s">
        <v>98</v>
      </c>
      <c r="I17" s="1" t="s">
        <v>113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2038</v>
      </c>
      <c r="B18" s="1" t="s">
        <v>1916</v>
      </c>
      <c r="C18" s="1" t="s">
        <v>1917</v>
      </c>
      <c r="D18" s="1" t="s">
        <v>2039</v>
      </c>
      <c r="E18" s="1" t="s">
        <v>134</v>
      </c>
      <c r="F18" s="1" t="s">
        <v>159</v>
      </c>
      <c r="G18" s="1" t="s">
        <v>2027</v>
      </c>
      <c r="H18" s="1" t="s">
        <v>98</v>
      </c>
      <c r="I18" s="1" t="s">
        <v>113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2040</v>
      </c>
      <c r="B19" s="1" t="s">
        <v>1924</v>
      </c>
      <c r="C19" s="1" t="s">
        <v>1925</v>
      </c>
      <c r="D19" s="1" t="s">
        <v>2041</v>
      </c>
      <c r="E19" s="1" t="s">
        <v>134</v>
      </c>
      <c r="F19" s="1" t="s">
        <v>159</v>
      </c>
      <c r="G19" s="1" t="s">
        <v>2027</v>
      </c>
      <c r="H19" s="1" t="s">
        <v>98</v>
      </c>
      <c r="I19" s="1" t="s">
        <v>113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2042</v>
      </c>
      <c r="B20" s="1" t="s">
        <v>1583</v>
      </c>
      <c r="C20" s="1" t="s">
        <v>1943</v>
      </c>
      <c r="D20" s="1" t="s">
        <v>1944</v>
      </c>
      <c r="E20" s="1" t="s">
        <v>134</v>
      </c>
      <c r="F20" s="1" t="s">
        <v>159</v>
      </c>
      <c r="G20" s="1" t="s">
        <v>2027</v>
      </c>
      <c r="H20" s="1" t="s">
        <v>98</v>
      </c>
      <c r="I20" s="1" t="s">
        <v>113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2043</v>
      </c>
      <c r="B21" s="1" t="s">
        <v>182</v>
      </c>
      <c r="C21" s="1" t="s">
        <v>1991</v>
      </c>
      <c r="D21" s="1" t="s">
        <v>1992</v>
      </c>
      <c r="E21" s="1" t="s">
        <v>134</v>
      </c>
      <c r="F21" s="1" t="s">
        <v>159</v>
      </c>
      <c r="G21" s="1" t="s">
        <v>2027</v>
      </c>
      <c r="H21" s="1" t="s">
        <v>98</v>
      </c>
      <c r="I21" s="1" t="s">
        <v>113</v>
      </c>
      <c r="J21" s="10" t="n">
        <v>46230</v>
      </c>
      <c r="K21" s="1" t="s">
        <v>1792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2044</v>
      </c>
      <c r="B22" s="1" t="s">
        <v>173</v>
      </c>
      <c r="C22" s="1" t="s">
        <v>1184</v>
      </c>
      <c r="D22" s="1" t="s">
        <v>1994</v>
      </c>
      <c r="E22" s="1" t="s">
        <v>134</v>
      </c>
      <c r="F22" s="1" t="s">
        <v>159</v>
      </c>
      <c r="G22" s="1" t="s">
        <v>2027</v>
      </c>
      <c r="H22" s="1" t="s">
        <v>98</v>
      </c>
      <c r="I22" s="1" t="s">
        <v>113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2045</v>
      </c>
      <c r="B23" s="1" t="s">
        <v>1229</v>
      </c>
      <c r="C23" s="1" t="s">
        <v>1184</v>
      </c>
      <c r="D23" s="1" t="s">
        <v>1996</v>
      </c>
      <c r="E23" s="1" t="s">
        <v>134</v>
      </c>
      <c r="F23" s="1" t="s">
        <v>159</v>
      </c>
      <c r="G23" s="1" t="s">
        <v>2027</v>
      </c>
      <c r="H23" s="1" t="s">
        <v>98</v>
      </c>
      <c r="I23" s="1" t="s">
        <v>113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2046</v>
      </c>
      <c r="B24" s="1" t="s">
        <v>162</v>
      </c>
      <c r="C24" s="1" t="s">
        <v>1184</v>
      </c>
      <c r="D24" s="1" t="s">
        <v>1998</v>
      </c>
      <c r="E24" s="1" t="s">
        <v>134</v>
      </c>
      <c r="F24" s="1" t="s">
        <v>164</v>
      </c>
      <c r="G24" s="1" t="s">
        <v>2027</v>
      </c>
      <c r="H24" s="1" t="s">
        <v>98</v>
      </c>
      <c r="I24" s="1" t="s">
        <v>113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2047</v>
      </c>
      <c r="B25" s="1" t="s">
        <v>167</v>
      </c>
      <c r="C25" s="1" t="s">
        <v>1184</v>
      </c>
      <c r="D25" s="1" t="s">
        <v>2000</v>
      </c>
      <c r="E25" s="1" t="s">
        <v>134</v>
      </c>
      <c r="F25" s="1" t="s">
        <v>169</v>
      </c>
      <c r="G25" s="1" t="s">
        <v>2034</v>
      </c>
      <c r="H25" s="1" t="s">
        <v>100</v>
      </c>
      <c r="I25" s="1" t="s">
        <v>112</v>
      </c>
      <c r="J25" s="10" t="n">
        <v>46230</v>
      </c>
      <c r="K25" s="1" t="s">
        <v>2001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2048</v>
      </c>
      <c r="B26" s="1" t="s">
        <v>2003</v>
      </c>
      <c r="C26" s="1" t="s">
        <v>1184</v>
      </c>
      <c r="D26" s="1" t="s">
        <v>2004</v>
      </c>
      <c r="E26" s="1" t="s">
        <v>134</v>
      </c>
      <c r="F26" s="1" t="s">
        <v>159</v>
      </c>
      <c r="G26" s="1" t="s">
        <v>2027</v>
      </c>
      <c r="H26" s="1" t="s">
        <v>98</v>
      </c>
      <c r="I26" s="1" t="s">
        <v>113</v>
      </c>
      <c r="J26" s="10" t="n">
        <v>46230</v>
      </c>
      <c r="K26" s="1" t="s">
        <v>1803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2049</v>
      </c>
      <c r="B27" s="1" t="s">
        <v>187</v>
      </c>
      <c r="C27" s="1" t="s">
        <v>63</v>
      </c>
      <c r="D27" s="1" t="s">
        <v>1946</v>
      </c>
      <c r="E27" s="1" t="s">
        <v>134</v>
      </c>
      <c r="F27" s="1" t="s">
        <v>175</v>
      </c>
      <c r="G27" s="1" t="s">
        <v>2050</v>
      </c>
      <c r="H27" s="1" t="s">
        <v>92</v>
      </c>
      <c r="I27" s="1" t="s">
        <v>112</v>
      </c>
      <c r="J27" s="10" t="n">
        <v>46230</v>
      </c>
      <c r="K27" s="1" t="s">
        <v>1807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2051</v>
      </c>
      <c r="B28" s="1" t="s">
        <v>191</v>
      </c>
      <c r="C28" s="1" t="s">
        <v>63</v>
      </c>
      <c r="D28" s="1" t="s">
        <v>1809</v>
      </c>
      <c r="E28" s="1" t="s">
        <v>134</v>
      </c>
      <c r="F28" s="1" t="s">
        <v>193</v>
      </c>
      <c r="G28" s="1" t="s">
        <v>2052</v>
      </c>
      <c r="H28" s="1" t="s">
        <v>98</v>
      </c>
      <c r="I28" s="1" t="s">
        <v>113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2053</v>
      </c>
      <c r="B29" s="1" t="s">
        <v>622</v>
      </c>
      <c r="C29" s="1" t="s">
        <v>63</v>
      </c>
      <c r="D29" s="1" t="s">
        <v>1951</v>
      </c>
      <c r="E29" s="1" t="s">
        <v>134</v>
      </c>
      <c r="F29" s="1" t="s">
        <v>624</v>
      </c>
      <c r="G29" s="1" t="s">
        <v>2054</v>
      </c>
      <c r="H29" s="1" t="s">
        <v>98</v>
      </c>
      <c r="I29" s="1" t="s">
        <v>113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2055</v>
      </c>
      <c r="B30" s="1" t="s">
        <v>200</v>
      </c>
      <c r="C30" s="1" t="s">
        <v>63</v>
      </c>
      <c r="D30" s="1" t="s">
        <v>1954</v>
      </c>
      <c r="E30" s="1" t="s">
        <v>202</v>
      </c>
      <c r="F30" s="1" t="s">
        <v>202</v>
      </c>
      <c r="G30" s="1" t="s">
        <v>203</v>
      </c>
      <c r="H30" s="1" t="s">
        <v>98</v>
      </c>
      <c r="I30" s="1" t="s">
        <v>113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2056</v>
      </c>
      <c r="B31" s="1" t="s">
        <v>205</v>
      </c>
      <c r="C31" s="1" t="s">
        <v>63</v>
      </c>
      <c r="D31" s="1" t="s">
        <v>1817</v>
      </c>
      <c r="E31" s="1" t="s">
        <v>134</v>
      </c>
      <c r="F31" s="1" t="s">
        <v>134</v>
      </c>
      <c r="G31" s="1" t="s">
        <v>207</v>
      </c>
      <c r="H31" s="1" t="s">
        <v>98</v>
      </c>
      <c r="I31" s="1" t="s">
        <v>113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2057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1746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42" hidden="false" customHeight="true" outlineLevel="0" collapsed="false">
      <c r="A9" s="1" t="s">
        <v>2058</v>
      </c>
      <c r="B9" s="1" t="s">
        <v>90</v>
      </c>
      <c r="C9" s="1" t="s">
        <v>1184</v>
      </c>
      <c r="D9" s="1" t="s">
        <v>2059</v>
      </c>
      <c r="E9" s="1" t="s">
        <v>134</v>
      </c>
      <c r="F9" s="1" t="s">
        <v>135</v>
      </c>
      <c r="G9" s="1" t="s">
        <v>2060</v>
      </c>
      <c r="H9" s="1" t="s">
        <v>98</v>
      </c>
      <c r="I9" s="1" t="s">
        <v>113</v>
      </c>
      <c r="J9" s="10" t="n">
        <v>46230</v>
      </c>
      <c r="L9" s="1" t="n">
        <v>1</v>
      </c>
      <c r="M9" s="1" t="n">
        <f aca="false">IF(OR(AND(I9="yes",H9="verified"),AND(I9="no",OR(H9="tested",H9="verified")),AND(H9="not applicable",K9&lt;&gt;"")),1,0)</f>
        <v>1</v>
      </c>
    </row>
    <row r="10" customFormat="false" ht="42" hidden="false" customHeight="true" outlineLevel="0" collapsed="false">
      <c r="A10" s="1" t="s">
        <v>2061</v>
      </c>
      <c r="B10" s="1" t="s">
        <v>1343</v>
      </c>
      <c r="C10" s="1" t="s">
        <v>1184</v>
      </c>
      <c r="D10" s="1" t="s">
        <v>1961</v>
      </c>
      <c r="E10" s="1" t="s">
        <v>134</v>
      </c>
      <c r="F10" s="1" t="s">
        <v>154</v>
      </c>
      <c r="G10" s="1" t="s">
        <v>2062</v>
      </c>
      <c r="H10" s="1" t="s">
        <v>98</v>
      </c>
      <c r="I10" s="1" t="s">
        <v>113</v>
      </c>
      <c r="J10" s="10" t="n">
        <v>46230</v>
      </c>
      <c r="L10" s="1" t="n">
        <v>1</v>
      </c>
      <c r="M10" s="1" t="n">
        <f aca="false">IF(OR(AND(I10="yes",H10="verified"),AND(I10="no",OR(H10="tested",H10="verified")),AND(H10="not applicable",K10&lt;&gt;"")),1,0)</f>
        <v>1</v>
      </c>
    </row>
    <row r="11" customFormat="false" ht="42" hidden="false" customHeight="true" outlineLevel="0" collapsed="false">
      <c r="A11" s="1" t="s">
        <v>2063</v>
      </c>
      <c r="B11" s="1" t="s">
        <v>138</v>
      </c>
      <c r="C11" s="1" t="s">
        <v>2064</v>
      </c>
      <c r="D11" s="1" t="s">
        <v>1965</v>
      </c>
      <c r="E11" s="1" t="s">
        <v>134</v>
      </c>
      <c r="F11" s="1" t="s">
        <v>134</v>
      </c>
      <c r="G11" s="1" t="s">
        <v>1895</v>
      </c>
      <c r="H11" s="1" t="s">
        <v>98</v>
      </c>
      <c r="I11" s="1" t="s">
        <v>113</v>
      </c>
      <c r="J11" s="10" t="n">
        <v>46230</v>
      </c>
      <c r="L11" s="1" t="n">
        <v>1</v>
      </c>
      <c r="M11" s="1" t="n">
        <f aca="false">IF(OR(AND(I11="yes",H11="verified"),AND(I11="no",OR(H11="tested",H11="verified")),AND(H11="not applicable",K11&lt;&gt;"")),1,0)</f>
        <v>1</v>
      </c>
    </row>
    <row r="12" customFormat="false" ht="42" hidden="false" customHeight="true" outlineLevel="0" collapsed="false">
      <c r="A12" s="1" t="s">
        <v>2065</v>
      </c>
      <c r="B12" s="1" t="s">
        <v>142</v>
      </c>
      <c r="C12" s="1" t="s">
        <v>1184</v>
      </c>
      <c r="D12" s="1" t="s">
        <v>1967</v>
      </c>
      <c r="E12" s="1" t="s">
        <v>134</v>
      </c>
      <c r="F12" s="1" t="s">
        <v>144</v>
      </c>
      <c r="G12" s="1" t="s">
        <v>2066</v>
      </c>
      <c r="H12" s="1" t="s">
        <v>98</v>
      </c>
      <c r="I12" s="1" t="s">
        <v>113</v>
      </c>
      <c r="J12" s="10" t="n">
        <v>46230</v>
      </c>
      <c r="L12" s="1" t="n">
        <v>1</v>
      </c>
      <c r="M12" s="1" t="n">
        <f aca="false">IF(OR(AND(I12="yes",H12="verified"),AND(I12="no",OR(H12="tested",H12="verified")),AND(H12="not applicable",K12&lt;&gt;"")),1,0)</f>
        <v>1</v>
      </c>
    </row>
    <row r="13" customFormat="false" ht="42" hidden="false" customHeight="true" outlineLevel="0" collapsed="false">
      <c r="A13" s="1" t="s">
        <v>2067</v>
      </c>
      <c r="B13" s="1" t="s">
        <v>147</v>
      </c>
      <c r="C13" s="1" t="s">
        <v>1184</v>
      </c>
      <c r="D13" s="1" t="s">
        <v>1970</v>
      </c>
      <c r="E13" s="1" t="s">
        <v>134</v>
      </c>
      <c r="F13" s="1" t="s">
        <v>149</v>
      </c>
      <c r="G13" s="1" t="s">
        <v>2068</v>
      </c>
      <c r="H13" s="1" t="s">
        <v>98</v>
      </c>
      <c r="I13" s="1" t="s">
        <v>113</v>
      </c>
      <c r="J13" s="10" t="n">
        <v>46230</v>
      </c>
      <c r="L13" s="1" t="n">
        <v>1</v>
      </c>
      <c r="M13" s="1" t="n">
        <f aca="false">IF(OR(AND(I13="yes",H13="verified"),AND(I13="no",OR(H13="tested",H13="verified")),AND(H13="not applicable",K13&lt;&gt;"")),1,0)</f>
        <v>1</v>
      </c>
    </row>
    <row r="14" customFormat="false" ht="42" hidden="false" customHeight="true" outlineLevel="0" collapsed="false">
      <c r="A14" s="1" t="s">
        <v>2069</v>
      </c>
      <c r="B14" s="1" t="s">
        <v>1576</v>
      </c>
      <c r="C14" s="1" t="s">
        <v>2070</v>
      </c>
      <c r="D14" s="1" t="s">
        <v>2071</v>
      </c>
      <c r="E14" s="1" t="s">
        <v>134</v>
      </c>
      <c r="F14" s="1" t="s">
        <v>159</v>
      </c>
      <c r="G14" s="1" t="s">
        <v>2072</v>
      </c>
      <c r="H14" s="1" t="s">
        <v>98</v>
      </c>
      <c r="I14" s="1" t="s">
        <v>113</v>
      </c>
      <c r="J14" s="10" t="n">
        <v>46230</v>
      </c>
      <c r="L14" s="1" t="n">
        <v>1</v>
      </c>
      <c r="M14" s="1" t="n">
        <f aca="false">IF(OR(AND(I14="yes",H14="verified"),AND(I14="no",OR(H14="tested",H14="verified")),AND(H14="not applicable",K14&lt;&gt;"")),1,0)</f>
        <v>1</v>
      </c>
    </row>
    <row r="15" customFormat="false" ht="42" hidden="false" customHeight="true" outlineLevel="0" collapsed="false">
      <c r="A15" s="1" t="s">
        <v>2073</v>
      </c>
      <c r="B15" s="1" t="s">
        <v>2074</v>
      </c>
      <c r="C15" s="1" t="s">
        <v>2075</v>
      </c>
      <c r="D15" s="1" t="s">
        <v>2076</v>
      </c>
      <c r="E15" s="1" t="s">
        <v>134</v>
      </c>
      <c r="F15" s="1" t="s">
        <v>159</v>
      </c>
      <c r="G15" s="1" t="s">
        <v>2072</v>
      </c>
      <c r="H15" s="1" t="s">
        <v>98</v>
      </c>
      <c r="I15" s="1" t="s">
        <v>113</v>
      </c>
      <c r="J15" s="10" t="n">
        <v>46230</v>
      </c>
      <c r="K15" s="1" t="s">
        <v>1769</v>
      </c>
      <c r="L15" s="1" t="n">
        <v>1</v>
      </c>
      <c r="M15" s="1" t="n">
        <f aca="false">IF(OR(AND(I15="yes",H15="verified"),AND(I15="no",OR(H15="tested",H15="verified")),AND(H15="not applicable",K15&lt;&gt;"")),1,0)</f>
        <v>1</v>
      </c>
    </row>
    <row r="16" customFormat="false" ht="42" hidden="false" customHeight="true" outlineLevel="0" collapsed="false">
      <c r="A16" s="1" t="s">
        <v>2077</v>
      </c>
      <c r="B16" s="1" t="s">
        <v>1698</v>
      </c>
      <c r="C16" s="1" t="s">
        <v>2078</v>
      </c>
      <c r="D16" s="1" t="s">
        <v>2079</v>
      </c>
      <c r="E16" s="1" t="s">
        <v>134</v>
      </c>
      <c r="F16" s="1" t="s">
        <v>169</v>
      </c>
      <c r="G16" s="1" t="s">
        <v>2080</v>
      </c>
      <c r="H16" s="1" t="s">
        <v>100</v>
      </c>
      <c r="I16" s="1" t="s">
        <v>112</v>
      </c>
      <c r="J16" s="10" t="n">
        <v>46230</v>
      </c>
      <c r="K16" s="1" t="s">
        <v>1979</v>
      </c>
      <c r="L16" s="1" t="n">
        <v>1</v>
      </c>
      <c r="M16" s="1" t="n">
        <f aca="false">IF(OR(AND(I16="yes",H16="verified"),AND(I16="no",OR(H16="tested",H16="verified")),AND(H16="not applicable",K16&lt;&gt;"")),1,0)</f>
        <v>1</v>
      </c>
    </row>
    <row r="17" customFormat="false" ht="42" hidden="false" customHeight="true" outlineLevel="0" collapsed="false">
      <c r="A17" s="1" t="s">
        <v>2081</v>
      </c>
      <c r="B17" s="1" t="s">
        <v>2029</v>
      </c>
      <c r="C17" s="1" t="s">
        <v>1722</v>
      </c>
      <c r="D17" s="1" t="s">
        <v>2082</v>
      </c>
      <c r="E17" s="1" t="s">
        <v>134</v>
      </c>
      <c r="F17" s="1" t="s">
        <v>159</v>
      </c>
      <c r="G17" s="1" t="s">
        <v>2072</v>
      </c>
      <c r="H17" s="1" t="s">
        <v>98</v>
      </c>
      <c r="I17" s="1" t="s">
        <v>113</v>
      </c>
      <c r="J17" s="10" t="n">
        <v>46230</v>
      </c>
      <c r="L17" s="1" t="n">
        <v>1</v>
      </c>
      <c r="M17" s="1" t="n">
        <f aca="false">IF(OR(AND(I17="yes",H17="verified"),AND(I17="no",OR(H17="tested",H17="verified")),AND(H17="not applicable",K17&lt;&gt;"")),1,0)</f>
        <v>1</v>
      </c>
    </row>
    <row r="18" customFormat="false" ht="42" hidden="false" customHeight="true" outlineLevel="0" collapsed="false">
      <c r="A18" s="1" t="s">
        <v>2083</v>
      </c>
      <c r="B18" s="1" t="s">
        <v>2084</v>
      </c>
      <c r="C18" s="1" t="s">
        <v>2085</v>
      </c>
      <c r="D18" s="1" t="s">
        <v>2086</v>
      </c>
      <c r="E18" s="1" t="s">
        <v>134</v>
      </c>
      <c r="F18" s="1" t="s">
        <v>159</v>
      </c>
      <c r="G18" s="1" t="s">
        <v>2072</v>
      </c>
      <c r="H18" s="1" t="s">
        <v>98</v>
      </c>
      <c r="I18" s="1" t="s">
        <v>113</v>
      </c>
      <c r="J18" s="10" t="n">
        <v>46230</v>
      </c>
      <c r="L18" s="1" t="n">
        <v>1</v>
      </c>
      <c r="M18" s="1" t="n">
        <f aca="false">IF(OR(AND(I18="yes",H18="verified"),AND(I18="no",OR(H18="tested",H18="verified")),AND(H18="not applicable",K18&lt;&gt;"")),1,0)</f>
        <v>1</v>
      </c>
    </row>
    <row r="19" customFormat="false" ht="42" hidden="false" customHeight="true" outlineLevel="0" collapsed="false">
      <c r="A19" s="1" t="s">
        <v>2087</v>
      </c>
      <c r="B19" s="1" t="s">
        <v>1589</v>
      </c>
      <c r="C19" s="1" t="s">
        <v>2088</v>
      </c>
      <c r="D19" s="1" t="s">
        <v>2089</v>
      </c>
      <c r="E19" s="1" t="s">
        <v>134</v>
      </c>
      <c r="F19" s="1" t="s">
        <v>159</v>
      </c>
      <c r="G19" s="1" t="s">
        <v>2072</v>
      </c>
      <c r="H19" s="1" t="s">
        <v>98</v>
      </c>
      <c r="I19" s="1" t="s">
        <v>113</v>
      </c>
      <c r="J19" s="10" t="n">
        <v>46230</v>
      </c>
      <c r="L19" s="1" t="n">
        <v>1</v>
      </c>
      <c r="M19" s="1" t="n">
        <f aca="false">IF(OR(AND(I19="yes",H19="verified"),AND(I19="no",OR(H19="tested",H19="verified")),AND(H19="not applicable",K19&lt;&gt;"")),1,0)</f>
        <v>1</v>
      </c>
    </row>
    <row r="20" customFormat="false" ht="42" hidden="false" customHeight="true" outlineLevel="0" collapsed="false">
      <c r="A20" s="1" t="s">
        <v>2090</v>
      </c>
      <c r="B20" s="1" t="s">
        <v>1583</v>
      </c>
      <c r="C20" s="1" t="s">
        <v>1943</v>
      </c>
      <c r="D20" s="1" t="s">
        <v>1944</v>
      </c>
      <c r="E20" s="1" t="s">
        <v>134</v>
      </c>
      <c r="F20" s="1" t="s">
        <v>159</v>
      </c>
      <c r="G20" s="1" t="s">
        <v>2072</v>
      </c>
      <c r="H20" s="1" t="s">
        <v>98</v>
      </c>
      <c r="I20" s="1" t="s">
        <v>113</v>
      </c>
      <c r="J20" s="10" t="n">
        <v>46230</v>
      </c>
      <c r="L20" s="1" t="n">
        <v>1</v>
      </c>
      <c r="M20" s="1" t="n">
        <f aca="false">IF(OR(AND(I20="yes",H20="verified"),AND(I20="no",OR(H20="tested",H20="verified")),AND(H20="not applicable",K20&lt;&gt;"")),1,0)</f>
        <v>1</v>
      </c>
    </row>
    <row r="21" customFormat="false" ht="42" hidden="false" customHeight="true" outlineLevel="0" collapsed="false">
      <c r="A21" s="1" t="s">
        <v>2091</v>
      </c>
      <c r="B21" s="1" t="s">
        <v>182</v>
      </c>
      <c r="C21" s="1" t="s">
        <v>1991</v>
      </c>
      <c r="D21" s="1" t="s">
        <v>1992</v>
      </c>
      <c r="E21" s="1" t="s">
        <v>134</v>
      </c>
      <c r="F21" s="1" t="s">
        <v>159</v>
      </c>
      <c r="G21" s="1" t="s">
        <v>2072</v>
      </c>
      <c r="H21" s="1" t="s">
        <v>98</v>
      </c>
      <c r="I21" s="1" t="s">
        <v>113</v>
      </c>
      <c r="J21" s="10" t="n">
        <v>46230</v>
      </c>
      <c r="K21" s="1" t="s">
        <v>1792</v>
      </c>
      <c r="L21" s="1" t="n">
        <v>1</v>
      </c>
      <c r="M21" s="1" t="n">
        <f aca="false">IF(OR(AND(I21="yes",H21="verified"),AND(I21="no",OR(H21="tested",H21="verified")),AND(H21="not applicable",K21&lt;&gt;"")),1,0)</f>
        <v>1</v>
      </c>
    </row>
    <row r="22" customFormat="false" ht="42" hidden="false" customHeight="true" outlineLevel="0" collapsed="false">
      <c r="A22" s="1" t="s">
        <v>2092</v>
      </c>
      <c r="B22" s="1" t="s">
        <v>173</v>
      </c>
      <c r="C22" s="1" t="s">
        <v>1184</v>
      </c>
      <c r="D22" s="1" t="s">
        <v>1994</v>
      </c>
      <c r="E22" s="1" t="s">
        <v>134</v>
      </c>
      <c r="F22" s="1" t="s">
        <v>159</v>
      </c>
      <c r="G22" s="1" t="s">
        <v>2072</v>
      </c>
      <c r="H22" s="1" t="s">
        <v>98</v>
      </c>
      <c r="I22" s="1" t="s">
        <v>113</v>
      </c>
      <c r="J22" s="10" t="n">
        <v>46230</v>
      </c>
      <c r="L22" s="1" t="n">
        <v>1</v>
      </c>
      <c r="M22" s="1" t="n">
        <f aca="false">IF(OR(AND(I22="yes",H22="verified"),AND(I22="no",OR(H22="tested",H22="verified")),AND(H22="not applicable",K22&lt;&gt;"")),1,0)</f>
        <v>1</v>
      </c>
    </row>
    <row r="23" customFormat="false" ht="42" hidden="false" customHeight="true" outlineLevel="0" collapsed="false">
      <c r="A23" s="1" t="s">
        <v>2093</v>
      </c>
      <c r="B23" s="1" t="s">
        <v>1229</v>
      </c>
      <c r="C23" s="1" t="s">
        <v>1184</v>
      </c>
      <c r="D23" s="1" t="s">
        <v>1996</v>
      </c>
      <c r="E23" s="1" t="s">
        <v>134</v>
      </c>
      <c r="F23" s="1" t="s">
        <v>159</v>
      </c>
      <c r="G23" s="1" t="s">
        <v>2072</v>
      </c>
      <c r="H23" s="1" t="s">
        <v>98</v>
      </c>
      <c r="I23" s="1" t="s">
        <v>113</v>
      </c>
      <c r="J23" s="10" t="n">
        <v>46230</v>
      </c>
      <c r="L23" s="1" t="n">
        <v>1</v>
      </c>
      <c r="M23" s="1" t="n">
        <f aca="false">IF(OR(AND(I23="yes",H23="verified"),AND(I23="no",OR(H23="tested",H23="verified")),AND(H23="not applicable",K23&lt;&gt;"")),1,0)</f>
        <v>1</v>
      </c>
    </row>
    <row r="24" customFormat="false" ht="42" hidden="false" customHeight="true" outlineLevel="0" collapsed="false">
      <c r="A24" s="1" t="s">
        <v>2094</v>
      </c>
      <c r="B24" s="1" t="s">
        <v>162</v>
      </c>
      <c r="C24" s="1" t="s">
        <v>1184</v>
      </c>
      <c r="D24" s="1" t="s">
        <v>1998</v>
      </c>
      <c r="E24" s="1" t="s">
        <v>134</v>
      </c>
      <c r="F24" s="1" t="s">
        <v>164</v>
      </c>
      <c r="G24" s="1" t="s">
        <v>2072</v>
      </c>
      <c r="H24" s="1" t="s">
        <v>98</v>
      </c>
      <c r="I24" s="1" t="s">
        <v>113</v>
      </c>
      <c r="J24" s="10" t="n">
        <v>46230</v>
      </c>
      <c r="L24" s="1" t="n">
        <v>1</v>
      </c>
      <c r="M24" s="1" t="n">
        <f aca="false">IF(OR(AND(I24="yes",H24="verified"),AND(I24="no",OR(H24="tested",H24="verified")),AND(H24="not applicable",K24&lt;&gt;"")),1,0)</f>
        <v>1</v>
      </c>
    </row>
    <row r="25" customFormat="false" ht="42" hidden="false" customHeight="true" outlineLevel="0" collapsed="false">
      <c r="A25" s="1" t="s">
        <v>2095</v>
      </c>
      <c r="B25" s="1" t="s">
        <v>167</v>
      </c>
      <c r="C25" s="1" t="s">
        <v>1184</v>
      </c>
      <c r="D25" s="1" t="s">
        <v>2000</v>
      </c>
      <c r="E25" s="1" t="s">
        <v>134</v>
      </c>
      <c r="F25" s="1" t="s">
        <v>169</v>
      </c>
      <c r="G25" s="1" t="s">
        <v>2080</v>
      </c>
      <c r="H25" s="1" t="s">
        <v>100</v>
      </c>
      <c r="I25" s="1" t="s">
        <v>112</v>
      </c>
      <c r="J25" s="10" t="n">
        <v>46230</v>
      </c>
      <c r="K25" s="1" t="s">
        <v>2001</v>
      </c>
      <c r="L25" s="1" t="n">
        <v>1</v>
      </c>
      <c r="M25" s="1" t="n">
        <f aca="false">IF(OR(AND(I25="yes",H25="verified"),AND(I25="no",OR(H25="tested",H25="verified")),AND(H25="not applicable",K25&lt;&gt;"")),1,0)</f>
        <v>1</v>
      </c>
    </row>
    <row r="26" customFormat="false" ht="42" hidden="false" customHeight="true" outlineLevel="0" collapsed="false">
      <c r="A26" s="1" t="s">
        <v>2096</v>
      </c>
      <c r="B26" s="1" t="s">
        <v>2003</v>
      </c>
      <c r="C26" s="1" t="s">
        <v>1184</v>
      </c>
      <c r="D26" s="1" t="s">
        <v>2004</v>
      </c>
      <c r="E26" s="1" t="s">
        <v>134</v>
      </c>
      <c r="F26" s="1" t="s">
        <v>159</v>
      </c>
      <c r="G26" s="1" t="s">
        <v>2072</v>
      </c>
      <c r="H26" s="1" t="s">
        <v>98</v>
      </c>
      <c r="I26" s="1" t="s">
        <v>113</v>
      </c>
      <c r="J26" s="10" t="n">
        <v>46230</v>
      </c>
      <c r="K26" s="1" t="s">
        <v>1803</v>
      </c>
      <c r="L26" s="1" t="n">
        <v>1</v>
      </c>
      <c r="M26" s="1" t="n">
        <f aca="false">IF(OR(AND(I26="yes",H26="verified"),AND(I26="no",OR(H26="tested",H26="verified")),AND(H26="not applicable",K26&lt;&gt;"")),1,0)</f>
        <v>1</v>
      </c>
    </row>
    <row r="27" customFormat="false" ht="42" hidden="false" customHeight="true" outlineLevel="0" collapsed="false">
      <c r="A27" s="1" t="s">
        <v>2097</v>
      </c>
      <c r="B27" s="1" t="s">
        <v>187</v>
      </c>
      <c r="C27" s="1" t="s">
        <v>64</v>
      </c>
      <c r="D27" s="1" t="s">
        <v>1946</v>
      </c>
      <c r="E27" s="1" t="s">
        <v>134</v>
      </c>
      <c r="F27" s="1" t="s">
        <v>175</v>
      </c>
      <c r="G27" s="1" t="s">
        <v>2098</v>
      </c>
      <c r="H27" s="1" t="s">
        <v>92</v>
      </c>
      <c r="I27" s="1" t="s">
        <v>112</v>
      </c>
      <c r="J27" s="10" t="n">
        <v>46230</v>
      </c>
      <c r="K27" s="1" t="s">
        <v>1807</v>
      </c>
      <c r="L27" s="1" t="n">
        <v>1</v>
      </c>
      <c r="M27" s="1" t="n">
        <f aca="false">IF(OR(AND(I27="yes",H27="verified"),AND(I27="no",OR(H27="tested",H27="verified")),AND(H27="not applicable",K27&lt;&gt;"")),1,0)</f>
        <v>0</v>
      </c>
    </row>
    <row r="28" customFormat="false" ht="42" hidden="false" customHeight="true" outlineLevel="0" collapsed="false">
      <c r="A28" s="1" t="s">
        <v>2099</v>
      </c>
      <c r="B28" s="1" t="s">
        <v>191</v>
      </c>
      <c r="C28" s="1" t="s">
        <v>64</v>
      </c>
      <c r="D28" s="1" t="s">
        <v>1809</v>
      </c>
      <c r="E28" s="1" t="s">
        <v>134</v>
      </c>
      <c r="F28" s="1" t="s">
        <v>193</v>
      </c>
      <c r="G28" s="1" t="s">
        <v>2100</v>
      </c>
      <c r="H28" s="1" t="s">
        <v>98</v>
      </c>
      <c r="I28" s="1" t="s">
        <v>113</v>
      </c>
      <c r="J28" s="10" t="n">
        <v>46230</v>
      </c>
      <c r="L28" s="1" t="n">
        <v>1</v>
      </c>
      <c r="M28" s="1" t="n">
        <f aca="false">IF(OR(AND(I28="yes",H28="verified"),AND(I28="no",OR(H28="tested",H28="verified")),AND(H28="not applicable",K28&lt;&gt;"")),1,0)</f>
        <v>1</v>
      </c>
    </row>
    <row r="29" customFormat="false" ht="42" hidden="false" customHeight="true" outlineLevel="0" collapsed="false">
      <c r="A29" s="1" t="s">
        <v>2101</v>
      </c>
      <c r="B29" s="1" t="s">
        <v>622</v>
      </c>
      <c r="C29" s="1" t="s">
        <v>64</v>
      </c>
      <c r="D29" s="1" t="s">
        <v>1951</v>
      </c>
      <c r="E29" s="1" t="s">
        <v>134</v>
      </c>
      <c r="F29" s="1" t="s">
        <v>624</v>
      </c>
      <c r="G29" s="1" t="s">
        <v>2102</v>
      </c>
      <c r="H29" s="1" t="s">
        <v>98</v>
      </c>
      <c r="I29" s="1" t="s">
        <v>113</v>
      </c>
      <c r="J29" s="10" t="n">
        <v>46230</v>
      </c>
      <c r="L29" s="1" t="n">
        <v>1</v>
      </c>
      <c r="M29" s="1" t="n">
        <f aca="false">IF(OR(AND(I29="yes",H29="verified"),AND(I29="no",OR(H29="tested",H29="verified")),AND(H29="not applicable",K29&lt;&gt;"")),1,0)</f>
        <v>1</v>
      </c>
    </row>
    <row r="30" customFormat="false" ht="42" hidden="false" customHeight="true" outlineLevel="0" collapsed="false">
      <c r="A30" s="1" t="s">
        <v>2103</v>
      </c>
      <c r="B30" s="1" t="s">
        <v>200</v>
      </c>
      <c r="C30" s="1" t="s">
        <v>64</v>
      </c>
      <c r="D30" s="1" t="s">
        <v>1954</v>
      </c>
      <c r="E30" s="1" t="s">
        <v>202</v>
      </c>
      <c r="F30" s="1" t="s">
        <v>202</v>
      </c>
      <c r="G30" s="1" t="s">
        <v>203</v>
      </c>
      <c r="H30" s="1" t="s">
        <v>98</v>
      </c>
      <c r="I30" s="1" t="s">
        <v>113</v>
      </c>
      <c r="J30" s="10" t="n">
        <v>46230</v>
      </c>
      <c r="L30" s="1" t="n">
        <v>1</v>
      </c>
      <c r="M30" s="1" t="n">
        <f aca="false">IF(OR(AND(I30="yes",H30="verified"),AND(I30="no",OR(H30="tested",H30="verified")),AND(H30="not applicable",K30&lt;&gt;"")),1,0)</f>
        <v>1</v>
      </c>
    </row>
    <row r="31" customFormat="false" ht="42" hidden="false" customHeight="true" outlineLevel="0" collapsed="false">
      <c r="A31" s="1" t="s">
        <v>2104</v>
      </c>
      <c r="B31" s="1" t="s">
        <v>205</v>
      </c>
      <c r="C31" s="1" t="s">
        <v>64</v>
      </c>
      <c r="D31" s="1" t="s">
        <v>1817</v>
      </c>
      <c r="E31" s="1" t="s">
        <v>134</v>
      </c>
      <c r="F31" s="1" t="s">
        <v>134</v>
      </c>
      <c r="G31" s="1" t="s">
        <v>207</v>
      </c>
      <c r="H31" s="1" t="s">
        <v>98</v>
      </c>
      <c r="I31" s="1" t="s">
        <v>113</v>
      </c>
      <c r="J31" s="10" t="n">
        <v>46230</v>
      </c>
      <c r="L31" s="1" t="n">
        <v>1</v>
      </c>
      <c r="M31" s="1" t="n">
        <f aca="false">IF(OR(AND(I31="yes",H31="verified"),AND(I31="no",OR(H31="tested",H31="verified")),AND(H31="not applicable",K31&lt;&gt;"")),1,0)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2105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2106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116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2107</v>
      </c>
      <c r="B9" s="12" t="s">
        <v>90</v>
      </c>
      <c r="C9" s="12" t="s">
        <v>1184</v>
      </c>
      <c r="D9" s="13" t="s">
        <v>2108</v>
      </c>
      <c r="E9" s="12" t="s">
        <v>134</v>
      </c>
      <c r="F9" s="12" t="s">
        <v>135</v>
      </c>
      <c r="G9" s="13" t="s">
        <v>2109</v>
      </c>
      <c r="H9" s="12" t="s">
        <v>98</v>
      </c>
      <c r="I9" s="12" t="s">
        <v>113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2110</v>
      </c>
      <c r="B10" s="12" t="s">
        <v>1343</v>
      </c>
      <c r="C10" s="12" t="s">
        <v>2111</v>
      </c>
      <c r="D10" s="13" t="s">
        <v>2112</v>
      </c>
      <c r="E10" s="12" t="s">
        <v>134</v>
      </c>
      <c r="F10" s="12" t="s">
        <v>154</v>
      </c>
      <c r="G10" s="13" t="s">
        <v>2113</v>
      </c>
      <c r="H10" s="12" t="s">
        <v>98</v>
      </c>
      <c r="I10" s="12" t="s">
        <v>113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2114</v>
      </c>
      <c r="B11" s="12" t="s">
        <v>138</v>
      </c>
      <c r="C11" s="12" t="s">
        <v>2115</v>
      </c>
      <c r="D11" s="13" t="s">
        <v>2116</v>
      </c>
      <c r="E11" s="12" t="s">
        <v>134</v>
      </c>
      <c r="F11" s="12" t="s">
        <v>134</v>
      </c>
      <c r="G11" s="13" t="s">
        <v>1895</v>
      </c>
      <c r="H11" s="12" t="s">
        <v>98</v>
      </c>
      <c r="I11" s="12" t="s">
        <v>113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2117</v>
      </c>
      <c r="B12" s="12" t="s">
        <v>142</v>
      </c>
      <c r="C12" s="12" t="s">
        <v>1184</v>
      </c>
      <c r="D12" s="13" t="s">
        <v>2118</v>
      </c>
      <c r="E12" s="12" t="s">
        <v>134</v>
      </c>
      <c r="F12" s="12" t="s">
        <v>144</v>
      </c>
      <c r="G12" s="13" t="s">
        <v>2119</v>
      </c>
      <c r="H12" s="12" t="s">
        <v>98</v>
      </c>
      <c r="I12" s="12" t="s">
        <v>113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2120</v>
      </c>
      <c r="B13" s="12" t="s">
        <v>147</v>
      </c>
      <c r="C13" s="12" t="s">
        <v>1184</v>
      </c>
      <c r="D13" s="13" t="s">
        <v>2121</v>
      </c>
      <c r="E13" s="12" t="s">
        <v>134</v>
      </c>
      <c r="F13" s="12" t="s">
        <v>149</v>
      </c>
      <c r="G13" s="13" t="s">
        <v>2122</v>
      </c>
      <c r="H13" s="12" t="s">
        <v>98</v>
      </c>
      <c r="I13" s="12" t="s">
        <v>113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2123</v>
      </c>
      <c r="B14" s="12" t="s">
        <v>1576</v>
      </c>
      <c r="C14" s="12" t="s">
        <v>2111</v>
      </c>
      <c r="D14" s="13" t="s">
        <v>2124</v>
      </c>
      <c r="E14" s="12" t="s">
        <v>134</v>
      </c>
      <c r="F14" s="12" t="s">
        <v>159</v>
      </c>
      <c r="G14" s="13" t="s">
        <v>2125</v>
      </c>
      <c r="H14" s="12" t="s">
        <v>98</v>
      </c>
      <c r="I14" s="12" t="s">
        <v>113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2126</v>
      </c>
      <c r="B15" s="12" t="s">
        <v>1133</v>
      </c>
      <c r="C15" s="12" t="s">
        <v>782</v>
      </c>
      <c r="D15" s="13" t="s">
        <v>2127</v>
      </c>
      <c r="E15" s="12" t="s">
        <v>134</v>
      </c>
      <c r="F15" s="12" t="s">
        <v>159</v>
      </c>
      <c r="G15" s="13" t="s">
        <v>2128</v>
      </c>
      <c r="H15" s="12" t="s">
        <v>98</v>
      </c>
      <c r="I15" s="12" t="s">
        <v>113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2129</v>
      </c>
      <c r="B16" s="12" t="s">
        <v>1775</v>
      </c>
      <c r="C16" s="12" t="s">
        <v>1560</v>
      </c>
      <c r="D16" s="13" t="s">
        <v>2130</v>
      </c>
      <c r="E16" s="12" t="s">
        <v>134</v>
      </c>
      <c r="F16" s="12" t="s">
        <v>159</v>
      </c>
      <c r="G16" s="13" t="s">
        <v>2128</v>
      </c>
      <c r="H16" s="12" t="s">
        <v>98</v>
      </c>
      <c r="I16" s="12" t="s">
        <v>113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2131</v>
      </c>
      <c r="B17" s="12" t="s">
        <v>1698</v>
      </c>
      <c r="C17" s="12" t="s">
        <v>1184</v>
      </c>
      <c r="D17" s="13" t="s">
        <v>2132</v>
      </c>
      <c r="E17" s="12" t="s">
        <v>134</v>
      </c>
      <c r="F17" s="12" t="s">
        <v>159</v>
      </c>
      <c r="G17" s="13" t="s">
        <v>2125</v>
      </c>
      <c r="H17" s="12" t="s">
        <v>98</v>
      </c>
      <c r="I17" s="12" t="s">
        <v>113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2133</v>
      </c>
      <c r="B18" s="12" t="s">
        <v>1290</v>
      </c>
      <c r="C18" s="12" t="s">
        <v>782</v>
      </c>
      <c r="D18" s="13" t="s">
        <v>2134</v>
      </c>
      <c r="E18" s="12" t="s">
        <v>134</v>
      </c>
      <c r="F18" s="12" t="s">
        <v>159</v>
      </c>
      <c r="G18" s="13" t="s">
        <v>2135</v>
      </c>
      <c r="H18" s="12" t="s">
        <v>98</v>
      </c>
      <c r="I18" s="12" t="s">
        <v>113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2136</v>
      </c>
      <c r="B19" s="12" t="s">
        <v>1916</v>
      </c>
      <c r="C19" s="12" t="s">
        <v>2137</v>
      </c>
      <c r="D19" s="13" t="s">
        <v>2138</v>
      </c>
      <c r="E19" s="12" t="s">
        <v>134</v>
      </c>
      <c r="F19" s="12" t="s">
        <v>159</v>
      </c>
      <c r="G19" s="13" t="s">
        <v>2128</v>
      </c>
      <c r="H19" s="12" t="s">
        <v>98</v>
      </c>
      <c r="I19" s="12" t="s">
        <v>113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2139</v>
      </c>
      <c r="B20" s="12" t="s">
        <v>1396</v>
      </c>
      <c r="C20" s="12" t="s">
        <v>2140</v>
      </c>
      <c r="D20" s="13" t="s">
        <v>2141</v>
      </c>
      <c r="E20" s="12" t="s">
        <v>134</v>
      </c>
      <c r="F20" s="12" t="s">
        <v>159</v>
      </c>
      <c r="G20" s="13" t="s">
        <v>2125</v>
      </c>
      <c r="H20" s="12" t="s">
        <v>98</v>
      </c>
      <c r="I20" s="12" t="s">
        <v>113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2142</v>
      </c>
      <c r="B21" s="12" t="s">
        <v>2143</v>
      </c>
      <c r="C21" s="12" t="s">
        <v>1560</v>
      </c>
      <c r="D21" s="13" t="s">
        <v>2144</v>
      </c>
      <c r="E21" s="12" t="s">
        <v>134</v>
      </c>
      <c r="F21" s="12" t="s">
        <v>154</v>
      </c>
      <c r="G21" s="13" t="s">
        <v>2145</v>
      </c>
      <c r="H21" s="12" t="s">
        <v>98</v>
      </c>
      <c r="I21" s="12" t="s">
        <v>113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2146</v>
      </c>
      <c r="B22" s="12" t="s">
        <v>2147</v>
      </c>
      <c r="C22" s="12" t="s">
        <v>855</v>
      </c>
      <c r="D22" s="13" t="s">
        <v>2148</v>
      </c>
      <c r="E22" s="12" t="s">
        <v>134</v>
      </c>
      <c r="F22" s="12" t="s">
        <v>159</v>
      </c>
      <c r="G22" s="13" t="s">
        <v>2135</v>
      </c>
      <c r="H22" s="12" t="s">
        <v>98</v>
      </c>
      <c r="I22" s="12" t="s">
        <v>113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2149</v>
      </c>
      <c r="B23" s="12" t="s">
        <v>1086</v>
      </c>
      <c r="C23" s="12" t="s">
        <v>2150</v>
      </c>
      <c r="D23" s="13" t="s">
        <v>2151</v>
      </c>
      <c r="E23" s="12" t="s">
        <v>134</v>
      </c>
      <c r="F23" s="12" t="s">
        <v>159</v>
      </c>
      <c r="G23" s="13" t="s">
        <v>2125</v>
      </c>
      <c r="H23" s="12" t="s">
        <v>98</v>
      </c>
      <c r="I23" s="12" t="s">
        <v>113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2152</v>
      </c>
      <c r="B24" s="12" t="s">
        <v>182</v>
      </c>
      <c r="C24" s="12" t="s">
        <v>1184</v>
      </c>
      <c r="D24" s="13" t="s">
        <v>2153</v>
      </c>
      <c r="E24" s="12" t="s">
        <v>134</v>
      </c>
      <c r="F24" s="12" t="s">
        <v>159</v>
      </c>
      <c r="G24" s="13" t="s">
        <v>2145</v>
      </c>
      <c r="H24" s="12" t="s">
        <v>98</v>
      </c>
      <c r="I24" s="12" t="s">
        <v>113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2154</v>
      </c>
      <c r="B25" s="12" t="s">
        <v>2155</v>
      </c>
      <c r="C25" s="12" t="s">
        <v>782</v>
      </c>
      <c r="D25" s="13" t="s">
        <v>2156</v>
      </c>
      <c r="E25" s="12" t="s">
        <v>134</v>
      </c>
      <c r="F25" s="12" t="s">
        <v>159</v>
      </c>
      <c r="G25" s="13" t="s">
        <v>2128</v>
      </c>
      <c r="H25" s="12" t="s">
        <v>98</v>
      </c>
      <c r="I25" s="12" t="s">
        <v>113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2157</v>
      </c>
      <c r="B26" s="12" t="s">
        <v>1531</v>
      </c>
      <c r="C26" s="12" t="s">
        <v>782</v>
      </c>
      <c r="D26" s="13" t="s">
        <v>2158</v>
      </c>
      <c r="E26" s="12" t="s">
        <v>134</v>
      </c>
      <c r="F26" s="12" t="s">
        <v>169</v>
      </c>
      <c r="G26" s="13" t="s">
        <v>2159</v>
      </c>
      <c r="H26" s="12" t="s">
        <v>100</v>
      </c>
      <c r="I26" s="12" t="s">
        <v>112</v>
      </c>
      <c r="J26" s="14" t="n">
        <v>46230</v>
      </c>
      <c r="K26" s="13" t="s">
        <v>2160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2161</v>
      </c>
      <c r="B27" s="12" t="s">
        <v>173</v>
      </c>
      <c r="C27" s="12" t="s">
        <v>1184</v>
      </c>
      <c r="D27" s="13" t="s">
        <v>2162</v>
      </c>
      <c r="E27" s="12" t="s">
        <v>134</v>
      </c>
      <c r="F27" s="12" t="s">
        <v>159</v>
      </c>
      <c r="G27" s="13" t="s">
        <v>2128</v>
      </c>
      <c r="H27" s="12" t="s">
        <v>98</v>
      </c>
      <c r="I27" s="12" t="s">
        <v>113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2163</v>
      </c>
      <c r="B28" s="12" t="s">
        <v>2164</v>
      </c>
      <c r="C28" s="12" t="s">
        <v>1184</v>
      </c>
      <c r="D28" s="13" t="s">
        <v>2165</v>
      </c>
      <c r="E28" s="12" t="s">
        <v>134</v>
      </c>
      <c r="F28" s="12" t="s">
        <v>159</v>
      </c>
      <c r="G28" s="13" t="s">
        <v>2128</v>
      </c>
      <c r="H28" s="12" t="s">
        <v>98</v>
      </c>
      <c r="I28" s="12" t="s">
        <v>113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2166</v>
      </c>
      <c r="B29" s="12" t="s">
        <v>162</v>
      </c>
      <c r="C29" s="12" t="s">
        <v>1184</v>
      </c>
      <c r="D29" s="13" t="s">
        <v>2167</v>
      </c>
      <c r="E29" s="12" t="s">
        <v>134</v>
      </c>
      <c r="F29" s="12" t="s">
        <v>164</v>
      </c>
      <c r="G29" s="13" t="s">
        <v>2125</v>
      </c>
      <c r="H29" s="12" t="s">
        <v>98</v>
      </c>
      <c r="I29" s="12" t="s">
        <v>113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2168</v>
      </c>
      <c r="B30" s="12" t="s">
        <v>167</v>
      </c>
      <c r="C30" s="12" t="s">
        <v>1184</v>
      </c>
      <c r="D30" s="13" t="s">
        <v>2169</v>
      </c>
      <c r="E30" s="12" t="s">
        <v>134</v>
      </c>
      <c r="F30" s="12" t="s">
        <v>169</v>
      </c>
      <c r="G30" s="13" t="s">
        <v>2170</v>
      </c>
      <c r="H30" s="12" t="s">
        <v>100</v>
      </c>
      <c r="I30" s="12" t="s">
        <v>112</v>
      </c>
      <c r="J30" s="14" t="n">
        <v>46230</v>
      </c>
      <c r="K30" s="13" t="s">
        <v>2171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2172</v>
      </c>
      <c r="B31" s="12" t="s">
        <v>187</v>
      </c>
      <c r="C31" s="12" t="s">
        <v>65</v>
      </c>
      <c r="D31" s="13" t="s">
        <v>2173</v>
      </c>
      <c r="E31" s="12" t="s">
        <v>134</v>
      </c>
      <c r="F31" s="12" t="s">
        <v>175</v>
      </c>
      <c r="G31" s="13" t="s">
        <v>2174</v>
      </c>
      <c r="H31" s="12" t="s">
        <v>92</v>
      </c>
      <c r="I31" s="12" t="s">
        <v>112</v>
      </c>
      <c r="J31" s="14" t="n">
        <v>46230</v>
      </c>
      <c r="K31" s="13" t="s">
        <v>1807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54" hidden="false" customHeight="true" outlineLevel="0" collapsed="false">
      <c r="A32" s="12" t="s">
        <v>2175</v>
      </c>
      <c r="B32" s="12" t="s">
        <v>191</v>
      </c>
      <c r="C32" s="12" t="s">
        <v>65</v>
      </c>
      <c r="D32" s="13" t="s">
        <v>2176</v>
      </c>
      <c r="E32" s="12" t="s">
        <v>134</v>
      </c>
      <c r="F32" s="12" t="s">
        <v>193</v>
      </c>
      <c r="G32" s="13" t="s">
        <v>2177</v>
      </c>
      <c r="H32" s="12" t="s">
        <v>98</v>
      </c>
      <c r="I32" s="12" t="s">
        <v>113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2178</v>
      </c>
      <c r="B33" s="12" t="s">
        <v>196</v>
      </c>
      <c r="C33" s="12" t="s">
        <v>65</v>
      </c>
      <c r="D33" s="13" t="s">
        <v>2179</v>
      </c>
      <c r="E33" s="12" t="s">
        <v>134</v>
      </c>
      <c r="F33" s="12" t="s">
        <v>193</v>
      </c>
      <c r="G33" s="13" t="s">
        <v>2180</v>
      </c>
      <c r="H33" s="12" t="s">
        <v>98</v>
      </c>
      <c r="I33" s="12" t="s">
        <v>113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2181</v>
      </c>
      <c r="B34" s="12" t="s">
        <v>622</v>
      </c>
      <c r="C34" s="12" t="s">
        <v>65</v>
      </c>
      <c r="D34" s="13" t="s">
        <v>2182</v>
      </c>
      <c r="E34" s="12" t="s">
        <v>134</v>
      </c>
      <c r="F34" s="12" t="s">
        <v>624</v>
      </c>
      <c r="G34" s="13" t="s">
        <v>2183</v>
      </c>
      <c r="H34" s="12" t="s">
        <v>98</v>
      </c>
      <c r="I34" s="12" t="s">
        <v>113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2184</v>
      </c>
      <c r="B35" s="12" t="s">
        <v>200</v>
      </c>
      <c r="C35" s="12" t="s">
        <v>65</v>
      </c>
      <c r="D35" s="13" t="s">
        <v>2185</v>
      </c>
      <c r="E35" s="12" t="s">
        <v>202</v>
      </c>
      <c r="F35" s="12" t="s">
        <v>202</v>
      </c>
      <c r="G35" s="13" t="s">
        <v>203</v>
      </c>
      <c r="H35" s="12" t="s">
        <v>98</v>
      </c>
      <c r="I35" s="12" t="s">
        <v>113</v>
      </c>
      <c r="J35" s="14" t="n">
        <v>46230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2186</v>
      </c>
      <c r="B36" s="12" t="s">
        <v>205</v>
      </c>
      <c r="C36" s="12" t="s">
        <v>65</v>
      </c>
      <c r="D36" s="13" t="s">
        <v>2187</v>
      </c>
      <c r="E36" s="12" t="s">
        <v>134</v>
      </c>
      <c r="F36" s="12" t="s">
        <v>134</v>
      </c>
      <c r="G36" s="13" t="s">
        <v>207</v>
      </c>
      <c r="H36" s="12" t="s">
        <v>98</v>
      </c>
      <c r="I36" s="12" t="s">
        <v>113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2188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2189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116</v>
      </c>
      <c r="E4" s="6" t="n">
        <f aca="false">SUM(M9:M27)</f>
        <v>18</v>
      </c>
      <c r="G4" s="5" t="s">
        <v>14</v>
      </c>
      <c r="H4" s="7" t="n">
        <f aca="false">IF(B4=0,0,E4/B4)</f>
        <v>0.947368421052632</v>
      </c>
      <c r="J4" s="5" t="s">
        <v>15</v>
      </c>
      <c r="K4" s="6" t="str">
        <f aca="false">IF(COUNTIFS(E9:E27,"package",M9:M27,0)&gt;0,"open","complete")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2190</v>
      </c>
      <c r="B9" s="12" t="s">
        <v>90</v>
      </c>
      <c r="C9" s="12" t="s">
        <v>782</v>
      </c>
      <c r="D9" s="13" t="s">
        <v>2191</v>
      </c>
      <c r="E9" s="12" t="s">
        <v>134</v>
      </c>
      <c r="F9" s="12" t="s">
        <v>135</v>
      </c>
      <c r="G9" s="13" t="s">
        <v>2192</v>
      </c>
      <c r="H9" s="12" t="s">
        <v>98</v>
      </c>
      <c r="I9" s="12" t="s">
        <v>113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2193</v>
      </c>
      <c r="B10" s="12" t="s">
        <v>1343</v>
      </c>
      <c r="C10" s="12" t="s">
        <v>782</v>
      </c>
      <c r="D10" s="13" t="s">
        <v>2194</v>
      </c>
      <c r="E10" s="12" t="s">
        <v>134</v>
      </c>
      <c r="F10" s="12" t="s">
        <v>154</v>
      </c>
      <c r="G10" s="13" t="s">
        <v>2195</v>
      </c>
      <c r="H10" s="12" t="s">
        <v>98</v>
      </c>
      <c r="I10" s="12" t="s">
        <v>113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2196</v>
      </c>
      <c r="B11" s="12" t="s">
        <v>138</v>
      </c>
      <c r="C11" s="12" t="s">
        <v>2197</v>
      </c>
      <c r="D11" s="13" t="s">
        <v>2198</v>
      </c>
      <c r="E11" s="12" t="s">
        <v>134</v>
      </c>
      <c r="F11" s="12" t="s">
        <v>134</v>
      </c>
      <c r="G11" s="13" t="s">
        <v>1895</v>
      </c>
      <c r="H11" s="12" t="s">
        <v>98</v>
      </c>
      <c r="I11" s="12" t="s">
        <v>113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2199</v>
      </c>
      <c r="B12" s="12" t="s">
        <v>142</v>
      </c>
      <c r="C12" s="12" t="s">
        <v>782</v>
      </c>
      <c r="D12" s="13" t="s">
        <v>2200</v>
      </c>
      <c r="E12" s="12" t="s">
        <v>134</v>
      </c>
      <c r="F12" s="12" t="s">
        <v>144</v>
      </c>
      <c r="G12" s="13" t="s">
        <v>2201</v>
      </c>
      <c r="H12" s="12" t="s">
        <v>98</v>
      </c>
      <c r="I12" s="12" t="s">
        <v>113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2202</v>
      </c>
      <c r="B13" s="12" t="s">
        <v>2203</v>
      </c>
      <c r="C13" s="12" t="s">
        <v>782</v>
      </c>
      <c r="D13" s="13" t="s">
        <v>2204</v>
      </c>
      <c r="E13" s="12" t="s">
        <v>134</v>
      </c>
      <c r="F13" s="12" t="s">
        <v>154</v>
      </c>
      <c r="G13" s="13" t="s">
        <v>2195</v>
      </c>
      <c r="H13" s="12" t="s">
        <v>98</v>
      </c>
      <c r="I13" s="12" t="s">
        <v>113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2205</v>
      </c>
      <c r="B14" s="12" t="s">
        <v>1293</v>
      </c>
      <c r="C14" s="12" t="s">
        <v>782</v>
      </c>
      <c r="D14" s="13" t="s">
        <v>2206</v>
      </c>
      <c r="E14" s="12" t="s">
        <v>134</v>
      </c>
      <c r="F14" s="12" t="s">
        <v>159</v>
      </c>
      <c r="G14" s="13" t="s">
        <v>2207</v>
      </c>
      <c r="H14" s="12" t="s">
        <v>98</v>
      </c>
      <c r="I14" s="12" t="s">
        <v>113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2208</v>
      </c>
      <c r="B15" s="12" t="s">
        <v>2209</v>
      </c>
      <c r="C15" s="12" t="s">
        <v>782</v>
      </c>
      <c r="D15" s="13" t="s">
        <v>2210</v>
      </c>
      <c r="E15" s="12" t="s">
        <v>134</v>
      </c>
      <c r="F15" s="12" t="s">
        <v>159</v>
      </c>
      <c r="G15" s="13" t="s">
        <v>2207</v>
      </c>
      <c r="H15" s="12" t="s">
        <v>98</v>
      </c>
      <c r="I15" s="12" t="s">
        <v>113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2211</v>
      </c>
      <c r="B16" s="12" t="s">
        <v>2212</v>
      </c>
      <c r="C16" s="12" t="s">
        <v>782</v>
      </c>
      <c r="D16" s="13" t="s">
        <v>2213</v>
      </c>
      <c r="E16" s="12" t="s">
        <v>134</v>
      </c>
      <c r="F16" s="12" t="s">
        <v>159</v>
      </c>
      <c r="G16" s="13" t="s">
        <v>2207</v>
      </c>
      <c r="H16" s="12" t="s">
        <v>98</v>
      </c>
      <c r="I16" s="12" t="s">
        <v>113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2214</v>
      </c>
      <c r="B17" s="12" t="s">
        <v>182</v>
      </c>
      <c r="C17" s="12" t="s">
        <v>782</v>
      </c>
      <c r="D17" s="13" t="s">
        <v>2215</v>
      </c>
      <c r="E17" s="12" t="s">
        <v>134</v>
      </c>
      <c r="F17" s="12" t="s">
        <v>159</v>
      </c>
      <c r="G17" s="13" t="s">
        <v>2216</v>
      </c>
      <c r="H17" s="12" t="s">
        <v>98</v>
      </c>
      <c r="I17" s="12" t="s">
        <v>113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2217</v>
      </c>
      <c r="B18" s="12" t="s">
        <v>2218</v>
      </c>
      <c r="C18" s="12" t="s">
        <v>782</v>
      </c>
      <c r="D18" s="13" t="s">
        <v>2219</v>
      </c>
      <c r="E18" s="12" t="s">
        <v>134</v>
      </c>
      <c r="F18" s="12" t="s">
        <v>159</v>
      </c>
      <c r="G18" s="13" t="s">
        <v>2207</v>
      </c>
      <c r="H18" s="12" t="s">
        <v>98</v>
      </c>
      <c r="I18" s="12" t="s">
        <v>113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2220</v>
      </c>
      <c r="B19" s="12" t="s">
        <v>173</v>
      </c>
      <c r="C19" s="12" t="s">
        <v>782</v>
      </c>
      <c r="D19" s="13" t="s">
        <v>2221</v>
      </c>
      <c r="E19" s="12" t="s">
        <v>134</v>
      </c>
      <c r="F19" s="12" t="s">
        <v>159</v>
      </c>
      <c r="G19" s="13" t="s">
        <v>2222</v>
      </c>
      <c r="H19" s="12" t="s">
        <v>98</v>
      </c>
      <c r="I19" s="12" t="s">
        <v>113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2223</v>
      </c>
      <c r="B20" s="12" t="s">
        <v>162</v>
      </c>
      <c r="C20" s="12" t="s">
        <v>782</v>
      </c>
      <c r="D20" s="13" t="s">
        <v>2224</v>
      </c>
      <c r="E20" s="12" t="s">
        <v>134</v>
      </c>
      <c r="F20" s="12" t="s">
        <v>164</v>
      </c>
      <c r="G20" s="13" t="s">
        <v>2207</v>
      </c>
      <c r="H20" s="12" t="s">
        <v>98</v>
      </c>
      <c r="I20" s="12" t="s">
        <v>113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2225</v>
      </c>
      <c r="B21" s="12" t="s">
        <v>167</v>
      </c>
      <c r="C21" s="12" t="s">
        <v>782</v>
      </c>
      <c r="D21" s="13" t="s">
        <v>2226</v>
      </c>
      <c r="E21" s="12" t="s">
        <v>134</v>
      </c>
      <c r="F21" s="12" t="s">
        <v>169</v>
      </c>
      <c r="G21" s="13" t="s">
        <v>2227</v>
      </c>
      <c r="H21" s="12" t="s">
        <v>100</v>
      </c>
      <c r="I21" s="12" t="s">
        <v>112</v>
      </c>
      <c r="J21" s="14" t="n">
        <v>46230</v>
      </c>
      <c r="K21" s="13" t="s">
        <v>2228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2229</v>
      </c>
      <c r="B22" s="12" t="s">
        <v>187</v>
      </c>
      <c r="C22" s="12" t="s">
        <v>66</v>
      </c>
      <c r="D22" s="13" t="s">
        <v>2230</v>
      </c>
      <c r="E22" s="12" t="s">
        <v>134</v>
      </c>
      <c r="F22" s="12" t="s">
        <v>175</v>
      </c>
      <c r="G22" s="13" t="s">
        <v>2231</v>
      </c>
      <c r="H22" s="12" t="s">
        <v>92</v>
      </c>
      <c r="I22" s="12" t="s">
        <v>112</v>
      </c>
      <c r="J22" s="14" t="n">
        <v>46230</v>
      </c>
      <c r="K22" s="13" t="s">
        <v>1807</v>
      </c>
      <c r="L22" s="12" t="n">
        <v>1</v>
      </c>
      <c r="M22" s="12" t="n">
        <f aca="false">IF(OR(AND(I22="yes",H22="verified"),AND(I22="no",OR(H22="tested",H22="verified")),AND(H22="not applicable",K22&lt;&gt;"")),1,0)</f>
        <v>0</v>
      </c>
    </row>
    <row r="23" customFormat="false" ht="54" hidden="false" customHeight="true" outlineLevel="0" collapsed="false">
      <c r="A23" s="12" t="s">
        <v>2232</v>
      </c>
      <c r="B23" s="12" t="s">
        <v>191</v>
      </c>
      <c r="C23" s="12" t="s">
        <v>66</v>
      </c>
      <c r="D23" s="13" t="s">
        <v>2233</v>
      </c>
      <c r="E23" s="12" t="s">
        <v>134</v>
      </c>
      <c r="F23" s="12" t="s">
        <v>193</v>
      </c>
      <c r="G23" s="13" t="s">
        <v>2234</v>
      </c>
      <c r="H23" s="12" t="s">
        <v>98</v>
      </c>
      <c r="I23" s="12" t="s">
        <v>113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2235</v>
      </c>
      <c r="B24" s="12" t="s">
        <v>196</v>
      </c>
      <c r="C24" s="12" t="s">
        <v>66</v>
      </c>
      <c r="D24" s="13" t="s">
        <v>2236</v>
      </c>
      <c r="E24" s="12" t="s">
        <v>134</v>
      </c>
      <c r="F24" s="12" t="s">
        <v>193</v>
      </c>
      <c r="G24" s="13" t="s">
        <v>2237</v>
      </c>
      <c r="H24" s="12" t="s">
        <v>98</v>
      </c>
      <c r="I24" s="12" t="s">
        <v>113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2238</v>
      </c>
      <c r="B25" s="12" t="s">
        <v>622</v>
      </c>
      <c r="C25" s="12" t="s">
        <v>66</v>
      </c>
      <c r="D25" s="13" t="s">
        <v>2239</v>
      </c>
      <c r="E25" s="12" t="s">
        <v>134</v>
      </c>
      <c r="F25" s="12" t="s">
        <v>624</v>
      </c>
      <c r="G25" s="13" t="s">
        <v>2240</v>
      </c>
      <c r="H25" s="12" t="s">
        <v>98</v>
      </c>
      <c r="I25" s="12" t="s">
        <v>113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2241</v>
      </c>
      <c r="B26" s="12" t="s">
        <v>200</v>
      </c>
      <c r="C26" s="12" t="s">
        <v>66</v>
      </c>
      <c r="D26" s="13" t="s">
        <v>2242</v>
      </c>
      <c r="E26" s="12" t="s">
        <v>202</v>
      </c>
      <c r="F26" s="12" t="s">
        <v>202</v>
      </c>
      <c r="G26" s="13" t="s">
        <v>203</v>
      </c>
      <c r="H26" s="12" t="s">
        <v>98</v>
      </c>
      <c r="I26" s="12" t="s">
        <v>113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2243</v>
      </c>
      <c r="B27" s="12" t="s">
        <v>205</v>
      </c>
      <c r="C27" s="12" t="s">
        <v>66</v>
      </c>
      <c r="D27" s="13" t="s">
        <v>2244</v>
      </c>
      <c r="E27" s="12" t="s">
        <v>134</v>
      </c>
      <c r="F27" s="12" t="s">
        <v>134</v>
      </c>
      <c r="G27" s="13" t="s">
        <v>207</v>
      </c>
      <c r="H27" s="12" t="s">
        <v>98</v>
      </c>
      <c r="I27" s="12" t="s">
        <v>113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/>
    <row r="29" customFormat="false" ht="54" hidden="false" customHeight="true" outlineLevel="0" collapsed="false"/>
    <row r="30" customFormat="false" ht="54" hidden="false" customHeight="true" outlineLevel="0" collapsed="false"/>
    <row r="31" customFormat="false" ht="54" hidden="false" customHeight="true" outlineLevel="0" collapsed="false"/>
    <row r="32" customFormat="false" ht="54" hidden="false" customHeight="true" outlineLevel="0" collapsed="false"/>
    <row r="33" customFormat="false" ht="54" hidden="false" customHeight="true" outlineLevel="0" collapsed="false"/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</sheetData>
  <autoFilter ref="A8:M27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27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7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2245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2246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116</v>
      </c>
      <c r="E4" s="6" t="n">
        <f aca="false">SUM(M9:M33)</f>
        <v>24</v>
      </c>
      <c r="G4" s="5" t="s">
        <v>14</v>
      </c>
      <c r="H4" s="7" t="n">
        <f aca="false">IF(B4=0,0,E4/B4)</f>
        <v>0.96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1037</v>
      </c>
      <c r="B9" s="12" t="s">
        <v>90</v>
      </c>
      <c r="C9" s="12" t="s">
        <v>782</v>
      </c>
      <c r="D9" s="13" t="s">
        <v>2247</v>
      </c>
      <c r="E9" s="12" t="s">
        <v>134</v>
      </c>
      <c r="F9" s="12" t="s">
        <v>135</v>
      </c>
      <c r="G9" s="13" t="s">
        <v>2248</v>
      </c>
      <c r="H9" s="12" t="s">
        <v>98</v>
      </c>
      <c r="I9" s="12" t="s">
        <v>113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1040</v>
      </c>
      <c r="B10" s="12" t="s">
        <v>1343</v>
      </c>
      <c r="C10" s="12" t="s">
        <v>1184</v>
      </c>
      <c r="D10" s="13" t="s">
        <v>2249</v>
      </c>
      <c r="E10" s="12" t="s">
        <v>134</v>
      </c>
      <c r="F10" s="12" t="s">
        <v>154</v>
      </c>
      <c r="G10" s="13" t="s">
        <v>2250</v>
      </c>
      <c r="H10" s="12" t="s">
        <v>98</v>
      </c>
      <c r="I10" s="12" t="s">
        <v>113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1042</v>
      </c>
      <c r="B11" s="12" t="s">
        <v>138</v>
      </c>
      <c r="C11" s="12" t="s">
        <v>1184</v>
      </c>
      <c r="D11" s="13" t="s">
        <v>2251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1045</v>
      </c>
      <c r="B12" s="12" t="s">
        <v>142</v>
      </c>
      <c r="C12" s="12" t="s">
        <v>1184</v>
      </c>
      <c r="D12" s="13" t="s">
        <v>2252</v>
      </c>
      <c r="E12" s="12" t="s">
        <v>134</v>
      </c>
      <c r="F12" s="12" t="s">
        <v>144</v>
      </c>
      <c r="G12" s="13" t="s">
        <v>2253</v>
      </c>
      <c r="H12" s="12" t="s">
        <v>98</v>
      </c>
      <c r="I12" s="12" t="s">
        <v>113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1048</v>
      </c>
      <c r="B13" s="12" t="s">
        <v>147</v>
      </c>
      <c r="C13" s="12" t="s">
        <v>1184</v>
      </c>
      <c r="D13" s="13" t="s">
        <v>2254</v>
      </c>
      <c r="E13" s="12" t="s">
        <v>134</v>
      </c>
      <c r="F13" s="12" t="s">
        <v>149</v>
      </c>
      <c r="G13" s="13" t="s">
        <v>2255</v>
      </c>
      <c r="H13" s="12" t="s">
        <v>98</v>
      </c>
      <c r="I13" s="12" t="s">
        <v>113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1051</v>
      </c>
      <c r="B14" s="12" t="s">
        <v>1576</v>
      </c>
      <c r="C14" s="12" t="s">
        <v>782</v>
      </c>
      <c r="D14" s="13" t="s">
        <v>2256</v>
      </c>
      <c r="E14" s="12" t="s">
        <v>134</v>
      </c>
      <c r="F14" s="12" t="s">
        <v>159</v>
      </c>
      <c r="G14" s="13" t="s">
        <v>2257</v>
      </c>
      <c r="H14" s="12" t="s">
        <v>98</v>
      </c>
      <c r="I14" s="12" t="s">
        <v>113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1054</v>
      </c>
      <c r="B15" s="12" t="s">
        <v>1693</v>
      </c>
      <c r="C15" s="12" t="s">
        <v>782</v>
      </c>
      <c r="D15" s="13" t="s">
        <v>2258</v>
      </c>
      <c r="E15" s="12" t="s">
        <v>134</v>
      </c>
      <c r="F15" s="12" t="s">
        <v>169</v>
      </c>
      <c r="G15" s="13" t="s">
        <v>2259</v>
      </c>
      <c r="H15" s="12" t="s">
        <v>100</v>
      </c>
      <c r="I15" s="12" t="s">
        <v>112</v>
      </c>
      <c r="J15" s="14" t="n">
        <v>46230</v>
      </c>
      <c r="K15" s="13" t="s">
        <v>2260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1056</v>
      </c>
      <c r="B16" s="12" t="s">
        <v>1698</v>
      </c>
      <c r="C16" s="12" t="s">
        <v>782</v>
      </c>
      <c r="D16" s="13" t="s">
        <v>2261</v>
      </c>
      <c r="E16" s="12" t="s">
        <v>134</v>
      </c>
      <c r="F16" s="12" t="s">
        <v>169</v>
      </c>
      <c r="G16" s="13" t="s">
        <v>2259</v>
      </c>
      <c r="H16" s="12" t="s">
        <v>100</v>
      </c>
      <c r="I16" s="12" t="s">
        <v>112</v>
      </c>
      <c r="J16" s="14" t="n">
        <v>46230</v>
      </c>
      <c r="K16" s="13" t="s">
        <v>2262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1060</v>
      </c>
      <c r="B17" s="12" t="s">
        <v>1173</v>
      </c>
      <c r="C17" s="12" t="s">
        <v>782</v>
      </c>
      <c r="D17" s="13" t="s">
        <v>2263</v>
      </c>
      <c r="E17" s="12" t="s">
        <v>134</v>
      </c>
      <c r="F17" s="12" t="s">
        <v>154</v>
      </c>
      <c r="G17" s="13" t="s">
        <v>2264</v>
      </c>
      <c r="H17" s="12" t="s">
        <v>98</v>
      </c>
      <c r="I17" s="12" t="s">
        <v>113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1064</v>
      </c>
      <c r="B18" s="12" t="s">
        <v>2265</v>
      </c>
      <c r="C18" s="12" t="s">
        <v>2266</v>
      </c>
      <c r="D18" s="13" t="s">
        <v>2267</v>
      </c>
      <c r="E18" s="12" t="s">
        <v>134</v>
      </c>
      <c r="F18" s="12" t="s">
        <v>159</v>
      </c>
      <c r="G18" s="13" t="s">
        <v>2264</v>
      </c>
      <c r="H18" s="12" t="s">
        <v>98</v>
      </c>
      <c r="I18" s="12" t="s">
        <v>113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1066</v>
      </c>
      <c r="B19" s="12" t="s">
        <v>2268</v>
      </c>
      <c r="C19" s="12" t="s">
        <v>1086</v>
      </c>
      <c r="D19" s="13" t="s">
        <v>2269</v>
      </c>
      <c r="E19" s="12" t="s">
        <v>134</v>
      </c>
      <c r="F19" s="12" t="s">
        <v>159</v>
      </c>
      <c r="G19" s="13" t="s">
        <v>2264</v>
      </c>
      <c r="H19" s="12" t="s">
        <v>98</v>
      </c>
      <c r="I19" s="12" t="s">
        <v>113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1069</v>
      </c>
      <c r="B20" s="12" t="s">
        <v>2270</v>
      </c>
      <c r="C20" s="12" t="s">
        <v>2271</v>
      </c>
      <c r="D20" s="13" t="s">
        <v>2272</v>
      </c>
      <c r="E20" s="12" t="s">
        <v>134</v>
      </c>
      <c r="F20" s="12" t="s">
        <v>159</v>
      </c>
      <c r="G20" s="13" t="s">
        <v>2273</v>
      </c>
      <c r="H20" s="12" t="s">
        <v>98</v>
      </c>
      <c r="I20" s="12" t="s">
        <v>113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1072</v>
      </c>
      <c r="B21" s="12" t="s">
        <v>1790</v>
      </c>
      <c r="C21" s="12" t="s">
        <v>1790</v>
      </c>
      <c r="D21" s="13" t="s">
        <v>2274</v>
      </c>
      <c r="E21" s="12" t="s">
        <v>134</v>
      </c>
      <c r="F21" s="12" t="s">
        <v>169</v>
      </c>
      <c r="G21" s="13" t="s">
        <v>2259</v>
      </c>
      <c r="H21" s="12" t="s">
        <v>100</v>
      </c>
      <c r="I21" s="12" t="s">
        <v>112</v>
      </c>
      <c r="J21" s="14" t="n">
        <v>46230</v>
      </c>
      <c r="K21" s="13" t="s">
        <v>2275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1074</v>
      </c>
      <c r="B22" s="12" t="s">
        <v>182</v>
      </c>
      <c r="C22" s="12" t="s">
        <v>2276</v>
      </c>
      <c r="D22" s="13" t="s">
        <v>2277</v>
      </c>
      <c r="E22" s="12" t="s">
        <v>134</v>
      </c>
      <c r="F22" s="12" t="s">
        <v>154</v>
      </c>
      <c r="G22" s="13" t="s">
        <v>2264</v>
      </c>
      <c r="H22" s="12" t="s">
        <v>98</v>
      </c>
      <c r="I22" s="12" t="s">
        <v>113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1077</v>
      </c>
      <c r="B23" s="12" t="s">
        <v>2278</v>
      </c>
      <c r="C23" s="12" t="s">
        <v>1086</v>
      </c>
      <c r="D23" s="13" t="s">
        <v>2279</v>
      </c>
      <c r="E23" s="12" t="s">
        <v>134</v>
      </c>
      <c r="F23" s="12" t="s">
        <v>159</v>
      </c>
      <c r="G23" s="13" t="s">
        <v>2280</v>
      </c>
      <c r="H23" s="12" t="s">
        <v>98</v>
      </c>
      <c r="I23" s="12" t="s">
        <v>113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2281</v>
      </c>
      <c r="B24" s="12" t="s">
        <v>162</v>
      </c>
      <c r="C24" s="12" t="s">
        <v>1184</v>
      </c>
      <c r="D24" s="13" t="s">
        <v>2282</v>
      </c>
      <c r="E24" s="12" t="s">
        <v>134</v>
      </c>
      <c r="F24" s="12" t="s">
        <v>164</v>
      </c>
      <c r="G24" s="13" t="s">
        <v>2257</v>
      </c>
      <c r="H24" s="12" t="s">
        <v>98</v>
      </c>
      <c r="I24" s="12" t="s">
        <v>113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2283</v>
      </c>
      <c r="B25" s="12" t="s">
        <v>173</v>
      </c>
      <c r="C25" s="12" t="s">
        <v>1184</v>
      </c>
      <c r="D25" s="13" t="s">
        <v>2284</v>
      </c>
      <c r="E25" s="12" t="s">
        <v>134</v>
      </c>
      <c r="F25" s="12" t="s">
        <v>159</v>
      </c>
      <c r="G25" s="13" t="s">
        <v>2285</v>
      </c>
      <c r="H25" s="12" t="s">
        <v>98</v>
      </c>
      <c r="I25" s="12" t="s">
        <v>113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2286</v>
      </c>
      <c r="B26" s="12" t="s">
        <v>1863</v>
      </c>
      <c r="C26" s="12" t="s">
        <v>1184</v>
      </c>
      <c r="D26" s="13" t="s">
        <v>2287</v>
      </c>
      <c r="E26" s="12" t="s">
        <v>134</v>
      </c>
      <c r="F26" s="12" t="s">
        <v>169</v>
      </c>
      <c r="G26" s="13" t="s">
        <v>2259</v>
      </c>
      <c r="H26" s="12" t="s">
        <v>100</v>
      </c>
      <c r="I26" s="12" t="s">
        <v>112</v>
      </c>
      <c r="J26" s="14" t="n">
        <v>46230</v>
      </c>
      <c r="K26" s="13" t="s">
        <v>2288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2289</v>
      </c>
      <c r="B27" s="12" t="s">
        <v>167</v>
      </c>
      <c r="C27" s="12" t="s">
        <v>1184</v>
      </c>
      <c r="D27" s="13" t="s">
        <v>2290</v>
      </c>
      <c r="E27" s="12" t="s">
        <v>134</v>
      </c>
      <c r="F27" s="12" t="s">
        <v>169</v>
      </c>
      <c r="G27" s="13" t="s">
        <v>2259</v>
      </c>
      <c r="H27" s="12" t="s">
        <v>100</v>
      </c>
      <c r="I27" s="12" t="s">
        <v>112</v>
      </c>
      <c r="J27" s="14" t="n">
        <v>46230</v>
      </c>
      <c r="K27" s="13" t="s">
        <v>2291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2292</v>
      </c>
      <c r="B28" s="12" t="s">
        <v>622</v>
      </c>
      <c r="C28" s="12" t="s">
        <v>1184</v>
      </c>
      <c r="D28" s="13" t="s">
        <v>2293</v>
      </c>
      <c r="E28" s="12" t="s">
        <v>134</v>
      </c>
      <c r="F28" s="12" t="s">
        <v>624</v>
      </c>
      <c r="G28" s="13" t="s">
        <v>2294</v>
      </c>
      <c r="H28" s="12" t="s">
        <v>98</v>
      </c>
      <c r="I28" s="12" t="s">
        <v>113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2295</v>
      </c>
      <c r="B29" s="12" t="s">
        <v>187</v>
      </c>
      <c r="C29" s="12" t="s">
        <v>1184</v>
      </c>
      <c r="D29" s="13" t="s">
        <v>2296</v>
      </c>
      <c r="E29" s="12" t="s">
        <v>134</v>
      </c>
      <c r="F29" s="12" t="s">
        <v>175</v>
      </c>
      <c r="G29" s="13" t="s">
        <v>2297</v>
      </c>
      <c r="H29" s="12" t="s">
        <v>92</v>
      </c>
      <c r="I29" s="12" t="s">
        <v>112</v>
      </c>
      <c r="J29" s="14" t="n">
        <v>46230</v>
      </c>
      <c r="K29" s="13" t="s">
        <v>1807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2298</v>
      </c>
      <c r="B30" s="12" t="s">
        <v>191</v>
      </c>
      <c r="C30" s="12" t="s">
        <v>1184</v>
      </c>
      <c r="D30" s="13" t="s">
        <v>2299</v>
      </c>
      <c r="E30" s="12" t="s">
        <v>134</v>
      </c>
      <c r="F30" s="12" t="s">
        <v>193</v>
      </c>
      <c r="G30" s="13" t="s">
        <v>2300</v>
      </c>
      <c r="H30" s="12" t="s">
        <v>98</v>
      </c>
      <c r="I30" s="12" t="s">
        <v>113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2301</v>
      </c>
      <c r="B31" s="12" t="s">
        <v>196</v>
      </c>
      <c r="C31" s="12" t="s">
        <v>67</v>
      </c>
      <c r="D31" s="13" t="s">
        <v>2302</v>
      </c>
      <c r="E31" s="12" t="s">
        <v>134</v>
      </c>
      <c r="F31" s="12" t="s">
        <v>193</v>
      </c>
      <c r="G31" s="13" t="s">
        <v>2303</v>
      </c>
      <c r="H31" s="12" t="s">
        <v>98</v>
      </c>
      <c r="I31" s="12" t="s">
        <v>113</v>
      </c>
      <c r="J31" s="14" t="n">
        <v>46230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15" hidden="false" customHeight="true" outlineLevel="0" collapsed="false">
      <c r="A32" s="12" t="s">
        <v>2304</v>
      </c>
      <c r="B32" s="12" t="s">
        <v>200</v>
      </c>
      <c r="C32" s="12" t="s">
        <v>67</v>
      </c>
      <c r="D32" s="13" t="s">
        <v>2305</v>
      </c>
      <c r="E32" s="12" t="s">
        <v>202</v>
      </c>
      <c r="F32" s="12" t="s">
        <v>202</v>
      </c>
      <c r="G32" s="13" t="s">
        <v>203</v>
      </c>
      <c r="H32" s="12" t="s">
        <v>98</v>
      </c>
      <c r="I32" s="12" t="s">
        <v>113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2306</v>
      </c>
      <c r="B33" s="12" t="s">
        <v>205</v>
      </c>
      <c r="C33" s="12" t="s">
        <v>67</v>
      </c>
      <c r="D33" s="13" t="s">
        <v>2307</v>
      </c>
      <c r="E33" s="12" t="s">
        <v>134</v>
      </c>
      <c r="F33" s="12" t="s">
        <v>134</v>
      </c>
      <c r="G33" s="13" t="s">
        <v>2308</v>
      </c>
      <c r="H33" s="12" t="s">
        <v>98</v>
      </c>
      <c r="I33" s="12" t="s">
        <v>113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2310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116</v>
      </c>
      <c r="E4" s="6" t="n">
        <f aca="false">SUM(M9:M34)</f>
        <v>25</v>
      </c>
      <c r="G4" s="5" t="s">
        <v>14</v>
      </c>
      <c r="H4" s="7" t="n">
        <f aca="false">IF(B4=0,0,E4/B4)</f>
        <v>0.961538461538462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2311</v>
      </c>
      <c r="B9" s="12" t="s">
        <v>90</v>
      </c>
      <c r="C9" s="12" t="s">
        <v>782</v>
      </c>
      <c r="D9" s="13" t="s">
        <v>2312</v>
      </c>
      <c r="E9" s="12" t="s">
        <v>134</v>
      </c>
      <c r="F9" s="12" t="s">
        <v>135</v>
      </c>
      <c r="G9" s="13" t="s">
        <v>2313</v>
      </c>
      <c r="H9" s="12" t="s">
        <v>98</v>
      </c>
      <c r="I9" s="12" t="s">
        <v>113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2314</v>
      </c>
      <c r="B10" s="12" t="s">
        <v>1343</v>
      </c>
      <c r="C10" s="12" t="s">
        <v>1184</v>
      </c>
      <c r="D10" s="13" t="s">
        <v>2315</v>
      </c>
      <c r="E10" s="12" t="s">
        <v>134</v>
      </c>
      <c r="F10" s="12" t="s">
        <v>154</v>
      </c>
      <c r="G10" s="13" t="s">
        <v>2316</v>
      </c>
      <c r="H10" s="12" t="s">
        <v>98</v>
      </c>
      <c r="I10" s="12" t="s">
        <v>113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2317</v>
      </c>
      <c r="B11" s="12" t="s">
        <v>138</v>
      </c>
      <c r="C11" s="12" t="s">
        <v>1184</v>
      </c>
      <c r="D11" s="13" t="s">
        <v>2318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2319</v>
      </c>
      <c r="B12" s="12" t="s">
        <v>142</v>
      </c>
      <c r="C12" s="12" t="s">
        <v>1184</v>
      </c>
      <c r="D12" s="13" t="s">
        <v>2320</v>
      </c>
      <c r="E12" s="12" t="s">
        <v>134</v>
      </c>
      <c r="F12" s="12" t="s">
        <v>144</v>
      </c>
      <c r="G12" s="13" t="s">
        <v>2321</v>
      </c>
      <c r="H12" s="12" t="s">
        <v>98</v>
      </c>
      <c r="I12" s="12" t="s">
        <v>113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2322</v>
      </c>
      <c r="B13" s="12" t="s">
        <v>147</v>
      </c>
      <c r="C13" s="12" t="s">
        <v>1184</v>
      </c>
      <c r="D13" s="13" t="s">
        <v>2323</v>
      </c>
      <c r="E13" s="12" t="s">
        <v>134</v>
      </c>
      <c r="F13" s="12" t="s">
        <v>149</v>
      </c>
      <c r="G13" s="13" t="s">
        <v>2324</v>
      </c>
      <c r="H13" s="12" t="s">
        <v>98</v>
      </c>
      <c r="I13" s="12" t="s">
        <v>113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2325</v>
      </c>
      <c r="B14" s="12" t="s">
        <v>1576</v>
      </c>
      <c r="C14" s="12" t="s">
        <v>782</v>
      </c>
      <c r="D14" s="13" t="s">
        <v>2326</v>
      </c>
      <c r="E14" s="12" t="s">
        <v>134</v>
      </c>
      <c r="F14" s="12" t="s">
        <v>159</v>
      </c>
      <c r="G14" s="13" t="s">
        <v>2327</v>
      </c>
      <c r="H14" s="12" t="s">
        <v>98</v>
      </c>
      <c r="I14" s="12" t="s">
        <v>113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2328</v>
      </c>
      <c r="B15" s="12" t="s">
        <v>1693</v>
      </c>
      <c r="C15" s="12" t="s">
        <v>782</v>
      </c>
      <c r="D15" s="13" t="s">
        <v>2329</v>
      </c>
      <c r="E15" s="12" t="s">
        <v>134</v>
      </c>
      <c r="F15" s="12" t="s">
        <v>169</v>
      </c>
      <c r="G15" s="13" t="s">
        <v>2330</v>
      </c>
      <c r="H15" s="12" t="s">
        <v>100</v>
      </c>
      <c r="I15" s="12" t="s">
        <v>112</v>
      </c>
      <c r="J15" s="14" t="n">
        <v>46230</v>
      </c>
      <c r="K15" s="13" t="s">
        <v>2260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2331</v>
      </c>
      <c r="B16" s="12" t="s">
        <v>1698</v>
      </c>
      <c r="C16" s="12" t="s">
        <v>782</v>
      </c>
      <c r="D16" s="13" t="s">
        <v>2332</v>
      </c>
      <c r="E16" s="12" t="s">
        <v>134</v>
      </c>
      <c r="F16" s="12" t="s">
        <v>169</v>
      </c>
      <c r="G16" s="13" t="s">
        <v>2330</v>
      </c>
      <c r="H16" s="12" t="s">
        <v>100</v>
      </c>
      <c r="I16" s="12" t="s">
        <v>112</v>
      </c>
      <c r="J16" s="14" t="n">
        <v>46230</v>
      </c>
      <c r="K16" s="13" t="s">
        <v>2262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2333</v>
      </c>
      <c r="B17" s="12" t="s">
        <v>2334</v>
      </c>
      <c r="C17" s="12" t="s">
        <v>837</v>
      </c>
      <c r="D17" s="13" t="s">
        <v>2335</v>
      </c>
      <c r="E17" s="12" t="s">
        <v>134</v>
      </c>
      <c r="F17" s="12" t="s">
        <v>154</v>
      </c>
      <c r="G17" s="13" t="s">
        <v>2336</v>
      </c>
      <c r="H17" s="12" t="s">
        <v>98</v>
      </c>
      <c r="I17" s="12" t="s">
        <v>113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2337</v>
      </c>
      <c r="B18" s="12" t="s">
        <v>2338</v>
      </c>
      <c r="C18" s="12" t="s">
        <v>837</v>
      </c>
      <c r="D18" s="13" t="s">
        <v>2339</v>
      </c>
      <c r="E18" s="12" t="s">
        <v>134</v>
      </c>
      <c r="F18" s="12" t="s">
        <v>154</v>
      </c>
      <c r="G18" s="13" t="s">
        <v>2336</v>
      </c>
      <c r="H18" s="12" t="s">
        <v>98</v>
      </c>
      <c r="I18" s="12" t="s">
        <v>113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2340</v>
      </c>
      <c r="B19" s="12" t="s">
        <v>2341</v>
      </c>
      <c r="C19" s="12" t="s">
        <v>782</v>
      </c>
      <c r="D19" s="13" t="s">
        <v>2342</v>
      </c>
      <c r="E19" s="12" t="s">
        <v>134</v>
      </c>
      <c r="F19" s="12" t="s">
        <v>154</v>
      </c>
      <c r="G19" s="13" t="s">
        <v>2316</v>
      </c>
      <c r="H19" s="12" t="s">
        <v>98</v>
      </c>
      <c r="I19" s="12" t="s">
        <v>113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2343</v>
      </c>
      <c r="B20" s="12" t="s">
        <v>2344</v>
      </c>
      <c r="C20" s="12" t="s">
        <v>1780</v>
      </c>
      <c r="D20" s="13" t="s">
        <v>2345</v>
      </c>
      <c r="E20" s="12" t="s">
        <v>134</v>
      </c>
      <c r="F20" s="12" t="s">
        <v>159</v>
      </c>
      <c r="G20" s="13" t="s">
        <v>2336</v>
      </c>
      <c r="H20" s="12" t="s">
        <v>98</v>
      </c>
      <c r="I20" s="12" t="s">
        <v>113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2346</v>
      </c>
      <c r="B21" s="12" t="s">
        <v>2265</v>
      </c>
      <c r="C21" s="12" t="s">
        <v>2347</v>
      </c>
      <c r="D21" s="13" t="s">
        <v>2348</v>
      </c>
      <c r="E21" s="12" t="s">
        <v>134</v>
      </c>
      <c r="F21" s="12" t="s">
        <v>159</v>
      </c>
      <c r="G21" s="13" t="s">
        <v>2336</v>
      </c>
      <c r="H21" s="12" t="s">
        <v>98</v>
      </c>
      <c r="I21" s="12" t="s">
        <v>113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2349</v>
      </c>
      <c r="B22" s="12" t="s">
        <v>2268</v>
      </c>
      <c r="C22" s="12" t="s">
        <v>1086</v>
      </c>
      <c r="D22" s="13" t="s">
        <v>2350</v>
      </c>
      <c r="E22" s="12" t="s">
        <v>134</v>
      </c>
      <c r="F22" s="12" t="s">
        <v>159</v>
      </c>
      <c r="G22" s="13" t="s">
        <v>2336</v>
      </c>
      <c r="H22" s="12" t="s">
        <v>98</v>
      </c>
      <c r="I22" s="12" t="s">
        <v>113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2351</v>
      </c>
      <c r="B23" s="12" t="s">
        <v>2270</v>
      </c>
      <c r="C23" s="12" t="s">
        <v>2352</v>
      </c>
      <c r="D23" s="13" t="s">
        <v>2353</v>
      </c>
      <c r="E23" s="12" t="s">
        <v>134</v>
      </c>
      <c r="F23" s="12" t="s">
        <v>159</v>
      </c>
      <c r="G23" s="13" t="s">
        <v>2354</v>
      </c>
      <c r="H23" s="12" t="s">
        <v>98</v>
      </c>
      <c r="I23" s="12" t="s">
        <v>113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2355</v>
      </c>
      <c r="B24" s="12" t="s">
        <v>1583</v>
      </c>
      <c r="C24" s="12" t="s">
        <v>1780</v>
      </c>
      <c r="D24" s="13" t="s">
        <v>2356</v>
      </c>
      <c r="E24" s="12" t="s">
        <v>134</v>
      </c>
      <c r="F24" s="12" t="s">
        <v>159</v>
      </c>
      <c r="G24" s="13" t="s">
        <v>2327</v>
      </c>
      <c r="H24" s="12" t="s">
        <v>98</v>
      </c>
      <c r="I24" s="12" t="s">
        <v>113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2357</v>
      </c>
      <c r="B25" s="12" t="s">
        <v>2029</v>
      </c>
      <c r="C25" s="12" t="s">
        <v>1184</v>
      </c>
      <c r="D25" s="13" t="s">
        <v>2358</v>
      </c>
      <c r="E25" s="12" t="s">
        <v>134</v>
      </c>
      <c r="F25" s="12" t="s">
        <v>169</v>
      </c>
      <c r="G25" s="13" t="s">
        <v>2359</v>
      </c>
      <c r="H25" s="12" t="s">
        <v>100</v>
      </c>
      <c r="I25" s="12" t="s">
        <v>112</v>
      </c>
      <c r="J25" s="14" t="n">
        <v>46230</v>
      </c>
      <c r="K25" s="13" t="s">
        <v>2360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2361</v>
      </c>
      <c r="B26" s="12" t="s">
        <v>182</v>
      </c>
      <c r="C26" s="12" t="s">
        <v>2362</v>
      </c>
      <c r="D26" s="13" t="s">
        <v>2363</v>
      </c>
      <c r="E26" s="12" t="s">
        <v>134</v>
      </c>
      <c r="F26" s="12" t="s">
        <v>154</v>
      </c>
      <c r="G26" s="13" t="s">
        <v>2316</v>
      </c>
      <c r="H26" s="12" t="s">
        <v>98</v>
      </c>
      <c r="I26" s="12" t="s">
        <v>113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2364</v>
      </c>
      <c r="B27" s="12" t="s">
        <v>2365</v>
      </c>
      <c r="C27" s="12" t="s">
        <v>1184</v>
      </c>
      <c r="D27" s="13" t="s">
        <v>2366</v>
      </c>
      <c r="E27" s="12" t="s">
        <v>134</v>
      </c>
      <c r="F27" s="12" t="s">
        <v>164</v>
      </c>
      <c r="G27" s="13" t="s">
        <v>2327</v>
      </c>
      <c r="H27" s="12" t="s">
        <v>98</v>
      </c>
      <c r="I27" s="12" t="s">
        <v>113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2367</v>
      </c>
      <c r="B28" s="12" t="s">
        <v>1863</v>
      </c>
      <c r="C28" s="12" t="s">
        <v>1184</v>
      </c>
      <c r="D28" s="13" t="s">
        <v>2287</v>
      </c>
      <c r="E28" s="12" t="s">
        <v>134</v>
      </c>
      <c r="F28" s="12" t="s">
        <v>169</v>
      </c>
      <c r="G28" s="13" t="s">
        <v>2330</v>
      </c>
      <c r="H28" s="12" t="s">
        <v>100</v>
      </c>
      <c r="I28" s="12" t="s">
        <v>112</v>
      </c>
      <c r="J28" s="14" t="n">
        <v>46230</v>
      </c>
      <c r="K28" s="13" t="s">
        <v>2288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2368</v>
      </c>
      <c r="B29" s="12" t="s">
        <v>167</v>
      </c>
      <c r="C29" s="12" t="s">
        <v>1184</v>
      </c>
      <c r="D29" s="13" t="s">
        <v>2369</v>
      </c>
      <c r="E29" s="12" t="s">
        <v>134</v>
      </c>
      <c r="F29" s="12" t="s">
        <v>169</v>
      </c>
      <c r="G29" s="13" t="s">
        <v>2330</v>
      </c>
      <c r="H29" s="12" t="s">
        <v>100</v>
      </c>
      <c r="I29" s="12" t="s">
        <v>112</v>
      </c>
      <c r="J29" s="14" t="n">
        <v>46230</v>
      </c>
      <c r="K29" s="13" t="s">
        <v>2370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2371</v>
      </c>
      <c r="B30" s="12" t="s">
        <v>622</v>
      </c>
      <c r="C30" s="12" t="s">
        <v>1184</v>
      </c>
      <c r="D30" s="13" t="s">
        <v>2372</v>
      </c>
      <c r="E30" s="12" t="s">
        <v>134</v>
      </c>
      <c r="F30" s="12" t="s">
        <v>624</v>
      </c>
      <c r="G30" s="13" t="s">
        <v>2373</v>
      </c>
      <c r="H30" s="12" t="s">
        <v>98</v>
      </c>
      <c r="I30" s="12" t="s">
        <v>113</v>
      </c>
      <c r="J30" s="14" t="n">
        <v>46230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15" hidden="false" customHeight="true" outlineLevel="0" collapsed="false">
      <c r="A31" s="12" t="s">
        <v>2374</v>
      </c>
      <c r="B31" s="12" t="s">
        <v>187</v>
      </c>
      <c r="C31" s="12" t="s">
        <v>1184</v>
      </c>
      <c r="D31" s="13" t="s">
        <v>2296</v>
      </c>
      <c r="E31" s="12" t="s">
        <v>134</v>
      </c>
      <c r="F31" s="12" t="s">
        <v>175</v>
      </c>
      <c r="G31" s="13" t="s">
        <v>2375</v>
      </c>
      <c r="H31" s="12" t="s">
        <v>92</v>
      </c>
      <c r="I31" s="12" t="s">
        <v>112</v>
      </c>
      <c r="J31" s="14" t="n">
        <v>46230</v>
      </c>
      <c r="K31" s="13" t="s">
        <v>1807</v>
      </c>
      <c r="L31" s="12" t="n">
        <v>1</v>
      </c>
      <c r="M31" s="12" t="n">
        <f aca="false">IF(OR(AND(I31="yes",H31="verified"),AND(I31="no",OR(H31="tested",H31="verified")),AND(H31="not applicable",K31&lt;&gt;"")),1,0)</f>
        <v>0</v>
      </c>
    </row>
    <row r="32" customFormat="false" ht="15" hidden="false" customHeight="true" outlineLevel="0" collapsed="false">
      <c r="A32" s="12" t="s">
        <v>2376</v>
      </c>
      <c r="B32" s="12" t="s">
        <v>2377</v>
      </c>
      <c r="C32" s="12" t="s">
        <v>1184</v>
      </c>
      <c r="D32" s="13" t="s">
        <v>2378</v>
      </c>
      <c r="E32" s="12" t="s">
        <v>134</v>
      </c>
      <c r="F32" s="12" t="s">
        <v>193</v>
      </c>
      <c r="G32" s="13" t="s">
        <v>2379</v>
      </c>
      <c r="H32" s="12" t="s">
        <v>98</v>
      </c>
      <c r="I32" s="12" t="s">
        <v>113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15" hidden="false" customHeight="true" outlineLevel="0" collapsed="false">
      <c r="A33" s="12" t="s">
        <v>2380</v>
      </c>
      <c r="B33" s="12" t="s">
        <v>200</v>
      </c>
      <c r="C33" s="12" t="s">
        <v>68</v>
      </c>
      <c r="D33" s="13" t="s">
        <v>2381</v>
      </c>
      <c r="E33" s="12" t="s">
        <v>202</v>
      </c>
      <c r="F33" s="12" t="s">
        <v>202</v>
      </c>
      <c r="G33" s="13" t="s">
        <v>203</v>
      </c>
      <c r="H33" s="12" t="s">
        <v>98</v>
      </c>
      <c r="I33" s="12" t="s">
        <v>113</v>
      </c>
      <c r="J33" s="14" t="n">
        <v>46230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33.75" hidden="false" customHeight="true" outlineLevel="0" collapsed="false">
      <c r="A34" s="12" t="s">
        <v>2382</v>
      </c>
      <c r="B34" s="12" t="s">
        <v>205</v>
      </c>
      <c r="C34" s="12" t="s">
        <v>68</v>
      </c>
      <c r="D34" s="13" t="s">
        <v>2383</v>
      </c>
      <c r="E34" s="12" t="s">
        <v>134</v>
      </c>
      <c r="F34" s="12" t="s">
        <v>134</v>
      </c>
      <c r="G34" s="13" t="s">
        <v>2308</v>
      </c>
      <c r="H34" s="12" t="s">
        <v>98</v>
      </c>
      <c r="I34" s="12" t="s">
        <v>113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2384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2385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116</v>
      </c>
      <c r="E4" s="6" t="n">
        <f aca="false">SUM(M9:M39)</f>
        <v>30</v>
      </c>
      <c r="G4" s="5" t="s">
        <v>14</v>
      </c>
      <c r="H4" s="7" t="n">
        <f aca="false">IF(B4=0,0,E4/B4)</f>
        <v>0.967741935483871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2386</v>
      </c>
      <c r="B9" s="12" t="s">
        <v>90</v>
      </c>
      <c r="C9" s="12" t="s">
        <v>1184</v>
      </c>
      <c r="D9" s="13" t="s">
        <v>2387</v>
      </c>
      <c r="E9" s="12" t="s">
        <v>134</v>
      </c>
      <c r="F9" s="12" t="s">
        <v>135</v>
      </c>
      <c r="G9" s="13" t="s">
        <v>2388</v>
      </c>
      <c r="H9" s="12" t="s">
        <v>98</v>
      </c>
      <c r="I9" s="12" t="s">
        <v>113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2389</v>
      </c>
      <c r="B10" s="12" t="s">
        <v>2390</v>
      </c>
      <c r="C10" s="12" t="s">
        <v>2391</v>
      </c>
      <c r="D10" s="13" t="s">
        <v>2392</v>
      </c>
      <c r="E10" s="12" t="s">
        <v>134</v>
      </c>
      <c r="F10" s="12" t="s">
        <v>154</v>
      </c>
      <c r="G10" s="13" t="s">
        <v>2393</v>
      </c>
      <c r="H10" s="12" t="s">
        <v>98</v>
      </c>
      <c r="I10" s="12" t="s">
        <v>113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2394</v>
      </c>
      <c r="B11" s="12" t="s">
        <v>1343</v>
      </c>
      <c r="C11" s="12" t="s">
        <v>1184</v>
      </c>
      <c r="D11" s="13" t="s">
        <v>2395</v>
      </c>
      <c r="E11" s="12" t="s">
        <v>134</v>
      </c>
      <c r="F11" s="12" t="s">
        <v>154</v>
      </c>
      <c r="G11" s="13" t="s">
        <v>2393</v>
      </c>
      <c r="H11" s="12" t="s">
        <v>98</v>
      </c>
      <c r="I11" s="12" t="s">
        <v>113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2396</v>
      </c>
      <c r="B12" s="12" t="s">
        <v>138</v>
      </c>
      <c r="C12" s="12" t="s">
        <v>1184</v>
      </c>
      <c r="D12" s="13" t="s">
        <v>2397</v>
      </c>
      <c r="E12" s="12" t="s">
        <v>134</v>
      </c>
      <c r="F12" s="12" t="s">
        <v>134</v>
      </c>
      <c r="G12" s="13" t="s">
        <v>582</v>
      </c>
      <c r="H12" s="12" t="s">
        <v>98</v>
      </c>
      <c r="I12" s="12" t="s">
        <v>113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2398</v>
      </c>
      <c r="B13" s="12" t="s">
        <v>142</v>
      </c>
      <c r="C13" s="12" t="s">
        <v>2399</v>
      </c>
      <c r="D13" s="13" t="s">
        <v>2400</v>
      </c>
      <c r="E13" s="12" t="s">
        <v>134</v>
      </c>
      <c r="F13" s="12" t="s">
        <v>144</v>
      </c>
      <c r="G13" s="13" t="s">
        <v>2401</v>
      </c>
      <c r="H13" s="12" t="s">
        <v>98</v>
      </c>
      <c r="I13" s="12" t="s">
        <v>113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2402</v>
      </c>
      <c r="B14" s="12" t="s">
        <v>147</v>
      </c>
      <c r="C14" s="12" t="s">
        <v>1184</v>
      </c>
      <c r="D14" s="13" t="s">
        <v>2403</v>
      </c>
      <c r="E14" s="12" t="s">
        <v>134</v>
      </c>
      <c r="F14" s="12" t="s">
        <v>149</v>
      </c>
      <c r="G14" s="13" t="s">
        <v>2404</v>
      </c>
      <c r="H14" s="12" t="s">
        <v>98</v>
      </c>
      <c r="I14" s="12" t="s">
        <v>113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2405</v>
      </c>
      <c r="B15" s="12" t="s">
        <v>1576</v>
      </c>
      <c r="C15" s="12" t="s">
        <v>2406</v>
      </c>
      <c r="D15" s="13" t="s">
        <v>2407</v>
      </c>
      <c r="E15" s="12" t="s">
        <v>134</v>
      </c>
      <c r="F15" s="12" t="s">
        <v>159</v>
      </c>
      <c r="G15" s="13" t="s">
        <v>2408</v>
      </c>
      <c r="H15" s="12" t="s">
        <v>98</v>
      </c>
      <c r="I15" s="12" t="s">
        <v>113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2409</v>
      </c>
      <c r="B16" s="12" t="s">
        <v>142</v>
      </c>
      <c r="C16" s="12" t="s">
        <v>2410</v>
      </c>
      <c r="D16" s="13" t="s">
        <v>2411</v>
      </c>
      <c r="E16" s="12" t="s">
        <v>134</v>
      </c>
      <c r="F16" s="12" t="s">
        <v>169</v>
      </c>
      <c r="G16" s="13" t="s">
        <v>2412</v>
      </c>
      <c r="H16" s="12" t="s">
        <v>100</v>
      </c>
      <c r="I16" s="12" t="s">
        <v>112</v>
      </c>
      <c r="J16" s="14" t="n">
        <v>46230</v>
      </c>
      <c r="K16" s="13" t="s">
        <v>2413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2414</v>
      </c>
      <c r="B17" s="12" t="s">
        <v>1086</v>
      </c>
      <c r="C17" s="12" t="s">
        <v>2415</v>
      </c>
      <c r="D17" s="13" t="s">
        <v>2416</v>
      </c>
      <c r="E17" s="12" t="s">
        <v>134</v>
      </c>
      <c r="F17" s="12" t="s">
        <v>169</v>
      </c>
      <c r="G17" s="13" t="s">
        <v>2417</v>
      </c>
      <c r="H17" s="12" t="s">
        <v>100</v>
      </c>
      <c r="I17" s="12" t="s">
        <v>112</v>
      </c>
      <c r="J17" s="14" t="n">
        <v>46230</v>
      </c>
      <c r="K17" s="13" t="s">
        <v>2418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2419</v>
      </c>
      <c r="B18" s="12" t="s">
        <v>2420</v>
      </c>
      <c r="C18" s="12" t="s">
        <v>2421</v>
      </c>
      <c r="D18" s="13" t="s">
        <v>2422</v>
      </c>
      <c r="E18" s="12" t="s">
        <v>134</v>
      </c>
      <c r="F18" s="12" t="s">
        <v>159</v>
      </c>
      <c r="G18" s="13" t="s">
        <v>2408</v>
      </c>
      <c r="H18" s="12" t="s">
        <v>98</v>
      </c>
      <c r="I18" s="12" t="s">
        <v>113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2423</v>
      </c>
      <c r="B19" s="12" t="s">
        <v>2424</v>
      </c>
      <c r="C19" s="12" t="s">
        <v>2425</v>
      </c>
      <c r="D19" s="13" t="s">
        <v>2426</v>
      </c>
      <c r="E19" s="12" t="s">
        <v>134</v>
      </c>
      <c r="F19" s="12" t="s">
        <v>159</v>
      </c>
      <c r="G19" s="13" t="s">
        <v>2427</v>
      </c>
      <c r="H19" s="12" t="s">
        <v>98</v>
      </c>
      <c r="I19" s="12" t="s">
        <v>113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2428</v>
      </c>
      <c r="B20" s="12" t="s">
        <v>2429</v>
      </c>
      <c r="C20" s="12" t="s">
        <v>2084</v>
      </c>
      <c r="D20" s="13" t="s">
        <v>2430</v>
      </c>
      <c r="E20" s="12" t="s">
        <v>134</v>
      </c>
      <c r="F20" s="12" t="s">
        <v>169</v>
      </c>
      <c r="G20" s="13" t="s">
        <v>2427</v>
      </c>
      <c r="H20" s="12" t="s">
        <v>100</v>
      </c>
      <c r="I20" s="12" t="s">
        <v>112</v>
      </c>
      <c r="J20" s="14" t="n">
        <v>46230</v>
      </c>
      <c r="K20" s="13" t="s">
        <v>2431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2432</v>
      </c>
      <c r="B21" s="12" t="s">
        <v>2433</v>
      </c>
      <c r="C21" s="12" t="s">
        <v>2425</v>
      </c>
      <c r="D21" s="13" t="s">
        <v>2434</v>
      </c>
      <c r="E21" s="12" t="s">
        <v>134</v>
      </c>
      <c r="F21" s="12" t="s">
        <v>159</v>
      </c>
      <c r="G21" s="13" t="s">
        <v>2427</v>
      </c>
      <c r="H21" s="12" t="s">
        <v>98</v>
      </c>
      <c r="I21" s="12" t="s">
        <v>113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2435</v>
      </c>
      <c r="B22" s="12" t="s">
        <v>2436</v>
      </c>
      <c r="C22" s="12" t="s">
        <v>2437</v>
      </c>
      <c r="D22" s="13" t="s">
        <v>2438</v>
      </c>
      <c r="E22" s="12" t="s">
        <v>134</v>
      </c>
      <c r="F22" s="12" t="s">
        <v>159</v>
      </c>
      <c r="G22" s="13" t="s">
        <v>2439</v>
      </c>
      <c r="H22" s="12" t="s">
        <v>98</v>
      </c>
      <c r="I22" s="12" t="s">
        <v>113</v>
      </c>
      <c r="J22" s="14" t="n">
        <v>46230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2440</v>
      </c>
      <c r="B23" s="12" t="s">
        <v>2441</v>
      </c>
      <c r="C23" s="12" t="s">
        <v>2442</v>
      </c>
      <c r="D23" s="13" t="s">
        <v>2443</v>
      </c>
      <c r="E23" s="12" t="s">
        <v>134</v>
      </c>
      <c r="F23" s="12" t="s">
        <v>154</v>
      </c>
      <c r="G23" s="13" t="s">
        <v>2444</v>
      </c>
      <c r="H23" s="12" t="s">
        <v>98</v>
      </c>
      <c r="I23" s="12" t="s">
        <v>113</v>
      </c>
      <c r="J23" s="14" t="n">
        <v>46230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2445</v>
      </c>
      <c r="B24" s="12" t="s">
        <v>2446</v>
      </c>
      <c r="C24" s="12" t="s">
        <v>2437</v>
      </c>
      <c r="D24" s="13" t="s">
        <v>2447</v>
      </c>
      <c r="E24" s="12" t="s">
        <v>134</v>
      </c>
      <c r="F24" s="12" t="s">
        <v>164</v>
      </c>
      <c r="G24" s="13" t="s">
        <v>2408</v>
      </c>
      <c r="H24" s="12" t="s">
        <v>98</v>
      </c>
      <c r="I24" s="12" t="s">
        <v>113</v>
      </c>
      <c r="J24" s="14" t="n">
        <v>46230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2448</v>
      </c>
      <c r="B25" s="12" t="s">
        <v>1583</v>
      </c>
      <c r="C25" s="12" t="s">
        <v>2449</v>
      </c>
      <c r="D25" s="13" t="s">
        <v>2450</v>
      </c>
      <c r="E25" s="12" t="s">
        <v>134</v>
      </c>
      <c r="F25" s="12" t="s">
        <v>159</v>
      </c>
      <c r="G25" s="13" t="s">
        <v>2439</v>
      </c>
      <c r="H25" s="12" t="s">
        <v>98</v>
      </c>
      <c r="I25" s="12" t="s">
        <v>113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2451</v>
      </c>
      <c r="B26" s="12" t="s">
        <v>2452</v>
      </c>
      <c r="C26" s="12" t="s">
        <v>782</v>
      </c>
      <c r="D26" s="13" t="s">
        <v>2453</v>
      </c>
      <c r="E26" s="12" t="s">
        <v>134</v>
      </c>
      <c r="F26" s="12" t="s">
        <v>135</v>
      </c>
      <c r="G26" s="13" t="s">
        <v>2454</v>
      </c>
      <c r="H26" s="12" t="s">
        <v>98</v>
      </c>
      <c r="I26" s="12" t="s">
        <v>113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2455</v>
      </c>
      <c r="B27" s="12" t="s">
        <v>2456</v>
      </c>
      <c r="C27" s="12" t="s">
        <v>2457</v>
      </c>
      <c r="D27" s="13" t="s">
        <v>2458</v>
      </c>
      <c r="E27" s="12" t="s">
        <v>134</v>
      </c>
      <c r="F27" s="12" t="s">
        <v>154</v>
      </c>
      <c r="G27" s="13" t="s">
        <v>2459</v>
      </c>
      <c r="H27" s="12" t="s">
        <v>98</v>
      </c>
      <c r="I27" s="12" t="s">
        <v>113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2460</v>
      </c>
      <c r="B28" s="12" t="s">
        <v>1531</v>
      </c>
      <c r="C28" s="12" t="s">
        <v>1184</v>
      </c>
      <c r="D28" s="13" t="s">
        <v>2461</v>
      </c>
      <c r="E28" s="12" t="s">
        <v>134</v>
      </c>
      <c r="F28" s="12" t="s">
        <v>154</v>
      </c>
      <c r="G28" s="13" t="s">
        <v>2462</v>
      </c>
      <c r="H28" s="12" t="s">
        <v>98</v>
      </c>
      <c r="I28" s="12" t="s">
        <v>113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2463</v>
      </c>
      <c r="B29" s="12" t="s">
        <v>2464</v>
      </c>
      <c r="C29" s="12" t="s">
        <v>1184</v>
      </c>
      <c r="D29" s="13" t="s">
        <v>2465</v>
      </c>
      <c r="E29" s="12" t="s">
        <v>134</v>
      </c>
      <c r="F29" s="12" t="s">
        <v>169</v>
      </c>
      <c r="G29" s="13" t="s">
        <v>2427</v>
      </c>
      <c r="H29" s="12" t="s">
        <v>100</v>
      </c>
      <c r="I29" s="12" t="s">
        <v>112</v>
      </c>
      <c r="J29" s="14" t="n">
        <v>46230</v>
      </c>
      <c r="K29" s="13" t="s">
        <v>2466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2467</v>
      </c>
      <c r="B30" s="12" t="s">
        <v>1863</v>
      </c>
      <c r="C30" s="12" t="s">
        <v>1184</v>
      </c>
      <c r="D30" s="13" t="s">
        <v>2468</v>
      </c>
      <c r="E30" s="12" t="s">
        <v>134</v>
      </c>
      <c r="F30" s="12" t="s">
        <v>169</v>
      </c>
      <c r="G30" s="13" t="s">
        <v>2412</v>
      </c>
      <c r="H30" s="12" t="s">
        <v>100</v>
      </c>
      <c r="I30" s="12" t="s">
        <v>112</v>
      </c>
      <c r="J30" s="14" t="n">
        <v>46230</v>
      </c>
      <c r="K30" s="13" t="s">
        <v>2469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2470</v>
      </c>
      <c r="B31" s="12" t="s">
        <v>2471</v>
      </c>
      <c r="C31" s="12" t="s">
        <v>2410</v>
      </c>
      <c r="D31" s="13" t="s">
        <v>2472</v>
      </c>
      <c r="E31" s="12" t="s">
        <v>134</v>
      </c>
      <c r="F31" s="12" t="s">
        <v>169</v>
      </c>
      <c r="G31" s="13" t="s">
        <v>2412</v>
      </c>
      <c r="H31" s="12" t="s">
        <v>100</v>
      </c>
      <c r="I31" s="12" t="s">
        <v>112</v>
      </c>
      <c r="J31" s="14" t="n">
        <v>46230</v>
      </c>
      <c r="K31" s="13" t="s">
        <v>2473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2474</v>
      </c>
      <c r="B32" s="12" t="s">
        <v>162</v>
      </c>
      <c r="C32" s="12" t="s">
        <v>1184</v>
      </c>
      <c r="D32" s="13" t="s">
        <v>2475</v>
      </c>
      <c r="E32" s="12" t="s">
        <v>134</v>
      </c>
      <c r="F32" s="12" t="s">
        <v>164</v>
      </c>
      <c r="G32" s="13" t="s">
        <v>2439</v>
      </c>
      <c r="H32" s="12" t="s">
        <v>98</v>
      </c>
      <c r="I32" s="12" t="s">
        <v>113</v>
      </c>
      <c r="J32" s="14" t="n">
        <v>46230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2476</v>
      </c>
      <c r="B33" s="12" t="s">
        <v>167</v>
      </c>
      <c r="C33" s="12" t="s">
        <v>1184</v>
      </c>
      <c r="D33" s="13" t="s">
        <v>2477</v>
      </c>
      <c r="E33" s="12" t="s">
        <v>134</v>
      </c>
      <c r="F33" s="12" t="s">
        <v>169</v>
      </c>
      <c r="G33" s="13" t="s">
        <v>2412</v>
      </c>
      <c r="H33" s="12" t="s">
        <v>100</v>
      </c>
      <c r="I33" s="12" t="s">
        <v>112</v>
      </c>
      <c r="J33" s="14" t="n">
        <v>46230</v>
      </c>
      <c r="K33" s="13" t="s">
        <v>2478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2479</v>
      </c>
      <c r="B34" s="12" t="s">
        <v>622</v>
      </c>
      <c r="C34" s="12" t="s">
        <v>1184</v>
      </c>
      <c r="D34" s="13" t="s">
        <v>2480</v>
      </c>
      <c r="E34" s="12" t="s">
        <v>134</v>
      </c>
      <c r="F34" s="12" t="s">
        <v>624</v>
      </c>
      <c r="G34" s="13" t="s">
        <v>2481</v>
      </c>
      <c r="H34" s="12" t="s">
        <v>98</v>
      </c>
      <c r="I34" s="12" t="s">
        <v>113</v>
      </c>
      <c r="J34" s="14" t="n">
        <v>46230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2482</v>
      </c>
      <c r="B35" s="12" t="s">
        <v>187</v>
      </c>
      <c r="C35" s="12" t="s">
        <v>1184</v>
      </c>
      <c r="D35" s="13" t="s">
        <v>2483</v>
      </c>
      <c r="E35" s="12" t="s">
        <v>134</v>
      </c>
      <c r="F35" s="12" t="s">
        <v>175</v>
      </c>
      <c r="G35" s="13" t="s">
        <v>2484</v>
      </c>
      <c r="H35" s="12" t="s">
        <v>92</v>
      </c>
      <c r="I35" s="12" t="s">
        <v>112</v>
      </c>
      <c r="J35" s="14" t="n">
        <v>46230</v>
      </c>
      <c r="K35" s="13" t="s">
        <v>1807</v>
      </c>
      <c r="L35" s="12" t="n">
        <v>1</v>
      </c>
      <c r="M35" s="12" t="n">
        <f aca="false">IF(OR(AND(I35="yes",H35="verified"),AND(I35="no",OR(H35="tested",H35="verified")),AND(H35="not applicable",K35&lt;&gt;"")),1,0)</f>
        <v>0</v>
      </c>
    </row>
    <row r="36" customFormat="false" ht="54" hidden="false" customHeight="true" outlineLevel="0" collapsed="false">
      <c r="A36" s="12" t="s">
        <v>2485</v>
      </c>
      <c r="B36" s="12" t="s">
        <v>2377</v>
      </c>
      <c r="C36" s="12" t="s">
        <v>69</v>
      </c>
      <c r="D36" s="13" t="s">
        <v>2486</v>
      </c>
      <c r="E36" s="12" t="s">
        <v>134</v>
      </c>
      <c r="F36" s="12" t="s">
        <v>193</v>
      </c>
      <c r="G36" s="13" t="s">
        <v>2487</v>
      </c>
      <c r="H36" s="12" t="s">
        <v>98</v>
      </c>
      <c r="I36" s="12" t="s">
        <v>113</v>
      </c>
      <c r="J36" s="14" t="n">
        <v>46230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2488</v>
      </c>
      <c r="B37" s="12" t="s">
        <v>196</v>
      </c>
      <c r="C37" s="12" t="s">
        <v>69</v>
      </c>
      <c r="D37" s="13" t="s">
        <v>2489</v>
      </c>
      <c r="E37" s="12" t="s">
        <v>134</v>
      </c>
      <c r="F37" s="12" t="s">
        <v>193</v>
      </c>
      <c r="G37" s="13" t="s">
        <v>2490</v>
      </c>
      <c r="H37" s="12" t="s">
        <v>98</v>
      </c>
      <c r="I37" s="12" t="s">
        <v>113</v>
      </c>
      <c r="J37" s="14" t="n">
        <v>46230</v>
      </c>
      <c r="K37" s="13"/>
      <c r="L37" s="12" t="n">
        <v>1</v>
      </c>
      <c r="M37" s="12" t="n">
        <f aca="false">IF(OR(AND(I37="yes",H37="verified"),AND(I37="no",OR(H37="tested",H37="verified")),AND(H37="not applicable",K37&lt;&gt;"")),1,0)</f>
        <v>1</v>
      </c>
    </row>
    <row r="38" customFormat="false" ht="54" hidden="false" customHeight="true" outlineLevel="0" collapsed="false">
      <c r="A38" s="12" t="s">
        <v>2491</v>
      </c>
      <c r="B38" s="12" t="s">
        <v>200</v>
      </c>
      <c r="C38" s="12" t="s">
        <v>2391</v>
      </c>
      <c r="D38" s="13" t="s">
        <v>2492</v>
      </c>
      <c r="E38" s="12" t="s">
        <v>202</v>
      </c>
      <c r="F38" s="12" t="s">
        <v>202</v>
      </c>
      <c r="G38" s="13" t="s">
        <v>203</v>
      </c>
      <c r="H38" s="12" t="s">
        <v>98</v>
      </c>
      <c r="I38" s="12" t="s">
        <v>113</v>
      </c>
      <c r="J38" s="14" t="n">
        <v>46230</v>
      </c>
      <c r="K38" s="13"/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>
      <c r="A39" s="12" t="s">
        <v>2493</v>
      </c>
      <c r="B39" s="12" t="s">
        <v>205</v>
      </c>
      <c r="C39" s="12" t="s">
        <v>69</v>
      </c>
      <c r="D39" s="13" t="s">
        <v>2494</v>
      </c>
      <c r="E39" s="12" t="s">
        <v>134</v>
      </c>
      <c r="F39" s="12" t="s">
        <v>134</v>
      </c>
      <c r="G39" s="13" t="s">
        <v>2495</v>
      </c>
      <c r="H39" s="12" t="s">
        <v>98</v>
      </c>
      <c r="I39" s="12" t="s">
        <v>113</v>
      </c>
      <c r="J39" s="14" t="n">
        <v>46230</v>
      </c>
      <c r="K39" s="13"/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9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9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2496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2497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COUNTA(A9:A31)</f>
        <v>23</v>
      </c>
      <c r="D4" s="5" t="s">
        <v>116</v>
      </c>
      <c r="E4" s="6" t="n">
        <f aca="false">SUM(M9:M31)</f>
        <v>22</v>
      </c>
      <c r="G4" s="5" t="s">
        <v>14</v>
      </c>
      <c r="H4" s="7" t="n">
        <f aca="false">IF(B4=0,0,E4/B4)</f>
        <v>0.956521739130435</v>
      </c>
      <c r="J4" s="5" t="s">
        <v>15</v>
      </c>
      <c r="K4" s="6" t="str">
        <f aca="false">IF(COUNTIFS(E9:E31,"package",M9:M31,0)&gt;0,"open","complete")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IF(COUNTIFS(I9:I31,"yes",M9:M31,0)&gt;0,"open","complete")</f>
        <v>open</v>
      </c>
      <c r="D5" s="5" t="s">
        <v>16</v>
      </c>
      <c r="E5" s="6" t="str">
        <f aca="false">IF(COUNTIFS(E9:E31,"consumer",M9:M31,0)&gt;0,"open","complete")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1495</v>
      </c>
      <c r="B9" s="12" t="s">
        <v>90</v>
      </c>
      <c r="C9" s="12" t="s">
        <v>1184</v>
      </c>
      <c r="D9" s="13" t="s">
        <v>2498</v>
      </c>
      <c r="E9" s="12" t="s">
        <v>134</v>
      </c>
      <c r="F9" s="12" t="s">
        <v>135</v>
      </c>
      <c r="G9" s="13" t="s">
        <v>2499</v>
      </c>
      <c r="H9" s="12" t="s">
        <v>98</v>
      </c>
      <c r="I9" s="12" t="s">
        <v>113</v>
      </c>
      <c r="J9" s="14" t="n">
        <v>46230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1498</v>
      </c>
      <c r="B10" s="12" t="s">
        <v>2390</v>
      </c>
      <c r="C10" s="12" t="s">
        <v>1184</v>
      </c>
      <c r="D10" s="13" t="s">
        <v>2500</v>
      </c>
      <c r="E10" s="12" t="s">
        <v>134</v>
      </c>
      <c r="F10" s="12" t="s">
        <v>154</v>
      </c>
      <c r="G10" s="13" t="s">
        <v>2501</v>
      </c>
      <c r="H10" s="12" t="s">
        <v>98</v>
      </c>
      <c r="I10" s="12" t="s">
        <v>113</v>
      </c>
      <c r="J10" s="14" t="n">
        <v>46230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1502</v>
      </c>
      <c r="B11" s="12" t="s">
        <v>1343</v>
      </c>
      <c r="C11" s="12" t="s">
        <v>2502</v>
      </c>
      <c r="D11" s="13" t="s">
        <v>2503</v>
      </c>
      <c r="E11" s="12" t="s">
        <v>134</v>
      </c>
      <c r="F11" s="12" t="s">
        <v>154</v>
      </c>
      <c r="G11" s="13" t="s">
        <v>2501</v>
      </c>
      <c r="H11" s="12" t="s">
        <v>98</v>
      </c>
      <c r="I11" s="12" t="s">
        <v>113</v>
      </c>
      <c r="J11" s="14" t="n">
        <v>46230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1504</v>
      </c>
      <c r="B12" s="12" t="s">
        <v>142</v>
      </c>
      <c r="C12" s="12" t="s">
        <v>2399</v>
      </c>
      <c r="D12" s="13" t="s">
        <v>2504</v>
      </c>
      <c r="E12" s="12" t="s">
        <v>134</v>
      </c>
      <c r="F12" s="12" t="s">
        <v>144</v>
      </c>
      <c r="G12" s="13" t="s">
        <v>2505</v>
      </c>
      <c r="H12" s="12" t="s">
        <v>98</v>
      </c>
      <c r="I12" s="12" t="s">
        <v>113</v>
      </c>
      <c r="J12" s="14" t="n">
        <v>46230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1507</v>
      </c>
      <c r="B13" s="12" t="s">
        <v>138</v>
      </c>
      <c r="C13" s="12" t="s">
        <v>1184</v>
      </c>
      <c r="D13" s="13" t="s">
        <v>2506</v>
      </c>
      <c r="E13" s="12" t="s">
        <v>134</v>
      </c>
      <c r="F13" s="12" t="s">
        <v>134</v>
      </c>
      <c r="G13" s="13" t="s">
        <v>140</v>
      </c>
      <c r="H13" s="12" t="s">
        <v>98</v>
      </c>
      <c r="I13" s="12" t="s">
        <v>113</v>
      </c>
      <c r="J13" s="14" t="n">
        <v>46230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1510</v>
      </c>
      <c r="B14" s="12" t="s">
        <v>1310</v>
      </c>
      <c r="C14" s="12" t="s">
        <v>782</v>
      </c>
      <c r="D14" s="13" t="s">
        <v>2507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46230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1513</v>
      </c>
      <c r="B15" s="12" t="s">
        <v>1576</v>
      </c>
      <c r="C15" s="12" t="s">
        <v>782</v>
      </c>
      <c r="D15" s="13" t="s">
        <v>2508</v>
      </c>
      <c r="E15" s="12" t="s">
        <v>134</v>
      </c>
      <c r="F15" s="12" t="s">
        <v>154</v>
      </c>
      <c r="G15" s="13" t="s">
        <v>2501</v>
      </c>
      <c r="H15" s="12" t="s">
        <v>98</v>
      </c>
      <c r="I15" s="12" t="s">
        <v>113</v>
      </c>
      <c r="J15" s="14" t="n">
        <v>46230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1516</v>
      </c>
      <c r="B16" s="12" t="s">
        <v>1133</v>
      </c>
      <c r="C16" s="12" t="s">
        <v>782</v>
      </c>
      <c r="D16" s="13" t="s">
        <v>2509</v>
      </c>
      <c r="E16" s="12" t="s">
        <v>134</v>
      </c>
      <c r="F16" s="12" t="s">
        <v>159</v>
      </c>
      <c r="G16" s="13" t="s">
        <v>2510</v>
      </c>
      <c r="H16" s="12" t="s">
        <v>98</v>
      </c>
      <c r="I16" s="12" t="s">
        <v>113</v>
      </c>
      <c r="J16" s="14" t="n">
        <v>46230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1520</v>
      </c>
      <c r="B17" s="12" t="s">
        <v>662</v>
      </c>
      <c r="C17" s="12" t="s">
        <v>2511</v>
      </c>
      <c r="D17" s="13" t="s">
        <v>2512</v>
      </c>
      <c r="E17" s="12" t="s">
        <v>134</v>
      </c>
      <c r="F17" s="12" t="s">
        <v>154</v>
      </c>
      <c r="G17" s="13" t="s">
        <v>2501</v>
      </c>
      <c r="H17" s="12" t="s">
        <v>98</v>
      </c>
      <c r="I17" s="12" t="s">
        <v>113</v>
      </c>
      <c r="J17" s="14" t="n">
        <v>46230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1523</v>
      </c>
      <c r="B18" s="12" t="s">
        <v>2513</v>
      </c>
      <c r="C18" s="12" t="s">
        <v>2511</v>
      </c>
      <c r="D18" s="13" t="s">
        <v>2514</v>
      </c>
      <c r="E18" s="12" t="s">
        <v>134</v>
      </c>
      <c r="F18" s="12" t="s">
        <v>159</v>
      </c>
      <c r="G18" s="13" t="s">
        <v>2510</v>
      </c>
      <c r="H18" s="12" t="s">
        <v>98</v>
      </c>
      <c r="I18" s="12" t="s">
        <v>113</v>
      </c>
      <c r="J18" s="14" t="n">
        <v>46230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1525</v>
      </c>
      <c r="B19" s="12" t="s">
        <v>2515</v>
      </c>
      <c r="C19" s="12" t="s">
        <v>2516</v>
      </c>
      <c r="D19" s="13" t="s">
        <v>2517</v>
      </c>
      <c r="E19" s="12" t="s">
        <v>134</v>
      </c>
      <c r="F19" s="12" t="s">
        <v>159</v>
      </c>
      <c r="G19" s="13" t="s">
        <v>2510</v>
      </c>
      <c r="H19" s="12" t="s">
        <v>98</v>
      </c>
      <c r="I19" s="12" t="s">
        <v>113</v>
      </c>
      <c r="J19" s="14" t="n">
        <v>46230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1528</v>
      </c>
      <c r="B20" s="12" t="s">
        <v>173</v>
      </c>
      <c r="C20" s="12" t="s">
        <v>42</v>
      </c>
      <c r="D20" s="13" t="s">
        <v>2518</v>
      </c>
      <c r="E20" s="12" t="s">
        <v>134</v>
      </c>
      <c r="F20" s="12" t="s">
        <v>159</v>
      </c>
      <c r="G20" s="13" t="s">
        <v>2510</v>
      </c>
      <c r="H20" s="12" t="s">
        <v>98</v>
      </c>
      <c r="I20" s="12" t="s">
        <v>113</v>
      </c>
      <c r="J20" s="14" t="n">
        <v>46230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1530</v>
      </c>
      <c r="B21" s="12" t="s">
        <v>2519</v>
      </c>
      <c r="C21" s="12" t="s">
        <v>2520</v>
      </c>
      <c r="D21" s="13" t="s">
        <v>2521</v>
      </c>
      <c r="E21" s="12" t="s">
        <v>134</v>
      </c>
      <c r="F21" s="12" t="s">
        <v>159</v>
      </c>
      <c r="G21" s="13" t="s">
        <v>2510</v>
      </c>
      <c r="H21" s="12" t="s">
        <v>98</v>
      </c>
      <c r="I21" s="12" t="s">
        <v>113</v>
      </c>
      <c r="J21" s="14" t="n">
        <v>46230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1534</v>
      </c>
      <c r="B22" s="12" t="s">
        <v>2522</v>
      </c>
      <c r="C22" s="12" t="s">
        <v>1184</v>
      </c>
      <c r="D22" s="13" t="s">
        <v>2523</v>
      </c>
      <c r="E22" s="12" t="s">
        <v>134</v>
      </c>
      <c r="F22" s="12" t="s">
        <v>169</v>
      </c>
      <c r="G22" s="13" t="s">
        <v>2524</v>
      </c>
      <c r="H22" s="12" t="s">
        <v>100</v>
      </c>
      <c r="I22" s="12" t="s">
        <v>112</v>
      </c>
      <c r="J22" s="14" t="n">
        <v>46230</v>
      </c>
      <c r="K22" s="13" t="s">
        <v>2525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1537</v>
      </c>
      <c r="B23" s="12" t="s">
        <v>1863</v>
      </c>
      <c r="C23" s="12" t="s">
        <v>1184</v>
      </c>
      <c r="D23" s="13" t="s">
        <v>2526</v>
      </c>
      <c r="E23" s="12" t="s">
        <v>134</v>
      </c>
      <c r="F23" s="12" t="s">
        <v>169</v>
      </c>
      <c r="G23" s="13" t="s">
        <v>2524</v>
      </c>
      <c r="H23" s="12" t="s">
        <v>100</v>
      </c>
      <c r="I23" s="12" t="s">
        <v>112</v>
      </c>
      <c r="J23" s="14" t="n">
        <v>46230</v>
      </c>
      <c r="K23" s="13" t="s">
        <v>2527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1541</v>
      </c>
      <c r="B24" s="12" t="s">
        <v>167</v>
      </c>
      <c r="C24" s="12" t="s">
        <v>1184</v>
      </c>
      <c r="D24" s="13" t="s">
        <v>2528</v>
      </c>
      <c r="E24" s="12" t="s">
        <v>134</v>
      </c>
      <c r="F24" s="12" t="s">
        <v>169</v>
      </c>
      <c r="G24" s="13" t="s">
        <v>2524</v>
      </c>
      <c r="H24" s="12" t="s">
        <v>100</v>
      </c>
      <c r="I24" s="12" t="s">
        <v>112</v>
      </c>
      <c r="J24" s="14" t="n">
        <v>46231</v>
      </c>
      <c r="K24" s="13" t="s">
        <v>2529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1544</v>
      </c>
      <c r="B25" s="12" t="s">
        <v>162</v>
      </c>
      <c r="C25" s="12" t="s">
        <v>1184</v>
      </c>
      <c r="D25" s="13" t="s">
        <v>2530</v>
      </c>
      <c r="E25" s="12" t="s">
        <v>134</v>
      </c>
      <c r="F25" s="12" t="s">
        <v>164</v>
      </c>
      <c r="G25" s="13" t="s">
        <v>2510</v>
      </c>
      <c r="H25" s="12" t="s">
        <v>98</v>
      </c>
      <c r="I25" s="12" t="s">
        <v>113</v>
      </c>
      <c r="J25" s="14" t="n">
        <v>46230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1546</v>
      </c>
      <c r="B26" s="12" t="s">
        <v>622</v>
      </c>
      <c r="C26" s="12" t="s">
        <v>1184</v>
      </c>
      <c r="D26" s="13" t="s">
        <v>2531</v>
      </c>
      <c r="E26" s="12" t="s">
        <v>134</v>
      </c>
      <c r="F26" s="12" t="s">
        <v>624</v>
      </c>
      <c r="G26" s="13" t="s">
        <v>2532</v>
      </c>
      <c r="H26" s="12" t="s">
        <v>98</v>
      </c>
      <c r="I26" s="12" t="s">
        <v>113</v>
      </c>
      <c r="J26" s="14" t="n">
        <v>46230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1548</v>
      </c>
      <c r="B27" s="12" t="s">
        <v>2377</v>
      </c>
      <c r="C27" s="12" t="s">
        <v>2533</v>
      </c>
      <c r="D27" s="13" t="s">
        <v>2534</v>
      </c>
      <c r="E27" s="12" t="s">
        <v>134</v>
      </c>
      <c r="F27" s="12" t="s">
        <v>193</v>
      </c>
      <c r="G27" s="13" t="s">
        <v>2535</v>
      </c>
      <c r="H27" s="12" t="s">
        <v>98</v>
      </c>
      <c r="I27" s="12" t="s">
        <v>113</v>
      </c>
      <c r="J27" s="14" t="n">
        <v>46230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1551</v>
      </c>
      <c r="B28" s="12" t="s">
        <v>196</v>
      </c>
      <c r="C28" s="12" t="s">
        <v>2533</v>
      </c>
      <c r="D28" s="13" t="s">
        <v>2536</v>
      </c>
      <c r="E28" s="12" t="s">
        <v>134</v>
      </c>
      <c r="F28" s="12" t="s">
        <v>193</v>
      </c>
      <c r="G28" s="13" t="s">
        <v>2537</v>
      </c>
      <c r="H28" s="12" t="s">
        <v>98</v>
      </c>
      <c r="I28" s="12" t="s">
        <v>113</v>
      </c>
      <c r="J28" s="14" t="n">
        <v>46230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1554</v>
      </c>
      <c r="B29" s="12" t="s">
        <v>200</v>
      </c>
      <c r="C29" s="12" t="s">
        <v>2533</v>
      </c>
      <c r="D29" s="13" t="s">
        <v>2538</v>
      </c>
      <c r="E29" s="12" t="s">
        <v>202</v>
      </c>
      <c r="F29" s="12" t="s">
        <v>202</v>
      </c>
      <c r="G29" s="13" t="s">
        <v>2539</v>
      </c>
      <c r="H29" s="12" t="s">
        <v>98</v>
      </c>
      <c r="I29" s="12" t="s">
        <v>113</v>
      </c>
      <c r="J29" s="14" t="n">
        <v>46230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1556</v>
      </c>
      <c r="B30" s="12" t="s">
        <v>187</v>
      </c>
      <c r="C30" s="12" t="s">
        <v>1184</v>
      </c>
      <c r="D30" s="13" t="s">
        <v>2540</v>
      </c>
      <c r="E30" s="12" t="s">
        <v>134</v>
      </c>
      <c r="F30" s="12" t="s">
        <v>175</v>
      </c>
      <c r="G30" s="13" t="s">
        <v>2541</v>
      </c>
      <c r="H30" s="12" t="s">
        <v>92</v>
      </c>
      <c r="I30" s="12" t="s">
        <v>112</v>
      </c>
      <c r="J30" s="14" t="n">
        <v>46230</v>
      </c>
      <c r="K30" s="13" t="s">
        <v>1807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2542</v>
      </c>
      <c r="B31" s="12" t="s">
        <v>205</v>
      </c>
      <c r="C31" s="12" t="s">
        <v>2533</v>
      </c>
      <c r="D31" s="13" t="s">
        <v>2543</v>
      </c>
      <c r="E31" s="12" t="s">
        <v>134</v>
      </c>
      <c r="F31" s="12" t="s">
        <v>134</v>
      </c>
      <c r="G31" s="13" t="s">
        <v>2544</v>
      </c>
      <c r="H31" s="12" t="s">
        <v>98</v>
      </c>
      <c r="I31" s="12" t="s">
        <v>113</v>
      </c>
      <c r="J31" s="14" t="n">
        <v>46231</v>
      </c>
      <c r="K31" s="13" t="s">
        <v>2545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/>
      <c r="B32" s="12"/>
      <c r="C32" s="12"/>
      <c r="D32" s="13"/>
      <c r="E32" s="12"/>
      <c r="F32" s="12"/>
      <c r="G32" s="13"/>
      <c r="H32" s="12"/>
      <c r="I32" s="12"/>
      <c r="J32" s="14"/>
      <c r="K32" s="13"/>
      <c r="L32" s="12"/>
      <c r="M32" s="12"/>
    </row>
    <row r="33" customFormat="false" ht="54" hidden="false" customHeight="true" outlineLevel="0" collapsed="false">
      <c r="A33" s="12"/>
      <c r="B33" s="12"/>
      <c r="C33" s="12"/>
      <c r="D33" s="13"/>
      <c r="E33" s="12"/>
      <c r="F33" s="12"/>
      <c r="G33" s="13"/>
      <c r="H33" s="12"/>
      <c r="I33" s="12"/>
      <c r="J33" s="14"/>
      <c r="K33" s="13"/>
      <c r="L33" s="12"/>
      <c r="M33" s="12"/>
    </row>
    <row r="34" customFormat="false" ht="54" hidden="false" customHeight="true" outlineLevel="0" collapsed="false">
      <c r="A34" s="12"/>
      <c r="B34" s="12"/>
      <c r="C34" s="12"/>
      <c r="D34" s="13"/>
      <c r="E34" s="12"/>
      <c r="F34" s="12"/>
      <c r="G34" s="13"/>
      <c r="H34" s="12"/>
      <c r="I34" s="12"/>
      <c r="J34" s="14"/>
      <c r="K34" s="13"/>
      <c r="L34" s="12"/>
      <c r="M34" s="12"/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1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2546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2547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COUNTA(A9:A33)</f>
        <v>25</v>
      </c>
      <c r="D4" s="5" t="s">
        <v>116</v>
      </c>
      <c r="E4" s="6" t="n">
        <f aca="false">SUM(M9:M33)</f>
        <v>21</v>
      </c>
      <c r="G4" s="5" t="s">
        <v>14</v>
      </c>
      <c r="H4" s="7" t="n">
        <f aca="false">IF(B4=0,0,E4/B4)</f>
        <v>0.84</v>
      </c>
      <c r="J4" s="5" t="s">
        <v>15</v>
      </c>
      <c r="K4" s="6" t="str">
        <f aca="false">IF(COUNTIFS(E9:E33,"package",M9:M33,0)&gt;0,"open","complete")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IF(COUNTIFS(I9:I33,"yes",M9:M33,0)&gt;0,"open","complete")</f>
        <v>open</v>
      </c>
      <c r="D5" s="5" t="s">
        <v>16</v>
      </c>
      <c r="E5" s="6" t="str">
        <f aca="false">IF(COUNTIFS(E9:E33,"consumer",M9:M33,0)&gt;0,"open","complete")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2548</v>
      </c>
      <c r="B9" s="12" t="s">
        <v>90</v>
      </c>
      <c r="C9" s="12" t="s">
        <v>1184</v>
      </c>
      <c r="D9" s="13" t="s">
        <v>2549</v>
      </c>
      <c r="E9" s="12" t="s">
        <v>134</v>
      </c>
      <c r="F9" s="12" t="s">
        <v>135</v>
      </c>
      <c r="G9" s="13" t="s">
        <v>2550</v>
      </c>
      <c r="H9" s="12" t="s">
        <v>98</v>
      </c>
      <c r="I9" s="12" t="s">
        <v>113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2551</v>
      </c>
      <c r="B10" s="12" t="s">
        <v>2390</v>
      </c>
      <c r="C10" s="12" t="s">
        <v>1184</v>
      </c>
      <c r="D10" s="13" t="s">
        <v>2552</v>
      </c>
      <c r="E10" s="12" t="s">
        <v>134</v>
      </c>
      <c r="F10" s="12" t="s">
        <v>154</v>
      </c>
      <c r="G10" s="13" t="s">
        <v>2553</v>
      </c>
      <c r="H10" s="12" t="s">
        <v>98</v>
      </c>
      <c r="I10" s="12" t="s">
        <v>113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2554</v>
      </c>
      <c r="B11" s="12" t="s">
        <v>1343</v>
      </c>
      <c r="C11" s="12" t="s">
        <v>1184</v>
      </c>
      <c r="D11" s="13" t="s">
        <v>2555</v>
      </c>
      <c r="E11" s="12" t="s">
        <v>134</v>
      </c>
      <c r="F11" s="12" t="s">
        <v>154</v>
      </c>
      <c r="G11" s="13" t="s">
        <v>2553</v>
      </c>
      <c r="H11" s="12" t="s">
        <v>98</v>
      </c>
      <c r="I11" s="12" t="s">
        <v>113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2556</v>
      </c>
      <c r="B12" s="12" t="s">
        <v>142</v>
      </c>
      <c r="C12" s="12" t="s">
        <v>2399</v>
      </c>
      <c r="D12" s="13" t="s">
        <v>2557</v>
      </c>
      <c r="E12" s="12" t="s">
        <v>134</v>
      </c>
      <c r="F12" s="12" t="s">
        <v>144</v>
      </c>
      <c r="G12" s="13" t="s">
        <v>2558</v>
      </c>
      <c r="H12" s="12" t="s">
        <v>98</v>
      </c>
      <c r="I12" s="12" t="s">
        <v>113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2559</v>
      </c>
      <c r="B13" s="12" t="s">
        <v>138</v>
      </c>
      <c r="C13" s="12" t="s">
        <v>1184</v>
      </c>
      <c r="D13" s="13" t="s">
        <v>2560</v>
      </c>
      <c r="E13" s="12" t="s">
        <v>134</v>
      </c>
      <c r="F13" s="12" t="s">
        <v>134</v>
      </c>
      <c r="G13" s="13" t="s">
        <v>140</v>
      </c>
      <c r="H13" s="12" t="s">
        <v>98</v>
      </c>
      <c r="I13" s="12" t="s">
        <v>113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2561</v>
      </c>
      <c r="B14" s="12" t="s">
        <v>1310</v>
      </c>
      <c r="C14" s="12" t="s">
        <v>1184</v>
      </c>
      <c r="D14" s="13" t="s">
        <v>2562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2563</v>
      </c>
      <c r="B15" s="12" t="s">
        <v>1576</v>
      </c>
      <c r="C15" s="12" t="s">
        <v>782</v>
      </c>
      <c r="D15" s="13" t="s">
        <v>2564</v>
      </c>
      <c r="E15" s="12" t="s">
        <v>134</v>
      </c>
      <c r="F15" s="12" t="s">
        <v>154</v>
      </c>
      <c r="G15" s="13" t="s">
        <v>2553</v>
      </c>
      <c r="H15" s="12" t="s">
        <v>98</v>
      </c>
      <c r="I15" s="12" t="s">
        <v>113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2565</v>
      </c>
      <c r="B16" s="12" t="s">
        <v>1133</v>
      </c>
      <c r="C16" s="12" t="s">
        <v>782</v>
      </c>
      <c r="D16" s="13" t="s">
        <v>2566</v>
      </c>
      <c r="E16" s="12" t="s">
        <v>134</v>
      </c>
      <c r="F16" s="12" t="s">
        <v>159</v>
      </c>
      <c r="G16" s="13" t="s">
        <v>2567</v>
      </c>
      <c r="H16" s="12" t="s">
        <v>98</v>
      </c>
      <c r="I16" s="12" t="s">
        <v>113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2568</v>
      </c>
      <c r="B17" s="12" t="s">
        <v>2569</v>
      </c>
      <c r="C17" s="12" t="s">
        <v>2570</v>
      </c>
      <c r="D17" s="13" t="s">
        <v>2571</v>
      </c>
      <c r="E17" s="12" t="s">
        <v>134</v>
      </c>
      <c r="F17" s="12" t="s">
        <v>154</v>
      </c>
      <c r="G17" s="13" t="s">
        <v>2553</v>
      </c>
      <c r="H17" s="12" t="s">
        <v>98</v>
      </c>
      <c r="I17" s="12" t="s">
        <v>113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2572</v>
      </c>
      <c r="B18" s="12" t="s">
        <v>1173</v>
      </c>
      <c r="C18" s="12" t="s">
        <v>2573</v>
      </c>
      <c r="D18" s="13" t="s">
        <v>2574</v>
      </c>
      <c r="E18" s="12" t="s">
        <v>134</v>
      </c>
      <c r="F18" s="12" t="s">
        <v>159</v>
      </c>
      <c r="G18" s="13" t="s">
        <v>2567</v>
      </c>
      <c r="H18" s="12" t="s">
        <v>98</v>
      </c>
      <c r="I18" s="12" t="s">
        <v>113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2575</v>
      </c>
      <c r="B19" s="12" t="s">
        <v>2576</v>
      </c>
      <c r="C19" s="12" t="s">
        <v>2573</v>
      </c>
      <c r="D19" s="13" t="s">
        <v>2577</v>
      </c>
      <c r="E19" s="12" t="s">
        <v>134</v>
      </c>
      <c r="F19" s="12" t="s">
        <v>159</v>
      </c>
      <c r="G19" s="13" t="s">
        <v>2567</v>
      </c>
      <c r="H19" s="12" t="s">
        <v>98</v>
      </c>
      <c r="I19" s="12" t="s">
        <v>113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2578</v>
      </c>
      <c r="B20" s="12" t="s">
        <v>2579</v>
      </c>
      <c r="C20" s="12" t="s">
        <v>2580</v>
      </c>
      <c r="D20" s="13" t="s">
        <v>2581</v>
      </c>
      <c r="E20" s="12" t="s">
        <v>134</v>
      </c>
      <c r="F20" s="12" t="s">
        <v>159</v>
      </c>
      <c r="G20" s="13" t="s">
        <v>2567</v>
      </c>
      <c r="H20" s="12" t="s">
        <v>98</v>
      </c>
      <c r="I20" s="12" t="s">
        <v>113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2582</v>
      </c>
      <c r="B21" s="12" t="s">
        <v>162</v>
      </c>
      <c r="C21" s="12" t="s">
        <v>1184</v>
      </c>
      <c r="D21" s="13" t="s">
        <v>2583</v>
      </c>
      <c r="E21" s="12" t="s">
        <v>134</v>
      </c>
      <c r="F21" s="12" t="s">
        <v>159</v>
      </c>
      <c r="G21" s="13" t="s">
        <v>2567</v>
      </c>
      <c r="H21" s="12" t="s">
        <v>98</v>
      </c>
      <c r="I21" s="12" t="s">
        <v>113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2584</v>
      </c>
      <c r="B22" s="12" t="s">
        <v>173</v>
      </c>
      <c r="C22" s="12" t="s">
        <v>2585</v>
      </c>
      <c r="D22" s="13" t="s">
        <v>2586</v>
      </c>
      <c r="E22" s="12" t="s">
        <v>134</v>
      </c>
      <c r="F22" s="12" t="s">
        <v>159</v>
      </c>
      <c r="G22" s="13" t="s">
        <v>2567</v>
      </c>
      <c r="H22" s="12" t="s">
        <v>98</v>
      </c>
      <c r="I22" s="12" t="s">
        <v>113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2587</v>
      </c>
      <c r="B23" s="12" t="s">
        <v>1863</v>
      </c>
      <c r="C23" s="12" t="s">
        <v>1184</v>
      </c>
      <c r="D23" s="13" t="s">
        <v>2588</v>
      </c>
      <c r="E23" s="12" t="s">
        <v>134</v>
      </c>
      <c r="F23" s="12" t="s">
        <v>169</v>
      </c>
      <c r="G23" s="13" t="s">
        <v>2589</v>
      </c>
      <c r="H23" s="12" t="s">
        <v>96</v>
      </c>
      <c r="I23" s="12" t="s">
        <v>112</v>
      </c>
      <c r="J23" s="14" t="n">
        <v>46231</v>
      </c>
      <c r="K23" s="13" t="s">
        <v>2590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2591</v>
      </c>
      <c r="B24" s="12" t="s">
        <v>2471</v>
      </c>
      <c r="C24" s="12" t="s">
        <v>2573</v>
      </c>
      <c r="D24" s="13" t="s">
        <v>2592</v>
      </c>
      <c r="E24" s="12" t="s">
        <v>134</v>
      </c>
      <c r="F24" s="12" t="s">
        <v>175</v>
      </c>
      <c r="G24" s="13" t="s">
        <v>2593</v>
      </c>
      <c r="H24" s="12" t="s">
        <v>96</v>
      </c>
      <c r="I24" s="12" t="s">
        <v>112</v>
      </c>
      <c r="J24" s="14" t="n">
        <v>46231</v>
      </c>
      <c r="K24" s="13" t="s">
        <v>2594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2595</v>
      </c>
      <c r="B25" s="12" t="s">
        <v>167</v>
      </c>
      <c r="C25" s="12" t="s">
        <v>1184</v>
      </c>
      <c r="D25" s="13" t="s">
        <v>2596</v>
      </c>
      <c r="E25" s="12" t="s">
        <v>134</v>
      </c>
      <c r="F25" s="12" t="s">
        <v>169</v>
      </c>
      <c r="G25" s="13" t="s">
        <v>2589</v>
      </c>
      <c r="H25" s="12" t="s">
        <v>96</v>
      </c>
      <c r="I25" s="12" t="s">
        <v>112</v>
      </c>
      <c r="J25" s="14" t="n">
        <v>46231</v>
      </c>
      <c r="K25" s="13" t="s">
        <v>2597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2598</v>
      </c>
      <c r="B26" s="12" t="s">
        <v>1531</v>
      </c>
      <c r="C26" s="12" t="s">
        <v>2599</v>
      </c>
      <c r="D26" s="13" t="s">
        <v>2600</v>
      </c>
      <c r="E26" s="12" t="s">
        <v>134</v>
      </c>
      <c r="F26" s="12" t="s">
        <v>154</v>
      </c>
      <c r="G26" s="13" t="s">
        <v>2553</v>
      </c>
      <c r="H26" s="12" t="s">
        <v>98</v>
      </c>
      <c r="I26" s="12" t="s">
        <v>113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2601</v>
      </c>
      <c r="B27" s="12" t="s">
        <v>2377</v>
      </c>
      <c r="C27" s="12" t="s">
        <v>2602</v>
      </c>
      <c r="D27" s="13" t="s">
        <v>2603</v>
      </c>
      <c r="E27" s="12" t="s">
        <v>134</v>
      </c>
      <c r="F27" s="12" t="s">
        <v>2604</v>
      </c>
      <c r="G27" s="13" t="s">
        <v>2605</v>
      </c>
      <c r="H27" s="12" t="s">
        <v>98</v>
      </c>
      <c r="I27" s="12" t="s">
        <v>113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2606</v>
      </c>
      <c r="B28" s="12" t="s">
        <v>196</v>
      </c>
      <c r="C28" s="12" t="s">
        <v>2607</v>
      </c>
      <c r="D28" s="13" t="s">
        <v>2608</v>
      </c>
      <c r="E28" s="12" t="s">
        <v>134</v>
      </c>
      <c r="F28" s="12" t="s">
        <v>2604</v>
      </c>
      <c r="G28" s="13" t="s">
        <v>2609</v>
      </c>
      <c r="H28" s="12" t="s">
        <v>98</v>
      </c>
      <c r="I28" s="12" t="s">
        <v>113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2610</v>
      </c>
      <c r="B29" s="12" t="s">
        <v>622</v>
      </c>
      <c r="C29" s="12" t="s">
        <v>1184</v>
      </c>
      <c r="D29" s="13" t="s">
        <v>2611</v>
      </c>
      <c r="E29" s="12" t="s">
        <v>134</v>
      </c>
      <c r="F29" s="12" t="s">
        <v>624</v>
      </c>
      <c r="G29" s="13" t="s">
        <v>2612</v>
      </c>
      <c r="H29" s="12" t="s">
        <v>98</v>
      </c>
      <c r="I29" s="12" t="s">
        <v>113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2613</v>
      </c>
      <c r="B30" s="12" t="s">
        <v>187</v>
      </c>
      <c r="C30" s="12" t="s">
        <v>1184</v>
      </c>
      <c r="D30" s="13" t="s">
        <v>2614</v>
      </c>
      <c r="E30" s="12" t="s">
        <v>134</v>
      </c>
      <c r="F30" s="12" t="s">
        <v>175</v>
      </c>
      <c r="G30" s="13" t="s">
        <v>2593</v>
      </c>
      <c r="H30" s="12" t="s">
        <v>92</v>
      </c>
      <c r="I30" s="12" t="s">
        <v>112</v>
      </c>
      <c r="J30" s="14" t="n">
        <v>46231</v>
      </c>
      <c r="K30" s="13" t="s">
        <v>2615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2616</v>
      </c>
      <c r="B31" s="12" t="s">
        <v>200</v>
      </c>
      <c r="C31" s="12" t="s">
        <v>2617</v>
      </c>
      <c r="D31" s="13" t="s">
        <v>2618</v>
      </c>
      <c r="E31" s="12" t="s">
        <v>202</v>
      </c>
      <c r="F31" s="12" t="s">
        <v>202</v>
      </c>
      <c r="G31" s="13" t="s">
        <v>203</v>
      </c>
      <c r="H31" s="12" t="s">
        <v>98</v>
      </c>
      <c r="I31" s="12" t="s">
        <v>113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2619</v>
      </c>
      <c r="B32" s="12" t="s">
        <v>205</v>
      </c>
      <c r="C32" s="12" t="s">
        <v>2620</v>
      </c>
      <c r="D32" s="13" t="s">
        <v>2621</v>
      </c>
      <c r="E32" s="12" t="s">
        <v>134</v>
      </c>
      <c r="F32" s="12" t="s">
        <v>134</v>
      </c>
      <c r="G32" s="13" t="s">
        <v>207</v>
      </c>
      <c r="H32" s="12" t="s">
        <v>98</v>
      </c>
      <c r="I32" s="12" t="s">
        <v>113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2622</v>
      </c>
      <c r="B33" s="12" t="s">
        <v>2623</v>
      </c>
      <c r="C33" s="12" t="s">
        <v>1184</v>
      </c>
      <c r="D33" s="13" t="s">
        <v>2624</v>
      </c>
      <c r="E33" s="12" t="s">
        <v>134</v>
      </c>
      <c r="F33" s="12" t="s">
        <v>2604</v>
      </c>
      <c r="G33" s="13" t="s">
        <v>2605</v>
      </c>
      <c r="H33" s="12" t="s">
        <v>98</v>
      </c>
      <c r="I33" s="12" t="s">
        <v>113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/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3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3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3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2625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2626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116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2627</v>
      </c>
      <c r="B9" s="12" t="s">
        <v>90</v>
      </c>
      <c r="C9" s="12" t="s">
        <v>1184</v>
      </c>
      <c r="D9" s="13" t="s">
        <v>2628</v>
      </c>
      <c r="E9" s="12" t="s">
        <v>134</v>
      </c>
      <c r="F9" s="12" t="s">
        <v>135</v>
      </c>
      <c r="G9" s="13" t="s">
        <v>2629</v>
      </c>
      <c r="H9" s="12" t="s">
        <v>98</v>
      </c>
      <c r="I9" s="12" t="s">
        <v>113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2630</v>
      </c>
      <c r="B10" s="12" t="s">
        <v>2390</v>
      </c>
      <c r="C10" s="12" t="s">
        <v>1184</v>
      </c>
      <c r="D10" s="13" t="s">
        <v>2631</v>
      </c>
      <c r="E10" s="12" t="s">
        <v>134</v>
      </c>
      <c r="F10" s="12" t="s">
        <v>154</v>
      </c>
      <c r="G10" s="13" t="s">
        <v>2632</v>
      </c>
      <c r="H10" s="12" t="s">
        <v>98</v>
      </c>
      <c r="I10" s="12" t="s">
        <v>113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2633</v>
      </c>
      <c r="B11" s="12" t="s">
        <v>1343</v>
      </c>
      <c r="C11" s="12" t="s">
        <v>1184</v>
      </c>
      <c r="D11" s="13" t="s">
        <v>2634</v>
      </c>
      <c r="E11" s="12" t="s">
        <v>134</v>
      </c>
      <c r="F11" s="12" t="s">
        <v>154</v>
      </c>
      <c r="G11" s="13" t="s">
        <v>2632</v>
      </c>
      <c r="H11" s="12" t="s">
        <v>98</v>
      </c>
      <c r="I11" s="12" t="s">
        <v>113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2635</v>
      </c>
      <c r="B12" s="12" t="s">
        <v>142</v>
      </c>
      <c r="C12" s="12" t="s">
        <v>2399</v>
      </c>
      <c r="D12" s="13" t="s">
        <v>2636</v>
      </c>
      <c r="E12" s="12" t="s">
        <v>134</v>
      </c>
      <c r="F12" s="12" t="s">
        <v>144</v>
      </c>
      <c r="G12" s="13" t="s">
        <v>2637</v>
      </c>
      <c r="H12" s="12" t="s">
        <v>98</v>
      </c>
      <c r="I12" s="12" t="s">
        <v>113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2638</v>
      </c>
      <c r="B13" s="12" t="s">
        <v>138</v>
      </c>
      <c r="C13" s="12" t="s">
        <v>1184</v>
      </c>
      <c r="D13" s="13" t="s">
        <v>2639</v>
      </c>
      <c r="E13" s="12" t="s">
        <v>134</v>
      </c>
      <c r="F13" s="12" t="s">
        <v>134</v>
      </c>
      <c r="G13" s="13" t="s">
        <v>140</v>
      </c>
      <c r="H13" s="12" t="s">
        <v>98</v>
      </c>
      <c r="I13" s="12" t="s">
        <v>113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2640</v>
      </c>
      <c r="B14" s="12" t="s">
        <v>1310</v>
      </c>
      <c r="C14" s="12" t="s">
        <v>2641</v>
      </c>
      <c r="D14" s="13" t="s">
        <v>2642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2643</v>
      </c>
      <c r="B15" s="12" t="s">
        <v>1576</v>
      </c>
      <c r="C15" s="12" t="s">
        <v>2644</v>
      </c>
      <c r="D15" s="13" t="s">
        <v>2645</v>
      </c>
      <c r="E15" s="12" t="s">
        <v>134</v>
      </c>
      <c r="F15" s="12" t="s">
        <v>154</v>
      </c>
      <c r="G15" s="13" t="s">
        <v>2632</v>
      </c>
      <c r="H15" s="12" t="s">
        <v>98</v>
      </c>
      <c r="I15" s="12" t="s">
        <v>113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2646</v>
      </c>
      <c r="B16" s="12" t="s">
        <v>1133</v>
      </c>
      <c r="C16" s="12" t="s">
        <v>782</v>
      </c>
      <c r="D16" s="13" t="s">
        <v>2647</v>
      </c>
      <c r="E16" s="12" t="s">
        <v>134</v>
      </c>
      <c r="F16" s="12" t="s">
        <v>159</v>
      </c>
      <c r="G16" s="13" t="s">
        <v>2648</v>
      </c>
      <c r="H16" s="12" t="s">
        <v>98</v>
      </c>
      <c r="I16" s="12" t="s">
        <v>113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2649</v>
      </c>
      <c r="B17" s="12" t="s">
        <v>2650</v>
      </c>
      <c r="C17" s="12" t="s">
        <v>2641</v>
      </c>
      <c r="D17" s="13" t="s">
        <v>2651</v>
      </c>
      <c r="E17" s="12" t="s">
        <v>134</v>
      </c>
      <c r="F17" s="12" t="s">
        <v>159</v>
      </c>
      <c r="G17" s="13" t="s">
        <v>2652</v>
      </c>
      <c r="H17" s="12" t="s">
        <v>98</v>
      </c>
      <c r="I17" s="12" t="s">
        <v>113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2653</v>
      </c>
      <c r="B18" s="12" t="s">
        <v>1916</v>
      </c>
      <c r="C18" s="12" t="s">
        <v>2654</v>
      </c>
      <c r="D18" s="13" t="s">
        <v>2655</v>
      </c>
      <c r="E18" s="12" t="s">
        <v>134</v>
      </c>
      <c r="F18" s="12" t="s">
        <v>159</v>
      </c>
      <c r="G18" s="13" t="s">
        <v>2652</v>
      </c>
      <c r="H18" s="12" t="s">
        <v>98</v>
      </c>
      <c r="I18" s="12" t="s">
        <v>113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2656</v>
      </c>
      <c r="B19" s="12" t="s">
        <v>2515</v>
      </c>
      <c r="C19" s="12" t="s">
        <v>2657</v>
      </c>
      <c r="D19" s="13" t="s">
        <v>2658</v>
      </c>
      <c r="E19" s="12" t="s">
        <v>134</v>
      </c>
      <c r="F19" s="12" t="s">
        <v>159</v>
      </c>
      <c r="G19" s="13" t="s">
        <v>2648</v>
      </c>
      <c r="H19" s="12" t="s">
        <v>98</v>
      </c>
      <c r="I19" s="12" t="s">
        <v>113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2659</v>
      </c>
      <c r="B20" s="12" t="s">
        <v>2513</v>
      </c>
      <c r="C20" s="12" t="s">
        <v>2660</v>
      </c>
      <c r="D20" s="13" t="s">
        <v>2661</v>
      </c>
      <c r="E20" s="12" t="s">
        <v>134</v>
      </c>
      <c r="F20" s="12" t="s">
        <v>154</v>
      </c>
      <c r="G20" s="13" t="s">
        <v>2632</v>
      </c>
      <c r="H20" s="12" t="s">
        <v>98</v>
      </c>
      <c r="I20" s="12" t="s">
        <v>113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2662</v>
      </c>
      <c r="B21" s="12" t="s">
        <v>1589</v>
      </c>
      <c r="C21" s="12" t="s">
        <v>2663</v>
      </c>
      <c r="D21" s="13" t="s">
        <v>2664</v>
      </c>
      <c r="E21" s="12" t="s">
        <v>134</v>
      </c>
      <c r="F21" s="12" t="s">
        <v>159</v>
      </c>
      <c r="G21" s="13" t="s">
        <v>2648</v>
      </c>
      <c r="H21" s="12" t="s">
        <v>98</v>
      </c>
      <c r="I21" s="12" t="s">
        <v>113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2665</v>
      </c>
      <c r="B22" s="12" t="s">
        <v>173</v>
      </c>
      <c r="C22" s="12" t="s">
        <v>42</v>
      </c>
      <c r="D22" s="13" t="s">
        <v>2666</v>
      </c>
      <c r="E22" s="12" t="s">
        <v>134</v>
      </c>
      <c r="F22" s="12" t="s">
        <v>159</v>
      </c>
      <c r="G22" s="13" t="s">
        <v>2648</v>
      </c>
      <c r="H22" s="12" t="s">
        <v>98</v>
      </c>
      <c r="I22" s="12" t="s">
        <v>113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2667</v>
      </c>
      <c r="B23" s="12" t="s">
        <v>2522</v>
      </c>
      <c r="C23" s="12" t="s">
        <v>1184</v>
      </c>
      <c r="D23" s="13" t="s">
        <v>2668</v>
      </c>
      <c r="E23" s="12" t="s">
        <v>134</v>
      </c>
      <c r="F23" s="12" t="s">
        <v>169</v>
      </c>
      <c r="G23" s="13" t="s">
        <v>2669</v>
      </c>
      <c r="H23" s="12" t="s">
        <v>96</v>
      </c>
      <c r="I23" s="12" t="s">
        <v>112</v>
      </c>
      <c r="J23" s="14" t="n">
        <v>46231</v>
      </c>
      <c r="K23" s="13" t="s">
        <v>2590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2670</v>
      </c>
      <c r="B24" s="12" t="s">
        <v>1863</v>
      </c>
      <c r="C24" s="12" t="s">
        <v>1184</v>
      </c>
      <c r="D24" s="13" t="s">
        <v>2671</v>
      </c>
      <c r="E24" s="12" t="s">
        <v>134</v>
      </c>
      <c r="F24" s="12" t="s">
        <v>169</v>
      </c>
      <c r="G24" s="13" t="s">
        <v>2669</v>
      </c>
      <c r="H24" s="12" t="s">
        <v>96</v>
      </c>
      <c r="I24" s="12" t="s">
        <v>112</v>
      </c>
      <c r="J24" s="14" t="n">
        <v>46231</v>
      </c>
      <c r="K24" s="13" t="s">
        <v>2590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2672</v>
      </c>
      <c r="B25" s="12" t="s">
        <v>167</v>
      </c>
      <c r="C25" s="12" t="s">
        <v>1184</v>
      </c>
      <c r="D25" s="13" t="s">
        <v>2673</v>
      </c>
      <c r="E25" s="12" t="s">
        <v>134</v>
      </c>
      <c r="F25" s="12" t="s">
        <v>169</v>
      </c>
      <c r="G25" s="13" t="s">
        <v>2669</v>
      </c>
      <c r="H25" s="12" t="s">
        <v>96</v>
      </c>
      <c r="I25" s="12" t="s">
        <v>112</v>
      </c>
      <c r="J25" s="14" t="n">
        <v>46231</v>
      </c>
      <c r="K25" s="13" t="s">
        <v>2674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2675</v>
      </c>
      <c r="B26" s="12" t="s">
        <v>1531</v>
      </c>
      <c r="C26" s="12" t="s">
        <v>1184</v>
      </c>
      <c r="D26" s="13" t="s">
        <v>2676</v>
      </c>
      <c r="E26" s="12" t="s">
        <v>134</v>
      </c>
      <c r="F26" s="12" t="s">
        <v>154</v>
      </c>
      <c r="G26" s="13" t="s">
        <v>2677</v>
      </c>
      <c r="H26" s="12" t="s">
        <v>98</v>
      </c>
      <c r="I26" s="12" t="s">
        <v>113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2678</v>
      </c>
      <c r="B27" s="12" t="s">
        <v>162</v>
      </c>
      <c r="C27" s="12" t="s">
        <v>1184</v>
      </c>
      <c r="D27" s="13" t="s">
        <v>2679</v>
      </c>
      <c r="E27" s="12" t="s">
        <v>134</v>
      </c>
      <c r="F27" s="12" t="s">
        <v>164</v>
      </c>
      <c r="G27" s="13" t="s">
        <v>2648</v>
      </c>
      <c r="H27" s="12" t="s">
        <v>98</v>
      </c>
      <c r="I27" s="12" t="s">
        <v>113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2680</v>
      </c>
      <c r="B28" s="12" t="s">
        <v>622</v>
      </c>
      <c r="C28" s="12" t="s">
        <v>1184</v>
      </c>
      <c r="D28" s="13" t="s">
        <v>2681</v>
      </c>
      <c r="E28" s="12" t="s">
        <v>134</v>
      </c>
      <c r="F28" s="12" t="s">
        <v>624</v>
      </c>
      <c r="G28" s="13" t="s">
        <v>2682</v>
      </c>
      <c r="H28" s="12" t="s">
        <v>98</v>
      </c>
      <c r="I28" s="12" t="s">
        <v>113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2683</v>
      </c>
      <c r="B29" s="12" t="s">
        <v>2377</v>
      </c>
      <c r="C29" s="12" t="s">
        <v>2602</v>
      </c>
      <c r="D29" s="13" t="s">
        <v>2684</v>
      </c>
      <c r="E29" s="12" t="s">
        <v>134</v>
      </c>
      <c r="F29" s="12" t="s">
        <v>2604</v>
      </c>
      <c r="G29" s="13" t="s">
        <v>2685</v>
      </c>
      <c r="H29" s="12" t="s">
        <v>98</v>
      </c>
      <c r="I29" s="12" t="s">
        <v>113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2686</v>
      </c>
      <c r="B30" s="12" t="s">
        <v>196</v>
      </c>
      <c r="C30" s="12" t="s">
        <v>2607</v>
      </c>
      <c r="D30" s="13" t="s">
        <v>2687</v>
      </c>
      <c r="E30" s="12" t="s">
        <v>134</v>
      </c>
      <c r="F30" s="12" t="s">
        <v>2604</v>
      </c>
      <c r="G30" s="13" t="s">
        <v>2688</v>
      </c>
      <c r="H30" s="12" t="s">
        <v>98</v>
      </c>
      <c r="I30" s="12" t="s">
        <v>113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2689</v>
      </c>
      <c r="B31" s="12" t="s">
        <v>200</v>
      </c>
      <c r="C31" s="12" t="s">
        <v>1184</v>
      </c>
      <c r="D31" s="13" t="s">
        <v>2690</v>
      </c>
      <c r="E31" s="12" t="s">
        <v>202</v>
      </c>
      <c r="F31" s="12" t="s">
        <v>202</v>
      </c>
      <c r="G31" s="13" t="s">
        <v>203</v>
      </c>
      <c r="H31" s="12" t="s">
        <v>98</v>
      </c>
      <c r="I31" s="12" t="s">
        <v>113</v>
      </c>
      <c r="J31" s="14" t="n">
        <v>46231</v>
      </c>
      <c r="K31" s="13" t="s">
        <v>2691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2692</v>
      </c>
      <c r="B32" s="12" t="s">
        <v>187</v>
      </c>
      <c r="C32" s="12" t="s">
        <v>1184</v>
      </c>
      <c r="D32" s="13" t="s">
        <v>2693</v>
      </c>
      <c r="E32" s="12" t="s">
        <v>134</v>
      </c>
      <c r="F32" s="12" t="s">
        <v>175</v>
      </c>
      <c r="G32" s="13" t="s">
        <v>2694</v>
      </c>
      <c r="H32" s="12" t="s">
        <v>92</v>
      </c>
      <c r="I32" s="12" t="s">
        <v>112</v>
      </c>
      <c r="J32" s="14" t="n">
        <v>46231</v>
      </c>
      <c r="K32" s="13" t="s">
        <v>1807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2695</v>
      </c>
      <c r="B33" s="12" t="s">
        <v>205</v>
      </c>
      <c r="C33" s="12" t="s">
        <v>2620</v>
      </c>
      <c r="D33" s="13" t="s">
        <v>2543</v>
      </c>
      <c r="E33" s="12" t="s">
        <v>134</v>
      </c>
      <c r="F33" s="12" t="s">
        <v>134</v>
      </c>
      <c r="G33" s="13" t="s">
        <v>2544</v>
      </c>
      <c r="H33" s="12" t="s">
        <v>98</v>
      </c>
      <c r="I33" s="12" t="s">
        <v>113</v>
      </c>
      <c r="J33" s="14" t="n">
        <v>46231</v>
      </c>
      <c r="K33" s="13" t="s">
        <v>2696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2697</v>
      </c>
      <c r="B34" s="12" t="s">
        <v>2698</v>
      </c>
      <c r="C34" s="12" t="s">
        <v>1184</v>
      </c>
      <c r="D34" s="13" t="s">
        <v>2699</v>
      </c>
      <c r="E34" s="12" t="s">
        <v>134</v>
      </c>
      <c r="F34" s="12" t="s">
        <v>2604</v>
      </c>
      <c r="G34" s="13" t="s">
        <v>2685</v>
      </c>
      <c r="H34" s="12" t="s">
        <v>98</v>
      </c>
      <c r="I34" s="12" t="s">
        <v>113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4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2700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2701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116</v>
      </c>
      <c r="E4" s="6" t="n">
        <f aca="false">SUM(M9:M36)</f>
        <v>24</v>
      </c>
      <c r="G4" s="5" t="s">
        <v>14</v>
      </c>
      <c r="H4" s="7" t="n">
        <f aca="false">IF(B4=0,0,E4/B4)</f>
        <v>0.857142857142857</v>
      </c>
      <c r="J4" s="5" t="s">
        <v>15</v>
      </c>
      <c r="K4" s="6" t="str">
        <f aca="false">IF(COUNTIFS(E9:E36,"package",M9:M36,0)&gt;0,"open","complete")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743</v>
      </c>
      <c r="B9" s="12" t="s">
        <v>90</v>
      </c>
      <c r="C9" s="12" t="s">
        <v>1184</v>
      </c>
      <c r="D9" s="13" t="s">
        <v>2702</v>
      </c>
      <c r="E9" s="12" t="s">
        <v>134</v>
      </c>
      <c r="F9" s="12" t="s">
        <v>135</v>
      </c>
      <c r="G9" s="13" t="s">
        <v>2703</v>
      </c>
      <c r="H9" s="12" t="s">
        <v>98</v>
      </c>
      <c r="I9" s="12" t="s">
        <v>113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746</v>
      </c>
      <c r="B10" s="12" t="s">
        <v>2390</v>
      </c>
      <c r="C10" s="12" t="s">
        <v>1184</v>
      </c>
      <c r="D10" s="13" t="s">
        <v>2704</v>
      </c>
      <c r="E10" s="12" t="s">
        <v>134</v>
      </c>
      <c r="F10" s="12" t="s">
        <v>154</v>
      </c>
      <c r="G10" s="13" t="s">
        <v>2705</v>
      </c>
      <c r="H10" s="12" t="s">
        <v>98</v>
      </c>
      <c r="I10" s="12" t="s">
        <v>113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747</v>
      </c>
      <c r="B11" s="12" t="s">
        <v>1343</v>
      </c>
      <c r="C11" s="12" t="s">
        <v>1184</v>
      </c>
      <c r="D11" s="13" t="s">
        <v>2706</v>
      </c>
      <c r="E11" s="12" t="s">
        <v>134</v>
      </c>
      <c r="F11" s="12" t="s">
        <v>154</v>
      </c>
      <c r="G11" s="13" t="s">
        <v>2705</v>
      </c>
      <c r="H11" s="12" t="s">
        <v>98</v>
      </c>
      <c r="I11" s="12" t="s">
        <v>113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749</v>
      </c>
      <c r="B12" s="12" t="s">
        <v>142</v>
      </c>
      <c r="C12" s="12" t="s">
        <v>2399</v>
      </c>
      <c r="D12" s="13" t="s">
        <v>2707</v>
      </c>
      <c r="E12" s="12" t="s">
        <v>134</v>
      </c>
      <c r="F12" s="12" t="s">
        <v>144</v>
      </c>
      <c r="G12" s="13" t="s">
        <v>2708</v>
      </c>
      <c r="H12" s="12" t="s">
        <v>98</v>
      </c>
      <c r="I12" s="12" t="s">
        <v>113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751</v>
      </c>
      <c r="B13" s="12" t="s">
        <v>138</v>
      </c>
      <c r="C13" s="12" t="s">
        <v>1184</v>
      </c>
      <c r="D13" s="13" t="s">
        <v>2709</v>
      </c>
      <c r="E13" s="12" t="s">
        <v>134</v>
      </c>
      <c r="F13" s="12" t="s">
        <v>134</v>
      </c>
      <c r="G13" s="13" t="s">
        <v>140</v>
      </c>
      <c r="H13" s="12" t="s">
        <v>98</v>
      </c>
      <c r="I13" s="12" t="s">
        <v>113</v>
      </c>
      <c r="J13" s="14" t="n">
        <v>46231</v>
      </c>
      <c r="K13" s="13" t="s">
        <v>2710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753</v>
      </c>
      <c r="B14" s="12" t="s">
        <v>1310</v>
      </c>
      <c r="C14" s="12" t="s">
        <v>2641</v>
      </c>
      <c r="D14" s="13" t="s">
        <v>2711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46231</v>
      </c>
      <c r="K14" s="13" t="s">
        <v>2712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755</v>
      </c>
      <c r="B15" s="12" t="s">
        <v>1576</v>
      </c>
      <c r="C15" s="12" t="s">
        <v>2644</v>
      </c>
      <c r="D15" s="13" t="s">
        <v>2645</v>
      </c>
      <c r="E15" s="12" t="s">
        <v>134</v>
      </c>
      <c r="F15" s="12" t="s">
        <v>154</v>
      </c>
      <c r="G15" s="13" t="s">
        <v>2705</v>
      </c>
      <c r="H15" s="12" t="s">
        <v>98</v>
      </c>
      <c r="I15" s="12" t="s">
        <v>113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757</v>
      </c>
      <c r="B16" s="12" t="s">
        <v>1133</v>
      </c>
      <c r="C16" s="12" t="s">
        <v>782</v>
      </c>
      <c r="D16" s="13" t="s">
        <v>2647</v>
      </c>
      <c r="E16" s="12" t="s">
        <v>134</v>
      </c>
      <c r="F16" s="12" t="s">
        <v>159</v>
      </c>
      <c r="G16" s="13" t="s">
        <v>2713</v>
      </c>
      <c r="H16" s="12" t="s">
        <v>98</v>
      </c>
      <c r="I16" s="12" t="s">
        <v>113</v>
      </c>
      <c r="J16" s="14" t="n">
        <v>46231</v>
      </c>
      <c r="K16" s="13" t="s">
        <v>2714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759</v>
      </c>
      <c r="B17" s="12" t="s">
        <v>2715</v>
      </c>
      <c r="C17" s="12" t="s">
        <v>2716</v>
      </c>
      <c r="D17" s="13" t="s">
        <v>2717</v>
      </c>
      <c r="E17" s="12" t="s">
        <v>134</v>
      </c>
      <c r="F17" s="12" t="s">
        <v>159</v>
      </c>
      <c r="G17" s="13" t="s">
        <v>2718</v>
      </c>
      <c r="H17" s="12" t="s">
        <v>98</v>
      </c>
      <c r="I17" s="12" t="s">
        <v>113</v>
      </c>
      <c r="J17" s="14" t="n">
        <v>46231</v>
      </c>
      <c r="K17" s="13" t="s">
        <v>2719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761</v>
      </c>
      <c r="B18" s="12" t="s">
        <v>2650</v>
      </c>
      <c r="C18" s="12" t="s">
        <v>2641</v>
      </c>
      <c r="D18" s="13" t="s">
        <v>2720</v>
      </c>
      <c r="E18" s="12" t="s">
        <v>134</v>
      </c>
      <c r="F18" s="12" t="s">
        <v>159</v>
      </c>
      <c r="G18" s="13" t="s">
        <v>2718</v>
      </c>
      <c r="H18" s="12" t="s">
        <v>98</v>
      </c>
      <c r="I18" s="12" t="s">
        <v>113</v>
      </c>
      <c r="J18" s="14" t="n">
        <v>46231</v>
      </c>
      <c r="K18" s="13" t="s">
        <v>2721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762</v>
      </c>
      <c r="B19" s="12" t="s">
        <v>2722</v>
      </c>
      <c r="C19" s="12" t="s">
        <v>2654</v>
      </c>
      <c r="D19" s="13" t="s">
        <v>2723</v>
      </c>
      <c r="E19" s="12" t="s">
        <v>134</v>
      </c>
      <c r="F19" s="12" t="s">
        <v>159</v>
      </c>
      <c r="G19" s="13" t="s">
        <v>2718</v>
      </c>
      <c r="H19" s="12" t="s">
        <v>98</v>
      </c>
      <c r="I19" s="12" t="s">
        <v>113</v>
      </c>
      <c r="J19" s="14" t="n">
        <v>46231</v>
      </c>
      <c r="K19" s="13" t="s">
        <v>2719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764</v>
      </c>
      <c r="B20" s="12" t="s">
        <v>1916</v>
      </c>
      <c r="C20" s="12" t="s">
        <v>2654</v>
      </c>
      <c r="D20" s="13" t="s">
        <v>2724</v>
      </c>
      <c r="E20" s="12" t="s">
        <v>134</v>
      </c>
      <c r="F20" s="12" t="s">
        <v>159</v>
      </c>
      <c r="G20" s="13" t="s">
        <v>2718</v>
      </c>
      <c r="H20" s="12" t="s">
        <v>98</v>
      </c>
      <c r="I20" s="12" t="s">
        <v>113</v>
      </c>
      <c r="J20" s="14" t="n">
        <v>46231</v>
      </c>
      <c r="K20" s="13" t="s">
        <v>2725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765</v>
      </c>
      <c r="B21" s="12" t="s">
        <v>2515</v>
      </c>
      <c r="C21" s="12" t="s">
        <v>2657</v>
      </c>
      <c r="D21" s="13" t="s">
        <v>2658</v>
      </c>
      <c r="E21" s="12" t="s">
        <v>134</v>
      </c>
      <c r="F21" s="12" t="s">
        <v>159</v>
      </c>
      <c r="G21" s="13" t="s">
        <v>2713</v>
      </c>
      <c r="H21" s="12" t="s">
        <v>98</v>
      </c>
      <c r="I21" s="12" t="s">
        <v>113</v>
      </c>
      <c r="J21" s="14" t="n">
        <v>46231</v>
      </c>
      <c r="K21" s="13" t="s">
        <v>2726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767</v>
      </c>
      <c r="B22" s="12" t="s">
        <v>2513</v>
      </c>
      <c r="C22" s="12" t="s">
        <v>2727</v>
      </c>
      <c r="D22" s="13" t="s">
        <v>2661</v>
      </c>
      <c r="E22" s="12" t="s">
        <v>134</v>
      </c>
      <c r="F22" s="12" t="s">
        <v>154</v>
      </c>
      <c r="G22" s="13" t="s">
        <v>2705</v>
      </c>
      <c r="H22" s="12" t="s">
        <v>98</v>
      </c>
      <c r="I22" s="12" t="s">
        <v>113</v>
      </c>
      <c r="J22" s="14" t="n">
        <v>46231</v>
      </c>
      <c r="K22" s="13" t="s">
        <v>2728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769</v>
      </c>
      <c r="B23" s="12" t="s">
        <v>1589</v>
      </c>
      <c r="C23" s="12" t="s">
        <v>2663</v>
      </c>
      <c r="D23" s="13" t="s">
        <v>2729</v>
      </c>
      <c r="E23" s="12" t="s">
        <v>134</v>
      </c>
      <c r="F23" s="12" t="s">
        <v>159</v>
      </c>
      <c r="G23" s="13" t="s">
        <v>2713</v>
      </c>
      <c r="H23" s="12" t="s">
        <v>98</v>
      </c>
      <c r="I23" s="12" t="s">
        <v>113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770</v>
      </c>
      <c r="B24" s="12" t="s">
        <v>173</v>
      </c>
      <c r="C24" s="12" t="s">
        <v>42</v>
      </c>
      <c r="D24" s="13" t="s">
        <v>2730</v>
      </c>
      <c r="E24" s="12" t="s">
        <v>134</v>
      </c>
      <c r="F24" s="12" t="s">
        <v>159</v>
      </c>
      <c r="G24" s="13" t="s">
        <v>2713</v>
      </c>
      <c r="H24" s="12" t="s">
        <v>98</v>
      </c>
      <c r="I24" s="12" t="s">
        <v>113</v>
      </c>
      <c r="J24" s="14" t="n">
        <v>46231</v>
      </c>
      <c r="K24" s="13" t="s">
        <v>2731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2732</v>
      </c>
      <c r="B25" s="12" t="s">
        <v>2522</v>
      </c>
      <c r="C25" s="12" t="s">
        <v>1184</v>
      </c>
      <c r="D25" s="13" t="s">
        <v>2733</v>
      </c>
      <c r="E25" s="12" t="s">
        <v>134</v>
      </c>
      <c r="F25" s="12" t="s">
        <v>169</v>
      </c>
      <c r="G25" s="13" t="s">
        <v>2734</v>
      </c>
      <c r="H25" s="12" t="s">
        <v>96</v>
      </c>
      <c r="I25" s="12" t="s">
        <v>112</v>
      </c>
      <c r="J25" s="14" t="n">
        <v>46231</v>
      </c>
      <c r="K25" s="13" t="s">
        <v>2735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2736</v>
      </c>
      <c r="B26" s="12" t="s">
        <v>1863</v>
      </c>
      <c r="C26" s="12" t="s">
        <v>1184</v>
      </c>
      <c r="D26" s="13" t="s">
        <v>2737</v>
      </c>
      <c r="E26" s="12" t="s">
        <v>134</v>
      </c>
      <c r="F26" s="12" t="s">
        <v>169</v>
      </c>
      <c r="G26" s="13" t="s">
        <v>2734</v>
      </c>
      <c r="H26" s="12" t="s">
        <v>96</v>
      </c>
      <c r="I26" s="12" t="s">
        <v>112</v>
      </c>
      <c r="J26" s="14" t="n">
        <v>46231</v>
      </c>
      <c r="K26" s="13" t="s">
        <v>2590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2738</v>
      </c>
      <c r="B27" s="12" t="s">
        <v>167</v>
      </c>
      <c r="C27" s="12" t="s">
        <v>1184</v>
      </c>
      <c r="D27" s="13" t="s">
        <v>2739</v>
      </c>
      <c r="E27" s="12" t="s">
        <v>134</v>
      </c>
      <c r="F27" s="12" t="s">
        <v>169</v>
      </c>
      <c r="G27" s="13" t="s">
        <v>2734</v>
      </c>
      <c r="H27" s="12" t="s">
        <v>96</v>
      </c>
      <c r="I27" s="12" t="s">
        <v>112</v>
      </c>
      <c r="J27" s="14" t="n">
        <v>46231</v>
      </c>
      <c r="K27" s="13" t="s">
        <v>2674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2740</v>
      </c>
      <c r="B28" s="12" t="s">
        <v>1531</v>
      </c>
      <c r="C28" s="12" t="s">
        <v>1184</v>
      </c>
      <c r="D28" s="13" t="s">
        <v>2741</v>
      </c>
      <c r="E28" s="12" t="s">
        <v>134</v>
      </c>
      <c r="F28" s="12" t="s">
        <v>154</v>
      </c>
      <c r="G28" s="13" t="s">
        <v>2742</v>
      </c>
      <c r="H28" s="12" t="s">
        <v>98</v>
      </c>
      <c r="I28" s="12" t="s">
        <v>113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2743</v>
      </c>
      <c r="B29" s="12" t="s">
        <v>162</v>
      </c>
      <c r="C29" s="12" t="s">
        <v>1184</v>
      </c>
      <c r="D29" s="13" t="s">
        <v>2744</v>
      </c>
      <c r="E29" s="12" t="s">
        <v>134</v>
      </c>
      <c r="F29" s="12" t="s">
        <v>164</v>
      </c>
      <c r="G29" s="13" t="s">
        <v>2713</v>
      </c>
      <c r="H29" s="12" t="s">
        <v>98</v>
      </c>
      <c r="I29" s="12" t="s">
        <v>113</v>
      </c>
      <c r="J29" s="14" t="n">
        <v>46231</v>
      </c>
      <c r="K29" s="13" t="s">
        <v>2745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2746</v>
      </c>
      <c r="B30" s="12" t="s">
        <v>622</v>
      </c>
      <c r="C30" s="12" t="s">
        <v>1184</v>
      </c>
      <c r="D30" s="13" t="s">
        <v>2747</v>
      </c>
      <c r="E30" s="12" t="s">
        <v>134</v>
      </c>
      <c r="F30" s="12" t="s">
        <v>624</v>
      </c>
      <c r="G30" s="13" t="s">
        <v>2748</v>
      </c>
      <c r="H30" s="12" t="s">
        <v>98</v>
      </c>
      <c r="I30" s="12" t="s">
        <v>113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2749</v>
      </c>
      <c r="B31" s="12" t="s">
        <v>2377</v>
      </c>
      <c r="C31" s="12" t="s">
        <v>2602</v>
      </c>
      <c r="D31" s="13" t="s">
        <v>2750</v>
      </c>
      <c r="E31" s="12" t="s">
        <v>134</v>
      </c>
      <c r="F31" s="12" t="s">
        <v>2604</v>
      </c>
      <c r="G31" s="13" t="s">
        <v>2751</v>
      </c>
      <c r="H31" s="12" t="s">
        <v>98</v>
      </c>
      <c r="I31" s="12" t="s">
        <v>113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2752</v>
      </c>
      <c r="B32" s="12" t="s">
        <v>196</v>
      </c>
      <c r="C32" s="12" t="s">
        <v>2607</v>
      </c>
      <c r="D32" s="13" t="s">
        <v>2753</v>
      </c>
      <c r="E32" s="12" t="s">
        <v>134</v>
      </c>
      <c r="F32" s="12" t="s">
        <v>2604</v>
      </c>
      <c r="G32" s="13" t="s">
        <v>2754</v>
      </c>
      <c r="H32" s="12" t="s">
        <v>98</v>
      </c>
      <c r="I32" s="12" t="s">
        <v>113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2755</v>
      </c>
      <c r="B33" s="12" t="s">
        <v>200</v>
      </c>
      <c r="C33" s="12" t="s">
        <v>1184</v>
      </c>
      <c r="D33" s="13" t="s">
        <v>2756</v>
      </c>
      <c r="E33" s="12" t="s">
        <v>202</v>
      </c>
      <c r="F33" s="12" t="s">
        <v>202</v>
      </c>
      <c r="G33" s="13" t="s">
        <v>203</v>
      </c>
      <c r="H33" s="12" t="s">
        <v>98</v>
      </c>
      <c r="I33" s="12" t="s">
        <v>113</v>
      </c>
      <c r="J33" s="14" t="n">
        <v>46231</v>
      </c>
      <c r="K33" s="13" t="s">
        <v>2757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2758</v>
      </c>
      <c r="B34" s="12" t="s">
        <v>187</v>
      </c>
      <c r="C34" s="12" t="s">
        <v>1184</v>
      </c>
      <c r="D34" s="13" t="s">
        <v>2759</v>
      </c>
      <c r="E34" s="12" t="s">
        <v>134</v>
      </c>
      <c r="F34" s="12" t="s">
        <v>175</v>
      </c>
      <c r="G34" s="13" t="s">
        <v>2760</v>
      </c>
      <c r="H34" s="12" t="s">
        <v>92</v>
      </c>
      <c r="I34" s="12" t="s">
        <v>112</v>
      </c>
      <c r="J34" s="14" t="n">
        <v>46231</v>
      </c>
      <c r="K34" s="13" t="s">
        <v>1807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2761</v>
      </c>
      <c r="B35" s="12" t="s">
        <v>205</v>
      </c>
      <c r="C35" s="12" t="s">
        <v>2620</v>
      </c>
      <c r="D35" s="13" t="s">
        <v>2762</v>
      </c>
      <c r="E35" s="12" t="s">
        <v>134</v>
      </c>
      <c r="F35" s="12" t="s">
        <v>134</v>
      </c>
      <c r="G35" s="13" t="s">
        <v>2544</v>
      </c>
      <c r="H35" s="12" t="s">
        <v>98</v>
      </c>
      <c r="I35" s="12" t="s">
        <v>113</v>
      </c>
      <c r="J35" s="14" t="n">
        <v>46231</v>
      </c>
      <c r="K35" s="13" t="s">
        <v>2763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2764</v>
      </c>
      <c r="B36" s="12" t="s">
        <v>2698</v>
      </c>
      <c r="C36" s="12" t="s">
        <v>1184</v>
      </c>
      <c r="D36" s="13" t="s">
        <v>2765</v>
      </c>
      <c r="E36" s="12" t="s">
        <v>134</v>
      </c>
      <c r="F36" s="12" t="s">
        <v>2604</v>
      </c>
      <c r="G36" s="13" t="s">
        <v>2751</v>
      </c>
      <c r="H36" s="12" t="s">
        <v>98</v>
      </c>
      <c r="I36" s="12" t="s">
        <v>113</v>
      </c>
      <c r="J36" s="14" t="n">
        <v>46231</v>
      </c>
      <c r="K36" s="13"/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autoFilter ref="A8:M36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2766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2767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116</v>
      </c>
      <c r="E4" s="6" t="n">
        <f aca="false">SUM(M9:M34)</f>
        <v>22</v>
      </c>
      <c r="G4" s="5" t="s">
        <v>14</v>
      </c>
      <c r="H4" s="7" t="n">
        <f aca="false">IF(B4=0,0,E4/B4)</f>
        <v>0.846153846153846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2768</v>
      </c>
      <c r="B9" s="12" t="s">
        <v>90</v>
      </c>
      <c r="C9" s="12" t="s">
        <v>1184</v>
      </c>
      <c r="D9" s="13" t="s">
        <v>2769</v>
      </c>
      <c r="E9" s="12" t="s">
        <v>134</v>
      </c>
      <c r="F9" s="12" t="s">
        <v>135</v>
      </c>
      <c r="G9" s="13" t="s">
        <v>2770</v>
      </c>
      <c r="H9" s="12" t="s">
        <v>98</v>
      </c>
      <c r="I9" s="12" t="s">
        <v>113</v>
      </c>
      <c r="J9" s="14" t="n">
        <v>46231</v>
      </c>
      <c r="K9" s="13"/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2771</v>
      </c>
      <c r="B10" s="12" t="s">
        <v>2390</v>
      </c>
      <c r="C10" s="12" t="s">
        <v>1184</v>
      </c>
      <c r="D10" s="13" t="s">
        <v>2772</v>
      </c>
      <c r="E10" s="12" t="s">
        <v>134</v>
      </c>
      <c r="F10" s="12" t="s">
        <v>154</v>
      </c>
      <c r="G10" s="13" t="s">
        <v>2773</v>
      </c>
      <c r="H10" s="12" t="s">
        <v>98</v>
      </c>
      <c r="I10" s="12" t="s">
        <v>113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2774</v>
      </c>
      <c r="B11" s="12" t="s">
        <v>1343</v>
      </c>
      <c r="C11" s="12" t="s">
        <v>1184</v>
      </c>
      <c r="D11" s="13" t="s">
        <v>2775</v>
      </c>
      <c r="E11" s="12" t="s">
        <v>134</v>
      </c>
      <c r="F11" s="12" t="s">
        <v>154</v>
      </c>
      <c r="G11" s="13" t="s">
        <v>2773</v>
      </c>
      <c r="H11" s="12" t="s">
        <v>98</v>
      </c>
      <c r="I11" s="12" t="s">
        <v>113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2776</v>
      </c>
      <c r="B12" s="12" t="s">
        <v>142</v>
      </c>
      <c r="C12" s="12" t="s">
        <v>2399</v>
      </c>
      <c r="D12" s="13" t="s">
        <v>2777</v>
      </c>
      <c r="E12" s="12" t="s">
        <v>134</v>
      </c>
      <c r="F12" s="12" t="s">
        <v>144</v>
      </c>
      <c r="G12" s="13" t="s">
        <v>2778</v>
      </c>
      <c r="H12" s="12" t="s">
        <v>98</v>
      </c>
      <c r="I12" s="12" t="s">
        <v>113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2779</v>
      </c>
      <c r="B13" s="12" t="s">
        <v>138</v>
      </c>
      <c r="C13" s="12" t="s">
        <v>1184</v>
      </c>
      <c r="D13" s="13" t="s">
        <v>2780</v>
      </c>
      <c r="E13" s="12" t="s">
        <v>134</v>
      </c>
      <c r="F13" s="12" t="s">
        <v>134</v>
      </c>
      <c r="G13" s="13" t="s">
        <v>140</v>
      </c>
      <c r="H13" s="12" t="s">
        <v>98</v>
      </c>
      <c r="I13" s="12" t="s">
        <v>113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2781</v>
      </c>
      <c r="B14" s="12" t="s">
        <v>1310</v>
      </c>
      <c r="C14" s="12" t="s">
        <v>1184</v>
      </c>
      <c r="D14" s="13" t="s">
        <v>2782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2783</v>
      </c>
      <c r="B15" s="12" t="s">
        <v>1576</v>
      </c>
      <c r="C15" s="12" t="s">
        <v>782</v>
      </c>
      <c r="D15" s="13" t="s">
        <v>2784</v>
      </c>
      <c r="E15" s="12" t="s">
        <v>134</v>
      </c>
      <c r="F15" s="12" t="s">
        <v>154</v>
      </c>
      <c r="G15" s="13" t="s">
        <v>2785</v>
      </c>
      <c r="H15" s="12" t="s">
        <v>98</v>
      </c>
      <c r="I15" s="12" t="s">
        <v>113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2786</v>
      </c>
      <c r="B16" s="12" t="s">
        <v>1133</v>
      </c>
      <c r="C16" s="12" t="s">
        <v>782</v>
      </c>
      <c r="D16" s="13" t="s">
        <v>2787</v>
      </c>
      <c r="E16" s="12" t="s">
        <v>134</v>
      </c>
      <c r="F16" s="12" t="s">
        <v>159</v>
      </c>
      <c r="G16" s="13" t="s">
        <v>2788</v>
      </c>
      <c r="H16" s="12" t="s">
        <v>98</v>
      </c>
      <c r="I16" s="12" t="s">
        <v>113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2789</v>
      </c>
      <c r="B17" s="12" t="s">
        <v>2790</v>
      </c>
      <c r="C17" s="12" t="s">
        <v>837</v>
      </c>
      <c r="D17" s="13" t="s">
        <v>2791</v>
      </c>
      <c r="E17" s="12" t="s">
        <v>134</v>
      </c>
      <c r="F17" s="12" t="s">
        <v>159</v>
      </c>
      <c r="G17" s="13" t="s">
        <v>2792</v>
      </c>
      <c r="H17" s="12" t="s">
        <v>98</v>
      </c>
      <c r="I17" s="12" t="s">
        <v>113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2793</v>
      </c>
      <c r="B18" s="12" t="s">
        <v>2650</v>
      </c>
      <c r="C18" s="12" t="s">
        <v>837</v>
      </c>
      <c r="D18" s="13" t="s">
        <v>2794</v>
      </c>
      <c r="E18" s="12" t="s">
        <v>134</v>
      </c>
      <c r="F18" s="12" t="s">
        <v>159</v>
      </c>
      <c r="G18" s="13" t="s">
        <v>2792</v>
      </c>
      <c r="H18" s="12" t="s">
        <v>98</v>
      </c>
      <c r="I18" s="12" t="s">
        <v>113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2795</v>
      </c>
      <c r="B19" s="12" t="s">
        <v>1916</v>
      </c>
      <c r="C19" s="12" t="s">
        <v>837</v>
      </c>
      <c r="D19" s="13" t="s">
        <v>2796</v>
      </c>
      <c r="E19" s="12" t="s">
        <v>134</v>
      </c>
      <c r="F19" s="12" t="s">
        <v>159</v>
      </c>
      <c r="G19" s="13" t="s">
        <v>2788</v>
      </c>
      <c r="H19" s="12" t="s">
        <v>98</v>
      </c>
      <c r="I19" s="12" t="s">
        <v>113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2797</v>
      </c>
      <c r="B20" s="12" t="s">
        <v>2798</v>
      </c>
      <c r="C20" s="12" t="s">
        <v>2799</v>
      </c>
      <c r="D20" s="13" t="s">
        <v>2800</v>
      </c>
      <c r="E20" s="12" t="s">
        <v>134</v>
      </c>
      <c r="F20" s="12" t="s">
        <v>159</v>
      </c>
      <c r="G20" s="13" t="s">
        <v>2788</v>
      </c>
      <c r="H20" s="12" t="s">
        <v>98</v>
      </c>
      <c r="I20" s="12" t="s">
        <v>113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2801</v>
      </c>
      <c r="B21" s="12" t="s">
        <v>1589</v>
      </c>
      <c r="C21" s="12" t="s">
        <v>2802</v>
      </c>
      <c r="D21" s="13" t="s">
        <v>2803</v>
      </c>
      <c r="E21" s="12" t="s">
        <v>134</v>
      </c>
      <c r="F21" s="12" t="s">
        <v>159</v>
      </c>
      <c r="G21" s="13" t="s">
        <v>2788</v>
      </c>
      <c r="H21" s="12" t="s">
        <v>98</v>
      </c>
      <c r="I21" s="12" t="s">
        <v>113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2804</v>
      </c>
      <c r="B22" s="12" t="s">
        <v>173</v>
      </c>
      <c r="C22" s="12" t="s">
        <v>2805</v>
      </c>
      <c r="D22" s="13" t="s">
        <v>2806</v>
      </c>
      <c r="E22" s="12" t="s">
        <v>134</v>
      </c>
      <c r="F22" s="12" t="s">
        <v>159</v>
      </c>
      <c r="G22" s="13" t="s">
        <v>2788</v>
      </c>
      <c r="H22" s="12" t="s">
        <v>98</v>
      </c>
      <c r="I22" s="12" t="s">
        <v>113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2807</v>
      </c>
      <c r="B23" s="12" t="s">
        <v>2522</v>
      </c>
      <c r="C23" s="12" t="s">
        <v>1184</v>
      </c>
      <c r="D23" s="13" t="s">
        <v>2808</v>
      </c>
      <c r="E23" s="12" t="s">
        <v>134</v>
      </c>
      <c r="F23" s="12" t="s">
        <v>169</v>
      </c>
      <c r="G23" s="13" t="s">
        <v>2809</v>
      </c>
      <c r="H23" s="12" t="s">
        <v>96</v>
      </c>
      <c r="I23" s="12" t="s">
        <v>112</v>
      </c>
      <c r="J23" s="14" t="n">
        <v>46231</v>
      </c>
      <c r="K23" s="13" t="s">
        <v>2590</v>
      </c>
      <c r="L23" s="12" t="n">
        <v>1</v>
      </c>
      <c r="M23" s="12" t="n">
        <f aca="false">IF(OR(AND(I23="yes",H23="verified"),AND(I23="no",OR(H23="tested",H23="verified")),AND(H23="not applicable",K23&lt;&gt;"")),1,0)</f>
        <v>0</v>
      </c>
    </row>
    <row r="24" customFormat="false" ht="54" hidden="false" customHeight="true" outlineLevel="0" collapsed="false">
      <c r="A24" s="12" t="s">
        <v>2810</v>
      </c>
      <c r="B24" s="12" t="s">
        <v>1863</v>
      </c>
      <c r="C24" s="12" t="s">
        <v>1184</v>
      </c>
      <c r="D24" s="13" t="s">
        <v>2811</v>
      </c>
      <c r="E24" s="12" t="s">
        <v>134</v>
      </c>
      <c r="F24" s="12" t="s">
        <v>169</v>
      </c>
      <c r="G24" s="13" t="s">
        <v>2809</v>
      </c>
      <c r="H24" s="12" t="s">
        <v>96</v>
      </c>
      <c r="I24" s="12" t="s">
        <v>112</v>
      </c>
      <c r="J24" s="14" t="n">
        <v>46231</v>
      </c>
      <c r="K24" s="13" t="s">
        <v>2590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2812</v>
      </c>
      <c r="B25" s="12" t="s">
        <v>167</v>
      </c>
      <c r="C25" s="12" t="s">
        <v>1184</v>
      </c>
      <c r="D25" s="13" t="s">
        <v>2813</v>
      </c>
      <c r="E25" s="12" t="s">
        <v>134</v>
      </c>
      <c r="F25" s="12" t="s">
        <v>169</v>
      </c>
      <c r="G25" s="13" t="s">
        <v>2809</v>
      </c>
      <c r="H25" s="12" t="s">
        <v>96</v>
      </c>
      <c r="I25" s="12" t="s">
        <v>112</v>
      </c>
      <c r="J25" s="14" t="n">
        <v>46231</v>
      </c>
      <c r="K25" s="13" t="s">
        <v>2674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2814</v>
      </c>
      <c r="B26" s="12" t="s">
        <v>1531</v>
      </c>
      <c r="C26" s="12" t="s">
        <v>1184</v>
      </c>
      <c r="D26" s="13" t="s">
        <v>2815</v>
      </c>
      <c r="E26" s="12" t="s">
        <v>134</v>
      </c>
      <c r="F26" s="12" t="s">
        <v>154</v>
      </c>
      <c r="G26" s="13" t="s">
        <v>2816</v>
      </c>
      <c r="H26" s="12" t="s">
        <v>98</v>
      </c>
      <c r="I26" s="12" t="s">
        <v>113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2817</v>
      </c>
      <c r="B27" s="12" t="s">
        <v>162</v>
      </c>
      <c r="C27" s="12" t="s">
        <v>1184</v>
      </c>
      <c r="D27" s="13" t="s">
        <v>2818</v>
      </c>
      <c r="E27" s="12" t="s">
        <v>134</v>
      </c>
      <c r="F27" s="12" t="s">
        <v>164</v>
      </c>
      <c r="G27" s="13" t="s">
        <v>2788</v>
      </c>
      <c r="H27" s="12" t="s">
        <v>98</v>
      </c>
      <c r="I27" s="12" t="s">
        <v>113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2819</v>
      </c>
      <c r="B28" s="12" t="s">
        <v>622</v>
      </c>
      <c r="C28" s="12" t="s">
        <v>1184</v>
      </c>
      <c r="D28" s="13" t="s">
        <v>2820</v>
      </c>
      <c r="E28" s="12" t="s">
        <v>134</v>
      </c>
      <c r="F28" s="12" t="s">
        <v>624</v>
      </c>
      <c r="G28" s="13" t="s">
        <v>2821</v>
      </c>
      <c r="H28" s="12" t="s">
        <v>98</v>
      </c>
      <c r="I28" s="12" t="s">
        <v>113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2822</v>
      </c>
      <c r="B29" s="12" t="s">
        <v>2377</v>
      </c>
      <c r="C29" s="12" t="s">
        <v>2602</v>
      </c>
      <c r="D29" s="13" t="s">
        <v>2823</v>
      </c>
      <c r="E29" s="12" t="s">
        <v>134</v>
      </c>
      <c r="F29" s="12" t="s">
        <v>2604</v>
      </c>
      <c r="G29" s="13" t="s">
        <v>2824</v>
      </c>
      <c r="H29" s="12" t="s">
        <v>98</v>
      </c>
      <c r="I29" s="12" t="s">
        <v>113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2825</v>
      </c>
      <c r="B30" s="12" t="s">
        <v>196</v>
      </c>
      <c r="C30" s="12" t="s">
        <v>2607</v>
      </c>
      <c r="D30" s="13" t="s">
        <v>2826</v>
      </c>
      <c r="E30" s="12" t="s">
        <v>134</v>
      </c>
      <c r="F30" s="12" t="s">
        <v>2604</v>
      </c>
      <c r="G30" s="13" t="s">
        <v>2827</v>
      </c>
      <c r="H30" s="12" t="s">
        <v>98</v>
      </c>
      <c r="I30" s="12" t="s">
        <v>113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2828</v>
      </c>
      <c r="B31" s="12" t="s">
        <v>200</v>
      </c>
      <c r="C31" s="12" t="s">
        <v>1184</v>
      </c>
      <c r="D31" s="13" t="s">
        <v>2829</v>
      </c>
      <c r="E31" s="12" t="s">
        <v>202</v>
      </c>
      <c r="F31" s="12" t="s">
        <v>202</v>
      </c>
      <c r="G31" s="13" t="s">
        <v>203</v>
      </c>
      <c r="H31" s="12" t="s">
        <v>98</v>
      </c>
      <c r="I31" s="12" t="s">
        <v>113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2830</v>
      </c>
      <c r="B32" s="12" t="s">
        <v>187</v>
      </c>
      <c r="C32" s="12" t="s">
        <v>1184</v>
      </c>
      <c r="D32" s="13" t="s">
        <v>2831</v>
      </c>
      <c r="E32" s="12" t="s">
        <v>134</v>
      </c>
      <c r="F32" s="12" t="s">
        <v>175</v>
      </c>
      <c r="G32" s="13" t="s">
        <v>2832</v>
      </c>
      <c r="H32" s="12" t="s">
        <v>92</v>
      </c>
      <c r="I32" s="12" t="s">
        <v>112</v>
      </c>
      <c r="J32" s="14" t="n">
        <v>46231</v>
      </c>
      <c r="K32" s="13" t="s">
        <v>1807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2833</v>
      </c>
      <c r="B33" s="12" t="s">
        <v>205</v>
      </c>
      <c r="C33" s="12" t="s">
        <v>2620</v>
      </c>
      <c r="D33" s="13" t="s">
        <v>2543</v>
      </c>
      <c r="E33" s="12" t="s">
        <v>134</v>
      </c>
      <c r="F33" s="12" t="s">
        <v>134</v>
      </c>
      <c r="G33" s="13" t="s">
        <v>2544</v>
      </c>
      <c r="H33" s="12" t="s">
        <v>98</v>
      </c>
      <c r="I33" s="12" t="s">
        <v>113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2834</v>
      </c>
      <c r="B34" s="12" t="s">
        <v>2698</v>
      </c>
      <c r="C34" s="12" t="s">
        <v>1184</v>
      </c>
      <c r="D34" s="13" t="s">
        <v>2835</v>
      </c>
      <c r="E34" s="12" t="s">
        <v>134</v>
      </c>
      <c r="F34" s="12" t="s">
        <v>2604</v>
      </c>
      <c r="G34" s="13" t="s">
        <v>2824</v>
      </c>
      <c r="H34" s="12" t="s">
        <v>98</v>
      </c>
      <c r="I34" s="12" t="s">
        <v>113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/>
      <c r="B35" s="12"/>
      <c r="C35" s="12"/>
      <c r="D35" s="13"/>
      <c r="E35" s="12"/>
      <c r="F35" s="12"/>
      <c r="G35" s="13"/>
      <c r="H35" s="12"/>
      <c r="I35" s="12"/>
      <c r="J35" s="14"/>
      <c r="K35" s="13"/>
      <c r="L35" s="12"/>
      <c r="M35" s="12"/>
    </row>
    <row r="36" customFormat="false" ht="54" hidden="false" customHeight="true" outlineLevel="0" collapsed="false">
      <c r="A36" s="12"/>
      <c r="B36" s="12"/>
      <c r="C36" s="12"/>
      <c r="D36" s="13"/>
      <c r="E36" s="12"/>
      <c r="F36" s="12"/>
      <c r="G36" s="13"/>
      <c r="H36" s="12"/>
      <c r="I36" s="12"/>
      <c r="J36" s="14"/>
      <c r="K36" s="13"/>
      <c r="L36" s="12"/>
      <c r="M36" s="12"/>
    </row>
    <row r="37" customFormat="false" ht="54" hidden="false" customHeight="true" outlineLevel="0" collapsed="false">
      <c r="A37" s="12"/>
      <c r="B37" s="12"/>
      <c r="C37" s="12"/>
      <c r="D37" s="13"/>
      <c r="E37" s="12"/>
      <c r="F37" s="12"/>
      <c r="G37" s="13"/>
      <c r="H37" s="12"/>
      <c r="I37" s="12"/>
      <c r="J37" s="14"/>
      <c r="K37" s="13"/>
      <c r="L37" s="12"/>
      <c r="M37" s="12"/>
    </row>
    <row r="38" customFormat="false" ht="54" hidden="false" customHeight="true" outlineLevel="0" collapsed="false">
      <c r="A38" s="12"/>
      <c r="B38" s="12"/>
      <c r="C38" s="12"/>
      <c r="D38" s="13"/>
      <c r="E38" s="12"/>
      <c r="F38" s="12"/>
      <c r="G38" s="13"/>
      <c r="H38" s="12"/>
      <c r="I38" s="12"/>
      <c r="J38" s="14"/>
      <c r="K38" s="13"/>
      <c r="L38" s="12"/>
      <c r="M38" s="12"/>
    </row>
    <row r="39" customFormat="false" ht="54" hidden="false" customHeight="true" outlineLevel="0" collapsed="false">
      <c r="A39" s="12"/>
      <c r="B39" s="12"/>
      <c r="C39" s="12"/>
      <c r="D39" s="13"/>
      <c r="E39" s="12"/>
      <c r="F39" s="12"/>
      <c r="G39" s="13"/>
      <c r="H39" s="12"/>
      <c r="I39" s="12"/>
      <c r="J39" s="14"/>
      <c r="K39" s="13"/>
      <c r="L39" s="12"/>
      <c r="M39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2836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2837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COUNTA(A9:A34)</f>
        <v>26</v>
      </c>
      <c r="D4" s="5" t="s">
        <v>116</v>
      </c>
      <c r="E4" s="6" t="n">
        <f aca="false">SUM(M9:M34)</f>
        <v>21</v>
      </c>
      <c r="G4" s="5" t="s">
        <v>14</v>
      </c>
      <c r="H4" s="7" t="n">
        <f aca="false">IF(B4=0,0,E4/B4)</f>
        <v>0.807692307692308</v>
      </c>
      <c r="J4" s="5" t="s">
        <v>15</v>
      </c>
      <c r="K4" s="6" t="str">
        <f aca="false">IF(COUNTIFS(E9:E34,"package",M9:M34,0)&gt;0,"open","complete")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IF(COUNTIFS(I9:I34,"yes",M9:M34,0)&gt;0,"open","complete")</f>
        <v>open</v>
      </c>
      <c r="D5" s="5" t="s">
        <v>16</v>
      </c>
      <c r="E5" s="6" t="str">
        <f aca="false">IF(COUNTIFS(E9:E34,"consumer",M9:M34,0)&gt;0,"open","complete")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2838</v>
      </c>
      <c r="B9" s="12" t="s">
        <v>90</v>
      </c>
      <c r="C9" s="12" t="s">
        <v>782</v>
      </c>
      <c r="D9" s="13" t="s">
        <v>2839</v>
      </c>
      <c r="E9" s="12" t="s">
        <v>134</v>
      </c>
      <c r="F9" s="12" t="s">
        <v>135</v>
      </c>
      <c r="G9" s="13" t="s">
        <v>2840</v>
      </c>
      <c r="H9" s="12" t="s">
        <v>98</v>
      </c>
      <c r="I9" s="12" t="s">
        <v>113</v>
      </c>
      <c r="J9" s="14" t="n">
        <v>46231</v>
      </c>
      <c r="K9" s="13" t="s">
        <v>2841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2842</v>
      </c>
      <c r="B10" s="12" t="s">
        <v>2390</v>
      </c>
      <c r="C10" s="12" t="s">
        <v>782</v>
      </c>
      <c r="D10" s="13" t="s">
        <v>2843</v>
      </c>
      <c r="E10" s="12" t="s">
        <v>134</v>
      </c>
      <c r="F10" s="12" t="s">
        <v>154</v>
      </c>
      <c r="G10" s="13" t="s">
        <v>2844</v>
      </c>
      <c r="H10" s="12" t="s">
        <v>98</v>
      </c>
      <c r="I10" s="12" t="s">
        <v>113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2845</v>
      </c>
      <c r="B11" s="12" t="s">
        <v>1343</v>
      </c>
      <c r="C11" s="12" t="s">
        <v>782</v>
      </c>
      <c r="D11" s="13" t="s">
        <v>2846</v>
      </c>
      <c r="E11" s="12" t="s">
        <v>134</v>
      </c>
      <c r="F11" s="12" t="s">
        <v>154</v>
      </c>
      <c r="G11" s="13" t="s">
        <v>2844</v>
      </c>
      <c r="H11" s="12" t="s">
        <v>98</v>
      </c>
      <c r="I11" s="12" t="s">
        <v>113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2847</v>
      </c>
      <c r="B12" s="12" t="s">
        <v>142</v>
      </c>
      <c r="C12" s="12" t="s">
        <v>2399</v>
      </c>
      <c r="D12" s="13" t="s">
        <v>2848</v>
      </c>
      <c r="E12" s="12" t="s">
        <v>134</v>
      </c>
      <c r="F12" s="12" t="s">
        <v>144</v>
      </c>
      <c r="G12" s="13" t="s">
        <v>2849</v>
      </c>
      <c r="H12" s="12" t="s">
        <v>98</v>
      </c>
      <c r="I12" s="12" t="s">
        <v>113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2850</v>
      </c>
      <c r="B13" s="12" t="s">
        <v>138</v>
      </c>
      <c r="C13" s="12" t="s">
        <v>782</v>
      </c>
      <c r="D13" s="13" t="s">
        <v>2851</v>
      </c>
      <c r="E13" s="12" t="s">
        <v>134</v>
      </c>
      <c r="F13" s="12" t="s">
        <v>134</v>
      </c>
      <c r="G13" s="13" t="s">
        <v>140</v>
      </c>
      <c r="H13" s="12" t="s">
        <v>98</v>
      </c>
      <c r="I13" s="12" t="s">
        <v>113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2852</v>
      </c>
      <c r="B14" s="12" t="s">
        <v>1310</v>
      </c>
      <c r="C14" s="12" t="s">
        <v>782</v>
      </c>
      <c r="D14" s="13" t="s">
        <v>2853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2854</v>
      </c>
      <c r="B15" s="12" t="s">
        <v>1293</v>
      </c>
      <c r="C15" s="12" t="s">
        <v>782</v>
      </c>
      <c r="D15" s="13" t="s">
        <v>2855</v>
      </c>
      <c r="E15" s="12" t="s">
        <v>134</v>
      </c>
      <c r="F15" s="12" t="s">
        <v>159</v>
      </c>
      <c r="G15" s="13" t="s">
        <v>2856</v>
      </c>
      <c r="H15" s="12" t="s">
        <v>98</v>
      </c>
      <c r="I15" s="12" t="s">
        <v>113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2857</v>
      </c>
      <c r="B16" s="12" t="s">
        <v>1693</v>
      </c>
      <c r="C16" s="12" t="s">
        <v>782</v>
      </c>
      <c r="D16" s="13" t="s">
        <v>2858</v>
      </c>
      <c r="E16" s="12" t="s">
        <v>134</v>
      </c>
      <c r="F16" s="12" t="s">
        <v>159</v>
      </c>
      <c r="G16" s="13" t="s">
        <v>2859</v>
      </c>
      <c r="H16" s="12" t="s">
        <v>98</v>
      </c>
      <c r="I16" s="12" t="s">
        <v>113</v>
      </c>
      <c r="J16" s="14" t="n">
        <v>46231</v>
      </c>
      <c r="K16" s="13"/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2860</v>
      </c>
      <c r="B17" s="12" t="s">
        <v>2861</v>
      </c>
      <c r="C17" s="12" t="s">
        <v>782</v>
      </c>
      <c r="D17" s="13" t="s">
        <v>2862</v>
      </c>
      <c r="E17" s="12" t="s">
        <v>134</v>
      </c>
      <c r="F17" s="12" t="s">
        <v>159</v>
      </c>
      <c r="G17" s="13" t="s">
        <v>2859</v>
      </c>
      <c r="H17" s="12" t="s">
        <v>98</v>
      </c>
      <c r="I17" s="12" t="s">
        <v>113</v>
      </c>
      <c r="J17" s="14" t="n">
        <v>46231</v>
      </c>
      <c r="K17" s="13"/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2863</v>
      </c>
      <c r="B18" s="12" t="s">
        <v>2864</v>
      </c>
      <c r="C18" s="12" t="s">
        <v>782</v>
      </c>
      <c r="D18" s="13" t="s">
        <v>2865</v>
      </c>
      <c r="E18" s="12" t="s">
        <v>134</v>
      </c>
      <c r="F18" s="12" t="s">
        <v>159</v>
      </c>
      <c r="G18" s="13" t="s">
        <v>2859</v>
      </c>
      <c r="H18" s="12" t="s">
        <v>98</v>
      </c>
      <c r="I18" s="12" t="s">
        <v>113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2866</v>
      </c>
      <c r="B19" s="12" t="s">
        <v>1086</v>
      </c>
      <c r="C19" s="12" t="s">
        <v>2867</v>
      </c>
      <c r="D19" s="13" t="s">
        <v>2868</v>
      </c>
      <c r="E19" s="12" t="s">
        <v>134</v>
      </c>
      <c r="F19" s="12" t="s">
        <v>159</v>
      </c>
      <c r="G19" s="13" t="s">
        <v>2859</v>
      </c>
      <c r="H19" s="12" t="s">
        <v>98</v>
      </c>
      <c r="I19" s="12" t="s">
        <v>113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2869</v>
      </c>
      <c r="B20" s="12" t="s">
        <v>182</v>
      </c>
      <c r="C20" s="12" t="s">
        <v>782</v>
      </c>
      <c r="D20" s="13" t="s">
        <v>2870</v>
      </c>
      <c r="E20" s="12" t="s">
        <v>134</v>
      </c>
      <c r="F20" s="12" t="s">
        <v>154</v>
      </c>
      <c r="G20" s="13" t="s">
        <v>2844</v>
      </c>
      <c r="H20" s="12" t="s">
        <v>98</v>
      </c>
      <c r="I20" s="12" t="s">
        <v>113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2871</v>
      </c>
      <c r="B21" s="12" t="s">
        <v>662</v>
      </c>
      <c r="C21" s="12" t="s">
        <v>2872</v>
      </c>
      <c r="D21" s="13" t="s">
        <v>2873</v>
      </c>
      <c r="E21" s="12" t="s">
        <v>134</v>
      </c>
      <c r="F21" s="12" t="s">
        <v>159</v>
      </c>
      <c r="G21" s="13" t="s">
        <v>2859</v>
      </c>
      <c r="H21" s="12" t="s">
        <v>98</v>
      </c>
      <c r="I21" s="12" t="s">
        <v>113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2874</v>
      </c>
      <c r="B22" s="12" t="s">
        <v>162</v>
      </c>
      <c r="C22" s="12" t="s">
        <v>2872</v>
      </c>
      <c r="D22" s="13" t="s">
        <v>2875</v>
      </c>
      <c r="E22" s="12" t="s">
        <v>134</v>
      </c>
      <c r="F22" s="12" t="s">
        <v>164</v>
      </c>
      <c r="G22" s="13" t="s">
        <v>2859</v>
      </c>
      <c r="H22" s="12" t="s">
        <v>98</v>
      </c>
      <c r="I22" s="12" t="s">
        <v>113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2876</v>
      </c>
      <c r="B23" s="12" t="s">
        <v>173</v>
      </c>
      <c r="C23" s="12" t="s">
        <v>782</v>
      </c>
      <c r="D23" s="13" t="s">
        <v>2877</v>
      </c>
      <c r="E23" s="12" t="s">
        <v>134</v>
      </c>
      <c r="F23" s="12" t="s">
        <v>159</v>
      </c>
      <c r="G23" s="13" t="s">
        <v>2859</v>
      </c>
      <c r="H23" s="12" t="s">
        <v>98</v>
      </c>
      <c r="I23" s="12" t="s">
        <v>113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2878</v>
      </c>
      <c r="B24" s="12" t="s">
        <v>2522</v>
      </c>
      <c r="C24" s="12" t="s">
        <v>2872</v>
      </c>
      <c r="D24" s="13" t="s">
        <v>2879</v>
      </c>
      <c r="E24" s="12" t="s">
        <v>134</v>
      </c>
      <c r="F24" s="12" t="s">
        <v>169</v>
      </c>
      <c r="G24" s="13" t="s">
        <v>2880</v>
      </c>
      <c r="H24" s="12" t="s">
        <v>96</v>
      </c>
      <c r="I24" s="12" t="s">
        <v>112</v>
      </c>
      <c r="J24" s="14" t="n">
        <v>46231</v>
      </c>
      <c r="K24" s="13" t="s">
        <v>2881</v>
      </c>
      <c r="L24" s="12" t="n">
        <v>1</v>
      </c>
      <c r="M24" s="12" t="n">
        <f aca="false">IF(OR(AND(I24="yes",H24="verified"),AND(I24="no",OR(H24="tested",H24="verified")),AND(H24="not applicable",K24&lt;&gt;"")),1,0)</f>
        <v>0</v>
      </c>
    </row>
    <row r="25" customFormat="false" ht="54" hidden="false" customHeight="true" outlineLevel="0" collapsed="false">
      <c r="A25" s="12" t="s">
        <v>2882</v>
      </c>
      <c r="B25" s="12" t="s">
        <v>1863</v>
      </c>
      <c r="C25" s="12" t="s">
        <v>782</v>
      </c>
      <c r="D25" s="13" t="s">
        <v>2883</v>
      </c>
      <c r="E25" s="12" t="s">
        <v>134</v>
      </c>
      <c r="F25" s="12" t="s">
        <v>169</v>
      </c>
      <c r="G25" s="13" t="s">
        <v>2880</v>
      </c>
      <c r="H25" s="12" t="s">
        <v>96</v>
      </c>
      <c r="I25" s="12" t="s">
        <v>112</v>
      </c>
      <c r="J25" s="14" t="n">
        <v>46231</v>
      </c>
      <c r="K25" s="13" t="s">
        <v>2884</v>
      </c>
      <c r="L25" s="12" t="n">
        <v>1</v>
      </c>
      <c r="M25" s="12" t="n">
        <f aca="false">IF(OR(AND(I25="yes",H25="verified"),AND(I25="no",OR(H25="tested",H25="verified")),AND(H25="not applicable",K25&lt;&gt;"")),1,0)</f>
        <v>0</v>
      </c>
    </row>
    <row r="26" customFormat="false" ht="54" hidden="false" customHeight="true" outlineLevel="0" collapsed="false">
      <c r="A26" s="12" t="s">
        <v>2885</v>
      </c>
      <c r="B26" s="12" t="s">
        <v>2471</v>
      </c>
      <c r="C26" s="12" t="s">
        <v>782</v>
      </c>
      <c r="D26" s="13" t="s">
        <v>2886</v>
      </c>
      <c r="E26" s="12" t="s">
        <v>134</v>
      </c>
      <c r="F26" s="12" t="s">
        <v>169</v>
      </c>
      <c r="G26" s="13" t="s">
        <v>2887</v>
      </c>
      <c r="H26" s="12" t="s">
        <v>96</v>
      </c>
      <c r="I26" s="12" t="s">
        <v>112</v>
      </c>
      <c r="J26" s="14" t="n">
        <v>46231</v>
      </c>
      <c r="K26" s="13" t="s">
        <v>2888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2889</v>
      </c>
      <c r="B27" s="12" t="s">
        <v>1531</v>
      </c>
      <c r="C27" s="12" t="s">
        <v>782</v>
      </c>
      <c r="D27" s="13" t="s">
        <v>2890</v>
      </c>
      <c r="E27" s="12" t="s">
        <v>134</v>
      </c>
      <c r="F27" s="12" t="s">
        <v>154</v>
      </c>
      <c r="G27" s="13" t="s">
        <v>2891</v>
      </c>
      <c r="H27" s="12" t="s">
        <v>98</v>
      </c>
      <c r="I27" s="12" t="s">
        <v>113</v>
      </c>
      <c r="J27" s="14" t="n">
        <v>46231</v>
      </c>
      <c r="K27" s="13"/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2892</v>
      </c>
      <c r="B28" s="12" t="s">
        <v>622</v>
      </c>
      <c r="C28" s="12" t="s">
        <v>782</v>
      </c>
      <c r="D28" s="13" t="s">
        <v>2893</v>
      </c>
      <c r="E28" s="12" t="s">
        <v>134</v>
      </c>
      <c r="F28" s="12" t="s">
        <v>624</v>
      </c>
      <c r="G28" s="13" t="s">
        <v>2894</v>
      </c>
      <c r="H28" s="12" t="s">
        <v>98</v>
      </c>
      <c r="I28" s="12" t="s">
        <v>113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2895</v>
      </c>
      <c r="B29" s="12" t="s">
        <v>2377</v>
      </c>
      <c r="C29" s="12" t="s">
        <v>2602</v>
      </c>
      <c r="D29" s="13" t="s">
        <v>2896</v>
      </c>
      <c r="E29" s="12" t="s">
        <v>134</v>
      </c>
      <c r="F29" s="12" t="s">
        <v>2604</v>
      </c>
      <c r="G29" s="13" t="s">
        <v>2897</v>
      </c>
      <c r="H29" s="12" t="s">
        <v>98</v>
      </c>
      <c r="I29" s="12" t="s">
        <v>113</v>
      </c>
      <c r="J29" s="14" t="n">
        <v>46231</v>
      </c>
      <c r="K29" s="13"/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2898</v>
      </c>
      <c r="B30" s="12" t="s">
        <v>196</v>
      </c>
      <c r="C30" s="12" t="s">
        <v>2607</v>
      </c>
      <c r="D30" s="13" t="s">
        <v>2899</v>
      </c>
      <c r="E30" s="12" t="s">
        <v>134</v>
      </c>
      <c r="F30" s="12" t="s">
        <v>2604</v>
      </c>
      <c r="G30" s="13" t="s">
        <v>2900</v>
      </c>
      <c r="H30" s="12" t="s">
        <v>98</v>
      </c>
      <c r="I30" s="12" t="s">
        <v>113</v>
      </c>
      <c r="J30" s="14" t="n">
        <v>46231</v>
      </c>
      <c r="K30" s="13"/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2901</v>
      </c>
      <c r="B31" s="12" t="s">
        <v>200</v>
      </c>
      <c r="C31" s="12" t="s">
        <v>782</v>
      </c>
      <c r="D31" s="13" t="s">
        <v>2902</v>
      </c>
      <c r="E31" s="12" t="s">
        <v>202</v>
      </c>
      <c r="F31" s="12" t="s">
        <v>202</v>
      </c>
      <c r="G31" s="13" t="s">
        <v>203</v>
      </c>
      <c r="H31" s="12" t="s">
        <v>98</v>
      </c>
      <c r="I31" s="12" t="s">
        <v>113</v>
      </c>
      <c r="J31" s="14" t="s">
        <v>2903</v>
      </c>
      <c r="K31" s="13" t="s">
        <v>2904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2905</v>
      </c>
      <c r="B32" s="12" t="s">
        <v>167</v>
      </c>
      <c r="C32" s="12" t="s">
        <v>2872</v>
      </c>
      <c r="D32" s="13" t="s">
        <v>2906</v>
      </c>
      <c r="E32" s="12" t="s">
        <v>134</v>
      </c>
      <c r="F32" s="12" t="s">
        <v>169</v>
      </c>
      <c r="G32" s="13" t="s">
        <v>2880</v>
      </c>
      <c r="H32" s="12" t="s">
        <v>96</v>
      </c>
      <c r="I32" s="12" t="s">
        <v>112</v>
      </c>
      <c r="J32" s="14" t="n">
        <v>46231</v>
      </c>
      <c r="K32" s="13" t="s">
        <v>2907</v>
      </c>
      <c r="L32" s="12" t="n">
        <v>1</v>
      </c>
      <c r="M32" s="12" t="n">
        <f aca="false">IF(OR(AND(I32="yes",H32="verified"),AND(I32="no",OR(H32="tested",H32="verified")),AND(H32="not applicable",K32&lt;&gt;"")),1,0)</f>
        <v>0</v>
      </c>
    </row>
    <row r="33" customFormat="false" ht="54" hidden="false" customHeight="true" outlineLevel="0" collapsed="false">
      <c r="A33" s="12" t="s">
        <v>2908</v>
      </c>
      <c r="B33" s="12" t="s">
        <v>187</v>
      </c>
      <c r="C33" s="12" t="s">
        <v>2872</v>
      </c>
      <c r="D33" s="13" t="s">
        <v>2909</v>
      </c>
      <c r="E33" s="12" t="s">
        <v>134</v>
      </c>
      <c r="F33" s="12" t="s">
        <v>175</v>
      </c>
      <c r="G33" s="13" t="s">
        <v>2910</v>
      </c>
      <c r="H33" s="12" t="s">
        <v>92</v>
      </c>
      <c r="I33" s="12" t="s">
        <v>112</v>
      </c>
      <c r="J33" s="14"/>
      <c r="K33" s="13" t="s">
        <v>1807</v>
      </c>
      <c r="L33" s="12" t="n">
        <v>1</v>
      </c>
      <c r="M33" s="12" t="n">
        <f aca="false">IF(OR(AND(I33="yes",H33="verified"),AND(I33="no",OR(H33="tested",H33="verified")),AND(H33="not applicable",K33&lt;&gt;"")),1,0)</f>
        <v>0</v>
      </c>
    </row>
    <row r="34" customFormat="false" ht="54" hidden="false" customHeight="true" outlineLevel="0" collapsed="false">
      <c r="A34" s="12" t="s">
        <v>2911</v>
      </c>
      <c r="B34" s="12" t="s">
        <v>205</v>
      </c>
      <c r="C34" s="12" t="s">
        <v>2620</v>
      </c>
      <c r="D34" s="13" t="s">
        <v>2912</v>
      </c>
      <c r="E34" s="12" t="s">
        <v>134</v>
      </c>
      <c r="F34" s="12" t="s">
        <v>134</v>
      </c>
      <c r="G34" s="13" t="s">
        <v>2544</v>
      </c>
      <c r="H34" s="12" t="s">
        <v>98</v>
      </c>
      <c r="I34" s="12" t="s">
        <v>113</v>
      </c>
      <c r="J34" s="14" t="s">
        <v>2903</v>
      </c>
      <c r="K34" s="13" t="s">
        <v>2913</v>
      </c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/>
    <row r="36" customFormat="false" ht="54" hidden="false" customHeight="true" outlineLevel="0" collapsed="false"/>
    <row r="37" customFormat="false" ht="54" hidden="false" customHeight="true" outlineLevel="0" collapsed="false"/>
    <row r="38" customFormat="false" ht="54" hidden="false" customHeight="true" outlineLevel="0" collapsed="false"/>
    <row r="39" customFormat="false" ht="54" hidden="false" customHeight="true" outlineLevel="0" collapsed="false"/>
  </sheetData>
  <autoFilter ref="A8:M3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true" errorStyle="stop" operator="between" showDropDown="false" showErrorMessage="true" showInputMessage="true" sqref="H9:H24" type="list">
      <formula1>"not started,partial,implemented,tested,verified,blocked,not applicable"</formula1>
      <formula2>0</formula2>
    </dataValidation>
    <dataValidation allowBlank="true" errorStyle="stop" operator="between" showDropDown="false" showErrorMessage="true" showInputMessage="tru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2914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2915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COUNTA(A9:A38)</f>
        <v>30</v>
      </c>
      <c r="D4" s="5" t="s">
        <v>116</v>
      </c>
      <c r="E4" s="6" t="n">
        <f aca="false">SUM(M9:M38)</f>
        <v>23</v>
      </c>
      <c r="G4" s="5" t="s">
        <v>14</v>
      </c>
      <c r="H4" s="7" t="n">
        <f aca="false">IF(B4=0,0,E4/B4)</f>
        <v>0.766666666666667</v>
      </c>
      <c r="J4" s="5" t="s">
        <v>15</v>
      </c>
      <c r="K4" s="6" t="str">
        <f aca="false">IF(COUNTIFS(E9:E38,"package",M9:M38,0)&gt;0,"open","complete")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IF(COUNTIFS(I9:I38,"yes",M9:M38,0)&gt;0,"open","complete")</f>
        <v>open</v>
      </c>
      <c r="D5" s="5" t="s">
        <v>16</v>
      </c>
      <c r="E5" s="6" t="str">
        <f aca="false">IF(COUNTIFS(E9:E38,"consumer",M9:M38,0)&gt;0,"open","complete")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1747</v>
      </c>
      <c r="B9" s="12" t="s">
        <v>90</v>
      </c>
      <c r="C9" s="12" t="s">
        <v>1184</v>
      </c>
      <c r="D9" s="13" t="s">
        <v>2916</v>
      </c>
      <c r="E9" s="12" t="s">
        <v>134</v>
      </c>
      <c r="F9" s="12" t="s">
        <v>135</v>
      </c>
      <c r="G9" s="13" t="s">
        <v>2917</v>
      </c>
      <c r="H9" s="12" t="s">
        <v>98</v>
      </c>
      <c r="I9" s="12" t="s">
        <v>113</v>
      </c>
      <c r="J9" s="14" t="n">
        <v>46231</v>
      </c>
      <c r="K9" s="13" t="s">
        <v>2918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1750</v>
      </c>
      <c r="B10" s="12" t="s">
        <v>2390</v>
      </c>
      <c r="C10" s="12" t="s">
        <v>2399</v>
      </c>
      <c r="D10" s="13" t="s">
        <v>2919</v>
      </c>
      <c r="E10" s="12" t="s">
        <v>134</v>
      </c>
      <c r="F10" s="12" t="s">
        <v>154</v>
      </c>
      <c r="G10" s="13" t="s">
        <v>2920</v>
      </c>
      <c r="H10" s="12" t="s">
        <v>98</v>
      </c>
      <c r="I10" s="12" t="s">
        <v>113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1754</v>
      </c>
      <c r="B11" s="12" t="s">
        <v>1343</v>
      </c>
      <c r="C11" s="12" t="s">
        <v>1184</v>
      </c>
      <c r="D11" s="13" t="s">
        <v>2921</v>
      </c>
      <c r="E11" s="12" t="s">
        <v>134</v>
      </c>
      <c r="F11" s="12" t="s">
        <v>154</v>
      </c>
      <c r="G11" s="13" t="s">
        <v>2920</v>
      </c>
      <c r="H11" s="12" t="s">
        <v>98</v>
      </c>
      <c r="I11" s="12" t="s">
        <v>113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1756</v>
      </c>
      <c r="B12" s="12" t="s">
        <v>142</v>
      </c>
      <c r="C12" s="12" t="s">
        <v>2399</v>
      </c>
      <c r="D12" s="13" t="s">
        <v>2922</v>
      </c>
      <c r="E12" s="12" t="s">
        <v>134</v>
      </c>
      <c r="F12" s="12" t="s">
        <v>144</v>
      </c>
      <c r="G12" s="13" t="s">
        <v>2923</v>
      </c>
      <c r="H12" s="12" t="s">
        <v>98</v>
      </c>
      <c r="I12" s="12" t="s">
        <v>113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1759</v>
      </c>
      <c r="B13" s="12" t="s">
        <v>138</v>
      </c>
      <c r="C13" s="12" t="s">
        <v>1184</v>
      </c>
      <c r="D13" s="13" t="s">
        <v>2924</v>
      </c>
      <c r="E13" s="12" t="s">
        <v>134</v>
      </c>
      <c r="F13" s="12" t="s">
        <v>134</v>
      </c>
      <c r="G13" s="13" t="s">
        <v>140</v>
      </c>
      <c r="H13" s="12" t="s">
        <v>98</v>
      </c>
      <c r="I13" s="12" t="s">
        <v>113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1762</v>
      </c>
      <c r="B14" s="12" t="s">
        <v>1310</v>
      </c>
      <c r="C14" s="12" t="s">
        <v>1184</v>
      </c>
      <c r="D14" s="13" t="s">
        <v>2925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1766</v>
      </c>
      <c r="B15" s="12" t="s">
        <v>1576</v>
      </c>
      <c r="C15" s="12" t="s">
        <v>782</v>
      </c>
      <c r="D15" s="13" t="s">
        <v>2926</v>
      </c>
      <c r="E15" s="12" t="s">
        <v>134</v>
      </c>
      <c r="F15" s="12" t="s">
        <v>159</v>
      </c>
      <c r="G15" s="13" t="s">
        <v>2927</v>
      </c>
      <c r="H15" s="12" t="s">
        <v>98</v>
      </c>
      <c r="I15" s="12" t="s">
        <v>113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1770</v>
      </c>
      <c r="B16" s="12" t="s">
        <v>1693</v>
      </c>
      <c r="C16" s="12" t="s">
        <v>782</v>
      </c>
      <c r="D16" s="13" t="s">
        <v>2928</v>
      </c>
      <c r="E16" s="12" t="s">
        <v>134</v>
      </c>
      <c r="F16" s="12" t="s">
        <v>169</v>
      </c>
      <c r="G16" s="13" t="s">
        <v>2929</v>
      </c>
      <c r="H16" s="12" t="s">
        <v>96</v>
      </c>
      <c r="I16" s="12" t="s">
        <v>112</v>
      </c>
      <c r="J16" s="14" t="n">
        <v>46231</v>
      </c>
      <c r="K16" s="13" t="s">
        <v>2930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1774</v>
      </c>
      <c r="B17" s="12" t="s">
        <v>1698</v>
      </c>
      <c r="C17" s="12" t="s">
        <v>2931</v>
      </c>
      <c r="D17" s="13" t="s">
        <v>2932</v>
      </c>
      <c r="E17" s="12" t="s">
        <v>134</v>
      </c>
      <c r="F17" s="12" t="s">
        <v>169</v>
      </c>
      <c r="G17" s="13" t="s">
        <v>2929</v>
      </c>
      <c r="H17" s="12" t="s">
        <v>96</v>
      </c>
      <c r="I17" s="12" t="s">
        <v>112</v>
      </c>
      <c r="J17" s="14" t="n">
        <v>46231</v>
      </c>
      <c r="K17" s="13" t="s">
        <v>2933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1779</v>
      </c>
      <c r="B18" s="12" t="s">
        <v>2934</v>
      </c>
      <c r="C18" s="12" t="s">
        <v>21</v>
      </c>
      <c r="D18" s="13" t="s">
        <v>2935</v>
      </c>
      <c r="E18" s="12" t="s">
        <v>134</v>
      </c>
      <c r="F18" s="12" t="s">
        <v>154</v>
      </c>
      <c r="G18" s="13" t="s">
        <v>2936</v>
      </c>
      <c r="H18" s="12" t="s">
        <v>98</v>
      </c>
      <c r="I18" s="12" t="s">
        <v>113</v>
      </c>
      <c r="J18" s="14" t="n">
        <v>46231</v>
      </c>
      <c r="K18" s="13"/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1782</v>
      </c>
      <c r="B19" s="12" t="s">
        <v>2937</v>
      </c>
      <c r="C19" s="12" t="s">
        <v>33</v>
      </c>
      <c r="D19" s="13" t="s">
        <v>2938</v>
      </c>
      <c r="E19" s="12" t="s">
        <v>134</v>
      </c>
      <c r="F19" s="12" t="s">
        <v>159</v>
      </c>
      <c r="G19" s="13" t="s">
        <v>2927</v>
      </c>
      <c r="H19" s="12" t="s">
        <v>98</v>
      </c>
      <c r="I19" s="12" t="s">
        <v>113</v>
      </c>
      <c r="J19" s="14" t="n">
        <v>46231</v>
      </c>
      <c r="K19" s="13"/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1785</v>
      </c>
      <c r="B20" s="12" t="s">
        <v>2939</v>
      </c>
      <c r="C20" s="12" t="s">
        <v>2940</v>
      </c>
      <c r="D20" s="13" t="s">
        <v>2941</v>
      </c>
      <c r="E20" s="12" t="s">
        <v>134</v>
      </c>
      <c r="F20" s="12" t="s">
        <v>154</v>
      </c>
      <c r="G20" s="13" t="s">
        <v>2920</v>
      </c>
      <c r="H20" s="12" t="s">
        <v>98</v>
      </c>
      <c r="I20" s="12" t="s">
        <v>113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1789</v>
      </c>
      <c r="B21" s="12" t="s">
        <v>2942</v>
      </c>
      <c r="C21" s="12" t="s">
        <v>2943</v>
      </c>
      <c r="D21" s="13" t="s">
        <v>2944</v>
      </c>
      <c r="E21" s="12" t="s">
        <v>134</v>
      </c>
      <c r="F21" s="12" t="s">
        <v>154</v>
      </c>
      <c r="G21" s="13" t="s">
        <v>2920</v>
      </c>
      <c r="H21" s="12" t="s">
        <v>98</v>
      </c>
      <c r="I21" s="12" t="s">
        <v>113</v>
      </c>
      <c r="J21" s="14" t="n">
        <v>46231</v>
      </c>
      <c r="K21" s="13"/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1793</v>
      </c>
      <c r="B22" s="12" t="s">
        <v>2945</v>
      </c>
      <c r="C22" s="12" t="s">
        <v>2943</v>
      </c>
      <c r="D22" s="13" t="s">
        <v>2946</v>
      </c>
      <c r="E22" s="12" t="s">
        <v>134</v>
      </c>
      <c r="F22" s="12" t="s">
        <v>159</v>
      </c>
      <c r="G22" s="13" t="s">
        <v>2927</v>
      </c>
      <c r="H22" s="12" t="s">
        <v>98</v>
      </c>
      <c r="I22" s="12" t="s">
        <v>113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1795</v>
      </c>
      <c r="B23" s="12" t="s">
        <v>1583</v>
      </c>
      <c r="C23" s="12" t="s">
        <v>2947</v>
      </c>
      <c r="D23" s="13" t="s">
        <v>2948</v>
      </c>
      <c r="E23" s="12" t="s">
        <v>134</v>
      </c>
      <c r="F23" s="12" t="s">
        <v>159</v>
      </c>
      <c r="G23" s="13" t="s">
        <v>2949</v>
      </c>
      <c r="H23" s="12" t="s">
        <v>98</v>
      </c>
      <c r="I23" s="12" t="s">
        <v>113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1797</v>
      </c>
      <c r="B24" s="12" t="s">
        <v>2029</v>
      </c>
      <c r="C24" s="12" t="s">
        <v>2950</v>
      </c>
      <c r="D24" s="13" t="s">
        <v>2951</v>
      </c>
      <c r="E24" s="12" t="s">
        <v>134</v>
      </c>
      <c r="F24" s="12" t="s">
        <v>159</v>
      </c>
      <c r="G24" s="13" t="s">
        <v>2927</v>
      </c>
      <c r="H24" s="12" t="s">
        <v>98</v>
      </c>
      <c r="I24" s="12" t="s">
        <v>113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1799</v>
      </c>
      <c r="B25" s="12" t="s">
        <v>182</v>
      </c>
      <c r="C25" s="12" t="s">
        <v>2931</v>
      </c>
      <c r="D25" s="13" t="s">
        <v>2952</v>
      </c>
      <c r="E25" s="12" t="s">
        <v>134</v>
      </c>
      <c r="F25" s="12" t="s">
        <v>154</v>
      </c>
      <c r="G25" s="13" t="s">
        <v>2953</v>
      </c>
      <c r="H25" s="12" t="s">
        <v>98</v>
      </c>
      <c r="I25" s="12" t="s">
        <v>113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1801</v>
      </c>
      <c r="B26" s="12" t="s">
        <v>173</v>
      </c>
      <c r="C26" s="12" t="s">
        <v>782</v>
      </c>
      <c r="D26" s="13" t="s">
        <v>2954</v>
      </c>
      <c r="E26" s="12" t="s">
        <v>134</v>
      </c>
      <c r="F26" s="12" t="s">
        <v>159</v>
      </c>
      <c r="G26" s="13" t="s">
        <v>2927</v>
      </c>
      <c r="H26" s="12" t="s">
        <v>98</v>
      </c>
      <c r="I26" s="12" t="s">
        <v>113</v>
      </c>
      <c r="J26" s="14" t="n">
        <v>46231</v>
      </c>
      <c r="K26" s="13"/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1804</v>
      </c>
      <c r="B27" s="12" t="s">
        <v>2522</v>
      </c>
      <c r="C27" s="12" t="s">
        <v>2931</v>
      </c>
      <c r="D27" s="13" t="s">
        <v>2955</v>
      </c>
      <c r="E27" s="12" t="s">
        <v>134</v>
      </c>
      <c r="F27" s="12" t="s">
        <v>169</v>
      </c>
      <c r="G27" s="13" t="s">
        <v>2956</v>
      </c>
      <c r="H27" s="12" t="s">
        <v>96</v>
      </c>
      <c r="I27" s="12" t="s">
        <v>112</v>
      </c>
      <c r="J27" s="14" t="n">
        <v>46231</v>
      </c>
      <c r="K27" s="13" t="s">
        <v>2957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1808</v>
      </c>
      <c r="B28" s="12" t="s">
        <v>162</v>
      </c>
      <c r="C28" s="12" t="s">
        <v>1184</v>
      </c>
      <c r="D28" s="13" t="s">
        <v>2958</v>
      </c>
      <c r="E28" s="12" t="s">
        <v>134</v>
      </c>
      <c r="F28" s="12" t="s">
        <v>164</v>
      </c>
      <c r="G28" s="13" t="s">
        <v>2927</v>
      </c>
      <c r="H28" s="12" t="s">
        <v>98</v>
      </c>
      <c r="I28" s="12" t="s">
        <v>113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1811</v>
      </c>
      <c r="B29" s="12" t="s">
        <v>1863</v>
      </c>
      <c r="C29" s="12" t="s">
        <v>1184</v>
      </c>
      <c r="D29" s="13" t="s">
        <v>2959</v>
      </c>
      <c r="E29" s="12" t="s">
        <v>134</v>
      </c>
      <c r="F29" s="12" t="s">
        <v>169</v>
      </c>
      <c r="G29" s="13" t="s">
        <v>2929</v>
      </c>
      <c r="H29" s="12" t="s">
        <v>96</v>
      </c>
      <c r="I29" s="12" t="s">
        <v>112</v>
      </c>
      <c r="J29" s="14" t="n">
        <v>46231</v>
      </c>
      <c r="K29" s="13" t="s">
        <v>2884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1814</v>
      </c>
      <c r="B30" s="12" t="s">
        <v>2471</v>
      </c>
      <c r="C30" s="12" t="s">
        <v>1184</v>
      </c>
      <c r="D30" s="13" t="s">
        <v>2960</v>
      </c>
      <c r="E30" s="12" t="s">
        <v>134</v>
      </c>
      <c r="F30" s="12" t="s">
        <v>169</v>
      </c>
      <c r="G30" s="13" t="s">
        <v>2961</v>
      </c>
      <c r="H30" s="12" t="s">
        <v>96</v>
      </c>
      <c r="I30" s="12" t="s">
        <v>112</v>
      </c>
      <c r="J30" s="14" t="n">
        <v>46231</v>
      </c>
      <c r="K30" s="13" t="s">
        <v>2962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1816</v>
      </c>
      <c r="B31" s="12" t="s">
        <v>1531</v>
      </c>
      <c r="C31" s="12" t="s">
        <v>1184</v>
      </c>
      <c r="D31" s="13" t="s">
        <v>2963</v>
      </c>
      <c r="E31" s="12" t="s">
        <v>134</v>
      </c>
      <c r="F31" s="12" t="s">
        <v>2604</v>
      </c>
      <c r="G31" s="13" t="s">
        <v>2964</v>
      </c>
      <c r="H31" s="12" t="s">
        <v>98</v>
      </c>
      <c r="I31" s="12" t="s">
        <v>113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2965</v>
      </c>
      <c r="B32" s="12" t="s">
        <v>622</v>
      </c>
      <c r="C32" s="12" t="s">
        <v>1184</v>
      </c>
      <c r="D32" s="13" t="s">
        <v>2966</v>
      </c>
      <c r="E32" s="12" t="s">
        <v>134</v>
      </c>
      <c r="F32" s="12" t="s">
        <v>624</v>
      </c>
      <c r="G32" s="13" t="s">
        <v>2967</v>
      </c>
      <c r="H32" s="12" t="s">
        <v>98</v>
      </c>
      <c r="I32" s="12" t="s">
        <v>113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2968</v>
      </c>
      <c r="B33" s="12" t="s">
        <v>2377</v>
      </c>
      <c r="C33" s="12" t="s">
        <v>2602</v>
      </c>
      <c r="D33" s="13" t="s">
        <v>2969</v>
      </c>
      <c r="E33" s="12" t="s">
        <v>134</v>
      </c>
      <c r="F33" s="12" t="s">
        <v>2604</v>
      </c>
      <c r="G33" s="13" t="s">
        <v>2970</v>
      </c>
      <c r="H33" s="12" t="s">
        <v>98</v>
      </c>
      <c r="I33" s="12" t="s">
        <v>113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2971</v>
      </c>
      <c r="B34" s="12" t="s">
        <v>196</v>
      </c>
      <c r="C34" s="12" t="s">
        <v>2607</v>
      </c>
      <c r="D34" s="13" t="s">
        <v>2972</v>
      </c>
      <c r="E34" s="12" t="s">
        <v>134</v>
      </c>
      <c r="F34" s="12" t="s">
        <v>2604</v>
      </c>
      <c r="G34" s="13" t="s">
        <v>2973</v>
      </c>
      <c r="H34" s="12" t="s">
        <v>98</v>
      </c>
      <c r="I34" s="12" t="s">
        <v>113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2974</v>
      </c>
      <c r="B35" s="12" t="s">
        <v>200</v>
      </c>
      <c r="C35" s="12" t="s">
        <v>1184</v>
      </c>
      <c r="D35" s="13" t="s">
        <v>2975</v>
      </c>
      <c r="E35" s="12" t="s">
        <v>202</v>
      </c>
      <c r="F35" s="12" t="s">
        <v>202</v>
      </c>
      <c r="G35" s="13" t="s">
        <v>203</v>
      </c>
      <c r="H35" s="12" t="s">
        <v>98</v>
      </c>
      <c r="I35" s="12" t="s">
        <v>113</v>
      </c>
      <c r="J35" s="14" t="n">
        <v>46231</v>
      </c>
      <c r="K35" s="13" t="s">
        <v>2976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2977</v>
      </c>
      <c r="B36" s="12" t="s">
        <v>167</v>
      </c>
      <c r="C36" s="12" t="s">
        <v>1184</v>
      </c>
      <c r="D36" s="13" t="s">
        <v>2978</v>
      </c>
      <c r="E36" s="12" t="s">
        <v>134</v>
      </c>
      <c r="F36" s="12" t="s">
        <v>169</v>
      </c>
      <c r="G36" s="13" t="s">
        <v>2929</v>
      </c>
      <c r="H36" s="12" t="s">
        <v>96</v>
      </c>
      <c r="I36" s="12" t="s">
        <v>112</v>
      </c>
      <c r="J36" s="14" t="n">
        <v>46231</v>
      </c>
      <c r="K36" s="13" t="s">
        <v>2907</v>
      </c>
      <c r="L36" s="12" t="n">
        <v>1</v>
      </c>
      <c r="M36" s="12" t="n">
        <f aca="false">IF(OR(AND(I36="yes",H36="verified"),AND(I36="no",OR(H36="tested",H36="verified")),AND(H36="not applicable",K36&lt;&gt;"")),1,0)</f>
        <v>0</v>
      </c>
    </row>
    <row r="37" customFormat="false" ht="54" hidden="false" customHeight="true" outlineLevel="0" collapsed="false">
      <c r="A37" s="12" t="s">
        <v>2979</v>
      </c>
      <c r="B37" s="12" t="s">
        <v>187</v>
      </c>
      <c r="C37" s="12" t="s">
        <v>1184</v>
      </c>
      <c r="D37" s="13" t="s">
        <v>2980</v>
      </c>
      <c r="E37" s="12" t="s">
        <v>134</v>
      </c>
      <c r="F37" s="12" t="s">
        <v>175</v>
      </c>
      <c r="G37" s="13" t="s">
        <v>2981</v>
      </c>
      <c r="H37" s="12" t="s">
        <v>92</v>
      </c>
      <c r="I37" s="12" t="s">
        <v>112</v>
      </c>
      <c r="J37" s="14"/>
      <c r="K37" s="13" t="s">
        <v>1807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2982</v>
      </c>
      <c r="B38" s="12" t="s">
        <v>205</v>
      </c>
      <c r="C38" s="12" t="s">
        <v>2620</v>
      </c>
      <c r="D38" s="13" t="s">
        <v>2983</v>
      </c>
      <c r="E38" s="12" t="s">
        <v>134</v>
      </c>
      <c r="F38" s="12" t="s">
        <v>134</v>
      </c>
      <c r="G38" s="13" t="s">
        <v>2544</v>
      </c>
      <c r="H38" s="12" t="s">
        <v>98</v>
      </c>
      <c r="I38" s="12" t="s">
        <v>113</v>
      </c>
      <c r="J38" s="14" t="n">
        <v>46231</v>
      </c>
      <c r="K38" s="13" t="s">
        <v>2984</v>
      </c>
      <c r="L38" s="12" t="n">
        <v>1</v>
      </c>
      <c r="M38" s="12" t="n">
        <f aca="false">IF(OR(AND(I38="yes",H38="verified"),AND(I38="no",OR(H38="tested",H38="verified")),AND(H38="not applicable",K38&lt;&gt;"")),1,0)</f>
        <v>1</v>
      </c>
    </row>
    <row r="39" customFormat="false" ht="54" hidden="false" customHeight="true" outlineLevel="0" collapsed="false"/>
  </sheetData>
  <autoFilter ref="A8:M38"/>
  <mergeCells count="2">
    <mergeCell ref="A1:M1"/>
    <mergeCell ref="A2:M2"/>
  </mergeCells>
  <conditionalFormatting sqref="H9:H38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38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8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2985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2986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COUNTA(A9:A39)</f>
        <v>31</v>
      </c>
      <c r="D4" s="5" t="s">
        <v>116</v>
      </c>
      <c r="E4" s="6" t="n">
        <f aca="false">SUM(M9:M39)</f>
        <v>20</v>
      </c>
      <c r="G4" s="5" t="s">
        <v>14</v>
      </c>
      <c r="H4" s="7" t="n">
        <f aca="false">IF(B4=0,0,E4/B4)</f>
        <v>0.645161290322581</v>
      </c>
      <c r="J4" s="5" t="s">
        <v>15</v>
      </c>
      <c r="K4" s="6" t="str">
        <f aca="false">IF(COUNTIFS(E9:E39,"package",M9:M39,0)&gt;0,"open","complete")</f>
        <v>open</v>
      </c>
    </row>
    <row r="5" customFormat="false" ht="17.25" hidden="false" customHeight="true" outlineLevel="0" collapsed="false">
      <c r="A5" s="5" t="s">
        <v>117</v>
      </c>
      <c r="B5" s="6" t="str">
        <f aca="false">IF(COUNTIFS(I9:I39,"yes",M9:M39,0)&gt;0,"open","complete")</f>
        <v>open</v>
      </c>
      <c r="D5" s="5" t="s">
        <v>16</v>
      </c>
      <c r="E5" s="6" t="str">
        <f aca="false">IF(COUNTIFS(E9:E39,"consumer",M9:M39,0)&gt;0,"open","complete")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2987</v>
      </c>
      <c r="B9" s="12" t="s">
        <v>90</v>
      </c>
      <c r="C9" s="12" t="s">
        <v>1184</v>
      </c>
      <c r="D9" s="13" t="s">
        <v>2988</v>
      </c>
      <c r="E9" s="12" t="s">
        <v>134</v>
      </c>
      <c r="F9" s="12" t="s">
        <v>135</v>
      </c>
      <c r="G9" s="13" t="s">
        <v>2989</v>
      </c>
      <c r="H9" s="12" t="s">
        <v>98</v>
      </c>
      <c r="I9" s="12" t="s">
        <v>113</v>
      </c>
      <c r="J9" s="14" t="n">
        <v>46231</v>
      </c>
      <c r="K9" s="13" t="s">
        <v>2918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2990</v>
      </c>
      <c r="B10" s="12" t="s">
        <v>2390</v>
      </c>
      <c r="C10" s="12" t="s">
        <v>2399</v>
      </c>
      <c r="D10" s="13" t="s">
        <v>2991</v>
      </c>
      <c r="E10" s="12" t="s">
        <v>134</v>
      </c>
      <c r="F10" s="12" t="s">
        <v>154</v>
      </c>
      <c r="G10" s="13" t="s">
        <v>2992</v>
      </c>
      <c r="H10" s="12" t="s">
        <v>98</v>
      </c>
      <c r="I10" s="12" t="s">
        <v>113</v>
      </c>
      <c r="J10" s="14" t="n">
        <v>46231</v>
      </c>
      <c r="K10" s="13"/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2993</v>
      </c>
      <c r="B11" s="12" t="s">
        <v>1343</v>
      </c>
      <c r="C11" s="12" t="s">
        <v>2994</v>
      </c>
      <c r="D11" s="13" t="s">
        <v>2995</v>
      </c>
      <c r="E11" s="12" t="s">
        <v>134</v>
      </c>
      <c r="F11" s="12" t="s">
        <v>154</v>
      </c>
      <c r="G11" s="13" t="s">
        <v>2992</v>
      </c>
      <c r="H11" s="12" t="s">
        <v>98</v>
      </c>
      <c r="I11" s="12" t="s">
        <v>113</v>
      </c>
      <c r="J11" s="14" t="n">
        <v>46231</v>
      </c>
      <c r="K11" s="13"/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2996</v>
      </c>
      <c r="B12" s="12" t="s">
        <v>142</v>
      </c>
      <c r="C12" s="12" t="s">
        <v>2399</v>
      </c>
      <c r="D12" s="13" t="s">
        <v>2997</v>
      </c>
      <c r="E12" s="12" t="s">
        <v>134</v>
      </c>
      <c r="F12" s="12" t="s">
        <v>144</v>
      </c>
      <c r="G12" s="13" t="s">
        <v>2998</v>
      </c>
      <c r="H12" s="12" t="s">
        <v>98</v>
      </c>
      <c r="I12" s="12" t="s">
        <v>113</v>
      </c>
      <c r="J12" s="14" t="n">
        <v>46231</v>
      </c>
      <c r="K12" s="13"/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2999</v>
      </c>
      <c r="B13" s="12" t="s">
        <v>138</v>
      </c>
      <c r="C13" s="12" t="s">
        <v>1184</v>
      </c>
      <c r="D13" s="13" t="s">
        <v>3000</v>
      </c>
      <c r="E13" s="12" t="s">
        <v>134</v>
      </c>
      <c r="F13" s="12" t="s">
        <v>134</v>
      </c>
      <c r="G13" s="13" t="s">
        <v>140</v>
      </c>
      <c r="H13" s="12" t="s">
        <v>98</v>
      </c>
      <c r="I13" s="12" t="s">
        <v>113</v>
      </c>
      <c r="J13" s="14" t="n">
        <v>46231</v>
      </c>
      <c r="K13" s="13"/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3001</v>
      </c>
      <c r="B14" s="12" t="s">
        <v>1310</v>
      </c>
      <c r="C14" s="12" t="s">
        <v>1184</v>
      </c>
      <c r="D14" s="13" t="s">
        <v>3002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46231</v>
      </c>
      <c r="K14" s="13"/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3003</v>
      </c>
      <c r="B15" s="12" t="s">
        <v>1576</v>
      </c>
      <c r="C15" s="12" t="s">
        <v>782</v>
      </c>
      <c r="D15" s="13" t="s">
        <v>3004</v>
      </c>
      <c r="E15" s="12" t="s">
        <v>134</v>
      </c>
      <c r="F15" s="12" t="s">
        <v>159</v>
      </c>
      <c r="G15" s="13" t="s">
        <v>3005</v>
      </c>
      <c r="H15" s="12" t="s">
        <v>98</v>
      </c>
      <c r="I15" s="12" t="s">
        <v>113</v>
      </c>
      <c r="J15" s="14" t="n">
        <v>46231</v>
      </c>
      <c r="K15" s="13"/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3006</v>
      </c>
      <c r="B16" s="12" t="s">
        <v>1693</v>
      </c>
      <c r="C16" s="12" t="s">
        <v>782</v>
      </c>
      <c r="D16" s="13" t="s">
        <v>3007</v>
      </c>
      <c r="E16" s="12" t="s">
        <v>134</v>
      </c>
      <c r="F16" s="12" t="s">
        <v>169</v>
      </c>
      <c r="G16" s="13" t="s">
        <v>3008</v>
      </c>
      <c r="H16" s="12" t="s">
        <v>96</v>
      </c>
      <c r="I16" s="12" t="s">
        <v>112</v>
      </c>
      <c r="J16" s="14" t="n">
        <v>46231</v>
      </c>
      <c r="K16" s="13" t="s">
        <v>2930</v>
      </c>
      <c r="L16" s="12" t="n">
        <v>1</v>
      </c>
      <c r="M16" s="12" t="n">
        <f aca="false">IF(OR(AND(I16="yes",H16="verified"),AND(I16="no",OR(H16="tested",H16="verified")),AND(H16="not applicable",K16&lt;&gt;"")),1,0)</f>
        <v>0</v>
      </c>
    </row>
    <row r="17" customFormat="false" ht="54" hidden="false" customHeight="true" outlineLevel="0" collapsed="false">
      <c r="A17" s="12" t="s">
        <v>3009</v>
      </c>
      <c r="B17" s="12" t="s">
        <v>3010</v>
      </c>
      <c r="C17" s="12" t="s">
        <v>782</v>
      </c>
      <c r="D17" s="13" t="s">
        <v>3011</v>
      </c>
      <c r="E17" s="12" t="s">
        <v>134</v>
      </c>
      <c r="F17" s="12" t="s">
        <v>169</v>
      </c>
      <c r="G17" s="13" t="s">
        <v>3008</v>
      </c>
      <c r="H17" s="12" t="s">
        <v>96</v>
      </c>
      <c r="I17" s="12" t="s">
        <v>112</v>
      </c>
      <c r="J17" s="14" t="n">
        <v>46231</v>
      </c>
      <c r="K17" s="13" t="s">
        <v>3012</v>
      </c>
      <c r="L17" s="12" t="n">
        <v>1</v>
      </c>
      <c r="M17" s="12" t="n">
        <f aca="false">IF(OR(AND(I17="yes",H17="verified"),AND(I17="no",OR(H17="tested",H17="verified")),AND(H17="not applicable",K17&lt;&gt;"")),1,0)</f>
        <v>0</v>
      </c>
    </row>
    <row r="18" customFormat="false" ht="54" hidden="false" customHeight="true" outlineLevel="0" collapsed="false">
      <c r="A18" s="12" t="s">
        <v>3013</v>
      </c>
      <c r="B18" s="12" t="s">
        <v>1698</v>
      </c>
      <c r="C18" s="12" t="s">
        <v>3014</v>
      </c>
      <c r="D18" s="13" t="s">
        <v>3015</v>
      </c>
      <c r="E18" s="12" t="s">
        <v>134</v>
      </c>
      <c r="F18" s="12" t="s">
        <v>169</v>
      </c>
      <c r="G18" s="13" t="s">
        <v>3016</v>
      </c>
      <c r="H18" s="12" t="s">
        <v>96</v>
      </c>
      <c r="I18" s="12" t="s">
        <v>112</v>
      </c>
      <c r="J18" s="14" t="n">
        <v>46231</v>
      </c>
      <c r="K18" s="13" t="s">
        <v>3017</v>
      </c>
      <c r="L18" s="12" t="n">
        <v>1</v>
      </c>
      <c r="M18" s="12" t="n">
        <f aca="false">IF(OR(AND(I18="yes",H18="verified"),AND(I18="no",OR(H18="tested",H18="verified")),AND(H18="not applicable",K18&lt;&gt;"")),1,0)</f>
        <v>0</v>
      </c>
    </row>
    <row r="19" customFormat="false" ht="54" hidden="false" customHeight="true" outlineLevel="0" collapsed="false">
      <c r="A19" s="12" t="s">
        <v>3018</v>
      </c>
      <c r="B19" s="12" t="s">
        <v>3019</v>
      </c>
      <c r="C19" s="12" t="s">
        <v>782</v>
      </c>
      <c r="D19" s="13" t="s">
        <v>3020</v>
      </c>
      <c r="E19" s="12" t="s">
        <v>134</v>
      </c>
      <c r="F19" s="12" t="s">
        <v>169</v>
      </c>
      <c r="G19" s="13" t="s">
        <v>3008</v>
      </c>
      <c r="H19" s="12" t="s">
        <v>96</v>
      </c>
      <c r="I19" s="12" t="s">
        <v>112</v>
      </c>
      <c r="J19" s="14" t="n">
        <v>46231</v>
      </c>
      <c r="K19" s="13" t="s">
        <v>3021</v>
      </c>
      <c r="L19" s="12" t="n">
        <v>1</v>
      </c>
      <c r="M19" s="12" t="n">
        <f aca="false">IF(OR(AND(I19="yes",H19="verified"),AND(I19="no",OR(H19="tested",H19="verified")),AND(H19="not applicable",K19&lt;&gt;"")),1,0)</f>
        <v>0</v>
      </c>
    </row>
    <row r="20" customFormat="false" ht="54" hidden="false" customHeight="true" outlineLevel="0" collapsed="false">
      <c r="A20" s="12" t="s">
        <v>3022</v>
      </c>
      <c r="B20" s="12" t="s">
        <v>3023</v>
      </c>
      <c r="C20" s="12" t="s">
        <v>3023</v>
      </c>
      <c r="D20" s="13" t="s">
        <v>3024</v>
      </c>
      <c r="E20" s="12" t="s">
        <v>134</v>
      </c>
      <c r="F20" s="12" t="s">
        <v>159</v>
      </c>
      <c r="G20" s="13" t="s">
        <v>3005</v>
      </c>
      <c r="H20" s="12" t="s">
        <v>98</v>
      </c>
      <c r="I20" s="12" t="s">
        <v>113</v>
      </c>
      <c r="J20" s="14" t="n">
        <v>46231</v>
      </c>
      <c r="K20" s="13"/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3025</v>
      </c>
      <c r="B21" s="12" t="s">
        <v>3026</v>
      </c>
      <c r="C21" s="12" t="s">
        <v>3027</v>
      </c>
      <c r="D21" s="13" t="s">
        <v>3028</v>
      </c>
      <c r="E21" s="12" t="s">
        <v>134</v>
      </c>
      <c r="F21" s="12" t="s">
        <v>169</v>
      </c>
      <c r="G21" s="13" t="s">
        <v>3008</v>
      </c>
      <c r="H21" s="12" t="s">
        <v>96</v>
      </c>
      <c r="I21" s="12" t="s">
        <v>112</v>
      </c>
      <c r="J21" s="14" t="n">
        <v>46231</v>
      </c>
      <c r="K21" s="13" t="s">
        <v>3029</v>
      </c>
      <c r="L21" s="12" t="n">
        <v>1</v>
      </c>
      <c r="M21" s="12" t="n">
        <f aca="false">IF(OR(AND(I21="yes",H21="verified"),AND(I21="no",OR(H21="tested",H21="verified")),AND(H21="not applicable",K21&lt;&gt;"")),1,0)</f>
        <v>0</v>
      </c>
    </row>
    <row r="22" customFormat="false" ht="54" hidden="false" customHeight="true" outlineLevel="0" collapsed="false">
      <c r="A22" s="12" t="s">
        <v>3030</v>
      </c>
      <c r="B22" s="12" t="s">
        <v>3031</v>
      </c>
      <c r="C22" s="12" t="s">
        <v>3032</v>
      </c>
      <c r="D22" s="13" t="s">
        <v>3033</v>
      </c>
      <c r="E22" s="12" t="s">
        <v>134</v>
      </c>
      <c r="F22" s="12" t="s">
        <v>159</v>
      </c>
      <c r="G22" s="13" t="s">
        <v>3005</v>
      </c>
      <c r="H22" s="12" t="s">
        <v>98</v>
      </c>
      <c r="I22" s="12" t="s">
        <v>113</v>
      </c>
      <c r="J22" s="14" t="n">
        <v>46231</v>
      </c>
      <c r="K22" s="13"/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3034</v>
      </c>
      <c r="B23" s="12" t="s">
        <v>2265</v>
      </c>
      <c r="C23" s="12" t="s">
        <v>3032</v>
      </c>
      <c r="D23" s="13" t="s">
        <v>3035</v>
      </c>
      <c r="E23" s="12" t="s">
        <v>134</v>
      </c>
      <c r="F23" s="12" t="s">
        <v>154</v>
      </c>
      <c r="G23" s="13" t="s">
        <v>3036</v>
      </c>
      <c r="H23" s="12" t="s">
        <v>98</v>
      </c>
      <c r="I23" s="12" t="s">
        <v>113</v>
      </c>
      <c r="J23" s="14" t="n">
        <v>46231</v>
      </c>
      <c r="K23" s="13"/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3037</v>
      </c>
      <c r="B24" s="12" t="s">
        <v>182</v>
      </c>
      <c r="C24" s="12" t="s">
        <v>1184</v>
      </c>
      <c r="D24" s="13" t="s">
        <v>3038</v>
      </c>
      <c r="E24" s="12" t="s">
        <v>134</v>
      </c>
      <c r="F24" s="12" t="s">
        <v>154</v>
      </c>
      <c r="G24" s="13" t="s">
        <v>2992</v>
      </c>
      <c r="H24" s="12" t="s">
        <v>98</v>
      </c>
      <c r="I24" s="12" t="s">
        <v>113</v>
      </c>
      <c r="J24" s="14" t="n">
        <v>46231</v>
      </c>
      <c r="K24" s="13"/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3039</v>
      </c>
      <c r="B25" s="12" t="s">
        <v>173</v>
      </c>
      <c r="C25" s="12" t="s">
        <v>3027</v>
      </c>
      <c r="D25" s="13" t="s">
        <v>3040</v>
      </c>
      <c r="E25" s="12" t="s">
        <v>134</v>
      </c>
      <c r="F25" s="12" t="s">
        <v>159</v>
      </c>
      <c r="G25" s="13" t="s">
        <v>3005</v>
      </c>
      <c r="H25" s="12" t="s">
        <v>98</v>
      </c>
      <c r="I25" s="12" t="s">
        <v>113</v>
      </c>
      <c r="J25" s="14" t="n">
        <v>46231</v>
      </c>
      <c r="K25" s="13"/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3041</v>
      </c>
      <c r="B26" s="12" t="s">
        <v>2576</v>
      </c>
      <c r="C26" s="12" t="s">
        <v>3027</v>
      </c>
      <c r="D26" s="13" t="s">
        <v>3042</v>
      </c>
      <c r="E26" s="12" t="s">
        <v>134</v>
      </c>
      <c r="F26" s="12" t="s">
        <v>169</v>
      </c>
      <c r="G26" s="13" t="s">
        <v>3016</v>
      </c>
      <c r="H26" s="12" t="s">
        <v>96</v>
      </c>
      <c r="I26" s="12" t="s">
        <v>112</v>
      </c>
      <c r="J26" s="14" t="n">
        <v>46231</v>
      </c>
      <c r="K26" s="13" t="s">
        <v>3043</v>
      </c>
      <c r="L26" s="12" t="n">
        <v>1</v>
      </c>
      <c r="M26" s="12" t="n">
        <f aca="false">IF(OR(AND(I26="yes",H26="verified"),AND(I26="no",OR(H26="tested",H26="verified")),AND(H26="not applicable",K26&lt;&gt;"")),1,0)</f>
        <v>0</v>
      </c>
    </row>
    <row r="27" customFormat="false" ht="54" hidden="false" customHeight="true" outlineLevel="0" collapsed="false">
      <c r="A27" s="12" t="s">
        <v>3044</v>
      </c>
      <c r="B27" s="12" t="s">
        <v>2522</v>
      </c>
      <c r="C27" s="12" t="s">
        <v>1184</v>
      </c>
      <c r="D27" s="13" t="s">
        <v>3045</v>
      </c>
      <c r="E27" s="12" t="s">
        <v>134</v>
      </c>
      <c r="F27" s="12" t="s">
        <v>169</v>
      </c>
      <c r="G27" s="13" t="s">
        <v>3016</v>
      </c>
      <c r="H27" s="12" t="s">
        <v>96</v>
      </c>
      <c r="I27" s="12" t="s">
        <v>112</v>
      </c>
      <c r="J27" s="14" t="n">
        <v>46231</v>
      </c>
      <c r="K27" s="13" t="s">
        <v>3046</v>
      </c>
      <c r="L27" s="12" t="n">
        <v>1</v>
      </c>
      <c r="M27" s="12" t="n">
        <f aca="false">IF(OR(AND(I27="yes",H27="verified"),AND(I27="no",OR(H27="tested",H27="verified")),AND(H27="not applicable",K27&lt;&gt;"")),1,0)</f>
        <v>0</v>
      </c>
    </row>
    <row r="28" customFormat="false" ht="54" hidden="false" customHeight="true" outlineLevel="0" collapsed="false">
      <c r="A28" s="12" t="s">
        <v>3047</v>
      </c>
      <c r="B28" s="12" t="s">
        <v>162</v>
      </c>
      <c r="C28" s="12" t="s">
        <v>1184</v>
      </c>
      <c r="D28" s="13" t="s">
        <v>3048</v>
      </c>
      <c r="E28" s="12" t="s">
        <v>134</v>
      </c>
      <c r="F28" s="12" t="s">
        <v>164</v>
      </c>
      <c r="G28" s="13" t="s">
        <v>3005</v>
      </c>
      <c r="H28" s="12" t="s">
        <v>98</v>
      </c>
      <c r="I28" s="12" t="s">
        <v>113</v>
      </c>
      <c r="J28" s="14" t="n">
        <v>46231</v>
      </c>
      <c r="K28" s="13"/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3049</v>
      </c>
      <c r="B29" s="12" t="s">
        <v>1863</v>
      </c>
      <c r="C29" s="12" t="s">
        <v>1184</v>
      </c>
      <c r="D29" s="13" t="s">
        <v>3050</v>
      </c>
      <c r="E29" s="12" t="s">
        <v>134</v>
      </c>
      <c r="F29" s="12" t="s">
        <v>169</v>
      </c>
      <c r="G29" s="13" t="s">
        <v>3008</v>
      </c>
      <c r="H29" s="12" t="s">
        <v>96</v>
      </c>
      <c r="I29" s="12" t="s">
        <v>112</v>
      </c>
      <c r="J29" s="14" t="n">
        <v>46231</v>
      </c>
      <c r="K29" s="13" t="s">
        <v>2884</v>
      </c>
      <c r="L29" s="12" t="n">
        <v>1</v>
      </c>
      <c r="M29" s="12" t="n">
        <f aca="false">IF(OR(AND(I29="yes",H29="verified"),AND(I29="no",OR(H29="tested",H29="verified")),AND(H29="not applicable",K29&lt;&gt;"")),1,0)</f>
        <v>0</v>
      </c>
    </row>
    <row r="30" customFormat="false" ht="54" hidden="false" customHeight="true" outlineLevel="0" collapsed="false">
      <c r="A30" s="12" t="s">
        <v>3051</v>
      </c>
      <c r="B30" s="12" t="s">
        <v>2471</v>
      </c>
      <c r="C30" s="12" t="s">
        <v>1184</v>
      </c>
      <c r="D30" s="13" t="s">
        <v>3052</v>
      </c>
      <c r="E30" s="12" t="s">
        <v>134</v>
      </c>
      <c r="F30" s="12" t="s">
        <v>175</v>
      </c>
      <c r="G30" s="13" t="s">
        <v>3053</v>
      </c>
      <c r="H30" s="12" t="s">
        <v>96</v>
      </c>
      <c r="I30" s="12" t="s">
        <v>112</v>
      </c>
      <c r="J30" s="14" t="n">
        <v>46231</v>
      </c>
      <c r="K30" s="13" t="s">
        <v>3054</v>
      </c>
      <c r="L30" s="12" t="n">
        <v>1</v>
      </c>
      <c r="M30" s="12" t="n">
        <f aca="false">IF(OR(AND(I30="yes",H30="verified"),AND(I30="no",OR(H30="tested",H30="verified")),AND(H30="not applicable",K30&lt;&gt;"")),1,0)</f>
        <v>0</v>
      </c>
    </row>
    <row r="31" customFormat="false" ht="54" hidden="false" customHeight="true" outlineLevel="0" collapsed="false">
      <c r="A31" s="12" t="s">
        <v>3055</v>
      </c>
      <c r="B31" s="12" t="s">
        <v>1531</v>
      </c>
      <c r="C31" s="12" t="s">
        <v>1184</v>
      </c>
      <c r="D31" s="13" t="s">
        <v>3056</v>
      </c>
      <c r="E31" s="12" t="s">
        <v>134</v>
      </c>
      <c r="F31" s="12" t="s">
        <v>2604</v>
      </c>
      <c r="G31" s="13" t="s">
        <v>3057</v>
      </c>
      <c r="H31" s="12" t="s">
        <v>98</v>
      </c>
      <c r="I31" s="12" t="s">
        <v>113</v>
      </c>
      <c r="J31" s="14" t="n">
        <v>46231</v>
      </c>
      <c r="K31" s="13"/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3058</v>
      </c>
      <c r="B32" s="12" t="s">
        <v>2698</v>
      </c>
      <c r="C32" s="12" t="s">
        <v>3059</v>
      </c>
      <c r="D32" s="13" t="s">
        <v>3060</v>
      </c>
      <c r="E32" s="12" t="s">
        <v>134</v>
      </c>
      <c r="F32" s="12" t="s">
        <v>2604</v>
      </c>
      <c r="G32" s="13" t="s">
        <v>3057</v>
      </c>
      <c r="H32" s="12" t="s">
        <v>98</v>
      </c>
      <c r="I32" s="12" t="s">
        <v>113</v>
      </c>
      <c r="J32" s="14" t="n">
        <v>46231</v>
      </c>
      <c r="K32" s="13"/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3061</v>
      </c>
      <c r="B33" s="12" t="s">
        <v>622</v>
      </c>
      <c r="C33" s="12" t="s">
        <v>1184</v>
      </c>
      <c r="D33" s="13" t="s">
        <v>3062</v>
      </c>
      <c r="E33" s="12" t="s">
        <v>134</v>
      </c>
      <c r="F33" s="12" t="s">
        <v>624</v>
      </c>
      <c r="G33" s="13" t="s">
        <v>3063</v>
      </c>
      <c r="H33" s="12" t="s">
        <v>98</v>
      </c>
      <c r="I33" s="12" t="s">
        <v>113</v>
      </c>
      <c r="J33" s="14" t="n">
        <v>46231</v>
      </c>
      <c r="K33" s="13"/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3064</v>
      </c>
      <c r="B34" s="12" t="s">
        <v>2377</v>
      </c>
      <c r="C34" s="12" t="s">
        <v>2602</v>
      </c>
      <c r="D34" s="13" t="s">
        <v>3065</v>
      </c>
      <c r="E34" s="12" t="s">
        <v>134</v>
      </c>
      <c r="F34" s="12" t="s">
        <v>2604</v>
      </c>
      <c r="G34" s="13" t="s">
        <v>3066</v>
      </c>
      <c r="H34" s="12" t="s">
        <v>98</v>
      </c>
      <c r="I34" s="12" t="s">
        <v>113</v>
      </c>
      <c r="J34" s="14" t="n">
        <v>46231</v>
      </c>
      <c r="K34" s="13"/>
      <c r="L34" s="12" t="n">
        <v>1</v>
      </c>
      <c r="M34" s="12" t="n">
        <f aca="false">IF(OR(AND(I34="yes",H34="verified"),AND(I34="no",OR(H34="tested",H34="verified")),AND(H34="not applicable",K34&lt;&gt;"")),1,0)</f>
        <v>1</v>
      </c>
    </row>
    <row r="35" customFormat="false" ht="54" hidden="false" customHeight="true" outlineLevel="0" collapsed="false">
      <c r="A35" s="12" t="s">
        <v>3067</v>
      </c>
      <c r="B35" s="12" t="s">
        <v>196</v>
      </c>
      <c r="C35" s="12" t="s">
        <v>2607</v>
      </c>
      <c r="D35" s="13" t="s">
        <v>3068</v>
      </c>
      <c r="E35" s="12" t="s">
        <v>134</v>
      </c>
      <c r="F35" s="12" t="s">
        <v>2604</v>
      </c>
      <c r="G35" s="13" t="s">
        <v>3069</v>
      </c>
      <c r="H35" s="12" t="s">
        <v>98</v>
      </c>
      <c r="I35" s="12" t="s">
        <v>113</v>
      </c>
      <c r="J35" s="14" t="n">
        <v>46231</v>
      </c>
      <c r="K35" s="13"/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3070</v>
      </c>
      <c r="B36" s="12" t="s">
        <v>200</v>
      </c>
      <c r="C36" s="12" t="s">
        <v>1184</v>
      </c>
      <c r="D36" s="13" t="s">
        <v>3071</v>
      </c>
      <c r="E36" s="12" t="s">
        <v>202</v>
      </c>
      <c r="F36" s="12" t="s">
        <v>202</v>
      </c>
      <c r="G36" s="13" t="s">
        <v>203</v>
      </c>
      <c r="H36" s="12" t="s">
        <v>98</v>
      </c>
      <c r="I36" s="12" t="s">
        <v>113</v>
      </c>
      <c r="J36" s="14" t="n">
        <v>46231</v>
      </c>
      <c r="K36" s="13" t="s">
        <v>2976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  <row r="37" customFormat="false" ht="54" hidden="false" customHeight="true" outlineLevel="0" collapsed="false">
      <c r="A37" s="12" t="s">
        <v>3072</v>
      </c>
      <c r="B37" s="12" t="s">
        <v>167</v>
      </c>
      <c r="C37" s="12" t="s">
        <v>1184</v>
      </c>
      <c r="D37" s="13" t="s">
        <v>3073</v>
      </c>
      <c r="E37" s="12" t="s">
        <v>134</v>
      </c>
      <c r="F37" s="12" t="s">
        <v>169</v>
      </c>
      <c r="G37" s="13" t="s">
        <v>3008</v>
      </c>
      <c r="H37" s="12" t="s">
        <v>96</v>
      </c>
      <c r="I37" s="12" t="s">
        <v>112</v>
      </c>
      <c r="J37" s="14" t="n">
        <v>46231</v>
      </c>
      <c r="K37" s="13" t="s">
        <v>2907</v>
      </c>
      <c r="L37" s="12" t="n">
        <v>1</v>
      </c>
      <c r="M37" s="12" t="n">
        <f aca="false">IF(OR(AND(I37="yes",H37="verified"),AND(I37="no",OR(H37="tested",H37="verified")),AND(H37="not applicable",K37&lt;&gt;"")),1,0)</f>
        <v>0</v>
      </c>
    </row>
    <row r="38" customFormat="false" ht="54" hidden="false" customHeight="true" outlineLevel="0" collapsed="false">
      <c r="A38" s="12" t="s">
        <v>3074</v>
      </c>
      <c r="B38" s="12" t="s">
        <v>187</v>
      </c>
      <c r="C38" s="12" t="s">
        <v>1184</v>
      </c>
      <c r="D38" s="13" t="s">
        <v>3075</v>
      </c>
      <c r="E38" s="12" t="s">
        <v>134</v>
      </c>
      <c r="F38" s="12" t="s">
        <v>175</v>
      </c>
      <c r="G38" s="13" t="s">
        <v>3053</v>
      </c>
      <c r="H38" s="12" t="s">
        <v>92</v>
      </c>
      <c r="I38" s="12" t="s">
        <v>112</v>
      </c>
      <c r="J38" s="14"/>
      <c r="K38" s="13" t="s">
        <v>1807</v>
      </c>
      <c r="L38" s="12" t="n">
        <v>1</v>
      </c>
      <c r="M38" s="12" t="n">
        <f aca="false">IF(OR(AND(I38="yes",H38="verified"),AND(I38="no",OR(H38="tested",H38="verified")),AND(H38="not applicable",K38&lt;&gt;"")),1,0)</f>
        <v>0</v>
      </c>
    </row>
    <row r="39" customFormat="false" ht="54" hidden="false" customHeight="true" outlineLevel="0" collapsed="false">
      <c r="A39" s="12" t="s">
        <v>3076</v>
      </c>
      <c r="B39" s="12" t="s">
        <v>205</v>
      </c>
      <c r="C39" s="12" t="s">
        <v>2620</v>
      </c>
      <c r="D39" s="13" t="s">
        <v>3077</v>
      </c>
      <c r="E39" s="12" t="s">
        <v>134</v>
      </c>
      <c r="F39" s="12" t="s">
        <v>134</v>
      </c>
      <c r="G39" s="13" t="s">
        <v>2544</v>
      </c>
      <c r="H39" s="12" t="s">
        <v>98</v>
      </c>
      <c r="I39" s="12" t="s">
        <v>113</v>
      </c>
      <c r="J39" s="14" t="n">
        <v>46231</v>
      </c>
      <c r="K39" s="13" t="s">
        <v>3078</v>
      </c>
      <c r="L39" s="12" t="n">
        <v>1</v>
      </c>
      <c r="M39" s="12" t="n">
        <f aca="false">IF(OR(AND(I39="yes",H39="verified"),AND(I39="no",OR(H39="tested",H39="verified")),AND(H39="not applicable",K39&lt;&gt;"")),1,0)</f>
        <v>1</v>
      </c>
    </row>
  </sheetData>
  <autoFilter ref="A8:M39"/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3079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3080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COUNTA(A9:A30)</f>
        <v>22</v>
      </c>
      <c r="D4" s="5" t="s">
        <v>116</v>
      </c>
      <c r="E4" s="6" t="n">
        <f aca="false">SUM(M9:M30)</f>
        <v>14</v>
      </c>
      <c r="G4" s="5" t="s">
        <v>14</v>
      </c>
      <c r="H4" s="7" t="n">
        <f aca="false">IF(B4=0,0,E4/B4)</f>
        <v>0.636363636363636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117</v>
      </c>
      <c r="B5" s="6" t="str">
        <f aca="false">IF(COUNTIFS(I9:I30,"yes",M9:M30,0)&gt;0,"open","complete")</f>
        <v>open</v>
      </c>
      <c r="D5" s="5" t="s">
        <v>16</v>
      </c>
      <c r="E5" s="6" t="str">
        <f aca="false">IF(COUNTIFS(E9:E30,"consumer",M9:M30,0)&gt;0,"open","complete")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1081</v>
      </c>
      <c r="B9" s="12" t="s">
        <v>131</v>
      </c>
      <c r="C9" s="12" t="s">
        <v>3081</v>
      </c>
      <c r="D9" s="13" t="s">
        <v>3082</v>
      </c>
      <c r="E9" s="12" t="s">
        <v>134</v>
      </c>
      <c r="F9" s="12" t="s">
        <v>135</v>
      </c>
      <c r="G9" s="13" t="s">
        <v>3083</v>
      </c>
      <c r="H9" s="12" t="s">
        <v>98</v>
      </c>
      <c r="I9" s="12" t="s">
        <v>113</v>
      </c>
      <c r="J9" s="14" t="s">
        <v>3084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1085</v>
      </c>
      <c r="B10" s="12" t="s">
        <v>1343</v>
      </c>
      <c r="C10" s="12" t="s">
        <v>1184</v>
      </c>
      <c r="D10" s="13" t="s">
        <v>3085</v>
      </c>
      <c r="E10" s="12" t="s">
        <v>134</v>
      </c>
      <c r="F10" s="12" t="s">
        <v>154</v>
      </c>
      <c r="G10" s="13" t="s">
        <v>3086</v>
      </c>
      <c r="H10" s="12" t="s">
        <v>98</v>
      </c>
      <c r="I10" s="12" t="s">
        <v>113</v>
      </c>
      <c r="J10" s="14" t="s">
        <v>3084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1089</v>
      </c>
      <c r="B11" s="12" t="s">
        <v>138</v>
      </c>
      <c r="C11" s="12" t="s">
        <v>77</v>
      </c>
      <c r="D11" s="13" t="s">
        <v>3087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s">
        <v>3084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1093</v>
      </c>
      <c r="B12" s="12" t="s">
        <v>142</v>
      </c>
      <c r="C12" s="12" t="s">
        <v>1390</v>
      </c>
      <c r="D12" s="13" t="s">
        <v>3088</v>
      </c>
      <c r="E12" s="12" t="s">
        <v>134</v>
      </c>
      <c r="F12" s="12" t="s">
        <v>144</v>
      </c>
      <c r="G12" s="13" t="s">
        <v>3089</v>
      </c>
      <c r="H12" s="12" t="s">
        <v>98</v>
      </c>
      <c r="I12" s="12" t="s">
        <v>113</v>
      </c>
      <c r="J12" s="14" t="s">
        <v>3084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1095</v>
      </c>
      <c r="B13" s="12" t="s">
        <v>147</v>
      </c>
      <c r="C13" s="12" t="s">
        <v>3090</v>
      </c>
      <c r="D13" s="13" t="s">
        <v>1394</v>
      </c>
      <c r="E13" s="12" t="s">
        <v>134</v>
      </c>
      <c r="F13" s="12" t="s">
        <v>149</v>
      </c>
      <c r="G13" s="13" t="s">
        <v>3091</v>
      </c>
      <c r="H13" s="12" t="s">
        <v>98</v>
      </c>
      <c r="I13" s="12" t="s">
        <v>113</v>
      </c>
      <c r="J13" s="14" t="s">
        <v>3084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1098</v>
      </c>
      <c r="B14" s="12" t="s">
        <v>3092</v>
      </c>
      <c r="C14" s="12" t="s">
        <v>3093</v>
      </c>
      <c r="D14" s="13" t="s">
        <v>3094</v>
      </c>
      <c r="E14" s="12" t="s">
        <v>159</v>
      </c>
      <c r="F14" s="12" t="s">
        <v>159</v>
      </c>
      <c r="G14" s="13" t="s">
        <v>3095</v>
      </c>
      <c r="H14" s="12" t="s">
        <v>98</v>
      </c>
      <c r="I14" s="12" t="s">
        <v>113</v>
      </c>
      <c r="J14" s="14" t="s">
        <v>3084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1101</v>
      </c>
      <c r="B15" s="12" t="s">
        <v>1916</v>
      </c>
      <c r="C15" s="12" t="s">
        <v>3096</v>
      </c>
      <c r="D15" s="13" t="s">
        <v>3097</v>
      </c>
      <c r="E15" s="12" t="s">
        <v>159</v>
      </c>
      <c r="F15" s="12" t="s">
        <v>159</v>
      </c>
      <c r="G15" s="13" t="s">
        <v>3095</v>
      </c>
      <c r="H15" s="12" t="s">
        <v>98</v>
      </c>
      <c r="I15" s="12" t="s">
        <v>113</v>
      </c>
      <c r="J15" s="14" t="s">
        <v>3084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1104</v>
      </c>
      <c r="B16" s="12" t="s">
        <v>3098</v>
      </c>
      <c r="C16" s="12" t="s">
        <v>3099</v>
      </c>
      <c r="D16" s="13" t="s">
        <v>3100</v>
      </c>
      <c r="E16" s="12" t="s">
        <v>134</v>
      </c>
      <c r="F16" s="12" t="s">
        <v>154</v>
      </c>
      <c r="G16" s="13" t="s">
        <v>3086</v>
      </c>
      <c r="H16" s="12" t="s">
        <v>98</v>
      </c>
      <c r="I16" s="12" t="s">
        <v>113</v>
      </c>
      <c r="J16" s="14" t="s">
        <v>3084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1107</v>
      </c>
      <c r="B17" s="12" t="s">
        <v>1589</v>
      </c>
      <c r="C17" s="12" t="s">
        <v>3101</v>
      </c>
      <c r="D17" s="13" t="s">
        <v>3102</v>
      </c>
      <c r="E17" s="12" t="s">
        <v>3103</v>
      </c>
      <c r="F17" s="12" t="s">
        <v>169</v>
      </c>
      <c r="G17" s="13" t="s">
        <v>3104</v>
      </c>
      <c r="H17" s="12" t="s">
        <v>96</v>
      </c>
      <c r="I17" s="12" t="s">
        <v>112</v>
      </c>
      <c r="J17" s="14" t="s">
        <v>3105</v>
      </c>
      <c r="K17" s="13"/>
      <c r="L17" s="12"/>
      <c r="M17" s="12" t="n">
        <f aca="false">IF(OR(H17="tested",H17="verified",H17="not applicable"),1,0)</f>
        <v>0</v>
      </c>
    </row>
    <row r="18" customFormat="false" ht="54" hidden="false" customHeight="true" outlineLevel="0" collapsed="false">
      <c r="A18" s="12" t="s">
        <v>1110</v>
      </c>
      <c r="B18" s="12" t="s">
        <v>1133</v>
      </c>
      <c r="C18" s="12" t="s">
        <v>3106</v>
      </c>
      <c r="D18" s="13" t="s">
        <v>3107</v>
      </c>
      <c r="E18" s="12" t="s">
        <v>159</v>
      </c>
      <c r="F18" s="12" t="s">
        <v>159</v>
      </c>
      <c r="G18" s="13" t="s">
        <v>3095</v>
      </c>
      <c r="H18" s="12" t="s">
        <v>98</v>
      </c>
      <c r="I18" s="12" t="s">
        <v>113</v>
      </c>
      <c r="J18" s="14" t="s">
        <v>3084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1113</v>
      </c>
      <c r="B19" s="12" t="s">
        <v>3108</v>
      </c>
      <c r="C19" s="12" t="s">
        <v>1086</v>
      </c>
      <c r="D19" s="13" t="s">
        <v>3109</v>
      </c>
      <c r="E19" s="12" t="s">
        <v>159</v>
      </c>
      <c r="F19" s="12" t="s">
        <v>159</v>
      </c>
      <c r="G19" s="13" t="s">
        <v>3095</v>
      </c>
      <c r="H19" s="12" t="s">
        <v>98</v>
      </c>
      <c r="I19" s="12" t="s">
        <v>113</v>
      </c>
      <c r="J19" s="14" t="s">
        <v>3084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1115</v>
      </c>
      <c r="B20" s="12" t="s">
        <v>3110</v>
      </c>
      <c r="C20" s="12" t="s">
        <v>1086</v>
      </c>
      <c r="D20" s="13" t="s">
        <v>3111</v>
      </c>
      <c r="E20" s="12" t="s">
        <v>3103</v>
      </c>
      <c r="F20" s="12" t="s">
        <v>175</v>
      </c>
      <c r="G20" s="13" t="s">
        <v>3112</v>
      </c>
      <c r="H20" s="12" t="s">
        <v>96</v>
      </c>
      <c r="I20" s="12" t="s">
        <v>112</v>
      </c>
      <c r="J20" s="14" t="s">
        <v>3105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1118</v>
      </c>
      <c r="B21" s="12" t="s">
        <v>162</v>
      </c>
      <c r="C21" s="12" t="s">
        <v>1184</v>
      </c>
      <c r="D21" s="13" t="s">
        <v>3113</v>
      </c>
      <c r="E21" s="12" t="s">
        <v>159</v>
      </c>
      <c r="F21" s="12" t="s">
        <v>164</v>
      </c>
      <c r="G21" s="13" t="s">
        <v>3095</v>
      </c>
      <c r="H21" s="12" t="s">
        <v>98</v>
      </c>
      <c r="I21" s="12" t="s">
        <v>113</v>
      </c>
      <c r="J21" s="14" t="s">
        <v>3084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1121</v>
      </c>
      <c r="B22" s="12" t="s">
        <v>1863</v>
      </c>
      <c r="C22" s="12" t="s">
        <v>1184</v>
      </c>
      <c r="D22" s="13" t="s">
        <v>3114</v>
      </c>
      <c r="E22" s="12" t="s">
        <v>3103</v>
      </c>
      <c r="F22" s="12" t="s">
        <v>169</v>
      </c>
      <c r="G22" s="13" t="s">
        <v>3104</v>
      </c>
      <c r="H22" s="12" t="s">
        <v>96</v>
      </c>
      <c r="I22" s="12" t="s">
        <v>112</v>
      </c>
      <c r="J22" s="14" t="s">
        <v>3105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1123</v>
      </c>
      <c r="B23" s="12" t="s">
        <v>173</v>
      </c>
      <c r="C23" s="12" t="s">
        <v>3115</v>
      </c>
      <c r="D23" s="13" t="s">
        <v>3116</v>
      </c>
      <c r="E23" s="12" t="s">
        <v>3103</v>
      </c>
      <c r="F23" s="12" t="s">
        <v>175</v>
      </c>
      <c r="G23" s="13" t="s">
        <v>3112</v>
      </c>
      <c r="H23" s="12" t="s">
        <v>96</v>
      </c>
      <c r="I23" s="12" t="s">
        <v>112</v>
      </c>
      <c r="J23" s="14" t="s">
        <v>3105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1125</v>
      </c>
      <c r="B24" s="12" t="s">
        <v>2522</v>
      </c>
      <c r="C24" s="12" t="s">
        <v>3115</v>
      </c>
      <c r="D24" s="13" t="s">
        <v>3117</v>
      </c>
      <c r="E24" s="12" t="s">
        <v>3103</v>
      </c>
      <c r="F24" s="12" t="s">
        <v>169</v>
      </c>
      <c r="G24" s="13" t="s">
        <v>3104</v>
      </c>
      <c r="H24" s="12" t="s">
        <v>96</v>
      </c>
      <c r="I24" s="12" t="s">
        <v>112</v>
      </c>
      <c r="J24" s="14" t="s">
        <v>3105</v>
      </c>
      <c r="K24" s="13"/>
      <c r="L24" s="12"/>
      <c r="M24" s="12" t="n">
        <f aca="false">IF(OR(H24="tested",H24="verified",H24="not applicable"),1,0)</f>
        <v>0</v>
      </c>
    </row>
    <row r="25" customFormat="false" ht="23.25" hidden="false" customHeight="true" outlineLevel="0" collapsed="false">
      <c r="A25" s="12" t="s">
        <v>3118</v>
      </c>
      <c r="B25" s="12" t="s">
        <v>1531</v>
      </c>
      <c r="C25" s="12" t="s">
        <v>3106</v>
      </c>
      <c r="D25" s="13" t="s">
        <v>3119</v>
      </c>
      <c r="E25" s="12" t="s">
        <v>3103</v>
      </c>
      <c r="F25" s="12" t="s">
        <v>175</v>
      </c>
      <c r="G25" s="13" t="s">
        <v>3112</v>
      </c>
      <c r="H25" s="12" t="s">
        <v>96</v>
      </c>
      <c r="I25" s="12" t="s">
        <v>112</v>
      </c>
      <c r="J25" s="14" t="s">
        <v>3105</v>
      </c>
      <c r="K25" s="13"/>
      <c r="L25" s="12"/>
      <c r="M25" s="12" t="n">
        <f aca="false">IF(OR(H25="tested",H25="verified",H25="not applicable"),1,0)</f>
        <v>0</v>
      </c>
    </row>
    <row r="26" customFormat="false" ht="23.25" hidden="false" customHeight="true" outlineLevel="0" collapsed="false">
      <c r="A26" s="12" t="s">
        <v>3120</v>
      </c>
      <c r="B26" s="12" t="s">
        <v>2377</v>
      </c>
      <c r="C26" s="12" t="s">
        <v>77</v>
      </c>
      <c r="D26" s="13" t="s">
        <v>3121</v>
      </c>
      <c r="E26" s="12" t="s">
        <v>134</v>
      </c>
      <c r="F26" s="12" t="s">
        <v>193</v>
      </c>
      <c r="G26" s="13" t="s">
        <v>3122</v>
      </c>
      <c r="H26" s="12" t="s">
        <v>98</v>
      </c>
      <c r="I26" s="12" t="s">
        <v>113</v>
      </c>
      <c r="J26" s="14" t="s">
        <v>3084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3123</v>
      </c>
      <c r="B27" s="12" t="s">
        <v>200</v>
      </c>
      <c r="C27" s="12" t="s">
        <v>77</v>
      </c>
      <c r="D27" s="13" t="s">
        <v>3124</v>
      </c>
      <c r="E27" s="12" t="s">
        <v>202</v>
      </c>
      <c r="F27" s="12" t="s">
        <v>202</v>
      </c>
      <c r="G27" s="13" t="s">
        <v>3125</v>
      </c>
      <c r="H27" s="12" t="s">
        <v>98</v>
      </c>
      <c r="I27" s="12" t="s">
        <v>113</v>
      </c>
      <c r="J27" s="14" t="s">
        <v>3084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 t="s">
        <v>3126</v>
      </c>
      <c r="B28" s="12" t="s">
        <v>205</v>
      </c>
      <c r="C28" s="12" t="s">
        <v>77</v>
      </c>
      <c r="D28" s="13" t="s">
        <v>3127</v>
      </c>
      <c r="E28" s="12" t="s">
        <v>202</v>
      </c>
      <c r="F28" s="12" t="s">
        <v>134</v>
      </c>
      <c r="G28" s="13" t="s">
        <v>3128</v>
      </c>
      <c r="H28" s="12" t="s">
        <v>98</v>
      </c>
      <c r="I28" s="12" t="s">
        <v>113</v>
      </c>
      <c r="J28" s="14" t="s">
        <v>3084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 t="s">
        <v>3129</v>
      </c>
      <c r="B29" s="12" t="s">
        <v>187</v>
      </c>
      <c r="C29" s="12" t="s">
        <v>1184</v>
      </c>
      <c r="D29" s="13" t="s">
        <v>3130</v>
      </c>
      <c r="E29" s="12" t="s">
        <v>3103</v>
      </c>
      <c r="F29" s="12" t="s">
        <v>175</v>
      </c>
      <c r="G29" s="13" t="s">
        <v>3112</v>
      </c>
      <c r="H29" s="12" t="s">
        <v>96</v>
      </c>
      <c r="I29" s="12" t="s">
        <v>112</v>
      </c>
      <c r="J29" s="14" t="s">
        <v>3105</v>
      </c>
      <c r="K29" s="13"/>
      <c r="L29" s="12"/>
      <c r="M29" s="12" t="n">
        <f aca="false">IF(OR(H29="tested",H29="verified",H29="not applicable"),1,0)</f>
        <v>0</v>
      </c>
    </row>
    <row r="30" customFormat="false" ht="23.25" hidden="false" customHeight="true" outlineLevel="0" collapsed="false">
      <c r="A30" s="12" t="s">
        <v>3131</v>
      </c>
      <c r="B30" s="12" t="s">
        <v>167</v>
      </c>
      <c r="C30" s="12" t="s">
        <v>1184</v>
      </c>
      <c r="D30" s="13" t="s">
        <v>3132</v>
      </c>
      <c r="E30" s="12" t="s">
        <v>3103</v>
      </c>
      <c r="F30" s="12" t="s">
        <v>169</v>
      </c>
      <c r="G30" s="13" t="s">
        <v>3104</v>
      </c>
      <c r="H30" s="12" t="s">
        <v>96</v>
      </c>
      <c r="I30" s="12" t="s">
        <v>112</v>
      </c>
      <c r="J30" s="14" t="s">
        <v>3105</v>
      </c>
      <c r="K30" s="13"/>
      <c r="L30" s="12"/>
      <c r="M30" s="12" t="n">
        <f aca="false">IF(OR(H30="tested",H30="verified",H30="not applicable"),1,0)</f>
        <v>0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3134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COUNTA(A9:A27)</f>
        <v>19</v>
      </c>
      <c r="D4" s="5" t="s">
        <v>116</v>
      </c>
      <c r="E4" s="6" t="n">
        <f aca="false">SUM(M9:M27)</f>
        <v>17</v>
      </c>
      <c r="G4" s="5" t="s">
        <v>14</v>
      </c>
      <c r="H4" s="7" t="n">
        <f aca="false">IF(B4=0,0,E4/B4)</f>
        <v>0.894736842105263</v>
      </c>
      <c r="J4" s="5" t="s">
        <v>15</v>
      </c>
      <c r="K4" s="6" t="str">
        <f aca="false">IF(COUNTIFS(E9:E27,"package",M9:M27,0)&gt;0,"open","complete")</f>
        <v>complete</v>
      </c>
    </row>
    <row r="5" customFormat="false" ht="17.25" hidden="false" customHeight="true" outlineLevel="0" collapsed="false">
      <c r="A5" s="5" t="s">
        <v>117</v>
      </c>
      <c r="B5" s="6" t="str">
        <f aca="false">IF(COUNTIFS(I9:I27,"yes",M9:M27,0)&gt;0,"open","complete")</f>
        <v>open</v>
      </c>
      <c r="D5" s="5" t="s">
        <v>16</v>
      </c>
      <c r="E5" s="6" t="str">
        <f aca="false">IF(COUNTIFS(E9:E27,"consumer",M9:M27,0)&gt;0,"open","complete")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3135</v>
      </c>
      <c r="B9" s="12" t="s">
        <v>131</v>
      </c>
      <c r="C9" s="12" t="s">
        <v>782</v>
      </c>
      <c r="D9" s="13" t="s">
        <v>3136</v>
      </c>
      <c r="E9" s="12" t="s">
        <v>134</v>
      </c>
      <c r="F9" s="12" t="s">
        <v>135</v>
      </c>
      <c r="G9" s="13" t="s">
        <v>3137</v>
      </c>
      <c r="H9" s="12" t="s">
        <v>98</v>
      </c>
      <c r="I9" s="12" t="s">
        <v>113</v>
      </c>
      <c r="J9" s="14" t="s">
        <v>3084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3138</v>
      </c>
      <c r="B10" s="12" t="s">
        <v>1343</v>
      </c>
      <c r="C10" s="12" t="s">
        <v>1184</v>
      </c>
      <c r="D10" s="13" t="s">
        <v>3139</v>
      </c>
      <c r="E10" s="12" t="s">
        <v>134</v>
      </c>
      <c r="F10" s="12" t="s">
        <v>154</v>
      </c>
      <c r="G10" s="13" t="s">
        <v>3140</v>
      </c>
      <c r="H10" s="12" t="s">
        <v>98</v>
      </c>
      <c r="I10" s="12" t="s">
        <v>113</v>
      </c>
      <c r="J10" s="14" t="s">
        <v>3084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3141</v>
      </c>
      <c r="B11" s="12" t="s">
        <v>138</v>
      </c>
      <c r="C11" s="12" t="s">
        <v>3142</v>
      </c>
      <c r="D11" s="13" t="s">
        <v>3143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s">
        <v>3084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3144</v>
      </c>
      <c r="B12" s="12" t="s">
        <v>142</v>
      </c>
      <c r="C12" s="12" t="s">
        <v>1390</v>
      </c>
      <c r="D12" s="13" t="s">
        <v>3088</v>
      </c>
      <c r="E12" s="12" t="s">
        <v>134</v>
      </c>
      <c r="F12" s="12" t="s">
        <v>144</v>
      </c>
      <c r="G12" s="13" t="s">
        <v>3145</v>
      </c>
      <c r="H12" s="12" t="s">
        <v>98</v>
      </c>
      <c r="I12" s="12" t="s">
        <v>113</v>
      </c>
      <c r="J12" s="14" t="s">
        <v>3084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3146</v>
      </c>
      <c r="B13" s="12" t="s">
        <v>147</v>
      </c>
      <c r="C13" s="12" t="s">
        <v>1184</v>
      </c>
      <c r="D13" s="13" t="s">
        <v>3147</v>
      </c>
      <c r="E13" s="12" t="s">
        <v>134</v>
      </c>
      <c r="F13" s="12" t="s">
        <v>149</v>
      </c>
      <c r="G13" s="13" t="s">
        <v>3148</v>
      </c>
      <c r="H13" s="12" t="s">
        <v>98</v>
      </c>
      <c r="I13" s="12" t="s">
        <v>113</v>
      </c>
      <c r="J13" s="14" t="s">
        <v>3084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3149</v>
      </c>
      <c r="B14" s="12" t="s">
        <v>3150</v>
      </c>
      <c r="C14" s="12" t="s">
        <v>3151</v>
      </c>
      <c r="D14" s="13" t="s">
        <v>3152</v>
      </c>
      <c r="E14" s="12" t="s">
        <v>159</v>
      </c>
      <c r="F14" s="12" t="s">
        <v>159</v>
      </c>
      <c r="G14" s="13" t="s">
        <v>3153</v>
      </c>
      <c r="H14" s="12" t="s">
        <v>98</v>
      </c>
      <c r="I14" s="12" t="s">
        <v>113</v>
      </c>
      <c r="J14" s="14" t="s">
        <v>3084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3154</v>
      </c>
      <c r="B15" s="12" t="s">
        <v>1409</v>
      </c>
      <c r="C15" s="12" t="s">
        <v>3099</v>
      </c>
      <c r="D15" s="13" t="s">
        <v>3155</v>
      </c>
      <c r="E15" s="12" t="s">
        <v>159</v>
      </c>
      <c r="F15" s="12" t="s">
        <v>159</v>
      </c>
      <c r="G15" s="13" t="s">
        <v>3153</v>
      </c>
      <c r="H15" s="12" t="s">
        <v>98</v>
      </c>
      <c r="I15" s="12" t="s">
        <v>113</v>
      </c>
      <c r="J15" s="14" t="s">
        <v>3084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3156</v>
      </c>
      <c r="B16" s="12" t="s">
        <v>1589</v>
      </c>
      <c r="C16" s="12" t="s">
        <v>1184</v>
      </c>
      <c r="D16" s="13" t="s">
        <v>3157</v>
      </c>
      <c r="E16" s="12" t="s">
        <v>3103</v>
      </c>
      <c r="F16" s="12" t="s">
        <v>169</v>
      </c>
      <c r="G16" s="13" t="s">
        <v>3158</v>
      </c>
      <c r="H16" s="12" t="s">
        <v>100</v>
      </c>
      <c r="I16" s="12" t="s">
        <v>112</v>
      </c>
      <c r="J16" s="14" t="s">
        <v>3159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3160</v>
      </c>
      <c r="B17" s="12" t="s">
        <v>1133</v>
      </c>
      <c r="C17" s="12" t="s">
        <v>782</v>
      </c>
      <c r="D17" s="13" t="s">
        <v>3161</v>
      </c>
      <c r="E17" s="12" t="s">
        <v>159</v>
      </c>
      <c r="F17" s="12" t="s">
        <v>159</v>
      </c>
      <c r="G17" s="13" t="s">
        <v>3153</v>
      </c>
      <c r="H17" s="12" t="s">
        <v>98</v>
      </c>
      <c r="I17" s="12" t="s">
        <v>113</v>
      </c>
      <c r="J17" s="14" t="s">
        <v>3084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3162</v>
      </c>
      <c r="B18" s="12" t="s">
        <v>162</v>
      </c>
      <c r="C18" s="12" t="s">
        <v>1184</v>
      </c>
      <c r="D18" s="13" t="s">
        <v>3163</v>
      </c>
      <c r="E18" s="12" t="s">
        <v>159</v>
      </c>
      <c r="F18" s="12" t="s">
        <v>164</v>
      </c>
      <c r="G18" s="13" t="s">
        <v>3153</v>
      </c>
      <c r="H18" s="12" t="s">
        <v>98</v>
      </c>
      <c r="I18" s="12" t="s">
        <v>113</v>
      </c>
      <c r="J18" s="14" t="s">
        <v>3084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3164</v>
      </c>
      <c r="B19" s="12" t="s">
        <v>1863</v>
      </c>
      <c r="C19" s="12" t="s">
        <v>1184</v>
      </c>
      <c r="D19" s="13" t="s">
        <v>3165</v>
      </c>
      <c r="E19" s="12" t="s">
        <v>3103</v>
      </c>
      <c r="F19" s="12" t="s">
        <v>169</v>
      </c>
      <c r="G19" s="13" t="s">
        <v>3158</v>
      </c>
      <c r="H19" s="12" t="s">
        <v>100</v>
      </c>
      <c r="I19" s="12" t="s">
        <v>112</v>
      </c>
      <c r="J19" s="14" t="s">
        <v>3159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3166</v>
      </c>
      <c r="B20" s="12" t="s">
        <v>173</v>
      </c>
      <c r="C20" s="12" t="s">
        <v>782</v>
      </c>
      <c r="D20" s="13" t="s">
        <v>3167</v>
      </c>
      <c r="E20" s="12" t="s">
        <v>3103</v>
      </c>
      <c r="F20" s="12" t="s">
        <v>175</v>
      </c>
      <c r="G20" s="13" t="s">
        <v>3168</v>
      </c>
      <c r="H20" s="12" t="s">
        <v>96</v>
      </c>
      <c r="I20" s="12" t="s">
        <v>112</v>
      </c>
      <c r="J20" s="14" t="s">
        <v>3169</v>
      </c>
      <c r="K20" s="13"/>
      <c r="L20" s="12"/>
      <c r="M20" s="12" t="n">
        <f aca="false">IF(OR(H20="tested",H20="verified",H20="not applicable"),1,0)</f>
        <v>0</v>
      </c>
    </row>
    <row r="21" customFormat="false" ht="54" hidden="false" customHeight="true" outlineLevel="0" collapsed="false">
      <c r="A21" s="12" t="s">
        <v>3170</v>
      </c>
      <c r="B21" s="12" t="s">
        <v>2522</v>
      </c>
      <c r="C21" s="12" t="s">
        <v>3171</v>
      </c>
      <c r="D21" s="13" t="s">
        <v>3172</v>
      </c>
      <c r="E21" s="12" t="s">
        <v>3103</v>
      </c>
      <c r="F21" s="12" t="s">
        <v>169</v>
      </c>
      <c r="G21" s="13" t="s">
        <v>3158</v>
      </c>
      <c r="H21" s="12" t="s">
        <v>100</v>
      </c>
      <c r="I21" s="12" t="s">
        <v>112</v>
      </c>
      <c r="J21" s="14" t="s">
        <v>3159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3173</v>
      </c>
      <c r="B22" s="12" t="s">
        <v>1531</v>
      </c>
      <c r="C22" s="12" t="s">
        <v>782</v>
      </c>
      <c r="D22" s="13" t="s">
        <v>3119</v>
      </c>
      <c r="E22" s="12" t="s">
        <v>3103</v>
      </c>
      <c r="F22" s="12" t="s">
        <v>175</v>
      </c>
      <c r="G22" s="13" t="s">
        <v>3168</v>
      </c>
      <c r="H22" s="12" t="s">
        <v>100</v>
      </c>
      <c r="I22" s="12" t="s">
        <v>112</v>
      </c>
      <c r="J22" s="14" t="s">
        <v>3159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3174</v>
      </c>
      <c r="B23" s="12" t="s">
        <v>2377</v>
      </c>
      <c r="C23" s="12" t="s">
        <v>3142</v>
      </c>
      <c r="D23" s="13" t="s">
        <v>3175</v>
      </c>
      <c r="E23" s="12" t="s">
        <v>134</v>
      </c>
      <c r="F23" s="12" t="s">
        <v>193</v>
      </c>
      <c r="G23" s="13" t="s">
        <v>3176</v>
      </c>
      <c r="H23" s="12" t="s">
        <v>98</v>
      </c>
      <c r="I23" s="12" t="s">
        <v>113</v>
      </c>
      <c r="J23" s="14" t="s">
        <v>3084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3177</v>
      </c>
      <c r="B24" s="12" t="s">
        <v>200</v>
      </c>
      <c r="C24" s="12" t="s">
        <v>3142</v>
      </c>
      <c r="D24" s="13" t="s">
        <v>3178</v>
      </c>
      <c r="E24" s="12" t="s">
        <v>202</v>
      </c>
      <c r="F24" s="12" t="s">
        <v>202</v>
      </c>
      <c r="G24" s="13" t="s">
        <v>3125</v>
      </c>
      <c r="H24" s="12" t="s">
        <v>98</v>
      </c>
      <c r="I24" s="12" t="s">
        <v>113</v>
      </c>
      <c r="J24" s="14" t="s">
        <v>3179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3180</v>
      </c>
      <c r="B25" s="12" t="s">
        <v>205</v>
      </c>
      <c r="C25" s="12" t="s">
        <v>3142</v>
      </c>
      <c r="D25" s="13" t="s">
        <v>3181</v>
      </c>
      <c r="E25" s="12" t="s">
        <v>202</v>
      </c>
      <c r="F25" s="12" t="s">
        <v>134</v>
      </c>
      <c r="G25" s="13" t="s">
        <v>3128</v>
      </c>
      <c r="H25" s="12" t="s">
        <v>98</v>
      </c>
      <c r="I25" s="12" t="s">
        <v>113</v>
      </c>
      <c r="J25" s="14" t="s">
        <v>3179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3182</v>
      </c>
      <c r="B26" s="12" t="s">
        <v>187</v>
      </c>
      <c r="C26" s="12" t="s">
        <v>1184</v>
      </c>
      <c r="D26" s="13" t="s">
        <v>3183</v>
      </c>
      <c r="E26" s="12" t="s">
        <v>3103</v>
      </c>
      <c r="F26" s="12" t="s">
        <v>175</v>
      </c>
      <c r="G26" s="13" t="s">
        <v>3168</v>
      </c>
      <c r="H26" s="12" t="s">
        <v>96</v>
      </c>
      <c r="I26" s="12" t="s">
        <v>112</v>
      </c>
      <c r="J26" s="14" t="s">
        <v>3169</v>
      </c>
      <c r="K26" s="13"/>
      <c r="L26" s="12"/>
      <c r="M26" s="12" t="n">
        <f aca="false">IF(OR(H26="tested",H26="verified",H26="not applicable"),1,0)</f>
        <v>0</v>
      </c>
    </row>
    <row r="27" customFormat="false" ht="23.25" hidden="false" customHeight="true" outlineLevel="0" collapsed="false">
      <c r="A27" s="12" t="s">
        <v>3184</v>
      </c>
      <c r="B27" s="12" t="s">
        <v>167</v>
      </c>
      <c r="C27" s="12" t="s">
        <v>1184</v>
      </c>
      <c r="D27" s="13" t="s">
        <v>3185</v>
      </c>
      <c r="E27" s="12" t="s">
        <v>3103</v>
      </c>
      <c r="F27" s="12" t="s">
        <v>169</v>
      </c>
      <c r="G27" s="13" t="s">
        <v>3158</v>
      </c>
      <c r="H27" s="12" t="s">
        <v>100</v>
      </c>
      <c r="I27" s="12" t="s">
        <v>112</v>
      </c>
      <c r="J27" s="14" t="s">
        <v>3159</v>
      </c>
      <c r="K27" s="13"/>
      <c r="L27" s="12"/>
      <c r="M27" s="12" t="n">
        <f aca="false">IF(OR(H27="tested",H27="verified",H27="not applicable"),1,0)</f>
        <v>1</v>
      </c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3186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3187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117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3188</v>
      </c>
      <c r="B9" s="12" t="s">
        <v>131</v>
      </c>
      <c r="C9" s="12" t="s">
        <v>782</v>
      </c>
      <c r="D9" s="13" t="s">
        <v>3189</v>
      </c>
      <c r="E9" s="12" t="s">
        <v>134</v>
      </c>
      <c r="F9" s="12" t="s">
        <v>135</v>
      </c>
      <c r="G9" s="13" t="s">
        <v>3190</v>
      </c>
      <c r="H9" s="12" t="s">
        <v>98</v>
      </c>
      <c r="I9" s="12" t="s">
        <v>113</v>
      </c>
      <c r="J9" s="14" t="s">
        <v>3084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3191</v>
      </c>
      <c r="B10" s="12" t="s">
        <v>1343</v>
      </c>
      <c r="C10" s="12" t="s">
        <v>1184</v>
      </c>
      <c r="D10" s="13" t="s">
        <v>3192</v>
      </c>
      <c r="E10" s="12" t="s">
        <v>134</v>
      </c>
      <c r="F10" s="12" t="s">
        <v>154</v>
      </c>
      <c r="G10" s="13" t="s">
        <v>3193</v>
      </c>
      <c r="H10" s="12" t="s">
        <v>98</v>
      </c>
      <c r="I10" s="12" t="s">
        <v>113</v>
      </c>
      <c r="J10" s="14" t="s">
        <v>3084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3194</v>
      </c>
      <c r="B11" s="12" t="s">
        <v>138</v>
      </c>
      <c r="C11" s="12" t="s">
        <v>3195</v>
      </c>
      <c r="D11" s="13" t="s">
        <v>3196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s">
        <v>3084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3197</v>
      </c>
      <c r="B12" s="12" t="s">
        <v>142</v>
      </c>
      <c r="C12" s="12" t="s">
        <v>1390</v>
      </c>
      <c r="D12" s="13" t="s">
        <v>3198</v>
      </c>
      <c r="E12" s="12" t="s">
        <v>134</v>
      </c>
      <c r="F12" s="12" t="s">
        <v>144</v>
      </c>
      <c r="G12" s="13" t="s">
        <v>3199</v>
      </c>
      <c r="H12" s="12" t="s">
        <v>98</v>
      </c>
      <c r="I12" s="12" t="s">
        <v>113</v>
      </c>
      <c r="J12" s="14" t="s">
        <v>3084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3200</v>
      </c>
      <c r="B13" s="12" t="s">
        <v>147</v>
      </c>
      <c r="C13" s="12" t="s">
        <v>3201</v>
      </c>
      <c r="D13" s="13" t="s">
        <v>3202</v>
      </c>
      <c r="E13" s="12" t="s">
        <v>134</v>
      </c>
      <c r="F13" s="12" t="s">
        <v>149</v>
      </c>
      <c r="G13" s="13" t="s">
        <v>3203</v>
      </c>
      <c r="H13" s="12" t="s">
        <v>98</v>
      </c>
      <c r="I13" s="12" t="s">
        <v>113</v>
      </c>
      <c r="J13" s="14" t="s">
        <v>3084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3204</v>
      </c>
      <c r="B14" s="12" t="s">
        <v>3205</v>
      </c>
      <c r="C14" s="12" t="s">
        <v>3206</v>
      </c>
      <c r="D14" s="13" t="s">
        <v>3207</v>
      </c>
      <c r="E14" s="12" t="s">
        <v>159</v>
      </c>
      <c r="F14" s="12" t="s">
        <v>159</v>
      </c>
      <c r="G14" s="13" t="s">
        <v>3208</v>
      </c>
      <c r="H14" s="12" t="s">
        <v>98</v>
      </c>
      <c r="I14" s="12" t="s">
        <v>113</v>
      </c>
      <c r="J14" s="14" t="s">
        <v>3084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3209</v>
      </c>
      <c r="B15" s="12" t="s">
        <v>1409</v>
      </c>
      <c r="C15" s="12" t="s">
        <v>3099</v>
      </c>
      <c r="D15" s="13" t="s">
        <v>3210</v>
      </c>
      <c r="E15" s="12" t="s">
        <v>159</v>
      </c>
      <c r="F15" s="12" t="s">
        <v>159</v>
      </c>
      <c r="G15" s="13" t="s">
        <v>3208</v>
      </c>
      <c r="H15" s="12" t="s">
        <v>98</v>
      </c>
      <c r="I15" s="12" t="s">
        <v>113</v>
      </c>
      <c r="J15" s="14" t="s">
        <v>3084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3211</v>
      </c>
      <c r="B16" s="12" t="s">
        <v>2576</v>
      </c>
      <c r="C16" s="12" t="s">
        <v>32</v>
      </c>
      <c r="D16" s="13" t="s">
        <v>3212</v>
      </c>
      <c r="E16" s="12" t="s">
        <v>159</v>
      </c>
      <c r="F16" s="12" t="s">
        <v>159</v>
      </c>
      <c r="G16" s="13" t="s">
        <v>3208</v>
      </c>
      <c r="H16" s="12" t="s">
        <v>98</v>
      </c>
      <c r="I16" s="12" t="s">
        <v>113</v>
      </c>
      <c r="J16" s="14" t="s">
        <v>3084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3213</v>
      </c>
      <c r="B17" s="12" t="s">
        <v>1589</v>
      </c>
      <c r="C17" s="12" t="s">
        <v>1184</v>
      </c>
      <c r="D17" s="13" t="s">
        <v>3214</v>
      </c>
      <c r="E17" s="12" t="s">
        <v>3103</v>
      </c>
      <c r="F17" s="12" t="s">
        <v>169</v>
      </c>
      <c r="G17" s="13" t="s">
        <v>3215</v>
      </c>
      <c r="H17" s="12" t="s">
        <v>100</v>
      </c>
      <c r="I17" s="12" t="s">
        <v>112</v>
      </c>
      <c r="J17" s="14" t="s">
        <v>3159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3216</v>
      </c>
      <c r="B18" s="12" t="s">
        <v>1133</v>
      </c>
      <c r="C18" s="12" t="s">
        <v>3217</v>
      </c>
      <c r="D18" s="13" t="s">
        <v>3218</v>
      </c>
      <c r="E18" s="12" t="s">
        <v>159</v>
      </c>
      <c r="F18" s="12" t="s">
        <v>159</v>
      </c>
      <c r="G18" s="13" t="s">
        <v>3208</v>
      </c>
      <c r="H18" s="12" t="s">
        <v>98</v>
      </c>
      <c r="I18" s="12" t="s">
        <v>113</v>
      </c>
      <c r="J18" s="14" t="s">
        <v>3084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3219</v>
      </c>
      <c r="B19" s="12" t="s">
        <v>162</v>
      </c>
      <c r="C19" s="12" t="s">
        <v>3099</v>
      </c>
      <c r="D19" s="13" t="s">
        <v>3220</v>
      </c>
      <c r="E19" s="12" t="s">
        <v>159</v>
      </c>
      <c r="F19" s="12" t="s">
        <v>164</v>
      </c>
      <c r="G19" s="13" t="s">
        <v>3208</v>
      </c>
      <c r="H19" s="12" t="s">
        <v>98</v>
      </c>
      <c r="I19" s="12" t="s">
        <v>113</v>
      </c>
      <c r="J19" s="14" t="s">
        <v>3084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3221</v>
      </c>
      <c r="B20" s="12" t="s">
        <v>1863</v>
      </c>
      <c r="C20" s="12" t="s">
        <v>1184</v>
      </c>
      <c r="D20" s="13" t="s">
        <v>3165</v>
      </c>
      <c r="E20" s="12" t="s">
        <v>3103</v>
      </c>
      <c r="F20" s="12" t="s">
        <v>169</v>
      </c>
      <c r="G20" s="13" t="s">
        <v>3215</v>
      </c>
      <c r="H20" s="12" t="s">
        <v>100</v>
      </c>
      <c r="I20" s="12" t="s">
        <v>112</v>
      </c>
      <c r="J20" s="14" t="s">
        <v>3159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3222</v>
      </c>
      <c r="B21" s="12" t="s">
        <v>173</v>
      </c>
      <c r="C21" s="12" t="s">
        <v>3223</v>
      </c>
      <c r="D21" s="13" t="s">
        <v>3224</v>
      </c>
      <c r="E21" s="12" t="s">
        <v>3103</v>
      </c>
      <c r="F21" s="12" t="s">
        <v>175</v>
      </c>
      <c r="G21" s="13" t="s">
        <v>3225</v>
      </c>
      <c r="H21" s="12" t="s">
        <v>96</v>
      </c>
      <c r="I21" s="12" t="s">
        <v>112</v>
      </c>
      <c r="J21" s="14" t="s">
        <v>3169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3226</v>
      </c>
      <c r="B22" s="12" t="s">
        <v>2522</v>
      </c>
      <c r="C22" s="12" t="s">
        <v>3223</v>
      </c>
      <c r="D22" s="13" t="s">
        <v>3227</v>
      </c>
      <c r="E22" s="12" t="s">
        <v>3103</v>
      </c>
      <c r="F22" s="12" t="s">
        <v>169</v>
      </c>
      <c r="G22" s="13" t="s">
        <v>3215</v>
      </c>
      <c r="H22" s="12" t="s">
        <v>100</v>
      </c>
      <c r="I22" s="12" t="s">
        <v>112</v>
      </c>
      <c r="J22" s="14" t="s">
        <v>3159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3228</v>
      </c>
      <c r="B23" s="12" t="s">
        <v>1531</v>
      </c>
      <c r="C23" s="12" t="s">
        <v>32</v>
      </c>
      <c r="D23" s="13" t="s">
        <v>3229</v>
      </c>
      <c r="E23" s="12" t="s">
        <v>3103</v>
      </c>
      <c r="F23" s="12" t="s">
        <v>175</v>
      </c>
      <c r="G23" s="13" t="s">
        <v>3225</v>
      </c>
      <c r="H23" s="12" t="s">
        <v>100</v>
      </c>
      <c r="I23" s="12" t="s">
        <v>112</v>
      </c>
      <c r="J23" s="14" t="s">
        <v>3159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3230</v>
      </c>
      <c r="B24" s="12" t="s">
        <v>2377</v>
      </c>
      <c r="C24" s="12" t="s">
        <v>3195</v>
      </c>
      <c r="D24" s="13" t="s">
        <v>3175</v>
      </c>
      <c r="E24" s="12" t="s">
        <v>134</v>
      </c>
      <c r="F24" s="12" t="s">
        <v>193</v>
      </c>
      <c r="G24" s="13" t="s">
        <v>3231</v>
      </c>
      <c r="H24" s="12" t="s">
        <v>98</v>
      </c>
      <c r="I24" s="12" t="s">
        <v>113</v>
      </c>
      <c r="J24" s="14" t="s">
        <v>3084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3232</v>
      </c>
      <c r="B25" s="12" t="s">
        <v>200</v>
      </c>
      <c r="C25" s="12" t="s">
        <v>3195</v>
      </c>
      <c r="D25" s="13" t="s">
        <v>3233</v>
      </c>
      <c r="E25" s="12" t="s">
        <v>202</v>
      </c>
      <c r="F25" s="12" t="s">
        <v>202</v>
      </c>
      <c r="G25" s="13" t="s">
        <v>3125</v>
      </c>
      <c r="H25" s="12" t="s">
        <v>98</v>
      </c>
      <c r="I25" s="12" t="s">
        <v>113</v>
      </c>
      <c r="J25" s="14" t="s">
        <v>3179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3234</v>
      </c>
      <c r="B26" s="12" t="s">
        <v>205</v>
      </c>
      <c r="C26" s="12" t="s">
        <v>3195</v>
      </c>
      <c r="D26" s="13" t="s">
        <v>3181</v>
      </c>
      <c r="E26" s="12" t="s">
        <v>202</v>
      </c>
      <c r="F26" s="12" t="s">
        <v>134</v>
      </c>
      <c r="G26" s="13" t="s">
        <v>3128</v>
      </c>
      <c r="H26" s="12" t="s">
        <v>98</v>
      </c>
      <c r="I26" s="12" t="s">
        <v>113</v>
      </c>
      <c r="J26" s="14" t="s">
        <v>3179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3235</v>
      </c>
      <c r="B27" s="12" t="s">
        <v>187</v>
      </c>
      <c r="C27" s="12" t="s">
        <v>1184</v>
      </c>
      <c r="D27" s="13" t="s">
        <v>3236</v>
      </c>
      <c r="E27" s="12" t="s">
        <v>3103</v>
      </c>
      <c r="F27" s="12" t="s">
        <v>175</v>
      </c>
      <c r="G27" s="13" t="s">
        <v>3225</v>
      </c>
      <c r="H27" s="12" t="s">
        <v>96</v>
      </c>
      <c r="I27" s="12" t="s">
        <v>112</v>
      </c>
      <c r="J27" s="14" t="s">
        <v>3169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3237</v>
      </c>
      <c r="B28" s="12" t="s">
        <v>167</v>
      </c>
      <c r="C28" s="12" t="s">
        <v>1184</v>
      </c>
      <c r="D28" s="13" t="s">
        <v>3185</v>
      </c>
      <c r="E28" s="12" t="s">
        <v>3103</v>
      </c>
      <c r="F28" s="12" t="s">
        <v>169</v>
      </c>
      <c r="G28" s="13" t="s">
        <v>3215</v>
      </c>
      <c r="H28" s="12" t="s">
        <v>100</v>
      </c>
      <c r="I28" s="12" t="s">
        <v>112</v>
      </c>
      <c r="J28" s="14" t="s">
        <v>3159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3238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3239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COUNTA(A9:A28)</f>
        <v>20</v>
      </c>
      <c r="D4" s="5" t="s">
        <v>116</v>
      </c>
      <c r="E4" s="6" t="n">
        <f aca="false">SUM(M9:M28)</f>
        <v>18</v>
      </c>
      <c r="G4" s="5" t="s">
        <v>14</v>
      </c>
      <c r="H4" s="7" t="n">
        <f aca="false">IF(B4=0,0,E4/B4)</f>
        <v>0.9</v>
      </c>
      <c r="J4" s="5" t="s">
        <v>15</v>
      </c>
      <c r="K4" s="6" t="str">
        <f aca="false">IF(COUNTIFS(E9:E28,"package",M9:M28,0)&gt;0,"open","complete")</f>
        <v>complete</v>
      </c>
    </row>
    <row r="5" customFormat="false" ht="17.25" hidden="false" customHeight="true" outlineLevel="0" collapsed="false">
      <c r="A5" s="5" t="s">
        <v>117</v>
      </c>
      <c r="B5" s="6" t="str">
        <f aca="false">IF(COUNTIFS(I9:I28,"yes",M9:M28,0)&gt;0,"open","complete")</f>
        <v>open</v>
      </c>
      <c r="D5" s="5" t="s">
        <v>16</v>
      </c>
      <c r="E5" s="6" t="str">
        <f aca="false">IF(COUNTIFS(E9:E28,"consumer",M9:M28,0)&gt;0,"open","complete")</f>
        <v>complete</v>
      </c>
    </row>
    <row r="8" customFormat="false" ht="15" hidden="false" customHeight="true" outlineLevel="0" collapsed="false">
      <c r="A8" s="1" t="s">
        <v>118</v>
      </c>
      <c r="B8" s="1" t="s">
        <v>119</v>
      </c>
      <c r="C8" s="1" t="s">
        <v>120</v>
      </c>
      <c r="D8" s="1" t="s">
        <v>121</v>
      </c>
      <c r="E8" s="1" t="s">
        <v>122</v>
      </c>
      <c r="F8" s="1" t="s">
        <v>123</v>
      </c>
      <c r="G8" s="1" t="s">
        <v>124</v>
      </c>
      <c r="H8" s="1" t="s">
        <v>125</v>
      </c>
      <c r="I8" s="1" t="s">
        <v>126</v>
      </c>
      <c r="J8" s="10" t="s">
        <v>127</v>
      </c>
      <c r="K8" s="1" t="s">
        <v>128</v>
      </c>
      <c r="L8" s="1" t="s">
        <v>129</v>
      </c>
      <c r="M8" s="1" t="s">
        <v>116</v>
      </c>
    </row>
    <row r="9" customFormat="false" ht="54" hidden="false" customHeight="true" outlineLevel="0" collapsed="false">
      <c r="A9" s="12" t="s">
        <v>3240</v>
      </c>
      <c r="B9" s="12" t="s">
        <v>131</v>
      </c>
      <c r="C9" s="12" t="s">
        <v>782</v>
      </c>
      <c r="D9" s="13" t="s">
        <v>3241</v>
      </c>
      <c r="E9" s="12" t="s">
        <v>134</v>
      </c>
      <c r="F9" s="12" t="s">
        <v>135</v>
      </c>
      <c r="G9" s="13" t="s">
        <v>3242</v>
      </c>
      <c r="H9" s="12" t="s">
        <v>98</v>
      </c>
      <c r="I9" s="12" t="s">
        <v>113</v>
      </c>
      <c r="J9" s="14" t="s">
        <v>3084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3243</v>
      </c>
      <c r="B10" s="12" t="s">
        <v>1343</v>
      </c>
      <c r="C10" s="12" t="s">
        <v>1184</v>
      </c>
      <c r="D10" s="13" t="s">
        <v>3244</v>
      </c>
      <c r="E10" s="12" t="s">
        <v>134</v>
      </c>
      <c r="F10" s="12" t="s">
        <v>154</v>
      </c>
      <c r="G10" s="13" t="s">
        <v>3245</v>
      </c>
      <c r="H10" s="12" t="s">
        <v>98</v>
      </c>
      <c r="I10" s="12" t="s">
        <v>113</v>
      </c>
      <c r="J10" s="14" t="s">
        <v>3084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3246</v>
      </c>
      <c r="B11" s="12" t="s">
        <v>138</v>
      </c>
      <c r="C11" s="12" t="s">
        <v>3247</v>
      </c>
      <c r="D11" s="13" t="s">
        <v>3248</v>
      </c>
      <c r="E11" s="12" t="s">
        <v>134</v>
      </c>
      <c r="F11" s="12" t="s">
        <v>134</v>
      </c>
      <c r="G11" s="13" t="s">
        <v>140</v>
      </c>
      <c r="H11" s="12" t="s">
        <v>98</v>
      </c>
      <c r="I11" s="12" t="s">
        <v>113</v>
      </c>
      <c r="J11" s="14" t="s">
        <v>3084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3249</v>
      </c>
      <c r="B12" s="12" t="s">
        <v>142</v>
      </c>
      <c r="C12" s="12" t="s">
        <v>1390</v>
      </c>
      <c r="D12" s="13" t="s">
        <v>3250</v>
      </c>
      <c r="E12" s="12" t="s">
        <v>134</v>
      </c>
      <c r="F12" s="12" t="s">
        <v>144</v>
      </c>
      <c r="G12" s="13" t="s">
        <v>3251</v>
      </c>
      <c r="H12" s="12" t="s">
        <v>98</v>
      </c>
      <c r="I12" s="12" t="s">
        <v>113</v>
      </c>
      <c r="J12" s="14" t="s">
        <v>3084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3252</v>
      </c>
      <c r="B13" s="12" t="s">
        <v>147</v>
      </c>
      <c r="C13" s="12" t="s">
        <v>1184</v>
      </c>
      <c r="D13" s="13" t="s">
        <v>3253</v>
      </c>
      <c r="E13" s="12" t="s">
        <v>134</v>
      </c>
      <c r="F13" s="12" t="s">
        <v>149</v>
      </c>
      <c r="G13" s="13" t="s">
        <v>3254</v>
      </c>
      <c r="H13" s="12" t="s">
        <v>98</v>
      </c>
      <c r="I13" s="12" t="s">
        <v>113</v>
      </c>
      <c r="J13" s="14" t="s">
        <v>3084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3255</v>
      </c>
      <c r="B14" s="12" t="s">
        <v>3256</v>
      </c>
      <c r="C14" s="12" t="s">
        <v>3257</v>
      </c>
      <c r="D14" s="13" t="s">
        <v>3258</v>
      </c>
      <c r="E14" s="12" t="s">
        <v>159</v>
      </c>
      <c r="F14" s="12" t="s">
        <v>159</v>
      </c>
      <c r="G14" s="13" t="s">
        <v>3259</v>
      </c>
      <c r="H14" s="12" t="s">
        <v>98</v>
      </c>
      <c r="I14" s="12" t="s">
        <v>113</v>
      </c>
      <c r="J14" s="14" t="s">
        <v>3084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3260</v>
      </c>
      <c r="B15" s="12" t="s">
        <v>1409</v>
      </c>
      <c r="C15" s="12" t="s">
        <v>3099</v>
      </c>
      <c r="D15" s="13" t="s">
        <v>3261</v>
      </c>
      <c r="E15" s="12" t="s">
        <v>159</v>
      </c>
      <c r="F15" s="12" t="s">
        <v>159</v>
      </c>
      <c r="G15" s="13" t="s">
        <v>3259</v>
      </c>
      <c r="H15" s="12" t="s">
        <v>98</v>
      </c>
      <c r="I15" s="12" t="s">
        <v>113</v>
      </c>
      <c r="J15" s="14" t="s">
        <v>3084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3262</v>
      </c>
      <c r="B16" s="12" t="s">
        <v>2576</v>
      </c>
      <c r="C16" s="12" t="s">
        <v>36</v>
      </c>
      <c r="D16" s="13" t="s">
        <v>3263</v>
      </c>
      <c r="E16" s="12" t="s">
        <v>159</v>
      </c>
      <c r="F16" s="12" t="s">
        <v>159</v>
      </c>
      <c r="G16" s="13" t="s">
        <v>3259</v>
      </c>
      <c r="H16" s="12" t="s">
        <v>98</v>
      </c>
      <c r="I16" s="12" t="s">
        <v>113</v>
      </c>
      <c r="J16" s="14" t="s">
        <v>3084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3264</v>
      </c>
      <c r="B17" s="12" t="s">
        <v>1589</v>
      </c>
      <c r="C17" s="12" t="s">
        <v>1184</v>
      </c>
      <c r="D17" s="13" t="s">
        <v>3265</v>
      </c>
      <c r="E17" s="12" t="s">
        <v>3103</v>
      </c>
      <c r="F17" s="12" t="s">
        <v>169</v>
      </c>
      <c r="G17" s="13" t="s">
        <v>3266</v>
      </c>
      <c r="H17" s="12" t="s">
        <v>100</v>
      </c>
      <c r="I17" s="12" t="s">
        <v>112</v>
      </c>
      <c r="J17" s="14" t="s">
        <v>3159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3267</v>
      </c>
      <c r="B18" s="12" t="s">
        <v>1133</v>
      </c>
      <c r="C18" s="12" t="s">
        <v>782</v>
      </c>
      <c r="D18" s="13" t="s">
        <v>3161</v>
      </c>
      <c r="E18" s="12" t="s">
        <v>159</v>
      </c>
      <c r="F18" s="12" t="s">
        <v>159</v>
      </c>
      <c r="G18" s="13" t="s">
        <v>3259</v>
      </c>
      <c r="H18" s="12" t="s">
        <v>98</v>
      </c>
      <c r="I18" s="12" t="s">
        <v>113</v>
      </c>
      <c r="J18" s="14" t="s">
        <v>3084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3268</v>
      </c>
      <c r="B19" s="12" t="s">
        <v>162</v>
      </c>
      <c r="C19" s="12" t="s">
        <v>3269</v>
      </c>
      <c r="D19" s="13" t="s">
        <v>3270</v>
      </c>
      <c r="E19" s="12" t="s">
        <v>159</v>
      </c>
      <c r="F19" s="12" t="s">
        <v>164</v>
      </c>
      <c r="G19" s="13" t="s">
        <v>3259</v>
      </c>
      <c r="H19" s="12" t="s">
        <v>98</v>
      </c>
      <c r="I19" s="12" t="s">
        <v>113</v>
      </c>
      <c r="J19" s="14" t="s">
        <v>3084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3271</v>
      </c>
      <c r="B20" s="12" t="s">
        <v>1863</v>
      </c>
      <c r="C20" s="12" t="s">
        <v>1184</v>
      </c>
      <c r="D20" s="13" t="s">
        <v>3165</v>
      </c>
      <c r="E20" s="12" t="s">
        <v>3103</v>
      </c>
      <c r="F20" s="12" t="s">
        <v>169</v>
      </c>
      <c r="G20" s="13" t="s">
        <v>3266</v>
      </c>
      <c r="H20" s="12" t="s">
        <v>100</v>
      </c>
      <c r="I20" s="12" t="s">
        <v>112</v>
      </c>
      <c r="J20" s="14" t="s">
        <v>3159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3272</v>
      </c>
      <c r="B21" s="12" t="s">
        <v>173</v>
      </c>
      <c r="C21" s="12" t="s">
        <v>782</v>
      </c>
      <c r="D21" s="13" t="s">
        <v>3273</v>
      </c>
      <c r="E21" s="12" t="s">
        <v>3103</v>
      </c>
      <c r="F21" s="12" t="s">
        <v>175</v>
      </c>
      <c r="G21" s="13" t="s">
        <v>3274</v>
      </c>
      <c r="H21" s="12" t="s">
        <v>96</v>
      </c>
      <c r="I21" s="12" t="s">
        <v>112</v>
      </c>
      <c r="J21" s="14" t="s">
        <v>3169</v>
      </c>
      <c r="K21" s="13"/>
      <c r="L21" s="12"/>
      <c r="M21" s="12" t="n">
        <f aca="false">IF(OR(H21="tested",H21="verified",H21="not applicable"),1,0)</f>
        <v>0</v>
      </c>
    </row>
    <row r="22" customFormat="false" ht="54" hidden="false" customHeight="true" outlineLevel="0" collapsed="false">
      <c r="A22" s="12" t="s">
        <v>3275</v>
      </c>
      <c r="B22" s="12" t="s">
        <v>2522</v>
      </c>
      <c r="C22" s="12" t="s">
        <v>3276</v>
      </c>
      <c r="D22" s="13" t="s">
        <v>3277</v>
      </c>
      <c r="E22" s="12" t="s">
        <v>3103</v>
      </c>
      <c r="F22" s="12" t="s">
        <v>169</v>
      </c>
      <c r="G22" s="13" t="s">
        <v>3266</v>
      </c>
      <c r="H22" s="12" t="s">
        <v>100</v>
      </c>
      <c r="I22" s="12" t="s">
        <v>112</v>
      </c>
      <c r="J22" s="14" t="s">
        <v>3159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3278</v>
      </c>
      <c r="B23" s="12" t="s">
        <v>1531</v>
      </c>
      <c r="C23" s="12" t="s">
        <v>782</v>
      </c>
      <c r="D23" s="13" t="s">
        <v>3279</v>
      </c>
      <c r="E23" s="12" t="s">
        <v>3103</v>
      </c>
      <c r="F23" s="12" t="s">
        <v>175</v>
      </c>
      <c r="G23" s="13" t="s">
        <v>3274</v>
      </c>
      <c r="H23" s="12" t="s">
        <v>100</v>
      </c>
      <c r="I23" s="12" t="s">
        <v>112</v>
      </c>
      <c r="J23" s="14" t="s">
        <v>3159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3280</v>
      </c>
      <c r="B24" s="12" t="s">
        <v>2377</v>
      </c>
      <c r="C24" s="12" t="s">
        <v>3247</v>
      </c>
      <c r="D24" s="13" t="s">
        <v>3175</v>
      </c>
      <c r="E24" s="12" t="s">
        <v>134</v>
      </c>
      <c r="F24" s="12" t="s">
        <v>193</v>
      </c>
      <c r="G24" s="13" t="s">
        <v>3281</v>
      </c>
      <c r="H24" s="12" t="s">
        <v>98</v>
      </c>
      <c r="I24" s="12" t="s">
        <v>113</v>
      </c>
      <c r="J24" s="14" t="s">
        <v>3084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3282</v>
      </c>
      <c r="B25" s="12" t="s">
        <v>200</v>
      </c>
      <c r="C25" s="12" t="s">
        <v>3247</v>
      </c>
      <c r="D25" s="13" t="s">
        <v>3283</v>
      </c>
      <c r="E25" s="12" t="s">
        <v>202</v>
      </c>
      <c r="F25" s="12" t="s">
        <v>202</v>
      </c>
      <c r="G25" s="13" t="s">
        <v>3125</v>
      </c>
      <c r="H25" s="12" t="s">
        <v>98</v>
      </c>
      <c r="I25" s="12" t="s">
        <v>113</v>
      </c>
      <c r="J25" s="14" t="s">
        <v>3179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 t="s">
        <v>3284</v>
      </c>
      <c r="B26" s="12" t="s">
        <v>205</v>
      </c>
      <c r="C26" s="12" t="s">
        <v>3247</v>
      </c>
      <c r="D26" s="13" t="s">
        <v>3181</v>
      </c>
      <c r="E26" s="12" t="s">
        <v>202</v>
      </c>
      <c r="F26" s="12" t="s">
        <v>134</v>
      </c>
      <c r="G26" s="13" t="s">
        <v>3128</v>
      </c>
      <c r="H26" s="12" t="s">
        <v>98</v>
      </c>
      <c r="I26" s="12" t="s">
        <v>113</v>
      </c>
      <c r="J26" s="14" t="s">
        <v>3179</v>
      </c>
      <c r="K26" s="13"/>
      <c r="L26" s="12"/>
      <c r="M26" s="12" t="n">
        <f aca="false">IF(OR(H26="tested",H26="verified",H26="not applicable"),1,0)</f>
        <v>1</v>
      </c>
    </row>
    <row r="27" customFormat="false" ht="23.25" hidden="false" customHeight="true" outlineLevel="0" collapsed="false">
      <c r="A27" s="12" t="s">
        <v>3285</v>
      </c>
      <c r="B27" s="12" t="s">
        <v>187</v>
      </c>
      <c r="C27" s="12" t="s">
        <v>1184</v>
      </c>
      <c r="D27" s="13" t="s">
        <v>3286</v>
      </c>
      <c r="E27" s="12" t="s">
        <v>3103</v>
      </c>
      <c r="F27" s="12" t="s">
        <v>175</v>
      </c>
      <c r="G27" s="13" t="s">
        <v>3274</v>
      </c>
      <c r="H27" s="12" t="s">
        <v>96</v>
      </c>
      <c r="I27" s="12" t="s">
        <v>112</v>
      </c>
      <c r="J27" s="14" t="s">
        <v>3169</v>
      </c>
      <c r="K27" s="13"/>
      <c r="L27" s="12"/>
      <c r="M27" s="12" t="n">
        <f aca="false">IF(OR(H27="tested",H27="verified",H27="not applicable"),1,0)</f>
        <v>0</v>
      </c>
    </row>
    <row r="28" customFormat="false" ht="23.25" hidden="false" customHeight="true" outlineLevel="0" collapsed="false">
      <c r="A28" s="12" t="s">
        <v>3287</v>
      </c>
      <c r="B28" s="12" t="s">
        <v>167</v>
      </c>
      <c r="C28" s="12" t="s">
        <v>1184</v>
      </c>
      <c r="D28" s="13" t="s">
        <v>3185</v>
      </c>
      <c r="E28" s="12" t="s">
        <v>3103</v>
      </c>
      <c r="F28" s="12" t="s">
        <v>169</v>
      </c>
      <c r="G28" s="13" t="s">
        <v>3266</v>
      </c>
      <c r="H28" s="12" t="s">
        <v>100</v>
      </c>
      <c r="I28" s="12" t="s">
        <v>112</v>
      </c>
      <c r="J28" s="14" t="s">
        <v>3159</v>
      </c>
      <c r="K28" s="13"/>
      <c r="L28" s="12"/>
      <c r="M28" s="12" t="n">
        <f aca="false">IF(OR(H28="tested",H28="verified",H28="not applicable"),1,0)</f>
        <v>1</v>
      </c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mergeCells count="2">
    <mergeCell ref="A1:M1"/>
    <mergeCell ref="A2:M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3288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3289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COUNTA(A9:A24)</f>
        <v>16</v>
      </c>
      <c r="D4" s="5" t="s">
        <v>116</v>
      </c>
      <c r="E4" s="6" t="n">
        <f aca="false">SUM(M9:M24)</f>
        <v>15</v>
      </c>
      <c r="G4" s="5" t="s">
        <v>14</v>
      </c>
      <c r="H4" s="7" t="n">
        <f aca="false">IF(B4=0,0,E4/B4)</f>
        <v>0.9375</v>
      </c>
      <c r="J4" s="5" t="s">
        <v>15</v>
      </c>
      <c r="K4" s="6" t="str">
        <f aca="false">IF(COUNTIFS(E9:E24,"package",M9:M24,0)&gt;0,"open","complete")</f>
        <v>complete</v>
      </c>
    </row>
    <row r="5" customFormat="false" ht="17.25" hidden="false" customHeight="true" outlineLevel="0" collapsed="false">
      <c r="A5" s="5" t="s">
        <v>117</v>
      </c>
      <c r="B5" s="6" t="str">
        <f aca="false">IF(COUNTIFS(I9:I24,"yes",M9:M24,0)&gt;0,"open","complete")</f>
        <v>open</v>
      </c>
      <c r="D5" s="5" t="s">
        <v>16</v>
      </c>
      <c r="E5" s="6" t="str">
        <f aca="false">IF(COUNTIFS(E9:E24,"consumer",M9:M24,0)&gt;0,"open","complete")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3290</v>
      </c>
      <c r="B9" s="12" t="s">
        <v>131</v>
      </c>
      <c r="C9" s="12" t="s">
        <v>1390</v>
      </c>
      <c r="D9" s="13" t="s">
        <v>3291</v>
      </c>
      <c r="E9" s="12" t="s">
        <v>134</v>
      </c>
      <c r="F9" s="12" t="s">
        <v>135</v>
      </c>
      <c r="G9" s="13" t="s">
        <v>3292</v>
      </c>
      <c r="H9" s="12" t="s">
        <v>98</v>
      </c>
      <c r="I9" s="12" t="s">
        <v>113</v>
      </c>
      <c r="J9" s="14" t="s">
        <v>3293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3294</v>
      </c>
      <c r="B10" s="12" t="s">
        <v>1343</v>
      </c>
      <c r="C10" s="12" t="s">
        <v>1184</v>
      </c>
      <c r="D10" s="13" t="s">
        <v>3295</v>
      </c>
      <c r="E10" s="12" t="s">
        <v>134</v>
      </c>
      <c r="F10" s="12" t="s">
        <v>154</v>
      </c>
      <c r="G10" s="13" t="s">
        <v>3296</v>
      </c>
      <c r="H10" s="12" t="s">
        <v>98</v>
      </c>
      <c r="I10" s="12" t="s">
        <v>113</v>
      </c>
      <c r="J10" s="14" t="s">
        <v>3297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3298</v>
      </c>
      <c r="B11" s="12" t="s">
        <v>138</v>
      </c>
      <c r="C11" s="12" t="s">
        <v>81</v>
      </c>
      <c r="D11" s="13" t="s">
        <v>3299</v>
      </c>
      <c r="E11" s="12" t="s">
        <v>134</v>
      </c>
      <c r="F11" s="12" t="s">
        <v>134</v>
      </c>
      <c r="G11" s="13" t="s">
        <v>3300</v>
      </c>
      <c r="H11" s="12" t="s">
        <v>98</v>
      </c>
      <c r="I11" s="12" t="s">
        <v>113</v>
      </c>
      <c r="J11" s="14" t="s">
        <v>3301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3302</v>
      </c>
      <c r="B12" s="12" t="s">
        <v>142</v>
      </c>
      <c r="C12" s="12" t="s">
        <v>1390</v>
      </c>
      <c r="D12" s="13" t="s">
        <v>3303</v>
      </c>
      <c r="E12" s="12" t="s">
        <v>134</v>
      </c>
      <c r="F12" s="12" t="s">
        <v>144</v>
      </c>
      <c r="G12" s="13" t="s">
        <v>3304</v>
      </c>
      <c r="H12" s="12" t="s">
        <v>98</v>
      </c>
      <c r="I12" s="12" t="s">
        <v>113</v>
      </c>
      <c r="J12" s="14" t="s">
        <v>3305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3306</v>
      </c>
      <c r="B13" s="12" t="s">
        <v>147</v>
      </c>
      <c r="C13" s="12" t="s">
        <v>1184</v>
      </c>
      <c r="D13" s="13" t="s">
        <v>3307</v>
      </c>
      <c r="E13" s="12" t="s">
        <v>134</v>
      </c>
      <c r="F13" s="12" t="s">
        <v>149</v>
      </c>
      <c r="G13" s="13" t="s">
        <v>3308</v>
      </c>
      <c r="H13" s="12" t="s">
        <v>98</v>
      </c>
      <c r="I13" s="12" t="s">
        <v>113</v>
      </c>
      <c r="J13" s="14" t="s">
        <v>3309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3310</v>
      </c>
      <c r="B14" s="12" t="s">
        <v>3311</v>
      </c>
      <c r="C14" s="12" t="s">
        <v>1621</v>
      </c>
      <c r="D14" s="13" t="s">
        <v>3312</v>
      </c>
      <c r="E14" s="12" t="s">
        <v>159</v>
      </c>
      <c r="F14" s="12" t="s">
        <v>159</v>
      </c>
      <c r="G14" s="13" t="s">
        <v>3313</v>
      </c>
      <c r="H14" s="12" t="s">
        <v>98</v>
      </c>
      <c r="I14" s="12" t="s">
        <v>113</v>
      </c>
      <c r="J14" s="14" t="s">
        <v>3314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3315</v>
      </c>
      <c r="B15" s="12" t="s">
        <v>32</v>
      </c>
      <c r="C15" s="12" t="s">
        <v>3316</v>
      </c>
      <c r="D15" s="13" t="s">
        <v>3317</v>
      </c>
      <c r="E15" s="12" t="s">
        <v>159</v>
      </c>
      <c r="F15" s="12" t="s">
        <v>159</v>
      </c>
      <c r="G15" s="13" t="s">
        <v>3313</v>
      </c>
      <c r="H15" s="12" t="s">
        <v>98</v>
      </c>
      <c r="I15" s="12" t="s">
        <v>113</v>
      </c>
      <c r="J15" s="14" t="s">
        <v>3318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3319</v>
      </c>
      <c r="B16" s="12" t="s">
        <v>3320</v>
      </c>
      <c r="C16" s="12" t="s">
        <v>782</v>
      </c>
      <c r="D16" s="13" t="s">
        <v>3321</v>
      </c>
      <c r="E16" s="12" t="s">
        <v>134</v>
      </c>
      <c r="F16" s="12" t="s">
        <v>154</v>
      </c>
      <c r="G16" s="13" t="s">
        <v>3296</v>
      </c>
      <c r="H16" s="12" t="s">
        <v>98</v>
      </c>
      <c r="I16" s="12" t="s">
        <v>113</v>
      </c>
      <c r="J16" s="14" t="s">
        <v>3322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3323</v>
      </c>
      <c r="B17" s="12" t="s">
        <v>1133</v>
      </c>
      <c r="C17" s="12" t="s">
        <v>782</v>
      </c>
      <c r="D17" s="13" t="s">
        <v>3324</v>
      </c>
      <c r="E17" s="12" t="s">
        <v>159</v>
      </c>
      <c r="F17" s="12" t="s">
        <v>159</v>
      </c>
      <c r="G17" s="13" t="s">
        <v>3313</v>
      </c>
      <c r="H17" s="12" t="s">
        <v>98</v>
      </c>
      <c r="I17" s="12" t="s">
        <v>113</v>
      </c>
      <c r="J17" s="14" t="s">
        <v>3325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3326</v>
      </c>
      <c r="B18" s="12" t="s">
        <v>1086</v>
      </c>
      <c r="C18" s="12" t="s">
        <v>3327</v>
      </c>
      <c r="D18" s="13" t="s">
        <v>3328</v>
      </c>
      <c r="E18" s="12" t="s">
        <v>134</v>
      </c>
      <c r="F18" s="12" t="s">
        <v>154</v>
      </c>
      <c r="G18" s="13" t="s">
        <v>3296</v>
      </c>
      <c r="H18" s="12" t="s">
        <v>98</v>
      </c>
      <c r="I18" s="12" t="s">
        <v>113</v>
      </c>
      <c r="J18" s="14" t="s">
        <v>3329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3330</v>
      </c>
      <c r="B19" s="12" t="s">
        <v>1863</v>
      </c>
      <c r="C19" s="12" t="s">
        <v>1184</v>
      </c>
      <c r="D19" s="13" t="s">
        <v>3331</v>
      </c>
      <c r="E19" s="12" t="s">
        <v>3103</v>
      </c>
      <c r="F19" s="12" t="s">
        <v>169</v>
      </c>
      <c r="G19" s="13" t="s">
        <v>3332</v>
      </c>
      <c r="H19" s="12" t="s">
        <v>100</v>
      </c>
      <c r="I19" s="12" t="s">
        <v>112</v>
      </c>
      <c r="J19" s="14" t="s">
        <v>3333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3334</v>
      </c>
      <c r="B20" s="12" t="s">
        <v>173</v>
      </c>
      <c r="C20" s="12" t="s">
        <v>3335</v>
      </c>
      <c r="D20" s="13" t="s">
        <v>3336</v>
      </c>
      <c r="E20" s="12" t="s">
        <v>3103</v>
      </c>
      <c r="F20" s="12" t="s">
        <v>169</v>
      </c>
      <c r="G20" s="13" t="s">
        <v>3332</v>
      </c>
      <c r="H20" s="12" t="s">
        <v>100</v>
      </c>
      <c r="I20" s="12" t="s">
        <v>112</v>
      </c>
      <c r="J20" s="14" t="s">
        <v>3337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3338</v>
      </c>
      <c r="B21" s="12" t="s">
        <v>162</v>
      </c>
      <c r="C21" s="12" t="s">
        <v>3316</v>
      </c>
      <c r="D21" s="13" t="s">
        <v>3339</v>
      </c>
      <c r="E21" s="12" t="s">
        <v>159</v>
      </c>
      <c r="F21" s="12" t="s">
        <v>164</v>
      </c>
      <c r="G21" s="13" t="s">
        <v>3313</v>
      </c>
      <c r="H21" s="12" t="s">
        <v>98</v>
      </c>
      <c r="I21" s="12" t="s">
        <v>113</v>
      </c>
      <c r="J21" s="14" t="s">
        <v>3340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3341</v>
      </c>
      <c r="B22" s="12" t="s">
        <v>187</v>
      </c>
      <c r="C22" s="12" t="s">
        <v>81</v>
      </c>
      <c r="D22" s="13" t="s">
        <v>3342</v>
      </c>
      <c r="E22" s="12" t="s">
        <v>3103</v>
      </c>
      <c r="F22" s="12" t="s">
        <v>175</v>
      </c>
      <c r="G22" s="13" t="s">
        <v>3343</v>
      </c>
      <c r="H22" s="12" t="s">
        <v>96</v>
      </c>
      <c r="I22" s="12" t="s">
        <v>112</v>
      </c>
      <c r="J22" s="14" t="s">
        <v>3344</v>
      </c>
      <c r="K22" s="13"/>
      <c r="L22" s="12"/>
      <c r="M22" s="12" t="n">
        <f aca="false">IF(OR(H22="tested",H22="verified",H22="not applicable"),1,0)</f>
        <v>0</v>
      </c>
    </row>
    <row r="23" customFormat="false" ht="54" hidden="false" customHeight="true" outlineLevel="0" collapsed="false">
      <c r="A23" s="12" t="s">
        <v>3345</v>
      </c>
      <c r="B23" s="12" t="s">
        <v>2377</v>
      </c>
      <c r="C23" s="12" t="s">
        <v>81</v>
      </c>
      <c r="D23" s="13" t="s">
        <v>3346</v>
      </c>
      <c r="E23" s="12" t="s">
        <v>134</v>
      </c>
      <c r="F23" s="12" t="s">
        <v>193</v>
      </c>
      <c r="G23" s="13" t="s">
        <v>3347</v>
      </c>
      <c r="H23" s="12" t="s">
        <v>98</v>
      </c>
      <c r="I23" s="12" t="s">
        <v>113</v>
      </c>
      <c r="J23" s="14" t="s">
        <v>3348</v>
      </c>
      <c r="K23" s="13"/>
      <c r="L23" s="12"/>
      <c r="M23" s="12" t="n">
        <f aca="false">IF(OR(H23="tested",H23="verified",H23="not applicable"),1,0)</f>
        <v>1</v>
      </c>
    </row>
    <row r="24" customFormat="false" ht="54" hidden="false" customHeight="true" outlineLevel="0" collapsed="false">
      <c r="A24" s="12" t="s">
        <v>3349</v>
      </c>
      <c r="B24" s="12" t="s">
        <v>200</v>
      </c>
      <c r="C24" s="12" t="s">
        <v>1390</v>
      </c>
      <c r="D24" s="13" t="s">
        <v>3350</v>
      </c>
      <c r="E24" s="12" t="s">
        <v>202</v>
      </c>
      <c r="F24" s="12" t="s">
        <v>202</v>
      </c>
      <c r="G24" s="13" t="s">
        <v>2539</v>
      </c>
      <c r="H24" s="12" t="s">
        <v>98</v>
      </c>
      <c r="I24" s="12" t="s">
        <v>113</v>
      </c>
      <c r="J24" s="14" t="s">
        <v>3351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/>
      <c r="B25" s="12"/>
      <c r="C25" s="12"/>
      <c r="D25" s="13"/>
      <c r="E25" s="12"/>
      <c r="F25" s="12"/>
      <c r="G25" s="13"/>
      <c r="H25" s="12"/>
      <c r="I25" s="12"/>
      <c r="J25" s="14"/>
      <c r="K25" s="13"/>
      <c r="L25" s="12"/>
      <c r="M25" s="12"/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4"/>
  <mergeCells count="2">
    <mergeCell ref="A1:M1"/>
    <mergeCell ref="A2:M2"/>
  </mergeCells>
  <conditionalFormatting sqref="H9:H24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4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3352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3353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COUNTA(A9:A25)</f>
        <v>17</v>
      </c>
      <c r="D4" s="5" t="s">
        <v>116</v>
      </c>
      <c r="E4" s="6" t="n">
        <f aca="false">SUM(M9:M25)</f>
        <v>16</v>
      </c>
      <c r="G4" s="5" t="s">
        <v>14</v>
      </c>
      <c r="H4" s="7" t="n">
        <f aca="false">IF(B4=0,0,E4/B4)</f>
        <v>0.941176470588235</v>
      </c>
      <c r="J4" s="5" t="s">
        <v>15</v>
      </c>
      <c r="K4" s="6" t="str">
        <f aca="false">IF(COUNTIFS(E9:E25,"package",M9:M25,0)&gt;0,"open","complete")</f>
        <v>complete</v>
      </c>
    </row>
    <row r="5" customFormat="false" ht="17.25" hidden="false" customHeight="true" outlineLevel="0" collapsed="false">
      <c r="A5" s="5" t="s">
        <v>117</v>
      </c>
      <c r="B5" s="6" t="str">
        <f aca="false">IF(COUNTIFS(I9:I25,"yes",M9:M25,0)&gt;0,"open","complete")</f>
        <v>open</v>
      </c>
      <c r="D5" s="5" t="s">
        <v>16</v>
      </c>
      <c r="E5" s="6" t="str">
        <f aca="false">IF(COUNTIFS(E9:E25,"consumer",M9:M25,0)&gt;0,"open","complete")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3354</v>
      </c>
      <c r="B9" s="12" t="s">
        <v>131</v>
      </c>
      <c r="C9" s="12" t="s">
        <v>1560</v>
      </c>
      <c r="D9" s="13" t="s">
        <v>3355</v>
      </c>
      <c r="E9" s="12" t="s">
        <v>134</v>
      </c>
      <c r="F9" s="12" t="s">
        <v>135</v>
      </c>
      <c r="G9" s="13" t="s">
        <v>3356</v>
      </c>
      <c r="H9" s="12" t="s">
        <v>98</v>
      </c>
      <c r="I9" s="12" t="s">
        <v>113</v>
      </c>
      <c r="J9" s="14" t="s">
        <v>3293</v>
      </c>
      <c r="K9" s="13"/>
      <c r="L9" s="12"/>
      <c r="M9" s="12" t="n">
        <f aca="false">IF(OR(H9="tested",H9="verified",H9="not applicable"),1,0)</f>
        <v>1</v>
      </c>
    </row>
    <row r="10" customFormat="false" ht="54" hidden="false" customHeight="true" outlineLevel="0" collapsed="false">
      <c r="A10" s="12" t="s">
        <v>3357</v>
      </c>
      <c r="B10" s="12" t="s">
        <v>1343</v>
      </c>
      <c r="C10" s="12" t="s">
        <v>1560</v>
      </c>
      <c r="D10" s="13" t="s">
        <v>3358</v>
      </c>
      <c r="E10" s="12" t="s">
        <v>134</v>
      </c>
      <c r="F10" s="12" t="s">
        <v>154</v>
      </c>
      <c r="G10" s="13" t="s">
        <v>3359</v>
      </c>
      <c r="H10" s="12" t="s">
        <v>98</v>
      </c>
      <c r="I10" s="12" t="s">
        <v>113</v>
      </c>
      <c r="J10" s="14" t="s">
        <v>3297</v>
      </c>
      <c r="K10" s="13"/>
      <c r="L10" s="12"/>
      <c r="M10" s="12" t="n">
        <f aca="false">IF(OR(H10="tested",H10="verified",H10="not applicable"),1,0)</f>
        <v>1</v>
      </c>
    </row>
    <row r="11" customFormat="false" ht="54" hidden="false" customHeight="true" outlineLevel="0" collapsed="false">
      <c r="A11" s="12" t="s">
        <v>3360</v>
      </c>
      <c r="B11" s="12" t="s">
        <v>138</v>
      </c>
      <c r="C11" s="12" t="s">
        <v>82</v>
      </c>
      <c r="D11" s="13" t="s">
        <v>3361</v>
      </c>
      <c r="E11" s="12" t="s">
        <v>134</v>
      </c>
      <c r="F11" s="12" t="s">
        <v>134</v>
      </c>
      <c r="G11" s="13" t="s">
        <v>3300</v>
      </c>
      <c r="H11" s="12" t="s">
        <v>98</v>
      </c>
      <c r="I11" s="12" t="s">
        <v>113</v>
      </c>
      <c r="J11" s="14" t="s">
        <v>3301</v>
      </c>
      <c r="K11" s="13"/>
      <c r="L11" s="12"/>
      <c r="M11" s="12" t="n">
        <f aca="false">IF(OR(H11="tested",H11="verified",H11="not applicable"),1,0)</f>
        <v>1</v>
      </c>
    </row>
    <row r="12" customFormat="false" ht="54" hidden="false" customHeight="true" outlineLevel="0" collapsed="false">
      <c r="A12" s="12" t="s">
        <v>3362</v>
      </c>
      <c r="B12" s="12" t="s">
        <v>142</v>
      </c>
      <c r="C12" s="12" t="s">
        <v>1560</v>
      </c>
      <c r="D12" s="13" t="s">
        <v>3363</v>
      </c>
      <c r="E12" s="12" t="s">
        <v>134</v>
      </c>
      <c r="F12" s="12" t="s">
        <v>144</v>
      </c>
      <c r="G12" s="13" t="s">
        <v>3364</v>
      </c>
      <c r="H12" s="12" t="s">
        <v>98</v>
      </c>
      <c r="I12" s="12" t="s">
        <v>113</v>
      </c>
      <c r="J12" s="14" t="s">
        <v>3305</v>
      </c>
      <c r="K12" s="13"/>
      <c r="L12" s="12"/>
      <c r="M12" s="12" t="n">
        <f aca="false">IF(OR(H12="tested",H12="verified",H12="not applicable"),1,0)</f>
        <v>1</v>
      </c>
    </row>
    <row r="13" customFormat="false" ht="54" hidden="false" customHeight="true" outlineLevel="0" collapsed="false">
      <c r="A13" s="12" t="s">
        <v>3365</v>
      </c>
      <c r="B13" s="12" t="s">
        <v>147</v>
      </c>
      <c r="C13" s="12" t="s">
        <v>1560</v>
      </c>
      <c r="D13" s="13" t="s">
        <v>3366</v>
      </c>
      <c r="E13" s="12" t="s">
        <v>134</v>
      </c>
      <c r="F13" s="12" t="s">
        <v>149</v>
      </c>
      <c r="G13" s="13" t="s">
        <v>3367</v>
      </c>
      <c r="H13" s="12" t="s">
        <v>98</v>
      </c>
      <c r="I13" s="12" t="s">
        <v>113</v>
      </c>
      <c r="J13" s="14" t="s">
        <v>3309</v>
      </c>
      <c r="K13" s="13"/>
      <c r="L13" s="12"/>
      <c r="M13" s="12" t="n">
        <f aca="false">IF(OR(H13="tested",H13="verified",H13="not applicable"),1,0)</f>
        <v>1</v>
      </c>
    </row>
    <row r="14" customFormat="false" ht="54" hidden="false" customHeight="true" outlineLevel="0" collapsed="false">
      <c r="A14" s="12" t="s">
        <v>3368</v>
      </c>
      <c r="B14" s="12" t="s">
        <v>662</v>
      </c>
      <c r="C14" s="12" t="s">
        <v>782</v>
      </c>
      <c r="D14" s="13" t="s">
        <v>3369</v>
      </c>
      <c r="E14" s="12" t="s">
        <v>159</v>
      </c>
      <c r="F14" s="12" t="s">
        <v>159</v>
      </c>
      <c r="G14" s="13" t="s">
        <v>3370</v>
      </c>
      <c r="H14" s="12" t="s">
        <v>98</v>
      </c>
      <c r="I14" s="12" t="s">
        <v>113</v>
      </c>
      <c r="J14" s="14" t="s">
        <v>3371</v>
      </c>
      <c r="K14" s="13"/>
      <c r="L14" s="12"/>
      <c r="M14" s="12" t="n">
        <f aca="false">IF(OR(H14="tested",H14="verified",H14="not applicable"),1,0)</f>
        <v>1</v>
      </c>
    </row>
    <row r="15" customFormat="false" ht="54" hidden="false" customHeight="true" outlineLevel="0" collapsed="false">
      <c r="A15" s="12" t="s">
        <v>3372</v>
      </c>
      <c r="B15" s="12" t="s">
        <v>3373</v>
      </c>
      <c r="C15" s="12" t="s">
        <v>1560</v>
      </c>
      <c r="D15" s="13" t="s">
        <v>3374</v>
      </c>
      <c r="E15" s="12" t="s">
        <v>159</v>
      </c>
      <c r="F15" s="12" t="s">
        <v>159</v>
      </c>
      <c r="G15" s="13" t="s">
        <v>3370</v>
      </c>
      <c r="H15" s="12" t="s">
        <v>98</v>
      </c>
      <c r="I15" s="12" t="s">
        <v>113</v>
      </c>
      <c r="J15" s="14" t="s">
        <v>3375</v>
      </c>
      <c r="K15" s="13"/>
      <c r="L15" s="12"/>
      <c r="M15" s="12" t="n">
        <f aca="false">IF(OR(H15="tested",H15="verified",H15="not applicable"),1,0)</f>
        <v>1</v>
      </c>
    </row>
    <row r="16" customFormat="false" ht="54" hidden="false" customHeight="true" outlineLevel="0" collapsed="false">
      <c r="A16" s="12" t="s">
        <v>3376</v>
      </c>
      <c r="B16" s="12" t="s">
        <v>32</v>
      </c>
      <c r="C16" s="12" t="s">
        <v>782</v>
      </c>
      <c r="D16" s="13" t="s">
        <v>3377</v>
      </c>
      <c r="E16" s="12" t="s">
        <v>159</v>
      </c>
      <c r="F16" s="12" t="s">
        <v>159</v>
      </c>
      <c r="G16" s="13" t="s">
        <v>3370</v>
      </c>
      <c r="H16" s="12" t="s">
        <v>98</v>
      </c>
      <c r="I16" s="12" t="s">
        <v>113</v>
      </c>
      <c r="J16" s="14" t="s">
        <v>3378</v>
      </c>
      <c r="K16" s="13"/>
      <c r="L16" s="12"/>
      <c r="M16" s="12" t="n">
        <f aca="false">IF(OR(H16="tested",H16="verified",H16="not applicable"),1,0)</f>
        <v>1</v>
      </c>
    </row>
    <row r="17" customFormat="false" ht="54" hidden="false" customHeight="true" outlineLevel="0" collapsed="false">
      <c r="A17" s="12" t="s">
        <v>3379</v>
      </c>
      <c r="B17" s="12" t="s">
        <v>3320</v>
      </c>
      <c r="C17" s="12" t="s">
        <v>782</v>
      </c>
      <c r="D17" s="13" t="s">
        <v>3380</v>
      </c>
      <c r="E17" s="12" t="s">
        <v>134</v>
      </c>
      <c r="F17" s="12" t="s">
        <v>154</v>
      </c>
      <c r="G17" s="13" t="s">
        <v>3359</v>
      </c>
      <c r="H17" s="12" t="s">
        <v>98</v>
      </c>
      <c r="I17" s="12" t="s">
        <v>113</v>
      </c>
      <c r="J17" s="14" t="s">
        <v>3322</v>
      </c>
      <c r="K17" s="13"/>
      <c r="L17" s="12"/>
      <c r="M17" s="12" t="n">
        <f aca="false">IF(OR(H17="tested",H17="verified",H17="not applicable"),1,0)</f>
        <v>1</v>
      </c>
    </row>
    <row r="18" customFormat="false" ht="54" hidden="false" customHeight="true" outlineLevel="0" collapsed="false">
      <c r="A18" s="12" t="s">
        <v>3381</v>
      </c>
      <c r="B18" s="12" t="s">
        <v>1133</v>
      </c>
      <c r="C18" s="12" t="s">
        <v>782</v>
      </c>
      <c r="D18" s="13" t="s">
        <v>3382</v>
      </c>
      <c r="E18" s="12" t="s">
        <v>159</v>
      </c>
      <c r="F18" s="12" t="s">
        <v>159</v>
      </c>
      <c r="G18" s="13" t="s">
        <v>3370</v>
      </c>
      <c r="H18" s="12" t="s">
        <v>98</v>
      </c>
      <c r="I18" s="12" t="s">
        <v>113</v>
      </c>
      <c r="J18" s="14" t="s">
        <v>3325</v>
      </c>
      <c r="K18" s="13"/>
      <c r="L18" s="12"/>
      <c r="M18" s="12" t="n">
        <f aca="false">IF(OR(H18="tested",H18="verified",H18="not applicable"),1,0)</f>
        <v>1</v>
      </c>
    </row>
    <row r="19" customFormat="false" ht="54" hidden="false" customHeight="true" outlineLevel="0" collapsed="false">
      <c r="A19" s="12" t="s">
        <v>3383</v>
      </c>
      <c r="B19" s="12" t="s">
        <v>3384</v>
      </c>
      <c r="C19" s="12" t="s">
        <v>855</v>
      </c>
      <c r="D19" s="13" t="s">
        <v>3385</v>
      </c>
      <c r="E19" s="12" t="s">
        <v>134</v>
      </c>
      <c r="F19" s="12" t="s">
        <v>154</v>
      </c>
      <c r="G19" s="13" t="s">
        <v>3359</v>
      </c>
      <c r="H19" s="12" t="s">
        <v>98</v>
      </c>
      <c r="I19" s="12" t="s">
        <v>113</v>
      </c>
      <c r="J19" s="14" t="s">
        <v>3386</v>
      </c>
      <c r="K19" s="13"/>
      <c r="L19" s="12"/>
      <c r="M19" s="12" t="n">
        <f aca="false">IF(OR(H19="tested",H19="verified",H19="not applicable"),1,0)</f>
        <v>1</v>
      </c>
    </row>
    <row r="20" customFormat="false" ht="54" hidden="false" customHeight="true" outlineLevel="0" collapsed="false">
      <c r="A20" s="12" t="s">
        <v>3387</v>
      </c>
      <c r="B20" s="12" t="s">
        <v>1863</v>
      </c>
      <c r="C20" s="12" t="s">
        <v>1560</v>
      </c>
      <c r="D20" s="13" t="s">
        <v>3331</v>
      </c>
      <c r="E20" s="12" t="s">
        <v>3103</v>
      </c>
      <c r="F20" s="12" t="s">
        <v>169</v>
      </c>
      <c r="G20" s="13" t="s">
        <v>3388</v>
      </c>
      <c r="H20" s="12" t="s">
        <v>100</v>
      </c>
      <c r="I20" s="12" t="s">
        <v>112</v>
      </c>
      <c r="J20" s="14" t="s">
        <v>3389</v>
      </c>
      <c r="K20" s="13"/>
      <c r="L20" s="12"/>
      <c r="M20" s="12" t="n">
        <f aca="false">IF(OR(H20="tested",H20="verified",H20="not applicable"),1,0)</f>
        <v>1</v>
      </c>
    </row>
    <row r="21" customFormat="false" ht="54" hidden="false" customHeight="true" outlineLevel="0" collapsed="false">
      <c r="A21" s="12" t="s">
        <v>3390</v>
      </c>
      <c r="B21" s="12" t="s">
        <v>173</v>
      </c>
      <c r="C21" s="12" t="s">
        <v>1560</v>
      </c>
      <c r="D21" s="13" t="s">
        <v>3391</v>
      </c>
      <c r="E21" s="12" t="s">
        <v>3103</v>
      </c>
      <c r="F21" s="12" t="s">
        <v>169</v>
      </c>
      <c r="G21" s="13" t="s">
        <v>3388</v>
      </c>
      <c r="H21" s="12" t="s">
        <v>100</v>
      </c>
      <c r="I21" s="12" t="s">
        <v>112</v>
      </c>
      <c r="J21" s="14" t="s">
        <v>3392</v>
      </c>
      <c r="K21" s="13"/>
      <c r="L21" s="12"/>
      <c r="M21" s="12" t="n">
        <f aca="false">IF(OR(H21="tested",H21="verified",H21="not applicable"),1,0)</f>
        <v>1</v>
      </c>
    </row>
    <row r="22" customFormat="false" ht="54" hidden="false" customHeight="true" outlineLevel="0" collapsed="false">
      <c r="A22" s="12" t="s">
        <v>3393</v>
      </c>
      <c r="B22" s="12" t="s">
        <v>162</v>
      </c>
      <c r="C22" s="12" t="s">
        <v>1560</v>
      </c>
      <c r="D22" s="13" t="s">
        <v>3394</v>
      </c>
      <c r="E22" s="12" t="s">
        <v>159</v>
      </c>
      <c r="F22" s="12" t="s">
        <v>164</v>
      </c>
      <c r="G22" s="13" t="s">
        <v>3370</v>
      </c>
      <c r="H22" s="12" t="s">
        <v>98</v>
      </c>
      <c r="I22" s="12" t="s">
        <v>113</v>
      </c>
      <c r="J22" s="14" t="s">
        <v>3340</v>
      </c>
      <c r="K22" s="13"/>
      <c r="L22" s="12"/>
      <c r="M22" s="12" t="n">
        <f aca="false">IF(OR(H22="tested",H22="verified",H22="not applicable"),1,0)</f>
        <v>1</v>
      </c>
    </row>
    <row r="23" customFormat="false" ht="54" hidden="false" customHeight="true" outlineLevel="0" collapsed="false">
      <c r="A23" s="12" t="s">
        <v>3395</v>
      </c>
      <c r="B23" s="12" t="s">
        <v>187</v>
      </c>
      <c r="C23" s="12" t="s">
        <v>82</v>
      </c>
      <c r="D23" s="13" t="s">
        <v>3396</v>
      </c>
      <c r="E23" s="12" t="s">
        <v>3103</v>
      </c>
      <c r="F23" s="12" t="s">
        <v>175</v>
      </c>
      <c r="G23" s="13" t="s">
        <v>3397</v>
      </c>
      <c r="H23" s="12" t="s">
        <v>96</v>
      </c>
      <c r="I23" s="12" t="s">
        <v>112</v>
      </c>
      <c r="J23" s="14" t="s">
        <v>3398</v>
      </c>
      <c r="K23" s="13"/>
      <c r="L23" s="12"/>
      <c r="M23" s="12" t="n">
        <f aca="false">IF(OR(H23="tested",H23="verified",H23="not applicable"),1,0)</f>
        <v>0</v>
      </c>
    </row>
    <row r="24" customFormat="false" ht="54" hidden="false" customHeight="true" outlineLevel="0" collapsed="false">
      <c r="A24" s="12" t="s">
        <v>3399</v>
      </c>
      <c r="B24" s="12" t="s">
        <v>2377</v>
      </c>
      <c r="C24" s="12" t="s">
        <v>82</v>
      </c>
      <c r="D24" s="13" t="s">
        <v>3400</v>
      </c>
      <c r="E24" s="12" t="s">
        <v>134</v>
      </c>
      <c r="F24" s="12" t="s">
        <v>193</v>
      </c>
      <c r="G24" s="13" t="s">
        <v>3401</v>
      </c>
      <c r="H24" s="12" t="s">
        <v>98</v>
      </c>
      <c r="I24" s="12" t="s">
        <v>113</v>
      </c>
      <c r="J24" s="14" t="s">
        <v>3348</v>
      </c>
      <c r="K24" s="13"/>
      <c r="L24" s="12"/>
      <c r="M24" s="12" t="n">
        <f aca="false">IF(OR(H24="tested",H24="verified",H24="not applicable"),1,0)</f>
        <v>1</v>
      </c>
    </row>
    <row r="25" customFormat="false" ht="23.25" hidden="false" customHeight="true" outlineLevel="0" collapsed="false">
      <c r="A25" s="12" t="s">
        <v>3402</v>
      </c>
      <c r="B25" s="12" t="s">
        <v>200</v>
      </c>
      <c r="C25" s="12" t="s">
        <v>1560</v>
      </c>
      <c r="D25" s="13" t="s">
        <v>3403</v>
      </c>
      <c r="E25" s="12" t="s">
        <v>202</v>
      </c>
      <c r="F25" s="12" t="s">
        <v>202</v>
      </c>
      <c r="G25" s="13" t="s">
        <v>2539</v>
      </c>
      <c r="H25" s="12" t="s">
        <v>98</v>
      </c>
      <c r="I25" s="12" t="s">
        <v>113</v>
      </c>
      <c r="J25" s="14" t="s">
        <v>3351</v>
      </c>
      <c r="K25" s="13"/>
      <c r="L25" s="12"/>
      <c r="M25" s="12" t="n">
        <f aca="false">IF(OR(H25="tested",H25="verified",H25="not applicable"),1,0)</f>
        <v>1</v>
      </c>
    </row>
    <row r="26" customFormat="false" ht="23.25" hidden="false" customHeight="true" outlineLevel="0" collapsed="false">
      <c r="A26" s="12"/>
      <c r="B26" s="12"/>
      <c r="C26" s="12"/>
      <c r="D26" s="13"/>
      <c r="E26" s="12"/>
      <c r="F26" s="12"/>
      <c r="G26" s="13"/>
      <c r="H26" s="12"/>
      <c r="I26" s="12"/>
      <c r="J26" s="14"/>
      <c r="K26" s="13"/>
      <c r="L26" s="12"/>
      <c r="M26" s="12"/>
    </row>
    <row r="27" customFormat="false" ht="23.25" hidden="false" customHeight="true" outlineLevel="0" collapsed="false">
      <c r="A27" s="12"/>
      <c r="B27" s="12"/>
      <c r="C27" s="12"/>
      <c r="D27" s="13"/>
      <c r="E27" s="12"/>
      <c r="F27" s="12"/>
      <c r="G27" s="13"/>
      <c r="H27" s="12"/>
      <c r="I27" s="12"/>
      <c r="J27" s="14"/>
      <c r="K27" s="13"/>
      <c r="L27" s="12"/>
      <c r="M27" s="12"/>
    </row>
    <row r="28" customFormat="false" ht="23.25" hidden="false" customHeight="true" outlineLevel="0" collapsed="false">
      <c r="A28" s="12"/>
      <c r="B28" s="12"/>
      <c r="C28" s="12"/>
      <c r="D28" s="13"/>
      <c r="E28" s="12"/>
      <c r="F28" s="12"/>
      <c r="G28" s="13"/>
      <c r="H28" s="12"/>
      <c r="I28" s="12"/>
      <c r="J28" s="14"/>
      <c r="K28" s="13"/>
      <c r="L28" s="12"/>
      <c r="M28" s="12"/>
    </row>
    <row r="29" customFormat="false" ht="23.25" hidden="false" customHeight="true" outlineLevel="0" collapsed="false">
      <c r="A29" s="12"/>
      <c r="B29" s="12"/>
      <c r="C29" s="12"/>
      <c r="D29" s="13"/>
      <c r="E29" s="12"/>
      <c r="F29" s="12"/>
      <c r="G29" s="13"/>
      <c r="H29" s="12"/>
      <c r="I29" s="12"/>
      <c r="J29" s="14"/>
      <c r="K29" s="13"/>
      <c r="L29" s="12"/>
      <c r="M29" s="12"/>
    </row>
    <row r="30" customFormat="false" ht="23.25" hidden="false" customHeight="true" outlineLevel="0" collapsed="false">
      <c r="A30" s="12"/>
      <c r="B30" s="12"/>
      <c r="C30" s="12"/>
      <c r="D30" s="13"/>
      <c r="E30" s="12"/>
      <c r="F30" s="12"/>
      <c r="G30" s="13"/>
      <c r="H30" s="12"/>
      <c r="I30" s="12"/>
      <c r="J30" s="14"/>
      <c r="K30" s="13"/>
      <c r="L30" s="12"/>
      <c r="M30" s="12"/>
    </row>
  </sheetData>
  <autoFilter ref="A8:M25"/>
  <mergeCells count="2">
    <mergeCell ref="A1:M1"/>
    <mergeCell ref="A2:M2"/>
  </mergeCells>
  <conditionalFormatting sqref="H9:H25">
    <cfRule type="containsText" priority="2" operator="containsText" aboveAverage="0" equalAverage="0" bottom="0" percent="0" rank="0" text="not started" dxfId="5">
      <formula>NOT(ISERROR(SEARCH("not started",H9)))</formula>
    </cfRule>
    <cfRule type="containsText" priority="3" operator="containsText" aboveAverage="0" equalAverage="0" bottom="0" percent="0" rank="0" text="partial" dxfId="6">
      <formula>NOT(ISERROR(SEARCH("partial",H9)))</formula>
    </cfRule>
    <cfRule type="containsText" priority="4" operator="containsText" aboveAverage="0" equalAverage="0" bottom="0" percent="0" rank="0" text="implemented" dxfId="7">
      <formula>NOT(ISERROR(SEARCH("implemented",H9)))</formula>
    </cfRule>
    <cfRule type="containsText" priority="5" operator="containsText" aboveAverage="0" equalAverage="0" bottom="0" percent="0" rank="0" text="tested" dxfId="8">
      <formula>NOT(ISERROR(SEARCH("tested",H9)))</formula>
    </cfRule>
    <cfRule type="containsText" priority="6" operator="containsText" aboveAverage="0" equalAverage="0" bottom="0" percent="0" rank="0" text="verified" dxfId="3">
      <formula>NOT(ISERROR(SEARCH("verified",H9)))</formula>
    </cfRule>
    <cfRule type="containsText" priority="7" operator="containsText" aboveAverage="0" equalAverage="0" bottom="0" percent="0" rank="0" text="blocked" dxfId="9">
      <formula>NOT(ISERROR(SEARCH("blocked",H9)))</formula>
    </cfRule>
    <cfRule type="containsText" priority="8" operator="containsText" aboveAverage="0" equalAverage="0" bottom="0" percent="0" rank="0" text="not applicable" dxfId="5">
      <formula>NOT(ISERROR(SEARCH("not applicable",H9)))</formula>
    </cfRule>
  </conditionalFormatting>
  <dataValidations count="2">
    <dataValidation allowBlank="false" errorStyle="stop" operator="between" showDropDown="false" showErrorMessage="false" showInputMessage="false" sqref="H9:H25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2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.71"/>
    <col collapsed="false" customWidth="true" hidden="false" outlineLevel="0" max="2" min="2" style="1" width="15.71"/>
    <col collapsed="false" customWidth="true" hidden="false" outlineLevel="0" max="3" min="3" style="1" width="18.71"/>
    <col collapsed="false" customWidth="true" hidden="false" outlineLevel="0" max="4" min="4" style="1" width="58.71"/>
    <col collapsed="false" customWidth="true" hidden="false" outlineLevel="0" max="6" min="5" style="1" width="14.71"/>
    <col collapsed="false" customWidth="true" hidden="false" outlineLevel="0" max="7" min="7" style="1" width="50.71"/>
    <col collapsed="false" customWidth="true" hidden="false" outlineLevel="0" max="8" min="8" style="1" width="17.71"/>
    <col collapsed="false" customWidth="true" hidden="false" outlineLevel="0" max="9" min="9" style="1" width="14.71"/>
    <col collapsed="false" customWidth="true" hidden="false" outlineLevel="0" max="10" min="10" style="10" width="14.71"/>
    <col collapsed="false" customWidth="true" hidden="false" outlineLevel="0" max="11" min="11" style="1" width="42.71"/>
    <col collapsed="false" customWidth="true" hidden="false" outlineLevel="0" max="13" min="12" style="1" width="10.71"/>
  </cols>
  <sheetData>
    <row r="1" customFormat="false" ht="37.5" hidden="false" customHeight="true" outlineLevel="0" collapsed="false">
      <c r="A1" s="3" t="s">
        <v>3404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</row>
    <row r="2" customFormat="false" ht="27.75" hidden="false" customHeight="true" outlineLevel="0" collapsed="false">
      <c r="A2" s="4" t="s">
        <v>3405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customFormat="false" ht="17.25" hidden="false" customHeight="true" outlineLevel="0" collapsed="false">
      <c r="A4" s="5" t="s">
        <v>7</v>
      </c>
      <c r="B4" s="6" t="n">
        <f aca="false">COUNTA(A9:A36)</f>
        <v>28</v>
      </c>
      <c r="D4" s="5" t="s">
        <v>116</v>
      </c>
      <c r="E4" s="6" t="n">
        <f aca="false">SUM(M9:M36)</f>
        <v>27</v>
      </c>
      <c r="G4" s="5" t="s">
        <v>14</v>
      </c>
      <c r="H4" s="7" t="n">
        <f aca="false">IF(B4=0,0,E4/B4)</f>
        <v>0.964285714285714</v>
      </c>
      <c r="J4" s="5" t="s">
        <v>15</v>
      </c>
      <c r="K4" s="6" t="str">
        <f aca="false">IF(COUNTIFS(E9:E36,"package",M9:M36,0)&gt;0,"open","complete")</f>
        <v>complete</v>
      </c>
    </row>
    <row r="5" customFormat="false" ht="17.25" hidden="false" customHeight="true" outlineLevel="0" collapsed="false">
      <c r="A5" s="5" t="s">
        <v>117</v>
      </c>
      <c r="B5" s="6" t="str">
        <f aca="false">IF(COUNTIFS(I9:I36,"yes",M9:M36,0)&gt;0,"open","complete")</f>
        <v>open</v>
      </c>
      <c r="D5" s="5" t="s">
        <v>16</v>
      </c>
      <c r="E5" s="6" t="str">
        <f aca="false">IF(COUNTIFS(E9:E36,"consumer",M9:M36,0)&gt;0,"open","complete")</f>
        <v>complete</v>
      </c>
    </row>
    <row r="8" customFormat="false" ht="15" hidden="false" customHeight="true" outlineLevel="0" collapsed="false">
      <c r="A8" s="8" t="s">
        <v>118</v>
      </c>
      <c r="B8" s="8" t="s">
        <v>119</v>
      </c>
      <c r="C8" s="8" t="s">
        <v>120</v>
      </c>
      <c r="D8" s="8" t="s">
        <v>121</v>
      </c>
      <c r="E8" s="8" t="s">
        <v>122</v>
      </c>
      <c r="F8" s="8" t="s">
        <v>123</v>
      </c>
      <c r="G8" s="8" t="s">
        <v>124</v>
      </c>
      <c r="H8" s="8" t="s">
        <v>125</v>
      </c>
      <c r="I8" s="8" t="s">
        <v>126</v>
      </c>
      <c r="J8" s="11" t="s">
        <v>127</v>
      </c>
      <c r="K8" s="8" t="s">
        <v>128</v>
      </c>
      <c r="L8" s="8" t="s">
        <v>129</v>
      </c>
      <c r="M8" s="8" t="s">
        <v>116</v>
      </c>
    </row>
    <row r="9" customFormat="false" ht="54" hidden="false" customHeight="true" outlineLevel="0" collapsed="false">
      <c r="A9" s="12" t="s">
        <v>3406</v>
      </c>
      <c r="B9" s="12" t="s">
        <v>90</v>
      </c>
      <c r="C9" s="12" t="s">
        <v>1184</v>
      </c>
      <c r="D9" s="13" t="s">
        <v>3407</v>
      </c>
      <c r="E9" s="12" t="s">
        <v>134</v>
      </c>
      <c r="F9" s="12" t="s">
        <v>135</v>
      </c>
      <c r="G9" s="13" t="s">
        <v>3408</v>
      </c>
      <c r="H9" s="12" t="s">
        <v>98</v>
      </c>
      <c r="I9" s="12" t="s">
        <v>113</v>
      </c>
      <c r="J9" s="14" t="n">
        <v>46232</v>
      </c>
      <c r="K9" s="13" t="s">
        <v>3409</v>
      </c>
      <c r="L9" s="12" t="n">
        <v>1</v>
      </c>
      <c r="M9" s="12" t="n">
        <f aca="false">IF(OR(AND(I9="yes",H9="verified"),AND(I9="no",OR(H9="tested",H9="verified")),AND(H9="not applicable",K9&lt;&gt;"")),1,0)</f>
        <v>1</v>
      </c>
    </row>
    <row r="10" customFormat="false" ht="54" hidden="false" customHeight="true" outlineLevel="0" collapsed="false">
      <c r="A10" s="12" t="s">
        <v>3410</v>
      </c>
      <c r="B10" s="12" t="s">
        <v>2390</v>
      </c>
      <c r="C10" s="12" t="s">
        <v>1184</v>
      </c>
      <c r="D10" s="13" t="s">
        <v>3411</v>
      </c>
      <c r="E10" s="12" t="s">
        <v>134</v>
      </c>
      <c r="F10" s="12" t="s">
        <v>154</v>
      </c>
      <c r="G10" s="13" t="s">
        <v>3412</v>
      </c>
      <c r="H10" s="12" t="s">
        <v>98</v>
      </c>
      <c r="I10" s="12" t="s">
        <v>113</v>
      </c>
      <c r="J10" s="14" t="n">
        <v>46232</v>
      </c>
      <c r="K10" s="13" t="s">
        <v>3297</v>
      </c>
      <c r="L10" s="12" t="n">
        <v>1</v>
      </c>
      <c r="M10" s="12" t="n">
        <f aca="false">IF(OR(AND(I10="yes",H10="verified"),AND(I10="no",OR(H10="tested",H10="verified")),AND(H10="not applicable",K10&lt;&gt;"")),1,0)</f>
        <v>1</v>
      </c>
    </row>
    <row r="11" customFormat="false" ht="54" hidden="false" customHeight="true" outlineLevel="0" collapsed="false">
      <c r="A11" s="12" t="s">
        <v>3413</v>
      </c>
      <c r="B11" s="12" t="s">
        <v>1343</v>
      </c>
      <c r="C11" s="12" t="s">
        <v>1184</v>
      </c>
      <c r="D11" s="13" t="s">
        <v>3414</v>
      </c>
      <c r="E11" s="12" t="s">
        <v>134</v>
      </c>
      <c r="F11" s="12" t="s">
        <v>154</v>
      </c>
      <c r="G11" s="13" t="s">
        <v>3412</v>
      </c>
      <c r="H11" s="12" t="s">
        <v>98</v>
      </c>
      <c r="I11" s="12" t="s">
        <v>113</v>
      </c>
      <c r="J11" s="14" t="n">
        <v>46232</v>
      </c>
      <c r="K11" s="13" t="s">
        <v>3415</v>
      </c>
      <c r="L11" s="12" t="n">
        <v>1</v>
      </c>
      <c r="M11" s="12" t="n">
        <f aca="false">IF(OR(AND(I11="yes",H11="verified"),AND(I11="no",OR(H11="tested",H11="verified")),AND(H11="not applicable",K11&lt;&gt;"")),1,0)</f>
        <v>1</v>
      </c>
    </row>
    <row r="12" customFormat="false" ht="54" hidden="false" customHeight="true" outlineLevel="0" collapsed="false">
      <c r="A12" s="12" t="s">
        <v>3416</v>
      </c>
      <c r="B12" s="12" t="s">
        <v>142</v>
      </c>
      <c r="C12" s="12" t="s">
        <v>2399</v>
      </c>
      <c r="D12" s="13" t="s">
        <v>3417</v>
      </c>
      <c r="E12" s="12" t="s">
        <v>134</v>
      </c>
      <c r="F12" s="12" t="s">
        <v>144</v>
      </c>
      <c r="G12" s="13" t="s">
        <v>3418</v>
      </c>
      <c r="H12" s="12" t="s">
        <v>98</v>
      </c>
      <c r="I12" s="12" t="s">
        <v>113</v>
      </c>
      <c r="J12" s="14" t="n">
        <v>46232</v>
      </c>
      <c r="K12" s="13" t="s">
        <v>3419</v>
      </c>
      <c r="L12" s="12" t="n">
        <v>1</v>
      </c>
      <c r="M12" s="12" t="n">
        <f aca="false">IF(OR(AND(I12="yes",H12="verified"),AND(I12="no",OR(H12="tested",H12="verified")),AND(H12="not applicable",K12&lt;&gt;"")),1,0)</f>
        <v>1</v>
      </c>
    </row>
    <row r="13" customFormat="false" ht="54" hidden="false" customHeight="true" outlineLevel="0" collapsed="false">
      <c r="A13" s="12" t="s">
        <v>3420</v>
      </c>
      <c r="B13" s="12" t="s">
        <v>138</v>
      </c>
      <c r="C13" s="12" t="s">
        <v>1184</v>
      </c>
      <c r="D13" s="13" t="s">
        <v>3421</v>
      </c>
      <c r="E13" s="12" t="s">
        <v>134</v>
      </c>
      <c r="F13" s="12" t="s">
        <v>134</v>
      </c>
      <c r="G13" s="13" t="s">
        <v>3422</v>
      </c>
      <c r="H13" s="12" t="s">
        <v>98</v>
      </c>
      <c r="I13" s="12" t="s">
        <v>113</v>
      </c>
      <c r="J13" s="14" t="n">
        <v>46232</v>
      </c>
      <c r="K13" s="13" t="s">
        <v>3423</v>
      </c>
      <c r="L13" s="12" t="n">
        <v>1</v>
      </c>
      <c r="M13" s="12" t="n">
        <f aca="false">IF(OR(AND(I13="yes",H13="verified"),AND(I13="no",OR(H13="tested",H13="verified")),AND(H13="not applicable",K13&lt;&gt;"")),1,0)</f>
        <v>1</v>
      </c>
    </row>
    <row r="14" customFormat="false" ht="54" hidden="false" customHeight="true" outlineLevel="0" collapsed="false">
      <c r="A14" s="12" t="s">
        <v>3424</v>
      </c>
      <c r="B14" s="12" t="s">
        <v>1310</v>
      </c>
      <c r="C14" s="12" t="s">
        <v>3425</v>
      </c>
      <c r="D14" s="13" t="s">
        <v>3426</v>
      </c>
      <c r="E14" s="12" t="s">
        <v>134</v>
      </c>
      <c r="F14" s="12" t="s">
        <v>134</v>
      </c>
      <c r="G14" s="13" t="s">
        <v>1312</v>
      </c>
      <c r="H14" s="12" t="s">
        <v>98</v>
      </c>
      <c r="I14" s="12" t="s">
        <v>113</v>
      </c>
      <c r="J14" s="14" t="n">
        <v>46232</v>
      </c>
      <c r="K14" s="13" t="s">
        <v>3427</v>
      </c>
      <c r="L14" s="12" t="n">
        <v>1</v>
      </c>
      <c r="M14" s="12" t="n">
        <f aca="false">IF(OR(AND(I14="yes",H14="verified"),AND(I14="no",OR(H14="tested",H14="verified")),AND(H14="not applicable",K14&lt;&gt;"")),1,0)</f>
        <v>1</v>
      </c>
    </row>
    <row r="15" customFormat="false" ht="54" hidden="false" customHeight="true" outlineLevel="0" collapsed="false">
      <c r="A15" s="12" t="s">
        <v>3428</v>
      </c>
      <c r="B15" s="12" t="s">
        <v>147</v>
      </c>
      <c r="C15" s="12" t="s">
        <v>1184</v>
      </c>
      <c r="D15" s="13" t="s">
        <v>3429</v>
      </c>
      <c r="E15" s="12" t="s">
        <v>134</v>
      </c>
      <c r="F15" s="12" t="s">
        <v>149</v>
      </c>
      <c r="G15" s="13" t="s">
        <v>3430</v>
      </c>
      <c r="H15" s="12" t="s">
        <v>98</v>
      </c>
      <c r="I15" s="12" t="s">
        <v>113</v>
      </c>
      <c r="J15" s="14" t="n">
        <v>46232</v>
      </c>
      <c r="K15" s="13" t="s">
        <v>3431</v>
      </c>
      <c r="L15" s="12" t="n">
        <v>1</v>
      </c>
      <c r="M15" s="12" t="n">
        <f aca="false">IF(OR(AND(I15="yes",H15="verified"),AND(I15="no",OR(H15="tested",H15="verified")),AND(H15="not applicable",K15&lt;&gt;"")),1,0)</f>
        <v>1</v>
      </c>
    </row>
    <row r="16" customFormat="false" ht="54" hidden="false" customHeight="true" outlineLevel="0" collapsed="false">
      <c r="A16" s="12" t="s">
        <v>3432</v>
      </c>
      <c r="B16" s="12" t="s">
        <v>3433</v>
      </c>
      <c r="C16" s="12" t="s">
        <v>3434</v>
      </c>
      <c r="D16" s="13" t="s">
        <v>3435</v>
      </c>
      <c r="E16" s="12" t="s">
        <v>159</v>
      </c>
      <c r="F16" s="12" t="s">
        <v>159</v>
      </c>
      <c r="G16" s="13" t="s">
        <v>3436</v>
      </c>
      <c r="H16" s="12" t="s">
        <v>98</v>
      </c>
      <c r="I16" s="12" t="s">
        <v>113</v>
      </c>
      <c r="J16" s="14" t="n">
        <v>46232</v>
      </c>
      <c r="K16" s="13" t="s">
        <v>3437</v>
      </c>
      <c r="L16" s="12" t="n">
        <v>1</v>
      </c>
      <c r="M16" s="12" t="n">
        <f aca="false">IF(OR(AND(I16="yes",H16="verified"),AND(I16="no",OR(H16="tested",H16="verified")),AND(H16="not applicable",K16&lt;&gt;"")),1,0)</f>
        <v>1</v>
      </c>
    </row>
    <row r="17" customFormat="false" ht="54" hidden="false" customHeight="true" outlineLevel="0" collapsed="false">
      <c r="A17" s="12" t="s">
        <v>3438</v>
      </c>
      <c r="B17" s="12" t="s">
        <v>3439</v>
      </c>
      <c r="C17" s="12" t="s">
        <v>3440</v>
      </c>
      <c r="D17" s="13" t="s">
        <v>3441</v>
      </c>
      <c r="E17" s="12" t="s">
        <v>159</v>
      </c>
      <c r="F17" s="12" t="s">
        <v>159</v>
      </c>
      <c r="G17" s="13" t="s">
        <v>3442</v>
      </c>
      <c r="H17" s="12" t="s">
        <v>98</v>
      </c>
      <c r="I17" s="12" t="s">
        <v>113</v>
      </c>
      <c r="J17" s="14" t="n">
        <v>46232</v>
      </c>
      <c r="K17" s="13" t="s">
        <v>3443</v>
      </c>
      <c r="L17" s="12" t="n">
        <v>1</v>
      </c>
      <c r="M17" s="12" t="n">
        <f aca="false">IF(OR(AND(I17="yes",H17="verified"),AND(I17="no",OR(H17="tested",H17="verified")),AND(H17="not applicable",K17&lt;&gt;"")),1,0)</f>
        <v>1</v>
      </c>
    </row>
    <row r="18" customFormat="false" ht="54" hidden="false" customHeight="true" outlineLevel="0" collapsed="false">
      <c r="A18" s="12" t="s">
        <v>3444</v>
      </c>
      <c r="B18" s="12" t="s">
        <v>3445</v>
      </c>
      <c r="C18" s="12" t="s">
        <v>3446</v>
      </c>
      <c r="D18" s="13" t="s">
        <v>3447</v>
      </c>
      <c r="E18" s="12" t="s">
        <v>159</v>
      </c>
      <c r="F18" s="12" t="s">
        <v>159</v>
      </c>
      <c r="G18" s="13" t="s">
        <v>3436</v>
      </c>
      <c r="H18" s="12" t="s">
        <v>98</v>
      </c>
      <c r="I18" s="12" t="s">
        <v>113</v>
      </c>
      <c r="J18" s="14" t="n">
        <v>46232</v>
      </c>
      <c r="K18" s="13" t="s">
        <v>3448</v>
      </c>
      <c r="L18" s="12" t="n">
        <v>1</v>
      </c>
      <c r="M18" s="12" t="n">
        <f aca="false">IF(OR(AND(I18="yes",H18="verified"),AND(I18="no",OR(H18="tested",H18="verified")),AND(H18="not applicable",K18&lt;&gt;"")),1,0)</f>
        <v>1</v>
      </c>
    </row>
    <row r="19" customFormat="false" ht="54" hidden="false" customHeight="true" outlineLevel="0" collapsed="false">
      <c r="A19" s="12" t="s">
        <v>3449</v>
      </c>
      <c r="B19" s="12" t="s">
        <v>3450</v>
      </c>
      <c r="C19" s="12" t="s">
        <v>3451</v>
      </c>
      <c r="D19" s="13" t="s">
        <v>3452</v>
      </c>
      <c r="E19" s="12" t="s">
        <v>159</v>
      </c>
      <c r="F19" s="12" t="s">
        <v>159</v>
      </c>
      <c r="G19" s="13" t="s">
        <v>3453</v>
      </c>
      <c r="H19" s="12" t="s">
        <v>98</v>
      </c>
      <c r="I19" s="12" t="s">
        <v>113</v>
      </c>
      <c r="J19" s="14" t="n">
        <v>46232</v>
      </c>
      <c r="K19" s="13" t="s">
        <v>3454</v>
      </c>
      <c r="L19" s="12" t="n">
        <v>1</v>
      </c>
      <c r="M19" s="12" t="n">
        <f aca="false">IF(OR(AND(I19="yes",H19="verified"),AND(I19="no",OR(H19="tested",H19="verified")),AND(H19="not applicable",K19&lt;&gt;"")),1,0)</f>
        <v>1</v>
      </c>
    </row>
    <row r="20" customFormat="false" ht="54" hidden="false" customHeight="true" outlineLevel="0" collapsed="false">
      <c r="A20" s="12" t="s">
        <v>3455</v>
      </c>
      <c r="B20" s="12" t="s">
        <v>1589</v>
      </c>
      <c r="C20" s="12" t="s">
        <v>3456</v>
      </c>
      <c r="D20" s="13" t="s">
        <v>3457</v>
      </c>
      <c r="E20" s="12" t="s">
        <v>134</v>
      </c>
      <c r="F20" s="12" t="s">
        <v>154</v>
      </c>
      <c r="G20" s="13" t="s">
        <v>3458</v>
      </c>
      <c r="H20" s="12" t="s">
        <v>98</v>
      </c>
      <c r="I20" s="12" t="s">
        <v>113</v>
      </c>
      <c r="J20" s="14" t="n">
        <v>46232</v>
      </c>
      <c r="K20" s="13" t="s">
        <v>3459</v>
      </c>
      <c r="L20" s="12" t="n">
        <v>1</v>
      </c>
      <c r="M20" s="12" t="n">
        <f aca="false">IF(OR(AND(I20="yes",H20="verified"),AND(I20="no",OR(H20="tested",H20="verified")),AND(H20="not applicable",K20&lt;&gt;"")),1,0)</f>
        <v>1</v>
      </c>
    </row>
    <row r="21" customFormat="false" ht="54" hidden="false" customHeight="true" outlineLevel="0" collapsed="false">
      <c r="A21" s="12" t="s">
        <v>3460</v>
      </c>
      <c r="B21" s="12" t="s">
        <v>1693</v>
      </c>
      <c r="C21" s="12" t="s">
        <v>3446</v>
      </c>
      <c r="D21" s="13" t="s">
        <v>3461</v>
      </c>
      <c r="E21" s="12" t="s">
        <v>159</v>
      </c>
      <c r="F21" s="12" t="s">
        <v>169</v>
      </c>
      <c r="G21" s="13" t="s">
        <v>3462</v>
      </c>
      <c r="H21" s="12" t="s">
        <v>98</v>
      </c>
      <c r="I21" s="12" t="s">
        <v>113</v>
      </c>
      <c r="J21" s="14" t="n">
        <v>46232</v>
      </c>
      <c r="K21" s="13" t="s">
        <v>3463</v>
      </c>
      <c r="L21" s="12" t="n">
        <v>1</v>
      </c>
      <c r="M21" s="12" t="n">
        <f aca="false">IF(OR(AND(I21="yes",H21="verified"),AND(I21="no",OR(H21="tested",H21="verified")),AND(H21="not applicable",K21&lt;&gt;"")),1,0)</f>
        <v>1</v>
      </c>
    </row>
    <row r="22" customFormat="false" ht="54" hidden="false" customHeight="true" outlineLevel="0" collapsed="false">
      <c r="A22" s="12" t="s">
        <v>3464</v>
      </c>
      <c r="B22" s="12" t="s">
        <v>3465</v>
      </c>
      <c r="C22" s="12" t="s">
        <v>3466</v>
      </c>
      <c r="D22" s="13" t="s">
        <v>3467</v>
      </c>
      <c r="E22" s="12" t="s">
        <v>159</v>
      </c>
      <c r="F22" s="12" t="s">
        <v>159</v>
      </c>
      <c r="G22" s="13" t="s">
        <v>3468</v>
      </c>
      <c r="H22" s="12" t="s">
        <v>98</v>
      </c>
      <c r="I22" s="12" t="s">
        <v>113</v>
      </c>
      <c r="J22" s="14" t="n">
        <v>46232</v>
      </c>
      <c r="K22" s="13" t="s">
        <v>3469</v>
      </c>
      <c r="L22" s="12" t="n">
        <v>1</v>
      </c>
      <c r="M22" s="12" t="n">
        <f aca="false">IF(OR(AND(I22="yes",H22="verified"),AND(I22="no",OR(H22="tested",H22="verified")),AND(H22="not applicable",K22&lt;&gt;"")),1,0)</f>
        <v>1</v>
      </c>
    </row>
    <row r="23" customFormat="false" ht="54" hidden="false" customHeight="true" outlineLevel="0" collapsed="false">
      <c r="A23" s="12" t="s">
        <v>3470</v>
      </c>
      <c r="B23" s="12" t="s">
        <v>3471</v>
      </c>
      <c r="C23" s="12" t="s">
        <v>3472</v>
      </c>
      <c r="D23" s="13" t="s">
        <v>3473</v>
      </c>
      <c r="E23" s="12" t="s">
        <v>159</v>
      </c>
      <c r="F23" s="12" t="s">
        <v>169</v>
      </c>
      <c r="G23" s="13" t="s">
        <v>3462</v>
      </c>
      <c r="H23" s="12" t="s">
        <v>98</v>
      </c>
      <c r="I23" s="12" t="s">
        <v>113</v>
      </c>
      <c r="J23" s="14" t="n">
        <v>46232</v>
      </c>
      <c r="K23" s="13" t="s">
        <v>3474</v>
      </c>
      <c r="L23" s="12" t="n">
        <v>1</v>
      </c>
      <c r="M23" s="12" t="n">
        <f aca="false">IF(OR(AND(I23="yes",H23="verified"),AND(I23="no",OR(H23="tested",H23="verified")),AND(H23="not applicable",K23&lt;&gt;"")),1,0)</f>
        <v>1</v>
      </c>
    </row>
    <row r="24" customFormat="false" ht="54" hidden="false" customHeight="true" outlineLevel="0" collapsed="false">
      <c r="A24" s="12" t="s">
        <v>3475</v>
      </c>
      <c r="B24" s="12" t="s">
        <v>173</v>
      </c>
      <c r="C24" s="12" t="s">
        <v>2931</v>
      </c>
      <c r="D24" s="13" t="s">
        <v>3476</v>
      </c>
      <c r="E24" s="12" t="s">
        <v>159</v>
      </c>
      <c r="F24" s="12" t="s">
        <v>159</v>
      </c>
      <c r="G24" s="13" t="s">
        <v>3436</v>
      </c>
      <c r="H24" s="12" t="s">
        <v>98</v>
      </c>
      <c r="I24" s="12" t="s">
        <v>113</v>
      </c>
      <c r="J24" s="14" t="n">
        <v>46232</v>
      </c>
      <c r="K24" s="13" t="s">
        <v>3477</v>
      </c>
      <c r="L24" s="12" t="n">
        <v>1</v>
      </c>
      <c r="M24" s="12" t="n">
        <f aca="false">IF(OR(AND(I24="yes",H24="verified"),AND(I24="no",OR(H24="tested",H24="verified")),AND(H24="not applicable",K24&lt;&gt;"")),1,0)</f>
        <v>1</v>
      </c>
    </row>
    <row r="25" customFormat="false" ht="54" hidden="false" customHeight="true" outlineLevel="0" collapsed="false">
      <c r="A25" s="12" t="s">
        <v>3478</v>
      </c>
      <c r="B25" s="12" t="s">
        <v>2522</v>
      </c>
      <c r="C25" s="12" t="s">
        <v>1184</v>
      </c>
      <c r="D25" s="13" t="s">
        <v>3479</v>
      </c>
      <c r="E25" s="12" t="s">
        <v>159</v>
      </c>
      <c r="F25" s="12" t="s">
        <v>159</v>
      </c>
      <c r="G25" s="13" t="s">
        <v>3436</v>
      </c>
      <c r="H25" s="12" t="s">
        <v>98</v>
      </c>
      <c r="I25" s="12" t="s">
        <v>113</v>
      </c>
      <c r="J25" s="14" t="n">
        <v>46232</v>
      </c>
      <c r="K25" s="13" t="s">
        <v>3480</v>
      </c>
      <c r="L25" s="12" t="n">
        <v>1</v>
      </c>
      <c r="M25" s="12" t="n">
        <f aca="false">IF(OR(AND(I25="yes",H25="verified"),AND(I25="no",OR(H25="tested",H25="verified")),AND(H25="not applicable",K25&lt;&gt;"")),1,0)</f>
        <v>1</v>
      </c>
    </row>
    <row r="26" customFormat="false" ht="54" hidden="false" customHeight="true" outlineLevel="0" collapsed="false">
      <c r="A26" s="12" t="s">
        <v>3481</v>
      </c>
      <c r="B26" s="12" t="s">
        <v>3482</v>
      </c>
      <c r="C26" s="12" t="s">
        <v>1184</v>
      </c>
      <c r="D26" s="13" t="s">
        <v>3483</v>
      </c>
      <c r="E26" s="12" t="s">
        <v>159</v>
      </c>
      <c r="F26" s="12" t="s">
        <v>169</v>
      </c>
      <c r="G26" s="13" t="s">
        <v>3462</v>
      </c>
      <c r="H26" s="12" t="s">
        <v>98</v>
      </c>
      <c r="I26" s="12" t="s">
        <v>113</v>
      </c>
      <c r="J26" s="14" t="n">
        <v>46232</v>
      </c>
      <c r="K26" s="13" t="s">
        <v>3484</v>
      </c>
      <c r="L26" s="12" t="n">
        <v>1</v>
      </c>
      <c r="M26" s="12" t="n">
        <f aca="false">IF(OR(AND(I26="yes",H26="verified"),AND(I26="no",OR(H26="tested",H26="verified")),AND(H26="not applicable",K26&lt;&gt;"")),1,0)</f>
        <v>1</v>
      </c>
    </row>
    <row r="27" customFormat="false" ht="54" hidden="false" customHeight="true" outlineLevel="0" collapsed="false">
      <c r="A27" s="12" t="s">
        <v>3485</v>
      </c>
      <c r="B27" s="12" t="s">
        <v>1531</v>
      </c>
      <c r="C27" s="12" t="s">
        <v>1184</v>
      </c>
      <c r="D27" s="13" t="s">
        <v>3486</v>
      </c>
      <c r="E27" s="12" t="s">
        <v>134</v>
      </c>
      <c r="F27" s="12" t="s">
        <v>154</v>
      </c>
      <c r="G27" s="13" t="s">
        <v>3487</v>
      </c>
      <c r="H27" s="12" t="s">
        <v>98</v>
      </c>
      <c r="I27" s="12" t="s">
        <v>113</v>
      </c>
      <c r="J27" s="14" t="n">
        <v>46232</v>
      </c>
      <c r="K27" s="13" t="s">
        <v>3488</v>
      </c>
      <c r="L27" s="12" t="n">
        <v>1</v>
      </c>
      <c r="M27" s="12" t="n">
        <f aca="false">IF(OR(AND(I27="yes",H27="verified"),AND(I27="no",OR(H27="tested",H27="verified")),AND(H27="not applicable",K27&lt;&gt;"")),1,0)</f>
        <v>1</v>
      </c>
    </row>
    <row r="28" customFormat="false" ht="54" hidden="false" customHeight="true" outlineLevel="0" collapsed="false">
      <c r="A28" s="12" t="s">
        <v>3489</v>
      </c>
      <c r="B28" s="12" t="s">
        <v>162</v>
      </c>
      <c r="C28" s="12" t="s">
        <v>3490</v>
      </c>
      <c r="D28" s="13" t="s">
        <v>3491</v>
      </c>
      <c r="E28" s="12" t="s">
        <v>159</v>
      </c>
      <c r="F28" s="12" t="s">
        <v>164</v>
      </c>
      <c r="G28" s="13" t="s">
        <v>3442</v>
      </c>
      <c r="H28" s="12" t="s">
        <v>98</v>
      </c>
      <c r="I28" s="12" t="s">
        <v>113</v>
      </c>
      <c r="J28" s="14" t="n">
        <v>46232</v>
      </c>
      <c r="K28" s="13" t="s">
        <v>3492</v>
      </c>
      <c r="L28" s="12" t="n">
        <v>1</v>
      </c>
      <c r="M28" s="12" t="n">
        <f aca="false">IF(OR(AND(I28="yes",H28="verified"),AND(I28="no",OR(H28="tested",H28="verified")),AND(H28="not applicable",K28&lt;&gt;"")),1,0)</f>
        <v>1</v>
      </c>
    </row>
    <row r="29" customFormat="false" ht="54" hidden="false" customHeight="true" outlineLevel="0" collapsed="false">
      <c r="A29" s="12" t="s">
        <v>3493</v>
      </c>
      <c r="B29" s="12" t="s">
        <v>622</v>
      </c>
      <c r="C29" s="12" t="s">
        <v>1184</v>
      </c>
      <c r="D29" s="13" t="s">
        <v>3494</v>
      </c>
      <c r="E29" s="12" t="s">
        <v>134</v>
      </c>
      <c r="F29" s="12" t="s">
        <v>624</v>
      </c>
      <c r="G29" s="13" t="s">
        <v>3495</v>
      </c>
      <c r="H29" s="12" t="s">
        <v>98</v>
      </c>
      <c r="I29" s="12" t="s">
        <v>113</v>
      </c>
      <c r="J29" s="14" t="n">
        <v>46232</v>
      </c>
      <c r="K29" s="13" t="s">
        <v>3496</v>
      </c>
      <c r="L29" s="12" t="n">
        <v>1</v>
      </c>
      <c r="M29" s="12" t="n">
        <f aca="false">IF(OR(AND(I29="yes",H29="verified"),AND(I29="no",OR(H29="tested",H29="verified")),AND(H29="not applicable",K29&lt;&gt;"")),1,0)</f>
        <v>1</v>
      </c>
    </row>
    <row r="30" customFormat="false" ht="54" hidden="false" customHeight="true" outlineLevel="0" collapsed="false">
      <c r="A30" s="12" t="s">
        <v>3497</v>
      </c>
      <c r="B30" s="12" t="s">
        <v>3498</v>
      </c>
      <c r="C30" s="12" t="s">
        <v>1184</v>
      </c>
      <c r="D30" s="13" t="s">
        <v>3499</v>
      </c>
      <c r="E30" s="12" t="s">
        <v>159</v>
      </c>
      <c r="F30" s="12" t="s">
        <v>169</v>
      </c>
      <c r="G30" s="13" t="s">
        <v>3500</v>
      </c>
      <c r="H30" s="12" t="s">
        <v>98</v>
      </c>
      <c r="I30" s="12" t="s">
        <v>113</v>
      </c>
      <c r="J30" s="14" t="n">
        <v>46232</v>
      </c>
      <c r="K30" s="13" t="s">
        <v>3501</v>
      </c>
      <c r="L30" s="12" t="n">
        <v>1</v>
      </c>
      <c r="M30" s="12" t="n">
        <f aca="false">IF(OR(AND(I30="yes",H30="verified"),AND(I30="no",OR(H30="tested",H30="verified")),AND(H30="not applicable",K30&lt;&gt;"")),1,0)</f>
        <v>1</v>
      </c>
    </row>
    <row r="31" customFormat="false" ht="54" hidden="false" customHeight="true" outlineLevel="0" collapsed="false">
      <c r="A31" s="12" t="s">
        <v>3502</v>
      </c>
      <c r="B31" s="12" t="s">
        <v>2377</v>
      </c>
      <c r="C31" s="12" t="s">
        <v>2602</v>
      </c>
      <c r="D31" s="13" t="s">
        <v>3503</v>
      </c>
      <c r="E31" s="12" t="s">
        <v>134</v>
      </c>
      <c r="F31" s="12" t="s">
        <v>2604</v>
      </c>
      <c r="G31" s="13" t="s">
        <v>3504</v>
      </c>
      <c r="H31" s="12" t="s">
        <v>98</v>
      </c>
      <c r="I31" s="12" t="s">
        <v>113</v>
      </c>
      <c r="J31" s="14" t="n">
        <v>46232</v>
      </c>
      <c r="K31" s="13" t="s">
        <v>3505</v>
      </c>
      <c r="L31" s="12" t="n">
        <v>1</v>
      </c>
      <c r="M31" s="12" t="n">
        <f aca="false">IF(OR(AND(I31="yes",H31="verified"),AND(I31="no",OR(H31="tested",H31="verified")),AND(H31="not applicable",K31&lt;&gt;"")),1,0)</f>
        <v>1</v>
      </c>
    </row>
    <row r="32" customFormat="false" ht="54" hidden="false" customHeight="true" outlineLevel="0" collapsed="false">
      <c r="A32" s="12" t="s">
        <v>3506</v>
      </c>
      <c r="B32" s="12" t="s">
        <v>196</v>
      </c>
      <c r="C32" s="12" t="s">
        <v>2607</v>
      </c>
      <c r="D32" s="13" t="s">
        <v>3507</v>
      </c>
      <c r="E32" s="12" t="s">
        <v>134</v>
      </c>
      <c r="F32" s="12" t="s">
        <v>2604</v>
      </c>
      <c r="G32" s="13" t="s">
        <v>3508</v>
      </c>
      <c r="H32" s="12" t="s">
        <v>98</v>
      </c>
      <c r="I32" s="12" t="s">
        <v>113</v>
      </c>
      <c r="J32" s="14" t="n">
        <v>46232</v>
      </c>
      <c r="K32" s="13" t="s">
        <v>3509</v>
      </c>
      <c r="L32" s="12" t="n">
        <v>1</v>
      </c>
      <c r="M32" s="12" t="n">
        <f aca="false">IF(OR(AND(I32="yes",H32="verified"),AND(I32="no",OR(H32="tested",H32="verified")),AND(H32="not applicable",K32&lt;&gt;"")),1,0)</f>
        <v>1</v>
      </c>
    </row>
    <row r="33" customFormat="false" ht="54" hidden="false" customHeight="true" outlineLevel="0" collapsed="false">
      <c r="A33" s="12" t="s">
        <v>3510</v>
      </c>
      <c r="B33" s="12" t="s">
        <v>200</v>
      </c>
      <c r="C33" s="12" t="s">
        <v>3511</v>
      </c>
      <c r="D33" s="13" t="s">
        <v>3512</v>
      </c>
      <c r="E33" s="12" t="s">
        <v>202</v>
      </c>
      <c r="F33" s="12" t="s">
        <v>202</v>
      </c>
      <c r="G33" s="13" t="s">
        <v>203</v>
      </c>
      <c r="H33" s="12" t="s">
        <v>98</v>
      </c>
      <c r="I33" s="12" t="s">
        <v>113</v>
      </c>
      <c r="J33" s="14" t="n">
        <v>46232</v>
      </c>
      <c r="K33" s="13" t="s">
        <v>3513</v>
      </c>
      <c r="L33" s="12" t="n">
        <v>1</v>
      </c>
      <c r="M33" s="12" t="n">
        <f aca="false">IF(OR(AND(I33="yes",H33="verified"),AND(I33="no",OR(H33="tested",H33="verified")),AND(H33="not applicable",K33&lt;&gt;"")),1,0)</f>
        <v>1</v>
      </c>
    </row>
    <row r="34" customFormat="false" ht="54" hidden="false" customHeight="true" outlineLevel="0" collapsed="false">
      <c r="A34" s="12" t="s">
        <v>3514</v>
      </c>
      <c r="B34" s="12" t="s">
        <v>187</v>
      </c>
      <c r="C34" s="12" t="s">
        <v>1184</v>
      </c>
      <c r="D34" s="13" t="s">
        <v>3515</v>
      </c>
      <c r="E34" s="12" t="s">
        <v>3103</v>
      </c>
      <c r="F34" s="12" t="s">
        <v>175</v>
      </c>
      <c r="G34" s="13" t="s">
        <v>3516</v>
      </c>
      <c r="H34" s="12" t="s">
        <v>92</v>
      </c>
      <c r="I34" s="12" t="s">
        <v>112</v>
      </c>
      <c r="J34" s="14" t="n">
        <v>46232</v>
      </c>
      <c r="K34" s="13" t="s">
        <v>3517</v>
      </c>
      <c r="L34" s="12" t="n">
        <v>1</v>
      </c>
      <c r="M34" s="12" t="n">
        <f aca="false">IF(OR(AND(I34="yes",H34="verified"),AND(I34="no",OR(H34="tested",H34="verified")),AND(H34="not applicable",K34&lt;&gt;"")),1,0)</f>
        <v>0</v>
      </c>
    </row>
    <row r="35" customFormat="false" ht="54" hidden="false" customHeight="true" outlineLevel="0" collapsed="false">
      <c r="A35" s="12" t="s">
        <v>3518</v>
      </c>
      <c r="B35" s="12" t="s">
        <v>205</v>
      </c>
      <c r="C35" s="12" t="s">
        <v>2620</v>
      </c>
      <c r="D35" s="13" t="s">
        <v>3519</v>
      </c>
      <c r="E35" s="12" t="s">
        <v>134</v>
      </c>
      <c r="F35" s="12" t="s">
        <v>134</v>
      </c>
      <c r="G35" s="13" t="s">
        <v>207</v>
      </c>
      <c r="H35" s="12" t="s">
        <v>98</v>
      </c>
      <c r="I35" s="12" t="s">
        <v>113</v>
      </c>
      <c r="J35" s="14" t="n">
        <v>46232</v>
      </c>
      <c r="K35" s="13" t="s">
        <v>3520</v>
      </c>
      <c r="L35" s="12" t="n">
        <v>1</v>
      </c>
      <c r="M35" s="12" t="n">
        <f aca="false">IF(OR(AND(I35="yes",H35="verified"),AND(I35="no",OR(H35="tested",H35="verified")),AND(H35="not applicable",K35&lt;&gt;"")),1,0)</f>
        <v>1</v>
      </c>
    </row>
    <row r="36" customFormat="false" ht="54" hidden="false" customHeight="true" outlineLevel="0" collapsed="false">
      <c r="A36" s="12" t="s">
        <v>3521</v>
      </c>
      <c r="B36" s="12" t="s">
        <v>2698</v>
      </c>
      <c r="C36" s="12" t="s">
        <v>1184</v>
      </c>
      <c r="D36" s="13" t="s">
        <v>3522</v>
      </c>
      <c r="E36" s="12" t="s">
        <v>134</v>
      </c>
      <c r="F36" s="12" t="s">
        <v>2604</v>
      </c>
      <c r="G36" s="13" t="s">
        <v>3504</v>
      </c>
      <c r="H36" s="12" t="s">
        <v>98</v>
      </c>
      <c r="I36" s="12" t="s">
        <v>113</v>
      </c>
      <c r="J36" s="14" t="n">
        <v>46232</v>
      </c>
      <c r="K36" s="13" t="s">
        <v>3523</v>
      </c>
      <c r="L36" s="12" t="n">
        <v>1</v>
      </c>
      <c r="M36" s="12" t="n">
        <f aca="false">IF(OR(AND(I36="yes",H36="verified"),AND(I36="no",OR(H36="tested",H36="verified")),AND(H36="not applicable",K36&lt;&gt;"")),1,0)</f>
        <v>1</v>
      </c>
    </row>
  </sheetData>
  <autoFilter ref="A8:M36"/>
  <mergeCells count="2">
    <mergeCell ref="A1:M1"/>
    <mergeCell ref="A2:M2"/>
  </mergeCells>
  <dataValidations count="2">
    <dataValidation allowBlank="false" errorStyle="stop" operator="between" showDropDown="false" showErrorMessage="false" showInputMessage="false" sqref="H9:H36" type="list">
      <formula1>"not started,partial,implemented,tested,verified,blocked,not applicable"</formula1>
      <formula2>0</formula2>
    </dataValidation>
    <dataValidation allowBlank="false" errorStyle="stop" operator="between" showDropDown="false" showErrorMessage="false" showInputMessage="false" sqref="I9:I36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2026-07-24T06:13:46Z</dcterms:created>
  <dc:creator>Flowstack</dc:creator>
  <dc:description/>
  <dc:language>en-US</dc:language>
  <cp:lastModifiedBy>Flowstack</cp:lastModifiedBy>
  <dcterms:modified xsi:type="dcterms:W3CDTF">2026-07-29T20:54:09Z</dcterms:modified>
  <cp:revision>0</cp:revision>
  <dc:subject>Component evidence and completion tracker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