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20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3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15.xml" ContentType="application/vnd.openxmlformats-officedocument.spreadsheetml.table+xml"/>
  <Override PartName="/xl/tables/table30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79.xml" ContentType="application/vnd.openxmlformats-officedocument.spreadsheetml.worksheet+xml"/>
  <Override PartName="/xl/worksheets/sheet2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21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77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32.xml" ContentType="application/vnd.openxmlformats-officedocument.spreadsheetml.worksheet+xml"/>
  <Override PartName="/xl/worksheets/sheet46.xml" ContentType="application/vnd.openxmlformats-officedocument.spreadsheetml.worksheet+xml"/>
  <Override PartName="/xl/worksheets/sheet43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72.xml" ContentType="application/vnd.openxmlformats-officedocument.spreadsheetml.worksheet+xml"/>
  <Override PartName="/xl/worksheets/sheet65.xml" ContentType="application/vnd.openxmlformats-officedocument.spreadsheetml.worksheet+xml"/>
  <Override PartName="/xl/worksheets/sheet51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2.xml" ContentType="application/vnd.openxmlformats-officedocument.spreadsheetml.worksheet+xml"/>
  <Override PartName="/xl/worksheets/sheet52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78.xml" ContentType="application/vnd.openxmlformats-officedocument.spreadsheetml.worksheet+xml"/>
  <Override PartName="/xl/worksheets/sheet61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53.xml" ContentType="application/vnd.openxmlformats-officedocument.spreadsheetml.worksheet+xml"/>
  <Override PartName="/xl/worksheets/sheet59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44.xml" ContentType="application/vnd.openxmlformats-officedocument.spreadsheetml.worksheet+xml"/>
  <Override PartName="/xl/worksheets/sheet74.xml" ContentType="application/vnd.openxmlformats-officedocument.spreadsheetml.worksheet+xml"/>
  <Override PartName="/xl/worksheets/sheet68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76.xml" ContentType="application/vnd.openxmlformats-officedocument.spreadsheetml.worksheet+xml"/>
  <Override PartName="/xl/worksheets/sheet12.xml" ContentType="application/vnd.openxmlformats-officedocument.spreadsheetml.worksheet+xml"/>
  <Override PartName="/xl/worksheets/sheet73.xml" ContentType="application/vnd.openxmlformats-officedocument.spreadsheetml.worksheet+xml"/>
  <Override PartName="/xl/worksheets/sheet5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70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64.xml" ContentType="application/vnd.openxmlformats-officedocument.spreadsheetml.worksheet+xml"/>
  <Override PartName="/xl/worksheets/sheet75.xml" ContentType="application/vnd.openxmlformats-officedocument.spreadsheetml.worksheet+xml"/>
  <Override PartName="/xl/worksheets/sheet45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24.xml" ContentType="application/vnd.openxmlformats-officedocument.drawing+xml"/>
  <Override PartName="/xl/drawings/drawing19.xml" ContentType="application/vnd.openxmlformats-officedocument.drawing+xml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14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3.xml" ContentType="application/vnd.openxmlformats-officedocument.drawing+xml"/>
  <Override PartName="/xl/drawings/drawing5.xml" ContentType="application/vnd.openxmlformats-officedocument.drawing+xml"/>
  <Override PartName="/xl/drawings/drawing13.xml" ContentType="application/vnd.openxmlformats-officedocument.drawing+xml"/>
  <Override PartName="/xl/drawings/drawing9.xml" ContentType="application/vnd.openxmlformats-officedocument.drawing+xml"/>
  <Override PartName="/xl/drawings/drawing15.xml" ContentType="application/vnd.openxmlformats-officedocument.drawing+xml"/>
  <Override PartName="/xl/drawings/drawing22.xml" ContentType="application/vnd.openxmlformats-officedocument.drawing+xml"/>
  <Override PartName="/xl/drawings/drawing18.xml" ContentType="application/vnd.openxmlformats-officedocument.drawing+xml"/>
  <Override PartName="/xl/drawings/drawing6.xml" ContentType="application/vnd.openxmlformats-officedocument.drawing+xml"/>
  <Override PartName="/xl/drawings/drawing23.xml" ContentType="application/vnd.openxmlformats-officedocument.drawing+xml"/>
  <Override PartName="/xl/drawings/drawing12.xml" ContentType="application/vnd.openxmlformats-officedocument.drawing+xml"/>
  <Override PartName="/xl/drawings/drawing2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  <sheet name="Pagination" sheetId="58" state="visible" r:id="rId60"/>
    <sheet name="Data Grid" sheetId="59" state="visible" r:id="rId61"/>
    <sheet name="Tree Grid" sheetId="60" state="visible" r:id="rId62"/>
    <sheet name="Tree" sheetId="61" state="visible" r:id="rId63"/>
    <sheet name="Feed" sheetId="62" state="visible" r:id="rId64"/>
    <sheet name="Aspect Ratio" sheetId="63" state="visible" r:id="rId65"/>
    <sheet name="Toolbar" sheetId="64" state="visible" r:id="rId66"/>
    <sheet name="Chip" sheetId="65" state="visible" r:id="rId67"/>
    <sheet name="Combobox" sheetId="66" state="visible" r:id="rId68"/>
    <sheet name="Number Input" sheetId="67" state="visible" r:id="rId69"/>
    <sheet name="OTP Field" sheetId="68" state="visible" r:id="rId70"/>
    <sheet name="Password Toggle Field" sheetId="69" state="visible" r:id="rId71"/>
    <sheet name="Slider" sheetId="70" state="visible" r:id="rId72"/>
    <sheet name="Rating" sheetId="71" state="visible" r:id="rId73"/>
    <sheet name="File Upload" sheetId="72" state="visible" r:id="rId74"/>
    <sheet name="Skip Link" sheetId="73" state="visible" r:id="rId75"/>
    <sheet name="Show" sheetId="74" state="visible" r:id="rId76"/>
    <sheet name="Hide" sheetId="75" state="visible" r:id="rId77"/>
    <sheet name="Swipeable Item" sheetId="76" state="visible" r:id="rId78"/>
    <sheet name="Progress" sheetId="77" state="visible" r:id="rId79"/>
    <sheet name="Progress Circle" sheetId="78" state="visible" r:id="rId80"/>
    <sheet name="Carousel" sheetId="79" state="visible" r:id="rId81"/>
    <sheet name="ZStack" sheetId="80" state="visible" r:id="rId82"/>
  </sheets>
  <definedNames>
    <definedName function="false" hidden="false" localSheetId="62" name="_xlnm.Print_Area" vbProcedure="false">'Aspect Ratio'!$A$1:$M$34</definedName>
    <definedName function="false" hidden="true" localSheetId="62" name="_xlnm._FilterDatabase" vbProcedure="false">'Aspect Ratio'!$A$8:$M$34</definedName>
    <definedName function="false" hidden="true" localSheetId="51" name="_xlnm._FilterDatabase" vbProcedure="false">'Bottom Navigation'!$A$8:$M$36</definedName>
    <definedName function="false" hidden="false" localSheetId="64" name="_xlnm.Print_Area" vbProcedure="false">Chip!$A$1:$M$39</definedName>
    <definedName function="false" hidden="true" localSheetId="64" name="_xlnm._FilterDatabase" vbProcedure="false">Chip!$A$8:$M$39</definedName>
    <definedName function="false" hidden="true" localSheetId="53" name="_xlnm._FilterDatabase" vbProcedure="false">Collapsible!$A$8:$M$33</definedName>
    <definedName function="false" hidden="false" localSheetId="65" name="_xlnm.Print_Area" vbProcedure="false">Combobox!$A$1:$M$30</definedName>
    <definedName function="false" hidden="true" localSheetId="58" name="_xlnm._FilterDatabase" vbProcedure="false">'Data Grid'!$A$8:$M$34</definedName>
    <definedName function="false" hidden="false" localSheetId="61" name="_xlnm.Print_Area" vbProcedure="false">Feed!$A$1:$M$39</definedName>
    <definedName function="false" hidden="true" localSheetId="61" name="_xlnm._FilterDatabase" vbProcedure="false">Feed!$A$8:$M$39</definedName>
    <definedName function="false" hidden="false" localSheetId="71" name="_xlnm.Print_Area" vbProcedure="false">'File Upload'!$A$1:$M$36</definedName>
    <definedName function="false" hidden="true" localSheetId="71" name="_xlnm._FilterDatabase" vbProcedure="false">'File Upload'!$A$8:$M$36</definedName>
    <definedName function="false" hidden="false" localSheetId="74" name="_xlnm.Print_Area" vbProcedure="false">Hide!$A$1:$M$30</definedName>
    <definedName function="false" hidden="true" localSheetId="74" name="_xlnm._FilterDatabase" vbProcedure="false">Hide!$A$8:$M$30</definedName>
    <definedName function="false" hidden="false" localSheetId="0" name="_xlnm.Print_Area" vbProcedure="false">Index!$A$1:$M$82</definedName>
    <definedName function="false" hidden="true" localSheetId="0" name="_xlnm._FilterDatabase" vbProcedure="false">Index!$A$7:$M$83</definedName>
    <definedName function="false" hidden="false" localSheetId="66" name="_xlnm.Print_Area" vbProcedure="false">'Number Input'!$A$1:$M$27</definedName>
    <definedName function="false" hidden="false" localSheetId="67" name="_xlnm.Print_Area" vbProcedure="false">'OTP Field'!$A$1:$M$28</definedName>
    <definedName function="false" hidden="false" localSheetId="57" name="_xlnm.Print_Area" vbProcedure="false">Pagination!$A$1:$M$33</definedName>
    <definedName function="false" hidden="true" localSheetId="57" name="_xlnm._FilterDatabase" vbProcedure="false">Pagination!$A$8:$M$33</definedName>
    <definedName function="false" hidden="false" localSheetId="68" name="_xlnm.Print_Area" vbProcedure="false">'Password Toggle Field'!$A$1:$M$28</definedName>
    <definedName function="false" hidden="false" localSheetId="76" name="_xlnm.Print_Area" vbProcedure="false">Progress!$A$1:$M$30</definedName>
    <definedName function="false" hidden="true" localSheetId="76" name="_xlnm._FilterDatabase" vbProcedure="false">Progress!$A$8:$M$30</definedName>
    <definedName function="false" hidden="false" localSheetId="77" name="_xlnm.Print_Area" vbProcedure="false">'Progress Circle'!$A$1:$M$30</definedName>
    <definedName function="false" hidden="true" localSheetId="77" name="_xlnm._FilterDatabase" vbProcedure="false">'Progress Circle'!$A$8:$M$30</definedName>
    <definedName function="false" hidden="true" localSheetId="42" name="_xlnm._FilterDatabase" vbProcedure="false">'Radio Group'!$A$8:$M$28</definedName>
    <definedName function="false" hidden="true" localSheetId="70" name="_xlnm._FilterDatabase" vbProcedure="false">Rating!$A$8:$M$25</definedName>
    <definedName function="false" hidden="true" localSheetId="39" name="_xlnm._FilterDatabase" vbProcedure="false">Select!$A$8:$M$30</definedName>
    <definedName function="false" hidden="false" localSheetId="73" name="_xlnm.Print_Area" vbProcedure="false">Show!$A$1:$M$30</definedName>
    <definedName function="false" hidden="true" localSheetId="73" name="_xlnm._FilterDatabase" vbProcedure="false">Show!$A$8:$M$30</definedName>
    <definedName function="false" hidden="true" localSheetId="46" name="_xlnm._FilterDatabase" vbProcedure="false">Skeleton!$A$8:$M$30</definedName>
    <definedName function="false" hidden="true" localSheetId="72" name="_xlnm._FilterDatabase" vbProcedure="false">'Skip Link'!$A$8:$M$28</definedName>
    <definedName function="false" hidden="true" localSheetId="69" name="_xlnm._FilterDatabase" vbProcedure="false">Slider!$A$8:$M$24</definedName>
    <definedName function="false" hidden="false" localSheetId="75" name="_xlnm.Print_Area" vbProcedure="false">'Swipeable Item'!$A$1:$M$39</definedName>
    <definedName function="false" hidden="true" localSheetId="75" name="_xlnm._FilterDatabase" vbProcedure="false">'Swipeable Item'!$A$8:$M$39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false" localSheetId="63" name="_xlnm.Print_Area" vbProcedure="false">Toolbar!$A$1:$M$38</definedName>
    <definedName function="false" hidden="true" localSheetId="63" name="_xlnm._FilterDatabase" vbProcedure="false">Toolbar!$A$8:$M$38</definedName>
    <definedName function="false" hidden="true" localSheetId="59" name="_xlnm._FilterDatabase" vbProcedure="false">'Tree Grid'!$A$8:$M$36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<sst xmlns="http://schemas.openxmlformats.org/spreadsheetml/2006/main" count="16414" uniqueCount="4230">
  <si>
    <t xml:space="preserve">Brick Component Coverage</t>
  </si>
  <si>
    <t xml:space="preserve">77 independently documented public component owners across 76 package subpaths.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</si>
  <si>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</si>
  <si>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</si>
  <si>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</si>
  <si>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</si>
  <si>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</si>
  <si>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</si>
  <si>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</si>
  <si>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</si>
  <si>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</si>
  <si>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</si>
  <si>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</si>
  <si>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</si>
  <si>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</si>
  <si>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</si>
  <si>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</si>
  <si>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</si>
  <si>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</si>
  <si>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</si>
  <si>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</si>
  <si>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</si>
  <si>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</si>
  <si>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</si>
  <si>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</si>
  <si>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</si>
  <si>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</si>
  <si>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</si>
  <si>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</si>
  <si>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</si>
  <si>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</si>
  <si>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</si>
  <si>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</si>
  <si>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</si>
  <si>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</si>
  <si>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</si>
  <si>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</si>
  <si>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</si>
  <si>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</si>
  <si>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</si>
  <si>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</si>
  <si>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</si>
  <si>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</si>
  <si>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</si>
  <si>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</si>
  <si>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</si>
  <si>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</si>
  <si>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</si>
  <si>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</si>
  <si>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</si>
  <si>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</si>
  <si>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</si>
  <si>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</si>
  <si>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</si>
  <si>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</si>
  <si>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</si>
  <si>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</si>
  <si>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</si>
  <si>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</si>
  <si>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</si>
  <si>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</si>
  <si>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</si>
  <si>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</si>
  <si>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</si>
  <si>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</si>
  <si>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</si>
  <si>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</si>
  <si>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</si>
  <si>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</si>
  <si>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</si>
  <si>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</si>
  <si>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</si>
  <si>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</si>
  <si>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</si>
  <si>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Feed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</si>
  <si>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</si>
  <si>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</si>
  <si>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</si>
  <si>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</si>
  <si>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</si>
  <si>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</si>
  <si>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</si>
  <si>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</si>
  <si>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</si>
  <si>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</si>
  <si>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</si>
  <si>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Show</t>
  </si>
  <si>
    <t xml:space="preserve">Hide</t>
  </si>
  <si>
    <t xml:space="preserve">Swipeable Item</t>
  </si>
  <si>
    <t xml:space="preserve">Table</t>
  </si>
  <si>
    <t xml:space="preserve">Progress</t>
  </si>
  <si>
    <t xml:space="preserve">Progress Circle</t>
  </si>
  <si>
    <t xml:space="preserve">Carousel</t>
  </si>
  <si>
    <t xml:space="preserve">ZStack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</si>
  <si>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</si>
  <si>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</si>
  <si>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</si>
  <si>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</si>
  <si>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</si>
  <si>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</si>
  <si>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</si>
  <si>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documented public component owner owns one sheet. Shared subpaths and family integration never replace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</si>
  <si>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</si>
  <si>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</si>
  <si>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</si>
  <si>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</si>
  <si>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</si>
  <si>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</si>
  <si>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</si>
  <si>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</si>
  <si>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</si>
  <si>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</si>
  <si>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</si>
  <si>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</si>
  <si>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</si>
  <si>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</si>
  <si>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</si>
  <si>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Human completion is recorded only after the owner executes the current component protocol; unrun profiles remain open or not run.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</si>
  <si>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</si>
  <si>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</si>
  <si>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</si>
  <si>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</si>
  <si>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</si>
  <si>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</si>
  <si>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</si>
  <si>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</si>
  <si>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</si>
  <si>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</si>
  <si>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</si>
  <si>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</si>
  <si>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</si>
  <si>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</si>
  <si>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</si>
  <si>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</si>
  <si>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</si>
  <si>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</si>
  <si>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</si>
  <si>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</si>
  <si>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</si>
  <si>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</si>
  <si>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</si>
  <si>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</si>
  <si>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</si>
  <si>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</si>
  <si>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</si>
  <si>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</si>
  <si>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</si>
  <si>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</si>
  <si>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</si>
  <si>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</si>
  <si>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</si>
  <si>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</si>
  <si>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</si>
  <si>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</si>
  <si>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</si>
  <si>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</si>
  <si>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</si>
  <si>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</si>
  <si>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</si>
  <si>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</si>
  <si>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</si>
  <si>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</si>
  <si>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</si>
  <si>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</si>
  <si>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</si>
  <si>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</si>
  <si>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</si>
  <si>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</si>
  <si>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</si>
  <si>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</si>
  <si>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</si>
  <si>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</si>
  <si>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</si>
  <si>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</si>
  <si>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</si>
  <si>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</si>
  <si>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</si>
  <si>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</si>
  <si>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</si>
  <si>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</si>
  <si>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</si>
  <si>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</si>
  <si>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</si>
  <si>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</si>
  <si>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</si>
  <si>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</si>
  <si>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</si>
  <si>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</si>
  <si>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</si>
  <si>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</si>
  <si>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</si>
  <si>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</si>
  <si>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</si>
  <si>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</si>
  <si>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</si>
  <si>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</si>
  <si>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</si>
  <si>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</si>
  <si>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</si>
  <si>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</si>
  <si>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</si>
  <si>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</si>
  <si>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</si>
  <si>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</si>
  <si>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</si>
  <si>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</si>
  <si>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</si>
  <si>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</si>
  <si>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</si>
  <si>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</si>
  <si>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</si>
  <si>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</si>
  <si>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</si>
  <si>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</si>
  <si>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</si>
  <si>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</si>
  <si>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</si>
  <si>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</si>
  <si>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</si>
  <si>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</si>
  <si>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</si>
  <si>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</si>
  <si>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</si>
  <si>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</si>
  <si>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</si>
  <si>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</si>
  <si>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</si>
  <si>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</si>
  <si>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</si>
  <si>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</si>
  <si>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</si>
  <si>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</si>
  <si>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</si>
  <si>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</si>
  <si>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</si>
  <si>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</si>
  <si>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</si>
  <si>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</si>
  <si>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</si>
  <si>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</si>
  <si>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</si>
  <si>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</si>
  <si>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</si>
  <si>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</si>
  <si>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</si>
  <si>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</si>
  <si>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</si>
  <si>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</si>
  <si>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</si>
  <si>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</si>
  <si>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</si>
  <si>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</si>
  <si>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</si>
  <si>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</si>
  <si>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</si>
  <si>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</si>
  <si>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</si>
  <si>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</si>
  <si>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</si>
  <si>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</si>
  <si>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</si>
  <si>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</si>
  <si>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</si>
  <si>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</si>
  <si>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</si>
  <si>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</si>
  <si>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</si>
  <si>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</si>
  <si>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</si>
  <si>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</si>
  <si>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</si>
  <si>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</si>
  <si>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</si>
  <si>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</si>
  <si>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</si>
  <si>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</si>
  <si>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</si>
  <si>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</si>
  <si>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</si>
  <si>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</si>
  <si>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</si>
  <si>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</si>
  <si>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</si>
  <si>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</si>
  <si>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</si>
  <si>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</si>
  <si>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</si>
  <si>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</si>
  <si>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</si>
  <si>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</si>
  <si>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</si>
  <si>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</si>
  <si>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</si>
  <si>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</si>
  <si>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</si>
  <si>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</si>
  <si>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</si>
  <si>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</si>
  <si>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</si>
  <si>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</si>
  <si>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</si>
  <si>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</si>
  <si>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</si>
  <si>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</si>
  <si>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</si>
  <si>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</si>
  <si>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</si>
  <si>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</si>
  <si>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</si>
  <si>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</si>
  <si>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</si>
  <si>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</si>
  <si>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</si>
  <si>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</si>
  <si>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</si>
  <si>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</si>
  <si>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</si>
  <si>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</si>
  <si>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</si>
  <si>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</si>
  <si>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</si>
  <si>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</si>
  <si>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</si>
  <si>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</si>
  <si>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</si>
  <si>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</si>
  <si>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</si>
  <si>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</si>
  <si>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</si>
  <si>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</si>
  <si>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</si>
  <si>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</si>
  <si>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</si>
  <si>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</si>
  <si>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</si>
  <si>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</si>
  <si>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</si>
  <si>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</si>
  <si>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</si>
  <si>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</si>
  <si>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</si>
  <si>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</si>
  <si>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</si>
  <si>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</si>
  <si>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</si>
  <si>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</si>
  <si>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</si>
  <si>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</si>
  <si>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</si>
  <si>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</si>
  <si>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</si>
  <si>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</si>
  <si>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</si>
  <si>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</si>
  <si>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</si>
  <si>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</si>
  <si>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</si>
  <si>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</si>
  <si>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</si>
  <si>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</si>
  <si>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</si>
  <si>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</si>
  <si>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</si>
  <si>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</si>
  <si>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</si>
  <si>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</si>
  <si>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</si>
  <si>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</si>
  <si>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</si>
  <si>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</si>
  <si>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</si>
  <si>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</si>
  <si>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</si>
  <si>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</si>
  <si>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</si>
  <si>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</si>
  <si>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</si>
  <si>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</si>
  <si>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</si>
  <si>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</si>
  <si>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</si>
  <si>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</si>
  <si>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</si>
  <si>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</si>
  <si>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</si>
  <si>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</si>
  <si>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</si>
  <si>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</si>
  <si>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</si>
  <si>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</si>
  <si>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</si>
  <si>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</si>
  <si>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</si>
  <si>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</si>
  <si>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</si>
  <si>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</si>
  <si>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</si>
  <si>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</si>
  <si>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</si>
  <si>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</si>
  <si>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</si>
  <si>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</si>
  <si>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</si>
  <si>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</si>
  <si>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</si>
  <si>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</si>
  <si>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</si>
  <si>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</si>
  <si>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</si>
  <si>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</si>
  <si>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</si>
  <si>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</si>
  <si>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</si>
  <si>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</si>
  <si>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</si>
  <si>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</si>
  <si>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</si>
  <si>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</si>
  <si>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</si>
  <si>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</si>
  <si>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</si>
  <si>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</si>
  <si>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</si>
  <si>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</si>
  <si>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</si>
  <si>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</si>
  <si>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</si>
  <si>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</si>
  <si>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</si>
  <si>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</si>
  <si>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</si>
  <si>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</si>
  <si>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</si>
  <si>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</si>
  <si>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</si>
  <si>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</si>
  <si>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</si>
  <si>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</si>
  <si>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</si>
  <si>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</si>
  <si>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</si>
  <si>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</si>
  <si>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</si>
  <si>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</si>
  <si>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</si>
  <si>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</si>
  <si>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</si>
  <si>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</si>
  <si>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</si>
  <si>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</si>
  <si>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</si>
  <si>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</si>
  <si>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</si>
  <si>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</si>
  <si>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</si>
  <si>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</si>
  <si>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</si>
  <si>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</si>
  <si>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</si>
  <si>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</si>
  <si>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</si>
  <si>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</si>
  <si>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</si>
  <si>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</si>
  <si>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</si>
  <si>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</si>
  <si>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</si>
  <si>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</si>
  <si>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</si>
  <si>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</si>
  <si>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</si>
  <si>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</si>
  <si>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</si>
  <si>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</si>
  <si>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</si>
  <si>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</si>
  <si>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</si>
  <si>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</si>
  <si>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</si>
  <si>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</si>
  <si>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</si>
  <si>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</si>
  <si>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</si>
  <si>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</si>
  <si>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</si>
  <si>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</si>
  <si>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</si>
  <si>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</si>
  <si>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</si>
  <si>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</si>
  <si>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</si>
  <si>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</si>
  <si>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</si>
  <si>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</si>
  <si>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</si>
  <si>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</si>
  <si>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</si>
  <si>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</si>
  <si>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</si>
  <si>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</si>
  <si>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</si>
  <si>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</si>
  <si>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</si>
  <si>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</si>
  <si>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</si>
  <si>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</si>
  <si>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</si>
  <si>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</si>
  <si>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</si>
  <si>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</si>
  <si>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</si>
  <si>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</si>
  <si>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</si>
  <si>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</si>
  <si>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</si>
  <si>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</si>
  <si>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</si>
  <si>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</si>
  <si>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</si>
  <si>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</si>
  <si>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</si>
  <si>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</si>
  <si>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</si>
  <si>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</si>
  <si>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</si>
  <si>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</si>
  <si>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</si>
  <si>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</si>
  <si>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</si>
  <si>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</si>
  <si>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</si>
  <si>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</si>
  <si>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</si>
  <si>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</si>
  <si>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</si>
  <si>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</si>
  <si>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</si>
  <si>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</si>
  <si>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</si>
  <si>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</si>
  <si>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</si>
  <si>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</si>
  <si>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</si>
  <si>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</si>
  <si>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</si>
  <si>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</si>
  <si>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</si>
  <si>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</si>
  <si>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</si>
  <si>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</si>
  <si>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</si>
  <si>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</si>
  <si>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</si>
  <si>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</si>
  <si>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</si>
  <si>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</si>
  <si>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</si>
  <si>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</si>
  <si>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</si>
  <si>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</si>
  <si>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</si>
  <si>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</si>
  <si>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</si>
  <si>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</si>
  <si>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</si>
  <si>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</si>
  <si>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</si>
  <si>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</si>
  <si>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</si>
  <si>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</si>
  <si>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</si>
  <si>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</si>
  <si>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</si>
  <si>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</si>
  <si>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</si>
  <si>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</si>
  <si>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</si>
  <si>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</si>
  <si>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</si>
  <si>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</si>
  <si>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</si>
  <si>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</si>
  <si>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</si>
  <si>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</si>
  <si>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</si>
  <si>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</si>
  <si>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</si>
  <si>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</si>
  <si>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</si>
  <si>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</si>
  <si>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</si>
  <si>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</si>
  <si>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</si>
  <si>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</si>
  <si>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</si>
  <si>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</si>
  <si>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</si>
  <si>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</si>
  <si>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</si>
  <si>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</si>
  <si>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</si>
  <si>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</si>
  <si>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</si>
  <si>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</si>
  <si>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</si>
  <si>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</si>
  <si>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</si>
  <si>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</si>
  <si>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</si>
  <si>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</si>
  <si>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</si>
  <si>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</si>
  <si>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</si>
  <si>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</si>
  <si>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</si>
  <si>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</si>
  <si>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</si>
  <si>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</si>
  <si>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</si>
  <si>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</si>
  <si>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</si>
  <si>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</si>
  <si>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</si>
  <si>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</si>
  <si>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</si>
  <si>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</si>
  <si>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</si>
  <si>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</si>
  <si>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</si>
  <si>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</si>
  <si>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</si>
  <si>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</si>
  <si>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</si>
  <si>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</si>
  <si>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</si>
  <si>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</si>
  <si>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</si>
  <si>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0.20.11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</si>
  <si>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</si>
  <si>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</si>
  <si>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</si>
  <si>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</si>
  <si>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</si>
  <si>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</si>
  <si>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</si>
  <si>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</si>
  <si>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</si>
  <si>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</si>
  <si>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</si>
  <si>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</si>
  <si>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</si>
  <si>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</si>
  <si>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</si>
  <si>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</si>
  <si>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</si>
  <si>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</si>
  <si>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</si>
  <si>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</si>
  <si>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</si>
  <si>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</si>
  <si>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</si>
  <si>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</si>
  <si>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</si>
  <si>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</si>
  <si>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</si>
  <si>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</si>
  <si>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</si>
  <si>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</si>
  <si>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</si>
  <si>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</si>
  <si>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</si>
  <si>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</si>
  <si>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</si>
  <si>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</si>
  <si>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</si>
  <si>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</si>
  <si>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</si>
  <si>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</si>
  <si>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</si>
  <si>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</si>
  <si>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</si>
  <si>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</si>
  <si>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</si>
  <si>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</si>
  <si>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</si>
  <si>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</si>
  <si>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</si>
  <si>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</si>
  <si>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</si>
  <si>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</si>
  <si>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</si>
  <si>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</si>
  <si>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</si>
  <si>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</si>
  <si>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</si>
  <si>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</si>
  <si>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</si>
  <si>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</si>
  <si>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</si>
  <si>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</si>
  <si>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</si>
  <si>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</si>
  <si>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</si>
  <si>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</si>
  <si>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</si>
  <si>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</si>
  <si>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</si>
  <si>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</si>
  <si>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</si>
  <si>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</si>
  <si>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</si>
  <si>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</si>
  <si>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</si>
  <si>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</si>
  <si>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</si>
  <si>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</si>
  <si>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</si>
  <si>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</si>
  <si>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</si>
  <si>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</si>
  <si>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</si>
  <si>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</si>
  <si>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</si>
  <si>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</si>
  <si>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</si>
  <si>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</si>
  <si>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</si>
  <si>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</si>
  <si>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</si>
  <si>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</si>
  <si>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</si>
  <si>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</si>
  <si>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</si>
  <si>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</si>
  <si>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</si>
  <si>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</si>
  <si>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</si>
  <si>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</si>
  <si>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</si>
  <si>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</si>
  <si>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</si>
  <si>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</si>
  <si>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</si>
  <si>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</si>
  <si>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</si>
  <si>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</si>
  <si>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</si>
  <si>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</si>
  <si>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</si>
  <si>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</si>
  <si>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</si>
  <si>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</si>
  <si>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</si>
  <si>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</si>
  <si>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</si>
  <si>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</si>
  <si>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</si>
  <si>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</si>
  <si>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</si>
  <si>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</si>
  <si>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</si>
  <si>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</si>
  <si>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</si>
  <si>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</si>
  <si>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</si>
  <si>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</si>
  <si>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</si>
  <si>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</si>
  <si>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</si>
  <si>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</si>
  <si>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</si>
  <si>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</si>
  <si>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</si>
  <si>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</si>
  <si>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</si>
  <si>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</si>
  <si>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</si>
  <si>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</si>
  <si>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</si>
  <si>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</si>
  <si>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</si>
  <si>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</si>
  <si>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</si>
  <si>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</si>
  <si>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</si>
  <si>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</si>
  <si>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</si>
  <si>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</si>
  <si>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</si>
  <si>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Stack family and Item</t>
  </si>
  <si>
    <t xml:space="preserve">Hosts, responsive direction/gap/alignment/distribution/wrapping/edge spacing, Item flex/alignment, native props, refs, and exclusions type-check.</t>
  </si>
  <si>
    <t xml:space="preserve">../test/types/components/stack.test.ts</t>
  </si>
  <si>
    <t xml:space="preserve">S-04</t>
  </si>
  <si>
    <t xml:space="preserve">Root and Item</t>
  </si>
  <si>
    <t xml:space="preserve">Static CSS ships flex layout, canonical responsive recipes, tokenized gaps, logical edge spacing, Item flex/alignment, wrapping, and containment.</t>
  </si>
  <si>
    <t xml:space="preserve">../src/components/stack/stack.css; ../src/styles/tokens.tokens.json</t>
  </si>
  <si>
    <t xml:space="preserve">S-05</t>
  </si>
  <si>
    <t xml:space="preserve">Defaults, responsive data contracts, family direction locks, Item recipes, semantic hosts, composition, hooks, events, and refs pass focused tests.</t>
  </si>
  <si>
    <t xml:space="preserve">../test/components/stack/stack.test.tsx</t>
  </si>
  <si>
    <t xml:space="preserve">S-06</t>
  </si>
  <si>
    <t xml:space="preserve">Real-browser axes, exact gaps, responsive arrangement and Item flex, wrapping, containment, semantics, refs, output, and customization pass.</t>
  </si>
  <si>
    <t xml:space="preserve">tests/components/stack/behavior.spec.ts</t>
  </si>
  <si>
    <t xml:space="preserve">S-07</t>
  </si>
  <si>
    <t xml:space="preserve">Responsive reflow preserves source order, semantic hosts, RTL logic, containment, and axe checks without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</si>
  <si>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</si>
  <si>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</si>
  <si>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</si>
  <si>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</si>
  <si>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</si>
  <si>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</si>
  <si>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</si>
  <si>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</si>
  <si>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</si>
  <si>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Root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</si>
  <si>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</si>
  <si>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</si>
  <si>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</si>
  <si>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</si>
  <si>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host, authored native attribute, DOM order, composed Item host, and rendered-output example match the public contract.</t>
  </si>
  <si>
    <t xml:space="preserve">../test/components/stack/stack.test.tsx; tests/components/stack/behavior.spec.ts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</si>
  <si>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</si>
  <si>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</si>
  <si>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</si>
  <si>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</si>
  <si>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responsive values, Item sizing, semantics, accessibility, CSS, API, and agent guidance pass component checks.</t>
  </si>
  <si>
    <t xml:space="preserve">../docs/components/stack/README.md; ../src/components/stack/agent.md</t>
  </si>
  <si>
    <t xml:space="preserve">S-14</t>
  </si>
  <si>
    <t xml:space="preserve">Stack owns a public component changelog and the package changelog records responsive layout and Item additions.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</si>
  <si>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</si>
  <si>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</si>
  <si>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</si>
  <si>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</si>
  <si>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</si>
  <si>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consumers, browser evidence,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</si>
  <si>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</si>
  <si>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</si>
  <si>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</si>
  <si>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</si>
  <si>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</si>
  <si>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</si>
  <si>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</si>
  <si>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</si>
  <si>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</si>
  <si>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</si>
  <si>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</si>
  <si>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</si>
  <si>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</si>
  <si>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</si>
  <si>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</si>
  <si>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</si>
  <si>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</si>
  <si>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</si>
  <si>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</si>
  <si>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</si>
  <si>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</si>
  <si>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</si>
  <si>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</si>
  <si>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</si>
  <si>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</si>
  <si>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</si>
  <si>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</si>
  <si>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</si>
  <si>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</si>
  <si>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</si>
  <si>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</si>
  <si>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</si>
  <si>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</si>
  <si>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</si>
  <si>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</si>
  <si>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</si>
  <si>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</si>
  <si>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</si>
  <si>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</si>
  <si>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</si>
  <si>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</si>
  <si>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</si>
  <si>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</si>
  <si>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</si>
  <si>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</si>
  <si>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</si>
  <si>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</si>
  <si>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</si>
  <si>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</si>
  <si>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</si>
  <si>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</si>
  <si>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</si>
  <si>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</si>
  <si>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</si>
  <si>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</si>
  <si>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</si>
  <si>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</si>
  <si>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</si>
  <si>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</si>
  <si>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</si>
  <si>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</si>
  <si>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</si>
  <si>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</si>
  <si>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</si>
  <si>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</si>
  <si>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</si>
  <si>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</si>
  <si>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</si>
  <si>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</si>
  <si>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</si>
  <si>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</si>
  <si>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</si>
  <si>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</si>
  <si>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</si>
  <si>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</si>
  <si>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</si>
  <si>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</si>
  <si>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</si>
  <si>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</si>
  <si>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</si>
  <si>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</si>
  <si>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</si>
  <si>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</si>
  <si>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</si>
  <si>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</si>
  <si>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</si>
  <si>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</si>
  <si>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</si>
  <si>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</si>
  <si>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</si>
  <si>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</si>
  <si>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</si>
  <si>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</si>
  <si>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</si>
  <si>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</si>
  <si>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</si>
  <si>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</si>
  <si>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</si>
  <si>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</si>
  <si>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</si>
  <si>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</si>
  <si>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</si>
  <si>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</si>
  <si>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</si>
  <si>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</si>
  <si>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</si>
  <si>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</si>
  <si>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</si>
  <si>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</si>
  <si>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</si>
  <si>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</si>
  <si>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</si>
  <si>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</si>
  <si>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</si>
  <si>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</si>
  <si>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</si>
  <si>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</si>
  <si>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</si>
  <si>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</si>
  <si>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</si>
  <si>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</si>
  <si>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</si>
  <si>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</si>
  <si>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</si>
  <si>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</si>
  <si>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</si>
  <si>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</si>
  <si>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</si>
  <si>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</si>
  <si>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</si>
  <si>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</si>
  <si>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</si>
  <si>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</si>
  <si>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</si>
  <si>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</si>
  <si>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</si>
  <si>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</si>
  <si>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</si>
  <si>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</si>
  <si>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</si>
  <si>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</si>
  <si>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</si>
  <si>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</si>
  <si>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</si>
  <si>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</si>
  <si>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</si>
  <si>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</si>
  <si>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</si>
  <si>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</si>
  <si>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</si>
  <si>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</si>
  <si>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</si>
  <si>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</si>
  <si>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</si>
  <si>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</si>
  <si>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</si>
  <si>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</si>
  <si>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</si>
  <si>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</si>
  <si>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</si>
  <si>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</si>
  <si>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</si>
  <si>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</si>
  <si>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</si>
  <si>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</si>
  <si>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</si>
  <si>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</si>
  <si>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</si>
  <si>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</si>
  <si>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</si>
  <si>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</si>
  <si>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</si>
  <si>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</si>
  <si>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</si>
  <si>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</si>
  <si>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</si>
  <si>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</si>
  <si>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</si>
  <si>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</si>
  <si>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</si>
  <si>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</si>
  <si>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</si>
  <si>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</si>
  <si>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</si>
  <si>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</si>
  <si>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</si>
  <si>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</si>
  <si>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</si>
  <si>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</si>
  <si>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</si>
  <si>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</si>
  <si>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</si>
  <si>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</si>
  <si>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</si>
  <si>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</si>
  <si>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</si>
  <si>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</si>
  <si>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</si>
  <si>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</si>
  <si>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</si>
  <si>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</si>
  <si>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</si>
  <si>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</si>
  <si>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</si>
  <si>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</si>
  <si>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</si>
  <si>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</si>
  <si>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</si>
  <si>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</si>
  <si>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</si>
  <si>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</si>
  <si>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</si>
  <si>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</si>
  <si>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</si>
  <si>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</si>
  <si>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</si>
  <si>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</si>
  <si>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</si>
  <si>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</si>
  <si>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</si>
  <si>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</si>
  <si>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</si>
  <si>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</si>
  <si>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</si>
  <si>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</si>
  <si>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</si>
  <si>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</si>
  <si>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</si>
  <si>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</si>
  <si>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</si>
  <si>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</si>
  <si>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</si>
  <si>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</si>
  <si>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</si>
  <si>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</si>
  <si>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</si>
  <si>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</si>
  <si>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</si>
  <si>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</si>
  <si>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</si>
  <si>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</si>
  <si>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</si>
  <si>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</si>
  <si>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</si>
  <si>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</si>
  <si>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</si>
  <si>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</si>
  <si>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</si>
  <si>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</si>
  <si>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</si>
  <si>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</si>
  <si>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</si>
  <si>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</si>
  <si>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</si>
  <si>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</si>
  <si>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</si>
  <si>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</si>
  <si>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</si>
  <si>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</si>
  <si>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</si>
  <si>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</si>
  <si>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</si>
  <si>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</si>
  <si>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</si>
  <si>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</si>
  <si>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</si>
  <si>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</si>
  <si>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</si>
  <si>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</si>
  <si>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</si>
  <si>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</si>
  <si>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</si>
  <si>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</si>
  <si>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</si>
  <si>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</si>
  <si>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</si>
  <si>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</si>
  <si>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</si>
  <si>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</si>
  <si>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</si>
  <si>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</si>
  <si>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</si>
  <si>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</si>
  <si>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</si>
  <si>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</si>
  <si>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</si>
  <si>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</si>
  <si>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</si>
  <si>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</si>
  <si>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</si>
  <si>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</si>
  <si>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</si>
  <si>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</si>
  <si>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</si>
  <si>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</si>
  <si>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</si>
  <si>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</si>
  <si>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</si>
  <si>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</si>
  <si>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</si>
  <si>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</si>
  <si>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</si>
  <si>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</si>
  <si>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</si>
  <si>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</si>
  <si>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</si>
  <si>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</si>
  <si>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</si>
  <si>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</si>
  <si>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</si>
  <si>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</si>
  <si>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</si>
  <si>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</si>
  <si>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</si>
  <si>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</si>
  <si>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</si>
  <si>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</si>
  <si>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</si>
  <si>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</si>
  <si>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</si>
  <si>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</si>
  <si>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</si>
  <si>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</si>
  <si>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</si>
  <si>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</si>
  <si>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</si>
  <si>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</si>
  <si>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</si>
  <si>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</si>
  <si>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</si>
  <si>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</si>
  <si>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</si>
  <si>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</si>
  <si>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</si>
  <si>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</si>
  <si>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</si>
  <si>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</si>
  <si>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</si>
  <si>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</si>
  <si>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</si>
  <si>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</si>
  <si>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</si>
  <si>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</si>
  <si>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</si>
  <si>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</si>
  <si>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</si>
  <si>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</si>
  <si>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</si>
  <si>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</si>
  <si>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</si>
  <si>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</si>
  <si>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</si>
  <si>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</si>
  <si>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0.20.11.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</si>
  <si>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</si>
  <si>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</si>
  <si>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</si>
  <si>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</si>
  <si>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</si>
  <si>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</si>
  <si>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</si>
  <si>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</si>
  <si>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</si>
  <si>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</si>
  <si>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</si>
  <si>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</si>
  <si>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</si>
  <si>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</si>
  <si>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</si>
  <si>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</si>
  <si>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</si>
  <si>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</si>
  <si>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</si>
  <si>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</si>
  <si>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</si>
  <si>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</si>
  <si>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</si>
  <si>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</si>
  <si>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</si>
  <si>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</si>
  <si>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</si>
  <si>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</si>
  <si>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</si>
  <si>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</si>
  <si>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</si>
  <si>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</si>
  <si>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</si>
  <si>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</si>
  <si>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</si>
  <si>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</si>
  <si>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</si>
  <si>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</si>
  <si>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</si>
  <si>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</si>
  <si>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</si>
  <si>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</si>
  <si>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</si>
  <si>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</si>
  <si>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</si>
  <si>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</si>
  <si>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</si>
  <si>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</si>
  <si>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</si>
  <si>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</si>
  <si>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</si>
  <si>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</si>
  <si>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</si>
  <si>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</si>
  <si>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</si>
  <si>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</si>
  <si>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</si>
  <si>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</si>
  <si>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</si>
  <si>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</si>
  <si>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</si>
  <si>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</si>
  <si>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</si>
  <si>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</si>
  <si>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</si>
  <si>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</si>
  <si>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</si>
  <si>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</si>
  <si>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</si>
  <si>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</si>
  <si>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</si>
  <si>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</si>
  <si>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</si>
  <si>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</si>
  <si>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</si>
  <si>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</si>
  <si>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</si>
  <si>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</si>
  <si>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</si>
  <si>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</si>
  <si>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</si>
  <si>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</si>
  <si>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</si>
  <si>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</si>
  <si>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</si>
  <si>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</si>
  <si>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</si>
  <si>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</si>
  <si>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</si>
  <si>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</si>
  <si>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</si>
  <si>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</si>
  <si>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</si>
  <si>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</si>
  <si>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</si>
  <si>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</si>
  <si>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</si>
  <si>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</si>
  <si>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</si>
  <si>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</si>
  <si>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</si>
  <si>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</si>
  <si>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</si>
  <si>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</si>
  <si>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</si>
  <si>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</si>
  <si>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</si>
  <si>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</si>
  <si>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</si>
  <si>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</si>
  <si>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</si>
  <si>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</si>
  <si>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</si>
  <si>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</si>
  <si>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</si>
  <si>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</si>
  <si>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</si>
  <si>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</si>
  <si>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</si>
  <si>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</si>
  <si>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</si>
  <si>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</si>
  <si>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</si>
  <si>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</si>
  <si>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</si>
  <si>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</si>
  <si>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</si>
  <si>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</si>
  <si>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</si>
  <si>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</si>
  <si>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</si>
  <si>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</si>
  <si>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</si>
  <si>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</si>
  <si>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</si>
  <si>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</si>
  <si>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</si>
  <si>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</si>
  <si>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</si>
  <si>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</si>
  <si>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</si>
  <si>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</si>
  <si>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</si>
  <si>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</si>
  <si>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</si>
  <si>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</si>
  <si>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</si>
  <si>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</si>
  <si>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</si>
  <si>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</si>
  <si>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</si>
  <si>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</si>
  <si>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</si>
  <si>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</si>
  <si>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</si>
  <si>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</si>
  <si>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</si>
  <si>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</si>
  <si>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</si>
  <si>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</si>
  <si>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</si>
  <si>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</si>
  <si>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</si>
  <si>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</si>
  <si>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</si>
  <si>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</si>
  <si>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</si>
  <si>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</si>
  <si>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</si>
  <si>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</si>
  <si>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</si>
  <si>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</si>
  <si>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</si>
  <si>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</si>
  <si>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</si>
  <si>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</si>
  <si>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</si>
  <si>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</si>
  <si>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</si>
  <si>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</si>
  <si>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</si>
  <si>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</si>
  <si>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</si>
  <si>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</si>
  <si>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</si>
  <si>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</si>
  <si>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</si>
  <si>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</si>
  <si>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</si>
  <si>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</si>
  <si>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</si>
  <si>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</si>
  <si>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</si>
  <si>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</si>
  <si>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</si>
  <si>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</si>
  <si>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</si>
  <si>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</si>
  <si>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</si>
  <si>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</si>
  <si>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</si>
  <si>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</si>
  <si>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</si>
  <si>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0.20.11,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</si>
  <si>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</si>
  <si>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</si>
  <si>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</si>
  <si>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</si>
  <si>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</si>
  <si>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0.20.11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</si>
  <si>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</si>
  <si>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</si>
  <si>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</si>
  <si>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</si>
  <si>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</si>
  <si>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</si>
  <si>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</si>
  <si>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</si>
  <si>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</si>
  <si>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</si>
  <si>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</si>
  <si>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</si>
  <si>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</si>
  <si>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</si>
  <si>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</si>
  <si>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</si>
  <si>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</si>
  <si>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</si>
  <si>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</si>
  <si>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0.20.11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</si>
  <si>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</si>
  <si>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</si>
  <si>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</si>
  <si>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</si>
  <si>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</si>
  <si>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</si>
  <si>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</si>
  <si>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</si>
  <si>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</si>
  <si>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</si>
  <si>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</si>
  <si>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</si>
  <si>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</si>
  <si>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</si>
  <si>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</si>
  <si>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</si>
  <si>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</si>
  <si>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0.20.11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</si>
  <si>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</si>
  <si>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</si>
  <si>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</si>
  <si>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</si>
  <si>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</si>
  <si>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</si>
  <si>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</si>
  <si>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</si>
  <si>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</si>
  <si>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</si>
  <si>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</si>
  <si>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</si>
  <si>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</si>
  <si>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</si>
  <si>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</si>
  <si>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</si>
  <si>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</si>
  <si>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</si>
  <si>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</si>
  <si>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</si>
  <si>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</si>
  <si>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</si>
  <si>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</si>
  <si>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</si>
  <si>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0.20.11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</si>
  <si>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</si>
  <si>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</si>
  <si>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</si>
  <si>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</si>
  <si>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</si>
  <si>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</si>
  <si>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</si>
  <si>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</si>
  <si>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</si>
  <si>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</si>
  <si>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</si>
  <si>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</si>
  <si>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</si>
  <si>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</si>
  <si>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</si>
  <si>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</si>
  <si>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</si>
  <si>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0.20.11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</si>
  <si>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</si>
  <si>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</si>
  <si>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</si>
  <si>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</si>
  <si>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</si>
  <si>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</si>
  <si>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</si>
  <si>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</si>
  <si>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</si>
  <si>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</si>
  <si>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</si>
  <si>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</si>
  <si>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0.20.11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</si>
  <si>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</si>
  <si>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</si>
  <si>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</si>
  <si>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</si>
  <si>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</si>
  <si>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</si>
  <si>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</si>
  <si>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</si>
  <si>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</si>
  <si>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</si>
  <si>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</si>
  <si>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</si>
  <si>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</si>
  <si>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</si>
  <si>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</si>
  <si>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</si>
  <si>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0.20.11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</si>
  <si>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</si>
  <si>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</si>
  <si>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</si>
  <si>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</si>
  <si>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</si>
  <si>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</si>
  <si>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</si>
  <si>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</si>
  <si>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</si>
  <si>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</si>
  <si>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</si>
  <si>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</si>
  <si>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</si>
  <si>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</si>
  <si>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</si>
  <si>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</si>
  <si>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</si>
  <si>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</si>
  <si>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</si>
  <si>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</si>
  <si>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</si>
  <si>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</si>
  <si>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0.20.11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</si>
  <si>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</si>
  <si>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</si>
  <si>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</si>
  <si>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</si>
  <si>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</si>
  <si>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</si>
  <si>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</si>
  <si>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</si>
  <si>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</si>
  <si>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</si>
  <si>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</si>
  <si>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</si>
  <si>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</si>
  <si>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</si>
  <si>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</si>
  <si>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</si>
  <si>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</si>
  <si>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</si>
  <si>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</si>
  <si>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</si>
  <si>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</si>
  <si>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</si>
  <si>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</si>
  <si>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</si>
  <si>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</si>
  <si>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</si>
  <si>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</si>
  <si>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</si>
  <si>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</si>
  <si>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</si>
  <si>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</si>
  <si>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</si>
  <si>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</si>
  <si>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</si>
  <si>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</si>
  <si>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</si>
  <si>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</si>
  <si>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</si>
  <si>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</si>
  <si>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</si>
  <si>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</si>
  <si>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0.20.11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</si>
  <si>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</si>
  <si>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</si>
  <si>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</si>
  <si>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</si>
  <si>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</si>
  <si>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</si>
  <si>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</si>
  <si>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</si>
  <si>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</si>
  <si>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</si>
  <si>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</si>
  <si>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</si>
  <si>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</si>
  <si>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</si>
  <si>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</si>
  <si>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</si>
  <si>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</si>
  <si>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</si>
  <si>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</si>
  <si>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</si>
  <si>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</si>
  <si>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</si>
  <si>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</si>
  <si>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</si>
  <si>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</si>
  <si>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</si>
  <si>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</si>
  <si>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</si>
  <si>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</si>
  <si>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</si>
  <si>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</si>
  <si>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</si>
  <si>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</si>
  <si>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</si>
  <si>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</si>
  <si>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</si>
  <si>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</si>
  <si>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</si>
  <si>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</si>
  <si>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</si>
  <si>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</si>
  <si>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</si>
  <si>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</si>
  <si>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</si>
  <si>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</si>
  <si>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</si>
  <si>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</si>
  <si>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</si>
  <si>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</si>
  <si>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</si>
  <si>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</si>
  <si>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</si>
  <si>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</si>
  <si>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</si>
  <si>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</si>
  <si>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</si>
  <si>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</si>
  <si>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</si>
  <si>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</si>
  <si>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</si>
  <si>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0.20.11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</si>
  <si>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</si>
  <si>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</si>
  <si>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</si>
  <si>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</si>
  <si>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</si>
  <si>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</si>
  <si>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</si>
  <si>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</si>
  <si>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</si>
  <si>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</si>
  <si>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</si>
  <si>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</si>
  <si>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</si>
  <si>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</si>
  <si>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</si>
  <si>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</si>
  <si>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</si>
  <si>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</si>
  <si>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</si>
  <si>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</si>
  <si>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</si>
  <si>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</si>
  <si>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</si>
  <si>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</si>
  <si>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</si>
  <si>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</si>
  <si>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</si>
  <si>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</si>
  <si>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</si>
  <si>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</si>
  <si>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</si>
  <si>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</si>
  <si>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</si>
  <si>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</si>
  <si>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</si>
  <si>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</si>
  <si>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</si>
  <si>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</si>
  <si>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</si>
  <si>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</si>
  <si>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</si>
  <si>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</si>
  <si>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</si>
  <si>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</si>
  <si>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</si>
  <si>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</si>
  <si>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</si>
  <si>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</si>
  <si>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</si>
  <si>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</si>
  <si>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</si>
  <si>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</si>
  <si>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0.20.11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</si>
  <si>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</si>
  <si>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</si>
  <si>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</si>
  <si>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</si>
  <si>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</si>
  <si>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</si>
  <si>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</si>
  <si>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</si>
  <si>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</si>
  <si>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</si>
  <si>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</si>
  <si>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</si>
  <si>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</si>
  <si>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</si>
  <si>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</si>
  <si>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</si>
  <si>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</si>
  <si>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</si>
  <si>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</si>
  <si>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</si>
  <si>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</si>
  <si>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</si>
  <si>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</si>
  <si>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</si>
  <si>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</si>
  <si>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</si>
  <si>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</si>
  <si>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</si>
  <si>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</si>
  <si>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</si>
  <si>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</si>
  <si>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</si>
  <si>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</si>
  <si>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</si>
  <si>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</si>
  <si>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</si>
  <si>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</si>
  <si>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</si>
  <si>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</si>
  <si>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</si>
  <si>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</si>
  <si>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</si>
  <si>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</si>
  <si>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</si>
  <si>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</si>
  <si>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</si>
  <si>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</si>
  <si>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</si>
  <si>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</si>
  <si>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</si>
  <si>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</si>
  <si>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</si>
  <si>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</si>
  <si>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</si>
  <si>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</si>
  <si>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</si>
  <si>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</si>
  <si>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</si>
  <si>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</si>
  <si>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</si>
  <si>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</si>
  <si>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</si>
  <si>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</si>
  <si>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</si>
  <si>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</si>
  <si>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</si>
  <si>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</si>
  <si>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</si>
  <si>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0.20.11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</si>
  <si>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</si>
  <si>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</si>
  <si>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</si>
  <si>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0.20.11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</si>
  <si>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</si>
  <si>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</si>
  <si>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</si>
  <si>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</si>
  <si>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</si>
  <si>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</si>
  <si>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</si>
  <si>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</si>
  <si>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size, variant, Content inset, and responsive visual-layout recipes plus Atom state/orientation/composition props and refs type-check.</t>
  </si>
  <si>
    <t xml:space="preserve">../test/types/components/tabs.test.ts</t>
  </si>
  <si>
    <t xml:space="preserve">TB-05</t>
  </si>
  <si>
    <t xml:space="preserve">Static CSS ships semantic orientation, responsive stacked/side visual layouts, Content inset recipes, variants, states, overflow, RTL, and forced-color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</si>
  <si>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</si>
  <si>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</si>
  <si>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</si>
  <si>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</si>
  <si>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</si>
  <si>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</si>
  <si>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</si>
  <si>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</si>
  <si>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</si>
  <si>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</si>
  <si>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</si>
  <si>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</si>
  <si>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</si>
  <si>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</si>
  <si>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</si>
  <si>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Semantic orientation controls arrow behavior; responsive layout changes only the List/Content relationship; fullWidth distributes horizontal triggers equally.</t>
  </si>
  <si>
    <t xml:space="preserve">tests/components/tabs/behavior.spec.ts; ../test/components/tabs/tabs.test.tsx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</si>
  <si>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</si>
  <si>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</si>
  <si>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</si>
  <si>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tests/components/tabs/behavior.spec.ts; tests/components/tabs/visual.spec.ts</t>
  </si>
  <si>
    <t xml:space="preserve">TB-11</t>
  </si>
  <si>
    <t xml:space="preserve">Activation</t>
  </si>
  <si>
    <t xml:space="preserve">Root/List/Trigger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</si>
  <si>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</si>
  <si>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</si>
  <si>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</si>
  <si>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focusable, and none/sm/md/lg inset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</si>
  <si>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</si>
  <si>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</si>
  <si>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</si>
  <si>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</si>
  <si>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</si>
  <si>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</si>
  <si>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</si>
  <si>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</si>
  <si>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Root/List/Content</t>
  </si>
  <si>
    <t xml:space="preserve">Constrained horizontal lists scroll; responsive stacked/side layout keeps vertical aria-orientation and Arrow Down behavior unchanged.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</si>
  <si>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</si>
  <si>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</si>
  <si>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</si>
  <si>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</si>
  <si>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</si>
  <si>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</si>
  <si>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</si>
  <si>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</si>
  <si>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</si>
  <si>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</si>
  <si>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</si>
  <si>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</si>
  <si>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Content inset, responsive visual layout, semantic orientation, accessibility, composition, CSS, and evidence are documented.</t>
  </si>
  <si>
    <t xml:space="preserve">../docs/components/tabs/README.md; ../src/components/tabs/agent.md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</si>
  <si>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</si>
  <si>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</si>
  <si>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</si>
  <si>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</si>
  <si>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</si>
  <si>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</si>
  <si>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consumers, configured browsers, responsive layout, docs, and exact Atom dependency pass.</t>
  </si>
  <si>
    <t xml:space="preserve">../scripts/verify-package.mjs; ../scripts/verify-consumers.mjs; tests/components/tabs/behavior.spec.ts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</si>
  <si>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</si>
  <si>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</si>
  <si>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</si>
  <si>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</si>
  <si>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</si>
  <si>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</si>
  <si>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</si>
  <si>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</si>
  <si>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</si>
  <si>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</si>
  <si>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</si>
  <si>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</si>
  <si>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</si>
  <si>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</si>
  <si>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</si>
  <si>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</si>
  <si>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</si>
  <si>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</si>
  <si>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</si>
  <si>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</si>
  <si>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</si>
  <si>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</si>
  <si>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</si>
  <si>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</si>
  <si>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</si>
  <si>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</si>
  <si>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</si>
  <si>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</si>
  <si>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</si>
  <si>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</si>
  <si>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</si>
  <si>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</si>
  <si>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</si>
  <si>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</si>
  <si>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</si>
  <si>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</si>
  <si>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</si>
  <si>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</si>
  <si>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</si>
  <si>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</si>
  <si>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</si>
  <si>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</si>
  <si>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</si>
  <si>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</si>
  <si>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</si>
  <si>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</si>
  <si>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</si>
  <si>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</si>
  <si>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</si>
  <si>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</si>
  <si>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</si>
  <si>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</si>
  <si>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</si>
  <si>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</si>
  <si>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</si>
  <si>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</si>
  <si>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</si>
  <si>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</si>
  <si>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</si>
  <si>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</si>
  <si>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</si>
  <si>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</si>
  <si>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</si>
  <si>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</si>
  <si>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</si>
  <si>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</si>
  <si>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</si>
  <si>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</si>
  <si>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</si>
  <si>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0.20.11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</si>
  <si>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</si>
  <si>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</si>
  <si>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</si>
  <si>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</si>
  <si>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</si>
  <si>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</si>
  <si>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</si>
  <si>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</si>
  <si>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</si>
  <si>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</si>
  <si>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</si>
  <si>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</si>
  <si>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</si>
  <si>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</si>
  <si>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</si>
  <si>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</si>
  <si>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</si>
  <si>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</si>
  <si>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</si>
  <si>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</si>
  <si>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</si>
  <si>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</si>
  <si>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</si>
  <si>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</si>
  <si>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</si>
  <si>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</si>
  <si>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</si>
  <si>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</si>
  <si>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</si>
  <si>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</si>
  <si>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</si>
  <si>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</si>
  <si>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</si>
  <si>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</si>
  <si>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</si>
  <si>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</si>
  <si>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</si>
  <si>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</si>
  <si>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</si>
  <si>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</si>
  <si>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</si>
  <si>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</si>
  <si>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</si>
  <si>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</si>
  <si>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</si>
  <si>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</si>
  <si>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</si>
  <si>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</si>
  <si>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</si>
  <si>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</si>
  <si>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</si>
  <si>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</si>
  <si>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</si>
  <si>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</si>
  <si>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</si>
  <si>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</si>
  <si>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</si>
  <si>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</si>
  <si>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</si>
  <si>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</si>
  <si>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</si>
  <si>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Source-backed usage, anatomy, API, recipes, accessibility, responsive behavior, composition, CSS, customization, and evidence are documented.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</si>
  <si>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</si>
  <si>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</si>
  <si>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</si>
  <si>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</si>
  <si>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</si>
  <si>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</si>
  <si>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</si>
  <si>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Build, exports, SSR, tarball, CSS, React 18/19, Consumer, configured browsers, docs, and exact Atom dependency pass.</t>
  </si>
  <si>
    <t xml:space="preserve">Context Menu Evidence</t>
  </si>
  <si>
    <t xml:space="preserve">CM-01</t>
  </si>
  <si>
    <t xml:space="preserve">Brick styles released Atom 0.20.11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</si>
  <si>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</si>
  <si>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</si>
  <si>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</si>
  <si>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</si>
  <si>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</si>
  <si>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</si>
  <si>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</si>
  <si>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</si>
  <si>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</si>
  <si>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</si>
  <si>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</si>
  <si>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</si>
  <si>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</si>
  <si>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</si>
  <si>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</si>
  <si>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</si>
  <si>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</si>
  <si>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</si>
  <si>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</si>
  <si>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</si>
  <si>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</si>
  <si>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</si>
  <si>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</si>
  <si>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</si>
  <si>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</si>
  <si>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</si>
  <si>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</si>
  <si>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</si>
  <si>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</si>
  <si>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</si>
  <si>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</si>
  <si>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</si>
  <si>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</si>
  <si>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</si>
  <si>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</si>
  <si>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</si>
  <si>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</si>
  <si>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</si>
  <si>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</si>
  <si>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</si>
  <si>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</si>
  <si>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</si>
  <si>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</si>
  <si>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</si>
  <si>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</si>
  <si>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</si>
  <si>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</si>
  <si>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</si>
  <si>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</si>
  <si>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</si>
  <si>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</si>
  <si>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</si>
  <si>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</si>
  <si>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</si>
  <si>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</si>
  <si>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</si>
  <si>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0.20.11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</si>
  <si>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</si>
  <si>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</si>
  <si>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</si>
  <si>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</si>
  <si>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</si>
  <si>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</si>
  <si>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</si>
  <si>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</si>
  <si>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</si>
  <si>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</si>
  <si>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</si>
  <si>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</si>
  <si>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</si>
  <si>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</si>
  <si>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</si>
  <si>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</si>
  <si>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</si>
  <si>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</si>
  <si>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</si>
  <si>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</si>
  <si>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</si>
  <si>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</si>
  <si>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</si>
  <si>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</si>
  <si>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</si>
  <si>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</si>
  <si>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</si>
  <si>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</si>
  <si>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</si>
  <si>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</si>
  <si>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</si>
  <si>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</si>
  <si>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</si>
  <si>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</si>
  <si>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</si>
  <si>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</si>
  <si>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</si>
  <si>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</si>
  <si>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</si>
  <si>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</si>
  <si>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</si>
  <si>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</si>
  <si>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</si>
  <si>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0.20.11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</si>
  <si>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</si>
  <si>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</si>
  <si>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All parts including IndicatorArrow</t>
  </si>
  <si>
    <t xml:space="preserve">The public namespace preserves every adopted host, semantic relationship, native prop, ref, and composition boundary; Indicator supplies the decorative IndicatorArrow only when no custom child is authored.</t>
  </si>
  <si>
    <t xml:space="preserve">../test/components/navigation-menu/navigation-menu.test.tsx</t>
  </si>
  <si>
    <t xml:space="preserve">NM-03</t>
  </si>
  <si>
    <t xml:space="preserve">NavigationMenu/IndicatorArrow</t>
  </si>
  <si>
    <t xml:space="preserve">Root and component subpath expose the namespace, named parts including IndicatorArrow, and public types with identical runtime identities.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</si>
  <si>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</si>
  <si>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</si>
  <si>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</si>
  <si>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</si>
  <si>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</si>
  <si>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</si>
  <si>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</si>
  <si>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</si>
  <si>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</si>
  <si>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</si>
  <si>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</si>
  <si>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</si>
  <si>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</si>
  <si>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</si>
  <si>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</si>
  <si>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</si>
  <si>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</si>
  <si>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Root/List/IndicatorArrow</t>
  </si>
  <si>
    <t xml:space="preserve">Horizontal and vertical orientation change layout and keyboard axis together while the IndicatorArrow connects the active trigger to the Viewport on the logical side.</t>
  </si>
  <si>
    <t xml:space="preserve">NM-10</t>
  </si>
  <si>
    <t xml:space="preserve">Viewport</t>
  </si>
  <si>
    <t xml:space="preserve">Content/Viewport/Indicator/IndicatorArrow</t>
  </si>
  <si>
    <t xml:space="preserve">Measured rich content, the surface-matched IndicatorArrow, and Viewport geometry follow Atom state and trigger measurements.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</si>
  <si>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</si>
  <si>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</si>
  <si>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</si>
  <si>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</si>
  <si>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</si>
  <si>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</si>
  <si>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</si>
  <si>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</si>
  <si>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</si>
  <si>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Reviewed baselines cover defaults, compact chevrons, the one-pixel current underline, the open IndicatorArrow connector, recipes, states, dark appearance, mobile RTL, and forced colors.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</si>
  <si>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</si>
  <si>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</si>
  <si>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</si>
  <si>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</si>
  <si>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</si>
  <si>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</si>
  <si>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</si>
  <si>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</si>
  <si>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</si>
  <si>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</si>
  <si>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</si>
  <si>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</si>
  <si>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0.20.11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</si>
  <si>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</si>
  <si>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</si>
  <si>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</si>
  <si>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</si>
  <si>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</si>
  <si>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</si>
  <si>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</si>
  <si>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</si>
  <si>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</si>
  <si>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</si>
  <si>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</si>
  <si>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</si>
  <si>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</si>
  <si>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</si>
  <si>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</si>
  <si>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</si>
  <si>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</si>
  <si>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</si>
  <si>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</si>
  <si>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</si>
  <si>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</si>
  <si>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</si>
  <si>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</si>
  <si>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</si>
  <si>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</si>
  <si>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</si>
  <si>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</si>
  <si>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</si>
  <si>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</si>
  <si>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</si>
  <si>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</si>
  <si>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</si>
  <si>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</si>
  <si>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</si>
  <si>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</si>
  <si>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</si>
  <si>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</si>
  <si>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</si>
  <si>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</si>
  <si>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</si>
  <si>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</si>
  <si>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</si>
  <si>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</si>
  <si>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</si>
  <si>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</si>
  <si>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</si>
  <si>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</si>
  <si>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</si>
  <si>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</si>
  <si>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</si>
  <si>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</si>
  <si>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</si>
  <si>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</si>
  <si>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</si>
  <si>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</si>
  <si>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</si>
  <si>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</si>
  <si>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</si>
  <si>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</si>
  <si>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</si>
  <si>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</si>
  <si>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</si>
  <si>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</si>
  <si>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</si>
  <si>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</si>
  <si>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</si>
  <si>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</si>
  <si>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</si>
  <si>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</si>
  <si>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</si>
  <si>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</si>
  <si>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</si>
  <si>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</si>
  <si>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</si>
  <si>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</si>
  <si>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</si>
  <si>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</si>
  <si>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</si>
  <si>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0.20.11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</si>
  <si>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</si>
  <si>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</si>
  <si>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</si>
  <si>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0.20.11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</si>
  <si>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</si>
  <si>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</si>
  <si>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</si>
  <si>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</si>
  <si>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</si>
  <si>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</si>
  <si>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</si>
  <si>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</si>
  <si>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</si>
  <si>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</si>
  <si>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</si>
  <si>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</si>
  <si>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</si>
  <si>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</si>
  <si>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</si>
  <si>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</si>
  <si>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</si>
  <si>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</si>
  <si>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</si>
  <si>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</si>
  <si>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</si>
  <si>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</si>
  <si>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</si>
  <si>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</si>
  <si>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</si>
  <si>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</si>
  <si>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</si>
  <si>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</si>
  <si>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</si>
  <si>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</si>
  <si>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</si>
  <si>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</si>
  <si>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</si>
  <si>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</si>
  <si>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</si>
  <si>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</si>
  <si>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</si>
  <si>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</si>
  <si>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</si>
  <si>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</si>
  <si>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</si>
  <si>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</si>
  <si>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</si>
  <si>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</si>
  <si>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</si>
  <si>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</si>
  <si>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</si>
  <si>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</si>
  <si>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</si>
  <si>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</si>
  <si>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</si>
  <si>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</si>
  <si>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0.20.11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</si>
  <si>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</si>
  <si>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</si>
  <si>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</si>
  <si>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</si>
  <si>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</si>
  <si>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</si>
  <si>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</si>
  <si>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</si>
  <si>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</si>
  <si>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</si>
  <si>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</si>
  <si>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</si>
  <si>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</si>
  <si>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</si>
  <si>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</si>
  <si>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</si>
  <si>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</si>
  <si>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</si>
  <si>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</si>
  <si>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</si>
  <si>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</si>
  <si>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</si>
  <si>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</si>
  <si>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</si>
  <si>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</si>
  <si>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</si>
  <si>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</si>
  <si>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</si>
  <si>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</si>
  <si>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</si>
  <si>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</si>
  <si>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</si>
  <si>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</si>
  <si>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</si>
  <si>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</si>
  <si>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</si>
  <si>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</si>
  <si>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</si>
  <si>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</si>
  <si>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</si>
  <si>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</si>
  <si>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</si>
  <si>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</si>
  <si>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</si>
  <si>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</si>
  <si>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</si>
  <si>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</si>
  <si>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</si>
  <si>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</si>
  <si>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</si>
  <si>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</si>
  <si>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</si>
  <si>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</si>
  <si>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</si>
  <si>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</si>
  <si>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</si>
  <si>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</si>
  <si>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</si>
  <si>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</si>
  <si>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</si>
  <si>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</si>
  <si>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</si>
  <si>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</si>
  <si>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</si>
  <si>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</si>
  <si>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</si>
  <si>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</si>
  <si>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0.20.11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</si>
  <si>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</si>
  <si>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</si>
  <si>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</si>
  <si>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</si>
  <si>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</si>
  <si>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</si>
  <si>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</si>
  <si>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</si>
  <si>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</si>
  <si>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</si>
  <si>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</si>
  <si>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</si>
  <si>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</si>
  <si>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</si>
  <si>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</si>
  <si>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</si>
  <si>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</si>
  <si>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</si>
  <si>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</si>
  <si>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</si>
  <si>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</si>
  <si>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</si>
  <si>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</si>
  <si>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</si>
  <si>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</si>
  <si>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</si>
  <si>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</si>
  <si>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</si>
  <si>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</si>
  <si>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</si>
  <si>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</si>
  <si>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</si>
  <si>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</si>
  <si>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</si>
  <si>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</si>
  <si>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</si>
  <si>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</si>
  <si>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</si>
  <si>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</si>
  <si>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</si>
  <si>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</si>
  <si>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</si>
  <si>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</si>
  <si>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</si>
  <si>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</si>
  <si>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</si>
  <si>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</si>
  <si>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</si>
  <si>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</si>
  <si>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</si>
  <si>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</si>
  <si>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</si>
  <si>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</si>
  <si>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</si>
  <si>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</si>
  <si>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</si>
  <si>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</si>
  <si>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</si>
  <si>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</si>
  <si>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</si>
  <si>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</si>
  <si>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</si>
  <si>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</si>
  <si>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</si>
  <si>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</si>
  <si>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</si>
  <si>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</si>
  <si>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</si>
  <si>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</si>
  <si>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</si>
  <si>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</si>
  <si>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</si>
  <si>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</si>
  <si>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</si>
  <si>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0.20.11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</si>
  <si>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</si>
  <si>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</si>
  <si>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</si>
  <si>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</si>
  <si>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</si>
  <si>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</si>
  <si>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</si>
  <si>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</si>
  <si>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</si>
  <si>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</si>
  <si>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</si>
  <si>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</si>
  <si>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</si>
  <si>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</si>
  <si>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</si>
  <si>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</si>
  <si>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</si>
  <si>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</si>
  <si>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</si>
  <si>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</si>
  <si>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</si>
  <si>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</si>
  <si>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</si>
  <si>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</si>
  <si>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</si>
  <si>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</si>
  <si>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</si>
  <si>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</si>
  <si>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</si>
  <si>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</si>
  <si>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</si>
  <si>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</si>
  <si>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</si>
  <si>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</si>
  <si>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</si>
  <si>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</si>
  <si>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</si>
  <si>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</si>
  <si>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</si>
  <si>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</si>
  <si>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</si>
  <si>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</si>
  <si>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</si>
  <si>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</si>
  <si>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</si>
  <si>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</si>
  <si>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</si>
  <si>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</si>
  <si>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</si>
  <si>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</si>
  <si>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</si>
  <si>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</si>
  <si>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</si>
  <si>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</si>
  <si>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</si>
  <si>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</si>
  <si>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</si>
  <si>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</si>
  <si>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</si>
  <si>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</si>
  <si>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</si>
  <si>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</si>
  <si>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</si>
  <si>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</si>
  <si>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</si>
  <si>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</si>
  <si>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</si>
  <si>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</si>
  <si>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</si>
  <si>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</si>
  <si>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</si>
  <si>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</si>
  <si>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</si>
  <si>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</si>
  <si>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</si>
  <si>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</si>
  <si>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</si>
  <si>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</si>
  <si>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</si>
  <si>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</si>
  <si>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</si>
  <si>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</si>
  <si>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</si>
  <si>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</si>
  <si>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</si>
  <si>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</si>
  <si>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</si>
  <si>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</si>
  <si>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</si>
  <si>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</si>
  <si>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</si>
  <si>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</si>
  <si>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</si>
  <si>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</si>
  <si>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</si>
  <si>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</si>
  <si>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</si>
  <si>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</si>
  <si>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</si>
  <si>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</si>
  <si>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</si>
  <si>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</si>
  <si>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</si>
  <si>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</si>
  <si>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</si>
  <si>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</si>
  <si>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0.20.11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</si>
  <si>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</si>
  <si>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</si>
  <si>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</si>
  <si>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0.20.11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</si>
  <si>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</si>
  <si>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</si>
  <si>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</si>
  <si>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</si>
  <si>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</si>
  <si>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</si>
  <si>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</si>
  <si>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</si>
  <si>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</si>
  <si>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</si>
  <si>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</si>
  <si>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</si>
  <si>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</si>
  <si>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</si>
  <si>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</si>
  <si>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</si>
  <si>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</si>
  <si>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</si>
  <si>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</si>
  <si>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</si>
  <si>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</si>
  <si>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</si>
  <si>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</si>
  <si>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</si>
  <si>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</si>
  <si>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</si>
  <si>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</si>
  <si>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</si>
  <si>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</si>
  <si>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</si>
  <si>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</si>
  <si>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</si>
  <si>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</si>
  <si>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</si>
  <si>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</si>
  <si>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</si>
  <si>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</si>
  <si>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</si>
  <si>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</si>
  <si>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</si>
  <si>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</si>
  <si>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</si>
  <si>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</si>
  <si>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</si>
  <si>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</si>
  <si>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</si>
  <si>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</si>
  <si>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</si>
  <si>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</si>
  <si>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0.20.11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</si>
  <si>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</si>
  <si>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</si>
  <si>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</si>
  <si>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</si>
  <si>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</si>
  <si>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</si>
  <si>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</si>
  <si>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</si>
  <si>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</si>
  <si>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</si>
  <si>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</si>
  <si>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</si>
  <si>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</si>
  <si>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</si>
  <si>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</si>
  <si>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</si>
  <si>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</si>
  <si>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</si>
  <si>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</si>
  <si>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</si>
  <si>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</si>
  <si>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</si>
  <si>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</si>
  <si>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</si>
  <si>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</si>
  <si>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</si>
  <si>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</si>
  <si>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</si>
  <si>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</si>
  <si>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</si>
  <si>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</si>
  <si>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</si>
  <si>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</si>
  <si>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</si>
  <si>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</si>
  <si>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</si>
  <si>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</si>
  <si>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</si>
  <si>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</si>
  <si>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</si>
  <si>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</si>
  <si>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</si>
  <si>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</si>
  <si>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</si>
  <si>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</si>
  <si>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</si>
  <si>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</si>
  <si>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</si>
  <si>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</si>
  <si>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</si>
  <si>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</si>
  <si>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</si>
  <si>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</si>
  <si>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</si>
  <si>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</si>
  <si>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</si>
  <si>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</si>
  <si>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</si>
  <si>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</si>
  <si>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</si>
  <si>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</si>
  <si>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</si>
  <si>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</si>
  <si>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</si>
  <si>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</si>
  <si>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</si>
  <si>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</si>
  <si>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</si>
  <si>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</si>
  <si>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</si>
  <si>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</si>
  <si>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</si>
  <si>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</si>
  <si>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</si>
  <si>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</si>
  <si>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</si>
  <si>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</si>
  <si>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</si>
  <si>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0.20.11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</si>
  <si>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</si>
  <si>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</si>
  <si>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</si>
  <si>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</si>
  <si>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</si>
  <si>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</si>
  <si>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</si>
  <si>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</si>
  <si>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</si>
  <si>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</si>
  <si>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</si>
  <si>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</si>
  <si>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</si>
  <si>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</si>
  <si>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</si>
  <si>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</si>
  <si>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</si>
  <si>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</si>
  <si>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</si>
  <si>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</si>
  <si>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</si>
  <si>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</si>
  <si>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</si>
  <si>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</si>
  <si>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</si>
  <si>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</si>
  <si>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</si>
  <si>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</si>
  <si>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</si>
  <si>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</si>
  <si>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</si>
  <si>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</si>
  <si>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</si>
  <si>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</si>
  <si>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</si>
  <si>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</si>
  <si>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</si>
  <si>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</si>
  <si>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</si>
  <si>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</si>
  <si>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</si>
  <si>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</si>
  <si>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</si>
  <si>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</si>
  <si>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</si>
  <si>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</si>
  <si>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</si>
  <si>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</si>
  <si>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</si>
  <si>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</si>
  <si>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</si>
  <si>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</si>
  <si>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</si>
  <si>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</si>
  <si>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</si>
  <si>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</si>
  <si>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</si>
  <si>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</si>
  <si>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</si>
  <si>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</si>
  <si>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</si>
  <si>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</si>
  <si>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</si>
  <si>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</si>
  <si>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</si>
  <si>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</si>
  <si>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</si>
  <si>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</si>
  <si>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</si>
  <si>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</si>
  <si>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</si>
  <si>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</si>
  <si>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</si>
  <si>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0.20.11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</si>
  <si>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</si>
  <si>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</si>
  <si>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</si>
  <si>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</si>
  <si>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</si>
  <si>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</si>
  <si>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</si>
  <si>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</si>
  <si>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</si>
  <si>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</si>
  <si>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</si>
  <si>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</si>
  <si>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</si>
  <si>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</si>
  <si>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</si>
  <si>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</si>
  <si>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</si>
  <si>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</si>
  <si>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0.20.11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</si>
  <si>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</si>
  <si>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</si>
  <si>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</si>
  <si>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</si>
  <si>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</si>
  <si>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</si>
  <si>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</si>
  <si>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</si>
  <si>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</si>
  <si>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</si>
  <si>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</si>
  <si>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</si>
  <si>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</si>
  <si>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</si>
  <si>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</si>
  <si>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</si>
  <si>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</si>
  <si>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</si>
  <si>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</si>
  <si>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</si>
  <si>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</si>
  <si>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</si>
  <si>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</si>
  <si>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</si>
  <si>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</si>
  <si>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</si>
  <si>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</si>
  <si>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</si>
  <si>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</si>
  <si>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</si>
  <si>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</si>
  <si>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</si>
  <si>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</si>
  <si>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</si>
  <si>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</si>
  <si>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</si>
  <si>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</si>
  <si>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</si>
  <si>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</si>
  <si>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</si>
  <si>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</si>
  <si>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</si>
  <si>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</si>
  <si>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</si>
  <si>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</si>
  <si>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</si>
  <si>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</si>
  <si>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0.20.11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</si>
  <si>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</si>
  <si>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</si>
  <si>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</si>
  <si>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</si>
  <si>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</si>
  <si>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</si>
  <si>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</si>
  <si>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</si>
  <si>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</si>
  <si>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</si>
  <si>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</si>
  <si>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</si>
  <si>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</si>
  <si>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</si>
  <si>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</si>
  <si>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</si>
  <si>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</si>
  <si>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</si>
  <si>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</si>
  <si>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</si>
  <si>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</si>
  <si>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</si>
  <si>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</si>
  <si>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</si>
  <si>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</si>
  <si>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</si>
  <si>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</si>
  <si>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</si>
  <si>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</si>
  <si>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</si>
  <si>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</si>
  <si>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</si>
  <si>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</si>
  <si>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</si>
  <si>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</si>
  <si>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</si>
  <si>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</si>
  <si>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</si>
  <si>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</si>
  <si>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</si>
  <si>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</si>
  <si>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</si>
  <si>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</si>
  <si>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</si>
  <si>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</si>
  <si>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</si>
  <si>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</si>
  <si>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</si>
  <si>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</si>
  <si>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</si>
  <si>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</si>
  <si>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</si>
  <si>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</si>
  <si>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</si>
  <si>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</si>
  <si>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</si>
  <si>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</si>
  <si>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</si>
  <si>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</si>
  <si>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</si>
  <si>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</si>
  <si>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</si>
  <si>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</si>
  <si>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</si>
  <si>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</si>
  <si>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</si>
  <si>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Feed Evidence</t>
  </si>
  <si>
    <t xml:space="preserve">Assertion-level Atom ownership, direct anatomy, dynamic positions, keyboard focus, recipes, accessibility, package, Consumer, playground, visual, and manual evidence.</t>
  </si>
  <si>
    <t xml:space="preserve">FD-01</t>
  </si>
  <si>
    <t xml:space="preserve">Atom ownership</t>
  </si>
  <si>
    <t xml:space="preserve">Brick styles and forwards the released Atom Feed contract; Atom 0.20.11 owns roles, dynamic metadata, Page Up/Down movement, focus handoff, and the nearest-item reveal correction.</t>
  </si>
  <si>
    <t xml:space="preserve">../src/components/feed/Feed.tsx; @flowstack-ui/atom 0.19.8</t>
  </si>
  <si>
    <t xml:space="preserve">Released Atom package and Brick adapter audit pass.</t>
  </si>
  <si>
    <t xml:space="preserve">FD-02</t>
  </si>
  <si>
    <t xml:space="preserve">The public namespace contains exactly Root and Item, with no Brick-owned loading, list, virtualizer, selection, or item-content schema.</t>
  </si>
  <si>
    <t xml:space="preserve">../test/components/feed/feed.test.tsx; ../docs/components/feed/README.md</t>
  </si>
  <si>
    <t xml:space="preserve">Closed namespace and exclusion assertions pass.</t>
  </si>
  <si>
    <t xml:space="preserve">FD-03</t>
  </si>
  <si>
    <t xml:space="preserve">Root directly contains focusable Item article hosts without a Brick wrapper, cloned child, or invented internal content element.</t>
  </si>
  <si>
    <t xml:space="preserve">../test/components/feed/feed.test.tsx; tests/components/feed/behavior.spec.ts</t>
  </si>
  <si>
    <t xml:space="preserve">Direct-child and rendered anatomy assertions pass.</t>
  </si>
  <si>
    <t xml:space="preserve">FD-04</t>
  </si>
  <si>
    <t xml:space="preserve">Root semantics</t>
  </si>
  <si>
    <t xml:space="preserve">The native div exposes role feed, accessible naming, aria-busy only while busy, and an optional known or unknown set size without inventing live-region behavior.</t>
  </si>
  <si>
    <t xml:space="preserve">tests/components/feed/behavior.spec.ts; @flowstack-ui/atom 0.19.8 behavior suite</t>
  </si>
  <si>
    <t xml:space="preserve">Semantic and dynamic metadata assertions pass in five projects.</t>
  </si>
  <si>
    <t xml:space="preserve">FD-05</t>
  </si>
  <si>
    <t xml:space="preserve">Item semantics</t>
  </si>
  <si>
    <t xml:space="preserve">Each direct article is programmatically named, receives a one-based position and optional known set size, remains focusable, and preserves nested interactive descendants.</t>
  </si>
  <si>
    <t xml:space="preserve">Article relationships and descendant-interaction assertions pass.</t>
  </si>
  <si>
    <t xml:space="preserve">FD-06</t>
  </si>
  <si>
    <t xml:space="preserve">Dynamic positions</t>
  </si>
  <si>
    <t xml:space="preserve">Application-owned prepend, append, remove, busy, known-size, and unknown-size updates keep every surviving Item position and Root size coherent.</t>
  </si>
  <si>
    <t xml:space="preserve">tests/components/feed/behavior.spec.ts</t>
  </si>
  <si>
    <t xml:space="preserve">Mutation and metadata assertions pass in all configured projects.</t>
  </si>
  <si>
    <t xml:space="preserve">FD-07</t>
  </si>
  <si>
    <t xml:space="preserve">Page Down and Page Up move between adjacent Item articles only while an Item or its descendant is the event target.</t>
  </si>
  <si>
    <t xml:space="preserve">Forward, backward, and descendant-origin movement assertions pass.</t>
  </si>
  <si>
    <t xml:space="preserve">FD-08</t>
  </si>
  <si>
    <t xml:space="preserve">Focus boundary</t>
  </si>
  <si>
    <t xml:space="preserve">Movement beyond the first or last Item transfers focus to the nearest focusable control outside the Feed instead of trapping focus.</t>
  </si>
  <si>
    <t xml:space="preserve">Before-feed and after-feed focus handoff assertions pass.</t>
  </si>
  <si>
    <t xml:space="preserve">FD-09</t>
  </si>
  <si>
    <t xml:space="preserve">Reveal</t>
  </si>
  <si>
    <t xml:space="preserve">Keyboard movement focuses the destination Item and scrolls it into the nearest visible position inside a bounded Scroll Area.</t>
  </si>
  <si>
    <t xml:space="preserve">Offscreen destination reveal passes in Chromium, Firefox, and WebKit.</t>
  </si>
  <si>
    <t xml:space="preserve">FD-10</t>
  </si>
  <si>
    <t xml:space="preserve">Event ownership</t>
  </si>
  <si>
    <t xml:space="preserve">A consumer onKeyDown handler can prevent the Atom Page-key movement before the default focus change occurs.</t>
  </si>
  <si>
    <t xml:space="preserve">Consumer prevention assertion passes in five projects.</t>
  </si>
  <si>
    <t xml:space="preserve">FD-11</t>
  </si>
  <si>
    <t xml:space="preserve">Root and feed subpath exports expose Feed, FeedRootProps, FeedItemProps, FeedVariant, and FeedDensity with identical runtime identity.</t>
  </si>
  <si>
    <t xml:space="preserve">../test/package/package.test.mjs; ../package.json</t>
  </si>
  <si>
    <t xml:space="preserve">Root, subpath, declaration, and clean-consumer export checks pass.</t>
  </si>
  <si>
    <t xml:space="preserve">FD-12</t>
  </si>
  <si>
    <t xml:space="preserve">Atom Root and Item props, refs, render/asChild composition, native events, aria/data attributes, closed variant and density recipes, className, and style type-check.</t>
  </si>
  <si>
    <t xml:space="preserve">../test/types/components/feed.test.ts</t>
  </si>
  <si>
    <t xml:space="preserve">Positive and negative public-surface type checks pass.</t>
  </si>
  <si>
    <t xml:space="preserve">FD-13</t>
  </si>
  <si>
    <t xml:space="preserve">Feed imports server-safely and emits deterministic direct role feed and article anatomy without browser reads during render.</t>
  </si>
  <si>
    <t xml:space="preserve">SSR and clean React 18/19 consumer checks pass.</t>
  </si>
  <si>
    <t xml:space="preserve">FD-14</t>
  </si>
  <si>
    <t xml:space="preserve">Production CSS ships the documented variables, logical layout, divided separators, outline item boundaries, preference fallbacks, and no undeclared global selector.</t>
  </si>
  <si>
    <t xml:space="preserve">../src/components/feed/feed.css; ../scripts/build-styles.mjs</t>
  </si>
  <si>
    <t xml:space="preserve">Production CSS, prototype, package, and semantic documentation checks pass.</t>
  </si>
  <si>
    <t xml:space="preserve">FD-15</t>
  </si>
  <si>
    <t xml:space="preserve">Plain, divided, and outline recipes change only article separation and neutral surface treatment; each outline Item owns its rounded background and border.</t>
  </si>
  <si>
    <t xml:space="preserve">tests/components/feed/behavior.spec.ts; tests/components/feed/visual.spec.ts</t>
  </si>
  <si>
    <t xml:space="preserve">Recipe geometry and rounded containment baselines pass.</t>
  </si>
  <si>
    <t xml:space="preserve">FD-16</t>
  </si>
  <si>
    <t xml:space="preserve">Density</t>
  </si>
  <si>
    <t xml:space="preserve">Compact and comfortable recipes change only coordinated gaps and logical Item padding while preserving semantics and action geometry.</t>
  </si>
  <si>
    <t xml:space="preserve">Density comparison and baseline pass.</t>
  </si>
  <si>
    <t xml:space="preserve">FD-17</t>
  </si>
  <si>
    <t xml:space="preserve">Focus paint</t>
  </si>
  <si>
    <t xml:space="preserve">Item / descendants</t>
  </si>
  <si>
    <t xml:space="preserve">Focus-visible paint belongs only to the focused Item; focusing a nested link or button paints that descendant without adding an Item outline.</t>
  </si>
  <si>
    <t xml:space="preserve">Item and descendant focus baselines and computed-style assertions pass.</t>
  </si>
  <si>
    <t xml:space="preserve">FD-18</t>
  </si>
  <si>
    <t xml:space="preserve">Native composition</t>
  </si>
  <si>
    <t xml:space="preserve">Classes merge Brick first, public slots remain stable, and className, style, native events, aria/data attributes, children, refs, render, and asChild target the public hosts.</t>
  </si>
  <si>
    <t xml:space="preserve">Component and browser composition assertions pass.</t>
  </si>
  <si>
    <t xml:space="preserve">FD-19</t>
  </si>
  <si>
    <t xml:space="preserve">Rich content</t>
  </si>
  <si>
    <t xml:space="preserve">Item children</t>
  </si>
  <si>
    <t xml:space="preserve">Badges, headings, metadata, links, buttons, and arbitrary authored article content remain ordinary children and keep their own semantics and interaction.</t>
  </si>
  <si>
    <t xml:space="preserve">tests/components/feed/behavior.spec.ts; src/components/feed/FeedPage.tsx</t>
  </si>
  <si>
    <t xml:space="preserve">Nested-content interaction and accessibility assertions pass.</t>
  </si>
  <si>
    <t xml:space="preserve">FD-20</t>
  </si>
  <si>
    <t xml:space="preserve">Full-width and 320px-constrained streams wrap long localized headings, metadata, summaries, and actions without horizontal component overflow.</t>
  </si>
  <si>
    <t xml:space="preserve">Narrow containment passes in desktop and mobile projects.</t>
  </si>
  <si>
    <t xml:space="preserve">FD-21</t>
  </si>
  <si>
    <t xml:space="preserve">Logical padding, metadata, actions, separators, and outline radii visibly follow genuine Arabic page direction without reversing article order or introducing overflow.</t>
  </si>
  <si>
    <t xml:space="preserve">RTL direction, placement, and mobile baseline assertions pass.</t>
  </si>
  <si>
    <t xml:space="preserve">FD-22</t>
  </si>
  <si>
    <t xml:space="preserve">Appearance and preferences</t>
  </si>
  <si>
    <t xml:space="preserve">Separate light and dark scopes, forced colors, and reduced motion retain boundaries, focus visibility, readable content, and no color-only state distinction.</t>
  </si>
  <si>
    <t xml:space="preserve">Appearance and forced-color evidence passes.</t>
  </si>
  <si>
    <t xml:space="preserve">FD-23</t>
  </si>
  <si>
    <t xml:space="preserve">Documented Feed variables recolor backgrounds, borders, dividers, focus, radius, inset, and spacing while preserving rounded ownership and Atom behavior.</t>
  </si>
  <si>
    <t xml:space="preserve">../test/components/feed/feed.test.tsx; ../docs/components/feed/README.md; tests/components/feed/behavior.spec.ts</t>
  </si>
  <si>
    <t xml:space="preserve">Customization hooks and rounded-boundary assertions pass.</t>
  </si>
  <si>
    <t xml:space="preserve">FD-24</t>
  </si>
  <si>
    <t xml:space="preserve">Accessible Feed and Item names, direct article structure, dynamic positions, focus order, keyboard movement, descendant controls, forced-color focus, and focused axe checks pass.</t>
  </si>
  <si>
    <t xml:space="preserve">Semantic and axe assertions pass across the focused five-project matrix.</t>
  </si>
  <si>
    <t xml:space="preserve">FD-25</t>
  </si>
  <si>
    <t xml:space="preserve">One route exposes ten ordered, independently padded scenarios with compact badges, titles/descriptions, dynamic state, keyboard, appearance, customization, responsive, and genuine RTL evidence.</t>
  </si>
  <si>
    <t xml:space="preserve">src/components/feed/FeedPage.tsx; ../scripts/verify-component-tests.mjs</t>
  </si>
  <si>
    <t xml:space="preserve">Ownership, route, primitive, composition, and focused browser checks pass.</t>
  </si>
  <si>
    <t xml:space="preserve">FD-26</t>
  </si>
  <si>
    <t xml:space="preserve">Visual baselines</t>
  </si>
  <si>
    <t xml:space="preserve">Reviewed baselines cover defaults, variants, density, Item focus, descendant focus, busy state, appearance, customization, mobile RTL, and forced colors.</t>
  </si>
  <si>
    <t xml:space="preserve">tests/components/feed/visual.spec.ts; tests/components/feed/visual.spec.ts-snapshots</t>
  </si>
  <si>
    <t xml:space="preserve">Agent inspected all ten Feed-owned Chromium baselines on July 29, 2026.</t>
  </si>
  <si>
    <t xml:space="preserve">FD-27</t>
  </si>
  <si>
    <t xml:space="preserve">Public guide / changelog</t>
  </si>
  <si>
    <t xml:space="preserve">The guide documents role, exclusions, anatomy, API, dynamic metadata, keyboard/focus, constraints, recipes, accessibility, customization, refs, examples, and evidence; changelogs record the addition.</t>
  </si>
  <si>
    <t xml:space="preserve">../docs/components/feed/README.md; ../docs/components/feed/CHANGELOG.md; ../CHANGELOG.md</t>
  </si>
  <si>
    <t xml:space="preserve">Structural, semantic, index, and changelog verification passes.</t>
  </si>
  <si>
    <t xml:space="preserve">FD-28</t>
  </si>
  <si>
    <t xml:space="preserve">The packed Consumer imports Feed from its public subpath and composes a realistic application-owned activity stream with local item actions and append behavior.</t>
  </si>
  <si>
    <t xml:space="preserve">Desktop/mobile Consumer suite and packed artifact verification pass.</t>
  </si>
  <si>
    <t xml:space="preserve">FD-29</t>
  </si>
  <si>
    <t xml:space="preserve">A tester completes the numbered desktop/mobile, keyboard, scroll reveal, focus handoff, nested-action, dynamic-update, zoom, appearance, preferences, RTL, and assistive-technology protocol.</t>
  </si>
  <si>
    <t xml:space="preserve">human</t>
  </si>
  <si>
    <t xml:space="preserve">manual-tests/feed.md</t>
  </si>
  <si>
    <t xml:space="preserve">Human manual run intentionally remains the sole component gate.</t>
  </si>
  <si>
    <t xml:space="preserve">FD-30</t>
  </si>
  <si>
    <t xml:space="preserve">Build, declarations, exports, SSR, CSS, docs, tarball, exact Atom 0.20.11, clean React 18/19 consumers, focused five-project browsers, reviewed visuals, and packed Consumer pass.</t>
  </si>
  <si>
    <t xml:space="preserve">../scripts/verify-package.mjs; ../scripts/verify-consumers.mjs; ../scripts/verify-app-consumer.mjs</t>
  </si>
  <si>
    <t xml:space="preserve">Complete non-browser gate, 905-file pack check, 20 focused browser tests, 10 visual baselines, 90 Consumer tests, and packed verification pass.</t>
  </si>
  <si>
    <t xml:space="preserve">FD-31</t>
  </si>
  <si>
    <t xml:space="preserve">Fetching, loading triggers, infinite-scroll observation, virtualization, ranking, filtering, selection, unread state, timestamps, moderation, persistence, and whole-row links remain application-owned.</t>
  </si>
  <si>
    <t xml:space="preserve">../docs/components/feed/README.md</t>
  </si>
  <si>
    <t xml:space="preserve">Public boundary and exclusions are documented and verified.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</si>
  <si>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</si>
  <si>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</si>
  <si>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</si>
  <si>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0.20.11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</si>
  <si>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</si>
  <si>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</si>
  <si>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</si>
  <si>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</si>
  <si>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</si>
  <si>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</si>
  <si>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</si>
  <si>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</si>
  <si>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</si>
  <si>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</si>
  <si>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</si>
  <si>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</si>
  <si>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</si>
  <si>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</si>
  <si>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</si>
  <si>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</si>
  <si>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</si>
  <si>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</si>
  <si>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</si>
  <si>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</si>
  <si>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</si>
  <si>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</si>
  <si>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</si>
  <si>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</si>
  <si>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</si>
  <si>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</si>
  <si>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</si>
  <si>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</si>
  <si>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</si>
  <si>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</si>
  <si>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</si>
  <si>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</si>
  <si>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</si>
  <si>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</si>
  <si>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</si>
  <si>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</si>
  <si>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</si>
  <si>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</si>
  <si>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</si>
  <si>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</si>
  <si>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</si>
  <si>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</si>
  <si>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</si>
  <si>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</si>
  <si>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</si>
  <si>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</si>
  <si>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</si>
  <si>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</si>
  <si>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</si>
  <si>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</si>
  <si>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</si>
  <si>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</si>
  <si>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</si>
  <si>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</si>
  <si>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</si>
  <si>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</si>
  <si>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</si>
  <si>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</si>
  <si>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</si>
  <si>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</si>
  <si>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</si>
  <si>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</si>
  <si>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</si>
  <si>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</si>
  <si>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</si>
  <si>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</si>
  <si>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</si>
  <si>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</si>
  <si>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</si>
  <si>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</si>
  <si>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</si>
  <si>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</si>
  <si>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</si>
  <si>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</si>
  <si>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</si>
  <si>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</si>
  <si>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0.20.11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</si>
  <si>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</si>
  <si>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</si>
  <si>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</si>
  <si>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</si>
  <si>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</si>
  <si>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</si>
  <si>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</si>
  <si>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</si>
  <si>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</si>
  <si>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</si>
  <si>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</si>
  <si>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</si>
  <si>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</si>
  <si>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</si>
  <si>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</si>
  <si>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</si>
  <si>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</si>
  <si>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</si>
  <si>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</si>
  <si>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</si>
  <si>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</si>
  <si>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</si>
  <si>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</si>
  <si>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</si>
  <si>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</si>
  <si>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</si>
  <si>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</si>
  <si>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</si>
  <si>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</si>
  <si>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</si>
  <si>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</si>
  <si>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</si>
  <si>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</si>
  <si>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</si>
  <si>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</si>
  <si>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</si>
  <si>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</si>
  <si>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</si>
  <si>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</si>
  <si>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</si>
  <si>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</si>
  <si>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</si>
  <si>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</si>
  <si>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</si>
  <si>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</si>
  <si>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</si>
  <si>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</si>
  <si>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</si>
  <si>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</si>
  <si>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</si>
  <si>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</si>
  <si>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</si>
  <si>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</si>
  <si>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</si>
  <si>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</si>
  <si>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</si>
  <si>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</si>
  <si>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</si>
  <si>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</si>
  <si>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</si>
  <si>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</si>
  <si>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</si>
  <si>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</si>
  <si>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</si>
  <si>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</si>
  <si>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</si>
  <si>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</si>
  <si>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</si>
  <si>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</si>
  <si>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</si>
  <si>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</si>
  <si>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0.20.11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</si>
  <si>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</si>
  <si>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</si>
  <si>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</si>
  <si>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</si>
  <si>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</si>
  <si>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</si>
  <si>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</si>
  <si>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</si>
  <si>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</si>
  <si>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</si>
  <si>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</si>
  <si>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</si>
  <si>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</si>
  <si>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</si>
  <si>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</si>
  <si>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</si>
  <si>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</si>
  <si>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</si>
  <si>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</si>
  <si>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</si>
  <si>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</si>
  <si>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</si>
  <si>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</si>
  <si>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</si>
  <si>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</si>
  <si>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</si>
  <si>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</si>
  <si>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</si>
  <si>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</si>
  <si>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</si>
  <si>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</si>
  <si>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</si>
  <si>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</si>
  <si>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</si>
  <si>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</si>
  <si>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</si>
  <si>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</si>
  <si>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</si>
  <si>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</si>
  <si>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</si>
  <si>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</si>
  <si>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</si>
  <si>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</si>
  <si>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</si>
  <si>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</si>
  <si>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</si>
  <si>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</si>
  <si>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</si>
  <si>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</si>
  <si>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</si>
  <si>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</si>
  <si>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</si>
  <si>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</si>
  <si>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</si>
  <si>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</si>
  <si>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</si>
  <si>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</si>
  <si>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</si>
  <si>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</si>
  <si>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</si>
  <si>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</si>
  <si>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</si>
  <si>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</si>
  <si>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</si>
  <si>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</si>
  <si>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</si>
  <si>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</si>
  <si>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</si>
  <si>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</si>
  <si>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</si>
  <si>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</si>
  <si>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</si>
  <si>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</si>
  <si>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</si>
  <si>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</si>
  <si>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</si>
  <si>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</si>
  <si>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</si>
  <si>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</si>
  <si>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</si>
  <si>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</si>
  <si>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</si>
  <si>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</si>
  <si>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</si>
  <si>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</si>
  <si>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</si>
  <si>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</si>
  <si>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</si>
  <si>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</si>
  <si>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</si>
  <si>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</si>
  <si>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</si>
  <si>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</si>
  <si>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0.20.11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</si>
  <si>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</si>
  <si>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</si>
  <si>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</si>
  <si>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</si>
  <si>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</si>
  <si>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</si>
  <si>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</si>
  <si>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</si>
  <si>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</si>
  <si>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</si>
  <si>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</si>
  <si>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</si>
  <si>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</si>
  <si>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</si>
  <si>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</si>
  <si>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</si>
  <si>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</si>
  <si>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</si>
  <si>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</si>
  <si>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</si>
  <si>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</si>
  <si>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</si>
  <si>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</si>
  <si>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</si>
  <si>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</si>
  <si>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</si>
  <si>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</si>
  <si>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0.20.11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</si>
  <si>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</si>
  <si>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</si>
  <si>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</si>
  <si>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</si>
  <si>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</si>
  <si>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</si>
  <si>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</si>
  <si>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</si>
  <si>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</si>
  <si>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</si>
  <si>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</si>
  <si>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</si>
  <si>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</si>
  <si>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</si>
  <si>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</si>
  <si>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0.20.11.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</si>
  <si>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</si>
  <si>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</si>
  <si>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</si>
  <si>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</si>
  <si>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</si>
  <si>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</si>
  <si>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</si>
  <si>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</si>
  <si>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0.20.11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</si>
  <si>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</si>
  <si>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</si>
  <si>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</si>
  <si>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</si>
  <si>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</si>
  <si>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</si>
  <si>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</si>
  <si>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</si>
  <si>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</si>
  <si>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</si>
  <si>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</si>
  <si>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</si>
  <si>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</si>
  <si>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</si>
  <si>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</si>
  <si>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</si>
  <si>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</si>
  <si>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</si>
  <si>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</si>
  <si>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</si>
  <si>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</si>
  <si>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</si>
  <si>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</si>
  <si>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</si>
  <si>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</si>
  <si>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</si>
  <si>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</si>
  <si>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</si>
  <si>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</si>
  <si>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</si>
  <si>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</si>
  <si>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</si>
  <si>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</si>
  <si>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</si>
  <si>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</si>
  <si>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</si>
  <si>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</si>
  <si>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</si>
  <si>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</si>
  <si>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</si>
  <si>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</si>
  <si>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</si>
  <si>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</si>
  <si>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</si>
  <si>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</si>
  <si>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</si>
  <si>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</si>
  <si>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</si>
  <si>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</si>
  <si>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</si>
  <si>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</si>
  <si>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0.20.11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</si>
  <si>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</si>
  <si>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</si>
  <si>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</si>
  <si>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</si>
  <si>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</si>
  <si>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</si>
  <si>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</si>
  <si>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</si>
  <si>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</si>
  <si>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</si>
  <si>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</si>
  <si>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</si>
  <si>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</si>
  <si>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</si>
  <si>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</si>
  <si>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</si>
  <si>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</si>
  <si>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</si>
  <si>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</si>
  <si>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</si>
  <si>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</si>
  <si>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</si>
  <si>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</si>
  <si>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</si>
  <si>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</si>
  <si>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</si>
  <si>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</si>
  <si>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</si>
  <si>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</si>
  <si>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</si>
  <si>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</si>
  <si>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</si>
  <si>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</si>
  <si>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Group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</si>
  <si>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</si>
  <si>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</si>
  <si>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</si>
  <si>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</si>
  <si>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</si>
  <si>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</si>
  <si>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</si>
  <si>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</si>
  <si>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</si>
  <si>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</si>
  <si>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</si>
  <si>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</si>
  <si>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</si>
  <si>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</si>
  <si>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</si>
  <si>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</si>
  <si>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</si>
  <si>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0.20.11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</si>
  <si>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</si>
  <si>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</si>
  <si>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</si>
  <si>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</si>
  <si>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</si>
  <si>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</si>
  <si>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</si>
  <si>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</si>
  <si>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</si>
  <si>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</si>
  <si>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</si>
  <si>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</si>
  <si>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</si>
  <si>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</si>
  <si>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</si>
  <si>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</si>
  <si>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</si>
  <si>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</si>
  <si>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</si>
  <si>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</si>
  <si>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</si>
  <si>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</si>
  <si>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</si>
  <si>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</si>
  <si>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</si>
  <si>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</si>
  <si>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</si>
  <si>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</si>
  <si>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</si>
  <si>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</si>
  <si>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</si>
  <si>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</si>
  <si>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</si>
  <si>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</si>
  <si>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</si>
  <si>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</si>
  <si>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</si>
  <si>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</si>
  <si>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</si>
  <si>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</si>
  <si>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</si>
  <si>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</si>
  <si>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</si>
  <si>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</si>
  <si>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</si>
  <si>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</si>
  <si>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</si>
  <si>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</si>
  <si>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</si>
  <si>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0.20.11.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</si>
  <si>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</si>
  <si>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</si>
  <si>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</si>
  <si>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</si>
  <si>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</si>
  <si>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</si>
  <si>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</si>
  <si>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</si>
  <si>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</si>
  <si>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</si>
  <si>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</si>
  <si>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</si>
  <si>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</si>
  <si>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</si>
  <si>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</si>
  <si>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</si>
  <si>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</si>
  <si>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</si>
  <si>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</si>
  <si>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</si>
  <si>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</si>
  <si>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</si>
  <si>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</si>
  <si>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</si>
  <si>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</si>
  <si>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</si>
  <si>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0.20.11.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</si>
  <si>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</si>
  <si>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</si>
  <si>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</si>
  <si>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</si>
  <si>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</si>
  <si>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</si>
  <si>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</si>
  <si>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</si>
  <si>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</si>
  <si>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</si>
  <si>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</si>
  <si>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</si>
  <si>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</si>
  <si>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</si>
  <si>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</si>
  <si>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</si>
  <si>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</si>
  <si>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</si>
  <si>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</si>
  <si>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</si>
  <si>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</si>
  <si>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</si>
  <si>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</si>
  <si>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</si>
  <si>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</si>
  <si>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</si>
  <si>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</si>
  <si>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</si>
  <si>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</si>
  <si>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</si>
  <si>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</si>
  <si>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</si>
  <si>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</si>
  <si>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</si>
  <si>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</si>
  <si>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</si>
  <si>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0.20.11.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</si>
  <si>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</si>
  <si>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</si>
  <si>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</si>
  <si>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</si>
  <si>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</si>
  <si>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</si>
  <si>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</si>
  <si>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</si>
  <si>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</si>
  <si>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</si>
  <si>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</si>
  <si>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</si>
  <si>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</si>
  <si>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</si>
  <si>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</si>
  <si>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</si>
  <si>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</si>
  <si>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</si>
  <si>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</si>
  <si>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</si>
  <si>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</si>
  <si>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</si>
  <si>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0.20.11,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</si>
  <si>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</si>
  <si>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</si>
  <si>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</si>
  <si>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</si>
  <si>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</si>
  <si>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</si>
  <si>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</si>
  <si>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</si>
  <si>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</si>
  <si>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</si>
  <si>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</si>
  <si>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</si>
  <si>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</si>
  <si>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</si>
  <si>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</si>
  <si>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</si>
  <si>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</si>
  <si>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</si>
  <si>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</si>
  <si>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</si>
  <si>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</si>
  <si>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</si>
  <si>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</si>
  <si>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</si>
  <si>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</si>
  <si>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</si>
  <si>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</si>
  <si>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</si>
  <si>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0.20.11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</si>
  <si>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</si>
  <si>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0.20.11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</si>
  <si>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</si>
  <si>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</si>
  <si>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</si>
  <si>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</si>
  <si>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</si>
  <si>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</si>
  <si>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</si>
  <si>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</si>
  <si>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</si>
  <si>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</si>
  <si>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</si>
  <si>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</si>
  <si>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</si>
  <si>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</si>
  <si>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</si>
  <si>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</si>
  <si>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</si>
  <si>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</si>
  <si>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</si>
  <si>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</si>
  <si>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</si>
  <si>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</si>
  <si>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</si>
  <si>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</si>
  <si>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</si>
  <si>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</si>
  <si>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</si>
  <si>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</si>
  <si>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</si>
  <si>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</si>
  <si>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</si>
  <si>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</si>
  <si>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</si>
  <si>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</si>
  <si>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</si>
  <si>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</si>
  <si>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</si>
  <si>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</si>
  <si>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</si>
  <si>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</si>
  <si>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</si>
  <si>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</si>
  <si>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</si>
  <si>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</si>
  <si>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</si>
  <si>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</si>
  <si>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</si>
  <si>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</si>
  <si>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</si>
  <si>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</si>
  <si>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</si>
  <si>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</si>
  <si>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</si>
  <si>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</si>
  <si>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</si>
  <si>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</si>
  <si>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</si>
  <si>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</si>
  <si>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</si>
  <si>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</si>
  <si>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</si>
  <si>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</si>
  <si>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</si>
  <si>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</si>
  <si>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</si>
  <si>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</si>
  <si>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</si>
  <si>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</si>
  <si>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</si>
  <si>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</si>
  <si>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</si>
  <si>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</si>
  <si>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</si>
  <si>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</si>
  <si>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</si>
  <si>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</si>
  <si>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</si>
  <si>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</si>
  <si>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</si>
  <si>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</si>
  <si>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</si>
  <si>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</si>
  <si>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</si>
  <si>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</si>
  <si>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</si>
  <si>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</si>
  <si>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</si>
  <si>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</si>
  <si>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</si>
  <si>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</si>
  <si>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</si>
  <si>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</si>
  <si>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</si>
  <si>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</si>
  <si>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</si>
  <si>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</si>
  <si>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</si>
  <si>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</si>
  <si>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</si>
  <si>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</si>
  <si>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</si>
  <si>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</si>
  <si>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</si>
  <si>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</si>
  <si>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</si>
  <si>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</si>
  <si>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0.20.11,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</si>
  <si>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</si>
  <si>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</si>
  <si>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</si>
  <si>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</si>
  <si>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</si>
  <si>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</si>
  <si>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0.20.11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</si>
  <si>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</si>
  <si>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</si>
  <si>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</si>
  <si>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</si>
  <si>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</si>
  <si>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</si>
  <si>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</si>
  <si>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</si>
  <si>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</si>
  <si>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</si>
  <si>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</si>
  <si>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</si>
  <si>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</si>
  <si>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</si>
  <si>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</si>
  <si>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</si>
  <si>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</si>
  <si>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</si>
  <si>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</si>
  <si>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</si>
  <si>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</si>
  <si>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</si>
  <si>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</si>
  <si>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</si>
  <si>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</si>
  <si>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</si>
  <si>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</si>
  <si>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</si>
  <si>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</si>
  <si>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</si>
  <si>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</si>
  <si>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</si>
  <si>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</si>
  <si>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</si>
  <si>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</si>
  <si>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</si>
  <si>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</si>
  <si>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</si>
  <si>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</si>
  <si>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</si>
  <si>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</si>
  <si>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</si>
  <si>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</si>
  <si>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</si>
  <si>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</si>
  <si>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</si>
  <si>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</si>
  <si>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</si>
  <si>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</si>
  <si>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</si>
  <si>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</si>
  <si>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</si>
  <si>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</si>
  <si>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</si>
  <si>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</si>
  <si>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</si>
  <si>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</si>
  <si>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</si>
  <si>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Complete check, SSR, tarball, React 18/19, packed Consumer, and five-project component behavior pass; canonical full-matrix visual rendering remains a PR CI gate.</t>
  </si>
  <si>
    <t xml:space="preserve">Show Evidence</t>
  </si>
  <si>
    <t xml:space="preserve">Assertion-level CSS-only responsive visibility, composition, accessibility, package, Consumer, playground, visual, and manual evidence.</t>
  </si>
  <si>
    <t xml:space="preserve">SH-01</t>
  </si>
  <si>
    <t xml:space="preserve">Show is a Brick-owned CSS layout utility; research found no Atom primitive or behavior patch is required.</t>
  </si>
  <si>
    <t xml:space="preserve">../src/components/show/Show.tsx; ../src/components/_responsive-visibility/ResponsiveVisibility.tsx</t>
  </si>
  <si>
    <t xml:space="preserve">Source audit confirms the deliberate no-Atom boundary.</t>
  </si>
  <si>
    <t xml:space="preserve">SH-02</t>
  </si>
  <si>
    <t xml:space="preserve">One always-mounted native host receives the brick-show class, data-from threshold, data-slot hook, children, and forwarded ref.</t>
  </si>
  <si>
    <t xml:space="preserve">../test/components/show/show.test.tsx</t>
  </si>
  <si>
    <t xml:space="preserve">Focused component anatomy assertions pass.</t>
  </si>
  <si>
    <t xml:space="preserve">SH-03</t>
  </si>
  <si>
    <t xml:space="preserve">Root and show subpath exports expose Show, ShowProps, ShowElement, and ShowBreakpoint with identical runtime identity.</t>
  </si>
  <si>
    <t xml:space="preserve">Package export and clean-consumer identity checks pass.</t>
  </si>
  <si>
    <t xml:space="preserve">SH-04</t>
  </si>
  <si>
    <t xml:space="preserve">Required from threshold, closed hosts and breakpoints, native props, style, slot, children, and HTMLElement refs type-check while hidden is excluded.</t>
  </si>
  <si>
    <t xml:space="preserve">../test/types/components/show.test.ts</t>
  </si>
  <si>
    <t xml:space="preserve">Focused and repository-wide type checks pass.</t>
  </si>
  <si>
    <t xml:space="preserve">SH-05</t>
  </si>
  <si>
    <t xml:space="preserve">Show imports server-safely and emits deterministic always-mounted markup without reading viewport state during render.</t>
  </si>
  <si>
    <t xml:space="preserve">React server rendering and clean React 18/19 consumers pass.</t>
  </si>
  <si>
    <t xml:space="preserve">SH-06</t>
  </si>
  <si>
    <t xml:space="preserve">Static CSS ships sm 30rem, md 48rem, lg 64rem, and xl 80rem media boundaries and hides only brick-show with display none important.</t>
  </si>
  <si>
    <t xml:space="preserve">../src/components/show/show.css; ../scripts/prototype-css.mjs</t>
  </si>
  <si>
    <t xml:space="preserve">Production CSS and packaged CSS assertions pass.</t>
  </si>
  <si>
    <t xml:space="preserve">SH-07</t>
  </si>
  <si>
    <t xml:space="preserve">Breakpoint edges</t>
  </si>
  <si>
    <t xml:space="preserve">At 767px and 768px the md boundary changes exactly once and Show has no overlap or gap.</t>
  </si>
  <si>
    <t xml:space="preserve">tests/components/show/behavior.spec.ts</t>
  </si>
  <si>
    <t xml:space="preserve">All five configured browser/device projects pass.</t>
  </si>
  <si>
    <t xml:space="preserve">SH-08</t>
  </si>
  <si>
    <t xml:space="preserve">Display preservation</t>
  </si>
  <si>
    <t xml:space="preserve">Visible block, inline, flex, and grid hosts retain their authored computed display instead of receiving an invented visible display value.</t>
  </si>
  <si>
    <t xml:space="preserve">Computed-display assertions pass.</t>
  </si>
  <si>
    <t xml:space="preserve">SH-09</t>
  </si>
  <si>
    <t xml:space="preserve">Mounted state</t>
  </si>
  <si>
    <t xml:space="preserve">Responsive hiding never unmounts children, so authored local state survives a transition from shown to visible.</t>
  </si>
  <si>
    <t xml:space="preserve">Resize and retained-state assertions pass.</t>
  </si>
  <si>
    <t xml:space="preserve">SH-10</t>
  </si>
  <si>
    <t xml:space="preserve">Accessibility tree</t>
  </si>
  <si>
    <t xml:space="preserve">Controls inside a display-none branch are absent from the accessibility tree and return when their branch becomes visible.</t>
  </si>
  <si>
    <t xml:space="preserve">Role visibility and focused axe assertions pass.</t>
  </si>
  <si>
    <t xml:space="preserve">SH-11</t>
  </si>
  <si>
    <t xml:space="preserve">Show / Hide</t>
  </si>
  <si>
    <t xml:space="preserve">Show and Hide remain independent exact complements and compose without a public Visibility mode namespace.</t>
  </si>
  <si>
    <t xml:space="preserve">Complementary boundary assertions pass.</t>
  </si>
  <si>
    <t xml:space="preserve">SH-12</t>
  </si>
  <si>
    <t xml:space="preserve">Semantic hosts</t>
  </si>
  <si>
    <t xml:space="preserve">Closed div, span, section, article, navigation, landmark, and list hosts preserve authored semantics without adding roles or names.</t>
  </si>
  <si>
    <t xml:space="preserve">Semantic host and no-invented-ARIA assertions pass.</t>
  </si>
  <si>
    <t xml:space="preserve">SH-13</t>
  </si>
  <si>
    <t xml:space="preserve">Class, style, slot, data attributes, events, aria attributes, children, and forwarded HTMLElement refs target the single public host.</t>
  </si>
  <si>
    <t xml:space="preserve">../test/components/show/show.test.tsx; tests/components/show/behavior.spec.ts</t>
  </si>
  <si>
    <t xml:space="preserve">Component and browser ref/prop evidence passes.</t>
  </si>
  <si>
    <t xml:space="preserve">SH-14</t>
  </si>
  <si>
    <t xml:space="preserve">Viewport thresholds remain physical while long localized content, authored direction, and RTL text stay intact and contained.</t>
  </si>
  <si>
    <t xml:space="preserve">tests/components/show/behavior.spec.ts; tests/components/show/visual.spec.ts</t>
  </si>
  <si>
    <t xml:space="preserve">Cross-browser resize and reviewed localized baselines pass.</t>
  </si>
  <si>
    <t xml:space="preserve">SH-15</t>
  </si>
  <si>
    <t xml:space="preserve">The utility adds no semantic state, preserves authored child semantics and focus behavior, and its route has no automatically detectable violations.</t>
  </si>
  <si>
    <t xml:space="preserve">Focused axe coverage passes in the configured matrix.</t>
  </si>
  <si>
    <t xml:space="preserve">SH-16</t>
  </si>
  <si>
    <t xml:space="preserve">One navigable route exposes eight separated scenarios for defaults, breakpoints, edges, display, hosts, composition, mounted state, and stress.</t>
  </si>
  <si>
    <t xml:space="preserve">src/components/show/ShowPage.tsx; src/components/_visibility/VisibilityEvidencePage.tsx</t>
  </si>
  <si>
    <t xml:space="preserve">Playground build, route ownership, and composition audits pass.</t>
  </si>
  <si>
    <t xml:space="preserve">SH-17</t>
  </si>
  <si>
    <t xml:space="preserve">Reviewed baselines cover compact overview badges, breakpoint cards, visible and hidden branches, mobile containment, localization, and RTL.</t>
  </si>
  <si>
    <t xml:space="preserve">tests/components/show/visual.spec.ts</t>
  </si>
  <si>
    <t xml:space="preserve">Agent inspected all three component-owned Chromium baselines on 2026-07-29.</t>
  </si>
  <si>
    <t xml:space="preserve">SH-18</t>
  </si>
  <si>
    <t xml:space="preserve">Guide documents role, independent-component rationale, breakpoints, always-mounted behavior, accessibility, composition, CSS hooks, examples, and exclusions.</t>
  </si>
  <si>
    <t xml:space="preserve">../docs/components/show/README.md</t>
  </si>
  <si>
    <t xml:space="preserve">Structural and source-backed semantic documentation contracts pass.</t>
  </si>
  <si>
    <t xml:space="preserve">SH-19</t>
  </si>
  <si>
    <t xml:space="preserve">Show owns a component changelog and the package changelog records both responsive visibility additions.</t>
  </si>
  <si>
    <t xml:space="preserve">../docs/components/show/CHANGELOG.md; ../CHANGELOG.md</t>
  </si>
  <si>
    <t xml:space="preserve">SH-20</t>
  </si>
  <si>
    <t xml:space="preserve">The packed Consumer imports Show from its public subpath and composes realistic wide/compact workspace guidance.</t>
  </si>
  <si>
    <t xml:space="preserve">../apps/consumer/src/App.tsx; ../scripts/verify-consumers.mjs</t>
  </si>
  <si>
    <t xml:space="preserve">Consumer build plus fresh React 18/19 package installs pass.</t>
  </si>
  <si>
    <t xml:space="preserve">SH-21</t>
  </si>
  <si>
    <t xml:space="preserve">A tester completes the numbered resize, display, semantics, keyboard, zoom, RTL, localization, preference, and no-JavaScript protocol.</t>
  </si>
  <si>
    <t xml:space="preserve">manual-tests/show.md</t>
  </si>
  <si>
    <t xml:space="preserve">Human run intentionally left as the sole component gate.</t>
  </si>
  <si>
    <t xml:space="preserve">SH-22</t>
  </si>
  <si>
    <t xml:space="preserve">Build, declarations, exports, SSR, CSS, docs, ownership, tarball, React 18/19, Consumer, and focused five-project browser verification pass.</t>
  </si>
  <si>
    <t xml:space="preserve">Complete non-browser gate and focused 20-test browser/device matrix pass; unrelated legacy full-suite visual drift remains outside this component.</t>
  </si>
  <si>
    <t xml:space="preserve">Hide Evidence</t>
  </si>
  <si>
    <t xml:space="preserve">HD-01</t>
  </si>
  <si>
    <t xml:space="preserve">Hide is a Brick-owned CSS layout utility; research found no Atom primitive or behavior patch is required.</t>
  </si>
  <si>
    <t xml:space="preserve">../src/components/hide/Hide.tsx; ../src/components/_responsive-visibility/ResponsiveVisibility.tsx</t>
  </si>
  <si>
    <t xml:space="preserve">HD-02</t>
  </si>
  <si>
    <t xml:space="preserve">One always-mounted native host receives the brick-hide class, data-from threshold, data-slot hook, children, and forwarded ref.</t>
  </si>
  <si>
    <t xml:space="preserve">../test/components/hide/hide.test.tsx</t>
  </si>
  <si>
    <t xml:space="preserve">HD-03</t>
  </si>
  <si>
    <t xml:space="preserve">Root and hide subpath exports expose Hide, HideProps, HideElement, and HideBreakpoint with identical runtime identity.</t>
  </si>
  <si>
    <t xml:space="preserve">HD-04</t>
  </si>
  <si>
    <t xml:space="preserve">../test/types/components/hide.test.ts</t>
  </si>
  <si>
    <t xml:space="preserve">HD-05</t>
  </si>
  <si>
    <t xml:space="preserve">Hide imports server-safely and emits deterministic always-mounted markup without reading viewport state during render.</t>
  </si>
  <si>
    <t xml:space="preserve">HD-06</t>
  </si>
  <si>
    <t xml:space="preserve">Static CSS ships sm 30rem, md 48rem, lg 64rem, and xl 80rem media boundaries and hides only brick-hide with display none important.</t>
  </si>
  <si>
    <t xml:space="preserve">../src/components/hide/hide.css; ../scripts/prototype-css.mjs</t>
  </si>
  <si>
    <t xml:space="preserve">HD-07</t>
  </si>
  <si>
    <t xml:space="preserve">At 767px and 768px the md boundary changes exactly once and Hide has no overlap or gap.</t>
  </si>
  <si>
    <t xml:space="preserve">tests/components/hide/behavior.spec.ts</t>
  </si>
  <si>
    <t xml:space="preserve">HD-08</t>
  </si>
  <si>
    <t xml:space="preserve">HD-09</t>
  </si>
  <si>
    <t xml:space="preserve">Responsive hiding never unmounts children, so authored local state survives a transition from hidden to visible.</t>
  </si>
  <si>
    <t xml:space="preserve">HD-10</t>
  </si>
  <si>
    <t xml:space="preserve">HD-11</t>
  </si>
  <si>
    <t xml:space="preserve">Hide / Show</t>
  </si>
  <si>
    <t xml:space="preserve">Hide and Show remain independent exact complements and compose without a public Visibility mode namespace.</t>
  </si>
  <si>
    <t xml:space="preserve">HD-12</t>
  </si>
  <si>
    <t xml:space="preserve">HD-13</t>
  </si>
  <si>
    <t xml:space="preserve">../test/components/hide/hide.test.tsx; tests/components/hide/behavior.spec.ts</t>
  </si>
  <si>
    <t xml:space="preserve">HD-14</t>
  </si>
  <si>
    <t xml:space="preserve">tests/components/hide/behavior.spec.ts; tests/components/hide/visual.spec.ts</t>
  </si>
  <si>
    <t xml:space="preserve">HD-15</t>
  </si>
  <si>
    <t xml:space="preserve">HD-16</t>
  </si>
  <si>
    <t xml:space="preserve">src/components/hide/HidePage.tsx; src/components/_visibility/VisibilityEvidencePage.tsx</t>
  </si>
  <si>
    <t xml:space="preserve">HD-17</t>
  </si>
  <si>
    <t xml:space="preserve">tests/components/hide/visual.spec.ts</t>
  </si>
  <si>
    <t xml:space="preserve">HD-18</t>
  </si>
  <si>
    <t xml:space="preserve">../docs/components/hide/README.md</t>
  </si>
  <si>
    <t xml:space="preserve">HD-19</t>
  </si>
  <si>
    <t xml:space="preserve">Hide owns a component changelog and the package changelog records both responsive visibility additions.</t>
  </si>
  <si>
    <t xml:space="preserve">../docs/components/hide/CHANGELOG.md; ../CHANGELOG.md</t>
  </si>
  <si>
    <t xml:space="preserve">HD-20</t>
  </si>
  <si>
    <t xml:space="preserve">The packed Consumer imports Hide from its public subpath and composes realistic wide/compact workspace guidance.</t>
  </si>
  <si>
    <t xml:space="preserve">HD-21</t>
  </si>
  <si>
    <t xml:space="preserve">manual-tests/hide.md</t>
  </si>
  <si>
    <t xml:space="preserve">HD-22</t>
  </si>
  <si>
    <t xml:space="preserve">Swipeable Item Evidence</t>
  </si>
  <si>
    <t xml:space="preserve">Assertion-level Atom ownership, gesture and keyboard behavior, three-part anatomy, logical actions, accessibility, package, Consumer, playground, visual, and manual evidence.</t>
  </si>
  <si>
    <t xml:space="preserve">Root / Content / Actions</t>
  </si>
  <si>
    <t xml:space="preserve">Brick styles and forwards the released Atom Swipeable Item contract; Atom 0.20.11 owns open-side state, measured offsets, pointer intent, keyboard reveal, cancellation, direction, and inert closed actions.</t>
  </si>
  <si>
    <t xml:space="preserve">../src/components/swipeable-item/SwipeableItem.tsx; @flowstack-ui/atom 0.19.9</t>
  </si>
  <si>
    <t xml:space="preserve">Namespace</t>
  </si>
  <si>
    <t xml:space="preserve">The public namespace contains exactly Root, Content, and Actions; Brick exposes only the plain and outline recipes and deliberately excludes full-swipe command execution.</t>
  </si>
  <si>
    <t xml:space="preserve">../test/components/swipeable-item/swipeable-item.test.tsx; ../test/types/components/swipeable-item.test.ts</t>
  </si>
  <si>
    <t xml:space="preserve">Closed namespace and negative type assertions pass.</t>
  </si>
  <si>
    <t xml:space="preserve">Root owns the boundary, Content is the moving foreground, and each labeled Actions group remains a direct logical-side child without a Brick-owned row-content schema.</t>
  </si>
  <si>
    <t xml:space="preserve">../test/components/swipeable-item/swipeable-item.test.tsx; tests/components/swipeable-item/behavior.spec.ts</t>
  </si>
  <si>
    <t xml:space="preserve">Three-part slots and rendered anatomy assertions pass.</t>
  </si>
  <si>
    <t xml:space="preserve">Controlled and uncontrolled openSide state reveal start, end, or closed without Brick duplicating Atom gesture math.</t>
  </si>
  <si>
    <t xml:space="preserve">tests/components/swipeable-item/behavior.spec.ts</t>
  </si>
  <si>
    <t xml:space="preserve">Default, controlled, and closure assertions pass.</t>
  </si>
  <si>
    <t xml:space="preserve">Moving surface</t>
  </si>
  <si>
    <t xml:space="preserve">Content consumes Atom's measured offset, remains opaque above Actions, preserves vertical pan-y scrolling, and settles only after Atom state changes.</t>
  </si>
  <si>
    <t xml:space="preserve">tests/components/swipeable-item/behavior.spec.ts; ../src/components/swipeable-item/swipeable-item.css</t>
  </si>
  <si>
    <t xml:space="preserve">Computed style, gesture, and visual assertions pass.</t>
  </si>
  <si>
    <t xml:space="preserve">Action semantics</t>
  </si>
  <si>
    <t xml:space="preserve">Every Actions group requires a localized aria-label, becomes available only for its open side, contains native authored controls, and closes after command selection.</t>
  </si>
  <si>
    <t xml:space="preserve">tests/components/swipeable-item/behavior.spec.ts; ../test/types/components/swipeable-item.test.ts</t>
  </si>
  <si>
    <t xml:space="preserve">Label, availability, and action-close assertions pass.</t>
  </si>
  <si>
    <t xml:space="preserve">Vertical pan</t>
  </si>
  <si>
    <t xml:space="preserve">A mostly vertical touch gesture remains page scrolling and never becomes an owned horizontal reveal.</t>
  </si>
  <si>
    <t xml:space="preserve">tests/components/swipeable-item/behavior.spec.ts; @flowstack-ui/atom 0.19.9</t>
  </si>
  <si>
    <t xml:space="preserve">Atom five-project gesture suite and Brick touch policy pass.</t>
  </si>
  <si>
    <t xml:space="preserve">Pointer lifecycle</t>
  </si>
  <si>
    <t xml:space="preserve">Root / Content</t>
  </si>
  <si>
    <t xml:space="preserve">Horizontal intent, threshold settlement, pointer cancellation, and lost capture restore deterministic visual and state outcomes without invoking commands.</t>
  </si>
  <si>
    <t xml:space="preserve">Pointer lifecycle assertions pass.</t>
  </si>
  <si>
    <t xml:space="preserve">Arrow keys reveal or close the physical side implied by document direction, Escape closes, and descendant controls keep their own Arrow-key behavior.</t>
  </si>
  <si>
    <t xml:space="preserve">Keyboard and descendant-isolation assertions pass.</t>
  </si>
  <si>
    <t xml:space="preserve">Root / Actions</t>
  </si>
  <si>
    <t xml:space="preserve">Logical start and end panels mirror in genuine RTL while action order and authored reading direction remain application-owned.</t>
  </si>
  <si>
    <t xml:space="preserve">tests/components/swipeable-item/behavior.spec.ts; tests/components/swipeable-item/visual.spec.ts</t>
  </si>
  <si>
    <t xml:space="preserve">RTL state, placement, and mobile baseline pass.</t>
  </si>
  <si>
    <t xml:space="preserve">Disabled states</t>
  </si>
  <si>
    <t xml:space="preserve">Disabled and read-only rows preserve layout while Atom blocks pointer and keyboard open-side changes.</t>
  </si>
  <si>
    <t xml:space="preserve">Disabled and read-only state recipes pass.</t>
  </si>
  <si>
    <t xml:space="preserve">Visible alternative</t>
  </si>
  <si>
    <t xml:space="preserve">The example and Consumer expose the same Archive and Delete commands through an obvious More actions menu so dragging is never the only route.</t>
  </si>
  <si>
    <t xml:space="preserve">src/components/swipeable-item/SwipeableItemPage.tsx; ../apps/consumer/src/App.tsx</t>
  </si>
  <si>
    <t xml:space="preserve">Visible alternative is present in playground and packed Consumer.</t>
  </si>
  <si>
    <t xml:space="preserve">Safety boundary</t>
  </si>
  <si>
    <t xml:space="preserve">Full-swipe threshold and callback props are absent from Brick so a release gesture cannot directly execute a destructive command.</t>
  </si>
  <si>
    <t xml:space="preserve">../test/types/components/swipeable-item.test.ts; ../docs/components/swipeable-item/README.md</t>
  </si>
  <si>
    <t xml:space="preserve">Negative public-surface type assertions pass.</t>
  </si>
  <si>
    <t xml:space="preserve">Root and swipeable-item subpath exports expose the namespace, parts, props, and variant with identical runtime identity.</t>
  </si>
  <si>
    <t xml:space="preserve">../test/package/package.test.mjs; ../package.json; ../scripts/verify-consumers.mjs</t>
  </si>
  <si>
    <t xml:space="preserve">Root, subpath, declaration, and React 18/19 consumer checks pass.</t>
  </si>
  <si>
    <t xml:space="preserve">Atom native props, refs, controlled state, render/asChild composition, aria/data attributes, classes, slots, styles, and closed Brick recipes type-check.</t>
  </si>
  <si>
    <t xml:space="preserve">../test/types/components/swipeable-item.test.ts</t>
  </si>
  <si>
    <t xml:space="preserve">Swipeable Item imports server-safely and emits deterministic three-part reveal anatomy without browser reads during render.</t>
  </si>
  <si>
    <t xml:space="preserve">../test/package/ssr.test.mjs; ../scripts/verify-consumers.mjs</t>
  </si>
  <si>
    <t xml:space="preserve">Production CSS ships documented variables, logical positioning, opaque foreground paint, preference fallbacks, action target sizing, and no undeclared global selector.</t>
  </si>
  <si>
    <t xml:space="preserve">../src/components/swipeable-item/swipeable-item.css; ../scripts/build-styles.mjs</t>
  </si>
  <si>
    <t xml:space="preserve">Production CSS, package, and semantic documentation checks pass.</t>
  </si>
  <si>
    <t xml:space="preserve">Plain composes inside an existing boundary while outline supplies a standalone neutral border without changing behavior or anatomy.</t>
  </si>
  <si>
    <t xml:space="preserve">Variant geometry and baseline pass.</t>
  </si>
  <si>
    <t xml:space="preserve">Containment</t>
  </si>
  <si>
    <t xml:space="preserve">Shared overflow clipping and radius keep translated Content and custom action fills inside one rounded boundary without exposed sharp corners.</t>
  </si>
  <si>
    <t xml:space="preserve">tests/components/swipeable-item/visual.spec.ts; ../src/components/swipeable-item/swipeable-item.css</t>
  </si>
  <si>
    <t xml:space="preserve">Start/end, outline, and customized baselines are clean.</t>
  </si>
  <si>
    <t xml:space="preserve">Focus and targets</t>
  </si>
  <si>
    <t xml:space="preserve">Content / Actions</t>
  </si>
  <si>
    <t xml:space="preserve">Content and native action controls retain visible focus and action controls meet the documented minimum target size without clipping.</t>
  </si>
  <si>
    <t xml:space="preserve">Forced-color focus and target-size evidence pass.</t>
  </si>
  <si>
    <t xml:space="preserve">SW-21</t>
  </si>
  <si>
    <t xml:space="preserve">Classes merge Brick first; public slots, native events, aria/data attributes, children, refs, render, and asChild target each public host.</t>
  </si>
  <si>
    <t xml:space="preserve">Component and type composition assertions pass.</t>
  </si>
  <si>
    <t xml:space="preserve">SW-22</t>
  </si>
  <si>
    <t xml:space="preserve">Full-width and 320px-constrained items wrap long localized content without component-created page overflow or an unreachable visible menu.</t>
  </si>
  <si>
    <t xml:space="preserve">Narrow containment and mobile baseline pass.</t>
  </si>
  <si>
    <t xml:space="preserve">SW-23</t>
  </si>
  <si>
    <t xml:space="preserve">Separate light and dark scopes, reduced motion, and forced colors retain readable layers, boundaries, and focus without color-only meaning.</t>
  </si>
  <si>
    <t xml:space="preserve">Appearance and preference baselines pass.</t>
  </si>
  <si>
    <t xml:space="preserve">SW-24</t>
  </si>
  <si>
    <t xml:space="preserve">Documented variables recolor surfaces, actions, border, focus, radius, spacing, sizing, and motion while preserving Atom behavior and containment.</t>
  </si>
  <si>
    <t xml:space="preserve">../docs/components/swipeable-item/README.md; tests/components/swipeable-item/behavior.spec.ts</t>
  </si>
  <si>
    <t xml:space="preserve">Token hooks and computed custom radius assertion pass.</t>
  </si>
  <si>
    <t xml:space="preserve">SW-25</t>
  </si>
  <si>
    <t xml:space="preserve">Named action groups, unavailable closed actions, native commands, keyboard reveal, visible focus, forced-color support, and a non-drag alternative form a complete accessibility contract.</t>
  </si>
  <si>
    <t xml:space="preserve">Semantic browser and Atom accessibility assertions pass.</t>
  </si>
  <si>
    <t xml:space="preserve">SW-26</t>
  </si>
  <si>
    <t xml:space="preserve">One route exposes ten ordered, independently padded scenarios covering overview, anatomy, variants, sides, alternative, states, control, appearance, customization, responsive, and RTL evidence.</t>
  </si>
  <si>
    <t xml:space="preserve">src/components/swipeable-item/SwipeableItemPage.tsx; ../scripts/verify-component-tests.mjs</t>
  </si>
  <si>
    <t xml:space="preserve">Ownership, route, primitive, composition, and browser checks pass.</t>
  </si>
  <si>
    <t xml:space="preserve">SW-27</t>
  </si>
  <si>
    <t xml:space="preserve">Reviewed baselines cover overview, variants, start/end actions, controlled state, appearance, customization, mobile RTL, and forced colors.</t>
  </si>
  <si>
    <t xml:space="preserve">tests/components/swipeable-item/visual.spec.ts; tests/components/swipeable-item/visual.spec.ts-snapshots</t>
  </si>
  <si>
    <t xml:space="preserve">Agent inspected all eight Swipeable Item Chromium baselines on July 29, 2026.</t>
  </si>
  <si>
    <t xml:space="preserve">SW-28</t>
  </si>
  <si>
    <t xml:space="preserve">The guide documents use, exclusions, imports, anatomy, API, state, tokens, responsive behavior, accessibility, composition, examples, and evidence; changelogs record the addition.</t>
  </si>
  <si>
    <t xml:space="preserve">../docs/components/swipeable-item/README.md; ../docs/components/swipeable-item/CHANGELOG.md; ../CHANGELOG.md</t>
  </si>
  <si>
    <t xml:space="preserve">SW-29</t>
  </si>
  <si>
    <t xml:space="preserve">The packed Consumer imports Swipeable Item from its public subpath and composes realistic message actions with a visible Dropdown Menu alternative.</t>
  </si>
  <si>
    <t xml:space="preserve">../apps/consumer/src/App.tsx; ../apps/consumer/tests/consumer.spec.ts; ../scripts/verify-consumers.mjs</t>
  </si>
  <si>
    <t xml:space="preserve">Consumer build and clean React 18/19 packed-package checks pass.</t>
  </si>
  <si>
    <t xml:space="preserve">SW-30</t>
  </si>
  <si>
    <t xml:space="preserve">A tester completes the desktop and physical-touch gesture, keyboard, focus, state, direction, zoom, appearance, preference, and assistive-technology protocol.</t>
  </si>
  <si>
    <t xml:space="preserve">manual-tests/swipeable-item.md</t>
  </si>
  <si>
    <t xml:space="preserve">Human manual run intentionally remains the sole open component gate.</t>
  </si>
  <si>
    <t xml:space="preserve">SW-31</t>
  </si>
  <si>
    <t xml:space="preserve">Build, declarations, exports, SSR, CSS, docs, tarball, exact Atom 0.20.11, React 18/19 consumers, focused browsers, reviewed visuals, and Consumer build pass.</t>
  </si>
  <si>
    <t xml:space="preserve">Full check, 354 component tests, focused behavior and visual suites, pack check, and generated consumers pass.</t>
  </si>
  <si>
    <t xml:space="preserve">Progress Evidence</t>
  </si>
  <si>
    <t xml:space="preserve">Assertion-level linear progress anatomy, values, recipes, direction, responsive, package, documentation, Consumer, and accessibility evidence.</t>
  </si>
  <si>
    <t xml:space="preserve">PR-01</t>
  </si>
  <si>
    <t xml:space="preserve">Brick styles released Atom 0.20.11 Progress semantics without recreating read-only progress behavior.</t>
  </si>
  <si>
    <t xml:space="preserve">../src/components/progress/Progress.tsx; ../package.json</t>
  </si>
  <si>
    <t xml:space="preserve">Source and exact dependency boundary are implemented.</t>
  </si>
  <si>
    <t xml:space="preserve">PR-02</t>
  </si>
  <si>
    <t xml:space="preserve">The six-part Root, Label, Value, Track, Buffer, and Indicator namespace and named exports match the adopted contract.</t>
  </si>
  <si>
    <t xml:space="preserve">../test/components/progress/progress.test.tsx</t>
  </si>
  <si>
    <t xml:space="preserve">Focused component assertions pass.</t>
  </si>
  <si>
    <t xml:space="preserve">PR-03</t>
  </si>
  <si>
    <t xml:space="preserve">Every public part renders its documented host, forwards native props and slots, and resolves the exact ref target.</t>
  </si>
  <si>
    <t xml:space="preserve">Host, prop, slot, and ref assertions pass.</t>
  </si>
  <si>
    <t xml:space="preserve">PR-04</t>
  </si>
  <si>
    <t xml:space="preserve">Closed orientation, size, shape, and tone values plus native props and refs type-check.</t>
  </si>
  <si>
    <t xml:space="preserve">../test/types/components/progress.test.ts</t>
  </si>
  <si>
    <t xml:space="preserve">Focused type assertions pass.</t>
  </si>
  <si>
    <t xml:space="preserve">PR-05</t>
  </si>
  <si>
    <t xml:space="preserve">Root and progress subpath exports preserve namespace and named runtime identity.</t>
  </si>
  <si>
    <t xml:space="preserve">Package boundary assertions pass.</t>
  </si>
  <si>
    <t xml:space="preserve">PR-06</t>
  </si>
  <si>
    <t xml:space="preserve">Server rendering emits deterministic progressbar anatomy and visible naming without client-only failure.</t>
  </si>
  <si>
    <t xml:space="preserve">SSR assertions pass.</t>
  </si>
  <si>
    <t xml:space="preserve">PR-07</t>
  </si>
  <si>
    <t xml:space="preserve">Defaults are horizontal, medium, rounded, accent, and indeterminate when value is omitted.</t>
  </si>
  <si>
    <t xml:space="preserve">Default attributes and semantics are asserted.</t>
  </si>
  <si>
    <t xml:space="preserve">PR-08</t>
  </si>
  <si>
    <t xml:space="preserve">Root / Indicator</t>
  </si>
  <si>
    <t xml:space="preserve">Determinate values normalize within min and max while indeterminate progress omits aria-valuenow.</t>
  </si>
  <si>
    <t xml:space="preserve">tests/components/progress/behavior.spec.ts</t>
  </si>
  <si>
    <t xml:space="preserve">Configured-browser semantic assertions pass.</t>
  </si>
  <si>
    <t xml:space="preserve">PR-09</t>
  </si>
  <si>
    <t xml:space="preserve">Indeterminate, loading, and complete visual states remain distinguishable without adding interaction.</t>
  </si>
  <si>
    <t xml:space="preserve">tests/components/progress/visual.spec.ts</t>
  </si>
  <si>
    <t xml:space="preserve">Automated state baselines pass; owner manual review remains separate.</t>
  </si>
  <si>
    <t xml:space="preserve">PR-10</t>
  </si>
  <si>
    <t xml:space="preserve">Six tones, five sizes, and three shapes preserve semantics and independent geometry.</t>
  </si>
  <si>
    <t xml:space="preserve">Recipe matrix assertions pass.</t>
  </si>
  <si>
    <t xml:space="preserve">PR-11</t>
  </si>
  <si>
    <t xml:space="preserve">Track / Indicator</t>
  </si>
  <si>
    <t xml:space="preserve">Horizontal progress fills from logical inline-start in LTR and RTL; vertical progress fills from the bottom.</t>
  </si>
  <si>
    <t xml:space="preserve">Bounding-box direction assertions pass.</t>
  </si>
  <si>
    <t xml:space="preserve">PR-12</t>
  </si>
  <si>
    <t xml:space="preserve">Buffer</t>
  </si>
  <si>
    <t xml:space="preserve">Optional buffered progress clamps independently, remains behind the current value, and exposes presence state.</t>
  </si>
  <si>
    <t xml:space="preserve">../test/components/progress/progress.test.tsx; tests/components/progress/behavior.spec.ts</t>
  </si>
  <si>
    <t xml:space="preserve">Buffer clamping, position, and presence are asserted.</t>
  </si>
  <si>
    <t xml:space="preserve">PR-13</t>
  </si>
  <si>
    <t xml:space="preserve">Output</t>
  </si>
  <si>
    <t xml:space="preserve">Label / Value</t>
  </si>
  <si>
    <t xml:space="preserve">Visible Label supplies the accessible name and Value supports localized default or authored range output.</t>
  </si>
  <si>
    <t xml:space="preserve">Name relationship and custom output assertions pass.</t>
  </si>
  <si>
    <t xml:space="preserve">PR-14</t>
  </si>
  <si>
    <t xml:space="preserve">Narrow, long-label, zoom, and RTL layouts remain contained without clipping or page overflow.</t>
  </si>
  <si>
    <t xml:space="preserve">Automated responsive baselines and narrow containment pass.</t>
  </si>
  <si>
    <t xml:space="preserve">PR-15</t>
  </si>
  <si>
    <t xml:space="preserve">Reduced motion leaves a static recognizable segment and forced colors preserve track and indicator boundaries.</t>
  </si>
  <si>
    <t xml:space="preserve">tests/components/progress/visual.spec.ts; tests/components/progress/behavior.spec.ts</t>
  </si>
  <si>
    <t xml:space="preserve">Preference-state automation passes.</t>
  </si>
  <si>
    <t xml:space="preserve">PR-16</t>
  </si>
  <si>
    <t xml:space="preserve">One named progressbar exposes the correct range/value state and the route passes axe without unsupported aria-orientation.</t>
  </si>
  <si>
    <t xml:space="preserve">Semantic and axe assertions pass.</t>
  </si>
  <si>
    <t xml:space="preserve">PR-17</t>
  </si>
  <si>
    <t xml:space="preserve">One navigable route exposes nine persistent scenarios from overview through stress.</t>
  </si>
  <si>
    <t xml:space="preserve">src/components/progress/ProgressPage.tsx</t>
  </si>
  <si>
    <t xml:space="preserve">Route registration and playground build pass.</t>
  </si>
  <si>
    <t xml:space="preserve">PR-18</t>
  </si>
  <si>
    <t xml:space="preserve">The public guide documents anatomy, API, defaults, recipes, output, accessibility, CSS, and exclusions.</t>
  </si>
  <si>
    <t xml:space="preserve">../docs/components/progress/README.md</t>
  </si>
  <si>
    <t xml:space="preserve">PR-19</t>
  </si>
  <si>
    <t xml:space="preserve">Component and package changelogs record the consumer-visible addition and ARIA correction.</t>
  </si>
  <si>
    <t xml:space="preserve">../docs/components/progress/CHANGELOG.md; ../CHANGELOG.md</t>
  </si>
  <si>
    <t xml:space="preserve">Changelog ownership checks pass.</t>
  </si>
  <si>
    <t xml:space="preserve">PR-20</t>
  </si>
  <si>
    <t xml:space="preserve">Packed Consumer imports the progress subpath and composes labelled buffered progress from the tarball.</t>
  </si>
  <si>
    <t xml:space="preserve">Packed Consumer verification passes.</t>
  </si>
  <si>
    <t xml:space="preserve">PR-21</t>
  </si>
  <si>
    <t xml:space="preserve">Owner executes the visual, responsive, direction, preference, and assistive-technology protocol.</t>
  </si>
  <si>
    <t xml:space="preserve">manual-tests/progress.md</t>
  </si>
  <si>
    <t xml:space="preserve">PR-22</t>
  </si>
  <si>
    <t xml:space="preserve">../scripts/verify-package.mjs</t>
  </si>
  <si>
    <t xml:space="preserve">Automated release qualification passed with the component implementation.</t>
  </si>
  <si>
    <t xml:space="preserve">Progress Circle Evidence</t>
  </si>
  <si>
    <t xml:space="preserve">Assertion-level circular progress anatomy, SVG geometry, values, recipes, responsive, package, documentation, Consumer, and accessibility evidence.</t>
  </si>
  <si>
    <t xml:space="preserve">PC-01</t>
  </si>
  <si>
    <t xml:space="preserve">Brick styles released Atom 0.20.11 Progress semantics while retaining read-only range behavior.</t>
  </si>
  <si>
    <t xml:space="preserve">../src/components/progress-circle/ProgressCircle.tsx; ../package.json</t>
  </si>
  <si>
    <t xml:space="preserve">PC-02</t>
  </si>
  <si>
    <t xml:space="preserve">The six-part Root, Circle, Track, Indicator, Label, and Value namespace and named exports match the adopted contract.</t>
  </si>
  <si>
    <t xml:space="preserve">../test/components/progress-circle/progress-circle.test.tsx</t>
  </si>
  <si>
    <t xml:space="preserve">PC-03</t>
  </si>
  <si>
    <t xml:space="preserve">Root and text parts use native HTML hosts; decorative ring parts use deterministic SVG hosts and exact refs.</t>
  </si>
  <si>
    <t xml:space="preserve">Host, prop, slot, SVG, and ref assertions pass.</t>
  </si>
  <si>
    <t xml:space="preserve">PC-04</t>
  </si>
  <si>
    <t xml:space="preserve">Closed size, thickness, cap, and tone values plus native and SVG prop exclusions type-check.</t>
  </si>
  <si>
    <t xml:space="preserve">../test/types/components/progress-circle.test.ts</t>
  </si>
  <si>
    <t xml:space="preserve">Focused positive and negative type assertions pass.</t>
  </si>
  <si>
    <t xml:space="preserve">PC-05</t>
  </si>
  <si>
    <t xml:space="preserve">Root and progress-circle subpath exports preserve namespace and named runtime identity.</t>
  </si>
  <si>
    <t xml:space="preserve">PC-06</t>
  </si>
  <si>
    <t xml:space="preserve">Server rendering emits deterministic progressbar and SVG anatomy without client-only failure.</t>
  </si>
  <si>
    <t xml:space="preserve">PC-07</t>
  </si>
  <si>
    <t xml:space="preserve">Defaults are medium, regular thickness, round cap, accent tone, and indeterminate when value is omitted.</t>
  </si>
  <si>
    <t xml:space="preserve">PC-08</t>
  </si>
  <si>
    <t xml:space="preserve">tests/components/progress-circle/behavior.spec.ts</t>
  </si>
  <si>
    <t xml:space="preserve">PC-09</t>
  </si>
  <si>
    <t xml:space="preserve">Circle / Indicator</t>
  </si>
  <si>
    <t xml:space="preserve">A fixed viewBox, radius, path length, and dash offset produce accurate unclipped progress at every size.</t>
  </si>
  <si>
    <t xml:space="preserve">SVG geometry and ratio assertions pass.</t>
  </si>
  <si>
    <t xml:space="preserve">PC-10</t>
  </si>
  <si>
    <t xml:space="preserve">Six tones, five sizes, three stroke weights, and two caps preserve semantics and independent geometry.</t>
  </si>
  <si>
    <t xml:space="preserve">PC-11</t>
  </si>
  <si>
    <t xml:space="preserve">Circular progress stays clockwise and uses identical geometry in LTR and RTL.</t>
  </si>
  <si>
    <t xml:space="preserve">Computed transform parity passes.</t>
  </si>
  <si>
    <t xml:space="preserve">PC-12</t>
  </si>
  <si>
    <t xml:space="preserve">Indeterminate, loading, and complete arcs remain recognizable and correctly normalized.</t>
  </si>
  <si>
    <t xml:space="preserve">tests/components/progress-circle/visual.spec.ts</t>
  </si>
  <si>
    <t xml:space="preserve">PC-13</t>
  </si>
  <si>
    <t xml:space="preserve">Name relationship and custom 3/5 output assertions pass.</t>
  </si>
  <si>
    <t xml:space="preserve">PC-14</t>
  </si>
  <si>
    <t xml:space="preserve">Narrow, long-label, zoom, and RTL layouts keep rings square, centered, and unclipped.</t>
  </si>
  <si>
    <t xml:space="preserve">PC-15</t>
  </si>
  <si>
    <t xml:space="preserve">Reduced motion leaves a static recognizable arc and forced colors preserve both rings.</t>
  </si>
  <si>
    <t xml:space="preserve">tests/components/progress-circle/visual.spec.ts; tests/components/progress-circle/behavior.spec.ts</t>
  </si>
  <si>
    <t xml:space="preserve">PC-16</t>
  </si>
  <si>
    <t xml:space="preserve">Root / SVG</t>
  </si>
  <si>
    <t xml:space="preserve">One named progressbar exposes the correct range/value state, decorative SVG stays silent, and the route passes axe.</t>
  </si>
  <si>
    <t xml:space="preserve">PC-17</t>
  </si>
  <si>
    <t xml:space="preserve">src/components/progress-circle/ProgressCirclePage.tsx</t>
  </si>
  <si>
    <t xml:space="preserve">PC-18</t>
  </si>
  <si>
    <t xml:space="preserve">The public guide documents anatomy, API, defaults, recipes, geometry, accessibility, CSS, and exclusions.</t>
  </si>
  <si>
    <t xml:space="preserve">../docs/components/progress-circle/README.md</t>
  </si>
  <si>
    <t xml:space="preserve">PC-19</t>
  </si>
  <si>
    <t xml:space="preserve">Component and package changelogs record the complete consumer-visible addition.</t>
  </si>
  <si>
    <t xml:space="preserve">../docs/components/progress-circle/CHANGELOG.md; ../CHANGELOG.md</t>
  </si>
  <si>
    <t xml:space="preserve">PC-20</t>
  </si>
  <si>
    <t xml:space="preserve">Packed Consumer imports the focused subpath and composes determinate custom-range and indeterminate rings.</t>
  </si>
  <si>
    <t xml:space="preserve">PC-21</t>
  </si>
  <si>
    <t xml:space="preserve">manual-tests/progress-circle.md</t>
  </si>
  <si>
    <t xml:space="preserve">PC-22</t>
  </si>
  <si>
    <t xml:space="preserve">Carousel Evidence</t>
  </si>
  <si>
    <t xml:space="preserve">Atom-backed selection and rotation, optional finished controls, picker dots, visual recipes, responsive containment, package, documentation, Consumer, and accessibility evidence.</t>
  </si>
  <si>
    <t xml:space="preserve">CA-01</t>
  </si>
  <si>
    <t xml:space="preserve">Brick styles published Atom 0.22.2 Carousel behavior without recreating selection, scroll settlement, rotation, or semantics.</t>
  </si>
  <si>
    <t xml:space="preserve">../src/components/carousel/Carousel.tsx; ../package.json</t>
  </si>
  <si>
    <t xml:space="preserve">CA-02</t>
  </si>
  <si>
    <t xml:space="preserve">Eleven-part namespace and named exports expose behavioral and Brick-only structural parts.</t>
  </si>
  <si>
    <t xml:space="preserve">../test/components/carousel/carousel.test.tsx</t>
  </si>
  <si>
    <t xml:space="preserve">CA-03</t>
  </si>
  <si>
    <t xml:space="preserve">Root, Viewport, Track, Slide, native controls, picker, and structural wrappers preserve exact refs and hooks.</t>
  </si>
  <si>
    <t xml:space="preserve">CA-04</t>
  </si>
  <si>
    <t xml:space="preserve">Closed sizes and placements plus Atom state, rotation, native composition, and ref props type-check.</t>
  </si>
  <si>
    <t xml:space="preserve">../test/types/components/carousel.test.ts</t>
  </si>
  <si>
    <t xml:space="preserve">CA-05</t>
  </si>
  <si>
    <t xml:space="preserve">Root and carousel subpath exports preserve namespace and named runtime identity.</t>
  </si>
  <si>
    <t xml:space="preserve">CA-06</t>
  </si>
  <si>
    <t xml:space="preserve">Styles</t>
  </si>
  <si>
    <t xml:space="preserve">Delivery</t>
  </si>
  <si>
    <t xml:space="preserve">Complete and modular CSS include Carousel and Icon recipes without duplicating foundations.</t>
  </si>
  <si>
    <t xml:space="preserve">../test/package/package.test.mjs; ../scripts/css-entrypoints.mjs</t>
  </si>
  <si>
    <t xml:space="preserve">CA-07</t>
  </si>
  <si>
    <t xml:space="preserve">Medium size and overlay placement are stable defaults.</t>
  </si>
  <si>
    <t xml:space="preserve">CA-08</t>
  </si>
  <si>
    <t xml:space="preserve">Optional</t>
  </si>
  <si>
    <t xml:space="preserve">A manual Carousel may omit every visible control or author picker-only navigation.</t>
  </si>
  <si>
    <t xml:space="preserve">tests/components/carousel/behavior.spec.ts</t>
  </si>
  <si>
    <t xml:space="preserve">CA-09</t>
  </si>
  <si>
    <t xml:space="preserve">Autoplay</t>
  </si>
  <si>
    <t xml:space="preserve">RotationControl</t>
  </si>
  <si>
    <t xml:space="preserve">Automatic rotation exposes stop/start, Previous, and Next and survives the focus-click ordering contract.</t>
  </si>
  <si>
    <t xml:space="preserve">CA-10</t>
  </si>
  <si>
    <t xml:space="preserve">Named picker dots select peer slides and expose active state without Tabs semantics.</t>
  </si>
  <si>
    <t xml:space="preserve">CA-11</t>
  </si>
  <si>
    <t xml:space="preserve">Logical controls select adjacent slides and preserve Atom boundary and loop rules.</t>
  </si>
  <si>
    <t xml:space="preserve">CA-12</t>
  </si>
  <si>
    <t xml:space="preserve">Media</t>
  </si>
  <si>
    <t xml:space="preserve">Viewport / Track</t>
  </si>
  <si>
    <t xml:space="preserve">Native horizontal scrolling, one-slide snap geometry, and hidden scrollbars preserve touch interaction.</t>
  </si>
  <si>
    <t xml:space="preserve">CA-13</t>
  </si>
  <si>
    <t xml:space="preserve">Slides</t>
  </si>
  <si>
    <t xml:space="preserve">Inactive slides remain inert and assistive-hidden while the active labelled group remains available.</t>
  </si>
  <si>
    <t xml:space="preserve">CA-14</t>
  </si>
  <si>
    <t xml:space="preserve">Controls keep native names, roles, disabled state, focus rings, and 32px visual dot hit areas.</t>
  </si>
  <si>
    <t xml:space="preserve">CA-15</t>
  </si>
  <si>
    <t xml:space="preserve">Automated</t>
  </si>
  <si>
    <t xml:space="preserve">Representative rotation composition passes axe at a mobile viewport.</t>
  </si>
  <si>
    <t xml:space="preserve">CA-16</t>
  </si>
  <si>
    <t xml:space="preserve">Small, medium, and large control geometry remains coordinated.</t>
  </si>
  <si>
    <t xml:space="preserve">tests/components/carousel/visual.spec.ts</t>
  </si>
  <si>
    <t xml:space="preserve">CA-17</t>
  </si>
  <si>
    <t xml:space="preserve">Placement</t>
  </si>
  <si>
    <t xml:space="preserve">Overlay and outside control placements remain visually coherent without behavior changes.</t>
  </si>
  <si>
    <t xml:space="preserve">CA-18</t>
  </si>
  <si>
    <t xml:space="preserve">Semantic control and picker paint remains legible in adjacent light and dark scopes.</t>
  </si>
  <si>
    <t xml:space="preserve">CA-19</t>
  </si>
  <si>
    <t xml:space="preserve">Reduced motion removes decorative transitions and smooth scrolling without removing selection.</t>
  </si>
  <si>
    <t xml:space="preserve">manual-tests/carousel.md</t>
  </si>
  <si>
    <t xml:space="preserve">CA-20</t>
  </si>
  <si>
    <t xml:space="preserve">RTL mirrors logical direction artwork and preserves native selection order.</t>
  </si>
  <si>
    <t xml:space="preserve">CA-21</t>
  </si>
  <si>
    <t xml:space="preserve">Reflow</t>
  </si>
  <si>
    <t xml:space="preserve">Mobile, 200%, and 400% reflow preserve complete controls and slide content without page overflow.</t>
  </si>
  <si>
    <t xml:space="preserve">CA-22</t>
  </si>
  <si>
    <t xml:space="preserve">Forced colors</t>
  </si>
  <si>
    <t xml:space="preserve">Controls, focus indicators, and active picker remain perceivable.</t>
  </si>
  <si>
    <t xml:space="preserve">CA-23</t>
  </si>
  <si>
    <t xml:space="preserve">Assistive technology</t>
  </si>
  <si>
    <t xml:space="preserve">Screen-reader names, slide availability, rotation state, and announcements match the public contract.</t>
  </si>
  <si>
    <t xml:space="preserve">CA-24</t>
  </si>
  <si>
    <t xml:space="preserve">Agent Knowledge</t>
  </si>
  <si>
    <t xml:space="preserve">Machine-readable guidance distinguishes Carousel, Tabs, Grid, and campaign Block ownership.</t>
  </si>
  <si>
    <t xml:space="preserve">../src/components/carousel/agent.json</t>
  </si>
  <si>
    <t xml:space="preserve">CA-25</t>
  </si>
  <si>
    <t xml:space="preserve">A realistic packed-package consumer composes Carousel with public imports and CSS only.</t>
  </si>
  <si>
    <t xml:space="preserve">../apps/consumer</t>
  </si>
  <si>
    <t xml:space="preserve">ZStack Evidence</t>
  </si>
  <si>
    <t xml:space="preserve">ZS-01</t>
  </si>
  <si>
    <t xml:space="preserve">ZStack Root and Item share one source-ordered CSS Grid implementation with stable hooks and refs.</t>
  </si>
  <si>
    <t xml:space="preserve">../src/components/z-stack</t>
  </si>
  <si>
    <t xml:space="preserve">ZS-02</t>
  </si>
  <si>
    <t xml:space="preserve">Root owns the overlap region; every direct child shares one grid cell; Item owns optional logical self-placement.</t>
  </si>
  <si>
    <t xml:space="preserve">../test/components/z-stack/z-stack.test.tsx</t>
  </si>
  <si>
    <t xml:space="preserve">ZS-03</t>
  </si>
  <si>
    <t xml:space="preserve">Root, z-stack subpath, namespace, named parts, and public types expose identical runtime identities.</t>
  </si>
  <si>
    <t xml:space="preserve">ZS-04</t>
  </si>
  <si>
    <t xml:space="preserve">Semantic hosts, nine-position logical placement, asChild composition, native props, exclusions, and refs type-check.</t>
  </si>
  <si>
    <t xml:space="preserve">../test/types/components/z-stack.test.ts</t>
  </si>
  <si>
    <t xml:space="preserve">ZS-05</t>
  </si>
  <si>
    <t xml:space="preserve">Static CSS provides natural source-ordered overlap, min-inline containment, and logical start/center/end placement without absolute positioning.</t>
  </si>
  <si>
    <t xml:space="preserve">../src/components/z-stack/z-stack.css</t>
  </si>
  <si>
    <t xml:space="preserve">ZS-06</t>
  </si>
  <si>
    <t xml:space="preserve">Defaults, complete placement recipes, semantic hosts, native pass-through, asChild, hooks, events, and refs pass.</t>
  </si>
  <si>
    <t xml:space="preserve">ZS-07</t>
  </si>
  <si>
    <t xml:space="preserve">Real-browser overlap, source order, logical placement, composition, focus order, reflow, and containment pass.</t>
  </si>
  <si>
    <t xml:space="preserve">tests/components/z-stack/behavior.spec.ts</t>
  </si>
  <si>
    <t xml:space="preserve">ZS-08</t>
  </si>
  <si>
    <t xml:space="preserve">Top-start, center, and bottom-end evidence proves logical nine-position placement without changing the authored order.</t>
  </si>
  <si>
    <t xml:space="preserve">tests/components/z-stack/visual.spec.ts</t>
  </si>
  <si>
    <t xml:space="preserve">Agent-inspected the generated overview and placement baselines.</t>
  </si>
  <si>
    <t xml:space="preserve">ZS-09</t>
  </si>
  <si>
    <t xml:space="preserve">asChild gives one existing semantic child the ZStack item hooks and placement with no additional wrapper.</t>
  </si>
  <si>
    <t xml:space="preserve">ZS-10</t>
  </si>
  <si>
    <t xml:space="preserve">ZStack adds no roles or names; authored focus order, RTL, narrow reflow, and axe checks pass.</t>
  </si>
  <si>
    <t xml:space="preserve">ZS-11</t>
  </si>
  <si>
    <t xml:space="preserve">Narrow width, text-size stress, RTL, appearance, and forced colors retain readable source-ordered layers.</t>
  </si>
  <si>
    <t xml:space="preserve">manual-tests/z-stack.md</t>
  </si>
  <si>
    <t xml:space="preserve">Automated narrow, RTL, focus, and axe evidence passes; the complete human run remains pending.</t>
  </si>
  <si>
    <t xml:space="preserve">ZS-12</t>
  </si>
  <si>
    <t xml:space="preserve">A tester completes the component-owned overlap, placement, composition, zoom, device, appearance, and forced-color protocol.</t>
  </si>
  <si>
    <t xml:space="preserve">Protocol exists; owner human review remains intentionally unclaimed.</t>
  </si>
  <si>
    <t xml:space="preserve">ZS-13</t>
  </si>
  <si>
    <t xml:space="preserve">Source-backed selection, anatomy, placement, composition, accessibility, CSS, API, and agent guidance pass component checks.</t>
  </si>
  <si>
    <t xml:space="preserve">../docs/components/z-stack/README.md; ../src/components/z-stack/agent.md</t>
  </si>
  <si>
    <t xml:space="preserve">ZS-14</t>
  </si>
  <si>
    <t xml:space="preserve">ZStack owns a component changelog and the package changelog records the public layout addition.</t>
  </si>
  <si>
    <t xml:space="preserve">../docs/components/z-stack/CHANGELOG.md; ../CHANGELOG.md</t>
  </si>
  <si>
    <t xml:space="preserve">ZS-15</t>
  </si>
  <si>
    <t xml:space="preserve">Exact packed React 18 and 19 consumers import the public root and z-stack subpath without source coupling.</t>
  </si>
  <si>
    <t xml:space="preserve">../scripts/verify-consumers.mjs; ../test/package/package.test.mjs</t>
  </si>
  <si>
    <t xml:space="preserve">ZS-16</t>
  </si>
  <si>
    <t xml:space="preserve">Build, SSR-safe imports, exports, modular CSS, tarball, React 18/19 consumers, docs, browser, axe, and visual gates pass.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</si>
</sst>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worksheet" Target="worksheets/sheet78.xml"/><Relationship Id="rId81" Type="http://schemas.openxmlformats.org/officeDocument/2006/relationships/worksheet" Target="worksheets/sheet79.xml"/><Relationship Id="rId82" Type="http://schemas.openxmlformats.org/officeDocument/2006/relationships/worksheet" Target="worksheets/sheet80.xml"/><Relationship Id="rId8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84" headerRowCount="1" totalsRowCount="0" totalsRowShown="0">
  <autoFilter ref="A7:M84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0.xml><?xml version="1.0" encoding="utf-8"?>
<table xmlns="http://schemas.openxmlformats.org/spreadsheetml/2006/main" id="30" name="ZStackEvidence" displayName="Z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4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table" Target="../tables/table23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table" Target="../tables/table14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75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76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77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78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80.xml.rels><?xml version="1.0" encoding="UTF-8"?>
<Relationships xmlns="http://schemas.openxmlformats.org/package/2006/relationships"><Relationship Id="rId1" Type="http://schemas.openxmlformats.org/officeDocument/2006/relationships/table" Target="../tables/table3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8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COUNTA(A8:A84)</f>
        <v>77</v>
      </c>
      <c r="D4" s="5" t="s">
        <v>3</v>
      </c>
      <c r="E4" s="6" t="n">
        <f aca="false">COUNTIF(M8:M84,"complete")</f>
        <v>1</v>
      </c>
      <c r="G4" s="5" t="s">
        <v>4</v>
      </c>
      <c r="H4" s="6" t="n">
        <f aca="false">COUNTIF(M8:M84,"blocked")</f>
        <v>0</v>
      </c>
      <c r="J4" s="5" t="s">
        <v>5</v>
      </c>
      <c r="K4" s="7" t="n">
        <f aca="false">IF(B4=0,0,E4/B4)</f>
        <v>0.012987012987013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1" t="s">
        <v>17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INDIRECT("'"&amp;A48&amp;"'!K4")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INDIRECT("'"&amp;A49&amp;"'!K4")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INDIRECT("'"&amp;A63&amp;"'!K4")</f>
        <v>open</v>
      </c>
      <c r="L63" s="1" t="str">
        <f aca="true">INDIRECT("'"&amp;A63&amp;"'!E5")</f>
        <v>complete</v>
      </c>
      <c r="M63" s="1" t="str">
        <f aca="false">IF(AND(J63=1,K63="complete",L63="complete"),"complete",IF(H63&gt;0,"blocked","open"))</f>
        <v>open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INDIRECT("'"&amp;A64&amp;"'!K4")</f>
        <v>open</v>
      </c>
      <c r="L64" s="1" t="str">
        <f aca="true">INDIRECT("'"&amp;A64&amp;"'!E5")</f>
        <v>complete</v>
      </c>
      <c r="M64" s="1" t="str">
        <f aca="false">IF(AND(J64=1,K64="complete",L64="complete"),"complete",IF(H64&gt;0,"blocked","open"))</f>
        <v>open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31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0</v>
      </c>
      <c r="F65" s="1" t="n">
        <f aca="true">COUNTIF(INDIRECT("'"&amp;A65&amp;"'!H9:H200"),"tested")</f>
        <v>29</v>
      </c>
      <c r="G65" s="1" t="n">
        <f aca="true">COUNTIF(INDIRECT("'"&amp;A65&amp;"'!H9:H200"),"verified")</f>
        <v>1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0.967741935483871</v>
      </c>
      <c r="K65" s="1" t="str">
        <f aca="true">INDIRECT("'"&amp;A65&amp;"'!K4")</f>
        <v>complete</v>
      </c>
      <c r="L65" s="1" t="str">
        <f aca="true">INDIRECT("'"&amp;A65&amp;"'!E5")</f>
        <v>complete</v>
      </c>
      <c r="M65" s="1" t="str">
        <f aca="false">IF(AND(J65=1,K65="complete",L65="complete"),"complete",IF(H65&gt;0,"blocked","open"))</f>
        <v>open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26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4</v>
      </c>
      <c r="F66" s="1" t="n">
        <f aca="true">COUNTIF(INDIRECT("'"&amp;A66&amp;"'!H9:H200"),"tested")</f>
        <v>21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0.807692307692308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30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6</v>
      </c>
      <c r="F67" s="1" t="n">
        <f aca="true">COUNTIF(INDIRECT("'"&amp;A67&amp;"'!H9:H200"),"tested")</f>
        <v>23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0.766666666666667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31</v>
      </c>
      <c r="C68" s="1" t="n">
        <f aca="true">COUNTIF(INDIRECT("'"&amp;A68&amp;"'!H9:H200"),"not started")</f>
        <v>1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10</v>
      </c>
      <c r="F68" s="1" t="n">
        <f aca="true">COUNTIF(INDIRECT("'"&amp;A68&amp;"'!H9:H200"),"tested")</f>
        <v>20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true">INDIRECT("'"&amp;A68&amp;"'!H4")</f>
        <v>0.645161290322581</v>
      </c>
      <c r="K68" s="1" t="str">
        <f aca="true">INDIRECT("'"&amp;A68&amp;"'!K4")</f>
        <v>open</v>
      </c>
      <c r="L68" s="1" t="str">
        <f aca="true">INDIRECT("'"&amp;A68&amp;"'!E5")</f>
        <v>complete</v>
      </c>
      <c r="M68" s="1" t="str">
        <f aca="false">IF(AND(J68=1,K68="complete",L68="complete"),"complete",IF(H68&gt;0,"blocked","open"))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22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8</v>
      </c>
      <c r="F69" s="1" t="n">
        <f aca="true">COUNTIF(INDIRECT("'"&amp;A69&amp;"'!H9:H200"),"tested")</f>
        <v>14</v>
      </c>
      <c r="G69" s="1" t="n">
        <f aca="true">COUNTIF(INDIRECT("'"&amp;A69&amp;"'!H9:H200"),"verified")</f>
        <v>0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true">INDIRECT("'"&amp;A69&amp;"'!H4")</f>
        <v>0.636363636363636</v>
      </c>
      <c r="K69" s="1" t="str">
        <f aca="true">INDIRECT("'"&amp;A69&amp;"'!K4")</f>
        <v>complete</v>
      </c>
      <c r="L69" s="1" t="str">
        <f aca="true">INDIRECT("'"&amp;A69&amp;"'!E5")</f>
        <v>complete</v>
      </c>
      <c r="M69" s="1" t="str">
        <f aca="false">IF(AND(J69=1,K69="complete",L69="complete"),"complete",IF(H69&gt;0,"blocked","open"))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19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12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true">INDIRECT("'"&amp;A70&amp;"'!H4")</f>
        <v>0.894736842105263</v>
      </c>
      <c r="K70" s="1" t="str">
        <f aca="true">INDIRECT("'"&amp;A70&amp;"'!K4")</f>
        <v>complete</v>
      </c>
      <c r="L70" s="1" t="str">
        <f aca="true">INDIRECT("'"&amp;A70&amp;"'!E5")</f>
        <v>complete</v>
      </c>
      <c r="M70" s="1" t="str">
        <f aca="false">IF(AND(J70=1,K70="complete",L70="complete"),"complete",IF(H70&gt;0,"blocked","open"))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true">INDIRECT("'"&amp;A71&amp;"'!H4")</f>
        <v>0.9</v>
      </c>
      <c r="K71" s="1" t="str">
        <f aca="true">INDIRECT("'"&amp;A71&amp;"'!K4")</f>
        <v>complete</v>
      </c>
      <c r="L71" s="1" t="str">
        <f aca="true">INDIRECT("'"&amp;A71&amp;"'!E5")</f>
        <v>complete</v>
      </c>
      <c r="M71" s="1" t="str">
        <f aca="false">IF(AND(J71=1,K71="complete",L71="complete"),"complete",IF(H71&gt;0,"blocked","open"))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20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2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5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true">INDIRECT("'"&amp;A72&amp;"'!H4")</f>
        <v>0.9</v>
      </c>
      <c r="K72" s="1" t="str">
        <f aca="true">INDIRECT("'"&amp;A72&amp;"'!K4")</f>
        <v>complete</v>
      </c>
      <c r="L72" s="1" t="str">
        <f aca="true">INDIRECT("'"&amp;A72&amp;"'!E5")</f>
        <v>complete</v>
      </c>
      <c r="M72" s="1" t="str">
        <f aca="false">IF(AND(J72=1,K72="complete",L72="complete"),"complete",IF(H72&gt;0,"blocked","open"))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16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1</v>
      </c>
      <c r="F73" s="1" t="n">
        <f aca="true">COUNTIF(INDIRECT("'"&amp;A73&amp;"'!H9:H200"),"tested")</f>
        <v>13</v>
      </c>
      <c r="G73" s="1" t="n">
        <f aca="true">COUNTIF(INDIRECT("'"&amp;A73&amp;"'!H9:H200"),"verified")</f>
        <v>2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true">INDIRECT("'"&amp;A73&amp;"'!H4")</f>
        <v>0.9375</v>
      </c>
      <c r="K73" s="1" t="str">
        <f aca="true">INDIRECT("'"&amp;A73&amp;"'!K4")</f>
        <v>complete</v>
      </c>
      <c r="L73" s="1" t="str">
        <f aca="true">INDIRECT("'"&amp;A73&amp;"'!E5")</f>
        <v>complete</v>
      </c>
      <c r="M73" s="1" t="str">
        <f aca="false">IF(AND(J73=1,K73="complete",L73="complete"),"complete",IF(H73&gt;0,"blocked","open"))</f>
        <v>open</v>
      </c>
    </row>
    <row r="74" customFormat="false" ht="15" hidden="false" customHeight="true" outlineLevel="0" collapsed="false">
      <c r="A74" s="1" t="s">
        <v>83</v>
      </c>
      <c r="B74" s="1" t="n">
        <f aca="true">INDIRECT("'"&amp;A74&amp;"'!B4")</f>
        <v>17</v>
      </c>
      <c r="C74" s="1" t="n">
        <f aca="true">COUNTIF(INDIRECT("'"&amp;A74&amp;"'!H9:H200"),"not started")</f>
        <v>0</v>
      </c>
      <c r="D74" s="1" t="n">
        <f aca="true">COUNTIF(INDIRECT("'"&amp;A74&amp;"'!H9:H200"),"partial")</f>
        <v>0</v>
      </c>
      <c r="E74" s="1" t="n">
        <f aca="true">COUNTIF(INDIRECT("'"&amp;A74&amp;"'!H9:H200"),"implemented")</f>
        <v>1</v>
      </c>
      <c r="F74" s="1" t="n">
        <f aca="true">COUNTIF(INDIRECT("'"&amp;A74&amp;"'!H9:H200"),"tested")</f>
        <v>14</v>
      </c>
      <c r="G74" s="1" t="n">
        <f aca="true">COUNTIF(INDIRECT("'"&amp;A74&amp;"'!H9:H200"),"verified")</f>
        <v>2</v>
      </c>
      <c r="H74" s="1" t="n">
        <f aca="true">COUNTIF(INDIRECT("'"&amp;A74&amp;"'!H9:H200"),"blocked")</f>
        <v>0</v>
      </c>
      <c r="I74" s="1" t="n">
        <f aca="true">COUNTIF(INDIRECT("'"&amp;A74&amp;"'!H9:H200"),"not applicable")</f>
        <v>0</v>
      </c>
      <c r="J74" s="2" t="n">
        <f aca="true">INDIRECT("'"&amp;A74&amp;"'!H4")</f>
        <v>0.941176470588235</v>
      </c>
      <c r="K74" s="1" t="str">
        <f aca="true">INDIRECT("'"&amp;A74&amp;"'!K4")</f>
        <v>complete</v>
      </c>
      <c r="L74" s="1" t="str">
        <f aca="true">INDIRECT("'"&amp;A74&amp;"'!E5")</f>
        <v>complete</v>
      </c>
      <c r="M74" s="1" t="str">
        <f aca="false">IF(AND(J74=1,K74="complete",L74="complete"),"complete",IF(H74&gt;0,"blocked","open"))</f>
        <v>open</v>
      </c>
    </row>
    <row r="75" customFormat="false" ht="15" hidden="false" customHeight="true" outlineLevel="0" collapsed="false">
      <c r="A75" s="1" t="s">
        <v>84</v>
      </c>
      <c r="B75" s="1" t="n">
        <f aca="true">INDIRECT("'"&amp;A75&amp;"'!B4")</f>
        <v>28</v>
      </c>
      <c r="C75" s="1" t="n">
        <f aca="true">COUNTIF(INDIRECT("'"&amp;A75&amp;"'!H9:H200"),"not started")</f>
        <v>1</v>
      </c>
      <c r="D75" s="1" t="n">
        <f aca="true">COUNTIF(INDIRECT("'"&amp;A75&amp;"'!H9:H200"),"partial")</f>
        <v>0</v>
      </c>
      <c r="E75" s="1" t="n">
        <f aca="true">COUNTIF(INDIRECT("'"&amp;A75&amp;"'!H9:H200"),"implemented")</f>
        <v>0</v>
      </c>
      <c r="F75" s="1" t="n">
        <f aca="true">COUNTIF(INDIRECT("'"&amp;A75&amp;"'!H9:H200"),"tested")</f>
        <v>27</v>
      </c>
      <c r="G75" s="1" t="n">
        <f aca="true">COUNTIF(INDIRECT("'"&amp;A75&amp;"'!H9:H200"),"verified")</f>
        <v>0</v>
      </c>
      <c r="H75" s="1" t="n">
        <f aca="true">COUNTIF(INDIRECT("'"&amp;A75&amp;"'!H9:H200"),"blocked")</f>
        <v>0</v>
      </c>
      <c r="I75" s="1" t="n">
        <f aca="true">COUNTIF(INDIRECT("'"&amp;A75&amp;"'!H9:H200"),"not applicable")</f>
        <v>0</v>
      </c>
      <c r="J75" s="2" t="n">
        <f aca="true">INDIRECT("'"&amp;A75&amp;"'!H4")</f>
        <v>0.964285714285714</v>
      </c>
      <c r="K75" s="1" t="str">
        <f aca="true">INDIRECT("'"&amp;A75&amp;"'!K4")</f>
        <v>complete</v>
      </c>
      <c r="L75" s="1" t="str">
        <f aca="true">INDIRECT("'"&amp;A75&amp;"'!E5")</f>
        <v>complete</v>
      </c>
      <c r="M75" s="1" t="str">
        <f aca="false">IF(AND(J75=1,K75="complete",L75="complete"),"complete",IF(H75&gt;0,"blocked","open"))</f>
        <v>open</v>
      </c>
    </row>
    <row r="76" customFormat="false" ht="15" hidden="false" customHeight="true" outlineLevel="0" collapsed="false">
      <c r="A76" s="1" t="s">
        <v>85</v>
      </c>
      <c r="B76" s="1" t="n">
        <f aca="true">INDIRECT("'"&amp;A76&amp;"'!B4")</f>
        <v>20</v>
      </c>
      <c r="C76" s="1" t="n">
        <f aca="true">COUNTIF(INDIRECT("'"&amp;A76&amp;"'!H9:H200"),"not started")</f>
        <v>1</v>
      </c>
      <c r="D76" s="1" t="n">
        <f aca="true">COUNTIF(INDIRECT("'"&amp;A76&amp;"'!H9:H200"),"partial")</f>
        <v>0</v>
      </c>
      <c r="E76" s="1" t="n">
        <f aca="true">COUNTIF(INDIRECT("'"&amp;A76&amp;"'!H9:H200"),"implemented")</f>
        <v>0</v>
      </c>
      <c r="F76" s="1" t="n">
        <f aca="true">COUNTIF(INDIRECT("'"&amp;A76&amp;"'!H9:H200"),"tested")</f>
        <v>18</v>
      </c>
      <c r="G76" s="1" t="n">
        <f aca="true">COUNTIF(INDIRECT("'"&amp;A76&amp;"'!H9:H200"),"verified")</f>
        <v>1</v>
      </c>
      <c r="H76" s="1" t="n">
        <f aca="true">COUNTIF(INDIRECT("'"&amp;A76&amp;"'!H9:H200"),"blocked")</f>
        <v>0</v>
      </c>
      <c r="I76" s="1" t="n">
        <f aca="true">COUNTIF(INDIRECT("'"&amp;A76&amp;"'!H9:H200"),"not applicable")</f>
        <v>0</v>
      </c>
      <c r="J76" s="2" t="n">
        <f aca="true">INDIRECT("'"&amp;A76&amp;"'!H4")</f>
        <v>0.95</v>
      </c>
      <c r="K76" s="1" t="str">
        <f aca="true">INDIRECT("'"&amp;A76&amp;"'!K4")</f>
        <v>open</v>
      </c>
      <c r="L76" s="1" t="str">
        <f aca="true">INDIRECT("'"&amp;A76&amp;"'!E5")</f>
        <v>complete</v>
      </c>
      <c r="M76" s="1" t="str">
        <f aca="false">IF(AND(J76=1,K76="complete",L76="complete"),"complete",IF(H76&gt;0,"blocked","open"))</f>
        <v>open</v>
      </c>
    </row>
    <row r="77" customFormat="false" ht="15" hidden="false" customHeight="true" outlineLevel="0" collapsed="false">
      <c r="A77" s="1" t="s">
        <v>86</v>
      </c>
      <c r="B77" s="1" t="n">
        <f aca="true">INDIRECT("'"&amp;A77&amp;"'!B4")</f>
        <v>22</v>
      </c>
      <c r="C77" s="1" t="n">
        <f aca="true">COUNTIF(INDIRECT("'"&amp;A77&amp;"'!H9:H200"),"not started")</f>
        <v>1</v>
      </c>
      <c r="D77" s="1" t="n">
        <f aca="true">COUNTIF(INDIRECT("'"&amp;A77&amp;"'!H9:H200"),"partial")</f>
        <v>0</v>
      </c>
      <c r="E77" s="1" t="n">
        <f aca="true">COUNTIF(INDIRECT("'"&amp;A77&amp;"'!H9:H200"),"implemented")</f>
        <v>0</v>
      </c>
      <c r="F77" s="1" t="n">
        <f aca="true">COUNTIF(INDIRECT("'"&amp;A77&amp;"'!H9:H200"),"tested")</f>
        <v>20</v>
      </c>
      <c r="G77" s="1" t="n">
        <f aca="true">COUNTIF(INDIRECT("'"&amp;A77&amp;"'!H9:H200"),"verified")</f>
        <v>1</v>
      </c>
      <c r="H77" s="1" t="n">
        <f aca="true">COUNTIF(INDIRECT("'"&amp;A77&amp;"'!H9:H200"),"blocked")</f>
        <v>0</v>
      </c>
      <c r="I77" s="1" t="n">
        <f aca="true">COUNTIF(INDIRECT("'"&amp;A77&amp;"'!H9:H200"),"not applicable")</f>
        <v>0</v>
      </c>
      <c r="J77" s="2" t="n">
        <f aca="true">INDIRECT("'"&amp;A77&amp;"'!H4")</f>
        <v>0.954545454545455</v>
      </c>
      <c r="K77" s="1" t="str">
        <f aca="true">INDIRECT("'"&amp;A77&amp;"'!K4")</f>
        <v>complete</v>
      </c>
      <c r="L77" s="1" t="str">
        <f aca="true">INDIRECT("'"&amp;A77&amp;"'!E5")</f>
        <v>complete</v>
      </c>
      <c r="M77" s="1" t="str">
        <f aca="false">IF(AND(J77=1,K77="complete",L77="complete"),"complete",IF(H77&gt;0,"blocked","open"))</f>
        <v>open</v>
      </c>
    </row>
    <row r="78" customFormat="false" ht="15" hidden="false" customHeight="true" outlineLevel="0" collapsed="false">
      <c r="A78" s="1" t="s">
        <v>87</v>
      </c>
      <c r="B78" s="1" t="n">
        <f aca="true">INDIRECT("'"&amp;A78&amp;"'!B4")</f>
        <v>22</v>
      </c>
      <c r="C78" s="1" t="n">
        <f aca="true">COUNTIF(INDIRECT("'"&amp;A78&amp;"'!H9:H200"),"not started")</f>
        <v>1</v>
      </c>
      <c r="D78" s="1" t="n">
        <f aca="true">COUNTIF(INDIRECT("'"&amp;A78&amp;"'!H9:H200"),"partial")</f>
        <v>0</v>
      </c>
      <c r="E78" s="1" t="n">
        <f aca="true">COUNTIF(INDIRECT("'"&amp;A78&amp;"'!H9:H200"),"implemented")</f>
        <v>0</v>
      </c>
      <c r="F78" s="1" t="n">
        <f aca="true">COUNTIF(INDIRECT("'"&amp;A78&amp;"'!H9:H200"),"tested")</f>
        <v>20</v>
      </c>
      <c r="G78" s="1" t="n">
        <f aca="true">COUNTIF(INDIRECT("'"&amp;A78&amp;"'!H9:H200"),"verified")</f>
        <v>1</v>
      </c>
      <c r="H78" s="1" t="n">
        <f aca="true">COUNTIF(INDIRECT("'"&amp;A78&amp;"'!H9:H200"),"blocked")</f>
        <v>0</v>
      </c>
      <c r="I78" s="1" t="n">
        <f aca="true">COUNTIF(INDIRECT("'"&amp;A78&amp;"'!H9:H200"),"not applicable")</f>
        <v>0</v>
      </c>
      <c r="J78" s="2" t="n">
        <f aca="true">INDIRECT("'"&amp;A78&amp;"'!H4")</f>
        <v>0.954545454545455</v>
      </c>
      <c r="K78" s="1" t="str">
        <f aca="true">INDIRECT("'"&amp;A78&amp;"'!K4")</f>
        <v>complete</v>
      </c>
      <c r="L78" s="1" t="str">
        <f aca="true">INDIRECT("'"&amp;A78&amp;"'!E5")</f>
        <v>complete</v>
      </c>
      <c r="M78" s="1" t="str">
        <f aca="false">IF(AND(J78=1,K78="complete",L78="complete"),"complete",IF(H78&gt;0,"blocked","open"))</f>
        <v>open</v>
      </c>
    </row>
    <row r="79" customFormat="false" ht="15" hidden="false" customHeight="true" outlineLevel="0" collapsed="false">
      <c r="A79" s="1" t="s">
        <v>88</v>
      </c>
      <c r="B79" s="1" t="n">
        <f aca="true">INDIRECT("'"&amp;A79&amp;"'!B4")</f>
        <v>31</v>
      </c>
      <c r="C79" s="1" t="n">
        <f aca="true">COUNTIF(INDIRECT("'"&amp;A79&amp;"'!H9:H200"),"not started")</f>
        <v>1</v>
      </c>
      <c r="D79" s="1" t="n">
        <f aca="true">COUNTIF(INDIRECT("'"&amp;A79&amp;"'!H9:H200"),"partial")</f>
        <v>0</v>
      </c>
      <c r="E79" s="1" t="n">
        <f aca="true">COUNTIF(INDIRECT("'"&amp;A79&amp;"'!H9:H200"),"implemented")</f>
        <v>0</v>
      </c>
      <c r="F79" s="1" t="n">
        <f aca="true">COUNTIF(INDIRECT("'"&amp;A79&amp;"'!H9:H200"),"tested")</f>
        <v>29</v>
      </c>
      <c r="G79" s="1" t="n">
        <f aca="true">COUNTIF(INDIRECT("'"&amp;A79&amp;"'!H9:H200"),"verified")</f>
        <v>1</v>
      </c>
      <c r="H79" s="1" t="n">
        <f aca="true">COUNTIF(INDIRECT("'"&amp;A79&amp;"'!H9:H200"),"blocked")</f>
        <v>0</v>
      </c>
      <c r="I79" s="1" t="n">
        <f aca="true">COUNTIF(INDIRECT("'"&amp;A79&amp;"'!H9:H200"),"not applicable")</f>
        <v>0</v>
      </c>
      <c r="J79" s="2" t="n">
        <f aca="true">INDIRECT("'"&amp;A79&amp;"'!H4")</f>
        <v>0.967741935483871</v>
      </c>
      <c r="K79" s="1" t="str">
        <f aca="true">INDIRECT("'"&amp;A79&amp;"'!K4")</f>
        <v>complete</v>
      </c>
      <c r="L79" s="1" t="str">
        <f aca="true">INDIRECT("'"&amp;A79&amp;"'!E5")</f>
        <v>complete</v>
      </c>
      <c r="M79" s="1" t="str">
        <f aca="false">IF(AND(J79=1,K79="complete",L79="complete"),"complete",IF(H79&gt;0,"blocked","open"))</f>
        <v>open</v>
      </c>
    </row>
    <row r="80" customFormat="false" ht="15" hidden="false" customHeight="true" outlineLevel="0" collapsed="false">
      <c r="A80" s="1" t="s">
        <v>89</v>
      </c>
      <c r="B80" s="1" t="n">
        <f aca="true">INDIRECT("'"&amp;A80&amp;"'!B4")</f>
        <v>23</v>
      </c>
      <c r="C80" s="1" t="n">
        <f aca="true">COUNTIF(INDIRECT("'"&amp;A80&amp;"'!H9:H200"),"not started")</f>
        <v>1</v>
      </c>
      <c r="D80" s="1" t="n">
        <f aca="true">COUNTIF(INDIRECT("'"&amp;A80&amp;"'!H9:H200"),"partial")</f>
        <v>0</v>
      </c>
      <c r="E80" s="1" t="n">
        <f aca="true">COUNTIF(INDIRECT("'"&amp;A80&amp;"'!H9:H200"),"implemented")</f>
        <v>0</v>
      </c>
      <c r="F80" s="1" t="n">
        <f aca="true">COUNTIF(INDIRECT("'"&amp;A80&amp;"'!H9:H200"),"tested")</f>
        <v>19</v>
      </c>
      <c r="G80" s="1" t="n">
        <f aca="true">COUNTIF(INDIRECT("'"&amp;A80&amp;"'!H9:H200"),"verified")</f>
        <v>3</v>
      </c>
      <c r="H80" s="1" t="n">
        <f aca="true">COUNTIF(INDIRECT("'"&amp;A80&amp;"'!H9:H200"),"blocked")</f>
        <v>0</v>
      </c>
      <c r="I80" s="1" t="n">
        <f aca="true">COUNTIF(INDIRECT("'"&amp;A80&amp;"'!H9:H200"),"not applicable")</f>
        <v>0</v>
      </c>
      <c r="J80" s="2" t="n">
        <f aca="true">INDIRECT("'"&amp;A80&amp;"'!H4")</f>
        <v>0.956521739130435</v>
      </c>
      <c r="K80" s="1" t="str">
        <f aca="true">INDIRECT("'"&amp;A80&amp;"'!K4")</f>
        <v>open</v>
      </c>
      <c r="L80" s="1" t="str">
        <f aca="true">INDIRECT("'"&amp;A80&amp;"'!E5")</f>
        <v>complete</v>
      </c>
      <c r="M80" s="1" t="str">
        <f aca="false">IF(AND(J80=1,K80="complete",L80="complete"),"complete",IF(H80&gt;0,"blocked","open"))</f>
        <v>open</v>
      </c>
    </row>
    <row r="81" customFormat="false" ht="15" hidden="false" customHeight="true" outlineLevel="0" collapsed="false">
      <c r="A81" s="1" t="s">
        <v>90</v>
      </c>
      <c r="B81" s="1" t="n">
        <f aca="true">INDIRECT("'"&amp;A81&amp;"'!B4")</f>
        <v>22</v>
      </c>
      <c r="C81" s="1" t="n">
        <f aca="true">COUNTIF(INDIRECT("'"&amp;A81&amp;"'!H9:H200"),"not started")</f>
        <v>1</v>
      </c>
      <c r="D81" s="1" t="n">
        <f aca="true">COUNTIF(INDIRECT("'"&amp;A81&amp;"'!H9:H200"),"partial")</f>
        <v>0</v>
      </c>
      <c r="E81" s="1" t="n">
        <f aca="true">COUNTIF(INDIRECT("'"&amp;A81&amp;"'!H9:H200"),"implemented")</f>
        <v>0</v>
      </c>
      <c r="F81" s="1" t="n">
        <f aca="true">COUNTIF(INDIRECT("'"&amp;A81&amp;"'!H9:H200"),"tested")</f>
        <v>21</v>
      </c>
      <c r="G81" s="1" t="n">
        <f aca="true">COUNTIF(INDIRECT("'"&amp;A81&amp;"'!H9:H200"),"verified")</f>
        <v>0</v>
      </c>
      <c r="H81" s="1" t="n">
        <f aca="true">COUNTIF(INDIRECT("'"&amp;A81&amp;"'!H9:H200"),"blocked")</f>
        <v>0</v>
      </c>
      <c r="I81" s="1" t="n">
        <f aca="true">COUNTIF(INDIRECT("'"&amp;A81&amp;"'!H9:H200"),"not applicable")</f>
        <v>0</v>
      </c>
      <c r="J81" s="2" t="n">
        <f aca="true">INDIRECT("'"&amp;A81&amp;"'!H4")</f>
        <v>0.954545454545455</v>
      </c>
      <c r="K81" s="1" t="str">
        <f aca="true">INDIRECT("'"&amp;A81&amp;"'!K4")</f>
        <v>complete</v>
      </c>
      <c r="L81" s="1" t="str">
        <f aca="true">INDIRECT("'"&amp;A81&amp;"'!E5")</f>
        <v>complete</v>
      </c>
      <c r="M81" s="1" t="str">
        <f aca="false">IF(AND(J81=1,K81="complete",L81="complete"),"complete",IF(H81&gt;0,"blocked","open"))</f>
        <v>open</v>
      </c>
    </row>
    <row r="82" customFormat="false" ht="15" hidden="false" customHeight="true" outlineLevel="0" collapsed="false">
      <c r="A82" s="1" t="s">
        <v>91</v>
      </c>
      <c r="B82" s="1" t="n">
        <f aca="true">INDIRECT("'"&amp;A82&amp;"'!B4")</f>
        <v>22</v>
      </c>
      <c r="C82" s="1" t="n">
        <f aca="true">COUNTIF(INDIRECT("'"&amp;A82&amp;"'!H9:H200"),"not started")</f>
        <v>1</v>
      </c>
      <c r="D82" s="1" t="n">
        <f aca="true">COUNTIF(INDIRECT("'"&amp;A82&amp;"'!H9:H200"),"partial")</f>
        <v>0</v>
      </c>
      <c r="E82" s="1" t="n">
        <f aca="true">COUNTIF(INDIRECT("'"&amp;A82&amp;"'!H9:H200"),"implemented")</f>
        <v>0</v>
      </c>
      <c r="F82" s="1" t="n">
        <f aca="true">COUNTIF(INDIRECT("'"&amp;A82&amp;"'!H9:H200"),"tested")</f>
        <v>21</v>
      </c>
      <c r="G82" s="1" t="n">
        <f aca="true">COUNTIF(INDIRECT("'"&amp;A82&amp;"'!H9:H200"),"verified")</f>
        <v>0</v>
      </c>
      <c r="H82" s="1" t="n">
        <f aca="true">COUNTIF(INDIRECT("'"&amp;A82&amp;"'!H9:H200"),"blocked")</f>
        <v>0</v>
      </c>
      <c r="I82" s="1" t="n">
        <f aca="true">COUNTIF(INDIRECT("'"&amp;A82&amp;"'!H9:H200"),"not applicable")</f>
        <v>0</v>
      </c>
      <c r="J82" s="2" t="n">
        <f aca="true">INDIRECT("'"&amp;A82&amp;"'!H4")</f>
        <v>0.954545454545455</v>
      </c>
      <c r="K82" s="1" t="str">
        <f aca="true">INDIRECT("'"&amp;A82&amp;"'!K4")</f>
        <v>complete</v>
      </c>
      <c r="L82" s="1" t="str">
        <f aca="true">INDIRECT("'"&amp;A82&amp;"'!E5")</f>
        <v>complete</v>
      </c>
      <c r="M82" s="1" t="str">
        <f aca="false">IF(AND(J82=1,K82="complete",L82="complete"),"complete",IF(H82&gt;0,"blocked","open"))</f>
        <v>open</v>
      </c>
    </row>
    <row r="83" customFormat="false" ht="15" hidden="false" customHeight="false" outlineLevel="0" collapsed="false">
      <c r="A83" s="1" t="s">
        <v>92</v>
      </c>
      <c r="B83" s="1" t="n">
        <f aca="true">INDIRECT("'"&amp;A83&amp;"'!B4")</f>
        <v>25</v>
      </c>
      <c r="C83" s="1" t="n">
        <f aca="true">COUNTIF(INDIRECT("'"&amp;A83&amp;"'!H9:H200"),"not started")</f>
        <v>5</v>
      </c>
      <c r="D83" s="1" t="n">
        <f aca="true">COUNTIF(INDIRECT("'"&amp;A83&amp;"'!H9:H200"),"partial")</f>
        <v>0</v>
      </c>
      <c r="E83" s="1" t="n">
        <f aca="true">COUNTIF(INDIRECT("'"&amp;A83&amp;"'!H9:H200"),"implemented")</f>
        <v>4</v>
      </c>
      <c r="F83" s="1" t="n">
        <f aca="true">COUNTIF(INDIRECT("'"&amp;A83&amp;"'!H9:H200"),"tested")</f>
        <v>16</v>
      </c>
      <c r="G83" s="1" t="n">
        <f aca="true">COUNTIF(INDIRECT("'"&amp;A83&amp;"'!H9:H200"),"verified")</f>
        <v>0</v>
      </c>
      <c r="H83" s="1" t="n">
        <f aca="true">COUNTIF(INDIRECT("'"&amp;A83&amp;"'!H9:H200"),"blocked")</f>
        <v>0</v>
      </c>
      <c r="I83" s="1" t="n">
        <f aca="true">COUNTIF(INDIRECT("'"&amp;A83&amp;"'!H9:H200"),"not applicable")</f>
        <v>0</v>
      </c>
      <c r="J83" s="2" t="n">
        <f aca="true">INDIRECT("'"&amp;A83&amp;"'!H4")</f>
        <v>0.64</v>
      </c>
      <c r="K83" s="1" t="str">
        <f aca="true">INDIRECT("'"&amp;A83&amp;"'!K4")</f>
        <v>complete</v>
      </c>
      <c r="L83" s="1" t="str">
        <f aca="true">INDIRECT("'"&amp;A83&amp;"'!E5")</f>
        <v>open</v>
      </c>
      <c r="M83" s="1" t="str">
        <f aca="false">IF(AND(J83=1,K83="complete",L83="complete"),"complete",IF(H83&gt;0,"blocked","open"))</f>
        <v>open</v>
      </c>
    </row>
    <row r="84" customFormat="false" ht="15" hidden="false" customHeight="false" outlineLevel="0" collapsed="false">
      <c r="A84" s="1" t="s">
        <v>93</v>
      </c>
      <c r="B84" s="1" t="n">
        <f aca="true">INDIRECT("'"&amp;A84&amp;"'!B4")</f>
        <v>16</v>
      </c>
      <c r="C84" s="1" t="n">
        <f aca="true">COUNTIF(INDIRECT("'"&amp;A84&amp;"'!H9:H200"),"not started")</f>
        <v>0</v>
      </c>
      <c r="D84" s="1" t="n">
        <f aca="true">COUNTIF(INDIRECT("'"&amp;A84&amp;"'!H9:H200"),"partial")</f>
        <v>0</v>
      </c>
      <c r="E84" s="1" t="n">
        <f aca="true">COUNTIF(INDIRECT("'"&amp;A84&amp;"'!H9:H200"),"implemented")</f>
        <v>3</v>
      </c>
      <c r="F84" s="1" t="n">
        <f aca="true">COUNTIF(INDIRECT("'"&amp;A84&amp;"'!H9:H200"),"tested")</f>
        <v>12</v>
      </c>
      <c r="G84" s="1" t="n">
        <f aca="true">COUNTIF(INDIRECT("'"&amp;A84&amp;"'!H9:H200"),"verified")</f>
        <v>1</v>
      </c>
      <c r="H84" s="1" t="n">
        <f aca="true">COUNTIF(INDIRECT("'"&amp;A84&amp;"'!H9:H200"),"blocked")</f>
        <v>0</v>
      </c>
      <c r="I84" s="1" t="n">
        <f aca="true">COUNTIF(INDIRECT("'"&amp;A84&amp;"'!H9:H200"),"not applicable")</f>
        <v>0</v>
      </c>
      <c r="J84" s="2" t="n">
        <f aca="true">INDIRECT("'"&amp;A84&amp;"'!H4")</f>
        <v>0.8125</v>
      </c>
      <c r="K84" s="1" t="str">
        <f aca="true">INDIRECT("'"&amp;A84&amp;"'!K4")</f>
        <v>open</v>
      </c>
      <c r="L84" s="1" t="str">
        <f aca="true">INDIRECT("'"&amp;A84&amp;"'!E5")</f>
        <v>complete</v>
      </c>
      <c r="M84" s="1" t="str">
        <f aca="false">IF(AND(J84=1,K84="complete",L84="complete"),"complete",IF(H84&gt;0,"blocked","open"))</f>
        <v>open</v>
      </c>
    </row>
  </sheetData>
  <autoFilter ref="A7:M83"/>
  <mergeCells count="2">
    <mergeCell ref="A1:M1"/>
    <mergeCell ref="A2:M2"/>
  </mergeCells>
  <conditionalFormatting sqref="M8:M82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94</v>
      </c>
      <c r="B1" s="3"/>
      <c r="C1" s="3"/>
      <c r="D1" s="3"/>
    </row>
    <row r="2" customFormat="false" ht="27.75" hidden="false" customHeight="true" outlineLevel="0" collapsed="false">
      <c r="A2" s="4" t="s">
        <v>95</v>
      </c>
      <c r="B2" s="4"/>
      <c r="C2" s="4"/>
      <c r="D2" s="4"/>
    </row>
    <row r="3" customFormat="false" ht="15" hidden="false" customHeight="true" outlineLevel="0" collapsed="false">
      <c r="A3" s="8" t="s">
        <v>96</v>
      </c>
      <c r="B3" s="8" t="s">
        <v>97</v>
      </c>
    </row>
    <row r="4" customFormat="false" ht="30" hidden="false" customHeight="true" outlineLevel="0" collapsed="false">
      <c r="A4" s="1" t="s">
        <v>98</v>
      </c>
      <c r="B4" s="1" t="s">
        <v>99</v>
      </c>
    </row>
    <row r="5" customFormat="false" ht="30" hidden="false" customHeight="true" outlineLevel="0" collapsed="false">
      <c r="A5" s="1" t="s">
        <v>100</v>
      </c>
      <c r="B5" s="1" t="s">
        <v>101</v>
      </c>
    </row>
    <row r="6" customFormat="false" ht="30" hidden="false" customHeight="true" outlineLevel="0" collapsed="false">
      <c r="A6" s="1" t="s">
        <v>102</v>
      </c>
      <c r="B6" s="1" t="s">
        <v>103</v>
      </c>
    </row>
    <row r="7" customFormat="false" ht="30" hidden="false" customHeight="true" outlineLevel="0" collapsed="false">
      <c r="A7" s="1" t="s">
        <v>104</v>
      </c>
      <c r="B7" s="1" t="s">
        <v>105</v>
      </c>
    </row>
    <row r="8" customFormat="false" ht="30" hidden="false" customHeight="true" outlineLevel="0" collapsed="false">
      <c r="A8" s="1" t="s">
        <v>106</v>
      </c>
      <c r="B8" s="1" t="s">
        <v>107</v>
      </c>
    </row>
    <row r="9" customFormat="false" ht="30" hidden="false" customHeight="true" outlineLevel="0" collapsed="false">
      <c r="A9" s="1" t="s">
        <v>108</v>
      </c>
      <c r="B9" s="1" t="s">
        <v>109</v>
      </c>
    </row>
    <row r="10" customFormat="false" ht="30" hidden="false" customHeight="true" outlineLevel="0" collapsed="false">
      <c r="A10" s="1" t="s">
        <v>110</v>
      </c>
      <c r="B10" s="1" t="s">
        <v>111</v>
      </c>
    </row>
    <row r="11" customFormat="false" ht="30" hidden="false" customHeight="true" outlineLevel="0" collapsed="false">
      <c r="A11" s="1" t="s">
        <v>112</v>
      </c>
      <c r="B11" s="1" t="s">
        <v>113</v>
      </c>
    </row>
    <row r="12" customFormat="false" ht="30" hidden="false" customHeight="true" outlineLevel="0" collapsed="false">
      <c r="A12" s="1" t="s">
        <v>114</v>
      </c>
      <c r="B12" s="1" t="s">
        <v>115</v>
      </c>
    </row>
    <row r="13" customFormat="false" ht="30" hidden="false" customHeight="true" outlineLevel="0" collapsed="false">
      <c r="A13" s="1" t="s">
        <v>116</v>
      </c>
      <c r="B13" s="1" t="s">
        <v>117</v>
      </c>
    </row>
    <row r="14" customFormat="false" ht="30" hidden="false" customHeight="true" outlineLevel="0" collapsed="false">
      <c r="A14" s="1" t="s">
        <v>118</v>
      </c>
      <c r="B14" s="1" t="s">
        <v>119</v>
      </c>
    </row>
    <row r="15" customFormat="false" ht="30" hidden="false" customHeight="true" outlineLevel="0" collapsed="false">
      <c r="A15" s="1" t="s">
        <v>120</v>
      </c>
      <c r="B15" s="1" t="s">
        <v>121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102</v>
      </c>
      <c r="B1" s="1" t="s">
        <v>122</v>
      </c>
    </row>
    <row r="2" customFormat="false" ht="15" hidden="false" customHeight="true" outlineLevel="0" collapsed="false">
      <c r="A2" s="1" t="s">
        <v>104</v>
      </c>
      <c r="B2" s="1" t="s">
        <v>123</v>
      </c>
    </row>
    <row r="3" customFormat="false" ht="15" hidden="false" customHeight="true" outlineLevel="0" collapsed="false">
      <c r="A3" s="1" t="s">
        <v>106</v>
      </c>
    </row>
    <row r="4" customFormat="false" ht="15" hidden="false" customHeight="true" outlineLevel="0" collapsed="false">
      <c r="A4" s="1" t="s">
        <v>108</v>
      </c>
    </row>
    <row r="5" customFormat="false" ht="15" hidden="false" customHeight="true" outlineLevel="0" collapsed="false">
      <c r="A5" s="1" t="s">
        <v>110</v>
      </c>
    </row>
    <row r="6" customFormat="false" ht="15" hidden="false" customHeight="true" outlineLevel="0" collapsed="false">
      <c r="A6" s="1" t="s">
        <v>112</v>
      </c>
    </row>
    <row r="7" customFormat="false" ht="15" hidden="false" customHeight="true" outlineLevel="0" collapsed="false">
      <c r="A7" s="1" t="s">
        <v>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140</v>
      </c>
      <c r="B9" s="1" t="s">
        <v>141</v>
      </c>
      <c r="C9" s="1" t="s">
        <v>142</v>
      </c>
      <c r="D9" s="1" t="s">
        <v>143</v>
      </c>
      <c r="E9" s="1" t="s">
        <v>144</v>
      </c>
      <c r="F9" s="1" t="s">
        <v>145</v>
      </c>
      <c r="G9" s="1" t="s">
        <v>146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147</v>
      </c>
      <c r="B10" s="1" t="s">
        <v>148</v>
      </c>
      <c r="C10" s="1" t="s">
        <v>142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151</v>
      </c>
      <c r="B11" s="1" t="s">
        <v>152</v>
      </c>
      <c r="C11" s="1" t="s">
        <v>142</v>
      </c>
      <c r="D11" s="1" t="s">
        <v>153</v>
      </c>
      <c r="E11" s="1" t="s">
        <v>144</v>
      </c>
      <c r="F11" s="1" t="s">
        <v>154</v>
      </c>
      <c r="G11" s="1" t="s">
        <v>155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156</v>
      </c>
      <c r="B12" s="1" t="s">
        <v>157</v>
      </c>
      <c r="C12" s="1" t="s">
        <v>142</v>
      </c>
      <c r="D12" s="1" t="s">
        <v>158</v>
      </c>
      <c r="E12" s="1" t="s">
        <v>144</v>
      </c>
      <c r="F12" s="1" t="s">
        <v>159</v>
      </c>
      <c r="G12" s="1" t="s">
        <v>160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161</v>
      </c>
      <c r="B13" s="1" t="s">
        <v>162</v>
      </c>
      <c r="C13" s="1" t="s">
        <v>142</v>
      </c>
      <c r="D13" s="1" t="s">
        <v>163</v>
      </c>
      <c r="E13" s="1" t="s">
        <v>144</v>
      </c>
      <c r="F13" s="1" t="s">
        <v>164</v>
      </c>
      <c r="G13" s="1" t="s">
        <v>165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166</v>
      </c>
      <c r="B14" s="1" t="s">
        <v>167</v>
      </c>
      <c r="C14" s="1" t="s">
        <v>142</v>
      </c>
      <c r="D14" s="1" t="s">
        <v>168</v>
      </c>
      <c r="E14" s="1" t="s">
        <v>144</v>
      </c>
      <c r="F14" s="1" t="s">
        <v>169</v>
      </c>
      <c r="G14" s="1" t="s">
        <v>170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171</v>
      </c>
      <c r="B15" s="1" t="s">
        <v>172</v>
      </c>
      <c r="C15" s="1" t="s">
        <v>142</v>
      </c>
      <c r="D15" s="1" t="s">
        <v>173</v>
      </c>
      <c r="E15" s="1" t="s">
        <v>144</v>
      </c>
      <c r="F15" s="1" t="s">
        <v>174</v>
      </c>
      <c r="G15" s="1" t="s">
        <v>175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176</v>
      </c>
      <c r="B16" s="1" t="s">
        <v>177</v>
      </c>
      <c r="C16" s="1" t="s">
        <v>142</v>
      </c>
      <c r="D16" s="1" t="s">
        <v>178</v>
      </c>
      <c r="E16" s="1" t="s">
        <v>144</v>
      </c>
      <c r="F16" s="1" t="s">
        <v>179</v>
      </c>
      <c r="G16" s="1" t="s">
        <v>180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182</v>
      </c>
      <c r="B17" s="1" t="s">
        <v>183</v>
      </c>
      <c r="C17" s="1" t="s">
        <v>142</v>
      </c>
      <c r="D17" s="1" t="s">
        <v>184</v>
      </c>
      <c r="E17" s="1" t="s">
        <v>144</v>
      </c>
      <c r="F17" s="1" t="s">
        <v>185</v>
      </c>
      <c r="G17" s="1" t="s">
        <v>186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188</v>
      </c>
      <c r="B18" s="1" t="s">
        <v>189</v>
      </c>
      <c r="C18" s="1" t="s">
        <v>142</v>
      </c>
      <c r="D18" s="1" t="s">
        <v>190</v>
      </c>
      <c r="E18" s="1" t="s">
        <v>144</v>
      </c>
      <c r="F18" s="1" t="s">
        <v>185</v>
      </c>
      <c r="G18" s="1" t="s">
        <v>186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191</v>
      </c>
      <c r="B19" s="1" t="s">
        <v>192</v>
      </c>
      <c r="C19" s="1" t="s">
        <v>142</v>
      </c>
      <c r="D19" s="1" t="s">
        <v>193</v>
      </c>
      <c r="E19" s="1" t="s">
        <v>144</v>
      </c>
      <c r="F19" s="1" t="s">
        <v>185</v>
      </c>
      <c r="G19" s="1" t="s">
        <v>194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196</v>
      </c>
      <c r="B20" s="1" t="s">
        <v>197</v>
      </c>
      <c r="C20" s="1" t="s">
        <v>142</v>
      </c>
      <c r="D20" s="1" t="s">
        <v>198</v>
      </c>
      <c r="E20" s="1" t="s">
        <v>144</v>
      </c>
      <c r="F20" s="1" t="s">
        <v>185</v>
      </c>
      <c r="G20" s="1" t="s">
        <v>186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200</v>
      </c>
      <c r="B21" s="1" t="s">
        <v>201</v>
      </c>
      <c r="C21" s="1" t="s">
        <v>142</v>
      </c>
      <c r="D21" s="1" t="s">
        <v>202</v>
      </c>
      <c r="E21" s="1" t="s">
        <v>144</v>
      </c>
      <c r="F21" s="1" t="s">
        <v>203</v>
      </c>
      <c r="G21" s="1" t="s">
        <v>204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205</v>
      </c>
      <c r="B22" s="1" t="s">
        <v>206</v>
      </c>
      <c r="C22" s="1" t="s">
        <v>142</v>
      </c>
      <c r="D22" s="1" t="s">
        <v>207</v>
      </c>
      <c r="E22" s="1" t="s">
        <v>144</v>
      </c>
      <c r="F22" s="1" t="s">
        <v>203</v>
      </c>
      <c r="G22" s="1" t="s">
        <v>208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209</v>
      </c>
      <c r="B23" s="1" t="s">
        <v>210</v>
      </c>
      <c r="C23" s="1" t="s">
        <v>142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214</v>
      </c>
      <c r="B24" s="1" t="s">
        <v>215</v>
      </c>
      <c r="C24" s="1" t="s">
        <v>142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219</v>
      </c>
      <c r="B9" s="1" t="s">
        <v>141</v>
      </c>
      <c r="C9" s="1" t="s">
        <v>220</v>
      </c>
      <c r="D9" s="1" t="s">
        <v>143</v>
      </c>
      <c r="E9" s="1" t="s">
        <v>144</v>
      </c>
      <c r="F9" s="1" t="s">
        <v>145</v>
      </c>
      <c r="G9" s="1" t="s">
        <v>221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222</v>
      </c>
      <c r="B10" s="1" t="s">
        <v>148</v>
      </c>
      <c r="C10" s="1" t="s">
        <v>220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223</v>
      </c>
      <c r="B11" s="1" t="s">
        <v>152</v>
      </c>
      <c r="C11" s="1" t="s">
        <v>220</v>
      </c>
      <c r="D11" s="1" t="s">
        <v>153</v>
      </c>
      <c r="E11" s="1" t="s">
        <v>144</v>
      </c>
      <c r="F11" s="1" t="s">
        <v>154</v>
      </c>
      <c r="G11" s="1" t="s">
        <v>224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225</v>
      </c>
      <c r="B12" s="1" t="s">
        <v>157</v>
      </c>
      <c r="C12" s="1" t="s">
        <v>220</v>
      </c>
      <c r="D12" s="1" t="s">
        <v>158</v>
      </c>
      <c r="E12" s="1" t="s">
        <v>144</v>
      </c>
      <c r="F12" s="1" t="s">
        <v>159</v>
      </c>
      <c r="G12" s="1" t="s">
        <v>226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227</v>
      </c>
      <c r="B13" s="1" t="s">
        <v>162</v>
      </c>
      <c r="C13" s="1" t="s">
        <v>220</v>
      </c>
      <c r="D13" s="1" t="s">
        <v>163</v>
      </c>
      <c r="E13" s="1" t="s">
        <v>144</v>
      </c>
      <c r="F13" s="1" t="s">
        <v>164</v>
      </c>
      <c r="G13" s="1" t="s">
        <v>228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229</v>
      </c>
      <c r="B14" s="1" t="s">
        <v>167</v>
      </c>
      <c r="C14" s="1" t="s">
        <v>220</v>
      </c>
      <c r="D14" s="1" t="s">
        <v>168</v>
      </c>
      <c r="E14" s="1" t="s">
        <v>144</v>
      </c>
      <c r="F14" s="1" t="s">
        <v>169</v>
      </c>
      <c r="G14" s="1" t="s">
        <v>230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231</v>
      </c>
      <c r="B15" s="1" t="s">
        <v>172</v>
      </c>
      <c r="C15" s="1" t="s">
        <v>220</v>
      </c>
      <c r="D15" s="1" t="s">
        <v>173</v>
      </c>
      <c r="E15" s="1" t="s">
        <v>144</v>
      </c>
      <c r="F15" s="1" t="s">
        <v>174</v>
      </c>
      <c r="G15" s="1" t="s">
        <v>232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233</v>
      </c>
      <c r="B16" s="1" t="s">
        <v>177</v>
      </c>
      <c r="C16" s="1" t="s">
        <v>220</v>
      </c>
      <c r="D16" s="1" t="s">
        <v>178</v>
      </c>
      <c r="E16" s="1" t="s">
        <v>144</v>
      </c>
      <c r="F16" s="1" t="s">
        <v>179</v>
      </c>
      <c r="G16" s="1" t="s">
        <v>234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235</v>
      </c>
      <c r="B17" s="1" t="s">
        <v>183</v>
      </c>
      <c r="C17" s="1" t="s">
        <v>220</v>
      </c>
      <c r="D17" s="1" t="s">
        <v>184</v>
      </c>
      <c r="E17" s="1" t="s">
        <v>144</v>
      </c>
      <c r="F17" s="1" t="s">
        <v>185</v>
      </c>
      <c r="G17" s="1" t="s">
        <v>236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237</v>
      </c>
      <c r="B18" s="1" t="s">
        <v>189</v>
      </c>
      <c r="C18" s="1" t="s">
        <v>220</v>
      </c>
      <c r="D18" s="1" t="s">
        <v>190</v>
      </c>
      <c r="E18" s="1" t="s">
        <v>144</v>
      </c>
      <c r="F18" s="1" t="s">
        <v>185</v>
      </c>
      <c r="G18" s="1" t="s">
        <v>236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238</v>
      </c>
      <c r="B19" s="1" t="s">
        <v>192</v>
      </c>
      <c r="C19" s="1" t="s">
        <v>220</v>
      </c>
      <c r="D19" s="1" t="s">
        <v>193</v>
      </c>
      <c r="E19" s="1" t="s">
        <v>144</v>
      </c>
      <c r="F19" s="1" t="s">
        <v>185</v>
      </c>
      <c r="G19" s="1" t="s">
        <v>239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240</v>
      </c>
      <c r="B20" s="1" t="s">
        <v>197</v>
      </c>
      <c r="C20" s="1" t="s">
        <v>220</v>
      </c>
      <c r="D20" s="1" t="s">
        <v>198</v>
      </c>
      <c r="E20" s="1" t="s">
        <v>144</v>
      </c>
      <c r="F20" s="1" t="s">
        <v>185</v>
      </c>
      <c r="G20" s="1" t="s">
        <v>236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241</v>
      </c>
      <c r="B21" s="1" t="s">
        <v>201</v>
      </c>
      <c r="C21" s="1" t="s">
        <v>220</v>
      </c>
      <c r="D21" s="1" t="s">
        <v>202</v>
      </c>
      <c r="E21" s="1" t="s">
        <v>144</v>
      </c>
      <c r="F21" s="1" t="s">
        <v>203</v>
      </c>
      <c r="G21" s="1" t="s">
        <v>242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243</v>
      </c>
      <c r="B22" s="1" t="s">
        <v>206</v>
      </c>
      <c r="C22" s="1" t="s">
        <v>220</v>
      </c>
      <c r="D22" s="1" t="s">
        <v>207</v>
      </c>
      <c r="E22" s="1" t="s">
        <v>144</v>
      </c>
      <c r="F22" s="1" t="s">
        <v>203</v>
      </c>
      <c r="G22" s="1" t="s">
        <v>244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245</v>
      </c>
      <c r="B23" s="1" t="s">
        <v>210</v>
      </c>
      <c r="C23" s="1" t="s">
        <v>220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246</v>
      </c>
      <c r="B24" s="1" t="s">
        <v>215</v>
      </c>
      <c r="C24" s="1" t="s">
        <v>220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248</v>
      </c>
      <c r="B9" s="1" t="s">
        <v>141</v>
      </c>
      <c r="C9" s="1" t="s">
        <v>19</v>
      </c>
      <c r="D9" s="1" t="s">
        <v>143</v>
      </c>
      <c r="E9" s="1" t="s">
        <v>144</v>
      </c>
      <c r="F9" s="1" t="s">
        <v>145</v>
      </c>
      <c r="G9" s="1" t="s">
        <v>249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250</v>
      </c>
      <c r="B10" s="1" t="s">
        <v>148</v>
      </c>
      <c r="C10" s="1" t="s">
        <v>19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251</v>
      </c>
      <c r="B11" s="1" t="s">
        <v>152</v>
      </c>
      <c r="C11" s="1" t="s">
        <v>19</v>
      </c>
      <c r="D11" s="1" t="s">
        <v>153</v>
      </c>
      <c r="E11" s="1" t="s">
        <v>144</v>
      </c>
      <c r="F11" s="1" t="s">
        <v>154</v>
      </c>
      <c r="G11" s="1" t="s">
        <v>252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253</v>
      </c>
      <c r="B12" s="1" t="s">
        <v>157</v>
      </c>
      <c r="C12" s="1" t="s">
        <v>19</v>
      </c>
      <c r="D12" s="1" t="s">
        <v>158</v>
      </c>
      <c r="E12" s="1" t="s">
        <v>144</v>
      </c>
      <c r="F12" s="1" t="s">
        <v>159</v>
      </c>
      <c r="G12" s="1" t="s">
        <v>254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255</v>
      </c>
      <c r="B13" s="1" t="s">
        <v>162</v>
      </c>
      <c r="C13" s="1" t="s">
        <v>19</v>
      </c>
      <c r="D13" s="1" t="s">
        <v>163</v>
      </c>
      <c r="E13" s="1" t="s">
        <v>144</v>
      </c>
      <c r="F13" s="1" t="s">
        <v>164</v>
      </c>
      <c r="G13" s="1" t="s">
        <v>256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257</v>
      </c>
      <c r="B14" s="1" t="s">
        <v>167</v>
      </c>
      <c r="C14" s="1" t="s">
        <v>19</v>
      </c>
      <c r="D14" s="1" t="s">
        <v>168</v>
      </c>
      <c r="E14" s="1" t="s">
        <v>144</v>
      </c>
      <c r="F14" s="1" t="s">
        <v>169</v>
      </c>
      <c r="G14" s="1" t="s">
        <v>258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259</v>
      </c>
      <c r="B15" s="1" t="s">
        <v>172</v>
      </c>
      <c r="C15" s="1" t="s">
        <v>19</v>
      </c>
      <c r="D15" s="1" t="s">
        <v>173</v>
      </c>
      <c r="E15" s="1" t="s">
        <v>144</v>
      </c>
      <c r="F15" s="1" t="s">
        <v>174</v>
      </c>
      <c r="G15" s="1" t="s">
        <v>260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261</v>
      </c>
      <c r="B16" s="1" t="s">
        <v>177</v>
      </c>
      <c r="C16" s="1" t="s">
        <v>19</v>
      </c>
      <c r="D16" s="1" t="s">
        <v>178</v>
      </c>
      <c r="E16" s="1" t="s">
        <v>144</v>
      </c>
      <c r="F16" s="1" t="s">
        <v>179</v>
      </c>
      <c r="G16" s="1" t="s">
        <v>262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263</v>
      </c>
      <c r="B17" s="1" t="s">
        <v>183</v>
      </c>
      <c r="C17" s="1" t="s">
        <v>19</v>
      </c>
      <c r="D17" s="1" t="s">
        <v>184</v>
      </c>
      <c r="E17" s="1" t="s">
        <v>144</v>
      </c>
      <c r="F17" s="1" t="s">
        <v>185</v>
      </c>
      <c r="G17" s="1" t="s">
        <v>264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265</v>
      </c>
      <c r="B18" s="1" t="s">
        <v>189</v>
      </c>
      <c r="C18" s="1" t="s">
        <v>19</v>
      </c>
      <c r="D18" s="1" t="s">
        <v>190</v>
      </c>
      <c r="E18" s="1" t="s">
        <v>144</v>
      </c>
      <c r="F18" s="1" t="s">
        <v>185</v>
      </c>
      <c r="G18" s="1" t="s">
        <v>264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266</v>
      </c>
      <c r="B19" s="1" t="s">
        <v>192</v>
      </c>
      <c r="C19" s="1" t="s">
        <v>19</v>
      </c>
      <c r="D19" s="1" t="s">
        <v>193</v>
      </c>
      <c r="E19" s="1" t="s">
        <v>144</v>
      </c>
      <c r="F19" s="1" t="s">
        <v>185</v>
      </c>
      <c r="G19" s="1" t="s">
        <v>267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268</v>
      </c>
      <c r="B20" s="1" t="s">
        <v>197</v>
      </c>
      <c r="C20" s="1" t="s">
        <v>19</v>
      </c>
      <c r="D20" s="1" t="s">
        <v>198</v>
      </c>
      <c r="E20" s="1" t="s">
        <v>144</v>
      </c>
      <c r="F20" s="1" t="s">
        <v>185</v>
      </c>
      <c r="G20" s="1" t="s">
        <v>264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269</v>
      </c>
      <c r="B21" s="1" t="s">
        <v>201</v>
      </c>
      <c r="C21" s="1" t="s">
        <v>19</v>
      </c>
      <c r="D21" s="1" t="s">
        <v>202</v>
      </c>
      <c r="E21" s="1" t="s">
        <v>144</v>
      </c>
      <c r="F21" s="1" t="s">
        <v>203</v>
      </c>
      <c r="G21" s="1" t="s">
        <v>270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271</v>
      </c>
      <c r="B22" s="1" t="s">
        <v>206</v>
      </c>
      <c r="C22" s="1" t="s">
        <v>19</v>
      </c>
      <c r="D22" s="1" t="s">
        <v>207</v>
      </c>
      <c r="E22" s="1" t="s">
        <v>144</v>
      </c>
      <c r="F22" s="1" t="s">
        <v>203</v>
      </c>
      <c r="G22" s="1" t="s">
        <v>272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273</v>
      </c>
      <c r="B23" s="1" t="s">
        <v>210</v>
      </c>
      <c r="C23" s="1" t="s">
        <v>19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274</v>
      </c>
      <c r="B24" s="1" t="s">
        <v>215</v>
      </c>
      <c r="C24" s="1" t="s">
        <v>19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276</v>
      </c>
      <c r="B9" s="1" t="s">
        <v>141</v>
      </c>
      <c r="C9" s="1" t="s">
        <v>20</v>
      </c>
      <c r="D9" s="1" t="s">
        <v>143</v>
      </c>
      <c r="E9" s="1" t="s">
        <v>144</v>
      </c>
      <c r="F9" s="1" t="s">
        <v>145</v>
      </c>
      <c r="G9" s="1" t="s">
        <v>277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278</v>
      </c>
      <c r="B10" s="1" t="s">
        <v>148</v>
      </c>
      <c r="C10" s="1" t="s">
        <v>20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279</v>
      </c>
      <c r="B11" s="1" t="s">
        <v>152</v>
      </c>
      <c r="C11" s="1" t="s">
        <v>20</v>
      </c>
      <c r="D11" s="1" t="s">
        <v>153</v>
      </c>
      <c r="E11" s="1" t="s">
        <v>144</v>
      </c>
      <c r="F11" s="1" t="s">
        <v>154</v>
      </c>
      <c r="G11" s="1" t="s">
        <v>280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281</v>
      </c>
      <c r="B12" s="1" t="s">
        <v>157</v>
      </c>
      <c r="C12" s="1" t="s">
        <v>20</v>
      </c>
      <c r="D12" s="1" t="s">
        <v>158</v>
      </c>
      <c r="E12" s="1" t="s">
        <v>144</v>
      </c>
      <c r="F12" s="1" t="s">
        <v>159</v>
      </c>
      <c r="G12" s="1" t="s">
        <v>282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283</v>
      </c>
      <c r="B13" s="1" t="s">
        <v>162</v>
      </c>
      <c r="C13" s="1" t="s">
        <v>20</v>
      </c>
      <c r="D13" s="1" t="s">
        <v>163</v>
      </c>
      <c r="E13" s="1" t="s">
        <v>144</v>
      </c>
      <c r="F13" s="1" t="s">
        <v>164</v>
      </c>
      <c r="G13" s="1" t="s">
        <v>284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285</v>
      </c>
      <c r="B14" s="1" t="s">
        <v>167</v>
      </c>
      <c r="C14" s="1" t="s">
        <v>20</v>
      </c>
      <c r="D14" s="1" t="s">
        <v>168</v>
      </c>
      <c r="E14" s="1" t="s">
        <v>144</v>
      </c>
      <c r="F14" s="1" t="s">
        <v>169</v>
      </c>
      <c r="G14" s="1" t="s">
        <v>286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287</v>
      </c>
      <c r="B15" s="1" t="s">
        <v>172</v>
      </c>
      <c r="C15" s="1" t="s">
        <v>20</v>
      </c>
      <c r="D15" s="1" t="s">
        <v>173</v>
      </c>
      <c r="E15" s="1" t="s">
        <v>144</v>
      </c>
      <c r="F15" s="1" t="s">
        <v>174</v>
      </c>
      <c r="G15" s="1" t="s">
        <v>288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289</v>
      </c>
      <c r="B16" s="1" t="s">
        <v>177</v>
      </c>
      <c r="C16" s="1" t="s">
        <v>20</v>
      </c>
      <c r="D16" s="1" t="s">
        <v>178</v>
      </c>
      <c r="E16" s="1" t="s">
        <v>144</v>
      </c>
      <c r="F16" s="1" t="s">
        <v>179</v>
      </c>
      <c r="G16" s="1" t="s">
        <v>290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291</v>
      </c>
      <c r="B17" s="1" t="s">
        <v>183</v>
      </c>
      <c r="C17" s="1" t="s">
        <v>20</v>
      </c>
      <c r="D17" s="1" t="s">
        <v>184</v>
      </c>
      <c r="E17" s="1" t="s">
        <v>144</v>
      </c>
      <c r="F17" s="1" t="s">
        <v>185</v>
      </c>
      <c r="G17" s="1" t="s">
        <v>292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293</v>
      </c>
      <c r="B18" s="1" t="s">
        <v>189</v>
      </c>
      <c r="C18" s="1" t="s">
        <v>20</v>
      </c>
      <c r="D18" s="1" t="s">
        <v>190</v>
      </c>
      <c r="E18" s="1" t="s">
        <v>144</v>
      </c>
      <c r="F18" s="1" t="s">
        <v>185</v>
      </c>
      <c r="G18" s="1" t="s">
        <v>292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294</v>
      </c>
      <c r="B19" s="1" t="s">
        <v>192</v>
      </c>
      <c r="C19" s="1" t="s">
        <v>20</v>
      </c>
      <c r="D19" s="1" t="s">
        <v>193</v>
      </c>
      <c r="E19" s="1" t="s">
        <v>144</v>
      </c>
      <c r="F19" s="1" t="s">
        <v>185</v>
      </c>
      <c r="G19" s="1" t="s">
        <v>295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296</v>
      </c>
      <c r="B20" s="1" t="s">
        <v>197</v>
      </c>
      <c r="C20" s="1" t="s">
        <v>20</v>
      </c>
      <c r="D20" s="1" t="s">
        <v>198</v>
      </c>
      <c r="E20" s="1" t="s">
        <v>144</v>
      </c>
      <c r="F20" s="1" t="s">
        <v>185</v>
      </c>
      <c r="G20" s="1" t="s">
        <v>292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297</v>
      </c>
      <c r="B21" s="1" t="s">
        <v>201</v>
      </c>
      <c r="C21" s="1" t="s">
        <v>20</v>
      </c>
      <c r="D21" s="1" t="s">
        <v>202</v>
      </c>
      <c r="E21" s="1" t="s">
        <v>144</v>
      </c>
      <c r="F21" s="1" t="s">
        <v>203</v>
      </c>
      <c r="G21" s="1" t="s">
        <v>298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299</v>
      </c>
      <c r="B22" s="1" t="s">
        <v>206</v>
      </c>
      <c r="C22" s="1" t="s">
        <v>20</v>
      </c>
      <c r="D22" s="1" t="s">
        <v>207</v>
      </c>
      <c r="E22" s="1" t="s">
        <v>144</v>
      </c>
      <c r="F22" s="1" t="s">
        <v>203</v>
      </c>
      <c r="G22" s="1" t="s">
        <v>300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301</v>
      </c>
      <c r="B23" s="1" t="s">
        <v>210</v>
      </c>
      <c r="C23" s="1" t="s">
        <v>20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302</v>
      </c>
      <c r="B24" s="1" t="s">
        <v>215</v>
      </c>
      <c r="C24" s="1" t="s">
        <v>20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276</v>
      </c>
      <c r="B9" s="1" t="s">
        <v>141</v>
      </c>
      <c r="C9" s="1" t="s">
        <v>21</v>
      </c>
      <c r="D9" s="1" t="s">
        <v>143</v>
      </c>
      <c r="E9" s="1" t="s">
        <v>144</v>
      </c>
      <c r="F9" s="1" t="s">
        <v>145</v>
      </c>
      <c r="G9" s="1" t="s">
        <v>304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278</v>
      </c>
      <c r="B10" s="1" t="s">
        <v>148</v>
      </c>
      <c r="C10" s="1" t="s">
        <v>21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279</v>
      </c>
      <c r="B11" s="1" t="s">
        <v>152</v>
      </c>
      <c r="C11" s="1" t="s">
        <v>21</v>
      </c>
      <c r="D11" s="1" t="s">
        <v>153</v>
      </c>
      <c r="E11" s="1" t="s">
        <v>144</v>
      </c>
      <c r="F11" s="1" t="s">
        <v>154</v>
      </c>
      <c r="G11" s="1" t="s">
        <v>305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281</v>
      </c>
      <c r="B12" s="1" t="s">
        <v>157</v>
      </c>
      <c r="C12" s="1" t="s">
        <v>21</v>
      </c>
      <c r="D12" s="1" t="s">
        <v>158</v>
      </c>
      <c r="E12" s="1" t="s">
        <v>144</v>
      </c>
      <c r="F12" s="1" t="s">
        <v>159</v>
      </c>
      <c r="G12" s="1" t="s">
        <v>306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283</v>
      </c>
      <c r="B13" s="1" t="s">
        <v>162</v>
      </c>
      <c r="C13" s="1" t="s">
        <v>21</v>
      </c>
      <c r="D13" s="1" t="s">
        <v>163</v>
      </c>
      <c r="E13" s="1" t="s">
        <v>144</v>
      </c>
      <c r="F13" s="1" t="s">
        <v>164</v>
      </c>
      <c r="G13" s="1" t="s">
        <v>307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285</v>
      </c>
      <c r="B14" s="1" t="s">
        <v>167</v>
      </c>
      <c r="C14" s="1" t="s">
        <v>21</v>
      </c>
      <c r="D14" s="1" t="s">
        <v>168</v>
      </c>
      <c r="E14" s="1" t="s">
        <v>144</v>
      </c>
      <c r="F14" s="1" t="s">
        <v>169</v>
      </c>
      <c r="G14" s="1" t="s">
        <v>308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287</v>
      </c>
      <c r="B15" s="1" t="s">
        <v>172</v>
      </c>
      <c r="C15" s="1" t="s">
        <v>21</v>
      </c>
      <c r="D15" s="1" t="s">
        <v>173</v>
      </c>
      <c r="E15" s="1" t="s">
        <v>144</v>
      </c>
      <c r="F15" s="1" t="s">
        <v>174</v>
      </c>
      <c r="G15" s="1" t="s">
        <v>309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289</v>
      </c>
      <c r="B16" s="1" t="s">
        <v>177</v>
      </c>
      <c r="C16" s="1" t="s">
        <v>21</v>
      </c>
      <c r="D16" s="1" t="s">
        <v>178</v>
      </c>
      <c r="E16" s="1" t="s">
        <v>144</v>
      </c>
      <c r="F16" s="1" t="s">
        <v>179</v>
      </c>
      <c r="G16" s="1" t="s">
        <v>310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291</v>
      </c>
      <c r="B17" s="1" t="s">
        <v>183</v>
      </c>
      <c r="C17" s="1" t="s">
        <v>21</v>
      </c>
      <c r="D17" s="1" t="s">
        <v>184</v>
      </c>
      <c r="E17" s="1" t="s">
        <v>144</v>
      </c>
      <c r="F17" s="1" t="s">
        <v>185</v>
      </c>
      <c r="G17" s="1" t="s">
        <v>311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293</v>
      </c>
      <c r="B18" s="1" t="s">
        <v>189</v>
      </c>
      <c r="C18" s="1" t="s">
        <v>21</v>
      </c>
      <c r="D18" s="1" t="s">
        <v>190</v>
      </c>
      <c r="E18" s="1" t="s">
        <v>144</v>
      </c>
      <c r="F18" s="1" t="s">
        <v>185</v>
      </c>
      <c r="G18" s="1" t="s">
        <v>311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294</v>
      </c>
      <c r="B19" s="1" t="s">
        <v>192</v>
      </c>
      <c r="C19" s="1" t="s">
        <v>21</v>
      </c>
      <c r="D19" s="1" t="s">
        <v>193</v>
      </c>
      <c r="E19" s="1" t="s">
        <v>144</v>
      </c>
      <c r="F19" s="1" t="s">
        <v>185</v>
      </c>
      <c r="G19" s="1" t="s">
        <v>312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296</v>
      </c>
      <c r="B20" s="1" t="s">
        <v>197</v>
      </c>
      <c r="C20" s="1" t="s">
        <v>21</v>
      </c>
      <c r="D20" s="1" t="s">
        <v>198</v>
      </c>
      <c r="E20" s="1" t="s">
        <v>144</v>
      </c>
      <c r="F20" s="1" t="s">
        <v>185</v>
      </c>
      <c r="G20" s="1" t="s">
        <v>311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297</v>
      </c>
      <c r="B21" s="1" t="s">
        <v>201</v>
      </c>
      <c r="C21" s="1" t="s">
        <v>21</v>
      </c>
      <c r="D21" s="1" t="s">
        <v>202</v>
      </c>
      <c r="E21" s="1" t="s">
        <v>144</v>
      </c>
      <c r="F21" s="1" t="s">
        <v>203</v>
      </c>
      <c r="G21" s="1" t="s">
        <v>313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299</v>
      </c>
      <c r="B22" s="1" t="s">
        <v>206</v>
      </c>
      <c r="C22" s="1" t="s">
        <v>21</v>
      </c>
      <c r="D22" s="1" t="s">
        <v>207</v>
      </c>
      <c r="E22" s="1" t="s">
        <v>144</v>
      </c>
      <c r="F22" s="1" t="s">
        <v>203</v>
      </c>
      <c r="G22" s="1" t="s">
        <v>314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301</v>
      </c>
      <c r="B23" s="1" t="s">
        <v>210</v>
      </c>
      <c r="C23" s="1" t="s">
        <v>21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302</v>
      </c>
      <c r="B24" s="1" t="s">
        <v>215</v>
      </c>
      <c r="C24" s="1" t="s">
        <v>21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316</v>
      </c>
      <c r="B9" s="1" t="s">
        <v>141</v>
      </c>
      <c r="C9" s="1" t="s">
        <v>22</v>
      </c>
      <c r="D9" s="1" t="s">
        <v>143</v>
      </c>
      <c r="E9" s="1" t="s">
        <v>144</v>
      </c>
      <c r="F9" s="1" t="s">
        <v>145</v>
      </c>
      <c r="G9" s="1" t="s">
        <v>317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318</v>
      </c>
      <c r="B10" s="1" t="s">
        <v>148</v>
      </c>
      <c r="C10" s="1" t="s">
        <v>22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319</v>
      </c>
      <c r="B11" s="1" t="s">
        <v>152</v>
      </c>
      <c r="C11" s="1" t="s">
        <v>22</v>
      </c>
      <c r="D11" s="1" t="s">
        <v>153</v>
      </c>
      <c r="E11" s="1" t="s">
        <v>144</v>
      </c>
      <c r="F11" s="1" t="s">
        <v>154</v>
      </c>
      <c r="G11" s="1" t="s">
        <v>320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321</v>
      </c>
      <c r="B12" s="1" t="s">
        <v>157</v>
      </c>
      <c r="C12" s="1" t="s">
        <v>22</v>
      </c>
      <c r="D12" s="1" t="s">
        <v>158</v>
      </c>
      <c r="E12" s="1" t="s">
        <v>144</v>
      </c>
      <c r="F12" s="1" t="s">
        <v>159</v>
      </c>
      <c r="G12" s="1" t="s">
        <v>322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323</v>
      </c>
      <c r="B13" s="1" t="s">
        <v>162</v>
      </c>
      <c r="C13" s="1" t="s">
        <v>22</v>
      </c>
      <c r="D13" s="1" t="s">
        <v>163</v>
      </c>
      <c r="E13" s="1" t="s">
        <v>144</v>
      </c>
      <c r="F13" s="1" t="s">
        <v>164</v>
      </c>
      <c r="G13" s="1" t="s">
        <v>324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325</v>
      </c>
      <c r="B14" s="1" t="s">
        <v>167</v>
      </c>
      <c r="C14" s="1" t="s">
        <v>22</v>
      </c>
      <c r="D14" s="1" t="s">
        <v>168</v>
      </c>
      <c r="E14" s="1" t="s">
        <v>144</v>
      </c>
      <c r="F14" s="1" t="s">
        <v>169</v>
      </c>
      <c r="G14" s="1" t="s">
        <v>326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327</v>
      </c>
      <c r="B15" s="1" t="s">
        <v>172</v>
      </c>
      <c r="C15" s="1" t="s">
        <v>22</v>
      </c>
      <c r="D15" s="1" t="s">
        <v>173</v>
      </c>
      <c r="E15" s="1" t="s">
        <v>144</v>
      </c>
      <c r="F15" s="1" t="s">
        <v>174</v>
      </c>
      <c r="G15" s="1" t="s">
        <v>328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329</v>
      </c>
      <c r="B16" s="1" t="s">
        <v>177</v>
      </c>
      <c r="C16" s="1" t="s">
        <v>22</v>
      </c>
      <c r="D16" s="1" t="s">
        <v>178</v>
      </c>
      <c r="E16" s="1" t="s">
        <v>144</v>
      </c>
      <c r="F16" s="1" t="s">
        <v>179</v>
      </c>
      <c r="G16" s="1" t="s">
        <v>330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331</v>
      </c>
      <c r="B17" s="1" t="s">
        <v>183</v>
      </c>
      <c r="C17" s="1" t="s">
        <v>22</v>
      </c>
      <c r="D17" s="1" t="s">
        <v>184</v>
      </c>
      <c r="E17" s="1" t="s">
        <v>144</v>
      </c>
      <c r="F17" s="1" t="s">
        <v>185</v>
      </c>
      <c r="G17" s="1" t="s">
        <v>332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333</v>
      </c>
      <c r="B18" s="1" t="s">
        <v>189</v>
      </c>
      <c r="C18" s="1" t="s">
        <v>22</v>
      </c>
      <c r="D18" s="1" t="s">
        <v>190</v>
      </c>
      <c r="E18" s="1" t="s">
        <v>144</v>
      </c>
      <c r="F18" s="1" t="s">
        <v>185</v>
      </c>
      <c r="G18" s="1" t="s">
        <v>332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334</v>
      </c>
      <c r="B19" s="1" t="s">
        <v>192</v>
      </c>
      <c r="C19" s="1" t="s">
        <v>22</v>
      </c>
      <c r="D19" s="1" t="s">
        <v>193</v>
      </c>
      <c r="E19" s="1" t="s">
        <v>144</v>
      </c>
      <c r="F19" s="1" t="s">
        <v>185</v>
      </c>
      <c r="G19" s="1" t="s">
        <v>335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336</v>
      </c>
      <c r="B20" s="1" t="s">
        <v>197</v>
      </c>
      <c r="C20" s="1" t="s">
        <v>22</v>
      </c>
      <c r="D20" s="1" t="s">
        <v>198</v>
      </c>
      <c r="E20" s="1" t="s">
        <v>144</v>
      </c>
      <c r="F20" s="1" t="s">
        <v>185</v>
      </c>
      <c r="G20" s="1" t="s">
        <v>332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337</v>
      </c>
      <c r="B21" s="1" t="s">
        <v>201</v>
      </c>
      <c r="C21" s="1" t="s">
        <v>22</v>
      </c>
      <c r="D21" s="1" t="s">
        <v>202</v>
      </c>
      <c r="E21" s="1" t="s">
        <v>144</v>
      </c>
      <c r="F21" s="1" t="s">
        <v>203</v>
      </c>
      <c r="G21" s="1" t="s">
        <v>338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339</v>
      </c>
      <c r="B22" s="1" t="s">
        <v>206</v>
      </c>
      <c r="C22" s="1" t="s">
        <v>22</v>
      </c>
      <c r="D22" s="1" t="s">
        <v>207</v>
      </c>
      <c r="E22" s="1" t="s">
        <v>144</v>
      </c>
      <c r="F22" s="1" t="s">
        <v>203</v>
      </c>
      <c r="G22" s="1" t="s">
        <v>340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341</v>
      </c>
      <c r="B23" s="1" t="s">
        <v>210</v>
      </c>
      <c r="C23" s="1" t="s">
        <v>22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342</v>
      </c>
      <c r="B24" s="1" t="s">
        <v>215</v>
      </c>
      <c r="C24" s="1" t="s">
        <v>22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316</v>
      </c>
      <c r="B9" s="1" t="s">
        <v>141</v>
      </c>
      <c r="C9" s="1" t="s">
        <v>23</v>
      </c>
      <c r="D9" s="1" t="s">
        <v>143</v>
      </c>
      <c r="E9" s="1" t="s">
        <v>144</v>
      </c>
      <c r="F9" s="1" t="s">
        <v>145</v>
      </c>
      <c r="G9" s="1" t="s">
        <v>344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318</v>
      </c>
      <c r="B10" s="1" t="s">
        <v>148</v>
      </c>
      <c r="C10" s="1" t="s">
        <v>23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319</v>
      </c>
      <c r="B11" s="1" t="s">
        <v>152</v>
      </c>
      <c r="C11" s="1" t="s">
        <v>23</v>
      </c>
      <c r="D11" s="1" t="s">
        <v>153</v>
      </c>
      <c r="E11" s="1" t="s">
        <v>144</v>
      </c>
      <c r="F11" s="1" t="s">
        <v>154</v>
      </c>
      <c r="G11" s="1" t="s">
        <v>345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321</v>
      </c>
      <c r="B12" s="1" t="s">
        <v>157</v>
      </c>
      <c r="C12" s="1" t="s">
        <v>23</v>
      </c>
      <c r="D12" s="1" t="s">
        <v>158</v>
      </c>
      <c r="E12" s="1" t="s">
        <v>144</v>
      </c>
      <c r="F12" s="1" t="s">
        <v>159</v>
      </c>
      <c r="G12" s="1" t="s">
        <v>346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323</v>
      </c>
      <c r="B13" s="1" t="s">
        <v>162</v>
      </c>
      <c r="C13" s="1" t="s">
        <v>23</v>
      </c>
      <c r="D13" s="1" t="s">
        <v>163</v>
      </c>
      <c r="E13" s="1" t="s">
        <v>144</v>
      </c>
      <c r="F13" s="1" t="s">
        <v>164</v>
      </c>
      <c r="G13" s="1" t="s">
        <v>347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325</v>
      </c>
      <c r="B14" s="1" t="s">
        <v>167</v>
      </c>
      <c r="C14" s="1" t="s">
        <v>23</v>
      </c>
      <c r="D14" s="1" t="s">
        <v>168</v>
      </c>
      <c r="E14" s="1" t="s">
        <v>144</v>
      </c>
      <c r="F14" s="1" t="s">
        <v>169</v>
      </c>
      <c r="G14" s="1" t="s">
        <v>348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327</v>
      </c>
      <c r="B15" s="1" t="s">
        <v>172</v>
      </c>
      <c r="C15" s="1" t="s">
        <v>23</v>
      </c>
      <c r="D15" s="1" t="s">
        <v>173</v>
      </c>
      <c r="E15" s="1" t="s">
        <v>144</v>
      </c>
      <c r="F15" s="1" t="s">
        <v>174</v>
      </c>
      <c r="G15" s="1" t="s">
        <v>349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329</v>
      </c>
      <c r="B16" s="1" t="s">
        <v>177</v>
      </c>
      <c r="C16" s="1" t="s">
        <v>23</v>
      </c>
      <c r="D16" s="1" t="s">
        <v>178</v>
      </c>
      <c r="E16" s="1" t="s">
        <v>144</v>
      </c>
      <c r="F16" s="1" t="s">
        <v>179</v>
      </c>
      <c r="G16" s="1" t="s">
        <v>350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331</v>
      </c>
      <c r="B17" s="1" t="s">
        <v>183</v>
      </c>
      <c r="C17" s="1" t="s">
        <v>23</v>
      </c>
      <c r="D17" s="1" t="s">
        <v>184</v>
      </c>
      <c r="E17" s="1" t="s">
        <v>144</v>
      </c>
      <c r="F17" s="1" t="s">
        <v>185</v>
      </c>
      <c r="G17" s="1" t="s">
        <v>351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333</v>
      </c>
      <c r="B18" s="1" t="s">
        <v>189</v>
      </c>
      <c r="C18" s="1" t="s">
        <v>23</v>
      </c>
      <c r="D18" s="1" t="s">
        <v>190</v>
      </c>
      <c r="E18" s="1" t="s">
        <v>144</v>
      </c>
      <c r="F18" s="1" t="s">
        <v>185</v>
      </c>
      <c r="G18" s="1" t="s">
        <v>351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334</v>
      </c>
      <c r="B19" s="1" t="s">
        <v>192</v>
      </c>
      <c r="C19" s="1" t="s">
        <v>23</v>
      </c>
      <c r="D19" s="1" t="s">
        <v>193</v>
      </c>
      <c r="E19" s="1" t="s">
        <v>144</v>
      </c>
      <c r="F19" s="1" t="s">
        <v>185</v>
      </c>
      <c r="G19" s="1" t="s">
        <v>352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336</v>
      </c>
      <c r="B20" s="1" t="s">
        <v>197</v>
      </c>
      <c r="C20" s="1" t="s">
        <v>23</v>
      </c>
      <c r="D20" s="1" t="s">
        <v>198</v>
      </c>
      <c r="E20" s="1" t="s">
        <v>144</v>
      </c>
      <c r="F20" s="1" t="s">
        <v>185</v>
      </c>
      <c r="G20" s="1" t="s">
        <v>351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337</v>
      </c>
      <c r="B21" s="1" t="s">
        <v>201</v>
      </c>
      <c r="C21" s="1" t="s">
        <v>23</v>
      </c>
      <c r="D21" s="1" t="s">
        <v>202</v>
      </c>
      <c r="E21" s="1" t="s">
        <v>144</v>
      </c>
      <c r="F21" s="1" t="s">
        <v>203</v>
      </c>
      <c r="G21" s="1" t="s">
        <v>353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339</v>
      </c>
      <c r="B22" s="1" t="s">
        <v>206</v>
      </c>
      <c r="C22" s="1" t="s">
        <v>23</v>
      </c>
      <c r="D22" s="1" t="s">
        <v>207</v>
      </c>
      <c r="E22" s="1" t="s">
        <v>144</v>
      </c>
      <c r="F22" s="1" t="s">
        <v>203</v>
      </c>
      <c r="G22" s="1" t="s">
        <v>354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341</v>
      </c>
      <c r="B23" s="1" t="s">
        <v>210</v>
      </c>
      <c r="C23" s="1" t="s">
        <v>23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342</v>
      </c>
      <c r="B24" s="1" t="s">
        <v>215</v>
      </c>
      <c r="C24" s="1" t="s">
        <v>23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356</v>
      </c>
      <c r="B9" s="1" t="s">
        <v>141</v>
      </c>
      <c r="C9" s="1" t="s">
        <v>357</v>
      </c>
      <c r="D9" s="1" t="s">
        <v>143</v>
      </c>
      <c r="E9" s="1" t="s">
        <v>144</v>
      </c>
      <c r="F9" s="1" t="s">
        <v>145</v>
      </c>
      <c r="G9" s="1" t="s">
        <v>358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359</v>
      </c>
      <c r="B10" s="1" t="s">
        <v>148</v>
      </c>
      <c r="C10" s="1" t="s">
        <v>357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360</v>
      </c>
      <c r="B11" s="1" t="s">
        <v>152</v>
      </c>
      <c r="C11" s="1" t="s">
        <v>357</v>
      </c>
      <c r="D11" s="1" t="s">
        <v>153</v>
      </c>
      <c r="E11" s="1" t="s">
        <v>144</v>
      </c>
      <c r="F11" s="1" t="s">
        <v>154</v>
      </c>
      <c r="G11" s="1" t="s">
        <v>361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362</v>
      </c>
      <c r="B12" s="1" t="s">
        <v>157</v>
      </c>
      <c r="C12" s="1" t="s">
        <v>357</v>
      </c>
      <c r="D12" s="1" t="s">
        <v>158</v>
      </c>
      <c r="E12" s="1" t="s">
        <v>144</v>
      </c>
      <c r="F12" s="1" t="s">
        <v>159</v>
      </c>
      <c r="G12" s="1" t="s">
        <v>363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364</v>
      </c>
      <c r="B13" s="1" t="s">
        <v>162</v>
      </c>
      <c r="C13" s="1" t="s">
        <v>357</v>
      </c>
      <c r="D13" s="1" t="s">
        <v>163</v>
      </c>
      <c r="E13" s="1" t="s">
        <v>144</v>
      </c>
      <c r="F13" s="1" t="s">
        <v>164</v>
      </c>
      <c r="G13" s="1" t="s">
        <v>365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366</v>
      </c>
      <c r="B14" s="1" t="s">
        <v>167</v>
      </c>
      <c r="C14" s="1" t="s">
        <v>357</v>
      </c>
      <c r="D14" s="1" t="s">
        <v>168</v>
      </c>
      <c r="E14" s="1" t="s">
        <v>144</v>
      </c>
      <c r="F14" s="1" t="s">
        <v>169</v>
      </c>
      <c r="G14" s="1" t="s">
        <v>367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368</v>
      </c>
      <c r="B15" s="1" t="s">
        <v>172</v>
      </c>
      <c r="C15" s="1" t="s">
        <v>357</v>
      </c>
      <c r="D15" s="1" t="s">
        <v>173</v>
      </c>
      <c r="E15" s="1" t="s">
        <v>144</v>
      </c>
      <c r="F15" s="1" t="s">
        <v>174</v>
      </c>
      <c r="G15" s="1" t="s">
        <v>369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370</v>
      </c>
      <c r="B16" s="1" t="s">
        <v>177</v>
      </c>
      <c r="C16" s="1" t="s">
        <v>357</v>
      </c>
      <c r="D16" s="1" t="s">
        <v>178</v>
      </c>
      <c r="E16" s="1" t="s">
        <v>144</v>
      </c>
      <c r="F16" s="1" t="s">
        <v>179</v>
      </c>
      <c r="G16" s="1" t="s">
        <v>371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372</v>
      </c>
      <c r="B17" s="1" t="s">
        <v>183</v>
      </c>
      <c r="C17" s="1" t="s">
        <v>357</v>
      </c>
      <c r="D17" s="1" t="s">
        <v>184</v>
      </c>
      <c r="E17" s="1" t="s">
        <v>144</v>
      </c>
      <c r="F17" s="1" t="s">
        <v>185</v>
      </c>
      <c r="G17" s="1" t="s">
        <v>373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374</v>
      </c>
      <c r="B18" s="1" t="s">
        <v>189</v>
      </c>
      <c r="C18" s="1" t="s">
        <v>357</v>
      </c>
      <c r="D18" s="1" t="s">
        <v>190</v>
      </c>
      <c r="E18" s="1" t="s">
        <v>144</v>
      </c>
      <c r="F18" s="1" t="s">
        <v>185</v>
      </c>
      <c r="G18" s="1" t="s">
        <v>373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375</v>
      </c>
      <c r="B19" s="1" t="s">
        <v>192</v>
      </c>
      <c r="C19" s="1" t="s">
        <v>357</v>
      </c>
      <c r="D19" s="1" t="s">
        <v>193</v>
      </c>
      <c r="E19" s="1" t="s">
        <v>144</v>
      </c>
      <c r="F19" s="1" t="s">
        <v>185</v>
      </c>
      <c r="G19" s="1" t="s">
        <v>376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377</v>
      </c>
      <c r="B20" s="1" t="s">
        <v>197</v>
      </c>
      <c r="C20" s="1" t="s">
        <v>357</v>
      </c>
      <c r="D20" s="1" t="s">
        <v>198</v>
      </c>
      <c r="E20" s="1" t="s">
        <v>144</v>
      </c>
      <c r="F20" s="1" t="s">
        <v>185</v>
      </c>
      <c r="G20" s="1" t="s">
        <v>373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378</v>
      </c>
      <c r="B21" s="1" t="s">
        <v>201</v>
      </c>
      <c r="C21" s="1" t="s">
        <v>357</v>
      </c>
      <c r="D21" s="1" t="s">
        <v>202</v>
      </c>
      <c r="E21" s="1" t="s">
        <v>144</v>
      </c>
      <c r="F21" s="1" t="s">
        <v>203</v>
      </c>
      <c r="G21" s="1" t="s">
        <v>379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380</v>
      </c>
      <c r="B22" s="1" t="s">
        <v>206</v>
      </c>
      <c r="C22" s="1" t="s">
        <v>357</v>
      </c>
      <c r="D22" s="1" t="s">
        <v>207</v>
      </c>
      <c r="E22" s="1" t="s">
        <v>144</v>
      </c>
      <c r="F22" s="1" t="s">
        <v>203</v>
      </c>
      <c r="G22" s="1" t="s">
        <v>381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382</v>
      </c>
      <c r="B23" s="1" t="s">
        <v>210</v>
      </c>
      <c r="C23" s="1" t="s">
        <v>357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383</v>
      </c>
      <c r="B24" s="1" t="s">
        <v>215</v>
      </c>
      <c r="C24" s="1" t="s">
        <v>357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385</v>
      </c>
      <c r="B9" s="1" t="s">
        <v>141</v>
      </c>
      <c r="C9" s="1" t="s">
        <v>25</v>
      </c>
      <c r="D9" s="1" t="s">
        <v>143</v>
      </c>
      <c r="E9" s="1" t="s">
        <v>144</v>
      </c>
      <c r="F9" s="1" t="s">
        <v>145</v>
      </c>
      <c r="G9" s="1" t="s">
        <v>386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387</v>
      </c>
      <c r="B10" s="1" t="s">
        <v>148</v>
      </c>
      <c r="C10" s="1" t="s">
        <v>25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388</v>
      </c>
      <c r="B11" s="1" t="s">
        <v>152</v>
      </c>
      <c r="C11" s="1" t="s">
        <v>25</v>
      </c>
      <c r="D11" s="1" t="s">
        <v>153</v>
      </c>
      <c r="E11" s="1" t="s">
        <v>144</v>
      </c>
      <c r="F11" s="1" t="s">
        <v>154</v>
      </c>
      <c r="G11" s="1" t="s">
        <v>389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390</v>
      </c>
      <c r="B12" s="1" t="s">
        <v>157</v>
      </c>
      <c r="C12" s="1" t="s">
        <v>25</v>
      </c>
      <c r="D12" s="1" t="s">
        <v>158</v>
      </c>
      <c r="E12" s="1" t="s">
        <v>144</v>
      </c>
      <c r="F12" s="1" t="s">
        <v>159</v>
      </c>
      <c r="G12" s="1" t="s">
        <v>391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392</v>
      </c>
      <c r="B13" s="1" t="s">
        <v>162</v>
      </c>
      <c r="C13" s="1" t="s">
        <v>25</v>
      </c>
      <c r="D13" s="1" t="s">
        <v>163</v>
      </c>
      <c r="E13" s="1" t="s">
        <v>144</v>
      </c>
      <c r="F13" s="1" t="s">
        <v>164</v>
      </c>
      <c r="G13" s="1" t="s">
        <v>393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394</v>
      </c>
      <c r="B14" s="1" t="s">
        <v>167</v>
      </c>
      <c r="C14" s="1" t="s">
        <v>25</v>
      </c>
      <c r="D14" s="1" t="s">
        <v>168</v>
      </c>
      <c r="E14" s="1" t="s">
        <v>144</v>
      </c>
      <c r="F14" s="1" t="s">
        <v>169</v>
      </c>
      <c r="G14" s="1" t="s">
        <v>395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396</v>
      </c>
      <c r="B15" s="1" t="s">
        <v>172</v>
      </c>
      <c r="C15" s="1" t="s">
        <v>25</v>
      </c>
      <c r="D15" s="1" t="s">
        <v>173</v>
      </c>
      <c r="E15" s="1" t="s">
        <v>144</v>
      </c>
      <c r="F15" s="1" t="s">
        <v>174</v>
      </c>
      <c r="G15" s="1" t="s">
        <v>397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398</v>
      </c>
      <c r="B16" s="1" t="s">
        <v>177</v>
      </c>
      <c r="C16" s="1" t="s">
        <v>25</v>
      </c>
      <c r="D16" s="1" t="s">
        <v>178</v>
      </c>
      <c r="E16" s="1" t="s">
        <v>144</v>
      </c>
      <c r="F16" s="1" t="s">
        <v>179</v>
      </c>
      <c r="G16" s="1" t="s">
        <v>399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400</v>
      </c>
      <c r="B17" s="1" t="s">
        <v>183</v>
      </c>
      <c r="C17" s="1" t="s">
        <v>25</v>
      </c>
      <c r="D17" s="1" t="s">
        <v>184</v>
      </c>
      <c r="E17" s="1" t="s">
        <v>144</v>
      </c>
      <c r="F17" s="1" t="s">
        <v>185</v>
      </c>
      <c r="G17" s="1" t="s">
        <v>401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402</v>
      </c>
      <c r="B18" s="1" t="s">
        <v>189</v>
      </c>
      <c r="C18" s="1" t="s">
        <v>25</v>
      </c>
      <c r="D18" s="1" t="s">
        <v>190</v>
      </c>
      <c r="E18" s="1" t="s">
        <v>144</v>
      </c>
      <c r="F18" s="1" t="s">
        <v>185</v>
      </c>
      <c r="G18" s="1" t="s">
        <v>401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403</v>
      </c>
      <c r="B19" s="1" t="s">
        <v>192</v>
      </c>
      <c r="C19" s="1" t="s">
        <v>25</v>
      </c>
      <c r="D19" s="1" t="s">
        <v>193</v>
      </c>
      <c r="E19" s="1" t="s">
        <v>144</v>
      </c>
      <c r="F19" s="1" t="s">
        <v>185</v>
      </c>
      <c r="G19" s="1" t="s">
        <v>404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405</v>
      </c>
      <c r="B20" s="1" t="s">
        <v>197</v>
      </c>
      <c r="C20" s="1" t="s">
        <v>25</v>
      </c>
      <c r="D20" s="1" t="s">
        <v>198</v>
      </c>
      <c r="E20" s="1" t="s">
        <v>144</v>
      </c>
      <c r="F20" s="1" t="s">
        <v>185</v>
      </c>
      <c r="G20" s="1" t="s">
        <v>401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406</v>
      </c>
      <c r="B21" s="1" t="s">
        <v>201</v>
      </c>
      <c r="C21" s="1" t="s">
        <v>25</v>
      </c>
      <c r="D21" s="1" t="s">
        <v>202</v>
      </c>
      <c r="E21" s="1" t="s">
        <v>144</v>
      </c>
      <c r="F21" s="1" t="s">
        <v>203</v>
      </c>
      <c r="G21" s="1" t="s">
        <v>407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408</v>
      </c>
      <c r="B22" s="1" t="s">
        <v>206</v>
      </c>
      <c r="C22" s="1" t="s">
        <v>25</v>
      </c>
      <c r="D22" s="1" t="s">
        <v>207</v>
      </c>
      <c r="E22" s="1" t="s">
        <v>144</v>
      </c>
      <c r="F22" s="1" t="s">
        <v>203</v>
      </c>
      <c r="G22" s="1" t="s">
        <v>409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410</v>
      </c>
      <c r="B23" s="1" t="s">
        <v>210</v>
      </c>
      <c r="C23" s="1" t="s">
        <v>25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411</v>
      </c>
      <c r="B24" s="1" t="s">
        <v>215</v>
      </c>
      <c r="C24" s="1" t="s">
        <v>25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385</v>
      </c>
      <c r="B9" s="1" t="s">
        <v>141</v>
      </c>
      <c r="C9" s="1" t="s">
        <v>26</v>
      </c>
      <c r="D9" s="1" t="s">
        <v>143</v>
      </c>
      <c r="E9" s="1" t="s">
        <v>144</v>
      </c>
      <c r="F9" s="1" t="s">
        <v>145</v>
      </c>
      <c r="G9" s="1" t="s">
        <v>413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387</v>
      </c>
      <c r="B10" s="1" t="s">
        <v>148</v>
      </c>
      <c r="C10" s="1" t="s">
        <v>26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388</v>
      </c>
      <c r="B11" s="1" t="s">
        <v>152</v>
      </c>
      <c r="C11" s="1" t="s">
        <v>26</v>
      </c>
      <c r="D11" s="1" t="s">
        <v>153</v>
      </c>
      <c r="E11" s="1" t="s">
        <v>144</v>
      </c>
      <c r="F11" s="1" t="s">
        <v>154</v>
      </c>
      <c r="G11" s="1" t="s">
        <v>414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390</v>
      </c>
      <c r="B12" s="1" t="s">
        <v>157</v>
      </c>
      <c r="C12" s="1" t="s">
        <v>26</v>
      </c>
      <c r="D12" s="1" t="s">
        <v>158</v>
      </c>
      <c r="E12" s="1" t="s">
        <v>144</v>
      </c>
      <c r="F12" s="1" t="s">
        <v>159</v>
      </c>
      <c r="G12" s="1" t="s">
        <v>415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392</v>
      </c>
      <c r="B13" s="1" t="s">
        <v>162</v>
      </c>
      <c r="C13" s="1" t="s">
        <v>26</v>
      </c>
      <c r="D13" s="1" t="s">
        <v>163</v>
      </c>
      <c r="E13" s="1" t="s">
        <v>144</v>
      </c>
      <c r="F13" s="1" t="s">
        <v>164</v>
      </c>
      <c r="G13" s="1" t="s">
        <v>416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394</v>
      </c>
      <c r="B14" s="1" t="s">
        <v>167</v>
      </c>
      <c r="C14" s="1" t="s">
        <v>26</v>
      </c>
      <c r="D14" s="1" t="s">
        <v>168</v>
      </c>
      <c r="E14" s="1" t="s">
        <v>144</v>
      </c>
      <c r="F14" s="1" t="s">
        <v>169</v>
      </c>
      <c r="G14" s="1" t="s">
        <v>417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396</v>
      </c>
      <c r="B15" s="1" t="s">
        <v>172</v>
      </c>
      <c r="C15" s="1" t="s">
        <v>26</v>
      </c>
      <c r="D15" s="1" t="s">
        <v>173</v>
      </c>
      <c r="E15" s="1" t="s">
        <v>144</v>
      </c>
      <c r="F15" s="1" t="s">
        <v>174</v>
      </c>
      <c r="G15" s="1" t="s">
        <v>418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398</v>
      </c>
      <c r="B16" s="1" t="s">
        <v>177</v>
      </c>
      <c r="C16" s="1" t="s">
        <v>26</v>
      </c>
      <c r="D16" s="1" t="s">
        <v>178</v>
      </c>
      <c r="E16" s="1" t="s">
        <v>144</v>
      </c>
      <c r="F16" s="1" t="s">
        <v>179</v>
      </c>
      <c r="G16" s="1" t="s">
        <v>419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400</v>
      </c>
      <c r="B17" s="1" t="s">
        <v>183</v>
      </c>
      <c r="C17" s="1" t="s">
        <v>26</v>
      </c>
      <c r="D17" s="1" t="s">
        <v>184</v>
      </c>
      <c r="E17" s="1" t="s">
        <v>144</v>
      </c>
      <c r="F17" s="1" t="s">
        <v>185</v>
      </c>
      <c r="G17" s="1" t="s">
        <v>420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402</v>
      </c>
      <c r="B18" s="1" t="s">
        <v>189</v>
      </c>
      <c r="C18" s="1" t="s">
        <v>26</v>
      </c>
      <c r="D18" s="1" t="s">
        <v>190</v>
      </c>
      <c r="E18" s="1" t="s">
        <v>144</v>
      </c>
      <c r="F18" s="1" t="s">
        <v>185</v>
      </c>
      <c r="G18" s="1" t="s">
        <v>420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403</v>
      </c>
      <c r="B19" s="1" t="s">
        <v>192</v>
      </c>
      <c r="C19" s="1" t="s">
        <v>26</v>
      </c>
      <c r="D19" s="1" t="s">
        <v>193</v>
      </c>
      <c r="E19" s="1" t="s">
        <v>144</v>
      </c>
      <c r="F19" s="1" t="s">
        <v>185</v>
      </c>
      <c r="G19" s="1" t="s">
        <v>421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405</v>
      </c>
      <c r="B20" s="1" t="s">
        <v>197</v>
      </c>
      <c r="C20" s="1" t="s">
        <v>26</v>
      </c>
      <c r="D20" s="1" t="s">
        <v>198</v>
      </c>
      <c r="E20" s="1" t="s">
        <v>144</v>
      </c>
      <c r="F20" s="1" t="s">
        <v>185</v>
      </c>
      <c r="G20" s="1" t="s">
        <v>420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406</v>
      </c>
      <c r="B21" s="1" t="s">
        <v>201</v>
      </c>
      <c r="C21" s="1" t="s">
        <v>26</v>
      </c>
      <c r="D21" s="1" t="s">
        <v>202</v>
      </c>
      <c r="E21" s="1" t="s">
        <v>144</v>
      </c>
      <c r="F21" s="1" t="s">
        <v>203</v>
      </c>
      <c r="G21" s="1" t="s">
        <v>422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408</v>
      </c>
      <c r="B22" s="1" t="s">
        <v>206</v>
      </c>
      <c r="C22" s="1" t="s">
        <v>26</v>
      </c>
      <c r="D22" s="1" t="s">
        <v>207</v>
      </c>
      <c r="E22" s="1" t="s">
        <v>144</v>
      </c>
      <c r="F22" s="1" t="s">
        <v>203</v>
      </c>
      <c r="G22" s="1" t="s">
        <v>423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410</v>
      </c>
      <c r="B23" s="1" t="s">
        <v>210</v>
      </c>
      <c r="C23" s="1" t="s">
        <v>26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411</v>
      </c>
      <c r="B24" s="1" t="s">
        <v>215</v>
      </c>
      <c r="C24" s="1" t="s">
        <v>26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425</v>
      </c>
      <c r="B9" s="1" t="s">
        <v>141</v>
      </c>
      <c r="C9" s="1" t="s">
        <v>27</v>
      </c>
      <c r="D9" s="1" t="s">
        <v>143</v>
      </c>
      <c r="E9" s="1" t="s">
        <v>144</v>
      </c>
      <c r="F9" s="1" t="s">
        <v>145</v>
      </c>
      <c r="G9" s="1" t="s">
        <v>426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427</v>
      </c>
      <c r="B10" s="1" t="s">
        <v>148</v>
      </c>
      <c r="C10" s="1" t="s">
        <v>27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428</v>
      </c>
      <c r="B11" s="1" t="s">
        <v>152</v>
      </c>
      <c r="C11" s="1" t="s">
        <v>27</v>
      </c>
      <c r="D11" s="1" t="s">
        <v>153</v>
      </c>
      <c r="E11" s="1" t="s">
        <v>144</v>
      </c>
      <c r="F11" s="1" t="s">
        <v>154</v>
      </c>
      <c r="G11" s="1" t="s">
        <v>429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430</v>
      </c>
      <c r="B12" s="1" t="s">
        <v>157</v>
      </c>
      <c r="C12" s="1" t="s">
        <v>27</v>
      </c>
      <c r="D12" s="1" t="s">
        <v>158</v>
      </c>
      <c r="E12" s="1" t="s">
        <v>144</v>
      </c>
      <c r="F12" s="1" t="s">
        <v>159</v>
      </c>
      <c r="G12" s="1" t="s">
        <v>431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432</v>
      </c>
      <c r="B13" s="1" t="s">
        <v>162</v>
      </c>
      <c r="C13" s="1" t="s">
        <v>27</v>
      </c>
      <c r="D13" s="1" t="s">
        <v>163</v>
      </c>
      <c r="E13" s="1" t="s">
        <v>144</v>
      </c>
      <c r="F13" s="1" t="s">
        <v>164</v>
      </c>
      <c r="G13" s="1" t="s">
        <v>433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434</v>
      </c>
      <c r="B14" s="1" t="s">
        <v>167</v>
      </c>
      <c r="C14" s="1" t="s">
        <v>27</v>
      </c>
      <c r="D14" s="1" t="s">
        <v>168</v>
      </c>
      <c r="E14" s="1" t="s">
        <v>144</v>
      </c>
      <c r="F14" s="1" t="s">
        <v>169</v>
      </c>
      <c r="G14" s="1" t="s">
        <v>435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436</v>
      </c>
      <c r="B15" s="1" t="s">
        <v>172</v>
      </c>
      <c r="C15" s="1" t="s">
        <v>27</v>
      </c>
      <c r="D15" s="1" t="s">
        <v>173</v>
      </c>
      <c r="E15" s="1" t="s">
        <v>144</v>
      </c>
      <c r="F15" s="1" t="s">
        <v>174</v>
      </c>
      <c r="G15" s="1" t="s">
        <v>437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438</v>
      </c>
      <c r="B16" s="1" t="s">
        <v>177</v>
      </c>
      <c r="C16" s="1" t="s">
        <v>27</v>
      </c>
      <c r="D16" s="1" t="s">
        <v>178</v>
      </c>
      <c r="E16" s="1" t="s">
        <v>144</v>
      </c>
      <c r="F16" s="1" t="s">
        <v>179</v>
      </c>
      <c r="G16" s="1" t="s">
        <v>439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440</v>
      </c>
      <c r="B17" s="1" t="s">
        <v>183</v>
      </c>
      <c r="C17" s="1" t="s">
        <v>27</v>
      </c>
      <c r="D17" s="1" t="s">
        <v>184</v>
      </c>
      <c r="E17" s="1" t="s">
        <v>144</v>
      </c>
      <c r="F17" s="1" t="s">
        <v>185</v>
      </c>
      <c r="G17" s="1" t="s">
        <v>441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442</v>
      </c>
      <c r="B18" s="1" t="s">
        <v>189</v>
      </c>
      <c r="C18" s="1" t="s">
        <v>27</v>
      </c>
      <c r="D18" s="1" t="s">
        <v>190</v>
      </c>
      <c r="E18" s="1" t="s">
        <v>144</v>
      </c>
      <c r="F18" s="1" t="s">
        <v>185</v>
      </c>
      <c r="G18" s="1" t="s">
        <v>441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443</v>
      </c>
      <c r="B19" s="1" t="s">
        <v>192</v>
      </c>
      <c r="C19" s="1" t="s">
        <v>27</v>
      </c>
      <c r="D19" s="1" t="s">
        <v>193</v>
      </c>
      <c r="E19" s="1" t="s">
        <v>144</v>
      </c>
      <c r="F19" s="1" t="s">
        <v>185</v>
      </c>
      <c r="G19" s="1" t="s">
        <v>444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445</v>
      </c>
      <c r="B20" s="1" t="s">
        <v>197</v>
      </c>
      <c r="C20" s="1" t="s">
        <v>27</v>
      </c>
      <c r="D20" s="1" t="s">
        <v>198</v>
      </c>
      <c r="E20" s="1" t="s">
        <v>144</v>
      </c>
      <c r="F20" s="1" t="s">
        <v>185</v>
      </c>
      <c r="G20" s="1" t="s">
        <v>441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446</v>
      </c>
      <c r="B21" s="1" t="s">
        <v>201</v>
      </c>
      <c r="C21" s="1" t="s">
        <v>27</v>
      </c>
      <c r="D21" s="1" t="s">
        <v>202</v>
      </c>
      <c r="E21" s="1" t="s">
        <v>144</v>
      </c>
      <c r="F21" s="1" t="s">
        <v>203</v>
      </c>
      <c r="G21" s="1" t="s">
        <v>447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448</v>
      </c>
      <c r="B22" s="1" t="s">
        <v>206</v>
      </c>
      <c r="C22" s="1" t="s">
        <v>27</v>
      </c>
      <c r="D22" s="1" t="s">
        <v>207</v>
      </c>
      <c r="E22" s="1" t="s">
        <v>144</v>
      </c>
      <c r="F22" s="1" t="s">
        <v>203</v>
      </c>
      <c r="G22" s="1" t="s">
        <v>449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450</v>
      </c>
      <c r="B23" s="1" t="s">
        <v>210</v>
      </c>
      <c r="C23" s="1" t="s">
        <v>27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451</v>
      </c>
      <c r="B24" s="1" t="s">
        <v>215</v>
      </c>
      <c r="C24" s="1" t="s">
        <v>27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425</v>
      </c>
      <c r="B9" s="1" t="s">
        <v>141</v>
      </c>
      <c r="C9" s="1" t="s">
        <v>28</v>
      </c>
      <c r="D9" s="1" t="s">
        <v>143</v>
      </c>
      <c r="E9" s="1" t="s">
        <v>144</v>
      </c>
      <c r="F9" s="1" t="s">
        <v>145</v>
      </c>
      <c r="G9" s="1" t="s">
        <v>453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427</v>
      </c>
      <c r="B10" s="1" t="s">
        <v>148</v>
      </c>
      <c r="C10" s="1" t="s">
        <v>28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428</v>
      </c>
      <c r="B11" s="1" t="s">
        <v>152</v>
      </c>
      <c r="C11" s="1" t="s">
        <v>28</v>
      </c>
      <c r="D11" s="1" t="s">
        <v>153</v>
      </c>
      <c r="E11" s="1" t="s">
        <v>144</v>
      </c>
      <c r="F11" s="1" t="s">
        <v>154</v>
      </c>
      <c r="G11" s="1" t="s">
        <v>454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430</v>
      </c>
      <c r="B12" s="1" t="s">
        <v>157</v>
      </c>
      <c r="C12" s="1" t="s">
        <v>28</v>
      </c>
      <c r="D12" s="1" t="s">
        <v>158</v>
      </c>
      <c r="E12" s="1" t="s">
        <v>144</v>
      </c>
      <c r="F12" s="1" t="s">
        <v>159</v>
      </c>
      <c r="G12" s="1" t="s">
        <v>455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432</v>
      </c>
      <c r="B13" s="1" t="s">
        <v>162</v>
      </c>
      <c r="C13" s="1" t="s">
        <v>28</v>
      </c>
      <c r="D13" s="1" t="s">
        <v>163</v>
      </c>
      <c r="E13" s="1" t="s">
        <v>144</v>
      </c>
      <c r="F13" s="1" t="s">
        <v>164</v>
      </c>
      <c r="G13" s="1" t="s">
        <v>456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434</v>
      </c>
      <c r="B14" s="1" t="s">
        <v>167</v>
      </c>
      <c r="C14" s="1" t="s">
        <v>28</v>
      </c>
      <c r="D14" s="1" t="s">
        <v>168</v>
      </c>
      <c r="E14" s="1" t="s">
        <v>144</v>
      </c>
      <c r="F14" s="1" t="s">
        <v>169</v>
      </c>
      <c r="G14" s="1" t="s">
        <v>457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436</v>
      </c>
      <c r="B15" s="1" t="s">
        <v>172</v>
      </c>
      <c r="C15" s="1" t="s">
        <v>28</v>
      </c>
      <c r="D15" s="1" t="s">
        <v>173</v>
      </c>
      <c r="E15" s="1" t="s">
        <v>144</v>
      </c>
      <c r="F15" s="1" t="s">
        <v>174</v>
      </c>
      <c r="G15" s="1" t="s">
        <v>458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438</v>
      </c>
      <c r="B16" s="1" t="s">
        <v>177</v>
      </c>
      <c r="C16" s="1" t="s">
        <v>28</v>
      </c>
      <c r="D16" s="1" t="s">
        <v>178</v>
      </c>
      <c r="E16" s="1" t="s">
        <v>144</v>
      </c>
      <c r="F16" s="1" t="s">
        <v>179</v>
      </c>
      <c r="G16" s="1" t="s">
        <v>459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440</v>
      </c>
      <c r="B17" s="1" t="s">
        <v>183</v>
      </c>
      <c r="C17" s="1" t="s">
        <v>28</v>
      </c>
      <c r="D17" s="1" t="s">
        <v>184</v>
      </c>
      <c r="E17" s="1" t="s">
        <v>144</v>
      </c>
      <c r="F17" s="1" t="s">
        <v>185</v>
      </c>
      <c r="G17" s="1" t="s">
        <v>460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442</v>
      </c>
      <c r="B18" s="1" t="s">
        <v>189</v>
      </c>
      <c r="C18" s="1" t="s">
        <v>28</v>
      </c>
      <c r="D18" s="1" t="s">
        <v>190</v>
      </c>
      <c r="E18" s="1" t="s">
        <v>144</v>
      </c>
      <c r="F18" s="1" t="s">
        <v>185</v>
      </c>
      <c r="G18" s="1" t="s">
        <v>460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443</v>
      </c>
      <c r="B19" s="1" t="s">
        <v>192</v>
      </c>
      <c r="C19" s="1" t="s">
        <v>28</v>
      </c>
      <c r="D19" s="1" t="s">
        <v>193</v>
      </c>
      <c r="E19" s="1" t="s">
        <v>144</v>
      </c>
      <c r="F19" s="1" t="s">
        <v>185</v>
      </c>
      <c r="G19" s="1" t="s">
        <v>461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445</v>
      </c>
      <c r="B20" s="1" t="s">
        <v>197</v>
      </c>
      <c r="C20" s="1" t="s">
        <v>28</v>
      </c>
      <c r="D20" s="1" t="s">
        <v>198</v>
      </c>
      <c r="E20" s="1" t="s">
        <v>144</v>
      </c>
      <c r="F20" s="1" t="s">
        <v>185</v>
      </c>
      <c r="G20" s="1" t="s">
        <v>460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446</v>
      </c>
      <c r="B21" s="1" t="s">
        <v>201</v>
      </c>
      <c r="C21" s="1" t="s">
        <v>28</v>
      </c>
      <c r="D21" s="1" t="s">
        <v>202</v>
      </c>
      <c r="E21" s="1" t="s">
        <v>144</v>
      </c>
      <c r="F21" s="1" t="s">
        <v>203</v>
      </c>
      <c r="G21" s="1" t="s">
        <v>462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448</v>
      </c>
      <c r="B22" s="1" t="s">
        <v>206</v>
      </c>
      <c r="C22" s="1" t="s">
        <v>28</v>
      </c>
      <c r="D22" s="1" t="s">
        <v>207</v>
      </c>
      <c r="E22" s="1" t="s">
        <v>144</v>
      </c>
      <c r="F22" s="1" t="s">
        <v>203</v>
      </c>
      <c r="G22" s="1" t="s">
        <v>463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450</v>
      </c>
      <c r="B23" s="1" t="s">
        <v>210</v>
      </c>
      <c r="C23" s="1" t="s">
        <v>28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451</v>
      </c>
      <c r="B24" s="1" t="s">
        <v>215</v>
      </c>
      <c r="C24" s="1" t="s">
        <v>28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425</v>
      </c>
      <c r="B9" s="1" t="s">
        <v>141</v>
      </c>
      <c r="C9" s="1" t="s">
        <v>29</v>
      </c>
      <c r="D9" s="1" t="s">
        <v>143</v>
      </c>
      <c r="E9" s="1" t="s">
        <v>144</v>
      </c>
      <c r="F9" s="1" t="s">
        <v>145</v>
      </c>
      <c r="G9" s="1" t="s">
        <v>465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427</v>
      </c>
      <c r="B10" s="1" t="s">
        <v>148</v>
      </c>
      <c r="C10" s="1" t="s">
        <v>29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428</v>
      </c>
      <c r="B11" s="1" t="s">
        <v>152</v>
      </c>
      <c r="C11" s="1" t="s">
        <v>29</v>
      </c>
      <c r="D11" s="1" t="s">
        <v>153</v>
      </c>
      <c r="E11" s="1" t="s">
        <v>144</v>
      </c>
      <c r="F11" s="1" t="s">
        <v>154</v>
      </c>
      <c r="G11" s="1" t="s">
        <v>466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430</v>
      </c>
      <c r="B12" s="1" t="s">
        <v>157</v>
      </c>
      <c r="C12" s="1" t="s">
        <v>29</v>
      </c>
      <c r="D12" s="1" t="s">
        <v>158</v>
      </c>
      <c r="E12" s="1" t="s">
        <v>144</v>
      </c>
      <c r="F12" s="1" t="s">
        <v>159</v>
      </c>
      <c r="G12" s="1" t="s">
        <v>467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432</v>
      </c>
      <c r="B13" s="1" t="s">
        <v>162</v>
      </c>
      <c r="C13" s="1" t="s">
        <v>29</v>
      </c>
      <c r="D13" s="1" t="s">
        <v>163</v>
      </c>
      <c r="E13" s="1" t="s">
        <v>144</v>
      </c>
      <c r="F13" s="1" t="s">
        <v>164</v>
      </c>
      <c r="G13" s="1" t="s">
        <v>468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434</v>
      </c>
      <c r="B14" s="1" t="s">
        <v>167</v>
      </c>
      <c r="C14" s="1" t="s">
        <v>29</v>
      </c>
      <c r="D14" s="1" t="s">
        <v>168</v>
      </c>
      <c r="E14" s="1" t="s">
        <v>144</v>
      </c>
      <c r="F14" s="1" t="s">
        <v>169</v>
      </c>
      <c r="G14" s="1" t="s">
        <v>469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436</v>
      </c>
      <c r="B15" s="1" t="s">
        <v>172</v>
      </c>
      <c r="C15" s="1" t="s">
        <v>29</v>
      </c>
      <c r="D15" s="1" t="s">
        <v>173</v>
      </c>
      <c r="E15" s="1" t="s">
        <v>144</v>
      </c>
      <c r="F15" s="1" t="s">
        <v>174</v>
      </c>
      <c r="G15" s="1" t="s">
        <v>470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438</v>
      </c>
      <c r="B16" s="1" t="s">
        <v>177</v>
      </c>
      <c r="C16" s="1" t="s">
        <v>29</v>
      </c>
      <c r="D16" s="1" t="s">
        <v>178</v>
      </c>
      <c r="E16" s="1" t="s">
        <v>144</v>
      </c>
      <c r="F16" s="1" t="s">
        <v>179</v>
      </c>
      <c r="G16" s="1" t="s">
        <v>471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440</v>
      </c>
      <c r="B17" s="1" t="s">
        <v>183</v>
      </c>
      <c r="C17" s="1" t="s">
        <v>29</v>
      </c>
      <c r="D17" s="1" t="s">
        <v>184</v>
      </c>
      <c r="E17" s="1" t="s">
        <v>144</v>
      </c>
      <c r="F17" s="1" t="s">
        <v>185</v>
      </c>
      <c r="G17" s="1" t="s">
        <v>472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442</v>
      </c>
      <c r="B18" s="1" t="s">
        <v>189</v>
      </c>
      <c r="C18" s="1" t="s">
        <v>29</v>
      </c>
      <c r="D18" s="1" t="s">
        <v>190</v>
      </c>
      <c r="E18" s="1" t="s">
        <v>144</v>
      </c>
      <c r="F18" s="1" t="s">
        <v>185</v>
      </c>
      <c r="G18" s="1" t="s">
        <v>472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443</v>
      </c>
      <c r="B19" s="1" t="s">
        <v>192</v>
      </c>
      <c r="C19" s="1" t="s">
        <v>29</v>
      </c>
      <c r="D19" s="1" t="s">
        <v>193</v>
      </c>
      <c r="E19" s="1" t="s">
        <v>144</v>
      </c>
      <c r="F19" s="1" t="s">
        <v>185</v>
      </c>
      <c r="G19" s="1" t="s">
        <v>473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445</v>
      </c>
      <c r="B20" s="1" t="s">
        <v>197</v>
      </c>
      <c r="C20" s="1" t="s">
        <v>29</v>
      </c>
      <c r="D20" s="1" t="s">
        <v>198</v>
      </c>
      <c r="E20" s="1" t="s">
        <v>144</v>
      </c>
      <c r="F20" s="1" t="s">
        <v>185</v>
      </c>
      <c r="G20" s="1" t="s">
        <v>472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446</v>
      </c>
      <c r="B21" s="1" t="s">
        <v>201</v>
      </c>
      <c r="C21" s="1" t="s">
        <v>29</v>
      </c>
      <c r="D21" s="1" t="s">
        <v>202</v>
      </c>
      <c r="E21" s="1" t="s">
        <v>144</v>
      </c>
      <c r="F21" s="1" t="s">
        <v>203</v>
      </c>
      <c r="G21" s="1" t="s">
        <v>474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448</v>
      </c>
      <c r="B22" s="1" t="s">
        <v>206</v>
      </c>
      <c r="C22" s="1" t="s">
        <v>29</v>
      </c>
      <c r="D22" s="1" t="s">
        <v>207</v>
      </c>
      <c r="E22" s="1" t="s">
        <v>144</v>
      </c>
      <c r="F22" s="1" t="s">
        <v>203</v>
      </c>
      <c r="G22" s="1" t="s">
        <v>475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450</v>
      </c>
      <c r="B23" s="1" t="s">
        <v>210</v>
      </c>
      <c r="C23" s="1" t="s">
        <v>29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451</v>
      </c>
      <c r="B24" s="1" t="s">
        <v>215</v>
      </c>
      <c r="C24" s="1" t="s">
        <v>29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477</v>
      </c>
      <c r="B9" s="1" t="s">
        <v>141</v>
      </c>
      <c r="C9" s="1" t="s">
        <v>478</v>
      </c>
      <c r="D9" s="1" t="s">
        <v>143</v>
      </c>
      <c r="E9" s="1" t="s">
        <v>144</v>
      </c>
      <c r="F9" s="1" t="s">
        <v>145</v>
      </c>
      <c r="G9" s="1" t="s">
        <v>479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480</v>
      </c>
      <c r="B10" s="1" t="s">
        <v>148</v>
      </c>
      <c r="C10" s="1" t="s">
        <v>478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481</v>
      </c>
      <c r="B11" s="1" t="s">
        <v>152</v>
      </c>
      <c r="C11" s="1" t="s">
        <v>478</v>
      </c>
      <c r="D11" s="1" t="s">
        <v>153</v>
      </c>
      <c r="E11" s="1" t="s">
        <v>144</v>
      </c>
      <c r="F11" s="1" t="s">
        <v>154</v>
      </c>
      <c r="G11" s="1" t="s">
        <v>482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483</v>
      </c>
      <c r="B12" s="1" t="s">
        <v>157</v>
      </c>
      <c r="C12" s="1" t="s">
        <v>478</v>
      </c>
      <c r="D12" s="1" t="s">
        <v>158</v>
      </c>
      <c r="E12" s="1" t="s">
        <v>144</v>
      </c>
      <c r="F12" s="1" t="s">
        <v>159</v>
      </c>
      <c r="G12" s="1" t="s">
        <v>484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485</v>
      </c>
      <c r="B13" s="1" t="s">
        <v>162</v>
      </c>
      <c r="C13" s="1" t="s">
        <v>478</v>
      </c>
      <c r="D13" s="1" t="s">
        <v>163</v>
      </c>
      <c r="E13" s="1" t="s">
        <v>144</v>
      </c>
      <c r="F13" s="1" t="s">
        <v>164</v>
      </c>
      <c r="G13" s="1" t="s">
        <v>486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487</v>
      </c>
      <c r="B14" s="1" t="s">
        <v>167</v>
      </c>
      <c r="C14" s="1" t="s">
        <v>478</v>
      </c>
      <c r="D14" s="1" t="s">
        <v>168</v>
      </c>
      <c r="E14" s="1" t="s">
        <v>144</v>
      </c>
      <c r="F14" s="1" t="s">
        <v>169</v>
      </c>
      <c r="G14" s="1" t="s">
        <v>488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489</v>
      </c>
      <c r="B15" s="1" t="s">
        <v>172</v>
      </c>
      <c r="C15" s="1" t="s">
        <v>478</v>
      </c>
      <c r="D15" s="1" t="s">
        <v>173</v>
      </c>
      <c r="E15" s="1" t="s">
        <v>144</v>
      </c>
      <c r="F15" s="1" t="s">
        <v>174</v>
      </c>
      <c r="G15" s="1" t="s">
        <v>490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491</v>
      </c>
      <c r="B16" s="1" t="s">
        <v>177</v>
      </c>
      <c r="C16" s="1" t="s">
        <v>478</v>
      </c>
      <c r="D16" s="1" t="s">
        <v>178</v>
      </c>
      <c r="E16" s="1" t="s">
        <v>144</v>
      </c>
      <c r="F16" s="1" t="s">
        <v>179</v>
      </c>
      <c r="G16" s="1" t="s">
        <v>492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493</v>
      </c>
      <c r="B17" s="1" t="s">
        <v>183</v>
      </c>
      <c r="C17" s="1" t="s">
        <v>478</v>
      </c>
      <c r="D17" s="1" t="s">
        <v>184</v>
      </c>
      <c r="E17" s="1" t="s">
        <v>144</v>
      </c>
      <c r="F17" s="1" t="s">
        <v>185</v>
      </c>
      <c r="G17" s="1" t="s">
        <v>494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495</v>
      </c>
      <c r="B18" s="1" t="s">
        <v>189</v>
      </c>
      <c r="C18" s="1" t="s">
        <v>478</v>
      </c>
      <c r="D18" s="1" t="s">
        <v>190</v>
      </c>
      <c r="E18" s="1" t="s">
        <v>144</v>
      </c>
      <c r="F18" s="1" t="s">
        <v>185</v>
      </c>
      <c r="G18" s="1" t="s">
        <v>494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496</v>
      </c>
      <c r="B19" s="1" t="s">
        <v>192</v>
      </c>
      <c r="C19" s="1" t="s">
        <v>478</v>
      </c>
      <c r="D19" s="1" t="s">
        <v>193</v>
      </c>
      <c r="E19" s="1" t="s">
        <v>144</v>
      </c>
      <c r="F19" s="1" t="s">
        <v>185</v>
      </c>
      <c r="G19" s="1" t="s">
        <v>497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498</v>
      </c>
      <c r="B20" s="1" t="s">
        <v>197</v>
      </c>
      <c r="C20" s="1" t="s">
        <v>478</v>
      </c>
      <c r="D20" s="1" t="s">
        <v>198</v>
      </c>
      <c r="E20" s="1" t="s">
        <v>144</v>
      </c>
      <c r="F20" s="1" t="s">
        <v>185</v>
      </c>
      <c r="G20" s="1" t="s">
        <v>494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499</v>
      </c>
      <c r="B21" s="1" t="s">
        <v>201</v>
      </c>
      <c r="C21" s="1" t="s">
        <v>478</v>
      </c>
      <c r="D21" s="1" t="s">
        <v>202</v>
      </c>
      <c r="E21" s="1" t="s">
        <v>144</v>
      </c>
      <c r="F21" s="1" t="s">
        <v>203</v>
      </c>
      <c r="G21" s="1" t="s">
        <v>500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501</v>
      </c>
      <c r="B22" s="1" t="s">
        <v>206</v>
      </c>
      <c r="C22" s="1" t="s">
        <v>478</v>
      </c>
      <c r="D22" s="1" t="s">
        <v>207</v>
      </c>
      <c r="E22" s="1" t="s">
        <v>144</v>
      </c>
      <c r="F22" s="1" t="s">
        <v>203</v>
      </c>
      <c r="G22" s="1" t="s">
        <v>502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503</v>
      </c>
      <c r="B23" s="1" t="s">
        <v>210</v>
      </c>
      <c r="C23" s="1" t="s">
        <v>478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504</v>
      </c>
      <c r="B24" s="1" t="s">
        <v>215</v>
      </c>
      <c r="C24" s="1" t="s">
        <v>478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506</v>
      </c>
      <c r="B9" s="1" t="s">
        <v>141</v>
      </c>
      <c r="C9" s="1" t="s">
        <v>507</v>
      </c>
      <c r="D9" s="1" t="s">
        <v>143</v>
      </c>
      <c r="E9" s="1" t="s">
        <v>144</v>
      </c>
      <c r="F9" s="1" t="s">
        <v>145</v>
      </c>
      <c r="G9" s="1" t="s">
        <v>508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509</v>
      </c>
      <c r="B10" s="1" t="s">
        <v>148</v>
      </c>
      <c r="C10" s="1" t="s">
        <v>507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510</v>
      </c>
      <c r="B11" s="1" t="s">
        <v>152</v>
      </c>
      <c r="C11" s="1" t="s">
        <v>507</v>
      </c>
      <c r="D11" s="1" t="s">
        <v>153</v>
      </c>
      <c r="E11" s="1" t="s">
        <v>144</v>
      </c>
      <c r="F11" s="1" t="s">
        <v>154</v>
      </c>
      <c r="G11" s="1" t="s">
        <v>511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512</v>
      </c>
      <c r="B12" s="1" t="s">
        <v>157</v>
      </c>
      <c r="C12" s="1" t="s">
        <v>507</v>
      </c>
      <c r="D12" s="1" t="s">
        <v>158</v>
      </c>
      <c r="E12" s="1" t="s">
        <v>144</v>
      </c>
      <c r="F12" s="1" t="s">
        <v>159</v>
      </c>
      <c r="G12" s="1" t="s">
        <v>513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514</v>
      </c>
      <c r="B13" s="1" t="s">
        <v>162</v>
      </c>
      <c r="C13" s="1" t="s">
        <v>507</v>
      </c>
      <c r="D13" s="1" t="s">
        <v>163</v>
      </c>
      <c r="E13" s="1" t="s">
        <v>144</v>
      </c>
      <c r="F13" s="1" t="s">
        <v>164</v>
      </c>
      <c r="G13" s="1" t="s">
        <v>515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516</v>
      </c>
      <c r="B14" s="1" t="s">
        <v>167</v>
      </c>
      <c r="C14" s="1" t="s">
        <v>507</v>
      </c>
      <c r="D14" s="1" t="s">
        <v>168</v>
      </c>
      <c r="E14" s="1" t="s">
        <v>144</v>
      </c>
      <c r="F14" s="1" t="s">
        <v>169</v>
      </c>
      <c r="G14" s="1" t="s">
        <v>517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518</v>
      </c>
      <c r="B15" s="1" t="s">
        <v>172</v>
      </c>
      <c r="C15" s="1" t="s">
        <v>507</v>
      </c>
      <c r="D15" s="1" t="s">
        <v>173</v>
      </c>
      <c r="E15" s="1" t="s">
        <v>144</v>
      </c>
      <c r="F15" s="1" t="s">
        <v>174</v>
      </c>
      <c r="G15" s="1" t="s">
        <v>519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520</v>
      </c>
      <c r="B16" s="1" t="s">
        <v>177</v>
      </c>
      <c r="C16" s="1" t="s">
        <v>507</v>
      </c>
      <c r="D16" s="1" t="s">
        <v>178</v>
      </c>
      <c r="E16" s="1" t="s">
        <v>144</v>
      </c>
      <c r="F16" s="1" t="s">
        <v>179</v>
      </c>
      <c r="G16" s="1" t="s">
        <v>521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522</v>
      </c>
      <c r="B17" s="1" t="s">
        <v>183</v>
      </c>
      <c r="C17" s="1" t="s">
        <v>507</v>
      </c>
      <c r="D17" s="1" t="s">
        <v>184</v>
      </c>
      <c r="E17" s="1" t="s">
        <v>144</v>
      </c>
      <c r="F17" s="1" t="s">
        <v>185</v>
      </c>
      <c r="G17" s="1" t="s">
        <v>523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524</v>
      </c>
      <c r="B18" s="1" t="s">
        <v>189</v>
      </c>
      <c r="C18" s="1" t="s">
        <v>507</v>
      </c>
      <c r="D18" s="1" t="s">
        <v>190</v>
      </c>
      <c r="E18" s="1" t="s">
        <v>144</v>
      </c>
      <c r="F18" s="1" t="s">
        <v>185</v>
      </c>
      <c r="G18" s="1" t="s">
        <v>523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525</v>
      </c>
      <c r="B19" s="1" t="s">
        <v>192</v>
      </c>
      <c r="C19" s="1" t="s">
        <v>507</v>
      </c>
      <c r="D19" s="1" t="s">
        <v>193</v>
      </c>
      <c r="E19" s="1" t="s">
        <v>144</v>
      </c>
      <c r="F19" s="1" t="s">
        <v>185</v>
      </c>
      <c r="G19" s="1" t="s">
        <v>526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527</v>
      </c>
      <c r="B20" s="1" t="s">
        <v>197</v>
      </c>
      <c r="C20" s="1" t="s">
        <v>507</v>
      </c>
      <c r="D20" s="1" t="s">
        <v>198</v>
      </c>
      <c r="E20" s="1" t="s">
        <v>144</v>
      </c>
      <c r="F20" s="1" t="s">
        <v>185</v>
      </c>
      <c r="G20" s="1" t="s">
        <v>523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528</v>
      </c>
      <c r="B21" s="1" t="s">
        <v>201</v>
      </c>
      <c r="C21" s="1" t="s">
        <v>507</v>
      </c>
      <c r="D21" s="1" t="s">
        <v>202</v>
      </c>
      <c r="E21" s="1" t="s">
        <v>144</v>
      </c>
      <c r="F21" s="1" t="s">
        <v>203</v>
      </c>
      <c r="G21" s="1" t="s">
        <v>529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530</v>
      </c>
      <c r="B22" s="1" t="s">
        <v>206</v>
      </c>
      <c r="C22" s="1" t="s">
        <v>507</v>
      </c>
      <c r="D22" s="1" t="s">
        <v>207</v>
      </c>
      <c r="E22" s="1" t="s">
        <v>144</v>
      </c>
      <c r="F22" s="1" t="s">
        <v>203</v>
      </c>
      <c r="G22" s="1" t="s">
        <v>531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532</v>
      </c>
      <c r="B23" s="1" t="s">
        <v>210</v>
      </c>
      <c r="C23" s="1" t="s">
        <v>507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533</v>
      </c>
      <c r="B24" s="1" t="s">
        <v>215</v>
      </c>
      <c r="C24" s="1" t="s">
        <v>507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126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535</v>
      </c>
      <c r="B9" s="12" t="s">
        <v>141</v>
      </c>
      <c r="C9" s="12" t="s">
        <v>32</v>
      </c>
      <c r="D9" s="13" t="s">
        <v>536</v>
      </c>
      <c r="E9" s="12" t="s">
        <v>144</v>
      </c>
      <c r="F9" s="12" t="s">
        <v>145</v>
      </c>
      <c r="G9" s="13" t="s">
        <v>537</v>
      </c>
      <c r="H9" s="12" t="s">
        <v>108</v>
      </c>
      <c r="I9" s="12" t="s">
        <v>123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538</v>
      </c>
      <c r="B10" s="12" t="s">
        <v>148</v>
      </c>
      <c r="C10" s="12" t="s">
        <v>32</v>
      </c>
      <c r="D10" s="13" t="s">
        <v>539</v>
      </c>
      <c r="E10" s="12" t="s">
        <v>144</v>
      </c>
      <c r="F10" s="12" t="s">
        <v>144</v>
      </c>
      <c r="G10" s="13" t="s">
        <v>150</v>
      </c>
      <c r="H10" s="12" t="s">
        <v>108</v>
      </c>
      <c r="I10" s="12" t="s">
        <v>123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540</v>
      </c>
      <c r="B11" s="12" t="s">
        <v>152</v>
      </c>
      <c r="C11" s="12" t="s">
        <v>32</v>
      </c>
      <c r="D11" s="13" t="s">
        <v>541</v>
      </c>
      <c r="E11" s="12" t="s">
        <v>144</v>
      </c>
      <c r="F11" s="12" t="s">
        <v>154</v>
      </c>
      <c r="G11" s="13" t="s">
        <v>542</v>
      </c>
      <c r="H11" s="12" t="s">
        <v>108</v>
      </c>
      <c r="I11" s="12" t="s">
        <v>123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543</v>
      </c>
      <c r="B12" s="12" t="s">
        <v>157</v>
      </c>
      <c r="C12" s="12" t="s">
        <v>32</v>
      </c>
      <c r="D12" s="13" t="s">
        <v>544</v>
      </c>
      <c r="E12" s="12" t="s">
        <v>144</v>
      </c>
      <c r="F12" s="12" t="s">
        <v>159</v>
      </c>
      <c r="G12" s="13" t="s">
        <v>545</v>
      </c>
      <c r="H12" s="12" t="s">
        <v>108</v>
      </c>
      <c r="I12" s="12" t="s">
        <v>123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546</v>
      </c>
      <c r="B13" s="12" t="s">
        <v>162</v>
      </c>
      <c r="C13" s="12" t="s">
        <v>32</v>
      </c>
      <c r="D13" s="13" t="s">
        <v>547</v>
      </c>
      <c r="E13" s="12" t="s">
        <v>144</v>
      </c>
      <c r="F13" s="12" t="s">
        <v>164</v>
      </c>
      <c r="G13" s="13" t="s">
        <v>548</v>
      </c>
      <c r="H13" s="12" t="s">
        <v>108</v>
      </c>
      <c r="I13" s="12" t="s">
        <v>123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549</v>
      </c>
      <c r="B14" s="12" t="s">
        <v>167</v>
      </c>
      <c r="C14" s="12" t="s">
        <v>32</v>
      </c>
      <c r="D14" s="13" t="s">
        <v>550</v>
      </c>
      <c r="E14" s="12" t="s">
        <v>144</v>
      </c>
      <c r="F14" s="12" t="s">
        <v>169</v>
      </c>
      <c r="G14" s="13" t="s">
        <v>551</v>
      </c>
      <c r="H14" s="12" t="s">
        <v>108</v>
      </c>
      <c r="I14" s="12" t="s">
        <v>123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552</v>
      </c>
      <c r="B15" s="12" t="s">
        <v>172</v>
      </c>
      <c r="C15" s="12" t="s">
        <v>32</v>
      </c>
      <c r="D15" s="13" t="s">
        <v>553</v>
      </c>
      <c r="E15" s="12" t="s">
        <v>144</v>
      </c>
      <c r="F15" s="12" t="s">
        <v>174</v>
      </c>
      <c r="G15" s="13" t="s">
        <v>554</v>
      </c>
      <c r="H15" s="12" t="s">
        <v>108</v>
      </c>
      <c r="I15" s="12" t="s">
        <v>123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555</v>
      </c>
      <c r="B16" s="12" t="s">
        <v>177</v>
      </c>
      <c r="C16" s="12" t="s">
        <v>32</v>
      </c>
      <c r="D16" s="13" t="s">
        <v>556</v>
      </c>
      <c r="E16" s="12" t="s">
        <v>144</v>
      </c>
      <c r="F16" s="12" t="s">
        <v>179</v>
      </c>
      <c r="G16" s="13" t="s">
        <v>557</v>
      </c>
      <c r="H16" s="12" t="s">
        <v>110</v>
      </c>
      <c r="I16" s="12" t="s">
        <v>122</v>
      </c>
      <c r="J16" s="14" t="n">
        <v>46227</v>
      </c>
      <c r="K16" s="13" t="s">
        <v>558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559</v>
      </c>
      <c r="B17" s="12" t="s">
        <v>183</v>
      </c>
      <c r="C17" s="12" t="s">
        <v>32</v>
      </c>
      <c r="D17" s="13" t="s">
        <v>560</v>
      </c>
      <c r="E17" s="12" t="s">
        <v>144</v>
      </c>
      <c r="F17" s="12" t="s">
        <v>185</v>
      </c>
      <c r="G17" s="13" t="s">
        <v>561</v>
      </c>
      <c r="H17" s="12" t="s">
        <v>106</v>
      </c>
      <c r="I17" s="12" t="s">
        <v>122</v>
      </c>
      <c r="J17" s="14"/>
      <c r="K17" s="13" t="s">
        <v>562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563</v>
      </c>
      <c r="B18" s="12" t="s">
        <v>189</v>
      </c>
      <c r="C18" s="12" t="s">
        <v>32</v>
      </c>
      <c r="D18" s="13" t="s">
        <v>564</v>
      </c>
      <c r="E18" s="12" t="s">
        <v>144</v>
      </c>
      <c r="F18" s="12" t="s">
        <v>185</v>
      </c>
      <c r="G18" s="13" t="s">
        <v>565</v>
      </c>
      <c r="H18" s="12" t="s">
        <v>106</v>
      </c>
      <c r="I18" s="12" t="s">
        <v>122</v>
      </c>
      <c r="J18" s="14"/>
      <c r="K18" s="13" t="s">
        <v>566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567</v>
      </c>
      <c r="B19" s="12" t="s">
        <v>192</v>
      </c>
      <c r="C19" s="12" t="s">
        <v>32</v>
      </c>
      <c r="D19" s="13" t="s">
        <v>568</v>
      </c>
      <c r="E19" s="12" t="s">
        <v>144</v>
      </c>
      <c r="F19" s="12" t="s">
        <v>185</v>
      </c>
      <c r="G19" s="13" t="s">
        <v>569</v>
      </c>
      <c r="H19" s="12" t="s">
        <v>106</v>
      </c>
      <c r="I19" s="12" t="s">
        <v>122</v>
      </c>
      <c r="J19" s="14"/>
      <c r="K19" s="13" t="s">
        <v>570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571</v>
      </c>
      <c r="B20" s="12" t="s">
        <v>197</v>
      </c>
      <c r="C20" s="12" t="s">
        <v>32</v>
      </c>
      <c r="D20" s="13" t="s">
        <v>572</v>
      </c>
      <c r="E20" s="12" t="s">
        <v>144</v>
      </c>
      <c r="F20" s="12" t="s">
        <v>185</v>
      </c>
      <c r="G20" s="13" t="s">
        <v>561</v>
      </c>
      <c r="H20" s="12" t="s">
        <v>106</v>
      </c>
      <c r="I20" s="12" t="s">
        <v>122</v>
      </c>
      <c r="J20" s="14"/>
      <c r="K20" s="13" t="s">
        <v>573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574</v>
      </c>
      <c r="B21" s="12" t="s">
        <v>201</v>
      </c>
      <c r="C21" s="12" t="s">
        <v>32</v>
      </c>
      <c r="D21" s="13" t="s">
        <v>575</v>
      </c>
      <c r="E21" s="12" t="s">
        <v>144</v>
      </c>
      <c r="F21" s="12" t="s">
        <v>203</v>
      </c>
      <c r="G21" s="13" t="s">
        <v>576</v>
      </c>
      <c r="H21" s="12" t="s">
        <v>108</v>
      </c>
      <c r="I21" s="12" t="s">
        <v>123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577</v>
      </c>
      <c r="B22" s="12" t="s">
        <v>206</v>
      </c>
      <c r="C22" s="12" t="s">
        <v>32</v>
      </c>
      <c r="D22" s="13" t="s">
        <v>578</v>
      </c>
      <c r="E22" s="12" t="s">
        <v>144</v>
      </c>
      <c r="F22" s="12" t="s">
        <v>203</v>
      </c>
      <c r="G22" s="13" t="s">
        <v>579</v>
      </c>
      <c r="H22" s="12" t="s">
        <v>108</v>
      </c>
      <c r="I22" s="12" t="s">
        <v>123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580</v>
      </c>
      <c r="B23" s="12" t="s">
        <v>210</v>
      </c>
      <c r="C23" s="12" t="s">
        <v>32</v>
      </c>
      <c r="D23" s="13" t="s">
        <v>581</v>
      </c>
      <c r="E23" s="12" t="s">
        <v>212</v>
      </c>
      <c r="F23" s="12" t="s">
        <v>212</v>
      </c>
      <c r="G23" s="13" t="s">
        <v>213</v>
      </c>
      <c r="H23" s="12" t="s">
        <v>108</v>
      </c>
      <c r="I23" s="12" t="s">
        <v>123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582</v>
      </c>
      <c r="B24" s="12" t="s">
        <v>215</v>
      </c>
      <c r="C24" s="12" t="s">
        <v>32</v>
      </c>
      <c r="D24" s="13" t="s">
        <v>583</v>
      </c>
      <c r="E24" s="12" t="s">
        <v>144</v>
      </c>
      <c r="F24" s="12" t="s">
        <v>144</v>
      </c>
      <c r="G24" s="13" t="s">
        <v>584</v>
      </c>
      <c r="H24" s="12" t="s">
        <v>108</v>
      </c>
      <c r="I24" s="12" t="s">
        <v>123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586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126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587</v>
      </c>
      <c r="B9" s="12" t="s">
        <v>141</v>
      </c>
      <c r="C9" s="12" t="s">
        <v>33</v>
      </c>
      <c r="D9" s="13" t="s">
        <v>588</v>
      </c>
      <c r="E9" s="12" t="s">
        <v>144</v>
      </c>
      <c r="F9" s="12" t="s">
        <v>145</v>
      </c>
      <c r="G9" s="13" t="s">
        <v>589</v>
      </c>
      <c r="H9" s="12" t="s">
        <v>108</v>
      </c>
      <c r="I9" s="12" t="s">
        <v>123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590</v>
      </c>
      <c r="B10" s="12" t="s">
        <v>148</v>
      </c>
      <c r="C10" s="12" t="s">
        <v>33</v>
      </c>
      <c r="D10" s="13" t="s">
        <v>591</v>
      </c>
      <c r="E10" s="12" t="s">
        <v>144</v>
      </c>
      <c r="F10" s="12" t="s">
        <v>144</v>
      </c>
      <c r="G10" s="13" t="s">
        <v>592</v>
      </c>
      <c r="H10" s="12" t="s">
        <v>108</v>
      </c>
      <c r="I10" s="12" t="s">
        <v>123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593</v>
      </c>
      <c r="B11" s="12" t="s">
        <v>152</v>
      </c>
      <c r="C11" s="12" t="s">
        <v>33</v>
      </c>
      <c r="D11" s="13" t="s">
        <v>594</v>
      </c>
      <c r="E11" s="12" t="s">
        <v>144</v>
      </c>
      <c r="F11" s="12" t="s">
        <v>154</v>
      </c>
      <c r="G11" s="13" t="s">
        <v>595</v>
      </c>
      <c r="H11" s="12" t="s">
        <v>108</v>
      </c>
      <c r="I11" s="12" t="s">
        <v>123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596</v>
      </c>
      <c r="B12" s="12" t="s">
        <v>157</v>
      </c>
      <c r="C12" s="12" t="s">
        <v>33</v>
      </c>
      <c r="D12" s="13" t="s">
        <v>597</v>
      </c>
      <c r="E12" s="12" t="s">
        <v>144</v>
      </c>
      <c r="F12" s="12" t="s">
        <v>159</v>
      </c>
      <c r="G12" s="13" t="s">
        <v>598</v>
      </c>
      <c r="H12" s="12" t="s">
        <v>108</v>
      </c>
      <c r="I12" s="12" t="s">
        <v>123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599</v>
      </c>
      <c r="B13" s="12" t="s">
        <v>162</v>
      </c>
      <c r="C13" s="12" t="s">
        <v>33</v>
      </c>
      <c r="D13" s="13" t="s">
        <v>600</v>
      </c>
      <c r="E13" s="12" t="s">
        <v>144</v>
      </c>
      <c r="F13" s="12" t="s">
        <v>164</v>
      </c>
      <c r="G13" s="13" t="s">
        <v>601</v>
      </c>
      <c r="H13" s="12" t="s">
        <v>108</v>
      </c>
      <c r="I13" s="12" t="s">
        <v>123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602</v>
      </c>
      <c r="B14" s="12" t="s">
        <v>167</v>
      </c>
      <c r="C14" s="12" t="s">
        <v>33</v>
      </c>
      <c r="D14" s="13" t="s">
        <v>603</v>
      </c>
      <c r="E14" s="12" t="s">
        <v>144</v>
      </c>
      <c r="F14" s="12" t="s">
        <v>169</v>
      </c>
      <c r="G14" s="13" t="s">
        <v>604</v>
      </c>
      <c r="H14" s="12" t="s">
        <v>108</v>
      </c>
      <c r="I14" s="12" t="s">
        <v>123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605</v>
      </c>
      <c r="B15" s="12" t="s">
        <v>172</v>
      </c>
      <c r="C15" s="12" t="s">
        <v>33</v>
      </c>
      <c r="D15" s="13" t="s">
        <v>606</v>
      </c>
      <c r="E15" s="12" t="s">
        <v>144</v>
      </c>
      <c r="F15" s="12" t="s">
        <v>174</v>
      </c>
      <c r="G15" s="13" t="s">
        <v>604</v>
      </c>
      <c r="H15" s="12" t="s">
        <v>108</v>
      </c>
      <c r="I15" s="12" t="s">
        <v>123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607</v>
      </c>
      <c r="B16" s="12" t="s">
        <v>177</v>
      </c>
      <c r="C16" s="12" t="s">
        <v>33</v>
      </c>
      <c r="D16" s="13" t="s">
        <v>608</v>
      </c>
      <c r="E16" s="12" t="s">
        <v>144</v>
      </c>
      <c r="F16" s="12" t="s">
        <v>179</v>
      </c>
      <c r="G16" s="13" t="s">
        <v>609</v>
      </c>
      <c r="H16" s="12" t="s">
        <v>110</v>
      </c>
      <c r="I16" s="12" t="s">
        <v>122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610</v>
      </c>
      <c r="B17" s="12" t="s">
        <v>183</v>
      </c>
      <c r="C17" s="12" t="s">
        <v>33</v>
      </c>
      <c r="D17" s="13" t="s">
        <v>611</v>
      </c>
      <c r="E17" s="12" t="s">
        <v>144</v>
      </c>
      <c r="F17" s="12" t="s">
        <v>185</v>
      </c>
      <c r="G17" s="13" t="s">
        <v>612</v>
      </c>
      <c r="H17" s="12" t="s">
        <v>106</v>
      </c>
      <c r="I17" s="12" t="s">
        <v>122</v>
      </c>
      <c r="J17" s="14"/>
      <c r="K17" s="13" t="s">
        <v>613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614</v>
      </c>
      <c r="B18" s="12" t="s">
        <v>189</v>
      </c>
      <c r="C18" s="12" t="s">
        <v>33</v>
      </c>
      <c r="D18" s="13" t="s">
        <v>615</v>
      </c>
      <c r="E18" s="12" t="s">
        <v>144</v>
      </c>
      <c r="F18" s="12" t="s">
        <v>185</v>
      </c>
      <c r="G18" s="13" t="s">
        <v>616</v>
      </c>
      <c r="H18" s="12" t="s">
        <v>106</v>
      </c>
      <c r="I18" s="12" t="s">
        <v>122</v>
      </c>
      <c r="J18" s="14"/>
      <c r="K18" s="13" t="s">
        <v>617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618</v>
      </c>
      <c r="B19" s="12" t="s">
        <v>192</v>
      </c>
      <c r="C19" s="12" t="s">
        <v>33</v>
      </c>
      <c r="D19" s="13" t="s">
        <v>619</v>
      </c>
      <c r="E19" s="12" t="s">
        <v>144</v>
      </c>
      <c r="F19" s="12" t="s">
        <v>169</v>
      </c>
      <c r="G19" s="13" t="s">
        <v>604</v>
      </c>
      <c r="H19" s="12" t="s">
        <v>108</v>
      </c>
      <c r="I19" s="12" t="s">
        <v>123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620</v>
      </c>
      <c r="B20" s="12" t="s">
        <v>197</v>
      </c>
      <c r="C20" s="12" t="s">
        <v>33</v>
      </c>
      <c r="D20" s="13" t="s">
        <v>621</v>
      </c>
      <c r="E20" s="12" t="s">
        <v>144</v>
      </c>
      <c r="F20" s="12" t="s">
        <v>185</v>
      </c>
      <c r="G20" s="13" t="s">
        <v>612</v>
      </c>
      <c r="H20" s="12" t="s">
        <v>106</v>
      </c>
      <c r="I20" s="12" t="s">
        <v>122</v>
      </c>
      <c r="J20" s="14"/>
      <c r="K20" s="13" t="s">
        <v>622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623</v>
      </c>
      <c r="B21" s="12" t="s">
        <v>201</v>
      </c>
      <c r="C21" s="12" t="s">
        <v>33</v>
      </c>
      <c r="D21" s="13" t="s">
        <v>624</v>
      </c>
      <c r="E21" s="12" t="s">
        <v>144</v>
      </c>
      <c r="F21" s="12" t="s">
        <v>203</v>
      </c>
      <c r="G21" s="13" t="s">
        <v>625</v>
      </c>
      <c r="H21" s="12" t="s">
        <v>108</v>
      </c>
      <c r="I21" s="12" t="s">
        <v>123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626</v>
      </c>
      <c r="B22" s="12" t="s">
        <v>206</v>
      </c>
      <c r="C22" s="12" t="s">
        <v>33</v>
      </c>
      <c r="D22" s="13" t="s">
        <v>627</v>
      </c>
      <c r="E22" s="12" t="s">
        <v>144</v>
      </c>
      <c r="F22" s="12" t="s">
        <v>203</v>
      </c>
      <c r="G22" s="13" t="s">
        <v>628</v>
      </c>
      <c r="H22" s="12" t="s">
        <v>108</v>
      </c>
      <c r="I22" s="12" t="s">
        <v>123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629</v>
      </c>
      <c r="B23" s="12" t="s">
        <v>210</v>
      </c>
      <c r="C23" s="12" t="s">
        <v>33</v>
      </c>
      <c r="D23" s="13" t="s">
        <v>630</v>
      </c>
      <c r="E23" s="12" t="s">
        <v>212</v>
      </c>
      <c r="F23" s="12" t="s">
        <v>212</v>
      </c>
      <c r="G23" s="13" t="s">
        <v>213</v>
      </c>
      <c r="H23" s="12" t="s">
        <v>108</v>
      </c>
      <c r="I23" s="12" t="s">
        <v>123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631</v>
      </c>
      <c r="B24" s="12" t="s">
        <v>632</v>
      </c>
      <c r="C24" s="12" t="s">
        <v>33</v>
      </c>
      <c r="D24" s="13" t="s">
        <v>633</v>
      </c>
      <c r="E24" s="12" t="s">
        <v>144</v>
      </c>
      <c r="F24" s="12" t="s">
        <v>634</v>
      </c>
      <c r="G24" s="13" t="s">
        <v>635</v>
      </c>
      <c r="H24" s="12" t="s">
        <v>108</v>
      </c>
      <c r="I24" s="12" t="s">
        <v>123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636</v>
      </c>
      <c r="B25" s="12" t="s">
        <v>215</v>
      </c>
      <c r="C25" s="12" t="s">
        <v>33</v>
      </c>
      <c r="D25" s="13" t="s">
        <v>637</v>
      </c>
      <c r="E25" s="12" t="s">
        <v>144</v>
      </c>
      <c r="F25" s="12" t="s">
        <v>144</v>
      </c>
      <c r="G25" s="13" t="s">
        <v>638</v>
      </c>
      <c r="H25" s="12" t="s">
        <v>108</v>
      </c>
      <c r="I25" s="12" t="s">
        <v>123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126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640</v>
      </c>
      <c r="B9" s="12" t="s">
        <v>141</v>
      </c>
      <c r="C9" s="12" t="s">
        <v>40</v>
      </c>
      <c r="D9" s="13" t="s">
        <v>641</v>
      </c>
      <c r="E9" s="12" t="s">
        <v>144</v>
      </c>
      <c r="F9" s="12" t="s">
        <v>145</v>
      </c>
      <c r="G9" s="13" t="s">
        <v>642</v>
      </c>
      <c r="H9" s="12" t="s">
        <v>108</v>
      </c>
      <c r="I9" s="12" t="s">
        <v>123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643</v>
      </c>
      <c r="B10" s="12" t="s">
        <v>148</v>
      </c>
      <c r="C10" s="12" t="s">
        <v>40</v>
      </c>
      <c r="D10" s="13" t="s">
        <v>644</v>
      </c>
      <c r="E10" s="12" t="s">
        <v>144</v>
      </c>
      <c r="F10" s="12" t="s">
        <v>144</v>
      </c>
      <c r="G10" s="13" t="s">
        <v>150</v>
      </c>
      <c r="H10" s="12" t="s">
        <v>108</v>
      </c>
      <c r="I10" s="12" t="s">
        <v>123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645</v>
      </c>
      <c r="B11" s="12" t="s">
        <v>152</v>
      </c>
      <c r="C11" s="12" t="s">
        <v>40</v>
      </c>
      <c r="D11" s="13" t="s">
        <v>646</v>
      </c>
      <c r="E11" s="12" t="s">
        <v>144</v>
      </c>
      <c r="F11" s="12" t="s">
        <v>154</v>
      </c>
      <c r="G11" s="13" t="s">
        <v>647</v>
      </c>
      <c r="H11" s="12" t="s">
        <v>108</v>
      </c>
      <c r="I11" s="12" t="s">
        <v>123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648</v>
      </c>
      <c r="B12" s="12" t="s">
        <v>157</v>
      </c>
      <c r="C12" s="12" t="s">
        <v>40</v>
      </c>
      <c r="D12" s="13" t="s">
        <v>649</v>
      </c>
      <c r="E12" s="12" t="s">
        <v>144</v>
      </c>
      <c r="F12" s="12" t="s">
        <v>159</v>
      </c>
      <c r="G12" s="13" t="s">
        <v>650</v>
      </c>
      <c r="H12" s="12" t="s">
        <v>108</v>
      </c>
      <c r="I12" s="12" t="s">
        <v>123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651</v>
      </c>
      <c r="B13" s="12" t="s">
        <v>162</v>
      </c>
      <c r="C13" s="12" t="s">
        <v>40</v>
      </c>
      <c r="D13" s="13" t="s">
        <v>652</v>
      </c>
      <c r="E13" s="12" t="s">
        <v>144</v>
      </c>
      <c r="F13" s="12" t="s">
        <v>164</v>
      </c>
      <c r="G13" s="13" t="s">
        <v>653</v>
      </c>
      <c r="H13" s="12" t="s">
        <v>108</v>
      </c>
      <c r="I13" s="12" t="s">
        <v>123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654</v>
      </c>
      <c r="B14" s="12" t="s">
        <v>167</v>
      </c>
      <c r="C14" s="12" t="s">
        <v>40</v>
      </c>
      <c r="D14" s="13" t="s">
        <v>655</v>
      </c>
      <c r="E14" s="12" t="s">
        <v>144</v>
      </c>
      <c r="F14" s="12" t="s">
        <v>169</v>
      </c>
      <c r="G14" s="13" t="s">
        <v>656</v>
      </c>
      <c r="H14" s="12" t="s">
        <v>108</v>
      </c>
      <c r="I14" s="12" t="s">
        <v>123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657</v>
      </c>
      <c r="B15" s="12" t="s">
        <v>172</v>
      </c>
      <c r="C15" s="12" t="s">
        <v>40</v>
      </c>
      <c r="D15" s="13" t="s">
        <v>658</v>
      </c>
      <c r="E15" s="12" t="s">
        <v>144</v>
      </c>
      <c r="F15" s="12" t="s">
        <v>174</v>
      </c>
      <c r="G15" s="13" t="s">
        <v>656</v>
      </c>
      <c r="H15" s="12" t="s">
        <v>108</v>
      </c>
      <c r="I15" s="12" t="s">
        <v>123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659</v>
      </c>
      <c r="B16" s="12" t="s">
        <v>177</v>
      </c>
      <c r="C16" s="12" t="s">
        <v>40</v>
      </c>
      <c r="D16" s="13" t="s">
        <v>660</v>
      </c>
      <c r="E16" s="12" t="s">
        <v>144</v>
      </c>
      <c r="F16" s="12" t="s">
        <v>179</v>
      </c>
      <c r="G16" s="13" t="s">
        <v>661</v>
      </c>
      <c r="H16" s="12" t="s">
        <v>110</v>
      </c>
      <c r="I16" s="12" t="s">
        <v>122</v>
      </c>
      <c r="J16" s="14" t="n">
        <v>46227</v>
      </c>
      <c r="K16" s="13" t="s">
        <v>662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663</v>
      </c>
      <c r="B17" s="12" t="s">
        <v>183</v>
      </c>
      <c r="C17" s="12" t="s">
        <v>40</v>
      </c>
      <c r="D17" s="13" t="s">
        <v>664</v>
      </c>
      <c r="E17" s="12" t="s">
        <v>144</v>
      </c>
      <c r="F17" s="12" t="s">
        <v>185</v>
      </c>
      <c r="G17" s="13" t="s">
        <v>665</v>
      </c>
      <c r="H17" s="12" t="s">
        <v>106</v>
      </c>
      <c r="I17" s="12" t="s">
        <v>122</v>
      </c>
      <c r="J17" s="14"/>
      <c r="K17" s="13" t="s">
        <v>666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667</v>
      </c>
      <c r="B18" s="12" t="s">
        <v>189</v>
      </c>
      <c r="C18" s="12" t="s">
        <v>40</v>
      </c>
      <c r="D18" s="13" t="s">
        <v>668</v>
      </c>
      <c r="E18" s="12" t="s">
        <v>144</v>
      </c>
      <c r="F18" s="12" t="s">
        <v>185</v>
      </c>
      <c r="G18" s="13" t="s">
        <v>669</v>
      </c>
      <c r="H18" s="12" t="s">
        <v>106</v>
      </c>
      <c r="I18" s="12" t="s">
        <v>122</v>
      </c>
      <c r="J18" s="14"/>
      <c r="K18" s="13" t="s">
        <v>670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671</v>
      </c>
      <c r="B19" s="12" t="s">
        <v>672</v>
      </c>
      <c r="C19" s="12" t="s">
        <v>40</v>
      </c>
      <c r="D19" s="13" t="s">
        <v>673</v>
      </c>
      <c r="E19" s="12" t="s">
        <v>144</v>
      </c>
      <c r="F19" s="12" t="s">
        <v>169</v>
      </c>
      <c r="G19" s="13" t="s">
        <v>656</v>
      </c>
      <c r="H19" s="12" t="s">
        <v>108</v>
      </c>
      <c r="I19" s="12" t="s">
        <v>123</v>
      </c>
      <c r="J19" s="14" t="n">
        <v>46227</v>
      </c>
      <c r="K19" s="13" t="s">
        <v>570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674</v>
      </c>
      <c r="B20" s="12" t="s">
        <v>197</v>
      </c>
      <c r="C20" s="12" t="s">
        <v>40</v>
      </c>
      <c r="D20" s="13" t="s">
        <v>675</v>
      </c>
      <c r="E20" s="12" t="s">
        <v>144</v>
      </c>
      <c r="F20" s="12" t="s">
        <v>185</v>
      </c>
      <c r="G20" s="13" t="s">
        <v>665</v>
      </c>
      <c r="H20" s="12" t="s">
        <v>106</v>
      </c>
      <c r="I20" s="12" t="s">
        <v>122</v>
      </c>
      <c r="J20" s="14"/>
      <c r="K20" s="13" t="s">
        <v>573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676</v>
      </c>
      <c r="B21" s="12" t="s">
        <v>201</v>
      </c>
      <c r="C21" s="12" t="s">
        <v>40</v>
      </c>
      <c r="D21" s="13" t="s">
        <v>575</v>
      </c>
      <c r="E21" s="12" t="s">
        <v>144</v>
      </c>
      <c r="F21" s="12" t="s">
        <v>203</v>
      </c>
      <c r="G21" s="13" t="s">
        <v>677</v>
      </c>
      <c r="H21" s="12" t="s">
        <v>108</v>
      </c>
      <c r="I21" s="12" t="s">
        <v>123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678</v>
      </c>
      <c r="B22" s="12" t="s">
        <v>206</v>
      </c>
      <c r="C22" s="12" t="s">
        <v>40</v>
      </c>
      <c r="D22" s="13" t="s">
        <v>679</v>
      </c>
      <c r="E22" s="12" t="s">
        <v>144</v>
      </c>
      <c r="F22" s="12" t="s">
        <v>203</v>
      </c>
      <c r="G22" s="13" t="s">
        <v>680</v>
      </c>
      <c r="H22" s="12" t="s">
        <v>108</v>
      </c>
      <c r="I22" s="12" t="s">
        <v>123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681</v>
      </c>
      <c r="B23" s="12" t="s">
        <v>210</v>
      </c>
      <c r="C23" s="12" t="s">
        <v>40</v>
      </c>
      <c r="D23" s="13" t="s">
        <v>682</v>
      </c>
      <c r="E23" s="12" t="s">
        <v>212</v>
      </c>
      <c r="F23" s="12" t="s">
        <v>212</v>
      </c>
      <c r="G23" s="13" t="s">
        <v>213</v>
      </c>
      <c r="H23" s="12" t="s">
        <v>108</v>
      </c>
      <c r="I23" s="12" t="s">
        <v>123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683</v>
      </c>
      <c r="B24" s="12" t="s">
        <v>215</v>
      </c>
      <c r="C24" s="12" t="s">
        <v>40</v>
      </c>
      <c r="D24" s="13" t="s">
        <v>583</v>
      </c>
      <c r="E24" s="12" t="s">
        <v>144</v>
      </c>
      <c r="F24" s="12" t="s">
        <v>144</v>
      </c>
      <c r="G24" s="13" t="s">
        <v>584</v>
      </c>
      <c r="H24" s="12" t="s">
        <v>106</v>
      </c>
      <c r="I24" s="12" t="s">
        <v>122</v>
      </c>
      <c r="J24" s="14" t="n">
        <v>46227</v>
      </c>
      <c r="K24" s="13" t="s">
        <v>684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686</v>
      </c>
      <c r="B9" s="1" t="s">
        <v>141</v>
      </c>
      <c r="C9" s="1" t="s">
        <v>687</v>
      </c>
      <c r="D9" s="1" t="s">
        <v>143</v>
      </c>
      <c r="E9" s="1" t="s">
        <v>144</v>
      </c>
      <c r="F9" s="1" t="s">
        <v>145</v>
      </c>
      <c r="G9" s="1" t="s">
        <v>277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688</v>
      </c>
      <c r="B10" s="1" t="s">
        <v>148</v>
      </c>
      <c r="C10" s="1" t="s">
        <v>687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689</v>
      </c>
      <c r="B11" s="1" t="s">
        <v>152</v>
      </c>
      <c r="C11" s="1" t="s">
        <v>687</v>
      </c>
      <c r="D11" s="1" t="s">
        <v>153</v>
      </c>
      <c r="E11" s="1" t="s">
        <v>144</v>
      </c>
      <c r="F11" s="1" t="s">
        <v>154</v>
      </c>
      <c r="G11" s="1" t="s">
        <v>690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691</v>
      </c>
      <c r="B12" s="1" t="s">
        <v>157</v>
      </c>
      <c r="C12" s="1" t="s">
        <v>687</v>
      </c>
      <c r="D12" s="1" t="s">
        <v>158</v>
      </c>
      <c r="E12" s="1" t="s">
        <v>144</v>
      </c>
      <c r="F12" s="1" t="s">
        <v>159</v>
      </c>
      <c r="G12" s="1" t="s">
        <v>282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692</v>
      </c>
      <c r="B13" s="1" t="s">
        <v>162</v>
      </c>
      <c r="C13" s="1" t="s">
        <v>687</v>
      </c>
      <c r="D13" s="1" t="s">
        <v>163</v>
      </c>
      <c r="E13" s="1" t="s">
        <v>144</v>
      </c>
      <c r="F13" s="1" t="s">
        <v>164</v>
      </c>
      <c r="G13" s="1" t="s">
        <v>693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694</v>
      </c>
      <c r="B14" s="1" t="s">
        <v>167</v>
      </c>
      <c r="C14" s="1" t="s">
        <v>687</v>
      </c>
      <c r="D14" s="1" t="s">
        <v>168</v>
      </c>
      <c r="E14" s="1" t="s">
        <v>144</v>
      </c>
      <c r="F14" s="1" t="s">
        <v>169</v>
      </c>
      <c r="G14" s="1" t="s">
        <v>695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696</v>
      </c>
      <c r="B15" s="1" t="s">
        <v>172</v>
      </c>
      <c r="C15" s="1" t="s">
        <v>687</v>
      </c>
      <c r="D15" s="1" t="s">
        <v>173</v>
      </c>
      <c r="E15" s="1" t="s">
        <v>144</v>
      </c>
      <c r="F15" s="1" t="s">
        <v>174</v>
      </c>
      <c r="G15" s="1" t="s">
        <v>697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698</v>
      </c>
      <c r="B16" s="1" t="s">
        <v>177</v>
      </c>
      <c r="C16" s="1" t="s">
        <v>687</v>
      </c>
      <c r="D16" s="1" t="s">
        <v>178</v>
      </c>
      <c r="E16" s="1" t="s">
        <v>144</v>
      </c>
      <c r="F16" s="1" t="s">
        <v>179</v>
      </c>
      <c r="G16" s="1" t="s">
        <v>699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700</v>
      </c>
      <c r="B17" s="1" t="s">
        <v>183</v>
      </c>
      <c r="C17" s="1" t="s">
        <v>687</v>
      </c>
      <c r="D17" s="1" t="s">
        <v>184</v>
      </c>
      <c r="E17" s="1" t="s">
        <v>144</v>
      </c>
      <c r="F17" s="1" t="s">
        <v>185</v>
      </c>
      <c r="G17" s="1" t="s">
        <v>701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702</v>
      </c>
      <c r="B18" s="1" t="s">
        <v>189</v>
      </c>
      <c r="C18" s="1" t="s">
        <v>687</v>
      </c>
      <c r="D18" s="1" t="s">
        <v>190</v>
      </c>
      <c r="E18" s="1" t="s">
        <v>144</v>
      </c>
      <c r="F18" s="1" t="s">
        <v>185</v>
      </c>
      <c r="G18" s="1" t="s">
        <v>701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703</v>
      </c>
      <c r="B19" s="1" t="s">
        <v>192</v>
      </c>
      <c r="C19" s="1" t="s">
        <v>687</v>
      </c>
      <c r="D19" s="1" t="s">
        <v>193</v>
      </c>
      <c r="E19" s="1" t="s">
        <v>144</v>
      </c>
      <c r="F19" s="1" t="s">
        <v>185</v>
      </c>
      <c r="G19" s="1" t="s">
        <v>704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705</v>
      </c>
      <c r="B20" s="1" t="s">
        <v>197</v>
      </c>
      <c r="C20" s="1" t="s">
        <v>687</v>
      </c>
      <c r="D20" s="1" t="s">
        <v>198</v>
      </c>
      <c r="E20" s="1" t="s">
        <v>144</v>
      </c>
      <c r="F20" s="1" t="s">
        <v>185</v>
      </c>
      <c r="G20" s="1" t="s">
        <v>701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706</v>
      </c>
      <c r="B21" s="1" t="s">
        <v>201</v>
      </c>
      <c r="C21" s="1" t="s">
        <v>687</v>
      </c>
      <c r="D21" s="1" t="s">
        <v>202</v>
      </c>
      <c r="E21" s="1" t="s">
        <v>144</v>
      </c>
      <c r="F21" s="1" t="s">
        <v>203</v>
      </c>
      <c r="G21" s="1" t="s">
        <v>707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708</v>
      </c>
      <c r="B22" s="1" t="s">
        <v>206</v>
      </c>
      <c r="C22" s="1" t="s">
        <v>687</v>
      </c>
      <c r="D22" s="1" t="s">
        <v>207</v>
      </c>
      <c r="E22" s="1" t="s">
        <v>144</v>
      </c>
      <c r="F22" s="1" t="s">
        <v>203</v>
      </c>
      <c r="G22" s="1" t="s">
        <v>709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710</v>
      </c>
      <c r="B23" s="1" t="s">
        <v>210</v>
      </c>
      <c r="C23" s="1" t="s">
        <v>687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711</v>
      </c>
      <c r="B24" s="1" t="s">
        <v>215</v>
      </c>
      <c r="C24" s="1" t="s">
        <v>687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713</v>
      </c>
      <c r="B9" s="1" t="s">
        <v>141</v>
      </c>
      <c r="C9" s="1" t="s">
        <v>35</v>
      </c>
      <c r="D9" s="1" t="s">
        <v>143</v>
      </c>
      <c r="E9" s="1" t="s">
        <v>144</v>
      </c>
      <c r="F9" s="1" t="s">
        <v>145</v>
      </c>
      <c r="G9" s="1" t="s">
        <v>714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715</v>
      </c>
      <c r="B10" s="1" t="s">
        <v>148</v>
      </c>
      <c r="C10" s="1" t="s">
        <v>35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716</v>
      </c>
      <c r="B11" s="1" t="s">
        <v>152</v>
      </c>
      <c r="C11" s="1" t="s">
        <v>35</v>
      </c>
      <c r="D11" s="1" t="s">
        <v>153</v>
      </c>
      <c r="E11" s="1" t="s">
        <v>144</v>
      </c>
      <c r="F11" s="1" t="s">
        <v>154</v>
      </c>
      <c r="G11" s="1" t="s">
        <v>717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718</v>
      </c>
      <c r="B12" s="1" t="s">
        <v>157</v>
      </c>
      <c r="C12" s="1" t="s">
        <v>35</v>
      </c>
      <c r="D12" s="1" t="s">
        <v>158</v>
      </c>
      <c r="E12" s="1" t="s">
        <v>144</v>
      </c>
      <c r="F12" s="1" t="s">
        <v>159</v>
      </c>
      <c r="G12" s="1" t="s">
        <v>719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720</v>
      </c>
      <c r="B13" s="1" t="s">
        <v>162</v>
      </c>
      <c r="C13" s="1" t="s">
        <v>35</v>
      </c>
      <c r="D13" s="1" t="s">
        <v>163</v>
      </c>
      <c r="E13" s="1" t="s">
        <v>144</v>
      </c>
      <c r="F13" s="1" t="s">
        <v>164</v>
      </c>
      <c r="G13" s="1" t="s">
        <v>721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722</v>
      </c>
      <c r="B14" s="1" t="s">
        <v>167</v>
      </c>
      <c r="C14" s="1" t="s">
        <v>35</v>
      </c>
      <c r="D14" s="1" t="s">
        <v>168</v>
      </c>
      <c r="E14" s="1" t="s">
        <v>144</v>
      </c>
      <c r="F14" s="1" t="s">
        <v>169</v>
      </c>
      <c r="G14" s="1" t="s">
        <v>723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724</v>
      </c>
      <c r="B15" s="1" t="s">
        <v>172</v>
      </c>
      <c r="C15" s="1" t="s">
        <v>35</v>
      </c>
      <c r="D15" s="1" t="s">
        <v>173</v>
      </c>
      <c r="E15" s="1" t="s">
        <v>144</v>
      </c>
      <c r="F15" s="1" t="s">
        <v>174</v>
      </c>
      <c r="G15" s="1" t="s">
        <v>725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726</v>
      </c>
      <c r="B16" s="1" t="s">
        <v>177</v>
      </c>
      <c r="C16" s="1" t="s">
        <v>35</v>
      </c>
      <c r="D16" s="1" t="s">
        <v>178</v>
      </c>
      <c r="E16" s="1" t="s">
        <v>144</v>
      </c>
      <c r="F16" s="1" t="s">
        <v>179</v>
      </c>
      <c r="G16" s="1" t="s">
        <v>727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728</v>
      </c>
      <c r="B17" s="1" t="s">
        <v>183</v>
      </c>
      <c r="C17" s="1" t="s">
        <v>35</v>
      </c>
      <c r="D17" s="1" t="s">
        <v>184</v>
      </c>
      <c r="E17" s="1" t="s">
        <v>144</v>
      </c>
      <c r="F17" s="1" t="s">
        <v>185</v>
      </c>
      <c r="G17" s="1" t="s">
        <v>729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730</v>
      </c>
      <c r="B18" s="1" t="s">
        <v>189</v>
      </c>
      <c r="C18" s="1" t="s">
        <v>35</v>
      </c>
      <c r="D18" s="1" t="s">
        <v>190</v>
      </c>
      <c r="E18" s="1" t="s">
        <v>144</v>
      </c>
      <c r="F18" s="1" t="s">
        <v>185</v>
      </c>
      <c r="G18" s="1" t="s">
        <v>729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731</v>
      </c>
      <c r="B19" s="1" t="s">
        <v>192</v>
      </c>
      <c r="C19" s="1" t="s">
        <v>35</v>
      </c>
      <c r="D19" s="1" t="s">
        <v>193</v>
      </c>
      <c r="E19" s="1" t="s">
        <v>144</v>
      </c>
      <c r="F19" s="1" t="s">
        <v>185</v>
      </c>
      <c r="G19" s="1" t="s">
        <v>732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733</v>
      </c>
      <c r="B20" s="1" t="s">
        <v>197</v>
      </c>
      <c r="C20" s="1" t="s">
        <v>35</v>
      </c>
      <c r="D20" s="1" t="s">
        <v>198</v>
      </c>
      <c r="E20" s="1" t="s">
        <v>144</v>
      </c>
      <c r="F20" s="1" t="s">
        <v>185</v>
      </c>
      <c r="G20" s="1" t="s">
        <v>729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734</v>
      </c>
      <c r="B21" s="1" t="s">
        <v>201</v>
      </c>
      <c r="C21" s="1" t="s">
        <v>35</v>
      </c>
      <c r="D21" s="1" t="s">
        <v>202</v>
      </c>
      <c r="E21" s="1" t="s">
        <v>144</v>
      </c>
      <c r="F21" s="1" t="s">
        <v>203</v>
      </c>
      <c r="G21" s="1" t="s">
        <v>735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736</v>
      </c>
      <c r="B22" s="1" t="s">
        <v>206</v>
      </c>
      <c r="C22" s="1" t="s">
        <v>35</v>
      </c>
      <c r="D22" s="1" t="s">
        <v>207</v>
      </c>
      <c r="E22" s="1" t="s">
        <v>144</v>
      </c>
      <c r="F22" s="1" t="s">
        <v>203</v>
      </c>
      <c r="G22" s="1" t="s">
        <v>737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738</v>
      </c>
      <c r="B23" s="1" t="s">
        <v>210</v>
      </c>
      <c r="C23" s="1" t="s">
        <v>35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739</v>
      </c>
      <c r="B24" s="1" t="s">
        <v>215</v>
      </c>
      <c r="C24" s="1" t="s">
        <v>35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640</v>
      </c>
      <c r="B9" s="1" t="s">
        <v>141</v>
      </c>
      <c r="C9" s="1" t="s">
        <v>36</v>
      </c>
      <c r="D9" s="1" t="s">
        <v>143</v>
      </c>
      <c r="E9" s="1" t="s">
        <v>144</v>
      </c>
      <c r="F9" s="1" t="s">
        <v>145</v>
      </c>
      <c r="G9" s="1" t="s">
        <v>741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643</v>
      </c>
      <c r="B10" s="1" t="s">
        <v>148</v>
      </c>
      <c r="C10" s="1" t="s">
        <v>36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645</v>
      </c>
      <c r="B11" s="1" t="s">
        <v>152</v>
      </c>
      <c r="C11" s="1" t="s">
        <v>36</v>
      </c>
      <c r="D11" s="1" t="s">
        <v>153</v>
      </c>
      <c r="E11" s="1" t="s">
        <v>144</v>
      </c>
      <c r="F11" s="1" t="s">
        <v>154</v>
      </c>
      <c r="G11" s="1" t="s">
        <v>742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648</v>
      </c>
      <c r="B12" s="1" t="s">
        <v>157</v>
      </c>
      <c r="C12" s="1" t="s">
        <v>36</v>
      </c>
      <c r="D12" s="1" t="s">
        <v>158</v>
      </c>
      <c r="E12" s="1" t="s">
        <v>144</v>
      </c>
      <c r="F12" s="1" t="s">
        <v>159</v>
      </c>
      <c r="G12" s="1" t="s">
        <v>743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651</v>
      </c>
      <c r="B13" s="1" t="s">
        <v>162</v>
      </c>
      <c r="C13" s="1" t="s">
        <v>36</v>
      </c>
      <c r="D13" s="1" t="s">
        <v>163</v>
      </c>
      <c r="E13" s="1" t="s">
        <v>144</v>
      </c>
      <c r="F13" s="1" t="s">
        <v>164</v>
      </c>
      <c r="G13" s="1" t="s">
        <v>744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654</v>
      </c>
      <c r="B14" s="1" t="s">
        <v>167</v>
      </c>
      <c r="C14" s="1" t="s">
        <v>36</v>
      </c>
      <c r="D14" s="1" t="s">
        <v>168</v>
      </c>
      <c r="E14" s="1" t="s">
        <v>144</v>
      </c>
      <c r="F14" s="1" t="s">
        <v>169</v>
      </c>
      <c r="G14" s="1" t="s">
        <v>745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657</v>
      </c>
      <c r="B15" s="1" t="s">
        <v>172</v>
      </c>
      <c r="C15" s="1" t="s">
        <v>36</v>
      </c>
      <c r="D15" s="1" t="s">
        <v>173</v>
      </c>
      <c r="E15" s="1" t="s">
        <v>144</v>
      </c>
      <c r="F15" s="1" t="s">
        <v>174</v>
      </c>
      <c r="G15" s="1" t="s">
        <v>746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659</v>
      </c>
      <c r="B16" s="1" t="s">
        <v>177</v>
      </c>
      <c r="C16" s="1" t="s">
        <v>36</v>
      </c>
      <c r="D16" s="1" t="s">
        <v>178</v>
      </c>
      <c r="E16" s="1" t="s">
        <v>144</v>
      </c>
      <c r="F16" s="1" t="s">
        <v>179</v>
      </c>
      <c r="G16" s="1" t="s">
        <v>747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663</v>
      </c>
      <c r="B17" s="1" t="s">
        <v>183</v>
      </c>
      <c r="C17" s="1" t="s">
        <v>36</v>
      </c>
      <c r="D17" s="1" t="s">
        <v>184</v>
      </c>
      <c r="E17" s="1" t="s">
        <v>144</v>
      </c>
      <c r="F17" s="1" t="s">
        <v>185</v>
      </c>
      <c r="G17" s="1" t="s">
        <v>748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667</v>
      </c>
      <c r="B18" s="1" t="s">
        <v>189</v>
      </c>
      <c r="C18" s="1" t="s">
        <v>36</v>
      </c>
      <c r="D18" s="1" t="s">
        <v>190</v>
      </c>
      <c r="E18" s="1" t="s">
        <v>144</v>
      </c>
      <c r="F18" s="1" t="s">
        <v>185</v>
      </c>
      <c r="G18" s="1" t="s">
        <v>748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671</v>
      </c>
      <c r="B19" s="1" t="s">
        <v>192</v>
      </c>
      <c r="C19" s="1" t="s">
        <v>36</v>
      </c>
      <c r="D19" s="1" t="s">
        <v>193</v>
      </c>
      <c r="E19" s="1" t="s">
        <v>144</v>
      </c>
      <c r="F19" s="1" t="s">
        <v>185</v>
      </c>
      <c r="G19" s="1" t="s">
        <v>749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674</v>
      </c>
      <c r="B20" s="1" t="s">
        <v>197</v>
      </c>
      <c r="C20" s="1" t="s">
        <v>36</v>
      </c>
      <c r="D20" s="1" t="s">
        <v>198</v>
      </c>
      <c r="E20" s="1" t="s">
        <v>144</v>
      </c>
      <c r="F20" s="1" t="s">
        <v>185</v>
      </c>
      <c r="G20" s="1" t="s">
        <v>748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676</v>
      </c>
      <c r="B21" s="1" t="s">
        <v>201</v>
      </c>
      <c r="C21" s="1" t="s">
        <v>36</v>
      </c>
      <c r="D21" s="1" t="s">
        <v>202</v>
      </c>
      <c r="E21" s="1" t="s">
        <v>144</v>
      </c>
      <c r="F21" s="1" t="s">
        <v>203</v>
      </c>
      <c r="G21" s="1" t="s">
        <v>750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678</v>
      </c>
      <c r="B22" s="1" t="s">
        <v>206</v>
      </c>
      <c r="C22" s="1" t="s">
        <v>36</v>
      </c>
      <c r="D22" s="1" t="s">
        <v>207</v>
      </c>
      <c r="E22" s="1" t="s">
        <v>144</v>
      </c>
      <c r="F22" s="1" t="s">
        <v>203</v>
      </c>
      <c r="G22" s="1" t="s">
        <v>751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681</v>
      </c>
      <c r="B23" s="1" t="s">
        <v>210</v>
      </c>
      <c r="C23" s="1" t="s">
        <v>36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683</v>
      </c>
      <c r="B24" s="1" t="s">
        <v>215</v>
      </c>
      <c r="C24" s="1" t="s">
        <v>36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753</v>
      </c>
      <c r="B9" s="1" t="s">
        <v>141</v>
      </c>
      <c r="C9" s="1" t="s">
        <v>754</v>
      </c>
      <c r="D9" s="1" t="s">
        <v>143</v>
      </c>
      <c r="E9" s="1" t="s">
        <v>144</v>
      </c>
      <c r="F9" s="1" t="s">
        <v>145</v>
      </c>
      <c r="G9" s="1" t="s">
        <v>755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756</v>
      </c>
      <c r="B10" s="1" t="s">
        <v>148</v>
      </c>
      <c r="C10" s="1" t="s">
        <v>754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757</v>
      </c>
      <c r="B11" s="1" t="s">
        <v>152</v>
      </c>
      <c r="C11" s="1" t="s">
        <v>754</v>
      </c>
      <c r="D11" s="1" t="s">
        <v>153</v>
      </c>
      <c r="E11" s="1" t="s">
        <v>144</v>
      </c>
      <c r="F11" s="1" t="s">
        <v>154</v>
      </c>
      <c r="G11" s="1" t="s">
        <v>758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759</v>
      </c>
      <c r="B12" s="1" t="s">
        <v>157</v>
      </c>
      <c r="C12" s="1" t="s">
        <v>754</v>
      </c>
      <c r="D12" s="1" t="s">
        <v>158</v>
      </c>
      <c r="E12" s="1" t="s">
        <v>144</v>
      </c>
      <c r="F12" s="1" t="s">
        <v>159</v>
      </c>
      <c r="G12" s="1" t="s">
        <v>760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761</v>
      </c>
      <c r="B13" s="1" t="s">
        <v>162</v>
      </c>
      <c r="C13" s="1" t="s">
        <v>754</v>
      </c>
      <c r="D13" s="1" t="s">
        <v>163</v>
      </c>
      <c r="E13" s="1" t="s">
        <v>144</v>
      </c>
      <c r="F13" s="1" t="s">
        <v>164</v>
      </c>
      <c r="G13" s="1" t="s">
        <v>762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763</v>
      </c>
      <c r="B14" s="1" t="s">
        <v>167</v>
      </c>
      <c r="C14" s="1" t="s">
        <v>754</v>
      </c>
      <c r="D14" s="1" t="s">
        <v>168</v>
      </c>
      <c r="E14" s="1" t="s">
        <v>144</v>
      </c>
      <c r="F14" s="1" t="s">
        <v>169</v>
      </c>
      <c r="G14" s="1" t="s">
        <v>764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765</v>
      </c>
      <c r="B15" s="1" t="s">
        <v>172</v>
      </c>
      <c r="C15" s="1" t="s">
        <v>754</v>
      </c>
      <c r="D15" s="1" t="s">
        <v>173</v>
      </c>
      <c r="E15" s="1" t="s">
        <v>144</v>
      </c>
      <c r="F15" s="1" t="s">
        <v>174</v>
      </c>
      <c r="G15" s="1" t="s">
        <v>766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767</v>
      </c>
      <c r="B16" s="1" t="s">
        <v>177</v>
      </c>
      <c r="C16" s="1" t="s">
        <v>754</v>
      </c>
      <c r="D16" s="1" t="s">
        <v>178</v>
      </c>
      <c r="E16" s="1" t="s">
        <v>144</v>
      </c>
      <c r="F16" s="1" t="s">
        <v>179</v>
      </c>
      <c r="G16" s="1" t="s">
        <v>768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769</v>
      </c>
      <c r="B17" s="1" t="s">
        <v>183</v>
      </c>
      <c r="C17" s="1" t="s">
        <v>754</v>
      </c>
      <c r="D17" s="1" t="s">
        <v>184</v>
      </c>
      <c r="E17" s="1" t="s">
        <v>144</v>
      </c>
      <c r="F17" s="1" t="s">
        <v>185</v>
      </c>
      <c r="G17" s="1" t="s">
        <v>770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771</v>
      </c>
      <c r="B18" s="1" t="s">
        <v>189</v>
      </c>
      <c r="C18" s="1" t="s">
        <v>754</v>
      </c>
      <c r="D18" s="1" t="s">
        <v>190</v>
      </c>
      <c r="E18" s="1" t="s">
        <v>144</v>
      </c>
      <c r="F18" s="1" t="s">
        <v>185</v>
      </c>
      <c r="G18" s="1" t="s">
        <v>770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772</v>
      </c>
      <c r="B19" s="1" t="s">
        <v>192</v>
      </c>
      <c r="C19" s="1" t="s">
        <v>754</v>
      </c>
      <c r="D19" s="1" t="s">
        <v>193</v>
      </c>
      <c r="E19" s="1" t="s">
        <v>144</v>
      </c>
      <c r="F19" s="1" t="s">
        <v>185</v>
      </c>
      <c r="G19" s="1" t="s">
        <v>773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774</v>
      </c>
      <c r="B20" s="1" t="s">
        <v>197</v>
      </c>
      <c r="C20" s="1" t="s">
        <v>754</v>
      </c>
      <c r="D20" s="1" t="s">
        <v>198</v>
      </c>
      <c r="E20" s="1" t="s">
        <v>144</v>
      </c>
      <c r="F20" s="1" t="s">
        <v>185</v>
      </c>
      <c r="G20" s="1" t="s">
        <v>770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775</v>
      </c>
      <c r="B21" s="1" t="s">
        <v>201</v>
      </c>
      <c r="C21" s="1" t="s">
        <v>754</v>
      </c>
      <c r="D21" s="1" t="s">
        <v>202</v>
      </c>
      <c r="E21" s="1" t="s">
        <v>144</v>
      </c>
      <c r="F21" s="1" t="s">
        <v>203</v>
      </c>
      <c r="G21" s="1" t="s">
        <v>776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777</v>
      </c>
      <c r="B22" s="1" t="s">
        <v>206</v>
      </c>
      <c r="C22" s="1" t="s">
        <v>754</v>
      </c>
      <c r="D22" s="1" t="s">
        <v>207</v>
      </c>
      <c r="E22" s="1" t="s">
        <v>144</v>
      </c>
      <c r="F22" s="1" t="s">
        <v>203</v>
      </c>
      <c r="G22" s="1" t="s">
        <v>778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779</v>
      </c>
      <c r="B23" s="1" t="s">
        <v>210</v>
      </c>
      <c r="C23" s="1" t="s">
        <v>754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780</v>
      </c>
      <c r="B24" s="1" t="s">
        <v>215</v>
      </c>
      <c r="C24" s="1" t="s">
        <v>754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126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782</v>
      </c>
      <c r="B9" s="12" t="s">
        <v>141</v>
      </c>
      <c r="C9" s="12" t="s">
        <v>39</v>
      </c>
      <c r="D9" s="13" t="s">
        <v>783</v>
      </c>
      <c r="E9" s="12" t="s">
        <v>144</v>
      </c>
      <c r="F9" s="12" t="s">
        <v>145</v>
      </c>
      <c r="G9" s="13" t="s">
        <v>784</v>
      </c>
      <c r="H9" s="12" t="s">
        <v>108</v>
      </c>
      <c r="I9" s="12" t="s">
        <v>123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785</v>
      </c>
      <c r="B10" s="12" t="s">
        <v>148</v>
      </c>
      <c r="C10" s="12" t="s">
        <v>786</v>
      </c>
      <c r="D10" s="13" t="s">
        <v>787</v>
      </c>
      <c r="E10" s="12" t="s">
        <v>144</v>
      </c>
      <c r="F10" s="12" t="s">
        <v>144</v>
      </c>
      <c r="G10" s="13" t="s">
        <v>150</v>
      </c>
      <c r="H10" s="12" t="s">
        <v>108</v>
      </c>
      <c r="I10" s="12" t="s">
        <v>123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788</v>
      </c>
      <c r="B11" s="12" t="s">
        <v>152</v>
      </c>
      <c r="C11" s="12" t="s">
        <v>789</v>
      </c>
      <c r="D11" s="13" t="s">
        <v>790</v>
      </c>
      <c r="E11" s="12" t="s">
        <v>144</v>
      </c>
      <c r="F11" s="12" t="s">
        <v>154</v>
      </c>
      <c r="G11" s="13" t="s">
        <v>791</v>
      </c>
      <c r="H11" s="12" t="s">
        <v>108</v>
      </c>
      <c r="I11" s="12" t="s">
        <v>123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792</v>
      </c>
      <c r="B12" s="12" t="s">
        <v>157</v>
      </c>
      <c r="C12" s="12" t="s">
        <v>793</v>
      </c>
      <c r="D12" s="13" t="s">
        <v>794</v>
      </c>
      <c r="E12" s="12" t="s">
        <v>144</v>
      </c>
      <c r="F12" s="12" t="s">
        <v>159</v>
      </c>
      <c r="G12" s="13" t="s">
        <v>795</v>
      </c>
      <c r="H12" s="12" t="s">
        <v>108</v>
      </c>
      <c r="I12" s="12" t="s">
        <v>123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796</v>
      </c>
      <c r="B13" s="12" t="s">
        <v>162</v>
      </c>
      <c r="C13" s="12" t="s">
        <v>789</v>
      </c>
      <c r="D13" s="13" t="s">
        <v>797</v>
      </c>
      <c r="E13" s="12" t="s">
        <v>144</v>
      </c>
      <c r="F13" s="12" t="s">
        <v>164</v>
      </c>
      <c r="G13" s="13" t="s">
        <v>798</v>
      </c>
      <c r="H13" s="12" t="s">
        <v>108</v>
      </c>
      <c r="I13" s="12" t="s">
        <v>123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799</v>
      </c>
      <c r="B14" s="12" t="s">
        <v>167</v>
      </c>
      <c r="C14" s="12" t="s">
        <v>789</v>
      </c>
      <c r="D14" s="13" t="s">
        <v>800</v>
      </c>
      <c r="E14" s="12" t="s">
        <v>144</v>
      </c>
      <c r="F14" s="12" t="s">
        <v>169</v>
      </c>
      <c r="G14" s="13" t="s">
        <v>801</v>
      </c>
      <c r="H14" s="12" t="s">
        <v>108</v>
      </c>
      <c r="I14" s="12" t="s">
        <v>123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802</v>
      </c>
      <c r="B15" s="12" t="s">
        <v>172</v>
      </c>
      <c r="C15" s="12" t="s">
        <v>793</v>
      </c>
      <c r="D15" s="13" t="s">
        <v>803</v>
      </c>
      <c r="E15" s="12" t="s">
        <v>144</v>
      </c>
      <c r="F15" s="12" t="s">
        <v>174</v>
      </c>
      <c r="G15" s="13" t="s">
        <v>801</v>
      </c>
      <c r="H15" s="12" t="s">
        <v>108</v>
      </c>
      <c r="I15" s="12" t="s">
        <v>123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804</v>
      </c>
      <c r="B16" s="12" t="s">
        <v>177</v>
      </c>
      <c r="C16" s="12" t="s">
        <v>786</v>
      </c>
      <c r="D16" s="13" t="s">
        <v>805</v>
      </c>
      <c r="E16" s="12" t="s">
        <v>144</v>
      </c>
      <c r="F16" s="12" t="s">
        <v>179</v>
      </c>
      <c r="G16" s="13" t="s">
        <v>806</v>
      </c>
      <c r="H16" s="12" t="s">
        <v>110</v>
      </c>
      <c r="I16" s="12" t="s">
        <v>122</v>
      </c>
      <c r="J16" s="14" t="n">
        <v>46227</v>
      </c>
      <c r="K16" s="13" t="s">
        <v>807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808</v>
      </c>
      <c r="B17" s="12" t="s">
        <v>183</v>
      </c>
      <c r="C17" s="12" t="s">
        <v>786</v>
      </c>
      <c r="D17" s="13" t="s">
        <v>809</v>
      </c>
      <c r="E17" s="12" t="s">
        <v>144</v>
      </c>
      <c r="F17" s="12" t="s">
        <v>185</v>
      </c>
      <c r="G17" s="13" t="s">
        <v>810</v>
      </c>
      <c r="H17" s="12" t="s">
        <v>106</v>
      </c>
      <c r="I17" s="12" t="s">
        <v>122</v>
      </c>
      <c r="J17" s="14"/>
      <c r="K17" s="13" t="s">
        <v>811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812</v>
      </c>
      <c r="B18" s="12" t="s">
        <v>189</v>
      </c>
      <c r="C18" s="12" t="s">
        <v>813</v>
      </c>
      <c r="D18" s="13" t="s">
        <v>814</v>
      </c>
      <c r="E18" s="12" t="s">
        <v>144</v>
      </c>
      <c r="F18" s="12" t="s">
        <v>185</v>
      </c>
      <c r="G18" s="13" t="s">
        <v>815</v>
      </c>
      <c r="H18" s="12" t="s">
        <v>106</v>
      </c>
      <c r="I18" s="12" t="s">
        <v>122</v>
      </c>
      <c r="J18" s="14"/>
      <c r="K18" s="13" t="s">
        <v>816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817</v>
      </c>
      <c r="B19" s="12" t="s">
        <v>672</v>
      </c>
      <c r="C19" s="12" t="s">
        <v>793</v>
      </c>
      <c r="D19" s="13" t="s">
        <v>818</v>
      </c>
      <c r="E19" s="12" t="s">
        <v>144</v>
      </c>
      <c r="F19" s="12" t="s">
        <v>169</v>
      </c>
      <c r="G19" s="13" t="s">
        <v>819</v>
      </c>
      <c r="H19" s="12" t="s">
        <v>108</v>
      </c>
      <c r="I19" s="12" t="s">
        <v>123</v>
      </c>
      <c r="J19" s="14" t="n">
        <v>46244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820</v>
      </c>
      <c r="B20" s="12" t="s">
        <v>197</v>
      </c>
      <c r="C20" s="12" t="s">
        <v>786</v>
      </c>
      <c r="D20" s="13" t="s">
        <v>821</v>
      </c>
      <c r="E20" s="12" t="s">
        <v>144</v>
      </c>
      <c r="F20" s="12" t="s">
        <v>185</v>
      </c>
      <c r="G20" s="13" t="s">
        <v>810</v>
      </c>
      <c r="H20" s="12" t="s">
        <v>106</v>
      </c>
      <c r="I20" s="12" t="s">
        <v>122</v>
      </c>
      <c r="J20" s="14"/>
      <c r="K20" s="13" t="s">
        <v>822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823</v>
      </c>
      <c r="B21" s="12" t="s">
        <v>201</v>
      </c>
      <c r="C21" s="12" t="s">
        <v>789</v>
      </c>
      <c r="D21" s="13" t="s">
        <v>824</v>
      </c>
      <c r="E21" s="12" t="s">
        <v>144</v>
      </c>
      <c r="F21" s="12" t="s">
        <v>203</v>
      </c>
      <c r="G21" s="13" t="s">
        <v>825</v>
      </c>
      <c r="H21" s="12" t="s">
        <v>108</v>
      </c>
      <c r="I21" s="12" t="s">
        <v>123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826</v>
      </c>
      <c r="B22" s="12" t="s">
        <v>206</v>
      </c>
      <c r="C22" s="12" t="s">
        <v>789</v>
      </c>
      <c r="D22" s="13" t="s">
        <v>827</v>
      </c>
      <c r="E22" s="12" t="s">
        <v>144</v>
      </c>
      <c r="F22" s="12" t="s">
        <v>203</v>
      </c>
      <c r="G22" s="13" t="s">
        <v>828</v>
      </c>
      <c r="H22" s="12" t="s">
        <v>108</v>
      </c>
      <c r="I22" s="12" t="s">
        <v>123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829</v>
      </c>
      <c r="B23" s="12" t="s">
        <v>210</v>
      </c>
      <c r="C23" s="12" t="s">
        <v>830</v>
      </c>
      <c r="D23" s="13" t="s">
        <v>831</v>
      </c>
      <c r="E23" s="12" t="s">
        <v>212</v>
      </c>
      <c r="F23" s="12" t="s">
        <v>212</v>
      </c>
      <c r="G23" s="13" t="s">
        <v>213</v>
      </c>
      <c r="H23" s="12" t="s">
        <v>108</v>
      </c>
      <c r="I23" s="12" t="s">
        <v>123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832</v>
      </c>
      <c r="B24" s="12" t="s">
        <v>215</v>
      </c>
      <c r="C24" s="12" t="s">
        <v>789</v>
      </c>
      <c r="D24" s="13" t="s">
        <v>833</v>
      </c>
      <c r="E24" s="12" t="s">
        <v>144</v>
      </c>
      <c r="F24" s="12" t="s">
        <v>144</v>
      </c>
      <c r="G24" s="13" t="s">
        <v>834</v>
      </c>
      <c r="H24" s="12" t="s">
        <v>106</v>
      </c>
      <c r="I24" s="12" t="s">
        <v>122</v>
      </c>
      <c r="J24" s="14" t="n">
        <v>46227</v>
      </c>
      <c r="K24" s="13" t="s">
        <v>835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640</v>
      </c>
      <c r="B9" s="1" t="s">
        <v>141</v>
      </c>
      <c r="C9" s="1" t="s">
        <v>38</v>
      </c>
      <c r="D9" s="1" t="s">
        <v>143</v>
      </c>
      <c r="E9" s="1" t="s">
        <v>144</v>
      </c>
      <c r="F9" s="1" t="s">
        <v>145</v>
      </c>
      <c r="G9" s="1" t="s">
        <v>837</v>
      </c>
      <c r="H9" s="8" t="s">
        <v>108</v>
      </c>
      <c r="I9" s="8" t="s">
        <v>123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643</v>
      </c>
      <c r="B10" s="1" t="s">
        <v>148</v>
      </c>
      <c r="C10" s="1" t="s">
        <v>38</v>
      </c>
      <c r="D10" s="1" t="s">
        <v>149</v>
      </c>
      <c r="E10" s="1" t="s">
        <v>144</v>
      </c>
      <c r="F10" s="1" t="s">
        <v>144</v>
      </c>
      <c r="G10" s="1" t="s">
        <v>150</v>
      </c>
      <c r="H10" s="8" t="s">
        <v>108</v>
      </c>
      <c r="I10" s="8" t="s">
        <v>123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645</v>
      </c>
      <c r="B11" s="1" t="s">
        <v>152</v>
      </c>
      <c r="C11" s="1" t="s">
        <v>38</v>
      </c>
      <c r="D11" s="1" t="s">
        <v>153</v>
      </c>
      <c r="E11" s="1" t="s">
        <v>144</v>
      </c>
      <c r="F11" s="1" t="s">
        <v>154</v>
      </c>
      <c r="G11" s="1" t="s">
        <v>838</v>
      </c>
      <c r="H11" s="8" t="s">
        <v>108</v>
      </c>
      <c r="I11" s="8" t="s">
        <v>123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648</v>
      </c>
      <c r="B12" s="1" t="s">
        <v>157</v>
      </c>
      <c r="C12" s="1" t="s">
        <v>38</v>
      </c>
      <c r="D12" s="1" t="s">
        <v>158</v>
      </c>
      <c r="E12" s="1" t="s">
        <v>144</v>
      </c>
      <c r="F12" s="1" t="s">
        <v>159</v>
      </c>
      <c r="G12" s="1" t="s">
        <v>839</v>
      </c>
      <c r="H12" s="8" t="s">
        <v>108</v>
      </c>
      <c r="I12" s="8" t="s">
        <v>123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651</v>
      </c>
      <c r="B13" s="1" t="s">
        <v>162</v>
      </c>
      <c r="C13" s="1" t="s">
        <v>38</v>
      </c>
      <c r="D13" s="1" t="s">
        <v>163</v>
      </c>
      <c r="E13" s="1" t="s">
        <v>144</v>
      </c>
      <c r="F13" s="1" t="s">
        <v>164</v>
      </c>
      <c r="G13" s="1" t="s">
        <v>840</v>
      </c>
      <c r="H13" s="8" t="s">
        <v>108</v>
      </c>
      <c r="I13" s="8" t="s">
        <v>123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654</v>
      </c>
      <c r="B14" s="1" t="s">
        <v>167</v>
      </c>
      <c r="C14" s="1" t="s">
        <v>38</v>
      </c>
      <c r="D14" s="1" t="s">
        <v>168</v>
      </c>
      <c r="E14" s="1" t="s">
        <v>144</v>
      </c>
      <c r="F14" s="1" t="s">
        <v>169</v>
      </c>
      <c r="G14" s="1" t="s">
        <v>841</v>
      </c>
      <c r="H14" s="8" t="s">
        <v>108</v>
      </c>
      <c r="I14" s="8" t="s">
        <v>123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657</v>
      </c>
      <c r="B15" s="1" t="s">
        <v>172</v>
      </c>
      <c r="C15" s="1" t="s">
        <v>38</v>
      </c>
      <c r="D15" s="1" t="s">
        <v>173</v>
      </c>
      <c r="E15" s="1" t="s">
        <v>144</v>
      </c>
      <c r="F15" s="1" t="s">
        <v>174</v>
      </c>
      <c r="G15" s="1" t="s">
        <v>842</v>
      </c>
      <c r="H15" s="8" t="s">
        <v>108</v>
      </c>
      <c r="I15" s="8" t="s">
        <v>123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659</v>
      </c>
      <c r="B16" s="1" t="s">
        <v>177</v>
      </c>
      <c r="C16" s="1" t="s">
        <v>38</v>
      </c>
      <c r="D16" s="1" t="s">
        <v>178</v>
      </c>
      <c r="E16" s="1" t="s">
        <v>144</v>
      </c>
      <c r="F16" s="1" t="s">
        <v>179</v>
      </c>
      <c r="G16" s="1" t="s">
        <v>843</v>
      </c>
      <c r="H16" s="8" t="s">
        <v>110</v>
      </c>
      <c r="I16" s="8" t="s">
        <v>122</v>
      </c>
      <c r="J16" s="10" t="n">
        <v>46227</v>
      </c>
      <c r="K16" s="1" t="s">
        <v>181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663</v>
      </c>
      <c r="B17" s="1" t="s">
        <v>183</v>
      </c>
      <c r="C17" s="1" t="s">
        <v>38</v>
      </c>
      <c r="D17" s="1" t="s">
        <v>184</v>
      </c>
      <c r="E17" s="1" t="s">
        <v>144</v>
      </c>
      <c r="F17" s="1" t="s">
        <v>185</v>
      </c>
      <c r="G17" s="1" t="s">
        <v>844</v>
      </c>
      <c r="H17" s="8" t="s">
        <v>110</v>
      </c>
      <c r="I17" s="8" t="s">
        <v>122</v>
      </c>
      <c r="J17" s="10" t="n">
        <v>46227</v>
      </c>
      <c r="K17" s="1" t="s">
        <v>187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667</v>
      </c>
      <c r="B18" s="1" t="s">
        <v>189</v>
      </c>
      <c r="C18" s="1" t="s">
        <v>38</v>
      </c>
      <c r="D18" s="1" t="s">
        <v>190</v>
      </c>
      <c r="E18" s="1" t="s">
        <v>144</v>
      </c>
      <c r="F18" s="1" t="s">
        <v>185</v>
      </c>
      <c r="G18" s="1" t="s">
        <v>844</v>
      </c>
      <c r="H18" s="8" t="s">
        <v>110</v>
      </c>
      <c r="I18" s="8" t="s">
        <v>122</v>
      </c>
      <c r="J18" s="10" t="n">
        <v>46227</v>
      </c>
      <c r="K18" s="1" t="s">
        <v>187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671</v>
      </c>
      <c r="B19" s="1" t="s">
        <v>192</v>
      </c>
      <c r="C19" s="1" t="s">
        <v>38</v>
      </c>
      <c r="D19" s="1" t="s">
        <v>193</v>
      </c>
      <c r="E19" s="1" t="s">
        <v>144</v>
      </c>
      <c r="F19" s="1" t="s">
        <v>185</v>
      </c>
      <c r="G19" s="1" t="s">
        <v>845</v>
      </c>
      <c r="H19" s="8" t="s">
        <v>110</v>
      </c>
      <c r="I19" s="8" t="s">
        <v>122</v>
      </c>
      <c r="J19" s="10" t="n">
        <v>46227</v>
      </c>
      <c r="K19" s="1" t="s">
        <v>195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674</v>
      </c>
      <c r="B20" s="1" t="s">
        <v>197</v>
      </c>
      <c r="C20" s="1" t="s">
        <v>38</v>
      </c>
      <c r="D20" s="1" t="s">
        <v>198</v>
      </c>
      <c r="E20" s="1" t="s">
        <v>144</v>
      </c>
      <c r="F20" s="1" t="s">
        <v>185</v>
      </c>
      <c r="G20" s="1" t="s">
        <v>844</v>
      </c>
      <c r="H20" s="8" t="s">
        <v>110</v>
      </c>
      <c r="I20" s="8" t="s">
        <v>122</v>
      </c>
      <c r="J20" s="10" t="n">
        <v>46227</v>
      </c>
      <c r="K20" s="1" t="s">
        <v>199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676</v>
      </c>
      <c r="B21" s="1" t="s">
        <v>201</v>
      </c>
      <c r="C21" s="1" t="s">
        <v>38</v>
      </c>
      <c r="D21" s="1" t="s">
        <v>202</v>
      </c>
      <c r="E21" s="1" t="s">
        <v>144</v>
      </c>
      <c r="F21" s="1" t="s">
        <v>203</v>
      </c>
      <c r="G21" s="1" t="s">
        <v>846</v>
      </c>
      <c r="H21" s="8" t="s">
        <v>108</v>
      </c>
      <c r="I21" s="8" t="s">
        <v>123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678</v>
      </c>
      <c r="B22" s="1" t="s">
        <v>206</v>
      </c>
      <c r="C22" s="1" t="s">
        <v>38</v>
      </c>
      <c r="D22" s="1" t="s">
        <v>207</v>
      </c>
      <c r="E22" s="1" t="s">
        <v>144</v>
      </c>
      <c r="F22" s="1" t="s">
        <v>203</v>
      </c>
      <c r="G22" s="1" t="s">
        <v>847</v>
      </c>
      <c r="H22" s="8" t="s">
        <v>108</v>
      </c>
      <c r="I22" s="8" t="s">
        <v>123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681</v>
      </c>
      <c r="B23" s="1" t="s">
        <v>210</v>
      </c>
      <c r="C23" s="1" t="s">
        <v>38</v>
      </c>
      <c r="D23" s="1" t="s">
        <v>211</v>
      </c>
      <c r="E23" s="1" t="s">
        <v>212</v>
      </c>
      <c r="F23" s="1" t="s">
        <v>212</v>
      </c>
      <c r="G23" s="1" t="s">
        <v>213</v>
      </c>
      <c r="H23" s="8" t="s">
        <v>108</v>
      </c>
      <c r="I23" s="8" t="s">
        <v>123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683</v>
      </c>
      <c r="B24" s="1" t="s">
        <v>215</v>
      </c>
      <c r="C24" s="1" t="s">
        <v>38</v>
      </c>
      <c r="D24" s="1" t="s">
        <v>216</v>
      </c>
      <c r="E24" s="1" t="s">
        <v>144</v>
      </c>
      <c r="F24" s="1" t="s">
        <v>144</v>
      </c>
      <c r="G24" s="1" t="s">
        <v>217</v>
      </c>
      <c r="H24" s="8" t="s">
        <v>108</v>
      </c>
      <c r="I24" s="8" t="s">
        <v>123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849</v>
      </c>
      <c r="B9" s="12" t="s">
        <v>141</v>
      </c>
      <c r="C9" s="12" t="s">
        <v>850</v>
      </c>
      <c r="D9" s="13" t="s">
        <v>851</v>
      </c>
      <c r="E9" s="12" t="s">
        <v>144</v>
      </c>
      <c r="F9" s="12" t="s">
        <v>145</v>
      </c>
      <c r="G9" s="13" t="s">
        <v>852</v>
      </c>
      <c r="H9" s="12" t="s">
        <v>108</v>
      </c>
      <c r="I9" s="12" t="s">
        <v>123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853</v>
      </c>
      <c r="B10" s="12" t="s">
        <v>148</v>
      </c>
      <c r="C10" s="12" t="s">
        <v>41</v>
      </c>
      <c r="D10" s="13" t="s">
        <v>854</v>
      </c>
      <c r="E10" s="12" t="s">
        <v>144</v>
      </c>
      <c r="F10" s="12" t="s">
        <v>144</v>
      </c>
      <c r="G10" s="13" t="s">
        <v>592</v>
      </c>
      <c r="H10" s="12" t="s">
        <v>108</v>
      </c>
      <c r="I10" s="12" t="s">
        <v>123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855</v>
      </c>
      <c r="B11" s="12" t="s">
        <v>152</v>
      </c>
      <c r="C11" s="12" t="s">
        <v>850</v>
      </c>
      <c r="D11" s="13" t="s">
        <v>856</v>
      </c>
      <c r="E11" s="12" t="s">
        <v>144</v>
      </c>
      <c r="F11" s="12" t="s">
        <v>154</v>
      </c>
      <c r="G11" s="13" t="s">
        <v>857</v>
      </c>
      <c r="H11" s="12" t="s">
        <v>108</v>
      </c>
      <c r="I11" s="12" t="s">
        <v>123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858</v>
      </c>
      <c r="B12" s="12" t="s">
        <v>157</v>
      </c>
      <c r="C12" s="12" t="s">
        <v>850</v>
      </c>
      <c r="D12" s="13" t="s">
        <v>859</v>
      </c>
      <c r="E12" s="12" t="s">
        <v>144</v>
      </c>
      <c r="F12" s="12" t="s">
        <v>159</v>
      </c>
      <c r="G12" s="13" t="s">
        <v>860</v>
      </c>
      <c r="H12" s="12" t="s">
        <v>108</v>
      </c>
      <c r="I12" s="12" t="s">
        <v>123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861</v>
      </c>
      <c r="B13" s="12" t="s">
        <v>162</v>
      </c>
      <c r="C13" s="12" t="s">
        <v>850</v>
      </c>
      <c r="D13" s="13" t="s">
        <v>862</v>
      </c>
      <c r="E13" s="12" t="s">
        <v>144</v>
      </c>
      <c r="F13" s="12" t="s">
        <v>164</v>
      </c>
      <c r="G13" s="13" t="s">
        <v>863</v>
      </c>
      <c r="H13" s="12" t="s">
        <v>108</v>
      </c>
      <c r="I13" s="12" t="s">
        <v>123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864</v>
      </c>
      <c r="B14" s="12" t="s">
        <v>167</v>
      </c>
      <c r="C14" s="12" t="s">
        <v>813</v>
      </c>
      <c r="D14" s="13" t="s">
        <v>865</v>
      </c>
      <c r="E14" s="12" t="s">
        <v>144</v>
      </c>
      <c r="F14" s="12" t="s">
        <v>169</v>
      </c>
      <c r="G14" s="13" t="s">
        <v>866</v>
      </c>
      <c r="H14" s="12" t="s">
        <v>108</v>
      </c>
      <c r="I14" s="12" t="s">
        <v>123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867</v>
      </c>
      <c r="B15" s="12" t="s">
        <v>167</v>
      </c>
      <c r="C15" s="12" t="s">
        <v>868</v>
      </c>
      <c r="D15" s="13" t="s">
        <v>869</v>
      </c>
      <c r="E15" s="12" t="s">
        <v>144</v>
      </c>
      <c r="F15" s="12" t="s">
        <v>169</v>
      </c>
      <c r="G15" s="13" t="s">
        <v>866</v>
      </c>
      <c r="H15" s="12" t="s">
        <v>108</v>
      </c>
      <c r="I15" s="12" t="s">
        <v>123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870</v>
      </c>
      <c r="B16" s="12" t="s">
        <v>172</v>
      </c>
      <c r="C16" s="12" t="s">
        <v>850</v>
      </c>
      <c r="D16" s="13" t="s">
        <v>871</v>
      </c>
      <c r="E16" s="12" t="s">
        <v>144</v>
      </c>
      <c r="F16" s="12" t="s">
        <v>174</v>
      </c>
      <c r="G16" s="13" t="s">
        <v>866</v>
      </c>
      <c r="H16" s="12" t="s">
        <v>108</v>
      </c>
      <c r="I16" s="12" t="s">
        <v>123</v>
      </c>
      <c r="J16" s="14" t="n">
        <v>46228</v>
      </c>
      <c r="K16" s="13" t="s">
        <v>807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872</v>
      </c>
      <c r="B17" s="12" t="s">
        <v>177</v>
      </c>
      <c r="C17" s="12" t="s">
        <v>850</v>
      </c>
      <c r="D17" s="13" t="s">
        <v>873</v>
      </c>
      <c r="E17" s="12" t="s">
        <v>144</v>
      </c>
      <c r="F17" s="12" t="s">
        <v>179</v>
      </c>
      <c r="G17" s="13" t="s">
        <v>874</v>
      </c>
      <c r="H17" s="12" t="s">
        <v>110</v>
      </c>
      <c r="I17" s="12" t="s">
        <v>122</v>
      </c>
      <c r="J17" s="14" t="n">
        <v>46228</v>
      </c>
      <c r="K17" s="13" t="s">
        <v>875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876</v>
      </c>
      <c r="B18" s="12" t="s">
        <v>183</v>
      </c>
      <c r="C18" s="12" t="s">
        <v>850</v>
      </c>
      <c r="D18" s="13" t="s">
        <v>877</v>
      </c>
      <c r="E18" s="12" t="s">
        <v>144</v>
      </c>
      <c r="F18" s="12" t="s">
        <v>185</v>
      </c>
      <c r="G18" s="13" t="s">
        <v>878</v>
      </c>
      <c r="H18" s="12" t="s">
        <v>106</v>
      </c>
      <c r="I18" s="12" t="s">
        <v>122</v>
      </c>
      <c r="J18" s="14"/>
      <c r="K18" s="13" t="s">
        <v>811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879</v>
      </c>
      <c r="B19" s="12" t="s">
        <v>189</v>
      </c>
      <c r="C19" s="12" t="s">
        <v>850</v>
      </c>
      <c r="D19" s="13" t="s">
        <v>880</v>
      </c>
      <c r="E19" s="12" t="s">
        <v>144</v>
      </c>
      <c r="F19" s="12" t="s">
        <v>185</v>
      </c>
      <c r="G19" s="13" t="s">
        <v>881</v>
      </c>
      <c r="H19" s="12" t="s">
        <v>106</v>
      </c>
      <c r="I19" s="12" t="s">
        <v>122</v>
      </c>
      <c r="J19" s="14" t="n">
        <v>46227</v>
      </c>
      <c r="K19" s="13" t="s">
        <v>816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882</v>
      </c>
      <c r="B20" s="12" t="s">
        <v>672</v>
      </c>
      <c r="C20" s="12" t="s">
        <v>850</v>
      </c>
      <c r="D20" s="13" t="s">
        <v>883</v>
      </c>
      <c r="E20" s="12" t="s">
        <v>144</v>
      </c>
      <c r="F20" s="12" t="s">
        <v>169</v>
      </c>
      <c r="G20" s="13" t="s">
        <v>866</v>
      </c>
      <c r="H20" s="12" t="s">
        <v>108</v>
      </c>
      <c r="I20" s="12" t="s">
        <v>123</v>
      </c>
      <c r="J20" s="14" t="n">
        <v>46228</v>
      </c>
      <c r="K20" s="13" t="s">
        <v>822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884</v>
      </c>
      <c r="B21" s="12" t="s">
        <v>197</v>
      </c>
      <c r="C21" s="12" t="s">
        <v>850</v>
      </c>
      <c r="D21" s="13" t="s">
        <v>885</v>
      </c>
      <c r="E21" s="12" t="s">
        <v>144</v>
      </c>
      <c r="F21" s="12" t="s">
        <v>185</v>
      </c>
      <c r="G21" s="13" t="s">
        <v>878</v>
      </c>
      <c r="H21" s="12" t="s">
        <v>106</v>
      </c>
      <c r="I21" s="12" t="s">
        <v>122</v>
      </c>
      <c r="J21" s="14" t="n">
        <v>46227</v>
      </c>
      <c r="K21" s="13" t="s">
        <v>822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886</v>
      </c>
      <c r="B22" s="12" t="s">
        <v>201</v>
      </c>
      <c r="C22" s="12" t="s">
        <v>41</v>
      </c>
      <c r="D22" s="13" t="s">
        <v>887</v>
      </c>
      <c r="E22" s="12" t="s">
        <v>144</v>
      </c>
      <c r="F22" s="12" t="s">
        <v>203</v>
      </c>
      <c r="G22" s="13" t="s">
        <v>888</v>
      </c>
      <c r="H22" s="12" t="s">
        <v>108</v>
      </c>
      <c r="I22" s="12" t="s">
        <v>123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889</v>
      </c>
      <c r="B23" s="12" t="s">
        <v>206</v>
      </c>
      <c r="C23" s="12" t="s">
        <v>41</v>
      </c>
      <c r="D23" s="13" t="s">
        <v>890</v>
      </c>
      <c r="E23" s="12" t="s">
        <v>144</v>
      </c>
      <c r="F23" s="12" t="s">
        <v>203</v>
      </c>
      <c r="G23" s="13" t="s">
        <v>891</v>
      </c>
      <c r="H23" s="12" t="s">
        <v>108</v>
      </c>
      <c r="I23" s="12" t="s">
        <v>123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892</v>
      </c>
      <c r="B24" s="12" t="s">
        <v>210</v>
      </c>
      <c r="C24" s="12" t="s">
        <v>850</v>
      </c>
      <c r="D24" s="13" t="s">
        <v>893</v>
      </c>
      <c r="E24" s="12" t="s">
        <v>212</v>
      </c>
      <c r="F24" s="12" t="s">
        <v>212</v>
      </c>
      <c r="G24" s="13" t="s">
        <v>213</v>
      </c>
      <c r="H24" s="12" t="s">
        <v>108</v>
      </c>
      <c r="I24" s="12" t="s">
        <v>123</v>
      </c>
      <c r="J24" s="14" t="n">
        <v>46228</v>
      </c>
      <c r="K24" s="13" t="s">
        <v>835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894</v>
      </c>
      <c r="B25" s="12" t="s">
        <v>215</v>
      </c>
      <c r="C25" s="12" t="s">
        <v>41</v>
      </c>
      <c r="D25" s="13" t="s">
        <v>895</v>
      </c>
      <c r="E25" s="12" t="s">
        <v>144</v>
      </c>
      <c r="F25" s="12" t="s">
        <v>144</v>
      </c>
      <c r="G25" s="13" t="s">
        <v>896</v>
      </c>
      <c r="H25" s="12" t="s">
        <v>106</v>
      </c>
      <c r="I25" s="12" t="s">
        <v>122</v>
      </c>
      <c r="J25" s="14" t="n">
        <v>46228</v>
      </c>
      <c r="K25" s="13" t="s">
        <v>835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897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898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316</v>
      </c>
      <c r="B9" s="12" t="s">
        <v>141</v>
      </c>
      <c r="C9" s="12" t="s">
        <v>42</v>
      </c>
      <c r="D9" s="13" t="s">
        <v>899</v>
      </c>
      <c r="E9" s="12" t="s">
        <v>144</v>
      </c>
      <c r="F9" s="12" t="s">
        <v>145</v>
      </c>
      <c r="G9" s="13" t="s">
        <v>900</v>
      </c>
      <c r="H9" s="12" t="s">
        <v>108</v>
      </c>
      <c r="I9" s="12" t="s">
        <v>123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318</v>
      </c>
      <c r="B10" s="12" t="s">
        <v>148</v>
      </c>
      <c r="C10" s="12" t="s">
        <v>42</v>
      </c>
      <c r="D10" s="13" t="s">
        <v>901</v>
      </c>
      <c r="E10" s="12" t="s">
        <v>144</v>
      </c>
      <c r="F10" s="12" t="s">
        <v>144</v>
      </c>
      <c r="G10" s="13" t="s">
        <v>592</v>
      </c>
      <c r="H10" s="12" t="s">
        <v>108</v>
      </c>
      <c r="I10" s="12" t="s">
        <v>123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319</v>
      </c>
      <c r="B11" s="12" t="s">
        <v>152</v>
      </c>
      <c r="C11" s="12" t="s">
        <v>42</v>
      </c>
      <c r="D11" s="13" t="s">
        <v>902</v>
      </c>
      <c r="E11" s="12" t="s">
        <v>144</v>
      </c>
      <c r="F11" s="12" t="s">
        <v>154</v>
      </c>
      <c r="G11" s="13" t="s">
        <v>903</v>
      </c>
      <c r="H11" s="12" t="s">
        <v>108</v>
      </c>
      <c r="I11" s="12" t="s">
        <v>123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321</v>
      </c>
      <c r="B12" s="12" t="s">
        <v>157</v>
      </c>
      <c r="C12" s="12" t="s">
        <v>42</v>
      </c>
      <c r="D12" s="13" t="s">
        <v>904</v>
      </c>
      <c r="E12" s="12" t="s">
        <v>144</v>
      </c>
      <c r="F12" s="12" t="s">
        <v>159</v>
      </c>
      <c r="G12" s="13" t="s">
        <v>905</v>
      </c>
      <c r="H12" s="12" t="s">
        <v>108</v>
      </c>
      <c r="I12" s="12" t="s">
        <v>123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323</v>
      </c>
      <c r="B13" s="12" t="s">
        <v>162</v>
      </c>
      <c r="C13" s="12" t="s">
        <v>42</v>
      </c>
      <c r="D13" s="13" t="s">
        <v>906</v>
      </c>
      <c r="E13" s="12" t="s">
        <v>144</v>
      </c>
      <c r="F13" s="12" t="s">
        <v>164</v>
      </c>
      <c r="G13" s="13" t="s">
        <v>907</v>
      </c>
      <c r="H13" s="12" t="s">
        <v>108</v>
      </c>
      <c r="I13" s="12" t="s">
        <v>123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325</v>
      </c>
      <c r="B14" s="12" t="s">
        <v>167</v>
      </c>
      <c r="C14" s="12" t="s">
        <v>42</v>
      </c>
      <c r="D14" s="13" t="s">
        <v>908</v>
      </c>
      <c r="E14" s="12" t="s">
        <v>144</v>
      </c>
      <c r="F14" s="12" t="s">
        <v>169</v>
      </c>
      <c r="G14" s="13" t="s">
        <v>909</v>
      </c>
      <c r="H14" s="12" t="s">
        <v>108</v>
      </c>
      <c r="I14" s="12" t="s">
        <v>123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327</v>
      </c>
      <c r="B15" s="12" t="s">
        <v>172</v>
      </c>
      <c r="C15" s="12" t="s">
        <v>42</v>
      </c>
      <c r="D15" s="13" t="s">
        <v>910</v>
      </c>
      <c r="E15" s="12" t="s">
        <v>144</v>
      </c>
      <c r="F15" s="12" t="s">
        <v>174</v>
      </c>
      <c r="G15" s="13" t="s">
        <v>909</v>
      </c>
      <c r="H15" s="12" t="s">
        <v>108</v>
      </c>
      <c r="I15" s="12" t="s">
        <v>123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329</v>
      </c>
      <c r="B16" s="12" t="s">
        <v>177</v>
      </c>
      <c r="C16" s="12" t="s">
        <v>42</v>
      </c>
      <c r="D16" s="13" t="s">
        <v>911</v>
      </c>
      <c r="E16" s="12" t="s">
        <v>144</v>
      </c>
      <c r="F16" s="12" t="s">
        <v>179</v>
      </c>
      <c r="G16" s="13" t="s">
        <v>912</v>
      </c>
      <c r="H16" s="12" t="s">
        <v>110</v>
      </c>
      <c r="I16" s="12" t="s">
        <v>122</v>
      </c>
      <c r="J16" s="14" t="n">
        <v>46228</v>
      </c>
      <c r="K16" s="13" t="s">
        <v>913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331</v>
      </c>
      <c r="B17" s="12" t="s">
        <v>183</v>
      </c>
      <c r="C17" s="12" t="s">
        <v>42</v>
      </c>
      <c r="D17" s="13" t="s">
        <v>914</v>
      </c>
      <c r="E17" s="12" t="s">
        <v>144</v>
      </c>
      <c r="F17" s="12" t="s">
        <v>185</v>
      </c>
      <c r="G17" s="13" t="s">
        <v>915</v>
      </c>
      <c r="H17" s="12" t="s">
        <v>106</v>
      </c>
      <c r="I17" s="12" t="s">
        <v>122</v>
      </c>
      <c r="J17" s="14"/>
      <c r="K17" s="13" t="s">
        <v>916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333</v>
      </c>
      <c r="B18" s="12" t="s">
        <v>189</v>
      </c>
      <c r="C18" s="12" t="s">
        <v>42</v>
      </c>
      <c r="D18" s="13" t="s">
        <v>917</v>
      </c>
      <c r="E18" s="12" t="s">
        <v>144</v>
      </c>
      <c r="F18" s="12" t="s">
        <v>185</v>
      </c>
      <c r="G18" s="13" t="s">
        <v>918</v>
      </c>
      <c r="H18" s="12" t="s">
        <v>106</v>
      </c>
      <c r="I18" s="12" t="s">
        <v>122</v>
      </c>
      <c r="J18" s="14"/>
      <c r="K18" s="13" t="s">
        <v>816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334</v>
      </c>
      <c r="B19" s="12" t="s">
        <v>672</v>
      </c>
      <c r="C19" s="12" t="s">
        <v>42</v>
      </c>
      <c r="D19" s="13" t="s">
        <v>919</v>
      </c>
      <c r="E19" s="12" t="s">
        <v>144</v>
      </c>
      <c r="F19" s="12" t="s">
        <v>169</v>
      </c>
      <c r="G19" s="13" t="s">
        <v>909</v>
      </c>
      <c r="H19" s="12" t="s">
        <v>108</v>
      </c>
      <c r="I19" s="12" t="s">
        <v>123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336</v>
      </c>
      <c r="B20" s="12" t="s">
        <v>197</v>
      </c>
      <c r="C20" s="12" t="s">
        <v>42</v>
      </c>
      <c r="D20" s="13" t="s">
        <v>920</v>
      </c>
      <c r="E20" s="12" t="s">
        <v>144</v>
      </c>
      <c r="F20" s="12" t="s">
        <v>185</v>
      </c>
      <c r="G20" s="13" t="s">
        <v>915</v>
      </c>
      <c r="H20" s="12" t="s">
        <v>106</v>
      </c>
      <c r="I20" s="12" t="s">
        <v>122</v>
      </c>
      <c r="J20" s="14"/>
      <c r="K20" s="13" t="s">
        <v>921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337</v>
      </c>
      <c r="B21" s="12" t="s">
        <v>201</v>
      </c>
      <c r="C21" s="12" t="s">
        <v>42</v>
      </c>
      <c r="D21" s="13" t="s">
        <v>922</v>
      </c>
      <c r="E21" s="12" t="s">
        <v>144</v>
      </c>
      <c r="F21" s="12" t="s">
        <v>203</v>
      </c>
      <c r="G21" s="13" t="s">
        <v>923</v>
      </c>
      <c r="H21" s="12" t="s">
        <v>108</v>
      </c>
      <c r="I21" s="12" t="s">
        <v>123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339</v>
      </c>
      <c r="B22" s="12" t="s">
        <v>206</v>
      </c>
      <c r="C22" s="12" t="s">
        <v>42</v>
      </c>
      <c r="D22" s="13" t="s">
        <v>924</v>
      </c>
      <c r="E22" s="12" t="s">
        <v>144</v>
      </c>
      <c r="F22" s="12" t="s">
        <v>203</v>
      </c>
      <c r="G22" s="13" t="s">
        <v>925</v>
      </c>
      <c r="H22" s="12" t="s">
        <v>108</v>
      </c>
      <c r="I22" s="12" t="s">
        <v>123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341</v>
      </c>
      <c r="B23" s="12" t="s">
        <v>210</v>
      </c>
      <c r="C23" s="12" t="s">
        <v>42</v>
      </c>
      <c r="D23" s="13" t="s">
        <v>926</v>
      </c>
      <c r="E23" s="12" t="s">
        <v>212</v>
      </c>
      <c r="F23" s="12" t="s">
        <v>212</v>
      </c>
      <c r="G23" s="13" t="s">
        <v>213</v>
      </c>
      <c r="H23" s="12" t="s">
        <v>108</v>
      </c>
      <c r="I23" s="12" t="s">
        <v>123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342</v>
      </c>
      <c r="B24" s="12" t="s">
        <v>632</v>
      </c>
      <c r="C24" s="12" t="s">
        <v>42</v>
      </c>
      <c r="D24" s="13" t="s">
        <v>927</v>
      </c>
      <c r="E24" s="12" t="s">
        <v>144</v>
      </c>
      <c r="F24" s="12" t="s">
        <v>144</v>
      </c>
      <c r="G24" s="13" t="s">
        <v>928</v>
      </c>
      <c r="H24" s="12" t="s">
        <v>108</v>
      </c>
      <c r="I24" s="12" t="s">
        <v>123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929</v>
      </c>
      <c r="B25" s="12" t="s">
        <v>215</v>
      </c>
      <c r="C25" s="12" t="s">
        <v>42</v>
      </c>
      <c r="D25" s="13" t="s">
        <v>930</v>
      </c>
      <c r="E25" s="12" t="s">
        <v>144</v>
      </c>
      <c r="F25" s="12" t="s">
        <v>144</v>
      </c>
      <c r="G25" s="13" t="s">
        <v>931</v>
      </c>
      <c r="H25" s="12" t="s">
        <v>106</v>
      </c>
      <c r="I25" s="12" t="s">
        <v>122</v>
      </c>
      <c r="J25" s="14"/>
      <c r="K25" s="13" t="s">
        <v>835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782</v>
      </c>
      <c r="B9" s="12" t="s">
        <v>141</v>
      </c>
      <c r="C9" s="12" t="s">
        <v>43</v>
      </c>
      <c r="D9" s="13" t="s">
        <v>934</v>
      </c>
      <c r="E9" s="12" t="s">
        <v>144</v>
      </c>
      <c r="F9" s="12" t="s">
        <v>145</v>
      </c>
      <c r="G9" s="13" t="s">
        <v>935</v>
      </c>
      <c r="H9" s="12" t="s">
        <v>108</v>
      </c>
      <c r="I9" s="12" t="s">
        <v>123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785</v>
      </c>
      <c r="B10" s="12" t="s">
        <v>148</v>
      </c>
      <c r="C10" s="12" t="s">
        <v>43</v>
      </c>
      <c r="D10" s="13" t="s">
        <v>936</v>
      </c>
      <c r="E10" s="12" t="s">
        <v>144</v>
      </c>
      <c r="F10" s="12" t="s">
        <v>144</v>
      </c>
      <c r="G10" s="13" t="s">
        <v>592</v>
      </c>
      <c r="H10" s="12" t="s">
        <v>108</v>
      </c>
      <c r="I10" s="12" t="s">
        <v>123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788</v>
      </c>
      <c r="B11" s="12" t="s">
        <v>152</v>
      </c>
      <c r="C11" s="12" t="s">
        <v>43</v>
      </c>
      <c r="D11" s="13" t="s">
        <v>937</v>
      </c>
      <c r="E11" s="12" t="s">
        <v>144</v>
      </c>
      <c r="F11" s="12" t="s">
        <v>154</v>
      </c>
      <c r="G11" s="13" t="s">
        <v>938</v>
      </c>
      <c r="H11" s="12" t="s">
        <v>108</v>
      </c>
      <c r="I11" s="12" t="s">
        <v>123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792</v>
      </c>
      <c r="B12" s="12" t="s">
        <v>157</v>
      </c>
      <c r="C12" s="12" t="s">
        <v>43</v>
      </c>
      <c r="D12" s="13" t="s">
        <v>939</v>
      </c>
      <c r="E12" s="12" t="s">
        <v>144</v>
      </c>
      <c r="F12" s="12" t="s">
        <v>159</v>
      </c>
      <c r="G12" s="13" t="s">
        <v>940</v>
      </c>
      <c r="H12" s="12" t="s">
        <v>108</v>
      </c>
      <c r="I12" s="12" t="s">
        <v>123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796</v>
      </c>
      <c r="B13" s="12" t="s">
        <v>162</v>
      </c>
      <c r="C13" s="12" t="s">
        <v>43</v>
      </c>
      <c r="D13" s="13" t="s">
        <v>941</v>
      </c>
      <c r="E13" s="12" t="s">
        <v>144</v>
      </c>
      <c r="F13" s="12" t="s">
        <v>164</v>
      </c>
      <c r="G13" s="13" t="s">
        <v>942</v>
      </c>
      <c r="H13" s="12" t="s">
        <v>108</v>
      </c>
      <c r="I13" s="12" t="s">
        <v>123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799</v>
      </c>
      <c r="B14" s="12" t="s">
        <v>167</v>
      </c>
      <c r="C14" s="12" t="s">
        <v>43</v>
      </c>
      <c r="D14" s="13" t="s">
        <v>943</v>
      </c>
      <c r="E14" s="12" t="s">
        <v>144</v>
      </c>
      <c r="F14" s="12" t="s">
        <v>169</v>
      </c>
      <c r="G14" s="13" t="s">
        <v>944</v>
      </c>
      <c r="H14" s="12" t="s">
        <v>108</v>
      </c>
      <c r="I14" s="12" t="s">
        <v>123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802</v>
      </c>
      <c r="B15" s="12" t="s">
        <v>172</v>
      </c>
      <c r="C15" s="12" t="s">
        <v>43</v>
      </c>
      <c r="D15" s="13" t="s">
        <v>945</v>
      </c>
      <c r="E15" s="12" t="s">
        <v>144</v>
      </c>
      <c r="F15" s="12" t="s">
        <v>174</v>
      </c>
      <c r="G15" s="13" t="s">
        <v>944</v>
      </c>
      <c r="H15" s="12" t="s">
        <v>108</v>
      </c>
      <c r="I15" s="12" t="s">
        <v>123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804</v>
      </c>
      <c r="B16" s="12" t="s">
        <v>177</v>
      </c>
      <c r="C16" s="12" t="s">
        <v>43</v>
      </c>
      <c r="D16" s="13" t="s">
        <v>946</v>
      </c>
      <c r="E16" s="12" t="s">
        <v>144</v>
      </c>
      <c r="F16" s="12" t="s">
        <v>179</v>
      </c>
      <c r="G16" s="13" t="s">
        <v>947</v>
      </c>
      <c r="H16" s="12" t="s">
        <v>110</v>
      </c>
      <c r="I16" s="12" t="s">
        <v>122</v>
      </c>
      <c r="J16" s="14" t="n">
        <v>46228</v>
      </c>
      <c r="K16" s="13" t="s">
        <v>948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808</v>
      </c>
      <c r="B17" s="12" t="s">
        <v>183</v>
      </c>
      <c r="C17" s="12" t="s">
        <v>43</v>
      </c>
      <c r="D17" s="13" t="s">
        <v>949</v>
      </c>
      <c r="E17" s="12" t="s">
        <v>144</v>
      </c>
      <c r="F17" s="12" t="s">
        <v>185</v>
      </c>
      <c r="G17" s="13" t="s">
        <v>950</v>
      </c>
      <c r="H17" s="12" t="s">
        <v>106</v>
      </c>
      <c r="I17" s="12" t="s">
        <v>122</v>
      </c>
      <c r="J17" s="14"/>
      <c r="K17" s="13" t="s">
        <v>916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812</v>
      </c>
      <c r="B18" s="12" t="s">
        <v>189</v>
      </c>
      <c r="C18" s="12" t="s">
        <v>43</v>
      </c>
      <c r="D18" s="13" t="s">
        <v>951</v>
      </c>
      <c r="E18" s="12" t="s">
        <v>144</v>
      </c>
      <c r="F18" s="12" t="s">
        <v>185</v>
      </c>
      <c r="G18" s="13" t="s">
        <v>952</v>
      </c>
      <c r="H18" s="12" t="s">
        <v>106</v>
      </c>
      <c r="I18" s="12" t="s">
        <v>122</v>
      </c>
      <c r="J18" s="14"/>
      <c r="K18" s="13" t="s">
        <v>816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817</v>
      </c>
      <c r="B19" s="12" t="s">
        <v>672</v>
      </c>
      <c r="C19" s="12" t="s">
        <v>43</v>
      </c>
      <c r="D19" s="13" t="s">
        <v>953</v>
      </c>
      <c r="E19" s="12" t="s">
        <v>144</v>
      </c>
      <c r="F19" s="12" t="s">
        <v>169</v>
      </c>
      <c r="G19" s="13" t="s">
        <v>944</v>
      </c>
      <c r="H19" s="12" t="s">
        <v>108</v>
      </c>
      <c r="I19" s="12" t="s">
        <v>123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820</v>
      </c>
      <c r="B20" s="12" t="s">
        <v>197</v>
      </c>
      <c r="C20" s="12" t="s">
        <v>43</v>
      </c>
      <c r="D20" s="13" t="s">
        <v>954</v>
      </c>
      <c r="E20" s="12" t="s">
        <v>144</v>
      </c>
      <c r="F20" s="12" t="s">
        <v>185</v>
      </c>
      <c r="G20" s="13" t="s">
        <v>950</v>
      </c>
      <c r="H20" s="12" t="s">
        <v>106</v>
      </c>
      <c r="I20" s="12" t="s">
        <v>122</v>
      </c>
      <c r="J20" s="14"/>
      <c r="K20" s="13" t="s">
        <v>921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823</v>
      </c>
      <c r="B21" s="12" t="s">
        <v>201</v>
      </c>
      <c r="C21" s="12" t="s">
        <v>43</v>
      </c>
      <c r="D21" s="13" t="s">
        <v>955</v>
      </c>
      <c r="E21" s="12" t="s">
        <v>144</v>
      </c>
      <c r="F21" s="12" t="s">
        <v>203</v>
      </c>
      <c r="G21" s="13" t="s">
        <v>956</v>
      </c>
      <c r="H21" s="12" t="s">
        <v>108</v>
      </c>
      <c r="I21" s="12" t="s">
        <v>123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826</v>
      </c>
      <c r="B22" s="12" t="s">
        <v>206</v>
      </c>
      <c r="C22" s="12" t="s">
        <v>43</v>
      </c>
      <c r="D22" s="13" t="s">
        <v>957</v>
      </c>
      <c r="E22" s="12" t="s">
        <v>144</v>
      </c>
      <c r="F22" s="12" t="s">
        <v>203</v>
      </c>
      <c r="G22" s="13" t="s">
        <v>958</v>
      </c>
      <c r="H22" s="12" t="s">
        <v>108</v>
      </c>
      <c r="I22" s="12" t="s">
        <v>123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829</v>
      </c>
      <c r="B23" s="12" t="s">
        <v>210</v>
      </c>
      <c r="C23" s="12" t="s">
        <v>43</v>
      </c>
      <c r="D23" s="13" t="s">
        <v>959</v>
      </c>
      <c r="E23" s="12" t="s">
        <v>212</v>
      </c>
      <c r="F23" s="12" t="s">
        <v>212</v>
      </c>
      <c r="G23" s="13" t="s">
        <v>213</v>
      </c>
      <c r="H23" s="12" t="s">
        <v>108</v>
      </c>
      <c r="I23" s="12" t="s">
        <v>123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832</v>
      </c>
      <c r="B24" s="12" t="s">
        <v>632</v>
      </c>
      <c r="C24" s="12" t="s">
        <v>43</v>
      </c>
      <c r="D24" s="13" t="s">
        <v>960</v>
      </c>
      <c r="E24" s="12" t="s">
        <v>144</v>
      </c>
      <c r="F24" s="12" t="s">
        <v>144</v>
      </c>
      <c r="G24" s="13" t="s">
        <v>961</v>
      </c>
      <c r="H24" s="12" t="s">
        <v>108</v>
      </c>
      <c r="I24" s="12" t="s">
        <v>123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962</v>
      </c>
      <c r="B25" s="12" t="s">
        <v>215</v>
      </c>
      <c r="C25" s="12" t="s">
        <v>43</v>
      </c>
      <c r="D25" s="13" t="s">
        <v>963</v>
      </c>
      <c r="E25" s="12" t="s">
        <v>144</v>
      </c>
      <c r="F25" s="12" t="s">
        <v>144</v>
      </c>
      <c r="G25" s="13" t="s">
        <v>964</v>
      </c>
      <c r="H25" s="12" t="s">
        <v>106</v>
      </c>
      <c r="I25" s="12" t="s">
        <v>122</v>
      </c>
      <c r="J25" s="14"/>
      <c r="K25" s="13" t="s">
        <v>835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385</v>
      </c>
      <c r="B9" s="12" t="s">
        <v>141</v>
      </c>
      <c r="C9" s="12" t="s">
        <v>44</v>
      </c>
      <c r="D9" s="13" t="s">
        <v>967</v>
      </c>
      <c r="E9" s="12" t="s">
        <v>144</v>
      </c>
      <c r="F9" s="12" t="s">
        <v>145</v>
      </c>
      <c r="G9" s="13" t="s">
        <v>968</v>
      </c>
      <c r="H9" s="12" t="s">
        <v>108</v>
      </c>
      <c r="I9" s="12" t="s">
        <v>123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387</v>
      </c>
      <c r="B10" s="12" t="s">
        <v>148</v>
      </c>
      <c r="C10" s="12" t="s">
        <v>44</v>
      </c>
      <c r="D10" s="13" t="s">
        <v>969</v>
      </c>
      <c r="E10" s="12" t="s">
        <v>144</v>
      </c>
      <c r="F10" s="12" t="s">
        <v>144</v>
      </c>
      <c r="G10" s="13" t="s">
        <v>592</v>
      </c>
      <c r="H10" s="12" t="s">
        <v>108</v>
      </c>
      <c r="I10" s="12" t="s">
        <v>123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388</v>
      </c>
      <c r="B11" s="12" t="s">
        <v>152</v>
      </c>
      <c r="C11" s="12" t="s">
        <v>44</v>
      </c>
      <c r="D11" s="13" t="s">
        <v>970</v>
      </c>
      <c r="E11" s="12" t="s">
        <v>144</v>
      </c>
      <c r="F11" s="12" t="s">
        <v>154</v>
      </c>
      <c r="G11" s="13" t="s">
        <v>971</v>
      </c>
      <c r="H11" s="12" t="s">
        <v>108</v>
      </c>
      <c r="I11" s="12" t="s">
        <v>123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390</v>
      </c>
      <c r="B12" s="12" t="s">
        <v>157</v>
      </c>
      <c r="C12" s="12" t="s">
        <v>44</v>
      </c>
      <c r="D12" s="13" t="s">
        <v>972</v>
      </c>
      <c r="E12" s="12" t="s">
        <v>144</v>
      </c>
      <c r="F12" s="12" t="s">
        <v>159</v>
      </c>
      <c r="G12" s="13" t="s">
        <v>973</v>
      </c>
      <c r="H12" s="12" t="s">
        <v>108</v>
      </c>
      <c r="I12" s="12" t="s">
        <v>123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392</v>
      </c>
      <c r="B13" s="12" t="s">
        <v>162</v>
      </c>
      <c r="C13" s="12" t="s">
        <v>44</v>
      </c>
      <c r="D13" s="13" t="s">
        <v>974</v>
      </c>
      <c r="E13" s="12" t="s">
        <v>144</v>
      </c>
      <c r="F13" s="12" t="s">
        <v>164</v>
      </c>
      <c r="G13" s="13" t="s">
        <v>975</v>
      </c>
      <c r="H13" s="12" t="s">
        <v>108</v>
      </c>
      <c r="I13" s="12" t="s">
        <v>123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394</v>
      </c>
      <c r="B14" s="12" t="s">
        <v>167</v>
      </c>
      <c r="C14" s="12" t="s">
        <v>44</v>
      </c>
      <c r="D14" s="13" t="s">
        <v>976</v>
      </c>
      <c r="E14" s="12" t="s">
        <v>144</v>
      </c>
      <c r="F14" s="12" t="s">
        <v>169</v>
      </c>
      <c r="G14" s="13" t="s">
        <v>977</v>
      </c>
      <c r="H14" s="12" t="s">
        <v>108</v>
      </c>
      <c r="I14" s="12" t="s">
        <v>123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396</v>
      </c>
      <c r="B15" s="12" t="s">
        <v>172</v>
      </c>
      <c r="C15" s="12" t="s">
        <v>44</v>
      </c>
      <c r="D15" s="13" t="s">
        <v>978</v>
      </c>
      <c r="E15" s="12" t="s">
        <v>144</v>
      </c>
      <c r="F15" s="12" t="s">
        <v>174</v>
      </c>
      <c r="G15" s="13" t="s">
        <v>977</v>
      </c>
      <c r="H15" s="12" t="s">
        <v>108</v>
      </c>
      <c r="I15" s="12" t="s">
        <v>123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398</v>
      </c>
      <c r="B16" s="12" t="s">
        <v>177</v>
      </c>
      <c r="C16" s="12" t="s">
        <v>44</v>
      </c>
      <c r="D16" s="13" t="s">
        <v>979</v>
      </c>
      <c r="E16" s="12" t="s">
        <v>144</v>
      </c>
      <c r="F16" s="12" t="s">
        <v>179</v>
      </c>
      <c r="G16" s="13" t="s">
        <v>980</v>
      </c>
      <c r="H16" s="12" t="s">
        <v>110</v>
      </c>
      <c r="I16" s="12" t="s">
        <v>122</v>
      </c>
      <c r="J16" s="14" t="n">
        <v>46228</v>
      </c>
      <c r="K16" s="13" t="s">
        <v>981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400</v>
      </c>
      <c r="B17" s="12" t="s">
        <v>183</v>
      </c>
      <c r="C17" s="12" t="s">
        <v>44</v>
      </c>
      <c r="D17" s="13" t="s">
        <v>982</v>
      </c>
      <c r="E17" s="12" t="s">
        <v>144</v>
      </c>
      <c r="F17" s="12" t="s">
        <v>185</v>
      </c>
      <c r="G17" s="13" t="s">
        <v>983</v>
      </c>
      <c r="H17" s="12" t="s">
        <v>106</v>
      </c>
      <c r="I17" s="12" t="s">
        <v>122</v>
      </c>
      <c r="J17" s="14"/>
      <c r="K17" s="13" t="s">
        <v>916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402</v>
      </c>
      <c r="B18" s="12" t="s">
        <v>189</v>
      </c>
      <c r="C18" s="12" t="s">
        <v>44</v>
      </c>
      <c r="D18" s="13" t="s">
        <v>984</v>
      </c>
      <c r="E18" s="12" t="s">
        <v>144</v>
      </c>
      <c r="F18" s="12" t="s">
        <v>185</v>
      </c>
      <c r="G18" s="13" t="s">
        <v>985</v>
      </c>
      <c r="H18" s="12" t="s">
        <v>106</v>
      </c>
      <c r="I18" s="12" t="s">
        <v>122</v>
      </c>
      <c r="J18" s="14"/>
      <c r="K18" s="13" t="s">
        <v>816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403</v>
      </c>
      <c r="B19" s="12" t="s">
        <v>672</v>
      </c>
      <c r="C19" s="12" t="s">
        <v>44</v>
      </c>
      <c r="D19" s="13" t="s">
        <v>986</v>
      </c>
      <c r="E19" s="12" t="s">
        <v>144</v>
      </c>
      <c r="F19" s="12" t="s">
        <v>169</v>
      </c>
      <c r="G19" s="13" t="s">
        <v>977</v>
      </c>
      <c r="H19" s="12" t="s">
        <v>108</v>
      </c>
      <c r="I19" s="12" t="s">
        <v>123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405</v>
      </c>
      <c r="B20" s="12" t="s">
        <v>197</v>
      </c>
      <c r="C20" s="12" t="s">
        <v>44</v>
      </c>
      <c r="D20" s="13" t="s">
        <v>987</v>
      </c>
      <c r="E20" s="12" t="s">
        <v>144</v>
      </c>
      <c r="F20" s="12" t="s">
        <v>185</v>
      </c>
      <c r="G20" s="13" t="s">
        <v>983</v>
      </c>
      <c r="H20" s="12" t="s">
        <v>106</v>
      </c>
      <c r="I20" s="12" t="s">
        <v>122</v>
      </c>
      <c r="J20" s="14"/>
      <c r="K20" s="13" t="s">
        <v>921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406</v>
      </c>
      <c r="B21" s="12" t="s">
        <v>201</v>
      </c>
      <c r="C21" s="12" t="s">
        <v>44</v>
      </c>
      <c r="D21" s="13" t="s">
        <v>988</v>
      </c>
      <c r="E21" s="12" t="s">
        <v>144</v>
      </c>
      <c r="F21" s="12" t="s">
        <v>203</v>
      </c>
      <c r="G21" s="13" t="s">
        <v>989</v>
      </c>
      <c r="H21" s="12" t="s">
        <v>108</v>
      </c>
      <c r="I21" s="12" t="s">
        <v>123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408</v>
      </c>
      <c r="B22" s="12" t="s">
        <v>206</v>
      </c>
      <c r="C22" s="12" t="s">
        <v>44</v>
      </c>
      <c r="D22" s="13" t="s">
        <v>990</v>
      </c>
      <c r="E22" s="12" t="s">
        <v>144</v>
      </c>
      <c r="F22" s="12" t="s">
        <v>203</v>
      </c>
      <c r="G22" s="13" t="s">
        <v>991</v>
      </c>
      <c r="H22" s="12" t="s">
        <v>108</v>
      </c>
      <c r="I22" s="12" t="s">
        <v>123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410</v>
      </c>
      <c r="B23" s="12" t="s">
        <v>210</v>
      </c>
      <c r="C23" s="12" t="s">
        <v>44</v>
      </c>
      <c r="D23" s="13" t="s">
        <v>992</v>
      </c>
      <c r="E23" s="12" t="s">
        <v>212</v>
      </c>
      <c r="F23" s="12" t="s">
        <v>212</v>
      </c>
      <c r="G23" s="13" t="s">
        <v>213</v>
      </c>
      <c r="H23" s="12" t="s">
        <v>108</v>
      </c>
      <c r="I23" s="12" t="s">
        <v>123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411</v>
      </c>
      <c r="B24" s="12" t="s">
        <v>632</v>
      </c>
      <c r="C24" s="12" t="s">
        <v>44</v>
      </c>
      <c r="D24" s="13" t="s">
        <v>993</v>
      </c>
      <c r="E24" s="12" t="s">
        <v>144</v>
      </c>
      <c r="F24" s="12" t="s">
        <v>144</v>
      </c>
      <c r="G24" s="13" t="s">
        <v>994</v>
      </c>
      <c r="H24" s="12" t="s">
        <v>108</v>
      </c>
      <c r="I24" s="12" t="s">
        <v>123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995</v>
      </c>
      <c r="B25" s="12" t="s">
        <v>215</v>
      </c>
      <c r="C25" s="12" t="s">
        <v>44</v>
      </c>
      <c r="D25" s="13" t="s">
        <v>996</v>
      </c>
      <c r="E25" s="12" t="s">
        <v>144</v>
      </c>
      <c r="F25" s="12" t="s">
        <v>144</v>
      </c>
      <c r="G25" s="13" t="s">
        <v>997</v>
      </c>
      <c r="H25" s="12" t="s">
        <v>106</v>
      </c>
      <c r="I25" s="12" t="s">
        <v>122</v>
      </c>
      <c r="J25" s="14"/>
      <c r="K25" s="13" t="s">
        <v>835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999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1000</v>
      </c>
      <c r="B9" s="12" t="s">
        <v>141</v>
      </c>
      <c r="C9" s="12" t="s">
        <v>45</v>
      </c>
      <c r="D9" s="13" t="s">
        <v>1001</v>
      </c>
      <c r="E9" s="12" t="s">
        <v>144</v>
      </c>
      <c r="F9" s="12" t="s">
        <v>145</v>
      </c>
      <c r="G9" s="13" t="s">
        <v>1002</v>
      </c>
      <c r="H9" s="12" t="s">
        <v>108</v>
      </c>
      <c r="I9" s="12" t="s">
        <v>123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1003</v>
      </c>
      <c r="B10" s="12" t="s">
        <v>148</v>
      </c>
      <c r="C10" s="12" t="s">
        <v>45</v>
      </c>
      <c r="D10" s="13" t="s">
        <v>1004</v>
      </c>
      <c r="E10" s="12" t="s">
        <v>144</v>
      </c>
      <c r="F10" s="12" t="s">
        <v>144</v>
      </c>
      <c r="G10" s="13" t="s">
        <v>592</v>
      </c>
      <c r="H10" s="12" t="s">
        <v>108</v>
      </c>
      <c r="I10" s="12" t="s">
        <v>123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1005</v>
      </c>
      <c r="B11" s="12" t="s">
        <v>152</v>
      </c>
      <c r="C11" s="12" t="s">
        <v>45</v>
      </c>
      <c r="D11" s="13" t="s">
        <v>1006</v>
      </c>
      <c r="E11" s="12" t="s">
        <v>144</v>
      </c>
      <c r="F11" s="12" t="s">
        <v>154</v>
      </c>
      <c r="G11" s="13" t="s">
        <v>1007</v>
      </c>
      <c r="H11" s="12" t="s">
        <v>108</v>
      </c>
      <c r="I11" s="12" t="s">
        <v>123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1008</v>
      </c>
      <c r="B12" s="12" t="s">
        <v>157</v>
      </c>
      <c r="C12" s="12" t="s">
        <v>45</v>
      </c>
      <c r="D12" s="13" t="s">
        <v>1009</v>
      </c>
      <c r="E12" s="12" t="s">
        <v>144</v>
      </c>
      <c r="F12" s="12" t="s">
        <v>159</v>
      </c>
      <c r="G12" s="13" t="s">
        <v>1010</v>
      </c>
      <c r="H12" s="12" t="s">
        <v>108</v>
      </c>
      <c r="I12" s="12" t="s">
        <v>123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1011</v>
      </c>
      <c r="B13" s="12" t="s">
        <v>162</v>
      </c>
      <c r="C13" s="12" t="s">
        <v>45</v>
      </c>
      <c r="D13" s="13" t="s">
        <v>1012</v>
      </c>
      <c r="E13" s="12" t="s">
        <v>144</v>
      </c>
      <c r="F13" s="12" t="s">
        <v>164</v>
      </c>
      <c r="G13" s="13" t="s">
        <v>1013</v>
      </c>
      <c r="H13" s="12" t="s">
        <v>108</v>
      </c>
      <c r="I13" s="12" t="s">
        <v>123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1014</v>
      </c>
      <c r="B14" s="12" t="s">
        <v>167</v>
      </c>
      <c r="C14" s="12" t="s">
        <v>45</v>
      </c>
      <c r="D14" s="13" t="s">
        <v>1015</v>
      </c>
      <c r="E14" s="12" t="s">
        <v>144</v>
      </c>
      <c r="F14" s="12" t="s">
        <v>169</v>
      </c>
      <c r="G14" s="13" t="s">
        <v>1016</v>
      </c>
      <c r="H14" s="12" t="s">
        <v>108</v>
      </c>
      <c r="I14" s="12" t="s">
        <v>123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1017</v>
      </c>
      <c r="B15" s="12" t="s">
        <v>172</v>
      </c>
      <c r="C15" s="12" t="s">
        <v>45</v>
      </c>
      <c r="D15" s="13" t="s">
        <v>1018</v>
      </c>
      <c r="E15" s="12" t="s">
        <v>144</v>
      </c>
      <c r="F15" s="12" t="s">
        <v>174</v>
      </c>
      <c r="G15" s="13" t="s">
        <v>1016</v>
      </c>
      <c r="H15" s="12" t="s">
        <v>108</v>
      </c>
      <c r="I15" s="12" t="s">
        <v>123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1019</v>
      </c>
      <c r="B16" s="12" t="s">
        <v>177</v>
      </c>
      <c r="C16" s="12" t="s">
        <v>45</v>
      </c>
      <c r="D16" s="13" t="s">
        <v>1020</v>
      </c>
      <c r="E16" s="12" t="s">
        <v>144</v>
      </c>
      <c r="F16" s="12" t="s">
        <v>179</v>
      </c>
      <c r="G16" s="13" t="s">
        <v>1021</v>
      </c>
      <c r="H16" s="12" t="s">
        <v>110</v>
      </c>
      <c r="I16" s="12" t="s">
        <v>122</v>
      </c>
      <c r="J16" s="14" t="n">
        <v>46228</v>
      </c>
      <c r="K16" s="13" t="s">
        <v>1022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1023</v>
      </c>
      <c r="B17" s="12" t="s">
        <v>183</v>
      </c>
      <c r="C17" s="12" t="s">
        <v>45</v>
      </c>
      <c r="D17" s="13" t="s">
        <v>1024</v>
      </c>
      <c r="E17" s="12" t="s">
        <v>144</v>
      </c>
      <c r="F17" s="12" t="s">
        <v>185</v>
      </c>
      <c r="G17" s="13" t="s">
        <v>1025</v>
      </c>
      <c r="H17" s="12" t="s">
        <v>106</v>
      </c>
      <c r="I17" s="12" t="s">
        <v>122</v>
      </c>
      <c r="J17" s="14"/>
      <c r="K17" s="13" t="s">
        <v>916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1026</v>
      </c>
      <c r="B18" s="12" t="s">
        <v>189</v>
      </c>
      <c r="C18" s="12" t="s">
        <v>45</v>
      </c>
      <c r="D18" s="13" t="s">
        <v>1027</v>
      </c>
      <c r="E18" s="12" t="s">
        <v>144</v>
      </c>
      <c r="F18" s="12" t="s">
        <v>185</v>
      </c>
      <c r="G18" s="13" t="s">
        <v>1028</v>
      </c>
      <c r="H18" s="12" t="s">
        <v>106</v>
      </c>
      <c r="I18" s="12" t="s">
        <v>122</v>
      </c>
      <c r="J18" s="14"/>
      <c r="K18" s="13" t="s">
        <v>816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1029</v>
      </c>
      <c r="B19" s="12" t="s">
        <v>672</v>
      </c>
      <c r="C19" s="12" t="s">
        <v>45</v>
      </c>
      <c r="D19" s="13" t="s">
        <v>1030</v>
      </c>
      <c r="E19" s="12" t="s">
        <v>144</v>
      </c>
      <c r="F19" s="12" t="s">
        <v>169</v>
      </c>
      <c r="G19" s="13" t="s">
        <v>1016</v>
      </c>
      <c r="H19" s="12" t="s">
        <v>108</v>
      </c>
      <c r="I19" s="12" t="s">
        <v>123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1031</v>
      </c>
      <c r="B20" s="12" t="s">
        <v>197</v>
      </c>
      <c r="C20" s="12" t="s">
        <v>45</v>
      </c>
      <c r="D20" s="13" t="s">
        <v>1032</v>
      </c>
      <c r="E20" s="12" t="s">
        <v>144</v>
      </c>
      <c r="F20" s="12" t="s">
        <v>185</v>
      </c>
      <c r="G20" s="13" t="s">
        <v>1025</v>
      </c>
      <c r="H20" s="12" t="s">
        <v>106</v>
      </c>
      <c r="I20" s="12" t="s">
        <v>122</v>
      </c>
      <c r="J20" s="14"/>
      <c r="K20" s="13" t="s">
        <v>921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1033</v>
      </c>
      <c r="B21" s="12" t="s">
        <v>201</v>
      </c>
      <c r="C21" s="12" t="s">
        <v>45</v>
      </c>
      <c r="D21" s="13" t="s">
        <v>1034</v>
      </c>
      <c r="E21" s="12" t="s">
        <v>144</v>
      </c>
      <c r="F21" s="12" t="s">
        <v>203</v>
      </c>
      <c r="G21" s="13" t="s">
        <v>1035</v>
      </c>
      <c r="H21" s="12" t="s">
        <v>108</v>
      </c>
      <c r="I21" s="12" t="s">
        <v>123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1036</v>
      </c>
      <c r="B22" s="12" t="s">
        <v>206</v>
      </c>
      <c r="C22" s="12" t="s">
        <v>45</v>
      </c>
      <c r="D22" s="13" t="s">
        <v>1037</v>
      </c>
      <c r="E22" s="12" t="s">
        <v>144</v>
      </c>
      <c r="F22" s="12" t="s">
        <v>203</v>
      </c>
      <c r="G22" s="13" t="s">
        <v>1038</v>
      </c>
      <c r="H22" s="12" t="s">
        <v>108</v>
      </c>
      <c r="I22" s="12" t="s">
        <v>123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1039</v>
      </c>
      <c r="B23" s="12" t="s">
        <v>210</v>
      </c>
      <c r="C23" s="12" t="s">
        <v>45</v>
      </c>
      <c r="D23" s="13" t="s">
        <v>1040</v>
      </c>
      <c r="E23" s="12" t="s">
        <v>212</v>
      </c>
      <c r="F23" s="12" t="s">
        <v>212</v>
      </c>
      <c r="G23" s="13" t="s">
        <v>213</v>
      </c>
      <c r="H23" s="12" t="s">
        <v>108</v>
      </c>
      <c r="I23" s="12" t="s">
        <v>123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1041</v>
      </c>
      <c r="B24" s="12" t="s">
        <v>632</v>
      </c>
      <c r="C24" s="12" t="s">
        <v>45</v>
      </c>
      <c r="D24" s="13" t="s">
        <v>1042</v>
      </c>
      <c r="E24" s="12" t="s">
        <v>144</v>
      </c>
      <c r="F24" s="12" t="s">
        <v>144</v>
      </c>
      <c r="G24" s="13" t="s">
        <v>1043</v>
      </c>
      <c r="H24" s="12" t="s">
        <v>108</v>
      </c>
      <c r="I24" s="12" t="s">
        <v>123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1044</v>
      </c>
      <c r="B25" s="12" t="s">
        <v>215</v>
      </c>
      <c r="C25" s="12" t="s">
        <v>45</v>
      </c>
      <c r="D25" s="13" t="s">
        <v>1045</v>
      </c>
      <c r="E25" s="12" t="s">
        <v>144</v>
      </c>
      <c r="F25" s="12" t="s">
        <v>144</v>
      </c>
      <c r="G25" s="13" t="s">
        <v>1046</v>
      </c>
      <c r="H25" s="12" t="s">
        <v>106</v>
      </c>
      <c r="I25" s="12" t="s">
        <v>122</v>
      </c>
      <c r="J25" s="14"/>
      <c r="K25" s="13" t="s">
        <v>1047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1049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126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1050</v>
      </c>
      <c r="B9" s="12" t="s">
        <v>141</v>
      </c>
      <c r="C9" s="12" t="s">
        <v>46</v>
      </c>
      <c r="D9" s="13" t="s">
        <v>1051</v>
      </c>
      <c r="E9" s="12" t="s">
        <v>144</v>
      </c>
      <c r="F9" s="12" t="s">
        <v>145</v>
      </c>
      <c r="G9" s="13" t="s">
        <v>1052</v>
      </c>
      <c r="H9" s="12" t="s">
        <v>108</v>
      </c>
      <c r="I9" s="12" t="s">
        <v>123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1053</v>
      </c>
      <c r="B10" s="12" t="s">
        <v>148</v>
      </c>
      <c r="C10" s="12" t="s">
        <v>46</v>
      </c>
      <c r="D10" s="13" t="s">
        <v>1054</v>
      </c>
      <c r="E10" s="12" t="s">
        <v>144</v>
      </c>
      <c r="F10" s="12" t="s">
        <v>144</v>
      </c>
      <c r="G10" s="13" t="s">
        <v>592</v>
      </c>
      <c r="H10" s="12" t="s">
        <v>108</v>
      </c>
      <c r="I10" s="12" t="s">
        <v>123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1055</v>
      </c>
      <c r="B11" s="12" t="s">
        <v>152</v>
      </c>
      <c r="C11" s="12" t="s">
        <v>46</v>
      </c>
      <c r="D11" s="13" t="s">
        <v>1056</v>
      </c>
      <c r="E11" s="12" t="s">
        <v>144</v>
      </c>
      <c r="F11" s="12" t="s">
        <v>154</v>
      </c>
      <c r="G11" s="13" t="s">
        <v>1057</v>
      </c>
      <c r="H11" s="12" t="s">
        <v>108</v>
      </c>
      <c r="I11" s="12" t="s">
        <v>123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1058</v>
      </c>
      <c r="B12" s="12" t="s">
        <v>157</v>
      </c>
      <c r="C12" s="12" t="s">
        <v>46</v>
      </c>
      <c r="D12" s="13" t="s">
        <v>1059</v>
      </c>
      <c r="E12" s="12" t="s">
        <v>144</v>
      </c>
      <c r="F12" s="12" t="s">
        <v>159</v>
      </c>
      <c r="G12" s="13" t="s">
        <v>1060</v>
      </c>
      <c r="H12" s="12" t="s">
        <v>108</v>
      </c>
      <c r="I12" s="12" t="s">
        <v>123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1061</v>
      </c>
      <c r="B13" s="12" t="s">
        <v>162</v>
      </c>
      <c r="C13" s="12" t="s">
        <v>46</v>
      </c>
      <c r="D13" s="13" t="s">
        <v>1062</v>
      </c>
      <c r="E13" s="12" t="s">
        <v>144</v>
      </c>
      <c r="F13" s="12" t="s">
        <v>164</v>
      </c>
      <c r="G13" s="13" t="s">
        <v>1063</v>
      </c>
      <c r="H13" s="12" t="s">
        <v>108</v>
      </c>
      <c r="I13" s="12" t="s">
        <v>123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1064</v>
      </c>
      <c r="B14" s="12" t="s">
        <v>167</v>
      </c>
      <c r="C14" s="12" t="s">
        <v>46</v>
      </c>
      <c r="D14" s="13" t="s">
        <v>1065</v>
      </c>
      <c r="E14" s="12" t="s">
        <v>144</v>
      </c>
      <c r="F14" s="12" t="s">
        <v>169</v>
      </c>
      <c r="G14" s="13" t="s">
        <v>1066</v>
      </c>
      <c r="H14" s="12" t="s">
        <v>108</v>
      </c>
      <c r="I14" s="12" t="s">
        <v>123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1067</v>
      </c>
      <c r="B15" s="12" t="s">
        <v>172</v>
      </c>
      <c r="C15" s="12" t="s">
        <v>46</v>
      </c>
      <c r="D15" s="13" t="s">
        <v>1068</v>
      </c>
      <c r="E15" s="12" t="s">
        <v>144</v>
      </c>
      <c r="F15" s="12" t="s">
        <v>174</v>
      </c>
      <c r="G15" s="13" t="s">
        <v>1066</v>
      </c>
      <c r="H15" s="12" t="s">
        <v>108</v>
      </c>
      <c r="I15" s="12" t="s">
        <v>123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1069</v>
      </c>
      <c r="B16" s="12" t="s">
        <v>177</v>
      </c>
      <c r="C16" s="12" t="s">
        <v>46</v>
      </c>
      <c r="D16" s="13" t="s">
        <v>1070</v>
      </c>
      <c r="E16" s="12" t="s">
        <v>144</v>
      </c>
      <c r="F16" s="12" t="s">
        <v>179</v>
      </c>
      <c r="G16" s="13" t="s">
        <v>1071</v>
      </c>
      <c r="H16" s="12" t="s">
        <v>106</v>
      </c>
      <c r="I16" s="12" t="s">
        <v>122</v>
      </c>
      <c r="J16" s="14" t="n">
        <v>46228</v>
      </c>
      <c r="K16" s="13" t="s">
        <v>1072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1073</v>
      </c>
      <c r="B17" s="12" t="s">
        <v>183</v>
      </c>
      <c r="C17" s="12" t="s">
        <v>46</v>
      </c>
      <c r="D17" s="13" t="s">
        <v>1074</v>
      </c>
      <c r="E17" s="12" t="s">
        <v>144</v>
      </c>
      <c r="F17" s="12" t="s">
        <v>185</v>
      </c>
      <c r="G17" s="13" t="s">
        <v>1075</v>
      </c>
      <c r="H17" s="12" t="s">
        <v>106</v>
      </c>
      <c r="I17" s="12" t="s">
        <v>122</v>
      </c>
      <c r="J17" s="14"/>
      <c r="K17" s="13" t="s">
        <v>1076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1077</v>
      </c>
      <c r="B18" s="12" t="s">
        <v>197</v>
      </c>
      <c r="C18" s="12" t="s">
        <v>46</v>
      </c>
      <c r="D18" s="13" t="s">
        <v>1078</v>
      </c>
      <c r="E18" s="12" t="s">
        <v>144</v>
      </c>
      <c r="F18" s="12" t="s">
        <v>185</v>
      </c>
      <c r="G18" s="13" t="s">
        <v>1075</v>
      </c>
      <c r="H18" s="12" t="s">
        <v>106</v>
      </c>
      <c r="I18" s="12" t="s">
        <v>122</v>
      </c>
      <c r="J18" s="14"/>
      <c r="K18" s="13" t="s">
        <v>1076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1079</v>
      </c>
      <c r="B19" s="12" t="s">
        <v>201</v>
      </c>
      <c r="C19" s="12" t="s">
        <v>46</v>
      </c>
      <c r="D19" s="13" t="s">
        <v>1080</v>
      </c>
      <c r="E19" s="12" t="s">
        <v>144</v>
      </c>
      <c r="F19" s="12" t="s">
        <v>203</v>
      </c>
      <c r="G19" s="13" t="s">
        <v>1081</v>
      </c>
      <c r="H19" s="12" t="s">
        <v>108</v>
      </c>
      <c r="I19" s="12" t="s">
        <v>123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1082</v>
      </c>
      <c r="B20" s="12" t="s">
        <v>206</v>
      </c>
      <c r="C20" s="12" t="s">
        <v>46</v>
      </c>
      <c r="D20" s="13" t="s">
        <v>1083</v>
      </c>
      <c r="E20" s="12" t="s">
        <v>144</v>
      </c>
      <c r="F20" s="12" t="s">
        <v>203</v>
      </c>
      <c r="G20" s="13" t="s">
        <v>1084</v>
      </c>
      <c r="H20" s="12" t="s">
        <v>108</v>
      </c>
      <c r="I20" s="12" t="s">
        <v>123</v>
      </c>
      <c r="J20" s="14" t="n">
        <v>46228</v>
      </c>
      <c r="K20" s="13" t="s">
        <v>921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1085</v>
      </c>
      <c r="B21" s="12" t="s">
        <v>210</v>
      </c>
      <c r="C21" s="12" t="s">
        <v>46</v>
      </c>
      <c r="D21" s="13" t="s">
        <v>1086</v>
      </c>
      <c r="E21" s="12" t="s">
        <v>212</v>
      </c>
      <c r="F21" s="12" t="s">
        <v>212</v>
      </c>
      <c r="G21" s="13" t="s">
        <v>213</v>
      </c>
      <c r="H21" s="12" t="s">
        <v>108</v>
      </c>
      <c r="I21" s="12" t="s">
        <v>123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1087</v>
      </c>
      <c r="B22" s="12" t="s">
        <v>632</v>
      </c>
      <c r="C22" s="12" t="s">
        <v>46</v>
      </c>
      <c r="D22" s="13" t="s">
        <v>1088</v>
      </c>
      <c r="E22" s="12" t="s">
        <v>144</v>
      </c>
      <c r="F22" s="12" t="s">
        <v>144</v>
      </c>
      <c r="G22" s="13" t="s">
        <v>1089</v>
      </c>
      <c r="H22" s="12" t="s">
        <v>108</v>
      </c>
      <c r="I22" s="12" t="s">
        <v>123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1090</v>
      </c>
      <c r="B23" s="12" t="s">
        <v>215</v>
      </c>
      <c r="C23" s="12" t="s">
        <v>46</v>
      </c>
      <c r="D23" s="13" t="s">
        <v>1045</v>
      </c>
      <c r="E23" s="12" t="s">
        <v>144</v>
      </c>
      <c r="F23" s="12" t="s">
        <v>144</v>
      </c>
      <c r="G23" s="13" t="s">
        <v>638</v>
      </c>
      <c r="H23" s="12" t="s">
        <v>106</v>
      </c>
      <c r="I23" s="12" t="s">
        <v>122</v>
      </c>
      <c r="J23" s="14" t="n">
        <v>46228</v>
      </c>
      <c r="K23" s="13" t="s">
        <v>1091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1093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126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1094</v>
      </c>
      <c r="B9" s="12" t="s">
        <v>141</v>
      </c>
      <c r="C9" s="12" t="s">
        <v>1095</v>
      </c>
      <c r="D9" s="13" t="s">
        <v>1096</v>
      </c>
      <c r="E9" s="12" t="s">
        <v>144</v>
      </c>
      <c r="F9" s="12" t="s">
        <v>145</v>
      </c>
      <c r="G9" s="13" t="s">
        <v>1097</v>
      </c>
      <c r="H9" s="12" t="s">
        <v>108</v>
      </c>
      <c r="I9" s="12" t="s">
        <v>123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1098</v>
      </c>
      <c r="B10" s="12" t="s">
        <v>192</v>
      </c>
      <c r="C10" s="12" t="s">
        <v>1099</v>
      </c>
      <c r="D10" s="13" t="s">
        <v>1100</v>
      </c>
      <c r="E10" s="12" t="s">
        <v>144</v>
      </c>
      <c r="F10" s="12" t="s">
        <v>164</v>
      </c>
      <c r="G10" s="13" t="s">
        <v>1101</v>
      </c>
      <c r="H10" s="12" t="s">
        <v>108</v>
      </c>
      <c r="I10" s="12" t="s">
        <v>123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1102</v>
      </c>
      <c r="B11" s="12" t="s">
        <v>1103</v>
      </c>
      <c r="C11" s="12" t="s">
        <v>1104</v>
      </c>
      <c r="D11" s="13" t="s">
        <v>1105</v>
      </c>
      <c r="E11" s="12" t="s">
        <v>144</v>
      </c>
      <c r="F11" s="12" t="s">
        <v>164</v>
      </c>
      <c r="G11" s="13" t="s">
        <v>1101</v>
      </c>
      <c r="H11" s="12" t="s">
        <v>108</v>
      </c>
      <c r="I11" s="12" t="s">
        <v>123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1106</v>
      </c>
      <c r="B12" s="12" t="s">
        <v>148</v>
      </c>
      <c r="C12" s="12" t="s">
        <v>47</v>
      </c>
      <c r="D12" s="13" t="s">
        <v>1107</v>
      </c>
      <c r="E12" s="12" t="s">
        <v>144</v>
      </c>
      <c r="F12" s="12" t="s">
        <v>144</v>
      </c>
      <c r="G12" s="13" t="s">
        <v>592</v>
      </c>
      <c r="H12" s="12" t="s">
        <v>108</v>
      </c>
      <c r="I12" s="12" t="s">
        <v>123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1108</v>
      </c>
      <c r="B13" s="12" t="s">
        <v>152</v>
      </c>
      <c r="C13" s="12" t="s">
        <v>47</v>
      </c>
      <c r="D13" s="13" t="s">
        <v>1109</v>
      </c>
      <c r="E13" s="12" t="s">
        <v>144</v>
      </c>
      <c r="F13" s="12" t="s">
        <v>154</v>
      </c>
      <c r="G13" s="13" t="s">
        <v>1110</v>
      </c>
      <c r="H13" s="12" t="s">
        <v>108</v>
      </c>
      <c r="I13" s="12" t="s">
        <v>123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1111</v>
      </c>
      <c r="B14" s="12" t="s">
        <v>157</v>
      </c>
      <c r="C14" s="12" t="s">
        <v>47</v>
      </c>
      <c r="D14" s="13" t="s">
        <v>1112</v>
      </c>
      <c r="E14" s="12" t="s">
        <v>144</v>
      </c>
      <c r="F14" s="12" t="s">
        <v>159</v>
      </c>
      <c r="G14" s="13" t="s">
        <v>1113</v>
      </c>
      <c r="H14" s="12" t="s">
        <v>108</v>
      </c>
      <c r="I14" s="12" t="s">
        <v>123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1114</v>
      </c>
      <c r="B15" s="12" t="s">
        <v>167</v>
      </c>
      <c r="C15" s="12" t="s">
        <v>47</v>
      </c>
      <c r="D15" s="13" t="s">
        <v>1115</v>
      </c>
      <c r="E15" s="12" t="s">
        <v>144</v>
      </c>
      <c r="F15" s="12" t="s">
        <v>169</v>
      </c>
      <c r="G15" s="13" t="s">
        <v>1116</v>
      </c>
      <c r="H15" s="12" t="s">
        <v>108</v>
      </c>
      <c r="I15" s="12" t="s">
        <v>123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1117</v>
      </c>
      <c r="B16" s="12" t="s">
        <v>172</v>
      </c>
      <c r="C16" s="12" t="s">
        <v>1118</v>
      </c>
      <c r="D16" s="13" t="s">
        <v>1119</v>
      </c>
      <c r="E16" s="12" t="s">
        <v>144</v>
      </c>
      <c r="F16" s="12" t="s">
        <v>174</v>
      </c>
      <c r="G16" s="13" t="s">
        <v>1116</v>
      </c>
      <c r="H16" s="12" t="s">
        <v>108</v>
      </c>
      <c r="I16" s="12" t="s">
        <v>123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1120</v>
      </c>
      <c r="B17" s="12" t="s">
        <v>177</v>
      </c>
      <c r="C17" s="12" t="s">
        <v>47</v>
      </c>
      <c r="D17" s="13" t="s">
        <v>1121</v>
      </c>
      <c r="E17" s="12" t="s">
        <v>144</v>
      </c>
      <c r="F17" s="12" t="s">
        <v>179</v>
      </c>
      <c r="G17" s="13" t="s">
        <v>1122</v>
      </c>
      <c r="H17" s="12" t="s">
        <v>106</v>
      </c>
      <c r="I17" s="12" t="s">
        <v>122</v>
      </c>
      <c r="J17" s="14"/>
      <c r="K17" s="13" t="s">
        <v>1072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1123</v>
      </c>
      <c r="B18" s="12" t="s">
        <v>183</v>
      </c>
      <c r="C18" s="12" t="s">
        <v>47</v>
      </c>
      <c r="D18" s="13" t="s">
        <v>1124</v>
      </c>
      <c r="E18" s="12" t="s">
        <v>144</v>
      </c>
      <c r="F18" s="12" t="s">
        <v>185</v>
      </c>
      <c r="G18" s="13" t="s">
        <v>1125</v>
      </c>
      <c r="H18" s="12" t="s">
        <v>106</v>
      </c>
      <c r="I18" s="12" t="s">
        <v>122</v>
      </c>
      <c r="J18" s="14"/>
      <c r="K18" s="13" t="s">
        <v>1076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1126</v>
      </c>
      <c r="B19" s="12" t="s">
        <v>197</v>
      </c>
      <c r="C19" s="12" t="s">
        <v>47</v>
      </c>
      <c r="D19" s="13" t="s">
        <v>1127</v>
      </c>
      <c r="E19" s="12" t="s">
        <v>144</v>
      </c>
      <c r="F19" s="12" t="s">
        <v>185</v>
      </c>
      <c r="G19" s="13" t="s">
        <v>1125</v>
      </c>
      <c r="H19" s="12" t="s">
        <v>106</v>
      </c>
      <c r="I19" s="12" t="s">
        <v>122</v>
      </c>
      <c r="J19" s="14" t="n">
        <v>46228</v>
      </c>
      <c r="K19" s="13" t="s">
        <v>1076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1128</v>
      </c>
      <c r="B20" s="12" t="s">
        <v>201</v>
      </c>
      <c r="C20" s="12" t="s">
        <v>47</v>
      </c>
      <c r="D20" s="13" t="s">
        <v>1129</v>
      </c>
      <c r="E20" s="12" t="s">
        <v>144</v>
      </c>
      <c r="F20" s="12" t="s">
        <v>203</v>
      </c>
      <c r="G20" s="13" t="s">
        <v>1130</v>
      </c>
      <c r="H20" s="12" t="s">
        <v>108</v>
      </c>
      <c r="I20" s="12" t="s">
        <v>123</v>
      </c>
      <c r="J20" s="14" t="n">
        <v>46228</v>
      </c>
      <c r="K20" s="13" t="s">
        <v>921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1131</v>
      </c>
      <c r="B21" s="12" t="s">
        <v>206</v>
      </c>
      <c r="C21" s="12" t="s">
        <v>47</v>
      </c>
      <c r="D21" s="13" t="s">
        <v>1132</v>
      </c>
      <c r="E21" s="12" t="s">
        <v>144</v>
      </c>
      <c r="F21" s="12" t="s">
        <v>203</v>
      </c>
      <c r="G21" s="13" t="s">
        <v>1133</v>
      </c>
      <c r="H21" s="12" t="s">
        <v>108</v>
      </c>
      <c r="I21" s="12" t="s">
        <v>123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1134</v>
      </c>
      <c r="B22" s="12" t="s">
        <v>210</v>
      </c>
      <c r="C22" s="12" t="s">
        <v>47</v>
      </c>
      <c r="D22" s="13" t="s">
        <v>1135</v>
      </c>
      <c r="E22" s="12" t="s">
        <v>212</v>
      </c>
      <c r="F22" s="12" t="s">
        <v>212</v>
      </c>
      <c r="G22" s="13" t="s">
        <v>213</v>
      </c>
      <c r="H22" s="12" t="s">
        <v>108</v>
      </c>
      <c r="I22" s="12" t="s">
        <v>123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1136</v>
      </c>
      <c r="B23" s="12" t="s">
        <v>632</v>
      </c>
      <c r="C23" s="12" t="s">
        <v>47</v>
      </c>
      <c r="D23" s="13" t="s">
        <v>1137</v>
      </c>
      <c r="E23" s="12" t="s">
        <v>144</v>
      </c>
      <c r="F23" s="12" t="s">
        <v>144</v>
      </c>
      <c r="G23" s="13" t="s">
        <v>1089</v>
      </c>
      <c r="H23" s="12" t="s">
        <v>108</v>
      </c>
      <c r="I23" s="12" t="s">
        <v>123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1138</v>
      </c>
      <c r="B24" s="12" t="s">
        <v>215</v>
      </c>
      <c r="C24" s="12" t="s">
        <v>47</v>
      </c>
      <c r="D24" s="13" t="s">
        <v>1139</v>
      </c>
      <c r="E24" s="12" t="s">
        <v>144</v>
      </c>
      <c r="F24" s="12" t="s">
        <v>144</v>
      </c>
      <c r="G24" s="13" t="s">
        <v>638</v>
      </c>
      <c r="H24" s="12" t="s">
        <v>106</v>
      </c>
      <c r="I24" s="12" t="s">
        <v>122</v>
      </c>
      <c r="J24" s="14" t="n">
        <v>46228</v>
      </c>
      <c r="K24" s="13" t="s">
        <v>1091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126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127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1142</v>
      </c>
      <c r="B9" s="12" t="s">
        <v>141</v>
      </c>
      <c r="C9" s="12" t="s">
        <v>1095</v>
      </c>
      <c r="D9" s="13" t="s">
        <v>1143</v>
      </c>
      <c r="E9" s="12" t="s">
        <v>144</v>
      </c>
      <c r="F9" s="12" t="s">
        <v>145</v>
      </c>
      <c r="G9" s="13" t="s">
        <v>1097</v>
      </c>
      <c r="H9" s="12" t="s">
        <v>108</v>
      </c>
      <c r="I9" s="12" t="s">
        <v>123</v>
      </c>
      <c r="J9" s="14" t="s">
        <v>144</v>
      </c>
      <c r="K9" s="13" t="s">
        <v>1144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1145</v>
      </c>
      <c r="B10" s="12" t="s">
        <v>1146</v>
      </c>
      <c r="C10" s="12" t="s">
        <v>813</v>
      </c>
      <c r="D10" s="13" t="s">
        <v>1147</v>
      </c>
      <c r="E10" s="12" t="s">
        <v>144</v>
      </c>
      <c r="F10" s="12" t="s">
        <v>164</v>
      </c>
      <c r="G10" s="13" t="s">
        <v>1101</v>
      </c>
      <c r="H10" s="12" t="s">
        <v>108</v>
      </c>
      <c r="I10" s="12" t="s">
        <v>123</v>
      </c>
      <c r="J10" s="14" t="s">
        <v>144</v>
      </c>
      <c r="K10" s="13" t="s">
        <v>1144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1148</v>
      </c>
      <c r="B11" s="12" t="s">
        <v>1099</v>
      </c>
      <c r="C11" s="12" t="s">
        <v>33</v>
      </c>
      <c r="D11" s="13" t="s">
        <v>1149</v>
      </c>
      <c r="E11" s="12" t="s">
        <v>144</v>
      </c>
      <c r="F11" s="12" t="s">
        <v>164</v>
      </c>
      <c r="G11" s="13" t="s">
        <v>1101</v>
      </c>
      <c r="H11" s="12" t="s">
        <v>108</v>
      </c>
      <c r="I11" s="12" t="s">
        <v>123</v>
      </c>
      <c r="J11" s="14" t="s">
        <v>144</v>
      </c>
      <c r="K11" s="13" t="s">
        <v>1144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1150</v>
      </c>
      <c r="B12" s="12" t="s">
        <v>1151</v>
      </c>
      <c r="C12" s="12" t="s">
        <v>1152</v>
      </c>
      <c r="D12" s="13" t="s">
        <v>1153</v>
      </c>
      <c r="E12" s="12" t="s">
        <v>144</v>
      </c>
      <c r="F12" s="12" t="s">
        <v>144</v>
      </c>
      <c r="G12" s="13" t="s">
        <v>592</v>
      </c>
      <c r="H12" s="12" t="s">
        <v>108</v>
      </c>
      <c r="I12" s="12" t="s">
        <v>123</v>
      </c>
      <c r="J12" s="14" t="s">
        <v>144</v>
      </c>
      <c r="K12" s="13" t="s">
        <v>1144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1154</v>
      </c>
      <c r="B13" s="12" t="s">
        <v>148</v>
      </c>
      <c r="C13" s="12" t="s">
        <v>48</v>
      </c>
      <c r="D13" s="13" t="s">
        <v>1155</v>
      </c>
      <c r="E13" s="12" t="s">
        <v>144</v>
      </c>
      <c r="F13" s="12" t="s">
        <v>154</v>
      </c>
      <c r="G13" s="13" t="s">
        <v>1110</v>
      </c>
      <c r="H13" s="12" t="s">
        <v>108</v>
      </c>
      <c r="I13" s="12" t="s">
        <v>123</v>
      </c>
      <c r="J13" s="14" t="s">
        <v>144</v>
      </c>
      <c r="K13" s="13" t="s">
        <v>1144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1156</v>
      </c>
      <c r="B14" s="12" t="s">
        <v>152</v>
      </c>
      <c r="C14" s="12" t="s">
        <v>48</v>
      </c>
      <c r="D14" s="13" t="s">
        <v>1157</v>
      </c>
      <c r="E14" s="12" t="s">
        <v>144</v>
      </c>
      <c r="F14" s="12" t="s">
        <v>159</v>
      </c>
      <c r="G14" s="13" t="s">
        <v>1113</v>
      </c>
      <c r="H14" s="12" t="s">
        <v>108</v>
      </c>
      <c r="I14" s="12" t="s">
        <v>123</v>
      </c>
      <c r="J14" s="14" t="s">
        <v>144</v>
      </c>
      <c r="K14" s="13" t="s">
        <v>1144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1158</v>
      </c>
      <c r="B15" s="12" t="s">
        <v>157</v>
      </c>
      <c r="C15" s="12" t="s">
        <v>48</v>
      </c>
      <c r="D15" s="13" t="s">
        <v>1159</v>
      </c>
      <c r="E15" s="12" t="s">
        <v>144</v>
      </c>
      <c r="F15" s="12" t="s">
        <v>169</v>
      </c>
      <c r="G15" s="13" t="s">
        <v>1116</v>
      </c>
      <c r="H15" s="12" t="s">
        <v>108</v>
      </c>
      <c r="I15" s="12" t="s">
        <v>123</v>
      </c>
      <c r="J15" s="14" t="s">
        <v>144</v>
      </c>
      <c r="K15" s="13" t="s">
        <v>1144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1160</v>
      </c>
      <c r="B16" s="12" t="s">
        <v>167</v>
      </c>
      <c r="C16" s="12" t="s">
        <v>48</v>
      </c>
      <c r="D16" s="13" t="s">
        <v>1161</v>
      </c>
      <c r="E16" s="12" t="s">
        <v>144</v>
      </c>
      <c r="F16" s="12" t="s">
        <v>174</v>
      </c>
      <c r="G16" s="13" t="s">
        <v>1116</v>
      </c>
      <c r="H16" s="12" t="s">
        <v>108</v>
      </c>
      <c r="I16" s="12" t="s">
        <v>123</v>
      </c>
      <c r="J16" s="14" t="s">
        <v>144</v>
      </c>
      <c r="K16" s="13" t="s">
        <v>1144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1162</v>
      </c>
      <c r="B17" s="12" t="s">
        <v>172</v>
      </c>
      <c r="C17" s="12" t="s">
        <v>1163</v>
      </c>
      <c r="D17" s="13" t="s">
        <v>1164</v>
      </c>
      <c r="E17" s="12" t="s">
        <v>144</v>
      </c>
      <c r="F17" s="12" t="s">
        <v>179</v>
      </c>
      <c r="G17" s="13" t="s">
        <v>1122</v>
      </c>
      <c r="H17" s="12" t="s">
        <v>108</v>
      </c>
      <c r="I17" s="12" t="s">
        <v>122</v>
      </c>
      <c r="J17" s="14" t="s">
        <v>144</v>
      </c>
      <c r="K17" s="13" t="s">
        <v>1144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1165</v>
      </c>
      <c r="B18" s="12" t="s">
        <v>177</v>
      </c>
      <c r="C18" s="12" t="s">
        <v>48</v>
      </c>
      <c r="D18" s="13" t="s">
        <v>1166</v>
      </c>
      <c r="E18" s="12" t="s">
        <v>144</v>
      </c>
      <c r="F18" s="12" t="s">
        <v>185</v>
      </c>
      <c r="G18" s="13" t="s">
        <v>1125</v>
      </c>
      <c r="H18" s="12" t="s">
        <v>108</v>
      </c>
      <c r="I18" s="12" t="s">
        <v>122</v>
      </c>
      <c r="J18" s="14" t="s">
        <v>144</v>
      </c>
      <c r="K18" s="13" t="s">
        <v>1144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1167</v>
      </c>
      <c r="B19" s="12" t="s">
        <v>197</v>
      </c>
      <c r="C19" s="12" t="s">
        <v>48</v>
      </c>
      <c r="D19" s="13" t="s">
        <v>1168</v>
      </c>
      <c r="E19" s="12" t="s">
        <v>144</v>
      </c>
      <c r="F19" s="12" t="s">
        <v>185</v>
      </c>
      <c r="G19" s="13" t="s">
        <v>1125</v>
      </c>
      <c r="H19" s="12" t="s">
        <v>108</v>
      </c>
      <c r="I19" s="12" t="s">
        <v>122</v>
      </c>
      <c r="J19" s="14" t="s">
        <v>144</v>
      </c>
      <c r="K19" s="13" t="s">
        <v>1169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1170</v>
      </c>
      <c r="B20" s="12" t="s">
        <v>201</v>
      </c>
      <c r="C20" s="12" t="s">
        <v>48</v>
      </c>
      <c r="D20" s="13" t="s">
        <v>1171</v>
      </c>
      <c r="E20" s="12" t="s">
        <v>144</v>
      </c>
      <c r="F20" s="12" t="s">
        <v>203</v>
      </c>
      <c r="G20" s="13" t="s">
        <v>1130</v>
      </c>
      <c r="H20" s="12" t="s">
        <v>108</v>
      </c>
      <c r="I20" s="12" t="s">
        <v>123</v>
      </c>
      <c r="J20" s="14" t="s">
        <v>144</v>
      </c>
      <c r="K20" s="13" t="s">
        <v>1144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1172</v>
      </c>
      <c r="B21" s="12" t="s">
        <v>206</v>
      </c>
      <c r="C21" s="12" t="s">
        <v>48</v>
      </c>
      <c r="D21" s="13" t="s">
        <v>1173</v>
      </c>
      <c r="E21" s="12" t="s">
        <v>144</v>
      </c>
      <c r="F21" s="12" t="s">
        <v>203</v>
      </c>
      <c r="G21" s="13" t="s">
        <v>1133</v>
      </c>
      <c r="H21" s="12" t="s">
        <v>108</v>
      </c>
      <c r="I21" s="12" t="s">
        <v>123</v>
      </c>
      <c r="J21" s="14" t="s">
        <v>144</v>
      </c>
      <c r="K21" s="13" t="s">
        <v>1144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1174</v>
      </c>
      <c r="B22" s="12" t="s">
        <v>210</v>
      </c>
      <c r="C22" s="12" t="s">
        <v>48</v>
      </c>
      <c r="D22" s="13" t="s">
        <v>1175</v>
      </c>
      <c r="E22" s="12" t="s">
        <v>212</v>
      </c>
      <c r="F22" s="12" t="s">
        <v>212</v>
      </c>
      <c r="G22" s="13" t="s">
        <v>213</v>
      </c>
      <c r="H22" s="12" t="s">
        <v>108</v>
      </c>
      <c r="I22" s="12" t="s">
        <v>123</v>
      </c>
      <c r="J22" s="14" t="s">
        <v>144</v>
      </c>
      <c r="K22" s="13" t="s">
        <v>1144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1176</v>
      </c>
      <c r="B23" s="12" t="s">
        <v>632</v>
      </c>
      <c r="C23" s="12" t="s">
        <v>48</v>
      </c>
      <c r="D23" s="13" t="s">
        <v>1177</v>
      </c>
      <c r="E23" s="12" t="s">
        <v>144</v>
      </c>
      <c r="F23" s="12" t="s">
        <v>144</v>
      </c>
      <c r="G23" s="13" t="s">
        <v>1089</v>
      </c>
      <c r="H23" s="12" t="s">
        <v>108</v>
      </c>
      <c r="I23" s="12" t="s">
        <v>123</v>
      </c>
      <c r="J23" s="14" t="s">
        <v>144</v>
      </c>
      <c r="K23" s="13" t="s">
        <v>1144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1178</v>
      </c>
      <c r="B24" s="12" t="s">
        <v>215</v>
      </c>
      <c r="C24" s="12" t="s">
        <v>48</v>
      </c>
      <c r="D24" s="13" t="s">
        <v>1139</v>
      </c>
      <c r="E24" s="12" t="s">
        <v>144</v>
      </c>
      <c r="F24" s="12" t="s">
        <v>144</v>
      </c>
      <c r="G24" s="13" t="s">
        <v>638</v>
      </c>
      <c r="H24" s="12" t="s">
        <v>108</v>
      </c>
      <c r="I24" s="12" t="s">
        <v>123</v>
      </c>
      <c r="J24" s="14" t="s">
        <v>144</v>
      </c>
      <c r="K24" s="13" t="s">
        <v>1144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126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1181</v>
      </c>
      <c r="B9" s="12" t="s">
        <v>141</v>
      </c>
      <c r="C9" s="12" t="s">
        <v>1182</v>
      </c>
      <c r="D9" s="13" t="s">
        <v>1183</v>
      </c>
      <c r="E9" s="12" t="s">
        <v>144</v>
      </c>
      <c r="F9" s="12" t="s">
        <v>145</v>
      </c>
      <c r="G9" s="13" t="s">
        <v>1184</v>
      </c>
      <c r="H9" s="12" t="s">
        <v>108</v>
      </c>
      <c r="I9" s="12" t="s">
        <v>123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1185</v>
      </c>
      <c r="B10" s="12" t="s">
        <v>1186</v>
      </c>
      <c r="C10" s="12" t="s">
        <v>813</v>
      </c>
      <c r="D10" s="13" t="s">
        <v>1187</v>
      </c>
      <c r="E10" s="12" t="s">
        <v>144</v>
      </c>
      <c r="F10" s="12" t="s">
        <v>164</v>
      </c>
      <c r="G10" s="13" t="s">
        <v>1188</v>
      </c>
      <c r="H10" s="12" t="s">
        <v>108</v>
      </c>
      <c r="I10" s="12" t="s">
        <v>123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1189</v>
      </c>
      <c r="B11" s="12" t="s">
        <v>1146</v>
      </c>
      <c r="C11" s="12" t="s">
        <v>1190</v>
      </c>
      <c r="D11" s="13" t="s">
        <v>1191</v>
      </c>
      <c r="E11" s="12" t="s">
        <v>144</v>
      </c>
      <c r="F11" s="12" t="s">
        <v>169</v>
      </c>
      <c r="G11" s="13" t="s">
        <v>1192</v>
      </c>
      <c r="H11" s="12" t="s">
        <v>108</v>
      </c>
      <c r="I11" s="12" t="s">
        <v>123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1193</v>
      </c>
      <c r="B12" s="12" t="s">
        <v>172</v>
      </c>
      <c r="C12" s="12" t="s">
        <v>1194</v>
      </c>
      <c r="D12" s="13" t="s">
        <v>1195</v>
      </c>
      <c r="E12" s="12" t="s">
        <v>144</v>
      </c>
      <c r="F12" s="12" t="s">
        <v>169</v>
      </c>
      <c r="G12" s="13" t="s">
        <v>1192</v>
      </c>
      <c r="H12" s="12" t="s">
        <v>108</v>
      </c>
      <c r="I12" s="12" t="s">
        <v>123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1196</v>
      </c>
      <c r="B13" s="12" t="s">
        <v>192</v>
      </c>
      <c r="C13" s="12" t="s">
        <v>1197</v>
      </c>
      <c r="D13" s="13" t="s">
        <v>1198</v>
      </c>
      <c r="E13" s="12" t="s">
        <v>144</v>
      </c>
      <c r="F13" s="12" t="s">
        <v>164</v>
      </c>
      <c r="G13" s="13" t="s">
        <v>1188</v>
      </c>
      <c r="H13" s="12" t="s">
        <v>108</v>
      </c>
      <c r="I13" s="12" t="s">
        <v>123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1199</v>
      </c>
      <c r="B14" s="12" t="s">
        <v>148</v>
      </c>
      <c r="C14" s="12" t="s">
        <v>49</v>
      </c>
      <c r="D14" s="13" t="s">
        <v>1200</v>
      </c>
      <c r="E14" s="12" t="s">
        <v>144</v>
      </c>
      <c r="F14" s="12" t="s">
        <v>144</v>
      </c>
      <c r="G14" s="13" t="s">
        <v>150</v>
      </c>
      <c r="H14" s="12" t="s">
        <v>108</v>
      </c>
      <c r="I14" s="12" t="s">
        <v>123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1201</v>
      </c>
      <c r="B15" s="12" t="s">
        <v>152</v>
      </c>
      <c r="C15" s="12" t="s">
        <v>49</v>
      </c>
      <c r="D15" s="13" t="s">
        <v>1202</v>
      </c>
      <c r="E15" s="12" t="s">
        <v>144</v>
      </c>
      <c r="F15" s="12" t="s">
        <v>154</v>
      </c>
      <c r="G15" s="13" t="s">
        <v>1203</v>
      </c>
      <c r="H15" s="12" t="s">
        <v>108</v>
      </c>
      <c r="I15" s="12" t="s">
        <v>123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1204</v>
      </c>
      <c r="B16" s="12" t="s">
        <v>157</v>
      </c>
      <c r="C16" s="12" t="s">
        <v>49</v>
      </c>
      <c r="D16" s="13" t="s">
        <v>1205</v>
      </c>
      <c r="E16" s="12" t="s">
        <v>144</v>
      </c>
      <c r="F16" s="12" t="s">
        <v>159</v>
      </c>
      <c r="G16" s="13" t="s">
        <v>1206</v>
      </c>
      <c r="H16" s="12" t="s">
        <v>108</v>
      </c>
      <c r="I16" s="12" t="s">
        <v>123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1207</v>
      </c>
      <c r="B17" s="12" t="s">
        <v>177</v>
      </c>
      <c r="C17" s="12" t="s">
        <v>49</v>
      </c>
      <c r="D17" s="13" t="s">
        <v>1208</v>
      </c>
      <c r="E17" s="12" t="s">
        <v>144</v>
      </c>
      <c r="F17" s="12" t="s">
        <v>179</v>
      </c>
      <c r="G17" s="13" t="s">
        <v>1209</v>
      </c>
      <c r="H17" s="12" t="s">
        <v>106</v>
      </c>
      <c r="I17" s="12" t="s">
        <v>122</v>
      </c>
      <c r="J17" s="14"/>
      <c r="K17" s="13" t="s">
        <v>1210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1211</v>
      </c>
      <c r="B18" s="12" t="s">
        <v>183</v>
      </c>
      <c r="C18" s="12" t="s">
        <v>49</v>
      </c>
      <c r="D18" s="13" t="s">
        <v>1212</v>
      </c>
      <c r="E18" s="12" t="s">
        <v>144</v>
      </c>
      <c r="F18" s="12" t="s">
        <v>185</v>
      </c>
      <c r="G18" s="13" t="s">
        <v>1213</v>
      </c>
      <c r="H18" s="12" t="s">
        <v>106</v>
      </c>
      <c r="I18" s="12" t="s">
        <v>122</v>
      </c>
      <c r="J18" s="14"/>
      <c r="K18" s="13" t="s">
        <v>1210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1214</v>
      </c>
      <c r="B19" s="12" t="s">
        <v>197</v>
      </c>
      <c r="C19" s="12" t="s">
        <v>49</v>
      </c>
      <c r="D19" s="13" t="s">
        <v>1215</v>
      </c>
      <c r="E19" s="12" t="s">
        <v>144</v>
      </c>
      <c r="F19" s="12" t="s">
        <v>185</v>
      </c>
      <c r="G19" s="13" t="s">
        <v>1213</v>
      </c>
      <c r="H19" s="12" t="s">
        <v>106</v>
      </c>
      <c r="I19" s="12" t="s">
        <v>122</v>
      </c>
      <c r="J19" s="14"/>
      <c r="K19" s="13" t="s">
        <v>1210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1216</v>
      </c>
      <c r="B20" s="12" t="s">
        <v>201</v>
      </c>
      <c r="C20" s="12" t="s">
        <v>49</v>
      </c>
      <c r="D20" s="13" t="s">
        <v>1217</v>
      </c>
      <c r="E20" s="12" t="s">
        <v>144</v>
      </c>
      <c r="F20" s="12" t="s">
        <v>203</v>
      </c>
      <c r="G20" s="13" t="s">
        <v>1218</v>
      </c>
      <c r="H20" s="12" t="s">
        <v>108</v>
      </c>
      <c r="I20" s="12" t="s">
        <v>123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1219</v>
      </c>
      <c r="B21" s="12" t="s">
        <v>206</v>
      </c>
      <c r="C21" s="12" t="s">
        <v>49</v>
      </c>
      <c r="D21" s="13" t="s">
        <v>1220</v>
      </c>
      <c r="E21" s="12" t="s">
        <v>144</v>
      </c>
      <c r="F21" s="12" t="s">
        <v>203</v>
      </c>
      <c r="G21" s="13" t="s">
        <v>1221</v>
      </c>
      <c r="H21" s="12" t="s">
        <v>108</v>
      </c>
      <c r="I21" s="12" t="s">
        <v>123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1222</v>
      </c>
      <c r="B22" s="12" t="s">
        <v>210</v>
      </c>
      <c r="C22" s="12" t="s">
        <v>49</v>
      </c>
      <c r="D22" s="13" t="s">
        <v>1223</v>
      </c>
      <c r="E22" s="12" t="s">
        <v>212</v>
      </c>
      <c r="F22" s="12" t="s">
        <v>212</v>
      </c>
      <c r="G22" s="13" t="s">
        <v>213</v>
      </c>
      <c r="H22" s="12" t="s">
        <v>108</v>
      </c>
      <c r="I22" s="12" t="s">
        <v>123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1224</v>
      </c>
      <c r="B23" s="12" t="s">
        <v>632</v>
      </c>
      <c r="C23" s="12" t="s">
        <v>1225</v>
      </c>
      <c r="D23" s="13" t="s">
        <v>1226</v>
      </c>
      <c r="E23" s="12" t="s">
        <v>144</v>
      </c>
      <c r="F23" s="12" t="s">
        <v>1227</v>
      </c>
      <c r="G23" s="13" t="s">
        <v>1228</v>
      </c>
      <c r="H23" s="12" t="s">
        <v>108</v>
      </c>
      <c r="I23" s="12" t="s">
        <v>123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1229</v>
      </c>
      <c r="B24" s="12" t="s">
        <v>215</v>
      </c>
      <c r="C24" s="12" t="s">
        <v>49</v>
      </c>
      <c r="D24" s="13" t="s">
        <v>1139</v>
      </c>
      <c r="E24" s="12" t="s">
        <v>144</v>
      </c>
      <c r="F24" s="12" t="s">
        <v>144</v>
      </c>
      <c r="G24" s="13" t="s">
        <v>592</v>
      </c>
      <c r="H24" s="12" t="s">
        <v>108</v>
      </c>
      <c r="I24" s="12" t="s">
        <v>123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126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1232</v>
      </c>
      <c r="B9" s="12" t="s">
        <v>141</v>
      </c>
      <c r="C9" s="12" t="s">
        <v>50</v>
      </c>
      <c r="D9" s="13" t="s">
        <v>1233</v>
      </c>
      <c r="E9" s="12" t="s">
        <v>144</v>
      </c>
      <c r="F9" s="12" t="s">
        <v>145</v>
      </c>
      <c r="G9" s="13" t="s">
        <v>1234</v>
      </c>
      <c r="H9" s="12" t="s">
        <v>108</v>
      </c>
      <c r="I9" s="12" t="s">
        <v>123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1235</v>
      </c>
      <c r="B10" s="12" t="s">
        <v>172</v>
      </c>
      <c r="C10" s="12" t="s">
        <v>50</v>
      </c>
      <c r="D10" s="13" t="s">
        <v>1236</v>
      </c>
      <c r="E10" s="12" t="s">
        <v>144</v>
      </c>
      <c r="F10" s="12" t="s">
        <v>164</v>
      </c>
      <c r="G10" s="13" t="s">
        <v>1237</v>
      </c>
      <c r="H10" s="12" t="s">
        <v>108</v>
      </c>
      <c r="I10" s="12" t="s">
        <v>123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1238</v>
      </c>
      <c r="B11" s="12" t="s">
        <v>1146</v>
      </c>
      <c r="C11" s="12" t="s">
        <v>50</v>
      </c>
      <c r="D11" s="13" t="s">
        <v>1239</v>
      </c>
      <c r="E11" s="12" t="s">
        <v>144</v>
      </c>
      <c r="F11" s="12" t="s">
        <v>169</v>
      </c>
      <c r="G11" s="13" t="s">
        <v>1240</v>
      </c>
      <c r="H11" s="12" t="s">
        <v>108</v>
      </c>
      <c r="I11" s="12" t="s">
        <v>123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1241</v>
      </c>
      <c r="B12" s="12" t="s">
        <v>1242</v>
      </c>
      <c r="C12" s="12" t="s">
        <v>50</v>
      </c>
      <c r="D12" s="13" t="s">
        <v>1243</v>
      </c>
      <c r="E12" s="12" t="s">
        <v>144</v>
      </c>
      <c r="F12" s="12" t="s">
        <v>169</v>
      </c>
      <c r="G12" s="13" t="s">
        <v>1240</v>
      </c>
      <c r="H12" s="12" t="s">
        <v>108</v>
      </c>
      <c r="I12" s="12" t="s">
        <v>123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1244</v>
      </c>
      <c r="B13" s="12" t="s">
        <v>1245</v>
      </c>
      <c r="C13" s="12" t="s">
        <v>1246</v>
      </c>
      <c r="D13" s="13" t="s">
        <v>1247</v>
      </c>
      <c r="E13" s="12" t="s">
        <v>144</v>
      </c>
      <c r="F13" s="12" t="s">
        <v>169</v>
      </c>
      <c r="G13" s="13" t="s">
        <v>1248</v>
      </c>
      <c r="H13" s="12" t="s">
        <v>108</v>
      </c>
      <c r="I13" s="12" t="s">
        <v>123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1249</v>
      </c>
      <c r="B14" s="12" t="s">
        <v>192</v>
      </c>
      <c r="C14" s="12" t="s">
        <v>50</v>
      </c>
      <c r="D14" s="13" t="s">
        <v>1250</v>
      </c>
      <c r="E14" s="12" t="s">
        <v>144</v>
      </c>
      <c r="F14" s="12" t="s">
        <v>164</v>
      </c>
      <c r="G14" s="13" t="s">
        <v>1237</v>
      </c>
      <c r="H14" s="12" t="s">
        <v>108</v>
      </c>
      <c r="I14" s="12" t="s">
        <v>123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1251</v>
      </c>
      <c r="B15" s="12" t="s">
        <v>148</v>
      </c>
      <c r="C15" s="12" t="s">
        <v>50</v>
      </c>
      <c r="D15" s="13" t="s">
        <v>1252</v>
      </c>
      <c r="E15" s="12" t="s">
        <v>144</v>
      </c>
      <c r="F15" s="12" t="s">
        <v>144</v>
      </c>
      <c r="G15" s="13" t="s">
        <v>150</v>
      </c>
      <c r="H15" s="12" t="s">
        <v>108</v>
      </c>
      <c r="I15" s="12" t="s">
        <v>123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1253</v>
      </c>
      <c r="B16" s="12" t="s">
        <v>152</v>
      </c>
      <c r="C16" s="12" t="s">
        <v>50</v>
      </c>
      <c r="D16" s="13" t="s">
        <v>1254</v>
      </c>
      <c r="E16" s="12" t="s">
        <v>144</v>
      </c>
      <c r="F16" s="12" t="s">
        <v>154</v>
      </c>
      <c r="G16" s="13" t="s">
        <v>1255</v>
      </c>
      <c r="H16" s="12" t="s">
        <v>108</v>
      </c>
      <c r="I16" s="12" t="s">
        <v>123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1256</v>
      </c>
      <c r="B17" s="12" t="s">
        <v>157</v>
      </c>
      <c r="C17" s="12" t="s">
        <v>50</v>
      </c>
      <c r="D17" s="13" t="s">
        <v>1257</v>
      </c>
      <c r="E17" s="12" t="s">
        <v>144</v>
      </c>
      <c r="F17" s="12" t="s">
        <v>159</v>
      </c>
      <c r="G17" s="13" t="s">
        <v>1258</v>
      </c>
      <c r="H17" s="12" t="s">
        <v>108</v>
      </c>
      <c r="I17" s="12" t="s">
        <v>123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1259</v>
      </c>
      <c r="B18" s="12" t="s">
        <v>177</v>
      </c>
      <c r="C18" s="12" t="s">
        <v>50</v>
      </c>
      <c r="D18" s="13" t="s">
        <v>1260</v>
      </c>
      <c r="E18" s="12" t="s">
        <v>144</v>
      </c>
      <c r="F18" s="12" t="s">
        <v>179</v>
      </c>
      <c r="G18" s="13" t="s">
        <v>1261</v>
      </c>
      <c r="H18" s="12" t="s">
        <v>106</v>
      </c>
      <c r="I18" s="12" t="s">
        <v>122</v>
      </c>
      <c r="J18" s="14"/>
      <c r="K18" s="13" t="s">
        <v>1210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1262</v>
      </c>
      <c r="B19" s="12" t="s">
        <v>183</v>
      </c>
      <c r="C19" s="12" t="s">
        <v>50</v>
      </c>
      <c r="D19" s="13" t="s">
        <v>1263</v>
      </c>
      <c r="E19" s="12" t="s">
        <v>144</v>
      </c>
      <c r="F19" s="12" t="s">
        <v>185</v>
      </c>
      <c r="G19" s="13" t="s">
        <v>1264</v>
      </c>
      <c r="H19" s="12" t="s">
        <v>106</v>
      </c>
      <c r="I19" s="12" t="s">
        <v>122</v>
      </c>
      <c r="J19" s="14"/>
      <c r="K19" s="13" t="s">
        <v>1210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1265</v>
      </c>
      <c r="B20" s="12" t="s">
        <v>197</v>
      </c>
      <c r="C20" s="12" t="s">
        <v>50</v>
      </c>
      <c r="D20" s="13" t="s">
        <v>1266</v>
      </c>
      <c r="E20" s="12" t="s">
        <v>144</v>
      </c>
      <c r="F20" s="12" t="s">
        <v>185</v>
      </c>
      <c r="G20" s="13" t="s">
        <v>1264</v>
      </c>
      <c r="H20" s="12" t="s">
        <v>106</v>
      </c>
      <c r="I20" s="12" t="s">
        <v>122</v>
      </c>
      <c r="J20" s="14"/>
      <c r="K20" s="13" t="s">
        <v>1210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1267</v>
      </c>
      <c r="B21" s="12" t="s">
        <v>201</v>
      </c>
      <c r="C21" s="12" t="s">
        <v>50</v>
      </c>
      <c r="D21" s="13" t="s">
        <v>1268</v>
      </c>
      <c r="E21" s="12" t="s">
        <v>144</v>
      </c>
      <c r="F21" s="12" t="s">
        <v>203</v>
      </c>
      <c r="G21" s="13" t="s">
        <v>1269</v>
      </c>
      <c r="H21" s="12" t="s">
        <v>108</v>
      </c>
      <c r="I21" s="12" t="s">
        <v>123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1270</v>
      </c>
      <c r="B22" s="12" t="s">
        <v>206</v>
      </c>
      <c r="C22" s="12" t="s">
        <v>50</v>
      </c>
      <c r="D22" s="13" t="s">
        <v>1271</v>
      </c>
      <c r="E22" s="12" t="s">
        <v>144</v>
      </c>
      <c r="F22" s="12" t="s">
        <v>203</v>
      </c>
      <c r="G22" s="13" t="s">
        <v>1272</v>
      </c>
      <c r="H22" s="12" t="s">
        <v>108</v>
      </c>
      <c r="I22" s="12" t="s">
        <v>123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1273</v>
      </c>
      <c r="B23" s="12" t="s">
        <v>210</v>
      </c>
      <c r="C23" s="12" t="s">
        <v>50</v>
      </c>
      <c r="D23" s="13" t="s">
        <v>1274</v>
      </c>
      <c r="E23" s="12" t="s">
        <v>212</v>
      </c>
      <c r="F23" s="12" t="s">
        <v>212</v>
      </c>
      <c r="G23" s="13" t="s">
        <v>213</v>
      </c>
      <c r="H23" s="12" t="s">
        <v>108</v>
      </c>
      <c r="I23" s="12" t="s">
        <v>123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1275</v>
      </c>
      <c r="B24" s="12" t="s">
        <v>632</v>
      </c>
      <c r="C24" s="12" t="s">
        <v>1225</v>
      </c>
      <c r="D24" s="13" t="s">
        <v>1276</v>
      </c>
      <c r="E24" s="12" t="s">
        <v>144</v>
      </c>
      <c r="F24" s="12" t="s">
        <v>1227</v>
      </c>
      <c r="G24" s="13" t="s">
        <v>1277</v>
      </c>
      <c r="H24" s="12" t="s">
        <v>108</v>
      </c>
      <c r="I24" s="12" t="s">
        <v>123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1278</v>
      </c>
      <c r="B25" s="12" t="s">
        <v>215</v>
      </c>
      <c r="C25" s="12" t="s">
        <v>50</v>
      </c>
      <c r="D25" s="13" t="s">
        <v>1279</v>
      </c>
      <c r="E25" s="12" t="s">
        <v>144</v>
      </c>
      <c r="F25" s="12" t="s">
        <v>144</v>
      </c>
      <c r="G25" s="13" t="s">
        <v>150</v>
      </c>
      <c r="H25" s="12" t="s">
        <v>108</v>
      </c>
      <c r="I25" s="12" t="s">
        <v>123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1281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126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1282</v>
      </c>
      <c r="B9" s="12" t="s">
        <v>141</v>
      </c>
      <c r="C9" s="12" t="s">
        <v>1283</v>
      </c>
      <c r="D9" s="13" t="s">
        <v>1284</v>
      </c>
      <c r="E9" s="12" t="s">
        <v>144</v>
      </c>
      <c r="F9" s="12" t="s">
        <v>145</v>
      </c>
      <c r="G9" s="13" t="s">
        <v>1285</v>
      </c>
      <c r="H9" s="12" t="s">
        <v>108</v>
      </c>
      <c r="I9" s="12" t="s">
        <v>123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1286</v>
      </c>
      <c r="B10" s="12" t="s">
        <v>1287</v>
      </c>
      <c r="C10" s="12" t="s">
        <v>813</v>
      </c>
      <c r="D10" s="13" t="s">
        <v>1288</v>
      </c>
      <c r="E10" s="12" t="s">
        <v>144</v>
      </c>
      <c r="F10" s="12" t="s">
        <v>1289</v>
      </c>
      <c r="G10" s="13" t="s">
        <v>1290</v>
      </c>
      <c r="H10" s="12" t="s">
        <v>108</v>
      </c>
      <c r="I10" s="12" t="s">
        <v>123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1291</v>
      </c>
      <c r="B11" s="12" t="s">
        <v>1292</v>
      </c>
      <c r="C11" s="12" t="s">
        <v>1099</v>
      </c>
      <c r="D11" s="13" t="s">
        <v>1293</v>
      </c>
      <c r="E11" s="12" t="s">
        <v>144</v>
      </c>
      <c r="F11" s="12" t="s">
        <v>164</v>
      </c>
      <c r="G11" s="13" t="s">
        <v>1294</v>
      </c>
      <c r="H11" s="12" t="s">
        <v>108</v>
      </c>
      <c r="I11" s="12" t="s">
        <v>123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1295</v>
      </c>
      <c r="B12" s="12" t="s">
        <v>1296</v>
      </c>
      <c r="C12" s="12" t="s">
        <v>1296</v>
      </c>
      <c r="D12" s="13" t="s">
        <v>1297</v>
      </c>
      <c r="E12" s="12" t="s">
        <v>144</v>
      </c>
      <c r="F12" s="12" t="s">
        <v>169</v>
      </c>
      <c r="G12" s="13" t="s">
        <v>1298</v>
      </c>
      <c r="H12" s="12" t="s">
        <v>108</v>
      </c>
      <c r="I12" s="12" t="s">
        <v>123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1299</v>
      </c>
      <c r="B13" s="12" t="s">
        <v>1300</v>
      </c>
      <c r="C13" s="12" t="s">
        <v>1099</v>
      </c>
      <c r="D13" s="13" t="s">
        <v>1301</v>
      </c>
      <c r="E13" s="12" t="s">
        <v>144</v>
      </c>
      <c r="F13" s="12" t="s">
        <v>169</v>
      </c>
      <c r="G13" s="13" t="s">
        <v>1298</v>
      </c>
      <c r="H13" s="12" t="s">
        <v>108</v>
      </c>
      <c r="I13" s="12" t="s">
        <v>123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1302</v>
      </c>
      <c r="B14" s="12" t="s">
        <v>1303</v>
      </c>
      <c r="C14" s="12" t="s">
        <v>1099</v>
      </c>
      <c r="D14" s="13" t="s">
        <v>1304</v>
      </c>
      <c r="E14" s="12" t="s">
        <v>144</v>
      </c>
      <c r="F14" s="12" t="s">
        <v>169</v>
      </c>
      <c r="G14" s="13" t="s">
        <v>1298</v>
      </c>
      <c r="H14" s="12" t="s">
        <v>108</v>
      </c>
      <c r="I14" s="12" t="s">
        <v>123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1305</v>
      </c>
      <c r="B15" s="12" t="s">
        <v>1306</v>
      </c>
      <c r="C15" s="12" t="s">
        <v>813</v>
      </c>
      <c r="D15" s="13" t="s">
        <v>1307</v>
      </c>
      <c r="E15" s="12" t="s">
        <v>144</v>
      </c>
      <c r="F15" s="12" t="s">
        <v>169</v>
      </c>
      <c r="G15" s="13" t="s">
        <v>1298</v>
      </c>
      <c r="H15" s="12" t="s">
        <v>108</v>
      </c>
      <c r="I15" s="12" t="s">
        <v>123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1308</v>
      </c>
      <c r="B16" s="12" t="s">
        <v>172</v>
      </c>
      <c r="C16" s="12" t="s">
        <v>1309</v>
      </c>
      <c r="D16" s="13" t="s">
        <v>1310</v>
      </c>
      <c r="E16" s="12" t="s">
        <v>144</v>
      </c>
      <c r="F16" s="12" t="s">
        <v>169</v>
      </c>
      <c r="G16" s="13" t="s">
        <v>1298</v>
      </c>
      <c r="H16" s="12" t="s">
        <v>108</v>
      </c>
      <c r="I16" s="12" t="s">
        <v>123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1311</v>
      </c>
      <c r="B17" s="12" t="s">
        <v>192</v>
      </c>
      <c r="C17" s="12" t="s">
        <v>1197</v>
      </c>
      <c r="D17" s="13" t="s">
        <v>1312</v>
      </c>
      <c r="E17" s="12" t="s">
        <v>144</v>
      </c>
      <c r="F17" s="12" t="s">
        <v>164</v>
      </c>
      <c r="G17" s="13" t="s">
        <v>1313</v>
      </c>
      <c r="H17" s="12" t="s">
        <v>108</v>
      </c>
      <c r="I17" s="12" t="s">
        <v>123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1314</v>
      </c>
      <c r="B18" s="12" t="s">
        <v>148</v>
      </c>
      <c r="C18" s="12" t="s">
        <v>51</v>
      </c>
      <c r="D18" s="13" t="s">
        <v>1315</v>
      </c>
      <c r="E18" s="12" t="s">
        <v>144</v>
      </c>
      <c r="F18" s="12" t="s">
        <v>144</v>
      </c>
      <c r="G18" s="13" t="s">
        <v>150</v>
      </c>
      <c r="H18" s="12" t="s">
        <v>108</v>
      </c>
      <c r="I18" s="12" t="s">
        <v>123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1316</v>
      </c>
      <c r="B19" s="12" t="s">
        <v>152</v>
      </c>
      <c r="C19" s="12" t="s">
        <v>51</v>
      </c>
      <c r="D19" s="13" t="s">
        <v>1317</v>
      </c>
      <c r="E19" s="12" t="s">
        <v>144</v>
      </c>
      <c r="F19" s="12" t="s">
        <v>154</v>
      </c>
      <c r="G19" s="13" t="s">
        <v>1318</v>
      </c>
      <c r="H19" s="12" t="s">
        <v>108</v>
      </c>
      <c r="I19" s="12" t="s">
        <v>123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1319</v>
      </c>
      <c r="B20" s="12" t="s">
        <v>157</v>
      </c>
      <c r="C20" s="12" t="s">
        <v>51</v>
      </c>
      <c r="D20" s="13" t="s">
        <v>1320</v>
      </c>
      <c r="E20" s="12" t="s">
        <v>144</v>
      </c>
      <c r="F20" s="12" t="s">
        <v>159</v>
      </c>
      <c r="G20" s="13" t="s">
        <v>1321</v>
      </c>
      <c r="H20" s="12" t="s">
        <v>108</v>
      </c>
      <c r="I20" s="12" t="s">
        <v>123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1322</v>
      </c>
      <c r="B21" s="12" t="s">
        <v>1323</v>
      </c>
      <c r="C21" s="12" t="s">
        <v>51</v>
      </c>
      <c r="D21" s="13" t="s">
        <v>1324</v>
      </c>
      <c r="E21" s="12" t="s">
        <v>144</v>
      </c>
      <c r="F21" s="12" t="s">
        <v>144</v>
      </c>
      <c r="G21" s="13" t="s">
        <v>1325</v>
      </c>
      <c r="H21" s="12" t="s">
        <v>108</v>
      </c>
      <c r="I21" s="12" t="s">
        <v>123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1326</v>
      </c>
      <c r="B22" s="12" t="s">
        <v>632</v>
      </c>
      <c r="C22" s="12" t="s">
        <v>51</v>
      </c>
      <c r="D22" s="13" t="s">
        <v>1327</v>
      </c>
      <c r="E22" s="12" t="s">
        <v>144</v>
      </c>
      <c r="F22" s="12" t="s">
        <v>169</v>
      </c>
      <c r="G22" s="13" t="s">
        <v>1328</v>
      </c>
      <c r="H22" s="12" t="s">
        <v>108</v>
      </c>
      <c r="I22" s="12" t="s">
        <v>123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1329</v>
      </c>
      <c r="B23" s="12" t="s">
        <v>177</v>
      </c>
      <c r="C23" s="12" t="s">
        <v>51</v>
      </c>
      <c r="D23" s="13" t="s">
        <v>1330</v>
      </c>
      <c r="E23" s="12" t="s">
        <v>144</v>
      </c>
      <c r="F23" s="12" t="s">
        <v>179</v>
      </c>
      <c r="G23" s="13" t="s">
        <v>1331</v>
      </c>
      <c r="H23" s="12" t="s">
        <v>106</v>
      </c>
      <c r="I23" s="12" t="s">
        <v>122</v>
      </c>
      <c r="J23" s="14"/>
      <c r="K23" s="13" t="s">
        <v>1332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1333</v>
      </c>
      <c r="B24" s="12" t="s">
        <v>183</v>
      </c>
      <c r="C24" s="12" t="s">
        <v>51</v>
      </c>
      <c r="D24" s="13" t="s">
        <v>1334</v>
      </c>
      <c r="E24" s="12" t="s">
        <v>144</v>
      </c>
      <c r="F24" s="12" t="s">
        <v>185</v>
      </c>
      <c r="G24" s="13" t="s">
        <v>1335</v>
      </c>
      <c r="H24" s="12" t="s">
        <v>106</v>
      </c>
      <c r="I24" s="12" t="s">
        <v>122</v>
      </c>
      <c r="J24" s="14"/>
      <c r="K24" s="13" t="s">
        <v>1332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1336</v>
      </c>
      <c r="B25" s="12" t="s">
        <v>197</v>
      </c>
      <c r="C25" s="12" t="s">
        <v>51</v>
      </c>
      <c r="D25" s="13" t="s">
        <v>1337</v>
      </c>
      <c r="E25" s="12" t="s">
        <v>144</v>
      </c>
      <c r="F25" s="12" t="s">
        <v>185</v>
      </c>
      <c r="G25" s="13" t="s">
        <v>1335</v>
      </c>
      <c r="H25" s="12" t="s">
        <v>106</v>
      </c>
      <c r="I25" s="12" t="s">
        <v>122</v>
      </c>
      <c r="J25" s="14"/>
      <c r="K25" s="13" t="s">
        <v>1332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1338</v>
      </c>
      <c r="B26" s="12" t="s">
        <v>201</v>
      </c>
      <c r="C26" s="12" t="s">
        <v>51</v>
      </c>
      <c r="D26" s="13" t="s">
        <v>1339</v>
      </c>
      <c r="E26" s="12" t="s">
        <v>144</v>
      </c>
      <c r="F26" s="12" t="s">
        <v>203</v>
      </c>
      <c r="G26" s="13" t="s">
        <v>1340</v>
      </c>
      <c r="H26" s="12" t="s">
        <v>108</v>
      </c>
      <c r="I26" s="12" t="s">
        <v>123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1341</v>
      </c>
      <c r="B27" s="12" t="s">
        <v>206</v>
      </c>
      <c r="C27" s="12" t="s">
        <v>51</v>
      </c>
      <c r="D27" s="13" t="s">
        <v>1342</v>
      </c>
      <c r="E27" s="12" t="s">
        <v>144</v>
      </c>
      <c r="F27" s="12" t="s">
        <v>203</v>
      </c>
      <c r="G27" s="13" t="s">
        <v>1343</v>
      </c>
      <c r="H27" s="12" t="s">
        <v>108</v>
      </c>
      <c r="I27" s="12" t="s">
        <v>123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1344</v>
      </c>
      <c r="B28" s="12" t="s">
        <v>210</v>
      </c>
      <c r="C28" s="12" t="s">
        <v>51</v>
      </c>
      <c r="D28" s="13" t="s">
        <v>1345</v>
      </c>
      <c r="E28" s="12" t="s">
        <v>212</v>
      </c>
      <c r="F28" s="12" t="s">
        <v>212</v>
      </c>
      <c r="G28" s="13" t="s">
        <v>213</v>
      </c>
      <c r="H28" s="12" t="s">
        <v>108</v>
      </c>
      <c r="I28" s="12" t="s">
        <v>123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1346</v>
      </c>
      <c r="B29" s="12" t="s">
        <v>1225</v>
      </c>
      <c r="C29" s="12" t="s">
        <v>51</v>
      </c>
      <c r="D29" s="13" t="s">
        <v>1347</v>
      </c>
      <c r="E29" s="12" t="s">
        <v>144</v>
      </c>
      <c r="F29" s="12" t="s">
        <v>1227</v>
      </c>
      <c r="G29" s="13" t="s">
        <v>1348</v>
      </c>
      <c r="H29" s="12" t="s">
        <v>108</v>
      </c>
      <c r="I29" s="12" t="s">
        <v>123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1349</v>
      </c>
      <c r="B30" s="12" t="s">
        <v>215</v>
      </c>
      <c r="C30" s="12" t="s">
        <v>51</v>
      </c>
      <c r="D30" s="13" t="s">
        <v>1350</v>
      </c>
      <c r="E30" s="12" t="s">
        <v>144</v>
      </c>
      <c r="F30" s="12" t="s">
        <v>144</v>
      </c>
      <c r="G30" s="13" t="s">
        <v>150</v>
      </c>
      <c r="H30" s="12" t="s">
        <v>108</v>
      </c>
      <c r="I30" s="12" t="s">
        <v>123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126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587</v>
      </c>
      <c r="B9" s="12" t="s">
        <v>141</v>
      </c>
      <c r="C9" s="12" t="s">
        <v>793</v>
      </c>
      <c r="D9" s="13" t="s">
        <v>1353</v>
      </c>
      <c r="E9" s="12" t="s">
        <v>144</v>
      </c>
      <c r="F9" s="12" t="s">
        <v>145</v>
      </c>
      <c r="G9" s="13" t="s">
        <v>1354</v>
      </c>
      <c r="H9" s="12" t="s">
        <v>108</v>
      </c>
      <c r="I9" s="12" t="s">
        <v>123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590</v>
      </c>
      <c r="B10" s="12" t="s">
        <v>1355</v>
      </c>
      <c r="C10" s="12" t="s">
        <v>1356</v>
      </c>
      <c r="D10" s="13" t="s">
        <v>1357</v>
      </c>
      <c r="E10" s="12" t="s">
        <v>144</v>
      </c>
      <c r="F10" s="12" t="s">
        <v>164</v>
      </c>
      <c r="G10" s="13" t="s">
        <v>1358</v>
      </c>
      <c r="H10" s="12" t="s">
        <v>108</v>
      </c>
      <c r="I10" s="12" t="s">
        <v>123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593</v>
      </c>
      <c r="B11" s="12" t="s">
        <v>148</v>
      </c>
      <c r="C11" s="12" t="s">
        <v>52</v>
      </c>
      <c r="D11" s="13" t="s">
        <v>1359</v>
      </c>
      <c r="E11" s="12" t="s">
        <v>144</v>
      </c>
      <c r="F11" s="12" t="s">
        <v>144</v>
      </c>
      <c r="G11" s="13" t="s">
        <v>592</v>
      </c>
      <c r="H11" s="12" t="s">
        <v>108</v>
      </c>
      <c r="I11" s="12" t="s">
        <v>123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596</v>
      </c>
      <c r="B12" s="12" t="s">
        <v>152</v>
      </c>
      <c r="C12" s="12" t="s">
        <v>52</v>
      </c>
      <c r="D12" s="13" t="s">
        <v>1360</v>
      </c>
      <c r="E12" s="12" t="s">
        <v>144</v>
      </c>
      <c r="F12" s="12" t="s">
        <v>154</v>
      </c>
      <c r="G12" s="13" t="s">
        <v>1361</v>
      </c>
      <c r="H12" s="12" t="s">
        <v>108</v>
      </c>
      <c r="I12" s="12" t="s">
        <v>123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599</v>
      </c>
      <c r="B13" s="12" t="s">
        <v>157</v>
      </c>
      <c r="C13" s="12" t="s">
        <v>52</v>
      </c>
      <c r="D13" s="13" t="s">
        <v>1362</v>
      </c>
      <c r="E13" s="12" t="s">
        <v>144</v>
      </c>
      <c r="F13" s="12" t="s">
        <v>159</v>
      </c>
      <c r="G13" s="13" t="s">
        <v>1363</v>
      </c>
      <c r="H13" s="12" t="s">
        <v>108</v>
      </c>
      <c r="I13" s="12" t="s">
        <v>123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602</v>
      </c>
      <c r="B14" s="12" t="s">
        <v>162</v>
      </c>
      <c r="C14" s="12" t="s">
        <v>52</v>
      </c>
      <c r="D14" s="13" t="s">
        <v>1364</v>
      </c>
      <c r="E14" s="12" t="s">
        <v>144</v>
      </c>
      <c r="F14" s="12" t="s">
        <v>164</v>
      </c>
      <c r="G14" s="13" t="s">
        <v>1358</v>
      </c>
      <c r="H14" s="12" t="s">
        <v>108</v>
      </c>
      <c r="I14" s="12" t="s">
        <v>123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605</v>
      </c>
      <c r="B15" s="12" t="s">
        <v>167</v>
      </c>
      <c r="C15" s="12" t="s">
        <v>1365</v>
      </c>
      <c r="D15" s="13" t="s">
        <v>1366</v>
      </c>
      <c r="E15" s="12" t="s">
        <v>144</v>
      </c>
      <c r="F15" s="12" t="s">
        <v>169</v>
      </c>
      <c r="G15" s="13" t="s">
        <v>1367</v>
      </c>
      <c r="H15" s="12" t="s">
        <v>108</v>
      </c>
      <c r="I15" s="12" t="s">
        <v>123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607</v>
      </c>
      <c r="B16" s="12" t="s">
        <v>1306</v>
      </c>
      <c r="C16" s="12" t="s">
        <v>1368</v>
      </c>
      <c r="D16" s="13" t="s">
        <v>1369</v>
      </c>
      <c r="E16" s="12" t="s">
        <v>144</v>
      </c>
      <c r="F16" s="12" t="s">
        <v>169</v>
      </c>
      <c r="G16" s="13" t="s">
        <v>1367</v>
      </c>
      <c r="H16" s="12" t="s">
        <v>108</v>
      </c>
      <c r="I16" s="12" t="s">
        <v>123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610</v>
      </c>
      <c r="B17" s="12" t="s">
        <v>172</v>
      </c>
      <c r="C17" s="12" t="s">
        <v>1370</v>
      </c>
      <c r="D17" s="13" t="s">
        <v>1371</v>
      </c>
      <c r="E17" s="12" t="s">
        <v>144</v>
      </c>
      <c r="F17" s="12" t="s">
        <v>174</v>
      </c>
      <c r="G17" s="13" t="s">
        <v>1367</v>
      </c>
      <c r="H17" s="12" t="s">
        <v>108</v>
      </c>
      <c r="I17" s="12" t="s">
        <v>123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614</v>
      </c>
      <c r="B18" s="12" t="s">
        <v>177</v>
      </c>
      <c r="C18" s="12" t="s">
        <v>52</v>
      </c>
      <c r="D18" s="13" t="s">
        <v>1372</v>
      </c>
      <c r="E18" s="12" t="s">
        <v>144</v>
      </c>
      <c r="F18" s="12" t="s">
        <v>179</v>
      </c>
      <c r="G18" s="13" t="s">
        <v>1373</v>
      </c>
      <c r="H18" s="12" t="s">
        <v>110</v>
      </c>
      <c r="I18" s="12" t="s">
        <v>122</v>
      </c>
      <c r="J18" s="14" t="n">
        <v>46229</v>
      </c>
      <c r="K18" s="13" t="s">
        <v>1374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618</v>
      </c>
      <c r="B19" s="12" t="s">
        <v>183</v>
      </c>
      <c r="C19" s="12" t="s">
        <v>52</v>
      </c>
      <c r="D19" s="13" t="s">
        <v>1375</v>
      </c>
      <c r="E19" s="12" t="s">
        <v>144</v>
      </c>
      <c r="F19" s="12" t="s">
        <v>185</v>
      </c>
      <c r="G19" s="13" t="s">
        <v>1376</v>
      </c>
      <c r="H19" s="12" t="s">
        <v>106</v>
      </c>
      <c r="I19" s="12" t="s">
        <v>122</v>
      </c>
      <c r="J19" s="14"/>
      <c r="K19" s="13" t="s">
        <v>916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620</v>
      </c>
      <c r="B20" s="12" t="s">
        <v>189</v>
      </c>
      <c r="C20" s="12" t="s">
        <v>52</v>
      </c>
      <c r="D20" s="13" t="s">
        <v>1377</v>
      </c>
      <c r="E20" s="12" t="s">
        <v>144</v>
      </c>
      <c r="F20" s="12" t="s">
        <v>185</v>
      </c>
      <c r="G20" s="13" t="s">
        <v>1378</v>
      </c>
      <c r="H20" s="12" t="s">
        <v>106</v>
      </c>
      <c r="I20" s="12" t="s">
        <v>122</v>
      </c>
      <c r="J20" s="14"/>
      <c r="K20" s="13" t="s">
        <v>816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623</v>
      </c>
      <c r="B21" s="12" t="s">
        <v>1292</v>
      </c>
      <c r="C21" s="12" t="s">
        <v>793</v>
      </c>
      <c r="D21" s="13" t="s">
        <v>1379</v>
      </c>
      <c r="E21" s="12" t="s">
        <v>144</v>
      </c>
      <c r="F21" s="12" t="s">
        <v>169</v>
      </c>
      <c r="G21" s="13" t="s">
        <v>1380</v>
      </c>
      <c r="H21" s="12" t="s">
        <v>108</v>
      </c>
      <c r="I21" s="12" t="s">
        <v>123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626</v>
      </c>
      <c r="B22" s="12" t="s">
        <v>197</v>
      </c>
      <c r="C22" s="12" t="s">
        <v>52</v>
      </c>
      <c r="D22" s="13" t="s">
        <v>1381</v>
      </c>
      <c r="E22" s="12" t="s">
        <v>144</v>
      </c>
      <c r="F22" s="12" t="s">
        <v>185</v>
      </c>
      <c r="G22" s="13" t="s">
        <v>1376</v>
      </c>
      <c r="H22" s="12" t="s">
        <v>106</v>
      </c>
      <c r="I22" s="12" t="s">
        <v>122</v>
      </c>
      <c r="J22" s="14"/>
      <c r="K22" s="13" t="s">
        <v>921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629</v>
      </c>
      <c r="B23" s="12" t="s">
        <v>201</v>
      </c>
      <c r="C23" s="12" t="s">
        <v>52</v>
      </c>
      <c r="D23" s="13" t="s">
        <v>1382</v>
      </c>
      <c r="E23" s="12" t="s">
        <v>144</v>
      </c>
      <c r="F23" s="12" t="s">
        <v>203</v>
      </c>
      <c r="G23" s="13" t="s">
        <v>1383</v>
      </c>
      <c r="H23" s="12" t="s">
        <v>108</v>
      </c>
      <c r="I23" s="12" t="s">
        <v>123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631</v>
      </c>
      <c r="B24" s="12" t="s">
        <v>206</v>
      </c>
      <c r="C24" s="12" t="s">
        <v>52</v>
      </c>
      <c r="D24" s="13" t="s">
        <v>1384</v>
      </c>
      <c r="E24" s="12" t="s">
        <v>144</v>
      </c>
      <c r="F24" s="12" t="s">
        <v>203</v>
      </c>
      <c r="G24" s="13" t="s">
        <v>1385</v>
      </c>
      <c r="H24" s="12" t="s">
        <v>108</v>
      </c>
      <c r="I24" s="12" t="s">
        <v>123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636</v>
      </c>
      <c r="B25" s="12" t="s">
        <v>210</v>
      </c>
      <c r="C25" s="12" t="s">
        <v>52</v>
      </c>
      <c r="D25" s="13" t="s">
        <v>1386</v>
      </c>
      <c r="E25" s="12" t="s">
        <v>212</v>
      </c>
      <c r="F25" s="12" t="s">
        <v>212</v>
      </c>
      <c r="G25" s="13" t="s">
        <v>213</v>
      </c>
      <c r="H25" s="12" t="s">
        <v>108</v>
      </c>
      <c r="I25" s="12" t="s">
        <v>123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1387</v>
      </c>
      <c r="B26" s="12" t="s">
        <v>632</v>
      </c>
      <c r="C26" s="12" t="s">
        <v>52</v>
      </c>
      <c r="D26" s="13" t="s">
        <v>1388</v>
      </c>
      <c r="E26" s="12" t="s">
        <v>144</v>
      </c>
      <c r="F26" s="12" t="s">
        <v>144</v>
      </c>
      <c r="G26" s="13" t="s">
        <v>1389</v>
      </c>
      <c r="H26" s="12" t="s">
        <v>108</v>
      </c>
      <c r="I26" s="12" t="s">
        <v>123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1390</v>
      </c>
      <c r="B27" s="12" t="s">
        <v>215</v>
      </c>
      <c r="C27" s="12" t="s">
        <v>52</v>
      </c>
      <c r="D27" s="13" t="s">
        <v>1391</v>
      </c>
      <c r="E27" s="12" t="s">
        <v>144</v>
      </c>
      <c r="F27" s="12" t="s">
        <v>144</v>
      </c>
      <c r="G27" s="13" t="s">
        <v>1392</v>
      </c>
      <c r="H27" s="12" t="s">
        <v>106</v>
      </c>
      <c r="I27" s="12" t="s">
        <v>122</v>
      </c>
      <c r="J27" s="14"/>
      <c r="K27" s="13" t="s">
        <v>1393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1395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126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782</v>
      </c>
      <c r="B9" s="12" t="s">
        <v>141</v>
      </c>
      <c r="C9" s="12" t="s">
        <v>1396</v>
      </c>
      <c r="D9" s="13" t="s">
        <v>1397</v>
      </c>
      <c r="E9" s="12" t="s">
        <v>144</v>
      </c>
      <c r="F9" s="12" t="s">
        <v>145</v>
      </c>
      <c r="G9" s="13" t="s">
        <v>1398</v>
      </c>
      <c r="H9" s="12" t="s">
        <v>108</v>
      </c>
      <c r="I9" s="12" t="s">
        <v>123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785</v>
      </c>
      <c r="B10" s="12" t="s">
        <v>1355</v>
      </c>
      <c r="C10" s="12" t="s">
        <v>1197</v>
      </c>
      <c r="D10" s="13" t="s">
        <v>1399</v>
      </c>
      <c r="E10" s="12" t="s">
        <v>144</v>
      </c>
      <c r="F10" s="12" t="s">
        <v>164</v>
      </c>
      <c r="G10" s="13" t="s">
        <v>1400</v>
      </c>
      <c r="H10" s="12" t="s">
        <v>108</v>
      </c>
      <c r="I10" s="12" t="s">
        <v>123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788</v>
      </c>
      <c r="B11" s="12" t="s">
        <v>148</v>
      </c>
      <c r="C11" s="12" t="s">
        <v>53</v>
      </c>
      <c r="D11" s="13" t="s">
        <v>1401</v>
      </c>
      <c r="E11" s="12" t="s">
        <v>144</v>
      </c>
      <c r="F11" s="12" t="s">
        <v>144</v>
      </c>
      <c r="G11" s="13" t="s">
        <v>150</v>
      </c>
      <c r="H11" s="12" t="s">
        <v>108</v>
      </c>
      <c r="I11" s="12" t="s">
        <v>123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792</v>
      </c>
      <c r="B12" s="12" t="s">
        <v>152</v>
      </c>
      <c r="C12" s="12" t="s">
        <v>1402</v>
      </c>
      <c r="D12" s="13" t="s">
        <v>1403</v>
      </c>
      <c r="E12" s="12" t="s">
        <v>144</v>
      </c>
      <c r="F12" s="12" t="s">
        <v>154</v>
      </c>
      <c r="G12" s="13" t="s">
        <v>1404</v>
      </c>
      <c r="H12" s="12" t="s">
        <v>108</v>
      </c>
      <c r="I12" s="12" t="s">
        <v>123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796</v>
      </c>
      <c r="B13" s="12" t="s">
        <v>157</v>
      </c>
      <c r="C13" s="12" t="s">
        <v>1405</v>
      </c>
      <c r="D13" s="13" t="s">
        <v>1406</v>
      </c>
      <c r="E13" s="12" t="s">
        <v>144</v>
      </c>
      <c r="F13" s="12" t="s">
        <v>159</v>
      </c>
      <c r="G13" s="13" t="s">
        <v>1407</v>
      </c>
      <c r="H13" s="12" t="s">
        <v>108</v>
      </c>
      <c r="I13" s="12" t="s">
        <v>123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799</v>
      </c>
      <c r="B14" s="12" t="s">
        <v>1408</v>
      </c>
      <c r="C14" s="12" t="s">
        <v>1409</v>
      </c>
      <c r="D14" s="13" t="s">
        <v>1410</v>
      </c>
      <c r="E14" s="12" t="s">
        <v>144</v>
      </c>
      <c r="F14" s="12" t="s">
        <v>164</v>
      </c>
      <c r="G14" s="13" t="s">
        <v>1411</v>
      </c>
      <c r="H14" s="12" t="s">
        <v>108</v>
      </c>
      <c r="I14" s="12" t="s">
        <v>123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802</v>
      </c>
      <c r="B15" s="12" t="s">
        <v>1146</v>
      </c>
      <c r="C15" s="12" t="s">
        <v>1396</v>
      </c>
      <c r="D15" s="13" t="s">
        <v>1412</v>
      </c>
      <c r="E15" s="12" t="s">
        <v>144</v>
      </c>
      <c r="F15" s="12" t="s">
        <v>169</v>
      </c>
      <c r="G15" s="13" t="s">
        <v>1413</v>
      </c>
      <c r="H15" s="12" t="s">
        <v>108</v>
      </c>
      <c r="I15" s="12" t="s">
        <v>123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804</v>
      </c>
      <c r="B16" s="12" t="s">
        <v>1414</v>
      </c>
      <c r="C16" s="12" t="s">
        <v>1415</v>
      </c>
      <c r="D16" s="13" t="s">
        <v>1416</v>
      </c>
      <c r="E16" s="12" t="s">
        <v>144</v>
      </c>
      <c r="F16" s="12" t="s">
        <v>169</v>
      </c>
      <c r="G16" s="13" t="s">
        <v>1417</v>
      </c>
      <c r="H16" s="12" t="s">
        <v>108</v>
      </c>
      <c r="I16" s="12" t="s">
        <v>123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808</v>
      </c>
      <c r="B17" s="12" t="s">
        <v>1418</v>
      </c>
      <c r="C17" s="12" t="s">
        <v>1419</v>
      </c>
      <c r="D17" s="13" t="s">
        <v>1420</v>
      </c>
      <c r="E17" s="12" t="s">
        <v>144</v>
      </c>
      <c r="F17" s="12" t="s">
        <v>169</v>
      </c>
      <c r="G17" s="13" t="s">
        <v>1413</v>
      </c>
      <c r="H17" s="12" t="s">
        <v>108</v>
      </c>
      <c r="I17" s="12" t="s">
        <v>123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812</v>
      </c>
      <c r="B18" s="12" t="s">
        <v>1421</v>
      </c>
      <c r="C18" s="12" t="s">
        <v>1396</v>
      </c>
      <c r="D18" s="13" t="s">
        <v>1422</v>
      </c>
      <c r="E18" s="12" t="s">
        <v>144</v>
      </c>
      <c r="F18" s="12" t="s">
        <v>169</v>
      </c>
      <c r="G18" s="13" t="s">
        <v>1417</v>
      </c>
      <c r="H18" s="12" t="s">
        <v>108</v>
      </c>
      <c r="I18" s="12" t="s">
        <v>123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817</v>
      </c>
      <c r="B19" s="12" t="s">
        <v>192</v>
      </c>
      <c r="C19" s="12" t="s">
        <v>1423</v>
      </c>
      <c r="D19" s="13" t="s">
        <v>1424</v>
      </c>
      <c r="E19" s="12" t="s">
        <v>144</v>
      </c>
      <c r="F19" s="12" t="s">
        <v>164</v>
      </c>
      <c r="G19" s="13" t="s">
        <v>1411</v>
      </c>
      <c r="H19" s="12" t="s">
        <v>108</v>
      </c>
      <c r="I19" s="12" t="s">
        <v>123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820</v>
      </c>
      <c r="B20" s="12" t="s">
        <v>172</v>
      </c>
      <c r="C20" s="12" t="s">
        <v>53</v>
      </c>
      <c r="D20" s="13" t="s">
        <v>1425</v>
      </c>
      <c r="E20" s="12" t="s">
        <v>144</v>
      </c>
      <c r="F20" s="12" t="s">
        <v>174</v>
      </c>
      <c r="G20" s="13" t="s">
        <v>1413</v>
      </c>
      <c r="H20" s="12" t="s">
        <v>108</v>
      </c>
      <c r="I20" s="12" t="s">
        <v>123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823</v>
      </c>
      <c r="B21" s="12" t="s">
        <v>177</v>
      </c>
      <c r="C21" s="12" t="s">
        <v>53</v>
      </c>
      <c r="D21" s="13" t="s">
        <v>1426</v>
      </c>
      <c r="E21" s="12" t="s">
        <v>144</v>
      </c>
      <c r="F21" s="12" t="s">
        <v>179</v>
      </c>
      <c r="G21" s="13" t="s">
        <v>1427</v>
      </c>
      <c r="H21" s="12" t="s">
        <v>106</v>
      </c>
      <c r="I21" s="12" t="s">
        <v>122</v>
      </c>
      <c r="J21" s="14"/>
      <c r="K21" s="13" t="s">
        <v>1428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826</v>
      </c>
      <c r="B22" s="12" t="s">
        <v>183</v>
      </c>
      <c r="C22" s="12" t="s">
        <v>1429</v>
      </c>
      <c r="D22" s="13" t="s">
        <v>1430</v>
      </c>
      <c r="E22" s="12" t="s">
        <v>144</v>
      </c>
      <c r="F22" s="12" t="s">
        <v>185</v>
      </c>
      <c r="G22" s="13" t="s">
        <v>1431</v>
      </c>
      <c r="H22" s="12" t="s">
        <v>106</v>
      </c>
      <c r="I22" s="12" t="s">
        <v>122</v>
      </c>
      <c r="J22" s="14"/>
      <c r="K22" s="13" t="s">
        <v>1432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829</v>
      </c>
      <c r="B23" s="12" t="s">
        <v>1433</v>
      </c>
      <c r="C23" s="12" t="s">
        <v>1099</v>
      </c>
      <c r="D23" s="13" t="s">
        <v>1434</v>
      </c>
      <c r="E23" s="12" t="s">
        <v>144</v>
      </c>
      <c r="F23" s="12" t="s">
        <v>185</v>
      </c>
      <c r="G23" s="13" t="s">
        <v>1435</v>
      </c>
      <c r="H23" s="12" t="s">
        <v>106</v>
      </c>
      <c r="I23" s="12" t="s">
        <v>122</v>
      </c>
      <c r="J23" s="14"/>
      <c r="K23" s="13" t="s">
        <v>1436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832</v>
      </c>
      <c r="B24" s="12" t="s">
        <v>1437</v>
      </c>
      <c r="C24" s="12" t="s">
        <v>53</v>
      </c>
      <c r="D24" s="13" t="s">
        <v>1438</v>
      </c>
      <c r="E24" s="12" t="s">
        <v>144</v>
      </c>
      <c r="F24" s="12" t="s">
        <v>185</v>
      </c>
      <c r="G24" s="13" t="s">
        <v>1431</v>
      </c>
      <c r="H24" s="12" t="s">
        <v>106</v>
      </c>
      <c r="I24" s="12" t="s">
        <v>122</v>
      </c>
      <c r="J24" s="14"/>
      <c r="K24" s="13" t="s">
        <v>1439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962</v>
      </c>
      <c r="B25" s="12" t="s">
        <v>189</v>
      </c>
      <c r="C25" s="12" t="s">
        <v>53</v>
      </c>
      <c r="D25" s="13" t="s">
        <v>564</v>
      </c>
      <c r="E25" s="12" t="s">
        <v>144</v>
      </c>
      <c r="F25" s="12" t="s">
        <v>185</v>
      </c>
      <c r="G25" s="13" t="s">
        <v>1440</v>
      </c>
      <c r="H25" s="12" t="s">
        <v>106</v>
      </c>
      <c r="I25" s="12" t="s">
        <v>122</v>
      </c>
      <c r="J25" s="14"/>
      <c r="K25" s="13" t="s">
        <v>1441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1442</v>
      </c>
      <c r="B26" s="12" t="s">
        <v>197</v>
      </c>
      <c r="C26" s="12" t="s">
        <v>53</v>
      </c>
      <c r="D26" s="13" t="s">
        <v>1443</v>
      </c>
      <c r="E26" s="12" t="s">
        <v>144</v>
      </c>
      <c r="F26" s="12" t="s">
        <v>185</v>
      </c>
      <c r="G26" s="13" t="s">
        <v>1431</v>
      </c>
      <c r="H26" s="12" t="s">
        <v>106</v>
      </c>
      <c r="I26" s="12" t="s">
        <v>122</v>
      </c>
      <c r="J26" s="14"/>
      <c r="K26" s="13" t="s">
        <v>573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1444</v>
      </c>
      <c r="B27" s="12" t="s">
        <v>201</v>
      </c>
      <c r="C27" s="12" t="s">
        <v>53</v>
      </c>
      <c r="D27" s="13" t="s">
        <v>1445</v>
      </c>
      <c r="E27" s="12" t="s">
        <v>144</v>
      </c>
      <c r="F27" s="12" t="s">
        <v>203</v>
      </c>
      <c r="G27" s="13" t="s">
        <v>1446</v>
      </c>
      <c r="H27" s="12" t="s">
        <v>108</v>
      </c>
      <c r="I27" s="12" t="s">
        <v>123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1447</v>
      </c>
      <c r="B28" s="12" t="s">
        <v>206</v>
      </c>
      <c r="C28" s="12" t="s">
        <v>53</v>
      </c>
      <c r="D28" s="13" t="s">
        <v>1448</v>
      </c>
      <c r="E28" s="12" t="s">
        <v>144</v>
      </c>
      <c r="F28" s="12" t="s">
        <v>203</v>
      </c>
      <c r="G28" s="13" t="s">
        <v>1449</v>
      </c>
      <c r="H28" s="12" t="s">
        <v>108</v>
      </c>
      <c r="I28" s="12" t="s">
        <v>123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1450</v>
      </c>
      <c r="B29" s="12" t="s">
        <v>210</v>
      </c>
      <c r="C29" s="12" t="s">
        <v>53</v>
      </c>
      <c r="D29" s="13" t="s">
        <v>1451</v>
      </c>
      <c r="E29" s="12" t="s">
        <v>212</v>
      </c>
      <c r="F29" s="12" t="s">
        <v>212</v>
      </c>
      <c r="G29" s="13" t="s">
        <v>213</v>
      </c>
      <c r="H29" s="12" t="s">
        <v>108</v>
      </c>
      <c r="I29" s="12" t="s">
        <v>123</v>
      </c>
      <c r="J29" s="14" t="s">
        <v>1452</v>
      </c>
      <c r="K29" s="13" t="s">
        <v>1453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1454</v>
      </c>
      <c r="B30" s="12" t="s">
        <v>215</v>
      </c>
      <c r="C30" s="12" t="s">
        <v>53</v>
      </c>
      <c r="D30" s="13" t="s">
        <v>1455</v>
      </c>
      <c r="E30" s="12" t="s">
        <v>144</v>
      </c>
      <c r="F30" s="12" t="s">
        <v>144</v>
      </c>
      <c r="G30" s="13" t="s">
        <v>584</v>
      </c>
      <c r="H30" s="12" t="s">
        <v>108</v>
      </c>
      <c r="I30" s="12" t="s">
        <v>123</v>
      </c>
      <c r="J30" s="14" t="s">
        <v>1452</v>
      </c>
      <c r="K30" s="13" t="s">
        <v>1456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126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1459</v>
      </c>
      <c r="B9" s="12" t="s">
        <v>141</v>
      </c>
      <c r="C9" s="12" t="s">
        <v>1396</v>
      </c>
      <c r="D9" s="13" t="s">
        <v>1460</v>
      </c>
      <c r="E9" s="12" t="s">
        <v>144</v>
      </c>
      <c r="F9" s="12" t="s">
        <v>145</v>
      </c>
      <c r="G9" s="13" t="s">
        <v>1461</v>
      </c>
      <c r="H9" s="12" t="s">
        <v>108</v>
      </c>
      <c r="I9" s="12" t="s">
        <v>123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1462</v>
      </c>
      <c r="B10" s="12" t="s">
        <v>1355</v>
      </c>
      <c r="C10" s="12" t="s">
        <v>1197</v>
      </c>
      <c r="D10" s="13" t="s">
        <v>1399</v>
      </c>
      <c r="E10" s="12" t="s">
        <v>144</v>
      </c>
      <c r="F10" s="12" t="s">
        <v>164</v>
      </c>
      <c r="G10" s="13" t="s">
        <v>1463</v>
      </c>
      <c r="H10" s="12" t="s">
        <v>108</v>
      </c>
      <c r="I10" s="12" t="s">
        <v>123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1464</v>
      </c>
      <c r="B11" s="12" t="s">
        <v>148</v>
      </c>
      <c r="C11" s="12" t="s">
        <v>54</v>
      </c>
      <c r="D11" s="13" t="s">
        <v>1465</v>
      </c>
      <c r="E11" s="12" t="s">
        <v>144</v>
      </c>
      <c r="F11" s="12" t="s">
        <v>144</v>
      </c>
      <c r="G11" s="13" t="s">
        <v>150</v>
      </c>
      <c r="H11" s="12" t="s">
        <v>108</v>
      </c>
      <c r="I11" s="12" t="s">
        <v>123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1466</v>
      </c>
      <c r="B12" s="12" t="s">
        <v>152</v>
      </c>
      <c r="C12" s="12" t="s">
        <v>1402</v>
      </c>
      <c r="D12" s="13" t="s">
        <v>1467</v>
      </c>
      <c r="E12" s="12" t="s">
        <v>144</v>
      </c>
      <c r="F12" s="12" t="s">
        <v>154</v>
      </c>
      <c r="G12" s="13" t="s">
        <v>1468</v>
      </c>
      <c r="H12" s="12" t="s">
        <v>108</v>
      </c>
      <c r="I12" s="12" t="s">
        <v>123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1469</v>
      </c>
      <c r="B13" s="12" t="s">
        <v>157</v>
      </c>
      <c r="C13" s="12" t="s">
        <v>1405</v>
      </c>
      <c r="D13" s="13" t="s">
        <v>1406</v>
      </c>
      <c r="E13" s="12" t="s">
        <v>144</v>
      </c>
      <c r="F13" s="12" t="s">
        <v>159</v>
      </c>
      <c r="G13" s="13" t="s">
        <v>1470</v>
      </c>
      <c r="H13" s="12" t="s">
        <v>108</v>
      </c>
      <c r="I13" s="12" t="s">
        <v>123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1471</v>
      </c>
      <c r="B14" s="12" t="s">
        <v>1408</v>
      </c>
      <c r="C14" s="12" t="s">
        <v>1409</v>
      </c>
      <c r="D14" s="13" t="s">
        <v>1472</v>
      </c>
      <c r="E14" s="12" t="s">
        <v>144</v>
      </c>
      <c r="F14" s="12" t="s">
        <v>164</v>
      </c>
      <c r="G14" s="13" t="s">
        <v>1473</v>
      </c>
      <c r="H14" s="12" t="s">
        <v>108</v>
      </c>
      <c r="I14" s="12" t="s">
        <v>123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1474</v>
      </c>
      <c r="B15" s="12" t="s">
        <v>1146</v>
      </c>
      <c r="C15" s="12" t="s">
        <v>1396</v>
      </c>
      <c r="D15" s="13" t="s">
        <v>1412</v>
      </c>
      <c r="E15" s="12" t="s">
        <v>144</v>
      </c>
      <c r="F15" s="12" t="s">
        <v>169</v>
      </c>
      <c r="G15" s="13" t="s">
        <v>1475</v>
      </c>
      <c r="H15" s="12" t="s">
        <v>108</v>
      </c>
      <c r="I15" s="12" t="s">
        <v>123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1476</v>
      </c>
      <c r="B16" s="12" t="s">
        <v>1414</v>
      </c>
      <c r="C16" s="12" t="s">
        <v>1415</v>
      </c>
      <c r="D16" s="13" t="s">
        <v>1477</v>
      </c>
      <c r="E16" s="12" t="s">
        <v>144</v>
      </c>
      <c r="F16" s="12" t="s">
        <v>169</v>
      </c>
      <c r="G16" s="13" t="s">
        <v>1478</v>
      </c>
      <c r="H16" s="12" t="s">
        <v>108</v>
      </c>
      <c r="I16" s="12" t="s">
        <v>123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1479</v>
      </c>
      <c r="B17" s="12" t="s">
        <v>1418</v>
      </c>
      <c r="C17" s="12" t="s">
        <v>1419</v>
      </c>
      <c r="D17" s="13" t="s">
        <v>1420</v>
      </c>
      <c r="E17" s="12" t="s">
        <v>144</v>
      </c>
      <c r="F17" s="12" t="s">
        <v>169</v>
      </c>
      <c r="G17" s="13" t="s">
        <v>1475</v>
      </c>
      <c r="H17" s="12" t="s">
        <v>108</v>
      </c>
      <c r="I17" s="12" t="s">
        <v>123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1480</v>
      </c>
      <c r="B18" s="12" t="s">
        <v>1421</v>
      </c>
      <c r="C18" s="12" t="s">
        <v>1396</v>
      </c>
      <c r="D18" s="13" t="s">
        <v>1481</v>
      </c>
      <c r="E18" s="12" t="s">
        <v>144</v>
      </c>
      <c r="F18" s="12" t="s">
        <v>169</v>
      </c>
      <c r="G18" s="13" t="s">
        <v>1478</v>
      </c>
      <c r="H18" s="12" t="s">
        <v>108</v>
      </c>
      <c r="I18" s="12" t="s">
        <v>123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1482</v>
      </c>
      <c r="B19" s="12" t="s">
        <v>192</v>
      </c>
      <c r="C19" s="12" t="s">
        <v>1423</v>
      </c>
      <c r="D19" s="13" t="s">
        <v>1424</v>
      </c>
      <c r="E19" s="12" t="s">
        <v>144</v>
      </c>
      <c r="F19" s="12" t="s">
        <v>164</v>
      </c>
      <c r="G19" s="13" t="s">
        <v>1473</v>
      </c>
      <c r="H19" s="12" t="s">
        <v>108</v>
      </c>
      <c r="I19" s="12" t="s">
        <v>123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1483</v>
      </c>
      <c r="B20" s="12" t="s">
        <v>172</v>
      </c>
      <c r="C20" s="12" t="s">
        <v>54</v>
      </c>
      <c r="D20" s="13" t="s">
        <v>1484</v>
      </c>
      <c r="E20" s="12" t="s">
        <v>144</v>
      </c>
      <c r="F20" s="12" t="s">
        <v>174</v>
      </c>
      <c r="G20" s="13" t="s">
        <v>1475</v>
      </c>
      <c r="H20" s="12" t="s">
        <v>108</v>
      </c>
      <c r="I20" s="12" t="s">
        <v>123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1485</v>
      </c>
      <c r="B21" s="12" t="s">
        <v>177</v>
      </c>
      <c r="C21" s="12" t="s">
        <v>54</v>
      </c>
      <c r="D21" s="13" t="s">
        <v>1426</v>
      </c>
      <c r="E21" s="12" t="s">
        <v>144</v>
      </c>
      <c r="F21" s="12" t="s">
        <v>179</v>
      </c>
      <c r="G21" s="13" t="s">
        <v>1486</v>
      </c>
      <c r="H21" s="12" t="s">
        <v>106</v>
      </c>
      <c r="I21" s="12" t="s">
        <v>122</v>
      </c>
      <c r="J21" s="14"/>
      <c r="K21" s="13" t="s">
        <v>1428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1487</v>
      </c>
      <c r="B22" s="12" t="s">
        <v>183</v>
      </c>
      <c r="C22" s="12" t="s">
        <v>1429</v>
      </c>
      <c r="D22" s="13" t="s">
        <v>1430</v>
      </c>
      <c r="E22" s="12" t="s">
        <v>144</v>
      </c>
      <c r="F22" s="12" t="s">
        <v>185</v>
      </c>
      <c r="G22" s="13" t="s">
        <v>1488</v>
      </c>
      <c r="H22" s="12" t="s">
        <v>106</v>
      </c>
      <c r="I22" s="12" t="s">
        <v>122</v>
      </c>
      <c r="J22" s="14"/>
      <c r="K22" s="13" t="s">
        <v>1432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1489</v>
      </c>
      <c r="B23" s="12" t="s">
        <v>1433</v>
      </c>
      <c r="C23" s="12" t="s">
        <v>1099</v>
      </c>
      <c r="D23" s="13" t="s">
        <v>1490</v>
      </c>
      <c r="E23" s="12" t="s">
        <v>144</v>
      </c>
      <c r="F23" s="12" t="s">
        <v>185</v>
      </c>
      <c r="G23" s="13" t="s">
        <v>1491</v>
      </c>
      <c r="H23" s="12" t="s">
        <v>106</v>
      </c>
      <c r="I23" s="12" t="s">
        <v>122</v>
      </c>
      <c r="J23" s="14"/>
      <c r="K23" s="13" t="s">
        <v>1436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1492</v>
      </c>
      <c r="B24" s="12" t="s">
        <v>1437</v>
      </c>
      <c r="C24" s="12" t="s">
        <v>54</v>
      </c>
      <c r="D24" s="13" t="s">
        <v>1438</v>
      </c>
      <c r="E24" s="12" t="s">
        <v>144</v>
      </c>
      <c r="F24" s="12" t="s">
        <v>185</v>
      </c>
      <c r="G24" s="13" t="s">
        <v>1488</v>
      </c>
      <c r="H24" s="12" t="s">
        <v>106</v>
      </c>
      <c r="I24" s="12" t="s">
        <v>122</v>
      </c>
      <c r="J24" s="14"/>
      <c r="K24" s="13" t="s">
        <v>1439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1493</v>
      </c>
      <c r="B25" s="12" t="s">
        <v>189</v>
      </c>
      <c r="C25" s="12" t="s">
        <v>54</v>
      </c>
      <c r="D25" s="13" t="s">
        <v>564</v>
      </c>
      <c r="E25" s="12" t="s">
        <v>144</v>
      </c>
      <c r="F25" s="12" t="s">
        <v>185</v>
      </c>
      <c r="G25" s="13" t="s">
        <v>1494</v>
      </c>
      <c r="H25" s="12" t="s">
        <v>106</v>
      </c>
      <c r="I25" s="12" t="s">
        <v>122</v>
      </c>
      <c r="J25" s="14"/>
      <c r="K25" s="13" t="s">
        <v>1441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1495</v>
      </c>
      <c r="B26" s="12" t="s">
        <v>197</v>
      </c>
      <c r="C26" s="12" t="s">
        <v>54</v>
      </c>
      <c r="D26" s="13" t="s">
        <v>1496</v>
      </c>
      <c r="E26" s="12" t="s">
        <v>144</v>
      </c>
      <c r="F26" s="12" t="s">
        <v>185</v>
      </c>
      <c r="G26" s="13" t="s">
        <v>1488</v>
      </c>
      <c r="H26" s="12" t="s">
        <v>106</v>
      </c>
      <c r="I26" s="12" t="s">
        <v>122</v>
      </c>
      <c r="J26" s="14"/>
      <c r="K26" s="13" t="s">
        <v>573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1497</v>
      </c>
      <c r="B27" s="12" t="s">
        <v>201</v>
      </c>
      <c r="C27" s="12" t="s">
        <v>54</v>
      </c>
      <c r="D27" s="13" t="s">
        <v>1445</v>
      </c>
      <c r="E27" s="12" t="s">
        <v>144</v>
      </c>
      <c r="F27" s="12" t="s">
        <v>203</v>
      </c>
      <c r="G27" s="13" t="s">
        <v>1498</v>
      </c>
      <c r="H27" s="12" t="s">
        <v>108</v>
      </c>
      <c r="I27" s="12" t="s">
        <v>123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1499</v>
      </c>
      <c r="B28" s="12" t="s">
        <v>206</v>
      </c>
      <c r="C28" s="12" t="s">
        <v>54</v>
      </c>
      <c r="D28" s="13" t="s">
        <v>1500</v>
      </c>
      <c r="E28" s="12" t="s">
        <v>144</v>
      </c>
      <c r="F28" s="12" t="s">
        <v>203</v>
      </c>
      <c r="G28" s="13" t="s">
        <v>1501</v>
      </c>
      <c r="H28" s="12" t="s">
        <v>108</v>
      </c>
      <c r="I28" s="12" t="s">
        <v>123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1502</v>
      </c>
      <c r="B29" s="12" t="s">
        <v>210</v>
      </c>
      <c r="C29" s="12" t="s">
        <v>54</v>
      </c>
      <c r="D29" s="13" t="s">
        <v>1503</v>
      </c>
      <c r="E29" s="12" t="s">
        <v>212</v>
      </c>
      <c r="F29" s="12" t="s">
        <v>212</v>
      </c>
      <c r="G29" s="13" t="s">
        <v>213</v>
      </c>
      <c r="H29" s="12" t="s">
        <v>108</v>
      </c>
      <c r="I29" s="12" t="s">
        <v>123</v>
      </c>
      <c r="J29" s="14" t="n">
        <v>46229</v>
      </c>
      <c r="K29" s="13" t="s">
        <v>1453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1504</v>
      </c>
      <c r="B30" s="12" t="s">
        <v>215</v>
      </c>
      <c r="C30" s="12" t="s">
        <v>54</v>
      </c>
      <c r="D30" s="13" t="s">
        <v>1455</v>
      </c>
      <c r="E30" s="12" t="s">
        <v>144</v>
      </c>
      <c r="F30" s="12" t="s">
        <v>144</v>
      </c>
      <c r="G30" s="13" t="s">
        <v>584</v>
      </c>
      <c r="H30" s="12" t="s">
        <v>108</v>
      </c>
      <c r="I30" s="12" t="s">
        <v>123</v>
      </c>
      <c r="J30" s="14" t="n">
        <v>46229</v>
      </c>
      <c r="K30" s="13" t="s">
        <v>1456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126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1507</v>
      </c>
      <c r="B9" s="12" t="s">
        <v>141</v>
      </c>
      <c r="C9" s="12" t="s">
        <v>813</v>
      </c>
      <c r="D9" s="13" t="s">
        <v>1508</v>
      </c>
      <c r="E9" s="12" t="s">
        <v>144</v>
      </c>
      <c r="F9" s="12" t="s">
        <v>145</v>
      </c>
      <c r="G9" s="13" t="s">
        <v>1509</v>
      </c>
      <c r="H9" s="12" t="s">
        <v>108</v>
      </c>
      <c r="I9" s="12" t="s">
        <v>123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1510</v>
      </c>
      <c r="B10" s="12" t="s">
        <v>1355</v>
      </c>
      <c r="C10" s="12" t="s">
        <v>1511</v>
      </c>
      <c r="D10" s="13" t="s">
        <v>1512</v>
      </c>
      <c r="E10" s="12" t="s">
        <v>144</v>
      </c>
      <c r="F10" s="12" t="s">
        <v>164</v>
      </c>
      <c r="G10" s="13" t="s">
        <v>1513</v>
      </c>
      <c r="H10" s="12" t="s">
        <v>108</v>
      </c>
      <c r="I10" s="12" t="s">
        <v>123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1514</v>
      </c>
      <c r="B11" s="12" t="s">
        <v>148</v>
      </c>
      <c r="C11" s="12" t="s">
        <v>55</v>
      </c>
      <c r="D11" s="13" t="s">
        <v>1515</v>
      </c>
      <c r="E11" s="12" t="s">
        <v>144</v>
      </c>
      <c r="F11" s="12" t="s">
        <v>144</v>
      </c>
      <c r="G11" s="13" t="s">
        <v>150</v>
      </c>
      <c r="H11" s="12" t="s">
        <v>108</v>
      </c>
      <c r="I11" s="12" t="s">
        <v>123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1516</v>
      </c>
      <c r="B12" s="12" t="s">
        <v>152</v>
      </c>
      <c r="C12" s="12" t="s">
        <v>1511</v>
      </c>
      <c r="D12" s="13" t="s">
        <v>1517</v>
      </c>
      <c r="E12" s="12" t="s">
        <v>144</v>
      </c>
      <c r="F12" s="12" t="s">
        <v>154</v>
      </c>
      <c r="G12" s="13" t="s">
        <v>1518</v>
      </c>
      <c r="H12" s="12" t="s">
        <v>108</v>
      </c>
      <c r="I12" s="12" t="s">
        <v>123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1519</v>
      </c>
      <c r="B13" s="12" t="s">
        <v>157</v>
      </c>
      <c r="C13" s="12" t="s">
        <v>1511</v>
      </c>
      <c r="D13" s="13" t="s">
        <v>1520</v>
      </c>
      <c r="E13" s="12" t="s">
        <v>144</v>
      </c>
      <c r="F13" s="12" t="s">
        <v>159</v>
      </c>
      <c r="G13" s="13" t="s">
        <v>1521</v>
      </c>
      <c r="H13" s="12" t="s">
        <v>108</v>
      </c>
      <c r="I13" s="12" t="s">
        <v>123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1522</v>
      </c>
      <c r="B14" s="12" t="s">
        <v>1146</v>
      </c>
      <c r="C14" s="12" t="s">
        <v>813</v>
      </c>
      <c r="D14" s="13" t="s">
        <v>1523</v>
      </c>
      <c r="E14" s="12" t="s">
        <v>144</v>
      </c>
      <c r="F14" s="12" t="s">
        <v>169</v>
      </c>
      <c r="G14" s="13" t="s">
        <v>1524</v>
      </c>
      <c r="H14" s="12" t="s">
        <v>108</v>
      </c>
      <c r="I14" s="12" t="s">
        <v>123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1525</v>
      </c>
      <c r="B15" s="12" t="s">
        <v>1526</v>
      </c>
      <c r="C15" s="12" t="s">
        <v>813</v>
      </c>
      <c r="D15" s="13" t="s">
        <v>1527</v>
      </c>
      <c r="E15" s="12" t="s">
        <v>144</v>
      </c>
      <c r="F15" s="12" t="s">
        <v>169</v>
      </c>
      <c r="G15" s="13" t="s">
        <v>1524</v>
      </c>
      <c r="H15" s="12" t="s">
        <v>108</v>
      </c>
      <c r="I15" s="12" t="s">
        <v>123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1528</v>
      </c>
      <c r="B16" s="12" t="s">
        <v>1529</v>
      </c>
      <c r="C16" s="12" t="s">
        <v>813</v>
      </c>
      <c r="D16" s="13" t="s">
        <v>1530</v>
      </c>
      <c r="E16" s="12" t="s">
        <v>144</v>
      </c>
      <c r="F16" s="12" t="s">
        <v>169</v>
      </c>
      <c r="G16" s="13" t="s">
        <v>1531</v>
      </c>
      <c r="H16" s="12" t="s">
        <v>108</v>
      </c>
      <c r="I16" s="12" t="s">
        <v>123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1532</v>
      </c>
      <c r="B17" s="12" t="s">
        <v>1533</v>
      </c>
      <c r="C17" s="12" t="s">
        <v>1511</v>
      </c>
      <c r="D17" s="13" t="s">
        <v>1534</v>
      </c>
      <c r="E17" s="12" t="s">
        <v>144</v>
      </c>
      <c r="F17" s="12" t="s">
        <v>169</v>
      </c>
      <c r="G17" s="13" t="s">
        <v>1524</v>
      </c>
      <c r="H17" s="12" t="s">
        <v>108</v>
      </c>
      <c r="I17" s="12" t="s">
        <v>123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1535</v>
      </c>
      <c r="B18" s="12" t="s">
        <v>1421</v>
      </c>
      <c r="C18" s="12" t="s">
        <v>813</v>
      </c>
      <c r="D18" s="13" t="s">
        <v>1536</v>
      </c>
      <c r="E18" s="12" t="s">
        <v>144</v>
      </c>
      <c r="F18" s="12" t="s">
        <v>169</v>
      </c>
      <c r="G18" s="13" t="s">
        <v>1531</v>
      </c>
      <c r="H18" s="12" t="s">
        <v>108</v>
      </c>
      <c r="I18" s="12" t="s">
        <v>123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1537</v>
      </c>
      <c r="B19" s="12" t="s">
        <v>192</v>
      </c>
      <c r="C19" s="12" t="s">
        <v>813</v>
      </c>
      <c r="D19" s="13" t="s">
        <v>1538</v>
      </c>
      <c r="E19" s="12" t="s">
        <v>144</v>
      </c>
      <c r="F19" s="12" t="s">
        <v>164</v>
      </c>
      <c r="G19" s="13" t="s">
        <v>1539</v>
      </c>
      <c r="H19" s="12" t="s">
        <v>108</v>
      </c>
      <c r="I19" s="12" t="s">
        <v>123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1540</v>
      </c>
      <c r="B20" s="12" t="s">
        <v>172</v>
      </c>
      <c r="C20" s="12" t="s">
        <v>55</v>
      </c>
      <c r="D20" s="13" t="s">
        <v>1541</v>
      </c>
      <c r="E20" s="12" t="s">
        <v>144</v>
      </c>
      <c r="F20" s="12" t="s">
        <v>174</v>
      </c>
      <c r="G20" s="13" t="s">
        <v>1524</v>
      </c>
      <c r="H20" s="12" t="s">
        <v>108</v>
      </c>
      <c r="I20" s="12" t="s">
        <v>123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1542</v>
      </c>
      <c r="B21" s="12" t="s">
        <v>1543</v>
      </c>
      <c r="C21" s="12" t="s">
        <v>813</v>
      </c>
      <c r="D21" s="13" t="s">
        <v>1544</v>
      </c>
      <c r="E21" s="12" t="s">
        <v>144</v>
      </c>
      <c r="F21" s="12" t="s">
        <v>169</v>
      </c>
      <c r="G21" s="13" t="s">
        <v>1545</v>
      </c>
      <c r="H21" s="12" t="s">
        <v>108</v>
      </c>
      <c r="I21" s="12" t="s">
        <v>123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1546</v>
      </c>
      <c r="B22" s="12" t="s">
        <v>177</v>
      </c>
      <c r="C22" s="12" t="s">
        <v>55</v>
      </c>
      <c r="D22" s="13" t="s">
        <v>1547</v>
      </c>
      <c r="E22" s="12" t="s">
        <v>144</v>
      </c>
      <c r="F22" s="12" t="s">
        <v>179</v>
      </c>
      <c r="G22" s="13" t="s">
        <v>1548</v>
      </c>
      <c r="H22" s="12" t="s">
        <v>106</v>
      </c>
      <c r="I22" s="12" t="s">
        <v>122</v>
      </c>
      <c r="J22" s="14"/>
      <c r="K22" s="13" t="s">
        <v>1428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1549</v>
      </c>
      <c r="B23" s="12" t="s">
        <v>183</v>
      </c>
      <c r="C23" s="12" t="s">
        <v>813</v>
      </c>
      <c r="D23" s="13" t="s">
        <v>1550</v>
      </c>
      <c r="E23" s="12" t="s">
        <v>144</v>
      </c>
      <c r="F23" s="12" t="s">
        <v>185</v>
      </c>
      <c r="G23" s="13" t="s">
        <v>1551</v>
      </c>
      <c r="H23" s="12" t="s">
        <v>106</v>
      </c>
      <c r="I23" s="12" t="s">
        <v>122</v>
      </c>
      <c r="J23" s="14"/>
      <c r="K23" s="13" t="s">
        <v>1552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1553</v>
      </c>
      <c r="B24" s="12" t="s">
        <v>189</v>
      </c>
      <c r="C24" s="12" t="s">
        <v>1511</v>
      </c>
      <c r="D24" s="13" t="s">
        <v>564</v>
      </c>
      <c r="E24" s="12" t="s">
        <v>144</v>
      </c>
      <c r="F24" s="12" t="s">
        <v>185</v>
      </c>
      <c r="G24" s="13" t="s">
        <v>1554</v>
      </c>
      <c r="H24" s="12" t="s">
        <v>106</v>
      </c>
      <c r="I24" s="12" t="s">
        <v>122</v>
      </c>
      <c r="J24" s="14"/>
      <c r="K24" s="13" t="s">
        <v>1555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1556</v>
      </c>
      <c r="B25" s="12" t="s">
        <v>1437</v>
      </c>
      <c r="C25" s="12" t="s">
        <v>55</v>
      </c>
      <c r="D25" s="13" t="s">
        <v>1557</v>
      </c>
      <c r="E25" s="12" t="s">
        <v>144</v>
      </c>
      <c r="F25" s="12" t="s">
        <v>185</v>
      </c>
      <c r="G25" s="13" t="s">
        <v>1551</v>
      </c>
      <c r="H25" s="12" t="s">
        <v>106</v>
      </c>
      <c r="I25" s="12" t="s">
        <v>122</v>
      </c>
      <c r="J25" s="14"/>
      <c r="K25" s="13" t="s">
        <v>1439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1558</v>
      </c>
      <c r="B26" s="12" t="s">
        <v>197</v>
      </c>
      <c r="C26" s="12" t="s">
        <v>55</v>
      </c>
      <c r="D26" s="13" t="s">
        <v>1559</v>
      </c>
      <c r="E26" s="12" t="s">
        <v>144</v>
      </c>
      <c r="F26" s="12" t="s">
        <v>185</v>
      </c>
      <c r="G26" s="13" t="s">
        <v>1551</v>
      </c>
      <c r="H26" s="12" t="s">
        <v>106</v>
      </c>
      <c r="I26" s="12" t="s">
        <v>122</v>
      </c>
      <c r="J26" s="14"/>
      <c r="K26" s="13" t="s">
        <v>573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1560</v>
      </c>
      <c r="B27" s="12" t="s">
        <v>201</v>
      </c>
      <c r="C27" s="12" t="s">
        <v>55</v>
      </c>
      <c r="D27" s="13" t="s">
        <v>1561</v>
      </c>
      <c r="E27" s="12" t="s">
        <v>144</v>
      </c>
      <c r="F27" s="12" t="s">
        <v>203</v>
      </c>
      <c r="G27" s="13" t="s">
        <v>1562</v>
      </c>
      <c r="H27" s="12" t="s">
        <v>108</v>
      </c>
      <c r="I27" s="12" t="s">
        <v>123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1563</v>
      </c>
      <c r="B28" s="12" t="s">
        <v>206</v>
      </c>
      <c r="C28" s="12" t="s">
        <v>55</v>
      </c>
      <c r="D28" s="13" t="s">
        <v>1564</v>
      </c>
      <c r="E28" s="12" t="s">
        <v>144</v>
      </c>
      <c r="F28" s="12" t="s">
        <v>203</v>
      </c>
      <c r="G28" s="13" t="s">
        <v>1565</v>
      </c>
      <c r="H28" s="12" t="s">
        <v>108</v>
      </c>
      <c r="I28" s="12" t="s">
        <v>123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1566</v>
      </c>
      <c r="B29" s="12" t="s">
        <v>210</v>
      </c>
      <c r="C29" s="12" t="s">
        <v>55</v>
      </c>
      <c r="D29" s="13" t="s">
        <v>1567</v>
      </c>
      <c r="E29" s="12" t="s">
        <v>212</v>
      </c>
      <c r="F29" s="12" t="s">
        <v>212</v>
      </c>
      <c r="G29" s="13" t="s">
        <v>213</v>
      </c>
      <c r="H29" s="12" t="s">
        <v>108</v>
      </c>
      <c r="I29" s="12" t="s">
        <v>123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1568</v>
      </c>
      <c r="B30" s="12" t="s">
        <v>215</v>
      </c>
      <c r="C30" s="12" t="s">
        <v>55</v>
      </c>
      <c r="D30" s="13" t="s">
        <v>1455</v>
      </c>
      <c r="E30" s="12" t="s">
        <v>144</v>
      </c>
      <c r="F30" s="12" t="s">
        <v>144</v>
      </c>
      <c r="G30" s="13" t="s">
        <v>584</v>
      </c>
      <c r="H30" s="12" t="s">
        <v>108</v>
      </c>
      <c r="I30" s="12" t="s">
        <v>123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126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1571</v>
      </c>
      <c r="B9" s="1" t="s">
        <v>141</v>
      </c>
      <c r="C9" s="1" t="s">
        <v>1572</v>
      </c>
      <c r="D9" s="1" t="s">
        <v>1573</v>
      </c>
      <c r="E9" s="1" t="s">
        <v>144</v>
      </c>
      <c r="F9" s="1" t="s">
        <v>145</v>
      </c>
      <c r="G9" s="1" t="s">
        <v>1574</v>
      </c>
      <c r="H9" s="1" t="s">
        <v>108</v>
      </c>
      <c r="I9" s="1" t="s">
        <v>123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1575</v>
      </c>
      <c r="B10" s="1" t="s">
        <v>1355</v>
      </c>
      <c r="C10" s="1" t="s">
        <v>1572</v>
      </c>
      <c r="D10" s="1" t="s">
        <v>1576</v>
      </c>
      <c r="E10" s="1" t="s">
        <v>144</v>
      </c>
      <c r="F10" s="1" t="s">
        <v>164</v>
      </c>
      <c r="G10" s="1" t="s">
        <v>1577</v>
      </c>
      <c r="H10" s="1" t="s">
        <v>108</v>
      </c>
      <c r="I10" s="1" t="s">
        <v>123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1578</v>
      </c>
      <c r="B11" s="1" t="s">
        <v>148</v>
      </c>
      <c r="C11" s="1" t="s">
        <v>1579</v>
      </c>
      <c r="D11" s="1" t="s">
        <v>1580</v>
      </c>
      <c r="E11" s="1" t="s">
        <v>144</v>
      </c>
      <c r="F11" s="1" t="s">
        <v>144</v>
      </c>
      <c r="G11" s="1" t="s">
        <v>150</v>
      </c>
      <c r="H11" s="1" t="s">
        <v>108</v>
      </c>
      <c r="I11" s="1" t="s">
        <v>123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1581</v>
      </c>
      <c r="B12" s="1" t="s">
        <v>152</v>
      </c>
      <c r="C12" s="1" t="s">
        <v>1572</v>
      </c>
      <c r="D12" s="1" t="s">
        <v>1582</v>
      </c>
      <c r="E12" s="1" t="s">
        <v>144</v>
      </c>
      <c r="F12" s="1" t="s">
        <v>154</v>
      </c>
      <c r="G12" s="1" t="s">
        <v>1583</v>
      </c>
      <c r="H12" s="1" t="s">
        <v>108</v>
      </c>
      <c r="I12" s="1" t="s">
        <v>123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1584</v>
      </c>
      <c r="B13" s="1" t="s">
        <v>157</v>
      </c>
      <c r="C13" s="1" t="s">
        <v>1572</v>
      </c>
      <c r="D13" s="1" t="s">
        <v>1585</v>
      </c>
      <c r="E13" s="1" t="s">
        <v>144</v>
      </c>
      <c r="F13" s="1" t="s">
        <v>159</v>
      </c>
      <c r="G13" s="1" t="s">
        <v>1586</v>
      </c>
      <c r="H13" s="1" t="s">
        <v>108</v>
      </c>
      <c r="I13" s="1" t="s">
        <v>123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1587</v>
      </c>
      <c r="B14" s="1" t="s">
        <v>1588</v>
      </c>
      <c r="C14" s="1" t="s">
        <v>1572</v>
      </c>
      <c r="D14" s="1" t="s">
        <v>1589</v>
      </c>
      <c r="E14" s="1" t="s">
        <v>144</v>
      </c>
      <c r="F14" s="1" t="s">
        <v>169</v>
      </c>
      <c r="G14" s="1" t="s">
        <v>1590</v>
      </c>
      <c r="H14" s="1" t="s">
        <v>108</v>
      </c>
      <c r="I14" s="1" t="s">
        <v>123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1591</v>
      </c>
      <c r="B15" s="1" t="s">
        <v>1592</v>
      </c>
      <c r="C15" s="1" t="s">
        <v>813</v>
      </c>
      <c r="D15" s="1" t="s">
        <v>1593</v>
      </c>
      <c r="E15" s="1" t="s">
        <v>144</v>
      </c>
      <c r="F15" s="1" t="s">
        <v>169</v>
      </c>
      <c r="G15" s="1" t="s">
        <v>1590</v>
      </c>
      <c r="H15" s="1" t="s">
        <v>108</v>
      </c>
      <c r="I15" s="1" t="s">
        <v>123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1594</v>
      </c>
      <c r="B16" s="1" t="s">
        <v>1595</v>
      </c>
      <c r="C16" s="1" t="s">
        <v>1572</v>
      </c>
      <c r="D16" s="1" t="s">
        <v>1596</v>
      </c>
      <c r="E16" s="1" t="s">
        <v>144</v>
      </c>
      <c r="F16" s="1" t="s">
        <v>169</v>
      </c>
      <c r="G16" s="1" t="s">
        <v>1590</v>
      </c>
      <c r="H16" s="1" t="s">
        <v>108</v>
      </c>
      <c r="I16" s="1" t="s">
        <v>123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1597</v>
      </c>
      <c r="B17" s="1" t="s">
        <v>100</v>
      </c>
      <c r="C17" s="1" t="s">
        <v>813</v>
      </c>
      <c r="D17" s="1" t="s">
        <v>1598</v>
      </c>
      <c r="E17" s="1" t="s">
        <v>144</v>
      </c>
      <c r="F17" s="1" t="s">
        <v>164</v>
      </c>
      <c r="G17" s="1" t="s">
        <v>1599</v>
      </c>
      <c r="H17" s="1" t="s">
        <v>108</v>
      </c>
      <c r="I17" s="1" t="s">
        <v>123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1600</v>
      </c>
      <c r="B18" s="1" t="s">
        <v>1601</v>
      </c>
      <c r="C18" s="1" t="s">
        <v>1572</v>
      </c>
      <c r="D18" s="1" t="s">
        <v>1602</v>
      </c>
      <c r="E18" s="1" t="s">
        <v>144</v>
      </c>
      <c r="F18" s="1" t="s">
        <v>169</v>
      </c>
      <c r="G18" s="1" t="s">
        <v>1590</v>
      </c>
      <c r="H18" s="1" t="s">
        <v>108</v>
      </c>
      <c r="I18" s="1" t="s">
        <v>123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1603</v>
      </c>
      <c r="B19" s="1" t="s">
        <v>1604</v>
      </c>
      <c r="C19" s="1" t="s">
        <v>1572</v>
      </c>
      <c r="D19" s="1" t="s">
        <v>1605</v>
      </c>
      <c r="E19" s="1" t="s">
        <v>144</v>
      </c>
      <c r="F19" s="1" t="s">
        <v>169</v>
      </c>
      <c r="G19" s="1" t="s">
        <v>1599</v>
      </c>
      <c r="H19" s="1" t="s">
        <v>108</v>
      </c>
      <c r="I19" s="1" t="s">
        <v>123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1606</v>
      </c>
      <c r="B20" s="1" t="s">
        <v>1421</v>
      </c>
      <c r="C20" s="1" t="s">
        <v>813</v>
      </c>
      <c r="D20" s="1" t="s">
        <v>1607</v>
      </c>
      <c r="E20" s="1" t="s">
        <v>144</v>
      </c>
      <c r="F20" s="1" t="s">
        <v>169</v>
      </c>
      <c r="G20" s="1" t="s">
        <v>1590</v>
      </c>
      <c r="H20" s="1" t="s">
        <v>108</v>
      </c>
      <c r="I20" s="1" t="s">
        <v>123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1608</v>
      </c>
      <c r="B21" s="1" t="s">
        <v>192</v>
      </c>
      <c r="C21" s="1" t="s">
        <v>1572</v>
      </c>
      <c r="D21" s="1" t="s">
        <v>1609</v>
      </c>
      <c r="E21" s="1" t="s">
        <v>144</v>
      </c>
      <c r="F21" s="1" t="s">
        <v>169</v>
      </c>
      <c r="G21" s="1" t="s">
        <v>1590</v>
      </c>
      <c r="H21" s="1" t="s">
        <v>108</v>
      </c>
      <c r="I21" s="1" t="s">
        <v>123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1610</v>
      </c>
      <c r="B22" s="1" t="s">
        <v>172</v>
      </c>
      <c r="C22" s="1" t="s">
        <v>1572</v>
      </c>
      <c r="D22" s="1" t="s">
        <v>1611</v>
      </c>
      <c r="E22" s="1" t="s">
        <v>144</v>
      </c>
      <c r="F22" s="1" t="s">
        <v>174</v>
      </c>
      <c r="G22" s="1" t="s">
        <v>1590</v>
      </c>
      <c r="H22" s="1" t="s">
        <v>108</v>
      </c>
      <c r="I22" s="1" t="s">
        <v>123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1612</v>
      </c>
      <c r="B23" s="1" t="s">
        <v>177</v>
      </c>
      <c r="C23" s="1" t="s">
        <v>1579</v>
      </c>
      <c r="D23" s="1" t="s">
        <v>1613</v>
      </c>
      <c r="E23" s="1" t="s">
        <v>144</v>
      </c>
      <c r="F23" s="1" t="s">
        <v>179</v>
      </c>
      <c r="G23" s="1" t="s">
        <v>1614</v>
      </c>
      <c r="H23" s="1" t="s">
        <v>102</v>
      </c>
      <c r="I23" s="1" t="s">
        <v>122</v>
      </c>
      <c r="J23" s="10" t="n">
        <v>46229</v>
      </c>
      <c r="K23" s="1" t="s">
        <v>1615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1616</v>
      </c>
      <c r="B24" s="1" t="s">
        <v>197</v>
      </c>
      <c r="C24" s="1" t="s">
        <v>1579</v>
      </c>
      <c r="D24" s="1" t="s">
        <v>1617</v>
      </c>
      <c r="E24" s="1" t="s">
        <v>144</v>
      </c>
      <c r="F24" s="1" t="s">
        <v>185</v>
      </c>
      <c r="G24" s="1" t="s">
        <v>1618</v>
      </c>
      <c r="H24" s="1" t="s">
        <v>102</v>
      </c>
      <c r="I24" s="1" t="s">
        <v>122</v>
      </c>
      <c r="J24" s="10" t="n">
        <v>46229</v>
      </c>
      <c r="K24" s="1" t="s">
        <v>1619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1620</v>
      </c>
      <c r="B25" s="1" t="s">
        <v>201</v>
      </c>
      <c r="C25" s="1" t="s">
        <v>1579</v>
      </c>
      <c r="D25" s="1" t="s">
        <v>1621</v>
      </c>
      <c r="E25" s="1" t="s">
        <v>144</v>
      </c>
      <c r="F25" s="1" t="s">
        <v>203</v>
      </c>
      <c r="G25" s="1" t="s">
        <v>1622</v>
      </c>
      <c r="H25" s="1" t="s">
        <v>108</v>
      </c>
      <c r="I25" s="1" t="s">
        <v>123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1623</v>
      </c>
      <c r="B26" s="1" t="s">
        <v>206</v>
      </c>
      <c r="C26" s="1" t="s">
        <v>1579</v>
      </c>
      <c r="D26" s="1" t="s">
        <v>1624</v>
      </c>
      <c r="E26" s="1" t="s">
        <v>144</v>
      </c>
      <c r="F26" s="1" t="s">
        <v>203</v>
      </c>
      <c r="G26" s="1" t="s">
        <v>1625</v>
      </c>
      <c r="H26" s="1" t="s">
        <v>108</v>
      </c>
      <c r="I26" s="1" t="s">
        <v>123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1626</v>
      </c>
      <c r="B27" s="1" t="s">
        <v>210</v>
      </c>
      <c r="C27" s="1" t="s">
        <v>1579</v>
      </c>
      <c r="D27" s="1" t="s">
        <v>1627</v>
      </c>
      <c r="E27" s="1" t="s">
        <v>212</v>
      </c>
      <c r="F27" s="1" t="s">
        <v>212</v>
      </c>
      <c r="G27" s="1" t="s">
        <v>213</v>
      </c>
      <c r="H27" s="1" t="s">
        <v>108</v>
      </c>
      <c r="I27" s="1" t="s">
        <v>123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1628</v>
      </c>
      <c r="B28" s="1" t="s">
        <v>215</v>
      </c>
      <c r="C28" s="1" t="s">
        <v>1579</v>
      </c>
      <c r="D28" s="1" t="s">
        <v>1629</v>
      </c>
      <c r="E28" s="1" t="s">
        <v>144</v>
      </c>
      <c r="F28" s="1" t="s">
        <v>144</v>
      </c>
      <c r="G28" s="1" t="s">
        <v>217</v>
      </c>
      <c r="H28" s="1" t="s">
        <v>108</v>
      </c>
      <c r="I28" s="1" t="s">
        <v>123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126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42" hidden="false" customHeight="true" outlineLevel="0" collapsed="false">
      <c r="A9" s="1" t="s">
        <v>1632</v>
      </c>
      <c r="B9" s="1" t="s">
        <v>141</v>
      </c>
      <c r="C9" s="1" t="s">
        <v>1633</v>
      </c>
      <c r="D9" s="1" t="s">
        <v>1634</v>
      </c>
      <c r="E9" s="1" t="s">
        <v>144</v>
      </c>
      <c r="F9" s="1" t="s">
        <v>145</v>
      </c>
      <c r="G9" s="1" t="s">
        <v>1635</v>
      </c>
      <c r="H9" s="1" t="s">
        <v>108</v>
      </c>
      <c r="I9" s="1" t="s">
        <v>123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1636</v>
      </c>
      <c r="B10" s="1" t="s">
        <v>1355</v>
      </c>
      <c r="C10" s="1" t="s">
        <v>1633</v>
      </c>
      <c r="D10" s="1" t="s">
        <v>1637</v>
      </c>
      <c r="E10" s="1" t="s">
        <v>144</v>
      </c>
      <c r="F10" s="1" t="s">
        <v>164</v>
      </c>
      <c r="G10" s="1" t="s">
        <v>1638</v>
      </c>
      <c r="H10" s="1" t="s">
        <v>108</v>
      </c>
      <c r="I10" s="1" t="s">
        <v>123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1639</v>
      </c>
      <c r="B11" s="1" t="s">
        <v>148</v>
      </c>
      <c r="C11" s="1" t="s">
        <v>57</v>
      </c>
      <c r="D11" s="1" t="s">
        <v>1640</v>
      </c>
      <c r="E11" s="1" t="s">
        <v>144</v>
      </c>
      <c r="F11" s="1" t="s">
        <v>144</v>
      </c>
      <c r="G11" s="1" t="s">
        <v>150</v>
      </c>
      <c r="H11" s="1" t="s">
        <v>108</v>
      </c>
      <c r="I11" s="1" t="s">
        <v>123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1641</v>
      </c>
      <c r="B12" s="1" t="s">
        <v>152</v>
      </c>
      <c r="C12" s="1" t="s">
        <v>1633</v>
      </c>
      <c r="D12" s="1" t="s">
        <v>1642</v>
      </c>
      <c r="E12" s="1" t="s">
        <v>144</v>
      </c>
      <c r="F12" s="1" t="s">
        <v>154</v>
      </c>
      <c r="G12" s="1" t="s">
        <v>1643</v>
      </c>
      <c r="H12" s="1" t="s">
        <v>108</v>
      </c>
      <c r="I12" s="1" t="s">
        <v>123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1644</v>
      </c>
      <c r="B13" s="1" t="s">
        <v>157</v>
      </c>
      <c r="C13" s="1" t="s">
        <v>1633</v>
      </c>
      <c r="D13" s="1" t="s">
        <v>1645</v>
      </c>
      <c r="E13" s="1" t="s">
        <v>144</v>
      </c>
      <c r="F13" s="1" t="s">
        <v>159</v>
      </c>
      <c r="G13" s="1" t="s">
        <v>1646</v>
      </c>
      <c r="H13" s="1" t="s">
        <v>108</v>
      </c>
      <c r="I13" s="1" t="s">
        <v>123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1647</v>
      </c>
      <c r="B14" s="1" t="s">
        <v>1588</v>
      </c>
      <c r="C14" s="1" t="s">
        <v>1633</v>
      </c>
      <c r="D14" s="1" t="s">
        <v>1648</v>
      </c>
      <c r="E14" s="1" t="s">
        <v>144</v>
      </c>
      <c r="F14" s="1" t="s">
        <v>169</v>
      </c>
      <c r="G14" s="1" t="s">
        <v>1649</v>
      </c>
      <c r="H14" s="1" t="s">
        <v>108</v>
      </c>
      <c r="I14" s="1" t="s">
        <v>123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1650</v>
      </c>
      <c r="B15" s="1" t="s">
        <v>1592</v>
      </c>
      <c r="C15" s="1" t="s">
        <v>813</v>
      </c>
      <c r="D15" s="1" t="s">
        <v>1651</v>
      </c>
      <c r="E15" s="1" t="s">
        <v>144</v>
      </c>
      <c r="F15" s="1" t="s">
        <v>169</v>
      </c>
      <c r="G15" s="1" t="s">
        <v>1649</v>
      </c>
      <c r="H15" s="1" t="s">
        <v>108</v>
      </c>
      <c r="I15" s="1" t="s">
        <v>123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1652</v>
      </c>
      <c r="B16" s="1" t="s">
        <v>1595</v>
      </c>
      <c r="C16" s="1" t="s">
        <v>813</v>
      </c>
      <c r="D16" s="1" t="s">
        <v>1653</v>
      </c>
      <c r="E16" s="1" t="s">
        <v>144</v>
      </c>
      <c r="F16" s="1" t="s">
        <v>169</v>
      </c>
      <c r="G16" s="1" t="s">
        <v>1649</v>
      </c>
      <c r="H16" s="1" t="s">
        <v>108</v>
      </c>
      <c r="I16" s="1" t="s">
        <v>123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1654</v>
      </c>
      <c r="B17" s="1" t="s">
        <v>100</v>
      </c>
      <c r="C17" s="1" t="s">
        <v>813</v>
      </c>
      <c r="D17" s="1" t="s">
        <v>1655</v>
      </c>
      <c r="E17" s="1" t="s">
        <v>144</v>
      </c>
      <c r="F17" s="1" t="s">
        <v>164</v>
      </c>
      <c r="G17" s="1" t="s">
        <v>1656</v>
      </c>
      <c r="H17" s="1" t="s">
        <v>108</v>
      </c>
      <c r="I17" s="1" t="s">
        <v>123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1657</v>
      </c>
      <c r="B18" s="1" t="s">
        <v>1601</v>
      </c>
      <c r="C18" s="1" t="s">
        <v>1633</v>
      </c>
      <c r="D18" s="1" t="s">
        <v>1658</v>
      </c>
      <c r="E18" s="1" t="s">
        <v>144</v>
      </c>
      <c r="F18" s="1" t="s">
        <v>169</v>
      </c>
      <c r="G18" s="1" t="s">
        <v>1656</v>
      </c>
      <c r="H18" s="1" t="s">
        <v>108</v>
      </c>
      <c r="I18" s="1" t="s">
        <v>123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1659</v>
      </c>
      <c r="B19" s="1" t="s">
        <v>1604</v>
      </c>
      <c r="C19" s="1" t="s">
        <v>1633</v>
      </c>
      <c r="D19" s="1" t="s">
        <v>1660</v>
      </c>
      <c r="E19" s="1" t="s">
        <v>144</v>
      </c>
      <c r="F19" s="1" t="s">
        <v>164</v>
      </c>
      <c r="G19" s="1" t="s">
        <v>1638</v>
      </c>
      <c r="H19" s="1" t="s">
        <v>108</v>
      </c>
      <c r="I19" s="1" t="s">
        <v>123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1661</v>
      </c>
      <c r="B20" s="1" t="s">
        <v>1421</v>
      </c>
      <c r="C20" s="1" t="s">
        <v>813</v>
      </c>
      <c r="D20" s="1" t="s">
        <v>1662</v>
      </c>
      <c r="E20" s="1" t="s">
        <v>144</v>
      </c>
      <c r="F20" s="1" t="s">
        <v>169</v>
      </c>
      <c r="G20" s="1" t="s">
        <v>1649</v>
      </c>
      <c r="H20" s="1" t="s">
        <v>108</v>
      </c>
      <c r="I20" s="1" t="s">
        <v>123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1663</v>
      </c>
      <c r="B21" s="1" t="s">
        <v>192</v>
      </c>
      <c r="C21" s="1" t="s">
        <v>1633</v>
      </c>
      <c r="D21" s="1" t="s">
        <v>1664</v>
      </c>
      <c r="E21" s="1" t="s">
        <v>144</v>
      </c>
      <c r="F21" s="1" t="s">
        <v>169</v>
      </c>
      <c r="G21" s="1" t="s">
        <v>1649</v>
      </c>
      <c r="H21" s="1" t="s">
        <v>108</v>
      </c>
      <c r="I21" s="1" t="s">
        <v>123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1665</v>
      </c>
      <c r="B22" s="1" t="s">
        <v>172</v>
      </c>
      <c r="C22" s="1" t="s">
        <v>1633</v>
      </c>
      <c r="D22" s="1" t="s">
        <v>1666</v>
      </c>
      <c r="E22" s="1" t="s">
        <v>144</v>
      </c>
      <c r="F22" s="1" t="s">
        <v>174</v>
      </c>
      <c r="G22" s="1" t="s">
        <v>1649</v>
      </c>
      <c r="H22" s="1" t="s">
        <v>108</v>
      </c>
      <c r="I22" s="1" t="s">
        <v>123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1667</v>
      </c>
      <c r="B23" s="1" t="s">
        <v>177</v>
      </c>
      <c r="C23" s="1" t="s">
        <v>57</v>
      </c>
      <c r="D23" s="1" t="s">
        <v>1668</v>
      </c>
      <c r="E23" s="1" t="s">
        <v>144</v>
      </c>
      <c r="F23" s="1" t="s">
        <v>179</v>
      </c>
      <c r="G23" s="1" t="s">
        <v>1669</v>
      </c>
      <c r="H23" s="1" t="s">
        <v>102</v>
      </c>
      <c r="I23" s="1" t="s">
        <v>122</v>
      </c>
      <c r="J23" s="10" t="n">
        <v>46229</v>
      </c>
      <c r="K23" s="1" t="s">
        <v>1670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1671</v>
      </c>
      <c r="B24" s="1" t="s">
        <v>197</v>
      </c>
      <c r="C24" s="1" t="s">
        <v>57</v>
      </c>
      <c r="D24" s="1" t="s">
        <v>1672</v>
      </c>
      <c r="E24" s="1" t="s">
        <v>144</v>
      </c>
      <c r="F24" s="1" t="s">
        <v>185</v>
      </c>
      <c r="G24" s="1" t="s">
        <v>1673</v>
      </c>
      <c r="H24" s="1" t="s">
        <v>102</v>
      </c>
      <c r="I24" s="1" t="s">
        <v>122</v>
      </c>
      <c r="J24" s="10" t="n">
        <v>46229</v>
      </c>
      <c r="K24" s="1" t="s">
        <v>1674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1675</v>
      </c>
      <c r="B25" s="1" t="s">
        <v>201</v>
      </c>
      <c r="C25" s="1" t="s">
        <v>57</v>
      </c>
      <c r="D25" s="1" t="s">
        <v>1621</v>
      </c>
      <c r="E25" s="1" t="s">
        <v>144</v>
      </c>
      <c r="F25" s="1" t="s">
        <v>203</v>
      </c>
      <c r="G25" s="1" t="s">
        <v>1676</v>
      </c>
      <c r="H25" s="1" t="s">
        <v>108</v>
      </c>
      <c r="I25" s="1" t="s">
        <v>123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1677</v>
      </c>
      <c r="B26" s="1" t="s">
        <v>206</v>
      </c>
      <c r="C26" s="1" t="s">
        <v>57</v>
      </c>
      <c r="D26" s="1" t="s">
        <v>1624</v>
      </c>
      <c r="E26" s="1" t="s">
        <v>144</v>
      </c>
      <c r="F26" s="1" t="s">
        <v>203</v>
      </c>
      <c r="G26" s="1" t="s">
        <v>1678</v>
      </c>
      <c r="H26" s="1" t="s">
        <v>108</v>
      </c>
      <c r="I26" s="1" t="s">
        <v>123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1679</v>
      </c>
      <c r="B27" s="1" t="s">
        <v>210</v>
      </c>
      <c r="C27" s="1" t="s">
        <v>57</v>
      </c>
      <c r="D27" s="1" t="s">
        <v>1680</v>
      </c>
      <c r="E27" s="1" t="s">
        <v>212</v>
      </c>
      <c r="F27" s="1" t="s">
        <v>212</v>
      </c>
      <c r="G27" s="1" t="s">
        <v>213</v>
      </c>
      <c r="H27" s="1" t="s">
        <v>108</v>
      </c>
      <c r="I27" s="1" t="s">
        <v>123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1681</v>
      </c>
      <c r="B28" s="1" t="s">
        <v>215</v>
      </c>
      <c r="C28" s="1" t="s">
        <v>57</v>
      </c>
      <c r="D28" s="1" t="s">
        <v>1682</v>
      </c>
      <c r="E28" s="1" t="s">
        <v>144</v>
      </c>
      <c r="F28" s="1" t="s">
        <v>144</v>
      </c>
      <c r="G28" s="1" t="s">
        <v>217</v>
      </c>
      <c r="H28" s="1" t="s">
        <v>108</v>
      </c>
      <c r="I28" s="1" t="s">
        <v>123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42" hidden="false" customHeight="true" outlineLevel="0" collapsed="false">
      <c r="A9" s="1" t="s">
        <v>1685</v>
      </c>
      <c r="B9" s="1" t="s">
        <v>100</v>
      </c>
      <c r="C9" s="1" t="s">
        <v>1686</v>
      </c>
      <c r="D9" s="1" t="s">
        <v>1687</v>
      </c>
      <c r="E9" s="1" t="s">
        <v>144</v>
      </c>
      <c r="F9" s="1" t="s">
        <v>145</v>
      </c>
      <c r="G9" s="1" t="s">
        <v>1688</v>
      </c>
      <c r="H9" s="1" t="s">
        <v>108</v>
      </c>
      <c r="I9" s="1" t="s">
        <v>123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1689</v>
      </c>
      <c r="B10" s="1" t="s">
        <v>1355</v>
      </c>
      <c r="C10" s="1" t="s">
        <v>1197</v>
      </c>
      <c r="D10" s="1" t="s">
        <v>1690</v>
      </c>
      <c r="E10" s="1" t="s">
        <v>144</v>
      </c>
      <c r="F10" s="1" t="s">
        <v>164</v>
      </c>
      <c r="G10" s="1" t="s">
        <v>1691</v>
      </c>
      <c r="H10" s="1" t="s">
        <v>108</v>
      </c>
      <c r="I10" s="1" t="s">
        <v>123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1692</v>
      </c>
      <c r="B11" s="1" t="s">
        <v>148</v>
      </c>
      <c r="C11" s="1" t="s">
        <v>58</v>
      </c>
      <c r="D11" s="1" t="s">
        <v>1693</v>
      </c>
      <c r="E11" s="1" t="s">
        <v>144</v>
      </c>
      <c r="F11" s="1" t="s">
        <v>144</v>
      </c>
      <c r="G11" s="1" t="s">
        <v>150</v>
      </c>
      <c r="H11" s="1" t="s">
        <v>108</v>
      </c>
      <c r="I11" s="1" t="s">
        <v>123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1694</v>
      </c>
      <c r="B12" s="1" t="s">
        <v>152</v>
      </c>
      <c r="C12" s="1" t="s">
        <v>1197</v>
      </c>
      <c r="D12" s="1" t="s">
        <v>1695</v>
      </c>
      <c r="E12" s="1" t="s">
        <v>144</v>
      </c>
      <c r="F12" s="1" t="s">
        <v>154</v>
      </c>
      <c r="G12" s="1" t="s">
        <v>1696</v>
      </c>
      <c r="H12" s="1" t="s">
        <v>108</v>
      </c>
      <c r="I12" s="1" t="s">
        <v>123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1697</v>
      </c>
      <c r="B13" s="1" t="s">
        <v>157</v>
      </c>
      <c r="C13" s="1" t="s">
        <v>1197</v>
      </c>
      <c r="D13" s="1" t="s">
        <v>1698</v>
      </c>
      <c r="E13" s="1" t="s">
        <v>144</v>
      </c>
      <c r="F13" s="1" t="s">
        <v>159</v>
      </c>
      <c r="G13" s="1" t="s">
        <v>1699</v>
      </c>
      <c r="H13" s="1" t="s">
        <v>108</v>
      </c>
      <c r="I13" s="1" t="s">
        <v>123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1700</v>
      </c>
      <c r="B14" s="1" t="s">
        <v>1588</v>
      </c>
      <c r="C14" s="1" t="s">
        <v>1701</v>
      </c>
      <c r="D14" s="1" t="s">
        <v>1702</v>
      </c>
      <c r="E14" s="1" t="s">
        <v>144</v>
      </c>
      <c r="F14" s="1" t="s">
        <v>169</v>
      </c>
      <c r="G14" s="1" t="s">
        <v>1703</v>
      </c>
      <c r="H14" s="1" t="s">
        <v>108</v>
      </c>
      <c r="I14" s="1" t="s">
        <v>123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1704</v>
      </c>
      <c r="B15" s="1" t="s">
        <v>1705</v>
      </c>
      <c r="C15" s="1" t="s">
        <v>1706</v>
      </c>
      <c r="D15" s="1" t="s">
        <v>1707</v>
      </c>
      <c r="E15" s="1" t="s">
        <v>144</v>
      </c>
      <c r="F15" s="1" t="s">
        <v>179</v>
      </c>
      <c r="G15" s="1" t="s">
        <v>1708</v>
      </c>
      <c r="H15" s="1" t="s">
        <v>110</v>
      </c>
      <c r="I15" s="1" t="s">
        <v>122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1709</v>
      </c>
      <c r="B16" s="1" t="s">
        <v>1710</v>
      </c>
      <c r="C16" s="1" t="s">
        <v>813</v>
      </c>
      <c r="D16" s="1" t="s">
        <v>1711</v>
      </c>
      <c r="E16" s="1" t="s">
        <v>144</v>
      </c>
      <c r="F16" s="1" t="s">
        <v>179</v>
      </c>
      <c r="G16" s="1" t="s">
        <v>1708</v>
      </c>
      <c r="H16" s="1" t="s">
        <v>110</v>
      </c>
      <c r="I16" s="1" t="s">
        <v>122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1712</v>
      </c>
      <c r="B17" s="1" t="s">
        <v>1099</v>
      </c>
      <c r="C17" s="1" t="s">
        <v>1713</v>
      </c>
      <c r="D17" s="1" t="s">
        <v>1714</v>
      </c>
      <c r="E17" s="1" t="s">
        <v>144</v>
      </c>
      <c r="F17" s="1" t="s">
        <v>169</v>
      </c>
      <c r="G17" s="1" t="s">
        <v>1715</v>
      </c>
      <c r="H17" s="1" t="s">
        <v>108</v>
      </c>
      <c r="I17" s="1" t="s">
        <v>123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1716</v>
      </c>
      <c r="B18" s="1" t="s">
        <v>1717</v>
      </c>
      <c r="C18" s="1" t="s">
        <v>1718</v>
      </c>
      <c r="D18" s="1" t="s">
        <v>1719</v>
      </c>
      <c r="E18" s="1" t="s">
        <v>144</v>
      </c>
      <c r="F18" s="1" t="s">
        <v>174</v>
      </c>
      <c r="G18" s="1" t="s">
        <v>1720</v>
      </c>
      <c r="H18" s="1" t="s">
        <v>108</v>
      </c>
      <c r="I18" s="1" t="s">
        <v>123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1721</v>
      </c>
      <c r="B19" s="1" t="s">
        <v>1722</v>
      </c>
      <c r="C19" s="1" t="s">
        <v>1723</v>
      </c>
      <c r="D19" s="1" t="s">
        <v>1724</v>
      </c>
      <c r="E19" s="1" t="s">
        <v>144</v>
      </c>
      <c r="F19" s="1" t="s">
        <v>164</v>
      </c>
      <c r="G19" s="1" t="s">
        <v>1720</v>
      </c>
      <c r="H19" s="1" t="s">
        <v>108</v>
      </c>
      <c r="I19" s="1" t="s">
        <v>123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1725</v>
      </c>
      <c r="B20" s="1" t="s">
        <v>1726</v>
      </c>
      <c r="C20" s="1" t="s">
        <v>1723</v>
      </c>
      <c r="D20" s="1" t="s">
        <v>1727</v>
      </c>
      <c r="E20" s="1" t="s">
        <v>144</v>
      </c>
      <c r="F20" s="1" t="s">
        <v>169</v>
      </c>
      <c r="G20" s="1" t="s">
        <v>1703</v>
      </c>
      <c r="H20" s="1" t="s">
        <v>108</v>
      </c>
      <c r="I20" s="1" t="s">
        <v>123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1728</v>
      </c>
      <c r="B21" s="1" t="s">
        <v>1729</v>
      </c>
      <c r="C21" s="1" t="s">
        <v>33</v>
      </c>
      <c r="D21" s="1" t="s">
        <v>1730</v>
      </c>
      <c r="E21" s="1" t="s">
        <v>144</v>
      </c>
      <c r="F21" s="1" t="s">
        <v>169</v>
      </c>
      <c r="G21" s="1" t="s">
        <v>1703</v>
      </c>
      <c r="H21" s="1" t="s">
        <v>108</v>
      </c>
      <c r="I21" s="1" t="s">
        <v>123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1731</v>
      </c>
      <c r="B22" s="1" t="s">
        <v>192</v>
      </c>
      <c r="C22" s="1" t="s">
        <v>1197</v>
      </c>
      <c r="D22" s="1" t="s">
        <v>1732</v>
      </c>
      <c r="E22" s="1" t="s">
        <v>144</v>
      </c>
      <c r="F22" s="1" t="s">
        <v>169</v>
      </c>
      <c r="G22" s="1" t="s">
        <v>1720</v>
      </c>
      <c r="H22" s="1" t="s">
        <v>108</v>
      </c>
      <c r="I22" s="1" t="s">
        <v>123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1733</v>
      </c>
      <c r="B23" s="1" t="s">
        <v>183</v>
      </c>
      <c r="C23" s="1" t="s">
        <v>1734</v>
      </c>
      <c r="D23" s="1" t="s">
        <v>1735</v>
      </c>
      <c r="E23" s="1" t="s">
        <v>144</v>
      </c>
      <c r="F23" s="1" t="s">
        <v>169</v>
      </c>
      <c r="G23" s="1" t="s">
        <v>1715</v>
      </c>
      <c r="H23" s="1" t="s">
        <v>108</v>
      </c>
      <c r="I23" s="1" t="s">
        <v>123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1736</v>
      </c>
      <c r="B24" s="1" t="s">
        <v>172</v>
      </c>
      <c r="C24" s="1" t="s">
        <v>1197</v>
      </c>
      <c r="D24" s="1" t="s">
        <v>1737</v>
      </c>
      <c r="E24" s="1" t="s">
        <v>144</v>
      </c>
      <c r="F24" s="1" t="s">
        <v>174</v>
      </c>
      <c r="G24" s="1" t="s">
        <v>1703</v>
      </c>
      <c r="H24" s="1" t="s">
        <v>108</v>
      </c>
      <c r="I24" s="1" t="s">
        <v>123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1738</v>
      </c>
      <c r="B25" s="1" t="s">
        <v>177</v>
      </c>
      <c r="C25" s="1" t="s">
        <v>58</v>
      </c>
      <c r="D25" s="1" t="s">
        <v>1739</v>
      </c>
      <c r="E25" s="1" t="s">
        <v>144</v>
      </c>
      <c r="F25" s="1" t="s">
        <v>179</v>
      </c>
      <c r="G25" s="1" t="s">
        <v>1708</v>
      </c>
      <c r="H25" s="1" t="s">
        <v>110</v>
      </c>
      <c r="I25" s="1" t="s">
        <v>122</v>
      </c>
      <c r="J25" s="10" t="n">
        <v>46229</v>
      </c>
      <c r="K25" s="1" t="s">
        <v>1740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1741</v>
      </c>
      <c r="B26" s="1" t="s">
        <v>197</v>
      </c>
      <c r="C26" s="1" t="s">
        <v>58</v>
      </c>
      <c r="D26" s="1" t="s">
        <v>1742</v>
      </c>
      <c r="E26" s="1" t="s">
        <v>144</v>
      </c>
      <c r="F26" s="1" t="s">
        <v>185</v>
      </c>
      <c r="G26" s="1" t="s">
        <v>1743</v>
      </c>
      <c r="H26" s="1" t="s">
        <v>102</v>
      </c>
      <c r="I26" s="1" t="s">
        <v>122</v>
      </c>
      <c r="J26" s="10" t="n">
        <v>46229</v>
      </c>
      <c r="K26" s="1" t="s">
        <v>1674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1744</v>
      </c>
      <c r="B27" s="1" t="s">
        <v>201</v>
      </c>
      <c r="C27" s="1" t="s">
        <v>58</v>
      </c>
      <c r="D27" s="1" t="s">
        <v>1745</v>
      </c>
      <c r="E27" s="1" t="s">
        <v>144</v>
      </c>
      <c r="F27" s="1" t="s">
        <v>203</v>
      </c>
      <c r="G27" s="1" t="s">
        <v>1746</v>
      </c>
      <c r="H27" s="1" t="s">
        <v>108</v>
      </c>
      <c r="I27" s="1" t="s">
        <v>123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1747</v>
      </c>
      <c r="B28" s="1" t="s">
        <v>206</v>
      </c>
      <c r="C28" s="1" t="s">
        <v>58</v>
      </c>
      <c r="D28" s="1" t="s">
        <v>1748</v>
      </c>
      <c r="E28" s="1" t="s">
        <v>144</v>
      </c>
      <c r="F28" s="1" t="s">
        <v>203</v>
      </c>
      <c r="G28" s="1" t="s">
        <v>1749</v>
      </c>
      <c r="H28" s="1" t="s">
        <v>108</v>
      </c>
      <c r="I28" s="1" t="s">
        <v>123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1750</v>
      </c>
      <c r="B29" s="1" t="s">
        <v>632</v>
      </c>
      <c r="C29" s="1" t="s">
        <v>58</v>
      </c>
      <c r="D29" s="1" t="s">
        <v>1751</v>
      </c>
      <c r="E29" s="1" t="s">
        <v>144</v>
      </c>
      <c r="F29" s="1" t="s">
        <v>634</v>
      </c>
      <c r="G29" s="1" t="s">
        <v>1752</v>
      </c>
      <c r="H29" s="1" t="s">
        <v>108</v>
      </c>
      <c r="I29" s="1" t="s">
        <v>123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1753</v>
      </c>
      <c r="B30" s="1" t="s">
        <v>210</v>
      </c>
      <c r="C30" s="1" t="s">
        <v>58</v>
      </c>
      <c r="D30" s="1" t="s">
        <v>1754</v>
      </c>
      <c r="E30" s="1" t="s">
        <v>212</v>
      </c>
      <c r="F30" s="1" t="s">
        <v>212</v>
      </c>
      <c r="G30" s="1" t="s">
        <v>213</v>
      </c>
      <c r="H30" s="1" t="s">
        <v>108</v>
      </c>
      <c r="I30" s="1" t="s">
        <v>123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1755</v>
      </c>
      <c r="B31" s="1" t="s">
        <v>215</v>
      </c>
      <c r="C31" s="1" t="s">
        <v>58</v>
      </c>
      <c r="D31" s="1" t="s">
        <v>1756</v>
      </c>
      <c r="E31" s="1" t="s">
        <v>144</v>
      </c>
      <c r="F31" s="1" t="s">
        <v>144</v>
      </c>
      <c r="G31" s="1" t="s">
        <v>217</v>
      </c>
      <c r="H31" s="1" t="s">
        <v>108</v>
      </c>
      <c r="I31" s="1" t="s">
        <v>123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42" hidden="false" customHeight="true" outlineLevel="0" collapsed="false">
      <c r="A9" s="1" t="s">
        <v>1759</v>
      </c>
      <c r="B9" s="1" t="s">
        <v>100</v>
      </c>
      <c r="C9" s="1" t="s">
        <v>1197</v>
      </c>
      <c r="D9" s="1" t="s">
        <v>1760</v>
      </c>
      <c r="E9" s="1" t="s">
        <v>144</v>
      </c>
      <c r="F9" s="1" t="s">
        <v>145</v>
      </c>
      <c r="G9" s="1" t="s">
        <v>1761</v>
      </c>
      <c r="H9" s="8" t="s">
        <v>108</v>
      </c>
      <c r="I9" s="8" t="s">
        <v>123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1762</v>
      </c>
      <c r="B10" s="1" t="s">
        <v>1355</v>
      </c>
      <c r="C10" s="1" t="s">
        <v>1763</v>
      </c>
      <c r="D10" s="1" t="s">
        <v>1764</v>
      </c>
      <c r="E10" s="1" t="s">
        <v>144</v>
      </c>
      <c r="F10" s="1" t="s">
        <v>164</v>
      </c>
      <c r="G10" s="1" t="s">
        <v>1765</v>
      </c>
      <c r="H10" s="8" t="s">
        <v>108</v>
      </c>
      <c r="I10" s="8" t="s">
        <v>123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1766</v>
      </c>
      <c r="B11" s="1" t="s">
        <v>148</v>
      </c>
      <c r="C11" s="1" t="s">
        <v>59</v>
      </c>
      <c r="D11" s="1" t="s">
        <v>1767</v>
      </c>
      <c r="E11" s="1" t="s">
        <v>144</v>
      </c>
      <c r="F11" s="1" t="s">
        <v>144</v>
      </c>
      <c r="G11" s="1" t="s">
        <v>150</v>
      </c>
      <c r="H11" s="8" t="s">
        <v>108</v>
      </c>
      <c r="I11" s="8" t="s">
        <v>123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1768</v>
      </c>
      <c r="B12" s="1" t="s">
        <v>152</v>
      </c>
      <c r="C12" s="1" t="s">
        <v>1197</v>
      </c>
      <c r="D12" s="1" t="s">
        <v>1769</v>
      </c>
      <c r="E12" s="1" t="s">
        <v>144</v>
      </c>
      <c r="F12" s="1" t="s">
        <v>154</v>
      </c>
      <c r="G12" s="1" t="s">
        <v>1770</v>
      </c>
      <c r="H12" s="8" t="s">
        <v>108</v>
      </c>
      <c r="I12" s="8" t="s">
        <v>123</v>
      </c>
      <c r="J12" s="10" t="n">
        <v>46244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1771</v>
      </c>
      <c r="B13" s="1" t="s">
        <v>157</v>
      </c>
      <c r="C13" s="1" t="s">
        <v>1197</v>
      </c>
      <c r="D13" s="1" t="s">
        <v>1772</v>
      </c>
      <c r="E13" s="1" t="s">
        <v>144</v>
      </c>
      <c r="F13" s="1" t="s">
        <v>159</v>
      </c>
      <c r="G13" s="1" t="s">
        <v>1773</v>
      </c>
      <c r="H13" s="8" t="s">
        <v>108</v>
      </c>
      <c r="I13" s="8" t="s">
        <v>123</v>
      </c>
      <c r="J13" s="10" t="n">
        <v>46244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1774</v>
      </c>
      <c r="B14" s="1" t="s">
        <v>1588</v>
      </c>
      <c r="C14" s="1" t="s">
        <v>1775</v>
      </c>
      <c r="D14" s="1" t="s">
        <v>1776</v>
      </c>
      <c r="E14" s="1" t="s">
        <v>144</v>
      </c>
      <c r="F14" s="1" t="s">
        <v>169</v>
      </c>
      <c r="G14" s="1" t="s">
        <v>1777</v>
      </c>
      <c r="H14" s="8" t="s">
        <v>108</v>
      </c>
      <c r="I14" s="8" t="s">
        <v>123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1778</v>
      </c>
      <c r="B15" s="1" t="s">
        <v>1705</v>
      </c>
      <c r="C15" s="1" t="s">
        <v>1197</v>
      </c>
      <c r="D15" s="1" t="s">
        <v>1779</v>
      </c>
      <c r="E15" s="1" t="s">
        <v>144</v>
      </c>
      <c r="F15" s="1" t="s">
        <v>179</v>
      </c>
      <c r="G15" s="1" t="s">
        <v>1780</v>
      </c>
      <c r="H15" s="8" t="s">
        <v>110</v>
      </c>
      <c r="I15" s="8" t="s">
        <v>122</v>
      </c>
      <c r="J15" s="10" t="n">
        <v>46229</v>
      </c>
      <c r="K15" s="1" t="s">
        <v>1781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1782</v>
      </c>
      <c r="B16" s="1" t="s">
        <v>1710</v>
      </c>
      <c r="C16" s="1" t="s">
        <v>1783</v>
      </c>
      <c r="D16" s="1" t="s">
        <v>1784</v>
      </c>
      <c r="E16" s="1" t="s">
        <v>144</v>
      </c>
      <c r="F16" s="1" t="s">
        <v>179</v>
      </c>
      <c r="G16" s="1" t="s">
        <v>1780</v>
      </c>
      <c r="H16" s="8" t="s">
        <v>110</v>
      </c>
      <c r="I16" s="8" t="s">
        <v>122</v>
      </c>
      <c r="J16" s="10" t="n">
        <v>46229</v>
      </c>
      <c r="K16" s="1" t="s">
        <v>1785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1786</v>
      </c>
      <c r="B17" s="1" t="s">
        <v>1787</v>
      </c>
      <c r="C17" s="1" t="s">
        <v>1775</v>
      </c>
      <c r="D17" s="1" t="s">
        <v>1788</v>
      </c>
      <c r="E17" s="1" t="s">
        <v>144</v>
      </c>
      <c r="F17" s="1" t="s">
        <v>169</v>
      </c>
      <c r="G17" s="1" t="s">
        <v>1789</v>
      </c>
      <c r="H17" s="8" t="s">
        <v>108</v>
      </c>
      <c r="I17" s="8" t="s">
        <v>123</v>
      </c>
      <c r="J17" s="10" t="n">
        <v>46244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1790</v>
      </c>
      <c r="B18" s="1" t="s">
        <v>1601</v>
      </c>
      <c r="C18" s="1" t="s">
        <v>1791</v>
      </c>
      <c r="D18" s="1" t="s">
        <v>1792</v>
      </c>
      <c r="E18" s="1" t="s">
        <v>144</v>
      </c>
      <c r="F18" s="1" t="s">
        <v>169</v>
      </c>
      <c r="G18" s="1" t="s">
        <v>1793</v>
      </c>
      <c r="H18" s="8" t="s">
        <v>108</v>
      </c>
      <c r="I18" s="8" t="s">
        <v>123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1794</v>
      </c>
      <c r="B19" s="1" t="s">
        <v>1795</v>
      </c>
      <c r="C19" s="1" t="s">
        <v>1796</v>
      </c>
      <c r="D19" s="1" t="s">
        <v>1797</v>
      </c>
      <c r="E19" s="1" t="s">
        <v>144</v>
      </c>
      <c r="F19" s="1" t="s">
        <v>169</v>
      </c>
      <c r="G19" s="1" t="s">
        <v>1777</v>
      </c>
      <c r="H19" s="8" t="s">
        <v>108</v>
      </c>
      <c r="I19" s="8" t="s">
        <v>123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1798</v>
      </c>
      <c r="B20" s="1" t="s">
        <v>1799</v>
      </c>
      <c r="C20" s="1" t="s">
        <v>1099</v>
      </c>
      <c r="D20" s="1" t="s">
        <v>1800</v>
      </c>
      <c r="E20" s="1" t="s">
        <v>144</v>
      </c>
      <c r="F20" s="1" t="s">
        <v>164</v>
      </c>
      <c r="G20" s="1" t="s">
        <v>1801</v>
      </c>
      <c r="H20" s="8" t="s">
        <v>108</v>
      </c>
      <c r="I20" s="8" t="s">
        <v>123</v>
      </c>
      <c r="J20" s="10" t="n">
        <v>46244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1802</v>
      </c>
      <c r="B21" s="1" t="s">
        <v>1803</v>
      </c>
      <c r="C21" s="1" t="s">
        <v>1803</v>
      </c>
      <c r="D21" s="1" t="s">
        <v>1804</v>
      </c>
      <c r="E21" s="1" t="s">
        <v>144</v>
      </c>
      <c r="F21" s="1" t="s">
        <v>179</v>
      </c>
      <c r="G21" s="1" t="s">
        <v>1780</v>
      </c>
      <c r="H21" s="8" t="s">
        <v>110</v>
      </c>
      <c r="I21" s="8" t="s">
        <v>122</v>
      </c>
      <c r="J21" s="10" t="n">
        <v>46229</v>
      </c>
      <c r="K21" s="1" t="s">
        <v>1805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1806</v>
      </c>
      <c r="B22" s="1" t="s">
        <v>192</v>
      </c>
      <c r="C22" s="1" t="s">
        <v>1775</v>
      </c>
      <c r="D22" s="1" t="s">
        <v>1807</v>
      </c>
      <c r="E22" s="1" t="s">
        <v>144</v>
      </c>
      <c r="F22" s="1" t="s">
        <v>169</v>
      </c>
      <c r="G22" s="1" t="s">
        <v>1801</v>
      </c>
      <c r="H22" s="8" t="s">
        <v>108</v>
      </c>
      <c r="I22" s="8" t="s">
        <v>123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1808</v>
      </c>
      <c r="B23" s="1" t="s">
        <v>183</v>
      </c>
      <c r="C23" s="1" t="s">
        <v>1809</v>
      </c>
      <c r="D23" s="1" t="s">
        <v>1810</v>
      </c>
      <c r="E23" s="1" t="s">
        <v>144</v>
      </c>
      <c r="F23" s="1" t="s">
        <v>169</v>
      </c>
      <c r="G23" s="1" t="s">
        <v>1777</v>
      </c>
      <c r="H23" s="8" t="s">
        <v>108</v>
      </c>
      <c r="I23" s="8" t="s">
        <v>123</v>
      </c>
      <c r="J23" s="10" t="n">
        <v>46244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1811</v>
      </c>
      <c r="B24" s="1" t="s">
        <v>1242</v>
      </c>
      <c r="C24" s="1" t="s">
        <v>1734</v>
      </c>
      <c r="D24" s="1" t="s">
        <v>1812</v>
      </c>
      <c r="E24" s="1" t="s">
        <v>144</v>
      </c>
      <c r="F24" s="1" t="s">
        <v>169</v>
      </c>
      <c r="G24" s="1" t="s">
        <v>1777</v>
      </c>
      <c r="H24" s="8" t="s">
        <v>108</v>
      </c>
      <c r="I24" s="8" t="s">
        <v>123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1813</v>
      </c>
      <c r="B25" s="1" t="s">
        <v>172</v>
      </c>
      <c r="C25" s="1" t="s">
        <v>1197</v>
      </c>
      <c r="D25" s="1" t="s">
        <v>1814</v>
      </c>
      <c r="E25" s="1" t="s">
        <v>144</v>
      </c>
      <c r="F25" s="1" t="s">
        <v>174</v>
      </c>
      <c r="G25" s="1" t="s">
        <v>1777</v>
      </c>
      <c r="H25" s="8" t="s">
        <v>108</v>
      </c>
      <c r="I25" s="8" t="s">
        <v>123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1815</v>
      </c>
      <c r="B26" s="1" t="s">
        <v>177</v>
      </c>
      <c r="C26" s="1" t="s">
        <v>59</v>
      </c>
      <c r="D26" s="1" t="s">
        <v>1816</v>
      </c>
      <c r="E26" s="1" t="s">
        <v>144</v>
      </c>
      <c r="F26" s="1" t="s">
        <v>179</v>
      </c>
      <c r="G26" s="1" t="s">
        <v>1780</v>
      </c>
      <c r="H26" s="8" t="s">
        <v>110</v>
      </c>
      <c r="I26" s="8" t="s">
        <v>122</v>
      </c>
      <c r="J26" s="10" t="n">
        <v>46229</v>
      </c>
      <c r="K26" s="1" t="s">
        <v>1817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1818</v>
      </c>
      <c r="B27" s="1" t="s">
        <v>197</v>
      </c>
      <c r="C27" s="1" t="s">
        <v>59</v>
      </c>
      <c r="D27" s="1" t="s">
        <v>1819</v>
      </c>
      <c r="E27" s="1" t="s">
        <v>144</v>
      </c>
      <c r="F27" s="1" t="s">
        <v>185</v>
      </c>
      <c r="G27" s="1" t="s">
        <v>1820</v>
      </c>
      <c r="H27" s="8" t="s">
        <v>102</v>
      </c>
      <c r="I27" s="8" t="s">
        <v>122</v>
      </c>
      <c r="J27" s="10" t="n">
        <v>46229</v>
      </c>
      <c r="K27" s="1" t="s">
        <v>1821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1822</v>
      </c>
      <c r="B28" s="1" t="s">
        <v>201</v>
      </c>
      <c r="C28" s="1" t="s">
        <v>59</v>
      </c>
      <c r="D28" s="1" t="s">
        <v>1823</v>
      </c>
      <c r="E28" s="1" t="s">
        <v>144</v>
      </c>
      <c r="F28" s="1" t="s">
        <v>203</v>
      </c>
      <c r="G28" s="1" t="s">
        <v>1824</v>
      </c>
      <c r="H28" s="8" t="s">
        <v>108</v>
      </c>
      <c r="I28" s="8" t="s">
        <v>123</v>
      </c>
      <c r="J28" s="10" t="n">
        <v>46244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1825</v>
      </c>
      <c r="B29" s="1" t="s">
        <v>632</v>
      </c>
      <c r="C29" s="1" t="s">
        <v>59</v>
      </c>
      <c r="D29" s="1" t="s">
        <v>1826</v>
      </c>
      <c r="E29" s="1" t="s">
        <v>144</v>
      </c>
      <c r="F29" s="1" t="s">
        <v>634</v>
      </c>
      <c r="G29" s="1" t="s">
        <v>1827</v>
      </c>
      <c r="H29" s="8" t="s">
        <v>108</v>
      </c>
      <c r="I29" s="8" t="s">
        <v>123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1828</v>
      </c>
      <c r="B30" s="1" t="s">
        <v>210</v>
      </c>
      <c r="C30" s="1" t="s">
        <v>59</v>
      </c>
      <c r="D30" s="1" t="s">
        <v>1829</v>
      </c>
      <c r="E30" s="1" t="s">
        <v>212</v>
      </c>
      <c r="F30" s="1" t="s">
        <v>212</v>
      </c>
      <c r="G30" s="1" t="s">
        <v>213</v>
      </c>
      <c r="H30" s="8" t="s">
        <v>108</v>
      </c>
      <c r="I30" s="8" t="s">
        <v>123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1830</v>
      </c>
      <c r="B31" s="1" t="s">
        <v>215</v>
      </c>
      <c r="C31" s="1" t="s">
        <v>59</v>
      </c>
      <c r="D31" s="1" t="s">
        <v>1831</v>
      </c>
      <c r="E31" s="1" t="s">
        <v>144</v>
      </c>
      <c r="F31" s="1" t="s">
        <v>144</v>
      </c>
      <c r="G31" s="1" t="s">
        <v>1832</v>
      </c>
      <c r="H31" s="8" t="s">
        <v>108</v>
      </c>
      <c r="I31" s="8" t="s">
        <v>123</v>
      </c>
      <c r="J31" s="10" t="n">
        <v>46244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126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1835</v>
      </c>
      <c r="B9" s="12" t="s">
        <v>100</v>
      </c>
      <c r="C9" s="12" t="s">
        <v>60</v>
      </c>
      <c r="D9" s="13" t="s">
        <v>1836</v>
      </c>
      <c r="E9" s="12" t="s">
        <v>144</v>
      </c>
      <c r="F9" s="12" t="s">
        <v>145</v>
      </c>
      <c r="G9" s="13" t="s">
        <v>1837</v>
      </c>
      <c r="H9" s="12" t="s">
        <v>108</v>
      </c>
      <c r="I9" s="12" t="s">
        <v>123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1838</v>
      </c>
      <c r="B10" s="12" t="s">
        <v>1355</v>
      </c>
      <c r="C10" s="12" t="s">
        <v>60</v>
      </c>
      <c r="D10" s="13" t="s">
        <v>1839</v>
      </c>
      <c r="E10" s="12" t="s">
        <v>144</v>
      </c>
      <c r="F10" s="12" t="s">
        <v>164</v>
      </c>
      <c r="G10" s="13" t="s">
        <v>1840</v>
      </c>
      <c r="H10" s="12" t="s">
        <v>108</v>
      </c>
      <c r="I10" s="12" t="s">
        <v>123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1841</v>
      </c>
      <c r="B11" s="12" t="s">
        <v>148</v>
      </c>
      <c r="C11" s="12" t="s">
        <v>60</v>
      </c>
      <c r="D11" s="13" t="s">
        <v>1842</v>
      </c>
      <c r="E11" s="12" t="s">
        <v>144</v>
      </c>
      <c r="F11" s="12" t="s">
        <v>144</v>
      </c>
      <c r="G11" s="13" t="s">
        <v>150</v>
      </c>
      <c r="H11" s="12" t="s">
        <v>108</v>
      </c>
      <c r="I11" s="12" t="s">
        <v>123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1843</v>
      </c>
      <c r="B12" s="12" t="s">
        <v>152</v>
      </c>
      <c r="C12" s="12" t="s">
        <v>60</v>
      </c>
      <c r="D12" s="13" t="s">
        <v>1844</v>
      </c>
      <c r="E12" s="12" t="s">
        <v>144</v>
      </c>
      <c r="F12" s="12" t="s">
        <v>154</v>
      </c>
      <c r="G12" s="13" t="s">
        <v>1845</v>
      </c>
      <c r="H12" s="12" t="s">
        <v>108</v>
      </c>
      <c r="I12" s="12" t="s">
        <v>123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1846</v>
      </c>
      <c r="B13" s="12" t="s">
        <v>157</v>
      </c>
      <c r="C13" s="12" t="s">
        <v>60</v>
      </c>
      <c r="D13" s="13" t="s">
        <v>1847</v>
      </c>
      <c r="E13" s="12" t="s">
        <v>144</v>
      </c>
      <c r="F13" s="12" t="s">
        <v>159</v>
      </c>
      <c r="G13" s="13" t="s">
        <v>1848</v>
      </c>
      <c r="H13" s="12" t="s">
        <v>108</v>
      </c>
      <c r="I13" s="12" t="s">
        <v>123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1849</v>
      </c>
      <c r="B14" s="12" t="s">
        <v>1588</v>
      </c>
      <c r="C14" s="12" t="s">
        <v>60</v>
      </c>
      <c r="D14" s="13" t="s">
        <v>1850</v>
      </c>
      <c r="E14" s="12" t="s">
        <v>144</v>
      </c>
      <c r="F14" s="12" t="s">
        <v>169</v>
      </c>
      <c r="G14" s="13" t="s">
        <v>1851</v>
      </c>
      <c r="H14" s="12" t="s">
        <v>108</v>
      </c>
      <c r="I14" s="12" t="s">
        <v>123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1852</v>
      </c>
      <c r="B15" s="12" t="s">
        <v>1705</v>
      </c>
      <c r="C15" s="12" t="s">
        <v>60</v>
      </c>
      <c r="D15" s="13" t="s">
        <v>1853</v>
      </c>
      <c r="E15" s="12" t="s">
        <v>144</v>
      </c>
      <c r="F15" s="12" t="s">
        <v>179</v>
      </c>
      <c r="G15" s="13" t="s">
        <v>1854</v>
      </c>
      <c r="H15" s="12" t="s">
        <v>110</v>
      </c>
      <c r="I15" s="12" t="s">
        <v>122</v>
      </c>
      <c r="J15" s="14" t="n">
        <v>46229</v>
      </c>
      <c r="K15" s="13" t="s">
        <v>1781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1855</v>
      </c>
      <c r="B16" s="12" t="s">
        <v>1856</v>
      </c>
      <c r="C16" s="12" t="s">
        <v>60</v>
      </c>
      <c r="D16" s="13" t="s">
        <v>1857</v>
      </c>
      <c r="E16" s="12" t="s">
        <v>144</v>
      </c>
      <c r="F16" s="12" t="s">
        <v>179</v>
      </c>
      <c r="G16" s="13" t="s">
        <v>1854</v>
      </c>
      <c r="H16" s="12" t="s">
        <v>110</v>
      </c>
      <c r="I16" s="12" t="s">
        <v>122</v>
      </c>
      <c r="J16" s="14" t="n">
        <v>46229</v>
      </c>
      <c r="K16" s="13" t="s">
        <v>1858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1859</v>
      </c>
      <c r="B17" s="12" t="s">
        <v>1860</v>
      </c>
      <c r="C17" s="12" t="s">
        <v>60</v>
      </c>
      <c r="D17" s="13" t="s">
        <v>1861</v>
      </c>
      <c r="E17" s="12" t="s">
        <v>144</v>
      </c>
      <c r="F17" s="12" t="s">
        <v>169</v>
      </c>
      <c r="G17" s="13" t="s">
        <v>1862</v>
      </c>
      <c r="H17" s="12" t="s">
        <v>108</v>
      </c>
      <c r="I17" s="12" t="s">
        <v>123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1863</v>
      </c>
      <c r="B18" s="12" t="s">
        <v>1864</v>
      </c>
      <c r="C18" s="12" t="s">
        <v>60</v>
      </c>
      <c r="D18" s="13" t="s">
        <v>1865</v>
      </c>
      <c r="E18" s="12" t="s">
        <v>144</v>
      </c>
      <c r="F18" s="12" t="s">
        <v>169</v>
      </c>
      <c r="G18" s="13" t="s">
        <v>1851</v>
      </c>
      <c r="H18" s="12" t="s">
        <v>108</v>
      </c>
      <c r="I18" s="12" t="s">
        <v>123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1866</v>
      </c>
      <c r="B19" s="12" t="s">
        <v>1867</v>
      </c>
      <c r="C19" s="12" t="s">
        <v>60</v>
      </c>
      <c r="D19" s="13" t="s">
        <v>1868</v>
      </c>
      <c r="E19" s="12" t="s">
        <v>144</v>
      </c>
      <c r="F19" s="12" t="s">
        <v>169</v>
      </c>
      <c r="G19" s="13" t="s">
        <v>1869</v>
      </c>
      <c r="H19" s="12" t="s">
        <v>108</v>
      </c>
      <c r="I19" s="12" t="s">
        <v>123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1870</v>
      </c>
      <c r="B20" s="12" t="s">
        <v>192</v>
      </c>
      <c r="C20" s="12" t="s">
        <v>60</v>
      </c>
      <c r="D20" s="13" t="s">
        <v>1871</v>
      </c>
      <c r="E20" s="12" t="s">
        <v>144</v>
      </c>
      <c r="F20" s="12" t="s">
        <v>179</v>
      </c>
      <c r="G20" s="13" t="s">
        <v>1854</v>
      </c>
      <c r="H20" s="12" t="s">
        <v>110</v>
      </c>
      <c r="I20" s="12" t="s">
        <v>122</v>
      </c>
      <c r="J20" s="14" t="n">
        <v>46229</v>
      </c>
      <c r="K20" s="13" t="s">
        <v>1872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1873</v>
      </c>
      <c r="B21" s="12" t="s">
        <v>172</v>
      </c>
      <c r="C21" s="12" t="s">
        <v>60</v>
      </c>
      <c r="D21" s="13" t="s">
        <v>1874</v>
      </c>
      <c r="E21" s="12" t="s">
        <v>144</v>
      </c>
      <c r="F21" s="12" t="s">
        <v>174</v>
      </c>
      <c r="G21" s="13" t="s">
        <v>1851</v>
      </c>
      <c r="H21" s="12" t="s">
        <v>108</v>
      </c>
      <c r="I21" s="12" t="s">
        <v>123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1875</v>
      </c>
      <c r="B22" s="12" t="s">
        <v>183</v>
      </c>
      <c r="C22" s="12" t="s">
        <v>60</v>
      </c>
      <c r="D22" s="13" t="s">
        <v>1876</v>
      </c>
      <c r="E22" s="12" t="s">
        <v>144</v>
      </c>
      <c r="F22" s="12" t="s">
        <v>169</v>
      </c>
      <c r="G22" s="13" t="s">
        <v>1862</v>
      </c>
      <c r="H22" s="12" t="s">
        <v>108</v>
      </c>
      <c r="I22" s="12" t="s">
        <v>123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1877</v>
      </c>
      <c r="B23" s="12" t="s">
        <v>1878</v>
      </c>
      <c r="C23" s="12" t="s">
        <v>60</v>
      </c>
      <c r="D23" s="13" t="s">
        <v>1879</v>
      </c>
      <c r="E23" s="12" t="s">
        <v>144</v>
      </c>
      <c r="F23" s="12" t="s">
        <v>179</v>
      </c>
      <c r="G23" s="13" t="s">
        <v>1854</v>
      </c>
      <c r="H23" s="12" t="s">
        <v>110</v>
      </c>
      <c r="I23" s="12" t="s">
        <v>122</v>
      </c>
      <c r="J23" s="14" t="n">
        <v>46229</v>
      </c>
      <c r="K23" s="13" t="s">
        <v>1880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1881</v>
      </c>
      <c r="B24" s="12" t="s">
        <v>177</v>
      </c>
      <c r="C24" s="12" t="s">
        <v>60</v>
      </c>
      <c r="D24" s="13" t="s">
        <v>1882</v>
      </c>
      <c r="E24" s="12" t="s">
        <v>144</v>
      </c>
      <c r="F24" s="12" t="s">
        <v>179</v>
      </c>
      <c r="G24" s="13" t="s">
        <v>1854</v>
      </c>
      <c r="H24" s="12" t="s">
        <v>110</v>
      </c>
      <c r="I24" s="12" t="s">
        <v>122</v>
      </c>
      <c r="J24" s="14" t="n">
        <v>46229</v>
      </c>
      <c r="K24" s="13" t="s">
        <v>1883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1884</v>
      </c>
      <c r="B25" s="12" t="s">
        <v>197</v>
      </c>
      <c r="C25" s="12" t="s">
        <v>60</v>
      </c>
      <c r="D25" s="13" t="s">
        <v>1885</v>
      </c>
      <c r="E25" s="12" t="s">
        <v>144</v>
      </c>
      <c r="F25" s="12" t="s">
        <v>185</v>
      </c>
      <c r="G25" s="13" t="s">
        <v>1886</v>
      </c>
      <c r="H25" s="12" t="s">
        <v>102</v>
      </c>
      <c r="I25" s="12" t="s">
        <v>122</v>
      </c>
      <c r="J25" s="14" t="n">
        <v>46229</v>
      </c>
      <c r="K25" s="13" t="s">
        <v>1821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1887</v>
      </c>
      <c r="B26" s="12" t="s">
        <v>201</v>
      </c>
      <c r="C26" s="12" t="s">
        <v>60</v>
      </c>
      <c r="D26" s="13" t="s">
        <v>1888</v>
      </c>
      <c r="E26" s="12" t="s">
        <v>144</v>
      </c>
      <c r="F26" s="12" t="s">
        <v>203</v>
      </c>
      <c r="G26" s="13" t="s">
        <v>1889</v>
      </c>
      <c r="H26" s="12" t="s">
        <v>108</v>
      </c>
      <c r="I26" s="12" t="s">
        <v>123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1890</v>
      </c>
      <c r="B27" s="12" t="s">
        <v>206</v>
      </c>
      <c r="C27" s="12" t="s">
        <v>60</v>
      </c>
      <c r="D27" s="13" t="s">
        <v>1891</v>
      </c>
      <c r="E27" s="12" t="s">
        <v>144</v>
      </c>
      <c r="F27" s="12" t="s">
        <v>203</v>
      </c>
      <c r="G27" s="13" t="s">
        <v>1892</v>
      </c>
      <c r="H27" s="12" t="s">
        <v>108</v>
      </c>
      <c r="I27" s="12" t="s">
        <v>123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1893</v>
      </c>
      <c r="B28" s="12" t="s">
        <v>632</v>
      </c>
      <c r="C28" s="12" t="s">
        <v>60</v>
      </c>
      <c r="D28" s="13" t="s">
        <v>1894</v>
      </c>
      <c r="E28" s="12" t="s">
        <v>144</v>
      </c>
      <c r="F28" s="12" t="s">
        <v>634</v>
      </c>
      <c r="G28" s="13" t="s">
        <v>1895</v>
      </c>
      <c r="H28" s="12" t="s">
        <v>108</v>
      </c>
      <c r="I28" s="12" t="s">
        <v>123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1896</v>
      </c>
      <c r="B29" s="12" t="s">
        <v>210</v>
      </c>
      <c r="C29" s="12" t="s">
        <v>60</v>
      </c>
      <c r="D29" s="13" t="s">
        <v>1897</v>
      </c>
      <c r="E29" s="12" t="s">
        <v>212</v>
      </c>
      <c r="F29" s="12" t="s">
        <v>212</v>
      </c>
      <c r="G29" s="13" t="s">
        <v>213</v>
      </c>
      <c r="H29" s="12" t="s">
        <v>108</v>
      </c>
      <c r="I29" s="12" t="s">
        <v>123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1898</v>
      </c>
      <c r="B30" s="12" t="s">
        <v>215</v>
      </c>
      <c r="C30" s="12" t="s">
        <v>60</v>
      </c>
      <c r="D30" s="13" t="s">
        <v>1899</v>
      </c>
      <c r="E30" s="12" t="s">
        <v>144</v>
      </c>
      <c r="F30" s="12" t="s">
        <v>144</v>
      </c>
      <c r="G30" s="13" t="s">
        <v>217</v>
      </c>
      <c r="H30" s="12" t="s">
        <v>108</v>
      </c>
      <c r="I30" s="12" t="s">
        <v>123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42" hidden="false" customHeight="true" outlineLevel="0" collapsed="false">
      <c r="A9" s="1" t="s">
        <v>1901</v>
      </c>
      <c r="B9" s="1" t="s">
        <v>100</v>
      </c>
      <c r="C9" s="1" t="s">
        <v>1197</v>
      </c>
      <c r="D9" s="1" t="s">
        <v>1902</v>
      </c>
      <c r="E9" s="1" t="s">
        <v>144</v>
      </c>
      <c r="F9" s="1" t="s">
        <v>145</v>
      </c>
      <c r="G9" s="1" t="s">
        <v>1903</v>
      </c>
      <c r="H9" s="1" t="s">
        <v>108</v>
      </c>
      <c r="I9" s="1" t="s">
        <v>123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1904</v>
      </c>
      <c r="B10" s="1" t="s">
        <v>1355</v>
      </c>
      <c r="C10" s="1" t="s">
        <v>1197</v>
      </c>
      <c r="D10" s="1" t="s">
        <v>1905</v>
      </c>
      <c r="E10" s="1" t="s">
        <v>144</v>
      </c>
      <c r="F10" s="1" t="s">
        <v>164</v>
      </c>
      <c r="G10" s="1" t="s">
        <v>1906</v>
      </c>
      <c r="H10" s="1" t="s">
        <v>108</v>
      </c>
      <c r="I10" s="1" t="s">
        <v>123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1907</v>
      </c>
      <c r="B11" s="1" t="s">
        <v>148</v>
      </c>
      <c r="C11" s="1" t="s">
        <v>1908</v>
      </c>
      <c r="D11" s="1" t="s">
        <v>1909</v>
      </c>
      <c r="E11" s="1" t="s">
        <v>144</v>
      </c>
      <c r="F11" s="1" t="s">
        <v>144</v>
      </c>
      <c r="G11" s="1" t="s">
        <v>1910</v>
      </c>
      <c r="H11" s="1" t="s">
        <v>108</v>
      </c>
      <c r="I11" s="1" t="s">
        <v>123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1911</v>
      </c>
      <c r="B12" s="1" t="s">
        <v>152</v>
      </c>
      <c r="C12" s="1" t="s">
        <v>1197</v>
      </c>
      <c r="D12" s="1" t="s">
        <v>1912</v>
      </c>
      <c r="E12" s="1" t="s">
        <v>144</v>
      </c>
      <c r="F12" s="1" t="s">
        <v>154</v>
      </c>
      <c r="G12" s="1" t="s">
        <v>1913</v>
      </c>
      <c r="H12" s="1" t="s">
        <v>108</v>
      </c>
      <c r="I12" s="1" t="s">
        <v>123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1914</v>
      </c>
      <c r="B13" s="1" t="s">
        <v>157</v>
      </c>
      <c r="C13" s="1" t="s">
        <v>1197</v>
      </c>
      <c r="D13" s="1" t="s">
        <v>1915</v>
      </c>
      <c r="E13" s="1" t="s">
        <v>144</v>
      </c>
      <c r="F13" s="1" t="s">
        <v>159</v>
      </c>
      <c r="G13" s="1" t="s">
        <v>1916</v>
      </c>
      <c r="H13" s="1" t="s">
        <v>108</v>
      </c>
      <c r="I13" s="1" t="s">
        <v>123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1917</v>
      </c>
      <c r="B14" s="1" t="s">
        <v>1588</v>
      </c>
      <c r="C14" s="1" t="s">
        <v>1918</v>
      </c>
      <c r="D14" s="1" t="s">
        <v>1919</v>
      </c>
      <c r="E14" s="1" t="s">
        <v>144</v>
      </c>
      <c r="F14" s="1" t="s">
        <v>169</v>
      </c>
      <c r="G14" s="1" t="s">
        <v>1920</v>
      </c>
      <c r="H14" s="1" t="s">
        <v>108</v>
      </c>
      <c r="I14" s="1" t="s">
        <v>123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1921</v>
      </c>
      <c r="B15" s="1" t="s">
        <v>1710</v>
      </c>
      <c r="C15" s="1" t="s">
        <v>1922</v>
      </c>
      <c r="D15" s="1" t="s">
        <v>1923</v>
      </c>
      <c r="E15" s="1" t="s">
        <v>144</v>
      </c>
      <c r="F15" s="1" t="s">
        <v>179</v>
      </c>
      <c r="G15" s="1" t="s">
        <v>1924</v>
      </c>
      <c r="H15" s="1" t="s">
        <v>110</v>
      </c>
      <c r="I15" s="1" t="s">
        <v>122</v>
      </c>
      <c r="J15" s="10" t="n">
        <v>46230</v>
      </c>
      <c r="K15" s="1" t="s">
        <v>1925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1926</v>
      </c>
      <c r="B16" s="1" t="s">
        <v>1355</v>
      </c>
      <c r="C16" s="1" t="s">
        <v>1927</v>
      </c>
      <c r="D16" s="1" t="s">
        <v>1928</v>
      </c>
      <c r="E16" s="1" t="s">
        <v>144</v>
      </c>
      <c r="F16" s="1" t="s">
        <v>179</v>
      </c>
      <c r="G16" s="1" t="s">
        <v>1924</v>
      </c>
      <c r="H16" s="1" t="s">
        <v>110</v>
      </c>
      <c r="I16" s="1" t="s">
        <v>122</v>
      </c>
      <c r="J16" s="10" t="n">
        <v>46230</v>
      </c>
      <c r="K16" s="1" t="s">
        <v>1929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1930</v>
      </c>
      <c r="B17" s="1" t="s">
        <v>1931</v>
      </c>
      <c r="C17" s="1" t="s">
        <v>1932</v>
      </c>
      <c r="D17" s="1" t="s">
        <v>1933</v>
      </c>
      <c r="E17" s="1" t="s">
        <v>144</v>
      </c>
      <c r="F17" s="1" t="s">
        <v>169</v>
      </c>
      <c r="G17" s="1" t="s">
        <v>1920</v>
      </c>
      <c r="H17" s="1" t="s">
        <v>108</v>
      </c>
      <c r="I17" s="1" t="s">
        <v>123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1934</v>
      </c>
      <c r="B18" s="1" t="s">
        <v>1601</v>
      </c>
      <c r="C18" s="1" t="s">
        <v>1935</v>
      </c>
      <c r="D18" s="1" t="s">
        <v>1936</v>
      </c>
      <c r="E18" s="1" t="s">
        <v>144</v>
      </c>
      <c r="F18" s="1" t="s">
        <v>169</v>
      </c>
      <c r="G18" s="1" t="s">
        <v>1937</v>
      </c>
      <c r="H18" s="1" t="s">
        <v>108</v>
      </c>
      <c r="I18" s="1" t="s">
        <v>123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1938</v>
      </c>
      <c r="B19" s="1" t="s">
        <v>1939</v>
      </c>
      <c r="C19" s="1" t="s">
        <v>1940</v>
      </c>
      <c r="D19" s="1" t="s">
        <v>1941</v>
      </c>
      <c r="E19" s="1" t="s">
        <v>144</v>
      </c>
      <c r="F19" s="1" t="s">
        <v>169</v>
      </c>
      <c r="G19" s="1" t="s">
        <v>1920</v>
      </c>
      <c r="H19" s="1" t="s">
        <v>108</v>
      </c>
      <c r="I19" s="1" t="s">
        <v>123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1942</v>
      </c>
      <c r="B20" s="1" t="s">
        <v>1595</v>
      </c>
      <c r="C20" s="1" t="s">
        <v>1429</v>
      </c>
      <c r="D20" s="1" t="s">
        <v>1943</v>
      </c>
      <c r="E20" s="1" t="s">
        <v>144</v>
      </c>
      <c r="F20" s="1" t="s">
        <v>169</v>
      </c>
      <c r="G20" s="1" t="s">
        <v>1920</v>
      </c>
      <c r="H20" s="1" t="s">
        <v>108</v>
      </c>
      <c r="I20" s="1" t="s">
        <v>123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1944</v>
      </c>
      <c r="B21" s="1" t="s">
        <v>192</v>
      </c>
      <c r="C21" s="1" t="s">
        <v>1945</v>
      </c>
      <c r="D21" s="1" t="s">
        <v>1946</v>
      </c>
      <c r="E21" s="1" t="s">
        <v>144</v>
      </c>
      <c r="F21" s="1" t="s">
        <v>169</v>
      </c>
      <c r="G21" s="1" t="s">
        <v>1947</v>
      </c>
      <c r="H21" s="1" t="s">
        <v>108</v>
      </c>
      <c r="I21" s="1" t="s">
        <v>123</v>
      </c>
      <c r="J21" s="10" t="n">
        <v>46230</v>
      </c>
      <c r="K21" s="1" t="s">
        <v>1805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1948</v>
      </c>
      <c r="B22" s="1" t="s">
        <v>183</v>
      </c>
      <c r="C22" s="1" t="s">
        <v>1922</v>
      </c>
      <c r="D22" s="1" t="s">
        <v>1949</v>
      </c>
      <c r="E22" s="1" t="s">
        <v>144</v>
      </c>
      <c r="F22" s="1" t="s">
        <v>169</v>
      </c>
      <c r="G22" s="1" t="s">
        <v>1937</v>
      </c>
      <c r="H22" s="1" t="s">
        <v>108</v>
      </c>
      <c r="I22" s="1" t="s">
        <v>123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1950</v>
      </c>
      <c r="B23" s="1" t="s">
        <v>1242</v>
      </c>
      <c r="C23" s="1" t="s">
        <v>1922</v>
      </c>
      <c r="D23" s="1" t="s">
        <v>1951</v>
      </c>
      <c r="E23" s="1" t="s">
        <v>144</v>
      </c>
      <c r="F23" s="1" t="s">
        <v>169</v>
      </c>
      <c r="G23" s="1" t="s">
        <v>1920</v>
      </c>
      <c r="H23" s="1" t="s">
        <v>108</v>
      </c>
      <c r="I23" s="1" t="s">
        <v>123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1952</v>
      </c>
      <c r="B24" s="1" t="s">
        <v>172</v>
      </c>
      <c r="C24" s="1" t="s">
        <v>1197</v>
      </c>
      <c r="D24" s="1" t="s">
        <v>1953</v>
      </c>
      <c r="E24" s="1" t="s">
        <v>144</v>
      </c>
      <c r="F24" s="1" t="s">
        <v>174</v>
      </c>
      <c r="G24" s="1" t="s">
        <v>1920</v>
      </c>
      <c r="H24" s="1" t="s">
        <v>108</v>
      </c>
      <c r="I24" s="1" t="s">
        <v>123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1954</v>
      </c>
      <c r="B25" s="1" t="s">
        <v>177</v>
      </c>
      <c r="C25" s="1" t="s">
        <v>1908</v>
      </c>
      <c r="D25" s="1" t="s">
        <v>1955</v>
      </c>
      <c r="E25" s="1" t="s">
        <v>144</v>
      </c>
      <c r="F25" s="1" t="s">
        <v>179</v>
      </c>
      <c r="G25" s="1" t="s">
        <v>1924</v>
      </c>
      <c r="H25" s="1" t="s">
        <v>110</v>
      </c>
      <c r="I25" s="1" t="s">
        <v>122</v>
      </c>
      <c r="J25" s="10" t="n">
        <v>46230</v>
      </c>
      <c r="K25" s="1" t="s">
        <v>1956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1957</v>
      </c>
      <c r="B26" s="1" t="s">
        <v>1595</v>
      </c>
      <c r="C26" s="1" t="s">
        <v>1958</v>
      </c>
      <c r="D26" s="1" t="s">
        <v>1959</v>
      </c>
      <c r="E26" s="1" t="s">
        <v>144</v>
      </c>
      <c r="F26" s="1" t="s">
        <v>169</v>
      </c>
      <c r="G26" s="1" t="s">
        <v>1920</v>
      </c>
      <c r="H26" s="1" t="s">
        <v>108</v>
      </c>
      <c r="I26" s="1" t="s">
        <v>123</v>
      </c>
      <c r="J26" s="10" t="n">
        <v>46230</v>
      </c>
      <c r="K26" s="1" t="s">
        <v>1817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1960</v>
      </c>
      <c r="B27" s="1" t="s">
        <v>197</v>
      </c>
      <c r="C27" s="1" t="s">
        <v>61</v>
      </c>
      <c r="D27" s="1" t="s">
        <v>1961</v>
      </c>
      <c r="E27" s="1" t="s">
        <v>144</v>
      </c>
      <c r="F27" s="1" t="s">
        <v>185</v>
      </c>
      <c r="G27" s="1" t="s">
        <v>1962</v>
      </c>
      <c r="H27" s="1" t="s">
        <v>102</v>
      </c>
      <c r="I27" s="1" t="s">
        <v>122</v>
      </c>
      <c r="J27" s="10" t="n">
        <v>46230</v>
      </c>
      <c r="K27" s="1" t="s">
        <v>1821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1963</v>
      </c>
      <c r="B28" s="1" t="s">
        <v>201</v>
      </c>
      <c r="C28" s="1" t="s">
        <v>61</v>
      </c>
      <c r="D28" s="1" t="s">
        <v>1964</v>
      </c>
      <c r="E28" s="1" t="s">
        <v>144</v>
      </c>
      <c r="F28" s="1" t="s">
        <v>203</v>
      </c>
      <c r="G28" s="1" t="s">
        <v>1965</v>
      </c>
      <c r="H28" s="1" t="s">
        <v>108</v>
      </c>
      <c r="I28" s="1" t="s">
        <v>123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1966</v>
      </c>
      <c r="B29" s="1" t="s">
        <v>632</v>
      </c>
      <c r="C29" s="1" t="s">
        <v>61</v>
      </c>
      <c r="D29" s="1" t="s">
        <v>1967</v>
      </c>
      <c r="E29" s="1" t="s">
        <v>144</v>
      </c>
      <c r="F29" s="1" t="s">
        <v>634</v>
      </c>
      <c r="G29" s="1" t="s">
        <v>1968</v>
      </c>
      <c r="H29" s="1" t="s">
        <v>108</v>
      </c>
      <c r="I29" s="1" t="s">
        <v>123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1969</v>
      </c>
      <c r="B30" s="1" t="s">
        <v>210</v>
      </c>
      <c r="C30" s="1" t="s">
        <v>61</v>
      </c>
      <c r="D30" s="1" t="s">
        <v>1970</v>
      </c>
      <c r="E30" s="1" t="s">
        <v>212</v>
      </c>
      <c r="F30" s="1" t="s">
        <v>212</v>
      </c>
      <c r="G30" s="1" t="s">
        <v>213</v>
      </c>
      <c r="H30" s="1" t="s">
        <v>108</v>
      </c>
      <c r="I30" s="1" t="s">
        <v>123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1971</v>
      </c>
      <c r="B31" s="1" t="s">
        <v>215</v>
      </c>
      <c r="C31" s="1" t="s">
        <v>61</v>
      </c>
      <c r="D31" s="1" t="s">
        <v>1972</v>
      </c>
      <c r="E31" s="1" t="s">
        <v>144</v>
      </c>
      <c r="F31" s="1" t="s">
        <v>144</v>
      </c>
      <c r="G31" s="1" t="s">
        <v>217</v>
      </c>
      <c r="H31" s="1" t="s">
        <v>108</v>
      </c>
      <c r="I31" s="1" t="s">
        <v>123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42" hidden="false" customHeight="true" outlineLevel="0" collapsed="false">
      <c r="A9" s="1" t="s">
        <v>1974</v>
      </c>
      <c r="B9" s="1" t="s">
        <v>100</v>
      </c>
      <c r="C9" s="1" t="s">
        <v>1197</v>
      </c>
      <c r="D9" s="1" t="s">
        <v>1975</v>
      </c>
      <c r="E9" s="1" t="s">
        <v>144</v>
      </c>
      <c r="F9" s="1" t="s">
        <v>145</v>
      </c>
      <c r="G9" s="1" t="s">
        <v>1976</v>
      </c>
      <c r="H9" s="1" t="s">
        <v>108</v>
      </c>
      <c r="I9" s="1" t="s">
        <v>123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1977</v>
      </c>
      <c r="B10" s="1" t="s">
        <v>1355</v>
      </c>
      <c r="C10" s="1" t="s">
        <v>1197</v>
      </c>
      <c r="D10" s="1" t="s">
        <v>1978</v>
      </c>
      <c r="E10" s="1" t="s">
        <v>144</v>
      </c>
      <c r="F10" s="1" t="s">
        <v>164</v>
      </c>
      <c r="G10" s="1" t="s">
        <v>1979</v>
      </c>
      <c r="H10" s="1" t="s">
        <v>108</v>
      </c>
      <c r="I10" s="1" t="s">
        <v>123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1980</v>
      </c>
      <c r="B11" s="1" t="s">
        <v>148</v>
      </c>
      <c r="C11" s="1" t="s">
        <v>1981</v>
      </c>
      <c r="D11" s="1" t="s">
        <v>1982</v>
      </c>
      <c r="E11" s="1" t="s">
        <v>144</v>
      </c>
      <c r="F11" s="1" t="s">
        <v>144</v>
      </c>
      <c r="G11" s="1" t="s">
        <v>1910</v>
      </c>
      <c r="H11" s="1" t="s">
        <v>108</v>
      </c>
      <c r="I11" s="1" t="s">
        <v>123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1983</v>
      </c>
      <c r="B12" s="1" t="s">
        <v>152</v>
      </c>
      <c r="C12" s="1" t="s">
        <v>1197</v>
      </c>
      <c r="D12" s="1" t="s">
        <v>1984</v>
      </c>
      <c r="E12" s="1" t="s">
        <v>144</v>
      </c>
      <c r="F12" s="1" t="s">
        <v>154</v>
      </c>
      <c r="G12" s="1" t="s">
        <v>1985</v>
      </c>
      <c r="H12" s="1" t="s">
        <v>108</v>
      </c>
      <c r="I12" s="1" t="s">
        <v>123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1986</v>
      </c>
      <c r="B13" s="1" t="s">
        <v>157</v>
      </c>
      <c r="C13" s="1" t="s">
        <v>1197</v>
      </c>
      <c r="D13" s="1" t="s">
        <v>1987</v>
      </c>
      <c r="E13" s="1" t="s">
        <v>144</v>
      </c>
      <c r="F13" s="1" t="s">
        <v>159</v>
      </c>
      <c r="G13" s="1" t="s">
        <v>1988</v>
      </c>
      <c r="H13" s="1" t="s">
        <v>108</v>
      </c>
      <c r="I13" s="1" t="s">
        <v>123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1989</v>
      </c>
      <c r="B14" s="1" t="s">
        <v>1990</v>
      </c>
      <c r="C14" s="1" t="s">
        <v>1429</v>
      </c>
      <c r="D14" s="1" t="s">
        <v>1991</v>
      </c>
      <c r="E14" s="1" t="s">
        <v>144</v>
      </c>
      <c r="F14" s="1" t="s">
        <v>169</v>
      </c>
      <c r="G14" s="1" t="s">
        <v>1992</v>
      </c>
      <c r="H14" s="1" t="s">
        <v>108</v>
      </c>
      <c r="I14" s="1" t="s">
        <v>123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1993</v>
      </c>
      <c r="B15" s="1" t="s">
        <v>1710</v>
      </c>
      <c r="C15" s="1" t="s">
        <v>1922</v>
      </c>
      <c r="D15" s="1" t="s">
        <v>1994</v>
      </c>
      <c r="E15" s="1" t="s">
        <v>144</v>
      </c>
      <c r="F15" s="1" t="s">
        <v>179</v>
      </c>
      <c r="G15" s="1" t="s">
        <v>1995</v>
      </c>
      <c r="H15" s="1" t="s">
        <v>110</v>
      </c>
      <c r="I15" s="1" t="s">
        <v>122</v>
      </c>
      <c r="J15" s="10" t="n">
        <v>46230</v>
      </c>
      <c r="K15" s="1" t="s">
        <v>1996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1997</v>
      </c>
      <c r="B16" s="1" t="s">
        <v>1355</v>
      </c>
      <c r="C16" s="1" t="s">
        <v>1998</v>
      </c>
      <c r="D16" s="1" t="s">
        <v>1999</v>
      </c>
      <c r="E16" s="1" t="s">
        <v>144</v>
      </c>
      <c r="F16" s="1" t="s">
        <v>179</v>
      </c>
      <c r="G16" s="1" t="s">
        <v>1995</v>
      </c>
      <c r="H16" s="1" t="s">
        <v>110</v>
      </c>
      <c r="I16" s="1" t="s">
        <v>122</v>
      </c>
      <c r="J16" s="10" t="n">
        <v>46230</v>
      </c>
      <c r="K16" s="1" t="s">
        <v>1996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2000</v>
      </c>
      <c r="B17" s="1" t="s">
        <v>1931</v>
      </c>
      <c r="C17" s="1" t="s">
        <v>1932</v>
      </c>
      <c r="D17" s="1" t="s">
        <v>2001</v>
      </c>
      <c r="E17" s="1" t="s">
        <v>144</v>
      </c>
      <c r="F17" s="1" t="s">
        <v>169</v>
      </c>
      <c r="G17" s="1" t="s">
        <v>1992</v>
      </c>
      <c r="H17" s="1" t="s">
        <v>108</v>
      </c>
      <c r="I17" s="1" t="s">
        <v>123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2002</v>
      </c>
      <c r="B18" s="1" t="s">
        <v>1601</v>
      </c>
      <c r="C18" s="1" t="s">
        <v>1935</v>
      </c>
      <c r="D18" s="1" t="s">
        <v>2003</v>
      </c>
      <c r="E18" s="1" t="s">
        <v>144</v>
      </c>
      <c r="F18" s="1" t="s">
        <v>169</v>
      </c>
      <c r="G18" s="1" t="s">
        <v>1992</v>
      </c>
      <c r="H18" s="1" t="s">
        <v>108</v>
      </c>
      <c r="I18" s="1" t="s">
        <v>123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2004</v>
      </c>
      <c r="B19" s="1" t="s">
        <v>1939</v>
      </c>
      <c r="C19" s="1" t="s">
        <v>1940</v>
      </c>
      <c r="D19" s="1" t="s">
        <v>2005</v>
      </c>
      <c r="E19" s="1" t="s">
        <v>144</v>
      </c>
      <c r="F19" s="1" t="s">
        <v>169</v>
      </c>
      <c r="G19" s="1" t="s">
        <v>1992</v>
      </c>
      <c r="H19" s="1" t="s">
        <v>108</v>
      </c>
      <c r="I19" s="1" t="s">
        <v>123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2006</v>
      </c>
      <c r="B20" s="1" t="s">
        <v>1595</v>
      </c>
      <c r="C20" s="1" t="s">
        <v>1958</v>
      </c>
      <c r="D20" s="1" t="s">
        <v>1959</v>
      </c>
      <c r="E20" s="1" t="s">
        <v>144</v>
      </c>
      <c r="F20" s="1" t="s">
        <v>169</v>
      </c>
      <c r="G20" s="1" t="s">
        <v>1992</v>
      </c>
      <c r="H20" s="1" t="s">
        <v>108</v>
      </c>
      <c r="I20" s="1" t="s">
        <v>123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2007</v>
      </c>
      <c r="B21" s="1" t="s">
        <v>192</v>
      </c>
      <c r="C21" s="1" t="s">
        <v>2008</v>
      </c>
      <c r="D21" s="1" t="s">
        <v>2009</v>
      </c>
      <c r="E21" s="1" t="s">
        <v>144</v>
      </c>
      <c r="F21" s="1" t="s">
        <v>169</v>
      </c>
      <c r="G21" s="1" t="s">
        <v>1992</v>
      </c>
      <c r="H21" s="1" t="s">
        <v>108</v>
      </c>
      <c r="I21" s="1" t="s">
        <v>123</v>
      </c>
      <c r="J21" s="10" t="n">
        <v>46230</v>
      </c>
      <c r="K21" s="1" t="s">
        <v>1805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2010</v>
      </c>
      <c r="B22" s="1" t="s">
        <v>183</v>
      </c>
      <c r="C22" s="1" t="s">
        <v>1197</v>
      </c>
      <c r="D22" s="1" t="s">
        <v>2011</v>
      </c>
      <c r="E22" s="1" t="s">
        <v>144</v>
      </c>
      <c r="F22" s="1" t="s">
        <v>169</v>
      </c>
      <c r="G22" s="1" t="s">
        <v>1992</v>
      </c>
      <c r="H22" s="1" t="s">
        <v>108</v>
      </c>
      <c r="I22" s="1" t="s">
        <v>123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2012</v>
      </c>
      <c r="B23" s="1" t="s">
        <v>1242</v>
      </c>
      <c r="C23" s="1" t="s">
        <v>1197</v>
      </c>
      <c r="D23" s="1" t="s">
        <v>2013</v>
      </c>
      <c r="E23" s="1" t="s">
        <v>144</v>
      </c>
      <c r="F23" s="1" t="s">
        <v>169</v>
      </c>
      <c r="G23" s="1" t="s">
        <v>1992</v>
      </c>
      <c r="H23" s="1" t="s">
        <v>108</v>
      </c>
      <c r="I23" s="1" t="s">
        <v>123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2014</v>
      </c>
      <c r="B24" s="1" t="s">
        <v>172</v>
      </c>
      <c r="C24" s="1" t="s">
        <v>1197</v>
      </c>
      <c r="D24" s="1" t="s">
        <v>2015</v>
      </c>
      <c r="E24" s="1" t="s">
        <v>144</v>
      </c>
      <c r="F24" s="1" t="s">
        <v>174</v>
      </c>
      <c r="G24" s="1" t="s">
        <v>1992</v>
      </c>
      <c r="H24" s="1" t="s">
        <v>108</v>
      </c>
      <c r="I24" s="1" t="s">
        <v>123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2016</v>
      </c>
      <c r="B25" s="1" t="s">
        <v>177</v>
      </c>
      <c r="C25" s="1" t="s">
        <v>1197</v>
      </c>
      <c r="D25" s="1" t="s">
        <v>2017</v>
      </c>
      <c r="E25" s="1" t="s">
        <v>144</v>
      </c>
      <c r="F25" s="1" t="s">
        <v>179</v>
      </c>
      <c r="G25" s="1" t="s">
        <v>1995</v>
      </c>
      <c r="H25" s="1" t="s">
        <v>110</v>
      </c>
      <c r="I25" s="1" t="s">
        <v>122</v>
      </c>
      <c r="J25" s="10" t="n">
        <v>46230</v>
      </c>
      <c r="K25" s="1" t="s">
        <v>2018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2019</v>
      </c>
      <c r="B26" s="1" t="s">
        <v>2020</v>
      </c>
      <c r="C26" s="1" t="s">
        <v>1197</v>
      </c>
      <c r="D26" s="1" t="s">
        <v>2021</v>
      </c>
      <c r="E26" s="1" t="s">
        <v>144</v>
      </c>
      <c r="F26" s="1" t="s">
        <v>169</v>
      </c>
      <c r="G26" s="1" t="s">
        <v>1992</v>
      </c>
      <c r="H26" s="1" t="s">
        <v>108</v>
      </c>
      <c r="I26" s="1" t="s">
        <v>123</v>
      </c>
      <c r="J26" s="10" t="n">
        <v>46230</v>
      </c>
      <c r="K26" s="1" t="s">
        <v>1817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2022</v>
      </c>
      <c r="B27" s="1" t="s">
        <v>197</v>
      </c>
      <c r="C27" s="1" t="s">
        <v>62</v>
      </c>
      <c r="D27" s="1" t="s">
        <v>1961</v>
      </c>
      <c r="E27" s="1" t="s">
        <v>144</v>
      </c>
      <c r="F27" s="1" t="s">
        <v>185</v>
      </c>
      <c r="G27" s="1" t="s">
        <v>2023</v>
      </c>
      <c r="H27" s="1" t="s">
        <v>102</v>
      </c>
      <c r="I27" s="1" t="s">
        <v>122</v>
      </c>
      <c r="J27" s="10" t="n">
        <v>46230</v>
      </c>
      <c r="K27" s="1" t="s">
        <v>1821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2024</v>
      </c>
      <c r="B28" s="1" t="s">
        <v>201</v>
      </c>
      <c r="C28" s="1" t="s">
        <v>62</v>
      </c>
      <c r="D28" s="1" t="s">
        <v>1964</v>
      </c>
      <c r="E28" s="1" t="s">
        <v>144</v>
      </c>
      <c r="F28" s="1" t="s">
        <v>203</v>
      </c>
      <c r="G28" s="1" t="s">
        <v>2025</v>
      </c>
      <c r="H28" s="1" t="s">
        <v>108</v>
      </c>
      <c r="I28" s="1" t="s">
        <v>123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2026</v>
      </c>
      <c r="B29" s="1" t="s">
        <v>632</v>
      </c>
      <c r="C29" s="1" t="s">
        <v>62</v>
      </c>
      <c r="D29" s="1" t="s">
        <v>1967</v>
      </c>
      <c r="E29" s="1" t="s">
        <v>144</v>
      </c>
      <c r="F29" s="1" t="s">
        <v>634</v>
      </c>
      <c r="G29" s="1" t="s">
        <v>2027</v>
      </c>
      <c r="H29" s="1" t="s">
        <v>108</v>
      </c>
      <c r="I29" s="1" t="s">
        <v>123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2028</v>
      </c>
      <c r="B30" s="1" t="s">
        <v>210</v>
      </c>
      <c r="C30" s="1" t="s">
        <v>62</v>
      </c>
      <c r="D30" s="1" t="s">
        <v>1970</v>
      </c>
      <c r="E30" s="1" t="s">
        <v>212</v>
      </c>
      <c r="F30" s="1" t="s">
        <v>212</v>
      </c>
      <c r="G30" s="1" t="s">
        <v>213</v>
      </c>
      <c r="H30" s="1" t="s">
        <v>108</v>
      </c>
      <c r="I30" s="1" t="s">
        <v>123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2029</v>
      </c>
      <c r="B31" s="1" t="s">
        <v>215</v>
      </c>
      <c r="C31" s="1" t="s">
        <v>62</v>
      </c>
      <c r="D31" s="1" t="s">
        <v>1972</v>
      </c>
      <c r="E31" s="1" t="s">
        <v>144</v>
      </c>
      <c r="F31" s="1" t="s">
        <v>144</v>
      </c>
      <c r="G31" s="1" t="s">
        <v>217</v>
      </c>
      <c r="H31" s="1" t="s">
        <v>108</v>
      </c>
      <c r="I31" s="1" t="s">
        <v>123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42" hidden="false" customHeight="true" outlineLevel="0" collapsed="false">
      <c r="A9" s="1" t="s">
        <v>2031</v>
      </c>
      <c r="B9" s="1" t="s">
        <v>100</v>
      </c>
      <c r="C9" s="1" t="s">
        <v>1197</v>
      </c>
      <c r="D9" s="1" t="s">
        <v>2032</v>
      </c>
      <c r="E9" s="1" t="s">
        <v>144</v>
      </c>
      <c r="F9" s="1" t="s">
        <v>145</v>
      </c>
      <c r="G9" s="1" t="s">
        <v>2033</v>
      </c>
      <c r="H9" s="1" t="s">
        <v>108</v>
      </c>
      <c r="I9" s="1" t="s">
        <v>123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2034</v>
      </c>
      <c r="B10" s="1" t="s">
        <v>1355</v>
      </c>
      <c r="C10" s="1" t="s">
        <v>1197</v>
      </c>
      <c r="D10" s="1" t="s">
        <v>1978</v>
      </c>
      <c r="E10" s="1" t="s">
        <v>144</v>
      </c>
      <c r="F10" s="1" t="s">
        <v>164</v>
      </c>
      <c r="G10" s="1" t="s">
        <v>2035</v>
      </c>
      <c r="H10" s="1" t="s">
        <v>108</v>
      </c>
      <c r="I10" s="1" t="s">
        <v>123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2036</v>
      </c>
      <c r="B11" s="1" t="s">
        <v>148</v>
      </c>
      <c r="C11" s="1" t="s">
        <v>63</v>
      </c>
      <c r="D11" s="1" t="s">
        <v>1982</v>
      </c>
      <c r="E11" s="1" t="s">
        <v>144</v>
      </c>
      <c r="F11" s="1" t="s">
        <v>144</v>
      </c>
      <c r="G11" s="1" t="s">
        <v>1910</v>
      </c>
      <c r="H11" s="1" t="s">
        <v>108</v>
      </c>
      <c r="I11" s="1" t="s">
        <v>123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2037</v>
      </c>
      <c r="B12" s="1" t="s">
        <v>152</v>
      </c>
      <c r="C12" s="1" t="s">
        <v>1197</v>
      </c>
      <c r="D12" s="1" t="s">
        <v>1984</v>
      </c>
      <c r="E12" s="1" t="s">
        <v>144</v>
      </c>
      <c r="F12" s="1" t="s">
        <v>154</v>
      </c>
      <c r="G12" s="1" t="s">
        <v>2038</v>
      </c>
      <c r="H12" s="1" t="s">
        <v>108</v>
      </c>
      <c r="I12" s="1" t="s">
        <v>123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2039</v>
      </c>
      <c r="B13" s="1" t="s">
        <v>157</v>
      </c>
      <c r="C13" s="1" t="s">
        <v>1197</v>
      </c>
      <c r="D13" s="1" t="s">
        <v>1987</v>
      </c>
      <c r="E13" s="1" t="s">
        <v>144</v>
      </c>
      <c r="F13" s="1" t="s">
        <v>159</v>
      </c>
      <c r="G13" s="1" t="s">
        <v>2040</v>
      </c>
      <c r="H13" s="1" t="s">
        <v>108</v>
      </c>
      <c r="I13" s="1" t="s">
        <v>123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2041</v>
      </c>
      <c r="B14" s="1" t="s">
        <v>1588</v>
      </c>
      <c r="C14" s="1" t="s">
        <v>2042</v>
      </c>
      <c r="D14" s="1" t="s">
        <v>2043</v>
      </c>
      <c r="E14" s="1" t="s">
        <v>144</v>
      </c>
      <c r="F14" s="1" t="s">
        <v>169</v>
      </c>
      <c r="G14" s="1" t="s">
        <v>2044</v>
      </c>
      <c r="H14" s="1" t="s">
        <v>108</v>
      </c>
      <c r="I14" s="1" t="s">
        <v>123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2045</v>
      </c>
      <c r="B15" s="1" t="s">
        <v>2046</v>
      </c>
      <c r="C15" s="1" t="s">
        <v>1396</v>
      </c>
      <c r="D15" s="1" t="s">
        <v>2047</v>
      </c>
      <c r="E15" s="1" t="s">
        <v>144</v>
      </c>
      <c r="F15" s="1" t="s">
        <v>169</v>
      </c>
      <c r="G15" s="1" t="s">
        <v>2044</v>
      </c>
      <c r="H15" s="1" t="s">
        <v>108</v>
      </c>
      <c r="I15" s="1" t="s">
        <v>123</v>
      </c>
      <c r="J15" s="10" t="n">
        <v>46230</v>
      </c>
      <c r="K15" s="1" t="s">
        <v>1781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2048</v>
      </c>
      <c r="B16" s="1" t="s">
        <v>1710</v>
      </c>
      <c r="C16" s="1" t="s">
        <v>2049</v>
      </c>
      <c r="D16" s="1" t="s">
        <v>2050</v>
      </c>
      <c r="E16" s="1" t="s">
        <v>144</v>
      </c>
      <c r="F16" s="1" t="s">
        <v>179</v>
      </c>
      <c r="G16" s="1" t="s">
        <v>2051</v>
      </c>
      <c r="H16" s="1" t="s">
        <v>110</v>
      </c>
      <c r="I16" s="1" t="s">
        <v>122</v>
      </c>
      <c r="J16" s="10" t="n">
        <v>46230</v>
      </c>
      <c r="K16" s="1" t="s">
        <v>1996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2052</v>
      </c>
      <c r="B17" s="1" t="s">
        <v>1601</v>
      </c>
      <c r="C17" s="1" t="s">
        <v>2053</v>
      </c>
      <c r="D17" s="1" t="s">
        <v>2054</v>
      </c>
      <c r="E17" s="1" t="s">
        <v>144</v>
      </c>
      <c r="F17" s="1" t="s">
        <v>169</v>
      </c>
      <c r="G17" s="1" t="s">
        <v>2044</v>
      </c>
      <c r="H17" s="1" t="s">
        <v>108</v>
      </c>
      <c r="I17" s="1" t="s">
        <v>123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2055</v>
      </c>
      <c r="B18" s="1" t="s">
        <v>1931</v>
      </c>
      <c r="C18" s="1" t="s">
        <v>1932</v>
      </c>
      <c r="D18" s="1" t="s">
        <v>2056</v>
      </c>
      <c r="E18" s="1" t="s">
        <v>144</v>
      </c>
      <c r="F18" s="1" t="s">
        <v>169</v>
      </c>
      <c r="G18" s="1" t="s">
        <v>2044</v>
      </c>
      <c r="H18" s="1" t="s">
        <v>108</v>
      </c>
      <c r="I18" s="1" t="s">
        <v>123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2057</v>
      </c>
      <c r="B19" s="1" t="s">
        <v>1939</v>
      </c>
      <c r="C19" s="1" t="s">
        <v>1940</v>
      </c>
      <c r="D19" s="1" t="s">
        <v>2058</v>
      </c>
      <c r="E19" s="1" t="s">
        <v>144</v>
      </c>
      <c r="F19" s="1" t="s">
        <v>169</v>
      </c>
      <c r="G19" s="1" t="s">
        <v>2044</v>
      </c>
      <c r="H19" s="1" t="s">
        <v>108</v>
      </c>
      <c r="I19" s="1" t="s">
        <v>123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2059</v>
      </c>
      <c r="B20" s="1" t="s">
        <v>1595</v>
      </c>
      <c r="C20" s="1" t="s">
        <v>1958</v>
      </c>
      <c r="D20" s="1" t="s">
        <v>1959</v>
      </c>
      <c r="E20" s="1" t="s">
        <v>144</v>
      </c>
      <c r="F20" s="1" t="s">
        <v>169</v>
      </c>
      <c r="G20" s="1" t="s">
        <v>2044</v>
      </c>
      <c r="H20" s="1" t="s">
        <v>108</v>
      </c>
      <c r="I20" s="1" t="s">
        <v>123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2060</v>
      </c>
      <c r="B21" s="1" t="s">
        <v>192</v>
      </c>
      <c r="C21" s="1" t="s">
        <v>2008</v>
      </c>
      <c r="D21" s="1" t="s">
        <v>2009</v>
      </c>
      <c r="E21" s="1" t="s">
        <v>144</v>
      </c>
      <c r="F21" s="1" t="s">
        <v>169</v>
      </c>
      <c r="G21" s="1" t="s">
        <v>2044</v>
      </c>
      <c r="H21" s="1" t="s">
        <v>108</v>
      </c>
      <c r="I21" s="1" t="s">
        <v>123</v>
      </c>
      <c r="J21" s="10" t="n">
        <v>46230</v>
      </c>
      <c r="K21" s="1" t="s">
        <v>1805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2061</v>
      </c>
      <c r="B22" s="1" t="s">
        <v>183</v>
      </c>
      <c r="C22" s="1" t="s">
        <v>1197</v>
      </c>
      <c r="D22" s="1" t="s">
        <v>2011</v>
      </c>
      <c r="E22" s="1" t="s">
        <v>144</v>
      </c>
      <c r="F22" s="1" t="s">
        <v>169</v>
      </c>
      <c r="G22" s="1" t="s">
        <v>2044</v>
      </c>
      <c r="H22" s="1" t="s">
        <v>108</v>
      </c>
      <c r="I22" s="1" t="s">
        <v>123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2062</v>
      </c>
      <c r="B23" s="1" t="s">
        <v>1242</v>
      </c>
      <c r="C23" s="1" t="s">
        <v>1197</v>
      </c>
      <c r="D23" s="1" t="s">
        <v>2013</v>
      </c>
      <c r="E23" s="1" t="s">
        <v>144</v>
      </c>
      <c r="F23" s="1" t="s">
        <v>169</v>
      </c>
      <c r="G23" s="1" t="s">
        <v>2044</v>
      </c>
      <c r="H23" s="1" t="s">
        <v>108</v>
      </c>
      <c r="I23" s="1" t="s">
        <v>123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2063</v>
      </c>
      <c r="B24" s="1" t="s">
        <v>172</v>
      </c>
      <c r="C24" s="1" t="s">
        <v>1197</v>
      </c>
      <c r="D24" s="1" t="s">
        <v>2015</v>
      </c>
      <c r="E24" s="1" t="s">
        <v>144</v>
      </c>
      <c r="F24" s="1" t="s">
        <v>174</v>
      </c>
      <c r="G24" s="1" t="s">
        <v>2044</v>
      </c>
      <c r="H24" s="1" t="s">
        <v>108</v>
      </c>
      <c r="I24" s="1" t="s">
        <v>123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2064</v>
      </c>
      <c r="B25" s="1" t="s">
        <v>177</v>
      </c>
      <c r="C25" s="1" t="s">
        <v>1197</v>
      </c>
      <c r="D25" s="1" t="s">
        <v>2017</v>
      </c>
      <c r="E25" s="1" t="s">
        <v>144</v>
      </c>
      <c r="F25" s="1" t="s">
        <v>179</v>
      </c>
      <c r="G25" s="1" t="s">
        <v>2051</v>
      </c>
      <c r="H25" s="1" t="s">
        <v>110</v>
      </c>
      <c r="I25" s="1" t="s">
        <v>122</v>
      </c>
      <c r="J25" s="10" t="n">
        <v>46230</v>
      </c>
      <c r="K25" s="1" t="s">
        <v>2018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2065</v>
      </c>
      <c r="B26" s="1" t="s">
        <v>2020</v>
      </c>
      <c r="C26" s="1" t="s">
        <v>1197</v>
      </c>
      <c r="D26" s="1" t="s">
        <v>2021</v>
      </c>
      <c r="E26" s="1" t="s">
        <v>144</v>
      </c>
      <c r="F26" s="1" t="s">
        <v>169</v>
      </c>
      <c r="G26" s="1" t="s">
        <v>2044</v>
      </c>
      <c r="H26" s="1" t="s">
        <v>108</v>
      </c>
      <c r="I26" s="1" t="s">
        <v>123</v>
      </c>
      <c r="J26" s="10" t="n">
        <v>46230</v>
      </c>
      <c r="K26" s="1" t="s">
        <v>1817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2066</v>
      </c>
      <c r="B27" s="1" t="s">
        <v>197</v>
      </c>
      <c r="C27" s="1" t="s">
        <v>63</v>
      </c>
      <c r="D27" s="1" t="s">
        <v>1961</v>
      </c>
      <c r="E27" s="1" t="s">
        <v>144</v>
      </c>
      <c r="F27" s="1" t="s">
        <v>185</v>
      </c>
      <c r="G27" s="1" t="s">
        <v>2067</v>
      </c>
      <c r="H27" s="1" t="s">
        <v>102</v>
      </c>
      <c r="I27" s="1" t="s">
        <v>122</v>
      </c>
      <c r="J27" s="10" t="n">
        <v>46230</v>
      </c>
      <c r="K27" s="1" t="s">
        <v>1821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2068</v>
      </c>
      <c r="B28" s="1" t="s">
        <v>201</v>
      </c>
      <c r="C28" s="1" t="s">
        <v>63</v>
      </c>
      <c r="D28" s="1" t="s">
        <v>1964</v>
      </c>
      <c r="E28" s="1" t="s">
        <v>144</v>
      </c>
      <c r="F28" s="1" t="s">
        <v>203</v>
      </c>
      <c r="G28" s="1" t="s">
        <v>2069</v>
      </c>
      <c r="H28" s="1" t="s">
        <v>108</v>
      </c>
      <c r="I28" s="1" t="s">
        <v>123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2070</v>
      </c>
      <c r="B29" s="1" t="s">
        <v>632</v>
      </c>
      <c r="C29" s="1" t="s">
        <v>63</v>
      </c>
      <c r="D29" s="1" t="s">
        <v>1967</v>
      </c>
      <c r="E29" s="1" t="s">
        <v>144</v>
      </c>
      <c r="F29" s="1" t="s">
        <v>634</v>
      </c>
      <c r="G29" s="1" t="s">
        <v>2071</v>
      </c>
      <c r="H29" s="1" t="s">
        <v>108</v>
      </c>
      <c r="I29" s="1" t="s">
        <v>123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2072</v>
      </c>
      <c r="B30" s="1" t="s">
        <v>210</v>
      </c>
      <c r="C30" s="1" t="s">
        <v>63</v>
      </c>
      <c r="D30" s="1" t="s">
        <v>1970</v>
      </c>
      <c r="E30" s="1" t="s">
        <v>212</v>
      </c>
      <c r="F30" s="1" t="s">
        <v>212</v>
      </c>
      <c r="G30" s="1" t="s">
        <v>213</v>
      </c>
      <c r="H30" s="1" t="s">
        <v>108</v>
      </c>
      <c r="I30" s="1" t="s">
        <v>123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2073</v>
      </c>
      <c r="B31" s="1" t="s">
        <v>215</v>
      </c>
      <c r="C31" s="1" t="s">
        <v>63</v>
      </c>
      <c r="D31" s="1" t="s">
        <v>1972</v>
      </c>
      <c r="E31" s="1" t="s">
        <v>144</v>
      </c>
      <c r="F31" s="1" t="s">
        <v>144</v>
      </c>
      <c r="G31" s="1" t="s">
        <v>217</v>
      </c>
      <c r="H31" s="1" t="s">
        <v>108</v>
      </c>
      <c r="I31" s="1" t="s">
        <v>123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42" hidden="false" customHeight="true" outlineLevel="0" collapsed="false">
      <c r="A9" s="1" t="s">
        <v>2075</v>
      </c>
      <c r="B9" s="1" t="s">
        <v>100</v>
      </c>
      <c r="C9" s="1" t="s">
        <v>1197</v>
      </c>
      <c r="D9" s="1" t="s">
        <v>2076</v>
      </c>
      <c r="E9" s="1" t="s">
        <v>144</v>
      </c>
      <c r="F9" s="1" t="s">
        <v>145</v>
      </c>
      <c r="G9" s="1" t="s">
        <v>2077</v>
      </c>
      <c r="H9" s="1" t="s">
        <v>108</v>
      </c>
      <c r="I9" s="1" t="s">
        <v>123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2078</v>
      </c>
      <c r="B10" s="1" t="s">
        <v>1355</v>
      </c>
      <c r="C10" s="1" t="s">
        <v>2079</v>
      </c>
      <c r="D10" s="1" t="s">
        <v>2080</v>
      </c>
      <c r="E10" s="1" t="s">
        <v>144</v>
      </c>
      <c r="F10" s="1" t="s">
        <v>164</v>
      </c>
      <c r="G10" s="1" t="s">
        <v>2081</v>
      </c>
      <c r="H10" s="1" t="s">
        <v>108</v>
      </c>
      <c r="I10" s="1" t="s">
        <v>123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2082</v>
      </c>
      <c r="B11" s="1" t="s">
        <v>148</v>
      </c>
      <c r="C11" s="1" t="s">
        <v>2083</v>
      </c>
      <c r="D11" s="1" t="s">
        <v>2084</v>
      </c>
      <c r="E11" s="1" t="s">
        <v>144</v>
      </c>
      <c r="F11" s="1" t="s">
        <v>144</v>
      </c>
      <c r="G11" s="1" t="s">
        <v>1910</v>
      </c>
      <c r="H11" s="1" t="s">
        <v>108</v>
      </c>
      <c r="I11" s="1" t="s">
        <v>123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2085</v>
      </c>
      <c r="B12" s="1" t="s">
        <v>152</v>
      </c>
      <c r="C12" s="1" t="s">
        <v>1197</v>
      </c>
      <c r="D12" s="1" t="s">
        <v>1984</v>
      </c>
      <c r="E12" s="1" t="s">
        <v>144</v>
      </c>
      <c r="F12" s="1" t="s">
        <v>154</v>
      </c>
      <c r="G12" s="1" t="s">
        <v>2086</v>
      </c>
      <c r="H12" s="1" t="s">
        <v>108</v>
      </c>
      <c r="I12" s="1" t="s">
        <v>123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2087</v>
      </c>
      <c r="B13" s="1" t="s">
        <v>157</v>
      </c>
      <c r="C13" s="1" t="s">
        <v>1197</v>
      </c>
      <c r="D13" s="1" t="s">
        <v>1987</v>
      </c>
      <c r="E13" s="1" t="s">
        <v>144</v>
      </c>
      <c r="F13" s="1" t="s">
        <v>159</v>
      </c>
      <c r="G13" s="1" t="s">
        <v>2088</v>
      </c>
      <c r="H13" s="1" t="s">
        <v>108</v>
      </c>
      <c r="I13" s="1" t="s">
        <v>123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2089</v>
      </c>
      <c r="B14" s="1" t="s">
        <v>1588</v>
      </c>
      <c r="C14" s="1" t="s">
        <v>2090</v>
      </c>
      <c r="D14" s="1" t="s">
        <v>2091</v>
      </c>
      <c r="E14" s="1" t="s">
        <v>144</v>
      </c>
      <c r="F14" s="1" t="s">
        <v>169</v>
      </c>
      <c r="G14" s="1" t="s">
        <v>2092</v>
      </c>
      <c r="H14" s="1" t="s">
        <v>108</v>
      </c>
      <c r="I14" s="1" t="s">
        <v>123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2093</v>
      </c>
      <c r="B15" s="1" t="s">
        <v>2094</v>
      </c>
      <c r="C15" s="1" t="s">
        <v>2095</v>
      </c>
      <c r="D15" s="1" t="s">
        <v>2096</v>
      </c>
      <c r="E15" s="1" t="s">
        <v>144</v>
      </c>
      <c r="F15" s="1" t="s">
        <v>169</v>
      </c>
      <c r="G15" s="1" t="s">
        <v>2092</v>
      </c>
      <c r="H15" s="1" t="s">
        <v>108</v>
      </c>
      <c r="I15" s="1" t="s">
        <v>123</v>
      </c>
      <c r="J15" s="10" t="n">
        <v>46230</v>
      </c>
      <c r="K15" s="1" t="s">
        <v>1781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2097</v>
      </c>
      <c r="B16" s="1" t="s">
        <v>1710</v>
      </c>
      <c r="C16" s="1" t="s">
        <v>2098</v>
      </c>
      <c r="D16" s="1" t="s">
        <v>2099</v>
      </c>
      <c r="E16" s="1" t="s">
        <v>144</v>
      </c>
      <c r="F16" s="1" t="s">
        <v>179</v>
      </c>
      <c r="G16" s="1" t="s">
        <v>2100</v>
      </c>
      <c r="H16" s="1" t="s">
        <v>110</v>
      </c>
      <c r="I16" s="1" t="s">
        <v>122</v>
      </c>
      <c r="J16" s="10" t="n">
        <v>46230</v>
      </c>
      <c r="K16" s="1" t="s">
        <v>1996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2101</v>
      </c>
      <c r="B17" s="1" t="s">
        <v>2046</v>
      </c>
      <c r="C17" s="1" t="s">
        <v>2102</v>
      </c>
      <c r="D17" s="1" t="s">
        <v>2103</v>
      </c>
      <c r="E17" s="1" t="s">
        <v>144</v>
      </c>
      <c r="F17" s="1" t="s">
        <v>169</v>
      </c>
      <c r="G17" s="1" t="s">
        <v>2092</v>
      </c>
      <c r="H17" s="1" t="s">
        <v>108</v>
      </c>
      <c r="I17" s="1" t="s">
        <v>123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2104</v>
      </c>
      <c r="B18" s="1" t="s">
        <v>2105</v>
      </c>
      <c r="C18" s="1" t="s">
        <v>2106</v>
      </c>
      <c r="D18" s="1" t="s">
        <v>2107</v>
      </c>
      <c r="E18" s="1" t="s">
        <v>144</v>
      </c>
      <c r="F18" s="1" t="s">
        <v>169</v>
      </c>
      <c r="G18" s="1" t="s">
        <v>2092</v>
      </c>
      <c r="H18" s="1" t="s">
        <v>108</v>
      </c>
      <c r="I18" s="1" t="s">
        <v>123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2108</v>
      </c>
      <c r="B19" s="1" t="s">
        <v>1601</v>
      </c>
      <c r="C19" s="1" t="s">
        <v>2109</v>
      </c>
      <c r="D19" s="1" t="s">
        <v>2110</v>
      </c>
      <c r="E19" s="1" t="s">
        <v>144</v>
      </c>
      <c r="F19" s="1" t="s">
        <v>169</v>
      </c>
      <c r="G19" s="1" t="s">
        <v>2092</v>
      </c>
      <c r="H19" s="1" t="s">
        <v>108</v>
      </c>
      <c r="I19" s="1" t="s">
        <v>123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2111</v>
      </c>
      <c r="B20" s="1" t="s">
        <v>1595</v>
      </c>
      <c r="C20" s="1" t="s">
        <v>1958</v>
      </c>
      <c r="D20" s="1" t="s">
        <v>1959</v>
      </c>
      <c r="E20" s="1" t="s">
        <v>144</v>
      </c>
      <c r="F20" s="1" t="s">
        <v>169</v>
      </c>
      <c r="G20" s="1" t="s">
        <v>2092</v>
      </c>
      <c r="H20" s="1" t="s">
        <v>108</v>
      </c>
      <c r="I20" s="1" t="s">
        <v>123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2112</v>
      </c>
      <c r="B21" s="1" t="s">
        <v>192</v>
      </c>
      <c r="C21" s="1" t="s">
        <v>2008</v>
      </c>
      <c r="D21" s="1" t="s">
        <v>2009</v>
      </c>
      <c r="E21" s="1" t="s">
        <v>144</v>
      </c>
      <c r="F21" s="1" t="s">
        <v>169</v>
      </c>
      <c r="G21" s="1" t="s">
        <v>2092</v>
      </c>
      <c r="H21" s="1" t="s">
        <v>108</v>
      </c>
      <c r="I21" s="1" t="s">
        <v>123</v>
      </c>
      <c r="J21" s="10" t="n">
        <v>46230</v>
      </c>
      <c r="K21" s="1" t="s">
        <v>1805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2113</v>
      </c>
      <c r="B22" s="1" t="s">
        <v>183</v>
      </c>
      <c r="C22" s="1" t="s">
        <v>1197</v>
      </c>
      <c r="D22" s="1" t="s">
        <v>2011</v>
      </c>
      <c r="E22" s="1" t="s">
        <v>144</v>
      </c>
      <c r="F22" s="1" t="s">
        <v>169</v>
      </c>
      <c r="G22" s="1" t="s">
        <v>2092</v>
      </c>
      <c r="H22" s="1" t="s">
        <v>108</v>
      </c>
      <c r="I22" s="1" t="s">
        <v>123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2114</v>
      </c>
      <c r="B23" s="1" t="s">
        <v>1242</v>
      </c>
      <c r="C23" s="1" t="s">
        <v>1197</v>
      </c>
      <c r="D23" s="1" t="s">
        <v>2013</v>
      </c>
      <c r="E23" s="1" t="s">
        <v>144</v>
      </c>
      <c r="F23" s="1" t="s">
        <v>169</v>
      </c>
      <c r="G23" s="1" t="s">
        <v>2092</v>
      </c>
      <c r="H23" s="1" t="s">
        <v>108</v>
      </c>
      <c r="I23" s="1" t="s">
        <v>123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2115</v>
      </c>
      <c r="B24" s="1" t="s">
        <v>172</v>
      </c>
      <c r="C24" s="1" t="s">
        <v>1197</v>
      </c>
      <c r="D24" s="1" t="s">
        <v>2015</v>
      </c>
      <c r="E24" s="1" t="s">
        <v>144</v>
      </c>
      <c r="F24" s="1" t="s">
        <v>174</v>
      </c>
      <c r="G24" s="1" t="s">
        <v>2092</v>
      </c>
      <c r="H24" s="1" t="s">
        <v>108</v>
      </c>
      <c r="I24" s="1" t="s">
        <v>123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2116</v>
      </c>
      <c r="B25" s="1" t="s">
        <v>177</v>
      </c>
      <c r="C25" s="1" t="s">
        <v>1197</v>
      </c>
      <c r="D25" s="1" t="s">
        <v>2117</v>
      </c>
      <c r="E25" s="1" t="s">
        <v>144</v>
      </c>
      <c r="F25" s="1" t="s">
        <v>179</v>
      </c>
      <c r="G25" s="1" t="s">
        <v>2100</v>
      </c>
      <c r="H25" s="1" t="s">
        <v>110</v>
      </c>
      <c r="I25" s="1" t="s">
        <v>122</v>
      </c>
      <c r="J25" s="10" t="n">
        <v>46230</v>
      </c>
      <c r="K25" s="1" t="s">
        <v>2018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2118</v>
      </c>
      <c r="B26" s="1" t="s">
        <v>2020</v>
      </c>
      <c r="C26" s="1" t="s">
        <v>1197</v>
      </c>
      <c r="D26" s="1" t="s">
        <v>2021</v>
      </c>
      <c r="E26" s="1" t="s">
        <v>144</v>
      </c>
      <c r="F26" s="1" t="s">
        <v>169</v>
      </c>
      <c r="G26" s="1" t="s">
        <v>2092</v>
      </c>
      <c r="H26" s="1" t="s">
        <v>108</v>
      </c>
      <c r="I26" s="1" t="s">
        <v>123</v>
      </c>
      <c r="J26" s="10" t="n">
        <v>46230</v>
      </c>
      <c r="K26" s="1" t="s">
        <v>1817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2119</v>
      </c>
      <c r="B27" s="1" t="s">
        <v>197</v>
      </c>
      <c r="C27" s="1" t="s">
        <v>64</v>
      </c>
      <c r="D27" s="1" t="s">
        <v>1961</v>
      </c>
      <c r="E27" s="1" t="s">
        <v>144</v>
      </c>
      <c r="F27" s="1" t="s">
        <v>185</v>
      </c>
      <c r="G27" s="1" t="s">
        <v>2120</v>
      </c>
      <c r="H27" s="1" t="s">
        <v>102</v>
      </c>
      <c r="I27" s="1" t="s">
        <v>122</v>
      </c>
      <c r="J27" s="10" t="n">
        <v>46230</v>
      </c>
      <c r="K27" s="1" t="s">
        <v>1821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2121</v>
      </c>
      <c r="B28" s="1" t="s">
        <v>201</v>
      </c>
      <c r="C28" s="1" t="s">
        <v>64</v>
      </c>
      <c r="D28" s="1" t="s">
        <v>1964</v>
      </c>
      <c r="E28" s="1" t="s">
        <v>144</v>
      </c>
      <c r="F28" s="1" t="s">
        <v>203</v>
      </c>
      <c r="G28" s="1" t="s">
        <v>2122</v>
      </c>
      <c r="H28" s="1" t="s">
        <v>108</v>
      </c>
      <c r="I28" s="1" t="s">
        <v>123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2123</v>
      </c>
      <c r="B29" s="1" t="s">
        <v>632</v>
      </c>
      <c r="C29" s="1" t="s">
        <v>64</v>
      </c>
      <c r="D29" s="1" t="s">
        <v>1967</v>
      </c>
      <c r="E29" s="1" t="s">
        <v>144</v>
      </c>
      <c r="F29" s="1" t="s">
        <v>634</v>
      </c>
      <c r="G29" s="1" t="s">
        <v>2124</v>
      </c>
      <c r="H29" s="1" t="s">
        <v>108</v>
      </c>
      <c r="I29" s="1" t="s">
        <v>123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2125</v>
      </c>
      <c r="B30" s="1" t="s">
        <v>210</v>
      </c>
      <c r="C30" s="1" t="s">
        <v>64</v>
      </c>
      <c r="D30" s="1" t="s">
        <v>1970</v>
      </c>
      <c r="E30" s="1" t="s">
        <v>212</v>
      </c>
      <c r="F30" s="1" t="s">
        <v>212</v>
      </c>
      <c r="G30" s="1" t="s">
        <v>213</v>
      </c>
      <c r="H30" s="1" t="s">
        <v>108</v>
      </c>
      <c r="I30" s="1" t="s">
        <v>123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2126</v>
      </c>
      <c r="B31" s="1" t="s">
        <v>215</v>
      </c>
      <c r="C31" s="1" t="s">
        <v>64</v>
      </c>
      <c r="D31" s="1" t="s">
        <v>1972</v>
      </c>
      <c r="E31" s="1" t="s">
        <v>144</v>
      </c>
      <c r="F31" s="1" t="s">
        <v>144</v>
      </c>
      <c r="G31" s="1" t="s">
        <v>217</v>
      </c>
      <c r="H31" s="1" t="s">
        <v>108</v>
      </c>
      <c r="I31" s="1" t="s">
        <v>123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2128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126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2129</v>
      </c>
      <c r="B9" s="12" t="s">
        <v>100</v>
      </c>
      <c r="C9" s="12" t="s">
        <v>1197</v>
      </c>
      <c r="D9" s="13" t="s">
        <v>2130</v>
      </c>
      <c r="E9" s="12" t="s">
        <v>144</v>
      </c>
      <c r="F9" s="12" t="s">
        <v>145</v>
      </c>
      <c r="G9" s="13" t="s">
        <v>2131</v>
      </c>
      <c r="H9" s="12" t="s">
        <v>108</v>
      </c>
      <c r="I9" s="12" t="s">
        <v>123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2132</v>
      </c>
      <c r="B10" s="12" t="s">
        <v>1355</v>
      </c>
      <c r="C10" s="12" t="s">
        <v>2133</v>
      </c>
      <c r="D10" s="13" t="s">
        <v>2134</v>
      </c>
      <c r="E10" s="12" t="s">
        <v>144</v>
      </c>
      <c r="F10" s="12" t="s">
        <v>164</v>
      </c>
      <c r="G10" s="13" t="s">
        <v>2135</v>
      </c>
      <c r="H10" s="12" t="s">
        <v>108</v>
      </c>
      <c r="I10" s="12" t="s">
        <v>123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2136</v>
      </c>
      <c r="B11" s="12" t="s">
        <v>148</v>
      </c>
      <c r="C11" s="12" t="s">
        <v>2137</v>
      </c>
      <c r="D11" s="13" t="s">
        <v>2138</v>
      </c>
      <c r="E11" s="12" t="s">
        <v>144</v>
      </c>
      <c r="F11" s="12" t="s">
        <v>144</v>
      </c>
      <c r="G11" s="13" t="s">
        <v>1910</v>
      </c>
      <c r="H11" s="12" t="s">
        <v>108</v>
      </c>
      <c r="I11" s="12" t="s">
        <v>123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2139</v>
      </c>
      <c r="B12" s="12" t="s">
        <v>152</v>
      </c>
      <c r="C12" s="12" t="s">
        <v>1197</v>
      </c>
      <c r="D12" s="13" t="s">
        <v>2140</v>
      </c>
      <c r="E12" s="12" t="s">
        <v>144</v>
      </c>
      <c r="F12" s="12" t="s">
        <v>154</v>
      </c>
      <c r="G12" s="13" t="s">
        <v>2141</v>
      </c>
      <c r="H12" s="12" t="s">
        <v>108</v>
      </c>
      <c r="I12" s="12" t="s">
        <v>123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2142</v>
      </c>
      <c r="B13" s="12" t="s">
        <v>157</v>
      </c>
      <c r="C13" s="12" t="s">
        <v>1197</v>
      </c>
      <c r="D13" s="13" t="s">
        <v>2143</v>
      </c>
      <c r="E13" s="12" t="s">
        <v>144</v>
      </c>
      <c r="F13" s="12" t="s">
        <v>159</v>
      </c>
      <c r="G13" s="13" t="s">
        <v>2144</v>
      </c>
      <c r="H13" s="12" t="s">
        <v>108</v>
      </c>
      <c r="I13" s="12" t="s">
        <v>123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2145</v>
      </c>
      <c r="B14" s="12" t="s">
        <v>1588</v>
      </c>
      <c r="C14" s="12" t="s">
        <v>2133</v>
      </c>
      <c r="D14" s="13" t="s">
        <v>2146</v>
      </c>
      <c r="E14" s="12" t="s">
        <v>144</v>
      </c>
      <c r="F14" s="12" t="s">
        <v>169</v>
      </c>
      <c r="G14" s="13" t="s">
        <v>2147</v>
      </c>
      <c r="H14" s="12" t="s">
        <v>108</v>
      </c>
      <c r="I14" s="12" t="s">
        <v>123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2148</v>
      </c>
      <c r="B15" s="12" t="s">
        <v>1146</v>
      </c>
      <c r="C15" s="12" t="s">
        <v>813</v>
      </c>
      <c r="D15" s="13" t="s">
        <v>2149</v>
      </c>
      <c r="E15" s="12" t="s">
        <v>144</v>
      </c>
      <c r="F15" s="12" t="s">
        <v>169</v>
      </c>
      <c r="G15" s="13" t="s">
        <v>2150</v>
      </c>
      <c r="H15" s="12" t="s">
        <v>108</v>
      </c>
      <c r="I15" s="12" t="s">
        <v>123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2151</v>
      </c>
      <c r="B16" s="12" t="s">
        <v>1787</v>
      </c>
      <c r="C16" s="12" t="s">
        <v>1572</v>
      </c>
      <c r="D16" s="13" t="s">
        <v>2152</v>
      </c>
      <c r="E16" s="12" t="s">
        <v>144</v>
      </c>
      <c r="F16" s="12" t="s">
        <v>169</v>
      </c>
      <c r="G16" s="13" t="s">
        <v>2150</v>
      </c>
      <c r="H16" s="12" t="s">
        <v>108</v>
      </c>
      <c r="I16" s="12" t="s">
        <v>123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2153</v>
      </c>
      <c r="B17" s="12" t="s">
        <v>1710</v>
      </c>
      <c r="C17" s="12" t="s">
        <v>1197</v>
      </c>
      <c r="D17" s="13" t="s">
        <v>2154</v>
      </c>
      <c r="E17" s="12" t="s">
        <v>144</v>
      </c>
      <c r="F17" s="12" t="s">
        <v>169</v>
      </c>
      <c r="G17" s="13" t="s">
        <v>2147</v>
      </c>
      <c r="H17" s="12" t="s">
        <v>108</v>
      </c>
      <c r="I17" s="12" t="s">
        <v>123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2155</v>
      </c>
      <c r="B18" s="12" t="s">
        <v>1303</v>
      </c>
      <c r="C18" s="12" t="s">
        <v>813</v>
      </c>
      <c r="D18" s="13" t="s">
        <v>2156</v>
      </c>
      <c r="E18" s="12" t="s">
        <v>144</v>
      </c>
      <c r="F18" s="12" t="s">
        <v>169</v>
      </c>
      <c r="G18" s="13" t="s">
        <v>2157</v>
      </c>
      <c r="H18" s="12" t="s">
        <v>108</v>
      </c>
      <c r="I18" s="12" t="s">
        <v>123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2158</v>
      </c>
      <c r="B19" s="12" t="s">
        <v>1931</v>
      </c>
      <c r="C19" s="12" t="s">
        <v>2159</v>
      </c>
      <c r="D19" s="13" t="s">
        <v>2160</v>
      </c>
      <c r="E19" s="12" t="s">
        <v>144</v>
      </c>
      <c r="F19" s="12" t="s">
        <v>169</v>
      </c>
      <c r="G19" s="13" t="s">
        <v>2150</v>
      </c>
      <c r="H19" s="12" t="s">
        <v>108</v>
      </c>
      <c r="I19" s="12" t="s">
        <v>123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2161</v>
      </c>
      <c r="B20" s="12" t="s">
        <v>1408</v>
      </c>
      <c r="C20" s="12" t="s">
        <v>2162</v>
      </c>
      <c r="D20" s="13" t="s">
        <v>2163</v>
      </c>
      <c r="E20" s="12" t="s">
        <v>144</v>
      </c>
      <c r="F20" s="12" t="s">
        <v>169</v>
      </c>
      <c r="G20" s="13" t="s">
        <v>2147</v>
      </c>
      <c r="H20" s="12" t="s">
        <v>108</v>
      </c>
      <c r="I20" s="12" t="s">
        <v>123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2164</v>
      </c>
      <c r="B21" s="12" t="s">
        <v>2165</v>
      </c>
      <c r="C21" s="12" t="s">
        <v>1572</v>
      </c>
      <c r="D21" s="13" t="s">
        <v>2166</v>
      </c>
      <c r="E21" s="12" t="s">
        <v>144</v>
      </c>
      <c r="F21" s="12" t="s">
        <v>164</v>
      </c>
      <c r="G21" s="13" t="s">
        <v>2167</v>
      </c>
      <c r="H21" s="12" t="s">
        <v>108</v>
      </c>
      <c r="I21" s="12" t="s">
        <v>123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2168</v>
      </c>
      <c r="B22" s="12" t="s">
        <v>2169</v>
      </c>
      <c r="C22" s="12" t="s">
        <v>868</v>
      </c>
      <c r="D22" s="13" t="s">
        <v>2170</v>
      </c>
      <c r="E22" s="12" t="s">
        <v>144</v>
      </c>
      <c r="F22" s="12" t="s">
        <v>169</v>
      </c>
      <c r="G22" s="13" t="s">
        <v>2157</v>
      </c>
      <c r="H22" s="12" t="s">
        <v>108</v>
      </c>
      <c r="I22" s="12" t="s">
        <v>123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2171</v>
      </c>
      <c r="B23" s="12" t="s">
        <v>1099</v>
      </c>
      <c r="C23" s="12" t="s">
        <v>2172</v>
      </c>
      <c r="D23" s="13" t="s">
        <v>2173</v>
      </c>
      <c r="E23" s="12" t="s">
        <v>144</v>
      </c>
      <c r="F23" s="12" t="s">
        <v>169</v>
      </c>
      <c r="G23" s="13" t="s">
        <v>2147</v>
      </c>
      <c r="H23" s="12" t="s">
        <v>108</v>
      </c>
      <c r="I23" s="12" t="s">
        <v>123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2174</v>
      </c>
      <c r="B24" s="12" t="s">
        <v>192</v>
      </c>
      <c r="C24" s="12" t="s">
        <v>1197</v>
      </c>
      <c r="D24" s="13" t="s">
        <v>2175</v>
      </c>
      <c r="E24" s="12" t="s">
        <v>144</v>
      </c>
      <c r="F24" s="12" t="s">
        <v>169</v>
      </c>
      <c r="G24" s="13" t="s">
        <v>2167</v>
      </c>
      <c r="H24" s="12" t="s">
        <v>108</v>
      </c>
      <c r="I24" s="12" t="s">
        <v>123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2176</v>
      </c>
      <c r="B25" s="12" t="s">
        <v>2177</v>
      </c>
      <c r="C25" s="12" t="s">
        <v>813</v>
      </c>
      <c r="D25" s="13" t="s">
        <v>2178</v>
      </c>
      <c r="E25" s="12" t="s">
        <v>144</v>
      </c>
      <c r="F25" s="12" t="s">
        <v>169</v>
      </c>
      <c r="G25" s="13" t="s">
        <v>2150</v>
      </c>
      <c r="H25" s="12" t="s">
        <v>108</v>
      </c>
      <c r="I25" s="12" t="s">
        <v>123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2179</v>
      </c>
      <c r="B26" s="12" t="s">
        <v>1543</v>
      </c>
      <c r="C26" s="12" t="s">
        <v>813</v>
      </c>
      <c r="D26" s="13" t="s">
        <v>2180</v>
      </c>
      <c r="E26" s="12" t="s">
        <v>144</v>
      </c>
      <c r="F26" s="12" t="s">
        <v>179</v>
      </c>
      <c r="G26" s="13" t="s">
        <v>2181</v>
      </c>
      <c r="H26" s="12" t="s">
        <v>110</v>
      </c>
      <c r="I26" s="12" t="s">
        <v>122</v>
      </c>
      <c r="J26" s="14" t="n">
        <v>46230</v>
      </c>
      <c r="K26" s="13" t="s">
        <v>2182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2183</v>
      </c>
      <c r="B27" s="12" t="s">
        <v>183</v>
      </c>
      <c r="C27" s="12" t="s">
        <v>1197</v>
      </c>
      <c r="D27" s="13" t="s">
        <v>2184</v>
      </c>
      <c r="E27" s="12" t="s">
        <v>144</v>
      </c>
      <c r="F27" s="12" t="s">
        <v>169</v>
      </c>
      <c r="G27" s="13" t="s">
        <v>2150</v>
      </c>
      <c r="H27" s="12" t="s">
        <v>108</v>
      </c>
      <c r="I27" s="12" t="s">
        <v>123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2185</v>
      </c>
      <c r="B28" s="12" t="s">
        <v>2186</v>
      </c>
      <c r="C28" s="12" t="s">
        <v>1197</v>
      </c>
      <c r="D28" s="13" t="s">
        <v>2187</v>
      </c>
      <c r="E28" s="12" t="s">
        <v>144</v>
      </c>
      <c r="F28" s="12" t="s">
        <v>169</v>
      </c>
      <c r="G28" s="13" t="s">
        <v>2150</v>
      </c>
      <c r="H28" s="12" t="s">
        <v>108</v>
      </c>
      <c r="I28" s="12" t="s">
        <v>123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2188</v>
      </c>
      <c r="B29" s="12" t="s">
        <v>172</v>
      </c>
      <c r="C29" s="12" t="s">
        <v>1197</v>
      </c>
      <c r="D29" s="13" t="s">
        <v>2189</v>
      </c>
      <c r="E29" s="12" t="s">
        <v>144</v>
      </c>
      <c r="F29" s="12" t="s">
        <v>174</v>
      </c>
      <c r="G29" s="13" t="s">
        <v>2147</v>
      </c>
      <c r="H29" s="12" t="s">
        <v>108</v>
      </c>
      <c r="I29" s="12" t="s">
        <v>123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2190</v>
      </c>
      <c r="B30" s="12" t="s">
        <v>177</v>
      </c>
      <c r="C30" s="12" t="s">
        <v>1197</v>
      </c>
      <c r="D30" s="13" t="s">
        <v>2191</v>
      </c>
      <c r="E30" s="12" t="s">
        <v>144</v>
      </c>
      <c r="F30" s="12" t="s">
        <v>179</v>
      </c>
      <c r="G30" s="13" t="s">
        <v>2192</v>
      </c>
      <c r="H30" s="12" t="s">
        <v>110</v>
      </c>
      <c r="I30" s="12" t="s">
        <v>122</v>
      </c>
      <c r="J30" s="14" t="n">
        <v>46230</v>
      </c>
      <c r="K30" s="13" t="s">
        <v>2193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2194</v>
      </c>
      <c r="B31" s="12" t="s">
        <v>197</v>
      </c>
      <c r="C31" s="12" t="s">
        <v>65</v>
      </c>
      <c r="D31" s="13" t="s">
        <v>2195</v>
      </c>
      <c r="E31" s="12" t="s">
        <v>144</v>
      </c>
      <c r="F31" s="12" t="s">
        <v>185</v>
      </c>
      <c r="G31" s="13" t="s">
        <v>2196</v>
      </c>
      <c r="H31" s="12" t="s">
        <v>102</v>
      </c>
      <c r="I31" s="12" t="s">
        <v>122</v>
      </c>
      <c r="J31" s="14" t="n">
        <v>46230</v>
      </c>
      <c r="K31" s="13" t="s">
        <v>1821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2197</v>
      </c>
      <c r="B32" s="12" t="s">
        <v>201</v>
      </c>
      <c r="C32" s="12" t="s">
        <v>65</v>
      </c>
      <c r="D32" s="13" t="s">
        <v>2198</v>
      </c>
      <c r="E32" s="12" t="s">
        <v>144</v>
      </c>
      <c r="F32" s="12" t="s">
        <v>203</v>
      </c>
      <c r="G32" s="13" t="s">
        <v>2199</v>
      </c>
      <c r="H32" s="12" t="s">
        <v>108</v>
      </c>
      <c r="I32" s="12" t="s">
        <v>123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2200</v>
      </c>
      <c r="B33" s="12" t="s">
        <v>206</v>
      </c>
      <c r="C33" s="12" t="s">
        <v>65</v>
      </c>
      <c r="D33" s="13" t="s">
        <v>2201</v>
      </c>
      <c r="E33" s="12" t="s">
        <v>144</v>
      </c>
      <c r="F33" s="12" t="s">
        <v>203</v>
      </c>
      <c r="G33" s="13" t="s">
        <v>2202</v>
      </c>
      <c r="H33" s="12" t="s">
        <v>108</v>
      </c>
      <c r="I33" s="12" t="s">
        <v>123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2203</v>
      </c>
      <c r="B34" s="12" t="s">
        <v>632</v>
      </c>
      <c r="C34" s="12" t="s">
        <v>65</v>
      </c>
      <c r="D34" s="13" t="s">
        <v>2204</v>
      </c>
      <c r="E34" s="12" t="s">
        <v>144</v>
      </c>
      <c r="F34" s="12" t="s">
        <v>634</v>
      </c>
      <c r="G34" s="13" t="s">
        <v>2205</v>
      </c>
      <c r="H34" s="12" t="s">
        <v>108</v>
      </c>
      <c r="I34" s="12" t="s">
        <v>123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2206</v>
      </c>
      <c r="B35" s="12" t="s">
        <v>210</v>
      </c>
      <c r="C35" s="12" t="s">
        <v>65</v>
      </c>
      <c r="D35" s="13" t="s">
        <v>2207</v>
      </c>
      <c r="E35" s="12" t="s">
        <v>212</v>
      </c>
      <c r="F35" s="12" t="s">
        <v>212</v>
      </c>
      <c r="G35" s="13" t="s">
        <v>213</v>
      </c>
      <c r="H35" s="12" t="s">
        <v>108</v>
      </c>
      <c r="I35" s="12" t="s">
        <v>123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2208</v>
      </c>
      <c r="B36" s="12" t="s">
        <v>215</v>
      </c>
      <c r="C36" s="12" t="s">
        <v>65</v>
      </c>
      <c r="D36" s="13" t="s">
        <v>2209</v>
      </c>
      <c r="E36" s="12" t="s">
        <v>144</v>
      </c>
      <c r="F36" s="12" t="s">
        <v>144</v>
      </c>
      <c r="G36" s="13" t="s">
        <v>217</v>
      </c>
      <c r="H36" s="12" t="s">
        <v>108</v>
      </c>
      <c r="I36" s="12" t="s">
        <v>123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2211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126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2212</v>
      </c>
      <c r="B9" s="12" t="s">
        <v>100</v>
      </c>
      <c r="C9" s="12" t="s">
        <v>813</v>
      </c>
      <c r="D9" s="13" t="s">
        <v>2213</v>
      </c>
      <c r="E9" s="12" t="s">
        <v>144</v>
      </c>
      <c r="F9" s="12" t="s">
        <v>145</v>
      </c>
      <c r="G9" s="13" t="s">
        <v>2214</v>
      </c>
      <c r="H9" s="12" t="s">
        <v>108</v>
      </c>
      <c r="I9" s="12" t="s">
        <v>123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2215</v>
      </c>
      <c r="B10" s="12" t="s">
        <v>1355</v>
      </c>
      <c r="C10" s="12" t="s">
        <v>813</v>
      </c>
      <c r="D10" s="13" t="s">
        <v>2216</v>
      </c>
      <c r="E10" s="12" t="s">
        <v>144</v>
      </c>
      <c r="F10" s="12" t="s">
        <v>164</v>
      </c>
      <c r="G10" s="13" t="s">
        <v>2217</v>
      </c>
      <c r="H10" s="12" t="s">
        <v>108</v>
      </c>
      <c r="I10" s="12" t="s">
        <v>123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2218</v>
      </c>
      <c r="B11" s="12" t="s">
        <v>148</v>
      </c>
      <c r="C11" s="12" t="s">
        <v>2219</v>
      </c>
      <c r="D11" s="13" t="s">
        <v>2220</v>
      </c>
      <c r="E11" s="12" t="s">
        <v>144</v>
      </c>
      <c r="F11" s="12" t="s">
        <v>144</v>
      </c>
      <c r="G11" s="13" t="s">
        <v>1910</v>
      </c>
      <c r="H11" s="12" t="s">
        <v>108</v>
      </c>
      <c r="I11" s="12" t="s">
        <v>123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2221</v>
      </c>
      <c r="B12" s="12" t="s">
        <v>152</v>
      </c>
      <c r="C12" s="12" t="s">
        <v>813</v>
      </c>
      <c r="D12" s="13" t="s">
        <v>2222</v>
      </c>
      <c r="E12" s="12" t="s">
        <v>144</v>
      </c>
      <c r="F12" s="12" t="s">
        <v>154</v>
      </c>
      <c r="G12" s="13" t="s">
        <v>2223</v>
      </c>
      <c r="H12" s="12" t="s">
        <v>108</v>
      </c>
      <c r="I12" s="12" t="s">
        <v>123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2224</v>
      </c>
      <c r="B13" s="12" t="s">
        <v>2225</v>
      </c>
      <c r="C13" s="12" t="s">
        <v>813</v>
      </c>
      <c r="D13" s="13" t="s">
        <v>2226</v>
      </c>
      <c r="E13" s="12" t="s">
        <v>144</v>
      </c>
      <c r="F13" s="12" t="s">
        <v>164</v>
      </c>
      <c r="G13" s="13" t="s">
        <v>2217</v>
      </c>
      <c r="H13" s="12" t="s">
        <v>108</v>
      </c>
      <c r="I13" s="12" t="s">
        <v>123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2227</v>
      </c>
      <c r="B14" s="12" t="s">
        <v>1306</v>
      </c>
      <c r="C14" s="12" t="s">
        <v>813</v>
      </c>
      <c r="D14" s="13" t="s">
        <v>2228</v>
      </c>
      <c r="E14" s="12" t="s">
        <v>144</v>
      </c>
      <c r="F14" s="12" t="s">
        <v>169</v>
      </c>
      <c r="G14" s="13" t="s">
        <v>2229</v>
      </c>
      <c r="H14" s="12" t="s">
        <v>108</v>
      </c>
      <c r="I14" s="12" t="s">
        <v>123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2230</v>
      </c>
      <c r="B15" s="12" t="s">
        <v>2231</v>
      </c>
      <c r="C15" s="12" t="s">
        <v>813</v>
      </c>
      <c r="D15" s="13" t="s">
        <v>2232</v>
      </c>
      <c r="E15" s="12" t="s">
        <v>144</v>
      </c>
      <c r="F15" s="12" t="s">
        <v>169</v>
      </c>
      <c r="G15" s="13" t="s">
        <v>2229</v>
      </c>
      <c r="H15" s="12" t="s">
        <v>108</v>
      </c>
      <c r="I15" s="12" t="s">
        <v>123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2233</v>
      </c>
      <c r="B16" s="12" t="s">
        <v>2234</v>
      </c>
      <c r="C16" s="12" t="s">
        <v>813</v>
      </c>
      <c r="D16" s="13" t="s">
        <v>2235</v>
      </c>
      <c r="E16" s="12" t="s">
        <v>144</v>
      </c>
      <c r="F16" s="12" t="s">
        <v>169</v>
      </c>
      <c r="G16" s="13" t="s">
        <v>2229</v>
      </c>
      <c r="H16" s="12" t="s">
        <v>108</v>
      </c>
      <c r="I16" s="12" t="s">
        <v>123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2236</v>
      </c>
      <c r="B17" s="12" t="s">
        <v>192</v>
      </c>
      <c r="C17" s="12" t="s">
        <v>813</v>
      </c>
      <c r="D17" s="13" t="s">
        <v>2237</v>
      </c>
      <c r="E17" s="12" t="s">
        <v>144</v>
      </c>
      <c r="F17" s="12" t="s">
        <v>169</v>
      </c>
      <c r="G17" s="13" t="s">
        <v>2238</v>
      </c>
      <c r="H17" s="12" t="s">
        <v>108</v>
      </c>
      <c r="I17" s="12" t="s">
        <v>123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2239</v>
      </c>
      <c r="B18" s="12" t="s">
        <v>2240</v>
      </c>
      <c r="C18" s="12" t="s">
        <v>813</v>
      </c>
      <c r="D18" s="13" t="s">
        <v>2241</v>
      </c>
      <c r="E18" s="12" t="s">
        <v>144</v>
      </c>
      <c r="F18" s="12" t="s">
        <v>169</v>
      </c>
      <c r="G18" s="13" t="s">
        <v>2229</v>
      </c>
      <c r="H18" s="12" t="s">
        <v>108</v>
      </c>
      <c r="I18" s="12" t="s">
        <v>123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2242</v>
      </c>
      <c r="B19" s="12" t="s">
        <v>183</v>
      </c>
      <c r="C19" s="12" t="s">
        <v>813</v>
      </c>
      <c r="D19" s="13" t="s">
        <v>2243</v>
      </c>
      <c r="E19" s="12" t="s">
        <v>144</v>
      </c>
      <c r="F19" s="12" t="s">
        <v>169</v>
      </c>
      <c r="G19" s="13" t="s">
        <v>2244</v>
      </c>
      <c r="H19" s="12" t="s">
        <v>108</v>
      </c>
      <c r="I19" s="12" t="s">
        <v>123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2245</v>
      </c>
      <c r="B20" s="12" t="s">
        <v>172</v>
      </c>
      <c r="C20" s="12" t="s">
        <v>813</v>
      </c>
      <c r="D20" s="13" t="s">
        <v>2246</v>
      </c>
      <c r="E20" s="12" t="s">
        <v>144</v>
      </c>
      <c r="F20" s="12" t="s">
        <v>174</v>
      </c>
      <c r="G20" s="13" t="s">
        <v>2229</v>
      </c>
      <c r="H20" s="12" t="s">
        <v>108</v>
      </c>
      <c r="I20" s="12" t="s">
        <v>123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2247</v>
      </c>
      <c r="B21" s="12" t="s">
        <v>177</v>
      </c>
      <c r="C21" s="12" t="s">
        <v>813</v>
      </c>
      <c r="D21" s="13" t="s">
        <v>2248</v>
      </c>
      <c r="E21" s="12" t="s">
        <v>144</v>
      </c>
      <c r="F21" s="12" t="s">
        <v>179</v>
      </c>
      <c r="G21" s="13" t="s">
        <v>2249</v>
      </c>
      <c r="H21" s="12" t="s">
        <v>110</v>
      </c>
      <c r="I21" s="12" t="s">
        <v>122</v>
      </c>
      <c r="J21" s="14" t="n">
        <v>46230</v>
      </c>
      <c r="K21" s="13" t="s">
        <v>2250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2251</v>
      </c>
      <c r="B22" s="12" t="s">
        <v>197</v>
      </c>
      <c r="C22" s="12" t="s">
        <v>66</v>
      </c>
      <c r="D22" s="13" t="s">
        <v>2252</v>
      </c>
      <c r="E22" s="12" t="s">
        <v>144</v>
      </c>
      <c r="F22" s="12" t="s">
        <v>185</v>
      </c>
      <c r="G22" s="13" t="s">
        <v>2253</v>
      </c>
      <c r="H22" s="12" t="s">
        <v>102</v>
      </c>
      <c r="I22" s="12" t="s">
        <v>122</v>
      </c>
      <c r="J22" s="14" t="n">
        <v>46230</v>
      </c>
      <c r="K22" s="13" t="s">
        <v>1821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2254</v>
      </c>
      <c r="B23" s="12" t="s">
        <v>201</v>
      </c>
      <c r="C23" s="12" t="s">
        <v>66</v>
      </c>
      <c r="D23" s="13" t="s">
        <v>2255</v>
      </c>
      <c r="E23" s="12" t="s">
        <v>144</v>
      </c>
      <c r="F23" s="12" t="s">
        <v>203</v>
      </c>
      <c r="G23" s="13" t="s">
        <v>2256</v>
      </c>
      <c r="H23" s="12" t="s">
        <v>108</v>
      </c>
      <c r="I23" s="12" t="s">
        <v>123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2257</v>
      </c>
      <c r="B24" s="12" t="s">
        <v>206</v>
      </c>
      <c r="C24" s="12" t="s">
        <v>66</v>
      </c>
      <c r="D24" s="13" t="s">
        <v>2258</v>
      </c>
      <c r="E24" s="12" t="s">
        <v>144</v>
      </c>
      <c r="F24" s="12" t="s">
        <v>203</v>
      </c>
      <c r="G24" s="13" t="s">
        <v>2259</v>
      </c>
      <c r="H24" s="12" t="s">
        <v>108</v>
      </c>
      <c r="I24" s="12" t="s">
        <v>123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2260</v>
      </c>
      <c r="B25" s="12" t="s">
        <v>632</v>
      </c>
      <c r="C25" s="12" t="s">
        <v>66</v>
      </c>
      <c r="D25" s="13" t="s">
        <v>2261</v>
      </c>
      <c r="E25" s="12" t="s">
        <v>144</v>
      </c>
      <c r="F25" s="12" t="s">
        <v>634</v>
      </c>
      <c r="G25" s="13" t="s">
        <v>2262</v>
      </c>
      <c r="H25" s="12" t="s">
        <v>108</v>
      </c>
      <c r="I25" s="12" t="s">
        <v>123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2263</v>
      </c>
      <c r="B26" s="12" t="s">
        <v>210</v>
      </c>
      <c r="C26" s="12" t="s">
        <v>66</v>
      </c>
      <c r="D26" s="13" t="s">
        <v>2264</v>
      </c>
      <c r="E26" s="12" t="s">
        <v>212</v>
      </c>
      <c r="F26" s="12" t="s">
        <v>212</v>
      </c>
      <c r="G26" s="13" t="s">
        <v>213</v>
      </c>
      <c r="H26" s="12" t="s">
        <v>108</v>
      </c>
      <c r="I26" s="12" t="s">
        <v>123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2265</v>
      </c>
      <c r="B27" s="12" t="s">
        <v>215</v>
      </c>
      <c r="C27" s="12" t="s">
        <v>66</v>
      </c>
      <c r="D27" s="13" t="s">
        <v>2266</v>
      </c>
      <c r="E27" s="12" t="s">
        <v>144</v>
      </c>
      <c r="F27" s="12" t="s">
        <v>144</v>
      </c>
      <c r="G27" s="13" t="s">
        <v>217</v>
      </c>
      <c r="H27" s="12" t="s">
        <v>108</v>
      </c>
      <c r="I27" s="12" t="s">
        <v>123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2268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126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1050</v>
      </c>
      <c r="B9" s="12" t="s">
        <v>100</v>
      </c>
      <c r="C9" s="12" t="s">
        <v>813</v>
      </c>
      <c r="D9" s="13" t="s">
        <v>2269</v>
      </c>
      <c r="E9" s="12" t="s">
        <v>144</v>
      </c>
      <c r="F9" s="12" t="s">
        <v>145</v>
      </c>
      <c r="G9" s="13" t="s">
        <v>2270</v>
      </c>
      <c r="H9" s="12" t="s">
        <v>108</v>
      </c>
      <c r="I9" s="12" t="s">
        <v>123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1053</v>
      </c>
      <c r="B10" s="12" t="s">
        <v>1355</v>
      </c>
      <c r="C10" s="12" t="s">
        <v>1197</v>
      </c>
      <c r="D10" s="13" t="s">
        <v>2271</v>
      </c>
      <c r="E10" s="12" t="s">
        <v>144</v>
      </c>
      <c r="F10" s="12" t="s">
        <v>164</v>
      </c>
      <c r="G10" s="13" t="s">
        <v>2272</v>
      </c>
      <c r="H10" s="12" t="s">
        <v>108</v>
      </c>
      <c r="I10" s="12" t="s">
        <v>123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1055</v>
      </c>
      <c r="B11" s="12" t="s">
        <v>148</v>
      </c>
      <c r="C11" s="12" t="s">
        <v>1197</v>
      </c>
      <c r="D11" s="13" t="s">
        <v>2273</v>
      </c>
      <c r="E11" s="12" t="s">
        <v>144</v>
      </c>
      <c r="F11" s="12" t="s">
        <v>144</v>
      </c>
      <c r="G11" s="13" t="s">
        <v>150</v>
      </c>
      <c r="H11" s="12" t="s">
        <v>108</v>
      </c>
      <c r="I11" s="12" t="s">
        <v>123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1058</v>
      </c>
      <c r="B12" s="12" t="s">
        <v>152</v>
      </c>
      <c r="C12" s="12" t="s">
        <v>1197</v>
      </c>
      <c r="D12" s="13" t="s">
        <v>2274</v>
      </c>
      <c r="E12" s="12" t="s">
        <v>144</v>
      </c>
      <c r="F12" s="12" t="s">
        <v>154</v>
      </c>
      <c r="G12" s="13" t="s">
        <v>2275</v>
      </c>
      <c r="H12" s="12" t="s">
        <v>108</v>
      </c>
      <c r="I12" s="12" t="s">
        <v>123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1061</v>
      </c>
      <c r="B13" s="12" t="s">
        <v>157</v>
      </c>
      <c r="C13" s="12" t="s">
        <v>1197</v>
      </c>
      <c r="D13" s="13" t="s">
        <v>2276</v>
      </c>
      <c r="E13" s="12" t="s">
        <v>144</v>
      </c>
      <c r="F13" s="12" t="s">
        <v>159</v>
      </c>
      <c r="G13" s="13" t="s">
        <v>2277</v>
      </c>
      <c r="H13" s="12" t="s">
        <v>108</v>
      </c>
      <c r="I13" s="12" t="s">
        <v>123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1064</v>
      </c>
      <c r="B14" s="12" t="s">
        <v>1588</v>
      </c>
      <c r="C14" s="12" t="s">
        <v>813</v>
      </c>
      <c r="D14" s="13" t="s">
        <v>2278</v>
      </c>
      <c r="E14" s="12" t="s">
        <v>144</v>
      </c>
      <c r="F14" s="12" t="s">
        <v>169</v>
      </c>
      <c r="G14" s="13" t="s">
        <v>2279</v>
      </c>
      <c r="H14" s="12" t="s">
        <v>108</v>
      </c>
      <c r="I14" s="12" t="s">
        <v>123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1067</v>
      </c>
      <c r="B15" s="12" t="s">
        <v>1705</v>
      </c>
      <c r="C15" s="12" t="s">
        <v>813</v>
      </c>
      <c r="D15" s="13" t="s">
        <v>2280</v>
      </c>
      <c r="E15" s="12" t="s">
        <v>144</v>
      </c>
      <c r="F15" s="12" t="s">
        <v>179</v>
      </c>
      <c r="G15" s="13" t="s">
        <v>2281</v>
      </c>
      <c r="H15" s="12" t="s">
        <v>110</v>
      </c>
      <c r="I15" s="12" t="s">
        <v>122</v>
      </c>
      <c r="J15" s="14" t="n">
        <v>46230</v>
      </c>
      <c r="K15" s="13" t="s">
        <v>2282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1069</v>
      </c>
      <c r="B16" s="12" t="s">
        <v>1710</v>
      </c>
      <c r="C16" s="12" t="s">
        <v>813</v>
      </c>
      <c r="D16" s="13" t="s">
        <v>2283</v>
      </c>
      <c r="E16" s="12" t="s">
        <v>144</v>
      </c>
      <c r="F16" s="12" t="s">
        <v>179</v>
      </c>
      <c r="G16" s="13" t="s">
        <v>2281</v>
      </c>
      <c r="H16" s="12" t="s">
        <v>110</v>
      </c>
      <c r="I16" s="12" t="s">
        <v>122</v>
      </c>
      <c r="J16" s="14" t="n">
        <v>46230</v>
      </c>
      <c r="K16" s="13" t="s">
        <v>2284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1073</v>
      </c>
      <c r="B17" s="12" t="s">
        <v>1186</v>
      </c>
      <c r="C17" s="12" t="s">
        <v>813</v>
      </c>
      <c r="D17" s="13" t="s">
        <v>2285</v>
      </c>
      <c r="E17" s="12" t="s">
        <v>144</v>
      </c>
      <c r="F17" s="12" t="s">
        <v>164</v>
      </c>
      <c r="G17" s="13" t="s">
        <v>2286</v>
      </c>
      <c r="H17" s="12" t="s">
        <v>108</v>
      </c>
      <c r="I17" s="12" t="s">
        <v>123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1077</v>
      </c>
      <c r="B18" s="12" t="s">
        <v>2287</v>
      </c>
      <c r="C18" s="12" t="s">
        <v>2288</v>
      </c>
      <c r="D18" s="13" t="s">
        <v>2289</v>
      </c>
      <c r="E18" s="12" t="s">
        <v>144</v>
      </c>
      <c r="F18" s="12" t="s">
        <v>169</v>
      </c>
      <c r="G18" s="13" t="s">
        <v>2286</v>
      </c>
      <c r="H18" s="12" t="s">
        <v>108</v>
      </c>
      <c r="I18" s="12" t="s">
        <v>123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1079</v>
      </c>
      <c r="B19" s="12" t="s">
        <v>2290</v>
      </c>
      <c r="C19" s="12" t="s">
        <v>1099</v>
      </c>
      <c r="D19" s="13" t="s">
        <v>2291</v>
      </c>
      <c r="E19" s="12" t="s">
        <v>144</v>
      </c>
      <c r="F19" s="12" t="s">
        <v>169</v>
      </c>
      <c r="G19" s="13" t="s">
        <v>2286</v>
      </c>
      <c r="H19" s="12" t="s">
        <v>108</v>
      </c>
      <c r="I19" s="12" t="s">
        <v>123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1082</v>
      </c>
      <c r="B20" s="12" t="s">
        <v>2292</v>
      </c>
      <c r="C20" s="12" t="s">
        <v>2293</v>
      </c>
      <c r="D20" s="13" t="s">
        <v>2294</v>
      </c>
      <c r="E20" s="12" t="s">
        <v>144</v>
      </c>
      <c r="F20" s="12" t="s">
        <v>169</v>
      </c>
      <c r="G20" s="13" t="s">
        <v>2295</v>
      </c>
      <c r="H20" s="12" t="s">
        <v>108</v>
      </c>
      <c r="I20" s="12" t="s">
        <v>123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1085</v>
      </c>
      <c r="B21" s="12" t="s">
        <v>1803</v>
      </c>
      <c r="C21" s="12" t="s">
        <v>1803</v>
      </c>
      <c r="D21" s="13" t="s">
        <v>2296</v>
      </c>
      <c r="E21" s="12" t="s">
        <v>144</v>
      </c>
      <c r="F21" s="12" t="s">
        <v>179</v>
      </c>
      <c r="G21" s="13" t="s">
        <v>2281</v>
      </c>
      <c r="H21" s="12" t="s">
        <v>110</v>
      </c>
      <c r="I21" s="12" t="s">
        <v>122</v>
      </c>
      <c r="J21" s="14" t="n">
        <v>46230</v>
      </c>
      <c r="K21" s="13" t="s">
        <v>2297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1087</v>
      </c>
      <c r="B22" s="12" t="s">
        <v>192</v>
      </c>
      <c r="C22" s="12" t="s">
        <v>2298</v>
      </c>
      <c r="D22" s="13" t="s">
        <v>2299</v>
      </c>
      <c r="E22" s="12" t="s">
        <v>144</v>
      </c>
      <c r="F22" s="12" t="s">
        <v>164</v>
      </c>
      <c r="G22" s="13" t="s">
        <v>2286</v>
      </c>
      <c r="H22" s="12" t="s">
        <v>108</v>
      </c>
      <c r="I22" s="12" t="s">
        <v>123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1090</v>
      </c>
      <c r="B23" s="12" t="s">
        <v>2300</v>
      </c>
      <c r="C23" s="12" t="s">
        <v>1099</v>
      </c>
      <c r="D23" s="13" t="s">
        <v>2301</v>
      </c>
      <c r="E23" s="12" t="s">
        <v>144</v>
      </c>
      <c r="F23" s="12" t="s">
        <v>169</v>
      </c>
      <c r="G23" s="13" t="s">
        <v>2302</v>
      </c>
      <c r="H23" s="12" t="s">
        <v>108</v>
      </c>
      <c r="I23" s="12" t="s">
        <v>123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2303</v>
      </c>
      <c r="B24" s="12" t="s">
        <v>172</v>
      </c>
      <c r="C24" s="12" t="s">
        <v>1197</v>
      </c>
      <c r="D24" s="13" t="s">
        <v>2304</v>
      </c>
      <c r="E24" s="12" t="s">
        <v>144</v>
      </c>
      <c r="F24" s="12" t="s">
        <v>174</v>
      </c>
      <c r="G24" s="13" t="s">
        <v>2279</v>
      </c>
      <c r="H24" s="12" t="s">
        <v>108</v>
      </c>
      <c r="I24" s="12" t="s">
        <v>123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2305</v>
      </c>
      <c r="B25" s="12" t="s">
        <v>183</v>
      </c>
      <c r="C25" s="12" t="s">
        <v>1197</v>
      </c>
      <c r="D25" s="13" t="s">
        <v>2306</v>
      </c>
      <c r="E25" s="12" t="s">
        <v>144</v>
      </c>
      <c r="F25" s="12" t="s">
        <v>169</v>
      </c>
      <c r="G25" s="13" t="s">
        <v>2307</v>
      </c>
      <c r="H25" s="12" t="s">
        <v>108</v>
      </c>
      <c r="I25" s="12" t="s">
        <v>123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2308</v>
      </c>
      <c r="B26" s="12" t="s">
        <v>1878</v>
      </c>
      <c r="C26" s="12" t="s">
        <v>1197</v>
      </c>
      <c r="D26" s="13" t="s">
        <v>2309</v>
      </c>
      <c r="E26" s="12" t="s">
        <v>144</v>
      </c>
      <c r="F26" s="12" t="s">
        <v>179</v>
      </c>
      <c r="G26" s="13" t="s">
        <v>2281</v>
      </c>
      <c r="H26" s="12" t="s">
        <v>110</v>
      </c>
      <c r="I26" s="12" t="s">
        <v>122</v>
      </c>
      <c r="J26" s="14" t="n">
        <v>46230</v>
      </c>
      <c r="K26" s="13" t="s">
        <v>2310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2311</v>
      </c>
      <c r="B27" s="12" t="s">
        <v>177</v>
      </c>
      <c r="C27" s="12" t="s">
        <v>1197</v>
      </c>
      <c r="D27" s="13" t="s">
        <v>2312</v>
      </c>
      <c r="E27" s="12" t="s">
        <v>144</v>
      </c>
      <c r="F27" s="12" t="s">
        <v>179</v>
      </c>
      <c r="G27" s="13" t="s">
        <v>2281</v>
      </c>
      <c r="H27" s="12" t="s">
        <v>110</v>
      </c>
      <c r="I27" s="12" t="s">
        <v>122</v>
      </c>
      <c r="J27" s="14" t="n">
        <v>46230</v>
      </c>
      <c r="K27" s="13" t="s">
        <v>2313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2314</v>
      </c>
      <c r="B28" s="12" t="s">
        <v>632</v>
      </c>
      <c r="C28" s="12" t="s">
        <v>1197</v>
      </c>
      <c r="D28" s="13" t="s">
        <v>2315</v>
      </c>
      <c r="E28" s="12" t="s">
        <v>144</v>
      </c>
      <c r="F28" s="12" t="s">
        <v>634</v>
      </c>
      <c r="G28" s="13" t="s">
        <v>2316</v>
      </c>
      <c r="H28" s="12" t="s">
        <v>108</v>
      </c>
      <c r="I28" s="12" t="s">
        <v>123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2317</v>
      </c>
      <c r="B29" s="12" t="s">
        <v>197</v>
      </c>
      <c r="C29" s="12" t="s">
        <v>1197</v>
      </c>
      <c r="D29" s="13" t="s">
        <v>2318</v>
      </c>
      <c r="E29" s="12" t="s">
        <v>144</v>
      </c>
      <c r="F29" s="12" t="s">
        <v>185</v>
      </c>
      <c r="G29" s="13" t="s">
        <v>2319</v>
      </c>
      <c r="H29" s="12" t="s">
        <v>102</v>
      </c>
      <c r="I29" s="12" t="s">
        <v>122</v>
      </c>
      <c r="J29" s="14" t="n">
        <v>46230</v>
      </c>
      <c r="K29" s="13" t="s">
        <v>1821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2320</v>
      </c>
      <c r="B30" s="12" t="s">
        <v>201</v>
      </c>
      <c r="C30" s="12" t="s">
        <v>1197</v>
      </c>
      <c r="D30" s="13" t="s">
        <v>2321</v>
      </c>
      <c r="E30" s="12" t="s">
        <v>144</v>
      </c>
      <c r="F30" s="12" t="s">
        <v>203</v>
      </c>
      <c r="G30" s="13" t="s">
        <v>2322</v>
      </c>
      <c r="H30" s="12" t="s">
        <v>108</v>
      </c>
      <c r="I30" s="12" t="s">
        <v>123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2323</v>
      </c>
      <c r="B31" s="12" t="s">
        <v>206</v>
      </c>
      <c r="C31" s="12" t="s">
        <v>67</v>
      </c>
      <c r="D31" s="13" t="s">
        <v>2324</v>
      </c>
      <c r="E31" s="12" t="s">
        <v>144</v>
      </c>
      <c r="F31" s="12" t="s">
        <v>203</v>
      </c>
      <c r="G31" s="13" t="s">
        <v>2325</v>
      </c>
      <c r="H31" s="12" t="s">
        <v>108</v>
      </c>
      <c r="I31" s="12" t="s">
        <v>123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2326</v>
      </c>
      <c r="B32" s="12" t="s">
        <v>210</v>
      </c>
      <c r="C32" s="12" t="s">
        <v>67</v>
      </c>
      <c r="D32" s="13" t="s">
        <v>2327</v>
      </c>
      <c r="E32" s="12" t="s">
        <v>212</v>
      </c>
      <c r="F32" s="12" t="s">
        <v>212</v>
      </c>
      <c r="G32" s="13" t="s">
        <v>213</v>
      </c>
      <c r="H32" s="12" t="s">
        <v>108</v>
      </c>
      <c r="I32" s="12" t="s">
        <v>123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2328</v>
      </c>
      <c r="B33" s="12" t="s">
        <v>215</v>
      </c>
      <c r="C33" s="12" t="s">
        <v>67</v>
      </c>
      <c r="D33" s="13" t="s">
        <v>2329</v>
      </c>
      <c r="E33" s="12" t="s">
        <v>144</v>
      </c>
      <c r="F33" s="12" t="s">
        <v>144</v>
      </c>
      <c r="G33" s="13" t="s">
        <v>2330</v>
      </c>
      <c r="H33" s="12" t="s">
        <v>108</v>
      </c>
      <c r="I33" s="12" t="s">
        <v>123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126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2333</v>
      </c>
      <c r="B9" s="12" t="s">
        <v>100</v>
      </c>
      <c r="C9" s="12" t="s">
        <v>813</v>
      </c>
      <c r="D9" s="13" t="s">
        <v>2334</v>
      </c>
      <c r="E9" s="12" t="s">
        <v>144</v>
      </c>
      <c r="F9" s="12" t="s">
        <v>145</v>
      </c>
      <c r="G9" s="13" t="s">
        <v>2335</v>
      </c>
      <c r="H9" s="12" t="s">
        <v>108</v>
      </c>
      <c r="I9" s="12" t="s">
        <v>123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2336</v>
      </c>
      <c r="B10" s="12" t="s">
        <v>1355</v>
      </c>
      <c r="C10" s="12" t="s">
        <v>1197</v>
      </c>
      <c r="D10" s="13" t="s">
        <v>2337</v>
      </c>
      <c r="E10" s="12" t="s">
        <v>144</v>
      </c>
      <c r="F10" s="12" t="s">
        <v>164</v>
      </c>
      <c r="G10" s="13" t="s">
        <v>2338</v>
      </c>
      <c r="H10" s="12" t="s">
        <v>108</v>
      </c>
      <c r="I10" s="12" t="s">
        <v>123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2339</v>
      </c>
      <c r="B11" s="12" t="s">
        <v>148</v>
      </c>
      <c r="C11" s="12" t="s">
        <v>1197</v>
      </c>
      <c r="D11" s="13" t="s">
        <v>2340</v>
      </c>
      <c r="E11" s="12" t="s">
        <v>144</v>
      </c>
      <c r="F11" s="12" t="s">
        <v>144</v>
      </c>
      <c r="G11" s="13" t="s">
        <v>150</v>
      </c>
      <c r="H11" s="12" t="s">
        <v>108</v>
      </c>
      <c r="I11" s="12" t="s">
        <v>123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2341</v>
      </c>
      <c r="B12" s="12" t="s">
        <v>152</v>
      </c>
      <c r="C12" s="12" t="s">
        <v>1197</v>
      </c>
      <c r="D12" s="13" t="s">
        <v>2342</v>
      </c>
      <c r="E12" s="12" t="s">
        <v>144</v>
      </c>
      <c r="F12" s="12" t="s">
        <v>154</v>
      </c>
      <c r="G12" s="13" t="s">
        <v>2343</v>
      </c>
      <c r="H12" s="12" t="s">
        <v>108</v>
      </c>
      <c r="I12" s="12" t="s">
        <v>123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2344</v>
      </c>
      <c r="B13" s="12" t="s">
        <v>157</v>
      </c>
      <c r="C13" s="12" t="s">
        <v>1197</v>
      </c>
      <c r="D13" s="13" t="s">
        <v>2345</v>
      </c>
      <c r="E13" s="12" t="s">
        <v>144</v>
      </c>
      <c r="F13" s="12" t="s">
        <v>159</v>
      </c>
      <c r="G13" s="13" t="s">
        <v>2346</v>
      </c>
      <c r="H13" s="12" t="s">
        <v>108</v>
      </c>
      <c r="I13" s="12" t="s">
        <v>123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2347</v>
      </c>
      <c r="B14" s="12" t="s">
        <v>1588</v>
      </c>
      <c r="C14" s="12" t="s">
        <v>813</v>
      </c>
      <c r="D14" s="13" t="s">
        <v>2348</v>
      </c>
      <c r="E14" s="12" t="s">
        <v>144</v>
      </c>
      <c r="F14" s="12" t="s">
        <v>169</v>
      </c>
      <c r="G14" s="13" t="s">
        <v>2349</v>
      </c>
      <c r="H14" s="12" t="s">
        <v>108</v>
      </c>
      <c r="I14" s="12" t="s">
        <v>123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2350</v>
      </c>
      <c r="B15" s="12" t="s">
        <v>1705</v>
      </c>
      <c r="C15" s="12" t="s">
        <v>813</v>
      </c>
      <c r="D15" s="13" t="s">
        <v>2351</v>
      </c>
      <c r="E15" s="12" t="s">
        <v>144</v>
      </c>
      <c r="F15" s="12" t="s">
        <v>179</v>
      </c>
      <c r="G15" s="13" t="s">
        <v>2352</v>
      </c>
      <c r="H15" s="12" t="s">
        <v>110</v>
      </c>
      <c r="I15" s="12" t="s">
        <v>122</v>
      </c>
      <c r="J15" s="14" t="n">
        <v>46230</v>
      </c>
      <c r="K15" s="13" t="s">
        <v>2282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2353</v>
      </c>
      <c r="B16" s="12" t="s">
        <v>1710</v>
      </c>
      <c r="C16" s="12" t="s">
        <v>813</v>
      </c>
      <c r="D16" s="13" t="s">
        <v>2354</v>
      </c>
      <c r="E16" s="12" t="s">
        <v>144</v>
      </c>
      <c r="F16" s="12" t="s">
        <v>179</v>
      </c>
      <c r="G16" s="13" t="s">
        <v>2352</v>
      </c>
      <c r="H16" s="12" t="s">
        <v>110</v>
      </c>
      <c r="I16" s="12" t="s">
        <v>122</v>
      </c>
      <c r="J16" s="14" t="n">
        <v>46230</v>
      </c>
      <c r="K16" s="13" t="s">
        <v>2284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2355</v>
      </c>
      <c r="B17" s="12" t="s">
        <v>2356</v>
      </c>
      <c r="C17" s="12" t="s">
        <v>850</v>
      </c>
      <c r="D17" s="13" t="s">
        <v>2357</v>
      </c>
      <c r="E17" s="12" t="s">
        <v>144</v>
      </c>
      <c r="F17" s="12" t="s">
        <v>164</v>
      </c>
      <c r="G17" s="13" t="s">
        <v>2358</v>
      </c>
      <c r="H17" s="12" t="s">
        <v>108</v>
      </c>
      <c r="I17" s="12" t="s">
        <v>123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2359</v>
      </c>
      <c r="B18" s="12" t="s">
        <v>2360</v>
      </c>
      <c r="C18" s="12" t="s">
        <v>850</v>
      </c>
      <c r="D18" s="13" t="s">
        <v>2361</v>
      </c>
      <c r="E18" s="12" t="s">
        <v>144</v>
      </c>
      <c r="F18" s="12" t="s">
        <v>164</v>
      </c>
      <c r="G18" s="13" t="s">
        <v>2358</v>
      </c>
      <c r="H18" s="12" t="s">
        <v>108</v>
      </c>
      <c r="I18" s="12" t="s">
        <v>123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2362</v>
      </c>
      <c r="B19" s="12" t="s">
        <v>2363</v>
      </c>
      <c r="C19" s="12" t="s">
        <v>813</v>
      </c>
      <c r="D19" s="13" t="s">
        <v>2364</v>
      </c>
      <c r="E19" s="12" t="s">
        <v>144</v>
      </c>
      <c r="F19" s="12" t="s">
        <v>164</v>
      </c>
      <c r="G19" s="13" t="s">
        <v>2338</v>
      </c>
      <c r="H19" s="12" t="s">
        <v>108</v>
      </c>
      <c r="I19" s="12" t="s">
        <v>123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2365</v>
      </c>
      <c r="B20" s="12" t="s">
        <v>2366</v>
      </c>
      <c r="C20" s="12" t="s">
        <v>1791</v>
      </c>
      <c r="D20" s="13" t="s">
        <v>2367</v>
      </c>
      <c r="E20" s="12" t="s">
        <v>144</v>
      </c>
      <c r="F20" s="12" t="s">
        <v>169</v>
      </c>
      <c r="G20" s="13" t="s">
        <v>2358</v>
      </c>
      <c r="H20" s="12" t="s">
        <v>108</v>
      </c>
      <c r="I20" s="12" t="s">
        <v>123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2368</v>
      </c>
      <c r="B21" s="12" t="s">
        <v>2287</v>
      </c>
      <c r="C21" s="12" t="s">
        <v>2369</v>
      </c>
      <c r="D21" s="13" t="s">
        <v>2370</v>
      </c>
      <c r="E21" s="12" t="s">
        <v>144</v>
      </c>
      <c r="F21" s="12" t="s">
        <v>169</v>
      </c>
      <c r="G21" s="13" t="s">
        <v>2358</v>
      </c>
      <c r="H21" s="12" t="s">
        <v>108</v>
      </c>
      <c r="I21" s="12" t="s">
        <v>123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2371</v>
      </c>
      <c r="B22" s="12" t="s">
        <v>2290</v>
      </c>
      <c r="C22" s="12" t="s">
        <v>1099</v>
      </c>
      <c r="D22" s="13" t="s">
        <v>2372</v>
      </c>
      <c r="E22" s="12" t="s">
        <v>144</v>
      </c>
      <c r="F22" s="12" t="s">
        <v>169</v>
      </c>
      <c r="G22" s="13" t="s">
        <v>2358</v>
      </c>
      <c r="H22" s="12" t="s">
        <v>108</v>
      </c>
      <c r="I22" s="12" t="s">
        <v>123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2373</v>
      </c>
      <c r="B23" s="12" t="s">
        <v>2292</v>
      </c>
      <c r="C23" s="12" t="s">
        <v>2374</v>
      </c>
      <c r="D23" s="13" t="s">
        <v>2375</v>
      </c>
      <c r="E23" s="12" t="s">
        <v>144</v>
      </c>
      <c r="F23" s="12" t="s">
        <v>169</v>
      </c>
      <c r="G23" s="13" t="s">
        <v>2376</v>
      </c>
      <c r="H23" s="12" t="s">
        <v>108</v>
      </c>
      <c r="I23" s="12" t="s">
        <v>123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2377</v>
      </c>
      <c r="B24" s="12" t="s">
        <v>1595</v>
      </c>
      <c r="C24" s="12" t="s">
        <v>1791</v>
      </c>
      <c r="D24" s="13" t="s">
        <v>2378</v>
      </c>
      <c r="E24" s="12" t="s">
        <v>144</v>
      </c>
      <c r="F24" s="12" t="s">
        <v>169</v>
      </c>
      <c r="G24" s="13" t="s">
        <v>2349</v>
      </c>
      <c r="H24" s="12" t="s">
        <v>108</v>
      </c>
      <c r="I24" s="12" t="s">
        <v>123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2379</v>
      </c>
      <c r="B25" s="12" t="s">
        <v>2046</v>
      </c>
      <c r="C25" s="12" t="s">
        <v>1197</v>
      </c>
      <c r="D25" s="13" t="s">
        <v>2380</v>
      </c>
      <c r="E25" s="12" t="s">
        <v>144</v>
      </c>
      <c r="F25" s="12" t="s">
        <v>179</v>
      </c>
      <c r="G25" s="13" t="s">
        <v>2381</v>
      </c>
      <c r="H25" s="12" t="s">
        <v>110</v>
      </c>
      <c r="I25" s="12" t="s">
        <v>122</v>
      </c>
      <c r="J25" s="14" t="n">
        <v>46230</v>
      </c>
      <c r="K25" s="13" t="s">
        <v>2382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2383</v>
      </c>
      <c r="B26" s="12" t="s">
        <v>192</v>
      </c>
      <c r="C26" s="12" t="s">
        <v>2384</v>
      </c>
      <c r="D26" s="13" t="s">
        <v>2385</v>
      </c>
      <c r="E26" s="12" t="s">
        <v>144</v>
      </c>
      <c r="F26" s="12" t="s">
        <v>164</v>
      </c>
      <c r="G26" s="13" t="s">
        <v>2338</v>
      </c>
      <c r="H26" s="12" t="s">
        <v>108</v>
      </c>
      <c r="I26" s="12" t="s">
        <v>123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2386</v>
      </c>
      <c r="B27" s="12" t="s">
        <v>2387</v>
      </c>
      <c r="C27" s="12" t="s">
        <v>1197</v>
      </c>
      <c r="D27" s="13" t="s">
        <v>2388</v>
      </c>
      <c r="E27" s="12" t="s">
        <v>144</v>
      </c>
      <c r="F27" s="12" t="s">
        <v>174</v>
      </c>
      <c r="G27" s="13" t="s">
        <v>2349</v>
      </c>
      <c r="H27" s="12" t="s">
        <v>108</v>
      </c>
      <c r="I27" s="12" t="s">
        <v>123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2389</v>
      </c>
      <c r="B28" s="12" t="s">
        <v>1878</v>
      </c>
      <c r="C28" s="12" t="s">
        <v>1197</v>
      </c>
      <c r="D28" s="13" t="s">
        <v>2309</v>
      </c>
      <c r="E28" s="12" t="s">
        <v>144</v>
      </c>
      <c r="F28" s="12" t="s">
        <v>179</v>
      </c>
      <c r="G28" s="13" t="s">
        <v>2352</v>
      </c>
      <c r="H28" s="12" t="s">
        <v>110</v>
      </c>
      <c r="I28" s="12" t="s">
        <v>122</v>
      </c>
      <c r="J28" s="14" t="n">
        <v>46230</v>
      </c>
      <c r="K28" s="13" t="s">
        <v>2310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2390</v>
      </c>
      <c r="B29" s="12" t="s">
        <v>177</v>
      </c>
      <c r="C29" s="12" t="s">
        <v>1197</v>
      </c>
      <c r="D29" s="13" t="s">
        <v>2391</v>
      </c>
      <c r="E29" s="12" t="s">
        <v>144</v>
      </c>
      <c r="F29" s="12" t="s">
        <v>179</v>
      </c>
      <c r="G29" s="13" t="s">
        <v>2352</v>
      </c>
      <c r="H29" s="12" t="s">
        <v>110</v>
      </c>
      <c r="I29" s="12" t="s">
        <v>122</v>
      </c>
      <c r="J29" s="14" t="n">
        <v>46230</v>
      </c>
      <c r="K29" s="13" t="s">
        <v>2392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2393</v>
      </c>
      <c r="B30" s="12" t="s">
        <v>632</v>
      </c>
      <c r="C30" s="12" t="s">
        <v>1197</v>
      </c>
      <c r="D30" s="13" t="s">
        <v>2394</v>
      </c>
      <c r="E30" s="12" t="s">
        <v>144</v>
      </c>
      <c r="F30" s="12" t="s">
        <v>634</v>
      </c>
      <c r="G30" s="13" t="s">
        <v>2395</v>
      </c>
      <c r="H30" s="12" t="s">
        <v>108</v>
      </c>
      <c r="I30" s="12" t="s">
        <v>123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2396</v>
      </c>
      <c r="B31" s="12" t="s">
        <v>197</v>
      </c>
      <c r="C31" s="12" t="s">
        <v>1197</v>
      </c>
      <c r="D31" s="13" t="s">
        <v>2318</v>
      </c>
      <c r="E31" s="12" t="s">
        <v>144</v>
      </c>
      <c r="F31" s="12" t="s">
        <v>185</v>
      </c>
      <c r="G31" s="13" t="s">
        <v>2397</v>
      </c>
      <c r="H31" s="12" t="s">
        <v>102</v>
      </c>
      <c r="I31" s="12" t="s">
        <v>122</v>
      </c>
      <c r="J31" s="14" t="n">
        <v>46230</v>
      </c>
      <c r="K31" s="13" t="s">
        <v>1821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2398</v>
      </c>
      <c r="B32" s="12" t="s">
        <v>2399</v>
      </c>
      <c r="C32" s="12" t="s">
        <v>1197</v>
      </c>
      <c r="D32" s="13" t="s">
        <v>2400</v>
      </c>
      <c r="E32" s="12" t="s">
        <v>144</v>
      </c>
      <c r="F32" s="12" t="s">
        <v>203</v>
      </c>
      <c r="G32" s="13" t="s">
        <v>2401</v>
      </c>
      <c r="H32" s="12" t="s">
        <v>108</v>
      </c>
      <c r="I32" s="12" t="s">
        <v>123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2402</v>
      </c>
      <c r="B33" s="12" t="s">
        <v>210</v>
      </c>
      <c r="C33" s="12" t="s">
        <v>68</v>
      </c>
      <c r="D33" s="13" t="s">
        <v>2403</v>
      </c>
      <c r="E33" s="12" t="s">
        <v>212</v>
      </c>
      <c r="F33" s="12" t="s">
        <v>212</v>
      </c>
      <c r="G33" s="13" t="s">
        <v>213</v>
      </c>
      <c r="H33" s="12" t="s">
        <v>108</v>
      </c>
      <c r="I33" s="12" t="s">
        <v>123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2404</v>
      </c>
      <c r="B34" s="12" t="s">
        <v>215</v>
      </c>
      <c r="C34" s="12" t="s">
        <v>68</v>
      </c>
      <c r="D34" s="13" t="s">
        <v>2405</v>
      </c>
      <c r="E34" s="12" t="s">
        <v>144</v>
      </c>
      <c r="F34" s="12" t="s">
        <v>144</v>
      </c>
      <c r="G34" s="13" t="s">
        <v>2330</v>
      </c>
      <c r="H34" s="12" t="s">
        <v>108</v>
      </c>
      <c r="I34" s="12" t="s">
        <v>123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126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2408</v>
      </c>
      <c r="B9" s="12" t="s">
        <v>100</v>
      </c>
      <c r="C9" s="12" t="s">
        <v>1197</v>
      </c>
      <c r="D9" s="13" t="s">
        <v>2409</v>
      </c>
      <c r="E9" s="12" t="s">
        <v>144</v>
      </c>
      <c r="F9" s="12" t="s">
        <v>145</v>
      </c>
      <c r="G9" s="13" t="s">
        <v>2410</v>
      </c>
      <c r="H9" s="12" t="s">
        <v>108</v>
      </c>
      <c r="I9" s="12" t="s">
        <v>123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2411</v>
      </c>
      <c r="B10" s="12" t="s">
        <v>2412</v>
      </c>
      <c r="C10" s="12" t="s">
        <v>2413</v>
      </c>
      <c r="D10" s="13" t="s">
        <v>2414</v>
      </c>
      <c r="E10" s="12" t="s">
        <v>144</v>
      </c>
      <c r="F10" s="12" t="s">
        <v>164</v>
      </c>
      <c r="G10" s="13" t="s">
        <v>2415</v>
      </c>
      <c r="H10" s="12" t="s">
        <v>108</v>
      </c>
      <c r="I10" s="12" t="s">
        <v>123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2416</v>
      </c>
      <c r="B11" s="12" t="s">
        <v>1355</v>
      </c>
      <c r="C11" s="12" t="s">
        <v>1197</v>
      </c>
      <c r="D11" s="13" t="s">
        <v>2417</v>
      </c>
      <c r="E11" s="12" t="s">
        <v>144</v>
      </c>
      <c r="F11" s="12" t="s">
        <v>164</v>
      </c>
      <c r="G11" s="13" t="s">
        <v>2415</v>
      </c>
      <c r="H11" s="12" t="s">
        <v>108</v>
      </c>
      <c r="I11" s="12" t="s">
        <v>123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2418</v>
      </c>
      <c r="B12" s="12" t="s">
        <v>148</v>
      </c>
      <c r="C12" s="12" t="s">
        <v>1197</v>
      </c>
      <c r="D12" s="13" t="s">
        <v>2419</v>
      </c>
      <c r="E12" s="12" t="s">
        <v>144</v>
      </c>
      <c r="F12" s="12" t="s">
        <v>144</v>
      </c>
      <c r="G12" s="13" t="s">
        <v>592</v>
      </c>
      <c r="H12" s="12" t="s">
        <v>108</v>
      </c>
      <c r="I12" s="12" t="s">
        <v>123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2420</v>
      </c>
      <c r="B13" s="12" t="s">
        <v>152</v>
      </c>
      <c r="C13" s="12" t="s">
        <v>2421</v>
      </c>
      <c r="D13" s="13" t="s">
        <v>2422</v>
      </c>
      <c r="E13" s="12" t="s">
        <v>144</v>
      </c>
      <c r="F13" s="12" t="s">
        <v>154</v>
      </c>
      <c r="G13" s="13" t="s">
        <v>2423</v>
      </c>
      <c r="H13" s="12" t="s">
        <v>108</v>
      </c>
      <c r="I13" s="12" t="s">
        <v>123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2424</v>
      </c>
      <c r="B14" s="12" t="s">
        <v>157</v>
      </c>
      <c r="C14" s="12" t="s">
        <v>1197</v>
      </c>
      <c r="D14" s="13" t="s">
        <v>2425</v>
      </c>
      <c r="E14" s="12" t="s">
        <v>144</v>
      </c>
      <c r="F14" s="12" t="s">
        <v>159</v>
      </c>
      <c r="G14" s="13" t="s">
        <v>2426</v>
      </c>
      <c r="H14" s="12" t="s">
        <v>108</v>
      </c>
      <c r="I14" s="12" t="s">
        <v>123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2427</v>
      </c>
      <c r="B15" s="12" t="s">
        <v>1588</v>
      </c>
      <c r="C15" s="12" t="s">
        <v>2428</v>
      </c>
      <c r="D15" s="13" t="s">
        <v>2429</v>
      </c>
      <c r="E15" s="12" t="s">
        <v>144</v>
      </c>
      <c r="F15" s="12" t="s">
        <v>169</v>
      </c>
      <c r="G15" s="13" t="s">
        <v>2430</v>
      </c>
      <c r="H15" s="12" t="s">
        <v>108</v>
      </c>
      <c r="I15" s="12" t="s">
        <v>123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2431</v>
      </c>
      <c r="B16" s="12" t="s">
        <v>152</v>
      </c>
      <c r="C16" s="12" t="s">
        <v>2432</v>
      </c>
      <c r="D16" s="13" t="s">
        <v>2433</v>
      </c>
      <c r="E16" s="12" t="s">
        <v>144</v>
      </c>
      <c r="F16" s="12" t="s">
        <v>179</v>
      </c>
      <c r="G16" s="13" t="s">
        <v>2434</v>
      </c>
      <c r="H16" s="12" t="s">
        <v>110</v>
      </c>
      <c r="I16" s="12" t="s">
        <v>122</v>
      </c>
      <c r="J16" s="14" t="n">
        <v>46230</v>
      </c>
      <c r="K16" s="13" t="s">
        <v>2435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2436</v>
      </c>
      <c r="B17" s="12" t="s">
        <v>1099</v>
      </c>
      <c r="C17" s="12" t="s">
        <v>2437</v>
      </c>
      <c r="D17" s="13" t="s">
        <v>2438</v>
      </c>
      <c r="E17" s="12" t="s">
        <v>144</v>
      </c>
      <c r="F17" s="12" t="s">
        <v>179</v>
      </c>
      <c r="G17" s="13" t="s">
        <v>2439</v>
      </c>
      <c r="H17" s="12" t="s">
        <v>110</v>
      </c>
      <c r="I17" s="12" t="s">
        <v>122</v>
      </c>
      <c r="J17" s="14" t="n">
        <v>46230</v>
      </c>
      <c r="K17" s="13" t="s">
        <v>2440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2441</v>
      </c>
      <c r="B18" s="12" t="s">
        <v>2442</v>
      </c>
      <c r="C18" s="12" t="s">
        <v>2443</v>
      </c>
      <c r="D18" s="13" t="s">
        <v>2444</v>
      </c>
      <c r="E18" s="12" t="s">
        <v>144</v>
      </c>
      <c r="F18" s="12" t="s">
        <v>169</v>
      </c>
      <c r="G18" s="13" t="s">
        <v>2430</v>
      </c>
      <c r="H18" s="12" t="s">
        <v>108</v>
      </c>
      <c r="I18" s="12" t="s">
        <v>123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2445</v>
      </c>
      <c r="B19" s="12" t="s">
        <v>2446</v>
      </c>
      <c r="C19" s="12" t="s">
        <v>2447</v>
      </c>
      <c r="D19" s="13" t="s">
        <v>2448</v>
      </c>
      <c r="E19" s="12" t="s">
        <v>144</v>
      </c>
      <c r="F19" s="12" t="s">
        <v>169</v>
      </c>
      <c r="G19" s="13" t="s">
        <v>2449</v>
      </c>
      <c r="H19" s="12" t="s">
        <v>108</v>
      </c>
      <c r="I19" s="12" t="s">
        <v>123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2450</v>
      </c>
      <c r="B20" s="12" t="s">
        <v>2451</v>
      </c>
      <c r="C20" s="12" t="s">
        <v>2105</v>
      </c>
      <c r="D20" s="13" t="s">
        <v>2452</v>
      </c>
      <c r="E20" s="12" t="s">
        <v>144</v>
      </c>
      <c r="F20" s="12" t="s">
        <v>179</v>
      </c>
      <c r="G20" s="13" t="s">
        <v>2449</v>
      </c>
      <c r="H20" s="12" t="s">
        <v>110</v>
      </c>
      <c r="I20" s="12" t="s">
        <v>122</v>
      </c>
      <c r="J20" s="14" t="n">
        <v>46230</v>
      </c>
      <c r="K20" s="13" t="s">
        <v>2453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2454</v>
      </c>
      <c r="B21" s="12" t="s">
        <v>2455</v>
      </c>
      <c r="C21" s="12" t="s">
        <v>2447</v>
      </c>
      <c r="D21" s="13" t="s">
        <v>2456</v>
      </c>
      <c r="E21" s="12" t="s">
        <v>144</v>
      </c>
      <c r="F21" s="12" t="s">
        <v>169</v>
      </c>
      <c r="G21" s="13" t="s">
        <v>2449</v>
      </c>
      <c r="H21" s="12" t="s">
        <v>108</v>
      </c>
      <c r="I21" s="12" t="s">
        <v>123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2457</v>
      </c>
      <c r="B22" s="12" t="s">
        <v>2458</v>
      </c>
      <c r="C22" s="12" t="s">
        <v>2459</v>
      </c>
      <c r="D22" s="13" t="s">
        <v>2460</v>
      </c>
      <c r="E22" s="12" t="s">
        <v>144</v>
      </c>
      <c r="F22" s="12" t="s">
        <v>169</v>
      </c>
      <c r="G22" s="13" t="s">
        <v>2461</v>
      </c>
      <c r="H22" s="12" t="s">
        <v>108</v>
      </c>
      <c r="I22" s="12" t="s">
        <v>123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2462</v>
      </c>
      <c r="B23" s="12" t="s">
        <v>2463</v>
      </c>
      <c r="C23" s="12" t="s">
        <v>2464</v>
      </c>
      <c r="D23" s="13" t="s">
        <v>2465</v>
      </c>
      <c r="E23" s="12" t="s">
        <v>144</v>
      </c>
      <c r="F23" s="12" t="s">
        <v>164</v>
      </c>
      <c r="G23" s="13" t="s">
        <v>2466</v>
      </c>
      <c r="H23" s="12" t="s">
        <v>108</v>
      </c>
      <c r="I23" s="12" t="s">
        <v>123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2467</v>
      </c>
      <c r="B24" s="12" t="s">
        <v>2468</v>
      </c>
      <c r="C24" s="12" t="s">
        <v>2459</v>
      </c>
      <c r="D24" s="13" t="s">
        <v>2469</v>
      </c>
      <c r="E24" s="12" t="s">
        <v>144</v>
      </c>
      <c r="F24" s="12" t="s">
        <v>174</v>
      </c>
      <c r="G24" s="13" t="s">
        <v>2430</v>
      </c>
      <c r="H24" s="12" t="s">
        <v>108</v>
      </c>
      <c r="I24" s="12" t="s">
        <v>123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2470</v>
      </c>
      <c r="B25" s="12" t="s">
        <v>1595</v>
      </c>
      <c r="C25" s="12" t="s">
        <v>2471</v>
      </c>
      <c r="D25" s="13" t="s">
        <v>2472</v>
      </c>
      <c r="E25" s="12" t="s">
        <v>144</v>
      </c>
      <c r="F25" s="12" t="s">
        <v>169</v>
      </c>
      <c r="G25" s="13" t="s">
        <v>2461</v>
      </c>
      <c r="H25" s="12" t="s">
        <v>108</v>
      </c>
      <c r="I25" s="12" t="s">
        <v>123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2473</v>
      </c>
      <c r="B26" s="12" t="s">
        <v>2474</v>
      </c>
      <c r="C26" s="12" t="s">
        <v>813</v>
      </c>
      <c r="D26" s="13" t="s">
        <v>2475</v>
      </c>
      <c r="E26" s="12" t="s">
        <v>144</v>
      </c>
      <c r="F26" s="12" t="s">
        <v>145</v>
      </c>
      <c r="G26" s="13" t="s">
        <v>2476</v>
      </c>
      <c r="H26" s="12" t="s">
        <v>108</v>
      </c>
      <c r="I26" s="12" t="s">
        <v>123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2477</v>
      </c>
      <c r="B27" s="12" t="s">
        <v>2478</v>
      </c>
      <c r="C27" s="12" t="s">
        <v>2479</v>
      </c>
      <c r="D27" s="13" t="s">
        <v>2480</v>
      </c>
      <c r="E27" s="12" t="s">
        <v>144</v>
      </c>
      <c r="F27" s="12" t="s">
        <v>164</v>
      </c>
      <c r="G27" s="13" t="s">
        <v>2481</v>
      </c>
      <c r="H27" s="12" t="s">
        <v>108</v>
      </c>
      <c r="I27" s="12" t="s">
        <v>123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2482</v>
      </c>
      <c r="B28" s="12" t="s">
        <v>1543</v>
      </c>
      <c r="C28" s="12" t="s">
        <v>1197</v>
      </c>
      <c r="D28" s="13" t="s">
        <v>2483</v>
      </c>
      <c r="E28" s="12" t="s">
        <v>144</v>
      </c>
      <c r="F28" s="12" t="s">
        <v>164</v>
      </c>
      <c r="G28" s="13" t="s">
        <v>2484</v>
      </c>
      <c r="H28" s="12" t="s">
        <v>108</v>
      </c>
      <c r="I28" s="12" t="s">
        <v>123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2485</v>
      </c>
      <c r="B29" s="12" t="s">
        <v>2486</v>
      </c>
      <c r="C29" s="12" t="s">
        <v>1197</v>
      </c>
      <c r="D29" s="13" t="s">
        <v>2487</v>
      </c>
      <c r="E29" s="12" t="s">
        <v>144</v>
      </c>
      <c r="F29" s="12" t="s">
        <v>179</v>
      </c>
      <c r="G29" s="13" t="s">
        <v>2449</v>
      </c>
      <c r="H29" s="12" t="s">
        <v>110</v>
      </c>
      <c r="I29" s="12" t="s">
        <v>122</v>
      </c>
      <c r="J29" s="14" t="n">
        <v>46230</v>
      </c>
      <c r="K29" s="13" t="s">
        <v>2488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2489</v>
      </c>
      <c r="B30" s="12" t="s">
        <v>1878</v>
      </c>
      <c r="C30" s="12" t="s">
        <v>1197</v>
      </c>
      <c r="D30" s="13" t="s">
        <v>2490</v>
      </c>
      <c r="E30" s="12" t="s">
        <v>144</v>
      </c>
      <c r="F30" s="12" t="s">
        <v>179</v>
      </c>
      <c r="G30" s="13" t="s">
        <v>2434</v>
      </c>
      <c r="H30" s="12" t="s">
        <v>110</v>
      </c>
      <c r="I30" s="12" t="s">
        <v>122</v>
      </c>
      <c r="J30" s="14" t="n">
        <v>46230</v>
      </c>
      <c r="K30" s="13" t="s">
        <v>2491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2492</v>
      </c>
      <c r="B31" s="12" t="s">
        <v>2493</v>
      </c>
      <c r="C31" s="12" t="s">
        <v>2432</v>
      </c>
      <c r="D31" s="13" t="s">
        <v>2494</v>
      </c>
      <c r="E31" s="12" t="s">
        <v>144</v>
      </c>
      <c r="F31" s="12" t="s">
        <v>179</v>
      </c>
      <c r="G31" s="13" t="s">
        <v>2434</v>
      </c>
      <c r="H31" s="12" t="s">
        <v>110</v>
      </c>
      <c r="I31" s="12" t="s">
        <v>122</v>
      </c>
      <c r="J31" s="14" t="n">
        <v>46230</v>
      </c>
      <c r="K31" s="13" t="s">
        <v>2495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2496</v>
      </c>
      <c r="B32" s="12" t="s">
        <v>172</v>
      </c>
      <c r="C32" s="12" t="s">
        <v>1197</v>
      </c>
      <c r="D32" s="13" t="s">
        <v>2497</v>
      </c>
      <c r="E32" s="12" t="s">
        <v>144</v>
      </c>
      <c r="F32" s="12" t="s">
        <v>174</v>
      </c>
      <c r="G32" s="13" t="s">
        <v>2461</v>
      </c>
      <c r="H32" s="12" t="s">
        <v>108</v>
      </c>
      <c r="I32" s="12" t="s">
        <v>123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2498</v>
      </c>
      <c r="B33" s="12" t="s">
        <v>177</v>
      </c>
      <c r="C33" s="12" t="s">
        <v>1197</v>
      </c>
      <c r="D33" s="13" t="s">
        <v>2499</v>
      </c>
      <c r="E33" s="12" t="s">
        <v>144</v>
      </c>
      <c r="F33" s="12" t="s">
        <v>179</v>
      </c>
      <c r="G33" s="13" t="s">
        <v>2434</v>
      </c>
      <c r="H33" s="12" t="s">
        <v>110</v>
      </c>
      <c r="I33" s="12" t="s">
        <v>122</v>
      </c>
      <c r="J33" s="14" t="n">
        <v>46230</v>
      </c>
      <c r="K33" s="13" t="s">
        <v>2500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2501</v>
      </c>
      <c r="B34" s="12" t="s">
        <v>632</v>
      </c>
      <c r="C34" s="12" t="s">
        <v>1197</v>
      </c>
      <c r="D34" s="13" t="s">
        <v>2502</v>
      </c>
      <c r="E34" s="12" t="s">
        <v>144</v>
      </c>
      <c r="F34" s="12" t="s">
        <v>634</v>
      </c>
      <c r="G34" s="13" t="s">
        <v>2503</v>
      </c>
      <c r="H34" s="12" t="s">
        <v>108</v>
      </c>
      <c r="I34" s="12" t="s">
        <v>123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2504</v>
      </c>
      <c r="B35" s="12" t="s">
        <v>197</v>
      </c>
      <c r="C35" s="12" t="s">
        <v>1197</v>
      </c>
      <c r="D35" s="13" t="s">
        <v>2505</v>
      </c>
      <c r="E35" s="12" t="s">
        <v>144</v>
      </c>
      <c r="F35" s="12" t="s">
        <v>185</v>
      </c>
      <c r="G35" s="13" t="s">
        <v>2506</v>
      </c>
      <c r="H35" s="12" t="s">
        <v>102</v>
      </c>
      <c r="I35" s="12" t="s">
        <v>122</v>
      </c>
      <c r="J35" s="14" t="n">
        <v>46230</v>
      </c>
      <c r="K35" s="13" t="s">
        <v>1821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2507</v>
      </c>
      <c r="B36" s="12" t="s">
        <v>2399</v>
      </c>
      <c r="C36" s="12" t="s">
        <v>69</v>
      </c>
      <c r="D36" s="13" t="s">
        <v>2508</v>
      </c>
      <c r="E36" s="12" t="s">
        <v>144</v>
      </c>
      <c r="F36" s="12" t="s">
        <v>203</v>
      </c>
      <c r="G36" s="13" t="s">
        <v>2509</v>
      </c>
      <c r="H36" s="12" t="s">
        <v>108</v>
      </c>
      <c r="I36" s="12" t="s">
        <v>123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2510</v>
      </c>
      <c r="B37" s="12" t="s">
        <v>206</v>
      </c>
      <c r="C37" s="12" t="s">
        <v>69</v>
      </c>
      <c r="D37" s="13" t="s">
        <v>2511</v>
      </c>
      <c r="E37" s="12" t="s">
        <v>144</v>
      </c>
      <c r="F37" s="12" t="s">
        <v>203</v>
      </c>
      <c r="G37" s="13" t="s">
        <v>2512</v>
      </c>
      <c r="H37" s="12" t="s">
        <v>108</v>
      </c>
      <c r="I37" s="12" t="s">
        <v>123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2513</v>
      </c>
      <c r="B38" s="12" t="s">
        <v>210</v>
      </c>
      <c r="C38" s="12" t="s">
        <v>2413</v>
      </c>
      <c r="D38" s="13" t="s">
        <v>2514</v>
      </c>
      <c r="E38" s="12" t="s">
        <v>212</v>
      </c>
      <c r="F38" s="12" t="s">
        <v>212</v>
      </c>
      <c r="G38" s="13" t="s">
        <v>213</v>
      </c>
      <c r="H38" s="12" t="s">
        <v>108</v>
      </c>
      <c r="I38" s="12" t="s">
        <v>123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2515</v>
      </c>
      <c r="B39" s="12" t="s">
        <v>215</v>
      </c>
      <c r="C39" s="12" t="s">
        <v>69</v>
      </c>
      <c r="D39" s="13" t="s">
        <v>2516</v>
      </c>
      <c r="E39" s="12" t="s">
        <v>144</v>
      </c>
      <c r="F39" s="12" t="s">
        <v>144</v>
      </c>
      <c r="G39" s="13" t="s">
        <v>2517</v>
      </c>
      <c r="H39" s="12" t="s">
        <v>108</v>
      </c>
      <c r="I39" s="12" t="s">
        <v>123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1507</v>
      </c>
      <c r="B9" s="12" t="s">
        <v>100</v>
      </c>
      <c r="C9" s="12" t="s">
        <v>1197</v>
      </c>
      <c r="D9" s="13" t="s">
        <v>2520</v>
      </c>
      <c r="E9" s="12" t="s">
        <v>144</v>
      </c>
      <c r="F9" s="12" t="s">
        <v>145</v>
      </c>
      <c r="G9" s="13" t="s">
        <v>2521</v>
      </c>
      <c r="H9" s="12" t="s">
        <v>108</v>
      </c>
      <c r="I9" s="12" t="s">
        <v>123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1510</v>
      </c>
      <c r="B10" s="12" t="s">
        <v>2412</v>
      </c>
      <c r="C10" s="12" t="s">
        <v>1197</v>
      </c>
      <c r="D10" s="13" t="s">
        <v>2522</v>
      </c>
      <c r="E10" s="12" t="s">
        <v>144</v>
      </c>
      <c r="F10" s="12" t="s">
        <v>164</v>
      </c>
      <c r="G10" s="13" t="s">
        <v>2523</v>
      </c>
      <c r="H10" s="12" t="s">
        <v>108</v>
      </c>
      <c r="I10" s="12" t="s">
        <v>123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1514</v>
      </c>
      <c r="B11" s="12" t="s">
        <v>1355</v>
      </c>
      <c r="C11" s="12" t="s">
        <v>2524</v>
      </c>
      <c r="D11" s="13" t="s">
        <v>2525</v>
      </c>
      <c r="E11" s="12" t="s">
        <v>144</v>
      </c>
      <c r="F11" s="12" t="s">
        <v>164</v>
      </c>
      <c r="G11" s="13" t="s">
        <v>2523</v>
      </c>
      <c r="H11" s="12" t="s">
        <v>108</v>
      </c>
      <c r="I11" s="12" t="s">
        <v>123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1516</v>
      </c>
      <c r="B12" s="12" t="s">
        <v>152</v>
      </c>
      <c r="C12" s="12" t="s">
        <v>2421</v>
      </c>
      <c r="D12" s="13" t="s">
        <v>2526</v>
      </c>
      <c r="E12" s="12" t="s">
        <v>144</v>
      </c>
      <c r="F12" s="12" t="s">
        <v>154</v>
      </c>
      <c r="G12" s="13" t="s">
        <v>2527</v>
      </c>
      <c r="H12" s="12" t="s">
        <v>108</v>
      </c>
      <c r="I12" s="12" t="s">
        <v>123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1519</v>
      </c>
      <c r="B13" s="12" t="s">
        <v>148</v>
      </c>
      <c r="C13" s="12" t="s">
        <v>1197</v>
      </c>
      <c r="D13" s="13" t="s">
        <v>2528</v>
      </c>
      <c r="E13" s="12" t="s">
        <v>144</v>
      </c>
      <c r="F13" s="12" t="s">
        <v>144</v>
      </c>
      <c r="G13" s="13" t="s">
        <v>150</v>
      </c>
      <c r="H13" s="12" t="s">
        <v>108</v>
      </c>
      <c r="I13" s="12" t="s">
        <v>123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1522</v>
      </c>
      <c r="B14" s="12" t="s">
        <v>1323</v>
      </c>
      <c r="C14" s="12" t="s">
        <v>813</v>
      </c>
      <c r="D14" s="13" t="s">
        <v>2529</v>
      </c>
      <c r="E14" s="12" t="s">
        <v>144</v>
      </c>
      <c r="F14" s="12" t="s">
        <v>144</v>
      </c>
      <c r="G14" s="13" t="s">
        <v>1325</v>
      </c>
      <c r="H14" s="12" t="s">
        <v>108</v>
      </c>
      <c r="I14" s="12" t="s">
        <v>123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1525</v>
      </c>
      <c r="B15" s="12" t="s">
        <v>1588</v>
      </c>
      <c r="C15" s="12" t="s">
        <v>813</v>
      </c>
      <c r="D15" s="13" t="s">
        <v>2530</v>
      </c>
      <c r="E15" s="12" t="s">
        <v>144</v>
      </c>
      <c r="F15" s="12" t="s">
        <v>164</v>
      </c>
      <c r="G15" s="13" t="s">
        <v>2523</v>
      </c>
      <c r="H15" s="12" t="s">
        <v>108</v>
      </c>
      <c r="I15" s="12" t="s">
        <v>123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1528</v>
      </c>
      <c r="B16" s="12" t="s">
        <v>1146</v>
      </c>
      <c r="C16" s="12" t="s">
        <v>813</v>
      </c>
      <c r="D16" s="13" t="s">
        <v>2531</v>
      </c>
      <c r="E16" s="12" t="s">
        <v>144</v>
      </c>
      <c r="F16" s="12" t="s">
        <v>169</v>
      </c>
      <c r="G16" s="13" t="s">
        <v>2532</v>
      </c>
      <c r="H16" s="12" t="s">
        <v>108</v>
      </c>
      <c r="I16" s="12" t="s">
        <v>123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1532</v>
      </c>
      <c r="B17" s="12" t="s">
        <v>672</v>
      </c>
      <c r="C17" s="12" t="s">
        <v>2533</v>
      </c>
      <c r="D17" s="13" t="s">
        <v>2534</v>
      </c>
      <c r="E17" s="12" t="s">
        <v>144</v>
      </c>
      <c r="F17" s="12" t="s">
        <v>164</v>
      </c>
      <c r="G17" s="13" t="s">
        <v>2523</v>
      </c>
      <c r="H17" s="12" t="s">
        <v>108</v>
      </c>
      <c r="I17" s="12" t="s">
        <v>123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1535</v>
      </c>
      <c r="B18" s="12" t="s">
        <v>2535</v>
      </c>
      <c r="C18" s="12" t="s">
        <v>2533</v>
      </c>
      <c r="D18" s="13" t="s">
        <v>2536</v>
      </c>
      <c r="E18" s="12" t="s">
        <v>144</v>
      </c>
      <c r="F18" s="12" t="s">
        <v>169</v>
      </c>
      <c r="G18" s="13" t="s">
        <v>2532</v>
      </c>
      <c r="H18" s="12" t="s">
        <v>108</v>
      </c>
      <c r="I18" s="12" t="s">
        <v>123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1537</v>
      </c>
      <c r="B19" s="12" t="s">
        <v>2537</v>
      </c>
      <c r="C19" s="12" t="s">
        <v>2538</v>
      </c>
      <c r="D19" s="13" t="s">
        <v>2539</v>
      </c>
      <c r="E19" s="12" t="s">
        <v>144</v>
      </c>
      <c r="F19" s="12" t="s">
        <v>169</v>
      </c>
      <c r="G19" s="13" t="s">
        <v>2532</v>
      </c>
      <c r="H19" s="12" t="s">
        <v>108</v>
      </c>
      <c r="I19" s="12" t="s">
        <v>123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1540</v>
      </c>
      <c r="B20" s="12" t="s">
        <v>183</v>
      </c>
      <c r="C20" s="12" t="s">
        <v>42</v>
      </c>
      <c r="D20" s="13" t="s">
        <v>2540</v>
      </c>
      <c r="E20" s="12" t="s">
        <v>144</v>
      </c>
      <c r="F20" s="12" t="s">
        <v>169</v>
      </c>
      <c r="G20" s="13" t="s">
        <v>2532</v>
      </c>
      <c r="H20" s="12" t="s">
        <v>108</v>
      </c>
      <c r="I20" s="12" t="s">
        <v>123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1542</v>
      </c>
      <c r="B21" s="12" t="s">
        <v>2541</v>
      </c>
      <c r="C21" s="12" t="s">
        <v>2542</v>
      </c>
      <c r="D21" s="13" t="s">
        <v>2543</v>
      </c>
      <c r="E21" s="12" t="s">
        <v>144</v>
      </c>
      <c r="F21" s="12" t="s">
        <v>169</v>
      </c>
      <c r="G21" s="13" t="s">
        <v>2532</v>
      </c>
      <c r="H21" s="12" t="s">
        <v>108</v>
      </c>
      <c r="I21" s="12" t="s">
        <v>123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1546</v>
      </c>
      <c r="B22" s="12" t="s">
        <v>2544</v>
      </c>
      <c r="C22" s="12" t="s">
        <v>1197</v>
      </c>
      <c r="D22" s="13" t="s">
        <v>2545</v>
      </c>
      <c r="E22" s="12" t="s">
        <v>144</v>
      </c>
      <c r="F22" s="12" t="s">
        <v>179</v>
      </c>
      <c r="G22" s="13" t="s">
        <v>2546</v>
      </c>
      <c r="H22" s="12" t="s">
        <v>110</v>
      </c>
      <c r="I22" s="12" t="s">
        <v>122</v>
      </c>
      <c r="J22" s="14" t="n">
        <v>46230</v>
      </c>
      <c r="K22" s="13" t="s">
        <v>2547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1549</v>
      </c>
      <c r="B23" s="12" t="s">
        <v>1878</v>
      </c>
      <c r="C23" s="12" t="s">
        <v>1197</v>
      </c>
      <c r="D23" s="13" t="s">
        <v>2548</v>
      </c>
      <c r="E23" s="12" t="s">
        <v>144</v>
      </c>
      <c r="F23" s="12" t="s">
        <v>179</v>
      </c>
      <c r="G23" s="13" t="s">
        <v>2546</v>
      </c>
      <c r="H23" s="12" t="s">
        <v>110</v>
      </c>
      <c r="I23" s="12" t="s">
        <v>122</v>
      </c>
      <c r="J23" s="14" t="n">
        <v>46230</v>
      </c>
      <c r="K23" s="13" t="s">
        <v>2549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1553</v>
      </c>
      <c r="B24" s="12" t="s">
        <v>177</v>
      </c>
      <c r="C24" s="12" t="s">
        <v>1197</v>
      </c>
      <c r="D24" s="13" t="s">
        <v>2550</v>
      </c>
      <c r="E24" s="12" t="s">
        <v>144</v>
      </c>
      <c r="F24" s="12" t="s">
        <v>179</v>
      </c>
      <c r="G24" s="13" t="s">
        <v>2546</v>
      </c>
      <c r="H24" s="12" t="s">
        <v>110</v>
      </c>
      <c r="I24" s="12" t="s">
        <v>122</v>
      </c>
      <c r="J24" s="14" t="n">
        <v>46231</v>
      </c>
      <c r="K24" s="13" t="s">
        <v>2551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1556</v>
      </c>
      <c r="B25" s="12" t="s">
        <v>172</v>
      </c>
      <c r="C25" s="12" t="s">
        <v>1197</v>
      </c>
      <c r="D25" s="13" t="s">
        <v>2552</v>
      </c>
      <c r="E25" s="12" t="s">
        <v>144</v>
      </c>
      <c r="F25" s="12" t="s">
        <v>174</v>
      </c>
      <c r="G25" s="13" t="s">
        <v>2532</v>
      </c>
      <c r="H25" s="12" t="s">
        <v>108</v>
      </c>
      <c r="I25" s="12" t="s">
        <v>123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1558</v>
      </c>
      <c r="B26" s="12" t="s">
        <v>632</v>
      </c>
      <c r="C26" s="12" t="s">
        <v>1197</v>
      </c>
      <c r="D26" s="13" t="s">
        <v>2553</v>
      </c>
      <c r="E26" s="12" t="s">
        <v>144</v>
      </c>
      <c r="F26" s="12" t="s">
        <v>634</v>
      </c>
      <c r="G26" s="13" t="s">
        <v>2554</v>
      </c>
      <c r="H26" s="12" t="s">
        <v>108</v>
      </c>
      <c r="I26" s="12" t="s">
        <v>123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1560</v>
      </c>
      <c r="B27" s="12" t="s">
        <v>2399</v>
      </c>
      <c r="C27" s="12" t="s">
        <v>89</v>
      </c>
      <c r="D27" s="13" t="s">
        <v>2555</v>
      </c>
      <c r="E27" s="12" t="s">
        <v>144</v>
      </c>
      <c r="F27" s="12" t="s">
        <v>203</v>
      </c>
      <c r="G27" s="13" t="s">
        <v>2556</v>
      </c>
      <c r="H27" s="12" t="s">
        <v>108</v>
      </c>
      <c r="I27" s="12" t="s">
        <v>123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1563</v>
      </c>
      <c r="B28" s="12" t="s">
        <v>206</v>
      </c>
      <c r="C28" s="12" t="s">
        <v>89</v>
      </c>
      <c r="D28" s="13" t="s">
        <v>2557</v>
      </c>
      <c r="E28" s="12" t="s">
        <v>144</v>
      </c>
      <c r="F28" s="12" t="s">
        <v>203</v>
      </c>
      <c r="G28" s="13" t="s">
        <v>2558</v>
      </c>
      <c r="H28" s="12" t="s">
        <v>108</v>
      </c>
      <c r="I28" s="12" t="s">
        <v>123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1566</v>
      </c>
      <c r="B29" s="12" t="s">
        <v>210</v>
      </c>
      <c r="C29" s="12" t="s">
        <v>89</v>
      </c>
      <c r="D29" s="13" t="s">
        <v>2559</v>
      </c>
      <c r="E29" s="12" t="s">
        <v>212</v>
      </c>
      <c r="F29" s="12" t="s">
        <v>212</v>
      </c>
      <c r="G29" s="13" t="s">
        <v>2560</v>
      </c>
      <c r="H29" s="12" t="s">
        <v>108</v>
      </c>
      <c r="I29" s="12" t="s">
        <v>123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1568</v>
      </c>
      <c r="B30" s="12" t="s">
        <v>197</v>
      </c>
      <c r="C30" s="12" t="s">
        <v>1197</v>
      </c>
      <c r="D30" s="13" t="s">
        <v>2561</v>
      </c>
      <c r="E30" s="12" t="s">
        <v>144</v>
      </c>
      <c r="F30" s="12" t="s">
        <v>185</v>
      </c>
      <c r="G30" s="13" t="s">
        <v>2562</v>
      </c>
      <c r="H30" s="12" t="s">
        <v>102</v>
      </c>
      <c r="I30" s="12" t="s">
        <v>122</v>
      </c>
      <c r="J30" s="14" t="n">
        <v>46230</v>
      </c>
      <c r="K30" s="13" t="s">
        <v>1821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2563</v>
      </c>
      <c r="B31" s="12" t="s">
        <v>215</v>
      </c>
      <c r="C31" s="12" t="s">
        <v>89</v>
      </c>
      <c r="D31" s="13" t="s">
        <v>2564</v>
      </c>
      <c r="E31" s="12" t="s">
        <v>144</v>
      </c>
      <c r="F31" s="12" t="s">
        <v>144</v>
      </c>
      <c r="G31" s="13" t="s">
        <v>2565</v>
      </c>
      <c r="H31" s="12" t="s">
        <v>108</v>
      </c>
      <c r="I31" s="12" t="s">
        <v>123</v>
      </c>
      <c r="J31" s="14" t="n">
        <v>46231</v>
      </c>
      <c r="K31" s="13" t="s">
        <v>2566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2568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126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2569</v>
      </c>
      <c r="B9" s="12" t="s">
        <v>100</v>
      </c>
      <c r="C9" s="12" t="s">
        <v>1197</v>
      </c>
      <c r="D9" s="13" t="s">
        <v>2570</v>
      </c>
      <c r="E9" s="12" t="s">
        <v>144</v>
      </c>
      <c r="F9" s="12" t="s">
        <v>145</v>
      </c>
      <c r="G9" s="13" t="s">
        <v>2571</v>
      </c>
      <c r="H9" s="12" t="s">
        <v>108</v>
      </c>
      <c r="I9" s="12" t="s">
        <v>123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2572</v>
      </c>
      <c r="B10" s="12" t="s">
        <v>2412</v>
      </c>
      <c r="C10" s="12" t="s">
        <v>1197</v>
      </c>
      <c r="D10" s="13" t="s">
        <v>2573</v>
      </c>
      <c r="E10" s="12" t="s">
        <v>144</v>
      </c>
      <c r="F10" s="12" t="s">
        <v>164</v>
      </c>
      <c r="G10" s="13" t="s">
        <v>2574</v>
      </c>
      <c r="H10" s="12" t="s">
        <v>108</v>
      </c>
      <c r="I10" s="12" t="s">
        <v>123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2575</v>
      </c>
      <c r="B11" s="12" t="s">
        <v>1355</v>
      </c>
      <c r="C11" s="12" t="s">
        <v>1197</v>
      </c>
      <c r="D11" s="13" t="s">
        <v>2576</v>
      </c>
      <c r="E11" s="12" t="s">
        <v>144</v>
      </c>
      <c r="F11" s="12" t="s">
        <v>164</v>
      </c>
      <c r="G11" s="13" t="s">
        <v>2574</v>
      </c>
      <c r="H11" s="12" t="s">
        <v>108</v>
      </c>
      <c r="I11" s="12" t="s">
        <v>123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2577</v>
      </c>
      <c r="B12" s="12" t="s">
        <v>152</v>
      </c>
      <c r="C12" s="12" t="s">
        <v>2421</v>
      </c>
      <c r="D12" s="13" t="s">
        <v>2578</v>
      </c>
      <c r="E12" s="12" t="s">
        <v>144</v>
      </c>
      <c r="F12" s="12" t="s">
        <v>154</v>
      </c>
      <c r="G12" s="13" t="s">
        <v>2579</v>
      </c>
      <c r="H12" s="12" t="s">
        <v>108</v>
      </c>
      <c r="I12" s="12" t="s">
        <v>123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2580</v>
      </c>
      <c r="B13" s="12" t="s">
        <v>148</v>
      </c>
      <c r="C13" s="12" t="s">
        <v>1197</v>
      </c>
      <c r="D13" s="13" t="s">
        <v>2581</v>
      </c>
      <c r="E13" s="12" t="s">
        <v>144</v>
      </c>
      <c r="F13" s="12" t="s">
        <v>144</v>
      </c>
      <c r="G13" s="13" t="s">
        <v>150</v>
      </c>
      <c r="H13" s="12" t="s">
        <v>108</v>
      </c>
      <c r="I13" s="12" t="s">
        <v>123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2582</v>
      </c>
      <c r="B14" s="12" t="s">
        <v>1323</v>
      </c>
      <c r="C14" s="12" t="s">
        <v>1197</v>
      </c>
      <c r="D14" s="13" t="s">
        <v>2583</v>
      </c>
      <c r="E14" s="12" t="s">
        <v>144</v>
      </c>
      <c r="F14" s="12" t="s">
        <v>144</v>
      </c>
      <c r="G14" s="13" t="s">
        <v>1325</v>
      </c>
      <c r="H14" s="12" t="s">
        <v>108</v>
      </c>
      <c r="I14" s="12" t="s">
        <v>123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2584</v>
      </c>
      <c r="B15" s="12" t="s">
        <v>1588</v>
      </c>
      <c r="C15" s="12" t="s">
        <v>813</v>
      </c>
      <c r="D15" s="13" t="s">
        <v>2585</v>
      </c>
      <c r="E15" s="12" t="s">
        <v>144</v>
      </c>
      <c r="F15" s="12" t="s">
        <v>164</v>
      </c>
      <c r="G15" s="13" t="s">
        <v>2574</v>
      </c>
      <c r="H15" s="12" t="s">
        <v>108</v>
      </c>
      <c r="I15" s="12" t="s">
        <v>123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2586</v>
      </c>
      <c r="B16" s="12" t="s">
        <v>1146</v>
      </c>
      <c r="C16" s="12" t="s">
        <v>813</v>
      </c>
      <c r="D16" s="13" t="s">
        <v>2587</v>
      </c>
      <c r="E16" s="12" t="s">
        <v>144</v>
      </c>
      <c r="F16" s="12" t="s">
        <v>169</v>
      </c>
      <c r="G16" s="13" t="s">
        <v>2588</v>
      </c>
      <c r="H16" s="12" t="s">
        <v>108</v>
      </c>
      <c r="I16" s="12" t="s">
        <v>123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2589</v>
      </c>
      <c r="B17" s="12" t="s">
        <v>2590</v>
      </c>
      <c r="C17" s="12" t="s">
        <v>2591</v>
      </c>
      <c r="D17" s="13" t="s">
        <v>2592</v>
      </c>
      <c r="E17" s="12" t="s">
        <v>144</v>
      </c>
      <c r="F17" s="12" t="s">
        <v>164</v>
      </c>
      <c r="G17" s="13" t="s">
        <v>2574</v>
      </c>
      <c r="H17" s="12" t="s">
        <v>108</v>
      </c>
      <c r="I17" s="12" t="s">
        <v>123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2593</v>
      </c>
      <c r="B18" s="12" t="s">
        <v>1186</v>
      </c>
      <c r="C18" s="12" t="s">
        <v>2594</v>
      </c>
      <c r="D18" s="13" t="s">
        <v>2595</v>
      </c>
      <c r="E18" s="12" t="s">
        <v>144</v>
      </c>
      <c r="F18" s="12" t="s">
        <v>169</v>
      </c>
      <c r="G18" s="13" t="s">
        <v>2588</v>
      </c>
      <c r="H18" s="12" t="s">
        <v>108</v>
      </c>
      <c r="I18" s="12" t="s">
        <v>123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2596</v>
      </c>
      <c r="B19" s="12" t="s">
        <v>2597</v>
      </c>
      <c r="C19" s="12" t="s">
        <v>2594</v>
      </c>
      <c r="D19" s="13" t="s">
        <v>2598</v>
      </c>
      <c r="E19" s="12" t="s">
        <v>144</v>
      </c>
      <c r="F19" s="12" t="s">
        <v>169</v>
      </c>
      <c r="G19" s="13" t="s">
        <v>2588</v>
      </c>
      <c r="H19" s="12" t="s">
        <v>108</v>
      </c>
      <c r="I19" s="12" t="s">
        <v>123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2599</v>
      </c>
      <c r="B20" s="12" t="s">
        <v>2600</v>
      </c>
      <c r="C20" s="12" t="s">
        <v>2601</v>
      </c>
      <c r="D20" s="13" t="s">
        <v>2602</v>
      </c>
      <c r="E20" s="12" t="s">
        <v>144</v>
      </c>
      <c r="F20" s="12" t="s">
        <v>169</v>
      </c>
      <c r="G20" s="13" t="s">
        <v>2588</v>
      </c>
      <c r="H20" s="12" t="s">
        <v>108</v>
      </c>
      <c r="I20" s="12" t="s">
        <v>123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2603</v>
      </c>
      <c r="B21" s="12" t="s">
        <v>172</v>
      </c>
      <c r="C21" s="12" t="s">
        <v>1197</v>
      </c>
      <c r="D21" s="13" t="s">
        <v>2604</v>
      </c>
      <c r="E21" s="12" t="s">
        <v>144</v>
      </c>
      <c r="F21" s="12" t="s">
        <v>169</v>
      </c>
      <c r="G21" s="13" t="s">
        <v>2588</v>
      </c>
      <c r="H21" s="12" t="s">
        <v>108</v>
      </c>
      <c r="I21" s="12" t="s">
        <v>123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2605</v>
      </c>
      <c r="B22" s="12" t="s">
        <v>183</v>
      </c>
      <c r="C22" s="12" t="s">
        <v>2606</v>
      </c>
      <c r="D22" s="13" t="s">
        <v>2607</v>
      </c>
      <c r="E22" s="12" t="s">
        <v>144</v>
      </c>
      <c r="F22" s="12" t="s">
        <v>169</v>
      </c>
      <c r="G22" s="13" t="s">
        <v>2588</v>
      </c>
      <c r="H22" s="12" t="s">
        <v>108</v>
      </c>
      <c r="I22" s="12" t="s">
        <v>123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2608</v>
      </c>
      <c r="B23" s="12" t="s">
        <v>1878</v>
      </c>
      <c r="C23" s="12" t="s">
        <v>1197</v>
      </c>
      <c r="D23" s="13" t="s">
        <v>2609</v>
      </c>
      <c r="E23" s="12" t="s">
        <v>144</v>
      </c>
      <c r="F23" s="12" t="s">
        <v>179</v>
      </c>
      <c r="G23" s="13" t="s">
        <v>2610</v>
      </c>
      <c r="H23" s="12" t="s">
        <v>106</v>
      </c>
      <c r="I23" s="12" t="s">
        <v>122</v>
      </c>
      <c r="J23" s="14" t="n">
        <v>46231</v>
      </c>
      <c r="K23" s="13" t="s">
        <v>2611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2612</v>
      </c>
      <c r="B24" s="12" t="s">
        <v>2493</v>
      </c>
      <c r="C24" s="12" t="s">
        <v>2594</v>
      </c>
      <c r="D24" s="13" t="s">
        <v>2613</v>
      </c>
      <c r="E24" s="12" t="s">
        <v>144</v>
      </c>
      <c r="F24" s="12" t="s">
        <v>185</v>
      </c>
      <c r="G24" s="13" t="s">
        <v>2614</v>
      </c>
      <c r="H24" s="12" t="s">
        <v>106</v>
      </c>
      <c r="I24" s="12" t="s">
        <v>122</v>
      </c>
      <c r="J24" s="14" t="n">
        <v>46231</v>
      </c>
      <c r="K24" s="13" t="s">
        <v>2615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2616</v>
      </c>
      <c r="B25" s="12" t="s">
        <v>177</v>
      </c>
      <c r="C25" s="12" t="s">
        <v>1197</v>
      </c>
      <c r="D25" s="13" t="s">
        <v>2617</v>
      </c>
      <c r="E25" s="12" t="s">
        <v>144</v>
      </c>
      <c r="F25" s="12" t="s">
        <v>179</v>
      </c>
      <c r="G25" s="13" t="s">
        <v>2610</v>
      </c>
      <c r="H25" s="12" t="s">
        <v>106</v>
      </c>
      <c r="I25" s="12" t="s">
        <v>122</v>
      </c>
      <c r="J25" s="14" t="n">
        <v>46231</v>
      </c>
      <c r="K25" s="13" t="s">
        <v>2618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2619</v>
      </c>
      <c r="B26" s="12" t="s">
        <v>1543</v>
      </c>
      <c r="C26" s="12" t="s">
        <v>2620</v>
      </c>
      <c r="D26" s="13" t="s">
        <v>2621</v>
      </c>
      <c r="E26" s="12" t="s">
        <v>144</v>
      </c>
      <c r="F26" s="12" t="s">
        <v>164</v>
      </c>
      <c r="G26" s="13" t="s">
        <v>2574</v>
      </c>
      <c r="H26" s="12" t="s">
        <v>108</v>
      </c>
      <c r="I26" s="12" t="s">
        <v>123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2622</v>
      </c>
      <c r="B27" s="12" t="s">
        <v>2399</v>
      </c>
      <c r="C27" s="12" t="s">
        <v>2623</v>
      </c>
      <c r="D27" s="13" t="s">
        <v>2624</v>
      </c>
      <c r="E27" s="12" t="s">
        <v>144</v>
      </c>
      <c r="F27" s="12" t="s">
        <v>2625</v>
      </c>
      <c r="G27" s="13" t="s">
        <v>2626</v>
      </c>
      <c r="H27" s="12" t="s">
        <v>108</v>
      </c>
      <c r="I27" s="12" t="s">
        <v>123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2627</v>
      </c>
      <c r="B28" s="12" t="s">
        <v>206</v>
      </c>
      <c r="C28" s="12" t="s">
        <v>2628</v>
      </c>
      <c r="D28" s="13" t="s">
        <v>2629</v>
      </c>
      <c r="E28" s="12" t="s">
        <v>144</v>
      </c>
      <c r="F28" s="12" t="s">
        <v>2625</v>
      </c>
      <c r="G28" s="13" t="s">
        <v>2630</v>
      </c>
      <c r="H28" s="12" t="s">
        <v>108</v>
      </c>
      <c r="I28" s="12" t="s">
        <v>123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2631</v>
      </c>
      <c r="B29" s="12" t="s">
        <v>632</v>
      </c>
      <c r="C29" s="12" t="s">
        <v>1197</v>
      </c>
      <c r="D29" s="13" t="s">
        <v>2632</v>
      </c>
      <c r="E29" s="12" t="s">
        <v>144</v>
      </c>
      <c r="F29" s="12" t="s">
        <v>634</v>
      </c>
      <c r="G29" s="13" t="s">
        <v>2633</v>
      </c>
      <c r="H29" s="12" t="s">
        <v>108</v>
      </c>
      <c r="I29" s="12" t="s">
        <v>123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2634</v>
      </c>
      <c r="B30" s="12" t="s">
        <v>197</v>
      </c>
      <c r="C30" s="12" t="s">
        <v>1197</v>
      </c>
      <c r="D30" s="13" t="s">
        <v>2635</v>
      </c>
      <c r="E30" s="12" t="s">
        <v>144</v>
      </c>
      <c r="F30" s="12" t="s">
        <v>185</v>
      </c>
      <c r="G30" s="13" t="s">
        <v>2614</v>
      </c>
      <c r="H30" s="12" t="s">
        <v>102</v>
      </c>
      <c r="I30" s="12" t="s">
        <v>122</v>
      </c>
      <c r="J30" s="14" t="n">
        <v>46231</v>
      </c>
      <c r="K30" s="13" t="s">
        <v>2636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2637</v>
      </c>
      <c r="B31" s="12" t="s">
        <v>210</v>
      </c>
      <c r="C31" s="12" t="s">
        <v>2638</v>
      </c>
      <c r="D31" s="13" t="s">
        <v>2639</v>
      </c>
      <c r="E31" s="12" t="s">
        <v>212</v>
      </c>
      <c r="F31" s="12" t="s">
        <v>212</v>
      </c>
      <c r="G31" s="13" t="s">
        <v>213</v>
      </c>
      <c r="H31" s="12" t="s">
        <v>108</v>
      </c>
      <c r="I31" s="12" t="s">
        <v>123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2640</v>
      </c>
      <c r="B32" s="12" t="s">
        <v>215</v>
      </c>
      <c r="C32" s="12" t="s">
        <v>2641</v>
      </c>
      <c r="D32" s="13" t="s">
        <v>2642</v>
      </c>
      <c r="E32" s="12" t="s">
        <v>144</v>
      </c>
      <c r="F32" s="12" t="s">
        <v>144</v>
      </c>
      <c r="G32" s="13" t="s">
        <v>217</v>
      </c>
      <c r="H32" s="12" t="s">
        <v>108</v>
      </c>
      <c r="I32" s="12" t="s">
        <v>123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2643</v>
      </c>
      <c r="B33" s="12" t="s">
        <v>2644</v>
      </c>
      <c r="C33" s="12" t="s">
        <v>1197</v>
      </c>
      <c r="D33" s="13" t="s">
        <v>2645</v>
      </c>
      <c r="E33" s="12" t="s">
        <v>144</v>
      </c>
      <c r="F33" s="12" t="s">
        <v>2625</v>
      </c>
      <c r="G33" s="13" t="s">
        <v>2626</v>
      </c>
      <c r="H33" s="12" t="s">
        <v>108</v>
      </c>
      <c r="I33" s="12" t="s">
        <v>123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126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2648</v>
      </c>
      <c r="B9" s="12" t="s">
        <v>100</v>
      </c>
      <c r="C9" s="12" t="s">
        <v>1197</v>
      </c>
      <c r="D9" s="13" t="s">
        <v>2649</v>
      </c>
      <c r="E9" s="12" t="s">
        <v>144</v>
      </c>
      <c r="F9" s="12" t="s">
        <v>145</v>
      </c>
      <c r="G9" s="13" t="s">
        <v>2650</v>
      </c>
      <c r="H9" s="12" t="s">
        <v>108</v>
      </c>
      <c r="I9" s="12" t="s">
        <v>123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2651</v>
      </c>
      <c r="B10" s="12" t="s">
        <v>2412</v>
      </c>
      <c r="C10" s="12" t="s">
        <v>1197</v>
      </c>
      <c r="D10" s="13" t="s">
        <v>2652</v>
      </c>
      <c r="E10" s="12" t="s">
        <v>144</v>
      </c>
      <c r="F10" s="12" t="s">
        <v>164</v>
      </c>
      <c r="G10" s="13" t="s">
        <v>2653</v>
      </c>
      <c r="H10" s="12" t="s">
        <v>108</v>
      </c>
      <c r="I10" s="12" t="s">
        <v>123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2654</v>
      </c>
      <c r="B11" s="12" t="s">
        <v>1355</v>
      </c>
      <c r="C11" s="12" t="s">
        <v>1197</v>
      </c>
      <c r="D11" s="13" t="s">
        <v>2655</v>
      </c>
      <c r="E11" s="12" t="s">
        <v>144</v>
      </c>
      <c r="F11" s="12" t="s">
        <v>164</v>
      </c>
      <c r="G11" s="13" t="s">
        <v>2653</v>
      </c>
      <c r="H11" s="12" t="s">
        <v>108</v>
      </c>
      <c r="I11" s="12" t="s">
        <v>123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2656</v>
      </c>
      <c r="B12" s="12" t="s">
        <v>152</v>
      </c>
      <c r="C12" s="12" t="s">
        <v>2421</v>
      </c>
      <c r="D12" s="13" t="s">
        <v>2657</v>
      </c>
      <c r="E12" s="12" t="s">
        <v>144</v>
      </c>
      <c r="F12" s="12" t="s">
        <v>154</v>
      </c>
      <c r="G12" s="13" t="s">
        <v>2658</v>
      </c>
      <c r="H12" s="12" t="s">
        <v>108</v>
      </c>
      <c r="I12" s="12" t="s">
        <v>123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2659</v>
      </c>
      <c r="B13" s="12" t="s">
        <v>148</v>
      </c>
      <c r="C13" s="12" t="s">
        <v>1197</v>
      </c>
      <c r="D13" s="13" t="s">
        <v>2660</v>
      </c>
      <c r="E13" s="12" t="s">
        <v>144</v>
      </c>
      <c r="F13" s="12" t="s">
        <v>144</v>
      </c>
      <c r="G13" s="13" t="s">
        <v>150</v>
      </c>
      <c r="H13" s="12" t="s">
        <v>108</v>
      </c>
      <c r="I13" s="12" t="s">
        <v>123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2661</v>
      </c>
      <c r="B14" s="12" t="s">
        <v>1323</v>
      </c>
      <c r="C14" s="12" t="s">
        <v>2662</v>
      </c>
      <c r="D14" s="13" t="s">
        <v>2663</v>
      </c>
      <c r="E14" s="12" t="s">
        <v>144</v>
      </c>
      <c r="F14" s="12" t="s">
        <v>144</v>
      </c>
      <c r="G14" s="13" t="s">
        <v>1325</v>
      </c>
      <c r="H14" s="12" t="s">
        <v>108</v>
      </c>
      <c r="I14" s="12" t="s">
        <v>123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2664</v>
      </c>
      <c r="B15" s="12" t="s">
        <v>1588</v>
      </c>
      <c r="C15" s="12" t="s">
        <v>2665</v>
      </c>
      <c r="D15" s="13" t="s">
        <v>2666</v>
      </c>
      <c r="E15" s="12" t="s">
        <v>144</v>
      </c>
      <c r="F15" s="12" t="s">
        <v>164</v>
      </c>
      <c r="G15" s="13" t="s">
        <v>2653</v>
      </c>
      <c r="H15" s="12" t="s">
        <v>108</v>
      </c>
      <c r="I15" s="12" t="s">
        <v>123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2667</v>
      </c>
      <c r="B16" s="12" t="s">
        <v>1146</v>
      </c>
      <c r="C16" s="12" t="s">
        <v>813</v>
      </c>
      <c r="D16" s="13" t="s">
        <v>2668</v>
      </c>
      <c r="E16" s="12" t="s">
        <v>144</v>
      </c>
      <c r="F16" s="12" t="s">
        <v>169</v>
      </c>
      <c r="G16" s="13" t="s">
        <v>2669</v>
      </c>
      <c r="H16" s="12" t="s">
        <v>108</v>
      </c>
      <c r="I16" s="12" t="s">
        <v>123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2670</v>
      </c>
      <c r="B17" s="12" t="s">
        <v>2671</v>
      </c>
      <c r="C17" s="12" t="s">
        <v>2662</v>
      </c>
      <c r="D17" s="13" t="s">
        <v>2672</v>
      </c>
      <c r="E17" s="12" t="s">
        <v>144</v>
      </c>
      <c r="F17" s="12" t="s">
        <v>169</v>
      </c>
      <c r="G17" s="13" t="s">
        <v>2673</v>
      </c>
      <c r="H17" s="12" t="s">
        <v>108</v>
      </c>
      <c r="I17" s="12" t="s">
        <v>123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2674</v>
      </c>
      <c r="B18" s="12" t="s">
        <v>1931</v>
      </c>
      <c r="C18" s="12" t="s">
        <v>2675</v>
      </c>
      <c r="D18" s="13" t="s">
        <v>2676</v>
      </c>
      <c r="E18" s="12" t="s">
        <v>144</v>
      </c>
      <c r="F18" s="12" t="s">
        <v>169</v>
      </c>
      <c r="G18" s="13" t="s">
        <v>2673</v>
      </c>
      <c r="H18" s="12" t="s">
        <v>108</v>
      </c>
      <c r="I18" s="12" t="s">
        <v>123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2677</v>
      </c>
      <c r="B19" s="12" t="s">
        <v>2537</v>
      </c>
      <c r="C19" s="12" t="s">
        <v>2678</v>
      </c>
      <c r="D19" s="13" t="s">
        <v>2679</v>
      </c>
      <c r="E19" s="12" t="s">
        <v>144</v>
      </c>
      <c r="F19" s="12" t="s">
        <v>169</v>
      </c>
      <c r="G19" s="13" t="s">
        <v>2669</v>
      </c>
      <c r="H19" s="12" t="s">
        <v>108</v>
      </c>
      <c r="I19" s="12" t="s">
        <v>123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2680</v>
      </c>
      <c r="B20" s="12" t="s">
        <v>2535</v>
      </c>
      <c r="C20" s="12" t="s">
        <v>2681</v>
      </c>
      <c r="D20" s="13" t="s">
        <v>2682</v>
      </c>
      <c r="E20" s="12" t="s">
        <v>144</v>
      </c>
      <c r="F20" s="12" t="s">
        <v>164</v>
      </c>
      <c r="G20" s="13" t="s">
        <v>2653</v>
      </c>
      <c r="H20" s="12" t="s">
        <v>108</v>
      </c>
      <c r="I20" s="12" t="s">
        <v>123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2683</v>
      </c>
      <c r="B21" s="12" t="s">
        <v>1601</v>
      </c>
      <c r="C21" s="12" t="s">
        <v>2684</v>
      </c>
      <c r="D21" s="13" t="s">
        <v>2685</v>
      </c>
      <c r="E21" s="12" t="s">
        <v>144</v>
      </c>
      <c r="F21" s="12" t="s">
        <v>169</v>
      </c>
      <c r="G21" s="13" t="s">
        <v>2669</v>
      </c>
      <c r="H21" s="12" t="s">
        <v>108</v>
      </c>
      <c r="I21" s="12" t="s">
        <v>123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2686</v>
      </c>
      <c r="B22" s="12" t="s">
        <v>183</v>
      </c>
      <c r="C22" s="12" t="s">
        <v>42</v>
      </c>
      <c r="D22" s="13" t="s">
        <v>2687</v>
      </c>
      <c r="E22" s="12" t="s">
        <v>144</v>
      </c>
      <c r="F22" s="12" t="s">
        <v>169</v>
      </c>
      <c r="G22" s="13" t="s">
        <v>2669</v>
      </c>
      <c r="H22" s="12" t="s">
        <v>108</v>
      </c>
      <c r="I22" s="12" t="s">
        <v>123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2688</v>
      </c>
      <c r="B23" s="12" t="s">
        <v>2544</v>
      </c>
      <c r="C23" s="12" t="s">
        <v>1197</v>
      </c>
      <c r="D23" s="13" t="s">
        <v>2689</v>
      </c>
      <c r="E23" s="12" t="s">
        <v>144</v>
      </c>
      <c r="F23" s="12" t="s">
        <v>179</v>
      </c>
      <c r="G23" s="13" t="s">
        <v>2690</v>
      </c>
      <c r="H23" s="12" t="s">
        <v>106</v>
      </c>
      <c r="I23" s="12" t="s">
        <v>122</v>
      </c>
      <c r="J23" s="14" t="n">
        <v>46231</v>
      </c>
      <c r="K23" s="13" t="s">
        <v>2611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2691</v>
      </c>
      <c r="B24" s="12" t="s">
        <v>1878</v>
      </c>
      <c r="C24" s="12" t="s">
        <v>1197</v>
      </c>
      <c r="D24" s="13" t="s">
        <v>2692</v>
      </c>
      <c r="E24" s="12" t="s">
        <v>144</v>
      </c>
      <c r="F24" s="12" t="s">
        <v>179</v>
      </c>
      <c r="G24" s="13" t="s">
        <v>2690</v>
      </c>
      <c r="H24" s="12" t="s">
        <v>106</v>
      </c>
      <c r="I24" s="12" t="s">
        <v>122</v>
      </c>
      <c r="J24" s="14" t="n">
        <v>46231</v>
      </c>
      <c r="K24" s="13" t="s">
        <v>2611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2693</v>
      </c>
      <c r="B25" s="12" t="s">
        <v>177</v>
      </c>
      <c r="C25" s="12" t="s">
        <v>1197</v>
      </c>
      <c r="D25" s="13" t="s">
        <v>2694</v>
      </c>
      <c r="E25" s="12" t="s">
        <v>144</v>
      </c>
      <c r="F25" s="12" t="s">
        <v>179</v>
      </c>
      <c r="G25" s="13" t="s">
        <v>2690</v>
      </c>
      <c r="H25" s="12" t="s">
        <v>106</v>
      </c>
      <c r="I25" s="12" t="s">
        <v>122</v>
      </c>
      <c r="J25" s="14" t="n">
        <v>46231</v>
      </c>
      <c r="K25" s="13" t="s">
        <v>2695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2696</v>
      </c>
      <c r="B26" s="12" t="s">
        <v>1543</v>
      </c>
      <c r="C26" s="12" t="s">
        <v>1197</v>
      </c>
      <c r="D26" s="13" t="s">
        <v>2697</v>
      </c>
      <c r="E26" s="12" t="s">
        <v>144</v>
      </c>
      <c r="F26" s="12" t="s">
        <v>164</v>
      </c>
      <c r="G26" s="13" t="s">
        <v>2698</v>
      </c>
      <c r="H26" s="12" t="s">
        <v>108</v>
      </c>
      <c r="I26" s="12" t="s">
        <v>123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2699</v>
      </c>
      <c r="B27" s="12" t="s">
        <v>172</v>
      </c>
      <c r="C27" s="12" t="s">
        <v>1197</v>
      </c>
      <c r="D27" s="13" t="s">
        <v>2700</v>
      </c>
      <c r="E27" s="12" t="s">
        <v>144</v>
      </c>
      <c r="F27" s="12" t="s">
        <v>174</v>
      </c>
      <c r="G27" s="13" t="s">
        <v>2669</v>
      </c>
      <c r="H27" s="12" t="s">
        <v>108</v>
      </c>
      <c r="I27" s="12" t="s">
        <v>123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2701</v>
      </c>
      <c r="B28" s="12" t="s">
        <v>632</v>
      </c>
      <c r="C28" s="12" t="s">
        <v>1197</v>
      </c>
      <c r="D28" s="13" t="s">
        <v>2702</v>
      </c>
      <c r="E28" s="12" t="s">
        <v>144</v>
      </c>
      <c r="F28" s="12" t="s">
        <v>634</v>
      </c>
      <c r="G28" s="13" t="s">
        <v>2703</v>
      </c>
      <c r="H28" s="12" t="s">
        <v>108</v>
      </c>
      <c r="I28" s="12" t="s">
        <v>123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2704</v>
      </c>
      <c r="B29" s="12" t="s">
        <v>2399</v>
      </c>
      <c r="C29" s="12" t="s">
        <v>2623</v>
      </c>
      <c r="D29" s="13" t="s">
        <v>2705</v>
      </c>
      <c r="E29" s="12" t="s">
        <v>144</v>
      </c>
      <c r="F29" s="12" t="s">
        <v>2625</v>
      </c>
      <c r="G29" s="13" t="s">
        <v>2706</v>
      </c>
      <c r="H29" s="12" t="s">
        <v>108</v>
      </c>
      <c r="I29" s="12" t="s">
        <v>123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2707</v>
      </c>
      <c r="B30" s="12" t="s">
        <v>206</v>
      </c>
      <c r="C30" s="12" t="s">
        <v>2628</v>
      </c>
      <c r="D30" s="13" t="s">
        <v>2708</v>
      </c>
      <c r="E30" s="12" t="s">
        <v>144</v>
      </c>
      <c r="F30" s="12" t="s">
        <v>2625</v>
      </c>
      <c r="G30" s="13" t="s">
        <v>2709</v>
      </c>
      <c r="H30" s="12" t="s">
        <v>108</v>
      </c>
      <c r="I30" s="12" t="s">
        <v>123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2710</v>
      </c>
      <c r="B31" s="12" t="s">
        <v>210</v>
      </c>
      <c r="C31" s="12" t="s">
        <v>1197</v>
      </c>
      <c r="D31" s="13" t="s">
        <v>2711</v>
      </c>
      <c r="E31" s="12" t="s">
        <v>212</v>
      </c>
      <c r="F31" s="12" t="s">
        <v>212</v>
      </c>
      <c r="G31" s="13" t="s">
        <v>213</v>
      </c>
      <c r="H31" s="12" t="s">
        <v>108</v>
      </c>
      <c r="I31" s="12" t="s">
        <v>123</v>
      </c>
      <c r="J31" s="14" t="n">
        <v>46231</v>
      </c>
      <c r="K31" s="13" t="s">
        <v>2712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2713</v>
      </c>
      <c r="B32" s="12" t="s">
        <v>197</v>
      </c>
      <c r="C32" s="12" t="s">
        <v>1197</v>
      </c>
      <c r="D32" s="13" t="s">
        <v>2714</v>
      </c>
      <c r="E32" s="12" t="s">
        <v>144</v>
      </c>
      <c r="F32" s="12" t="s">
        <v>185</v>
      </c>
      <c r="G32" s="13" t="s">
        <v>2715</v>
      </c>
      <c r="H32" s="12" t="s">
        <v>102</v>
      </c>
      <c r="I32" s="12" t="s">
        <v>122</v>
      </c>
      <c r="J32" s="14" t="n">
        <v>46231</v>
      </c>
      <c r="K32" s="13" t="s">
        <v>1821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2716</v>
      </c>
      <c r="B33" s="12" t="s">
        <v>215</v>
      </c>
      <c r="C33" s="12" t="s">
        <v>2641</v>
      </c>
      <c r="D33" s="13" t="s">
        <v>2564</v>
      </c>
      <c r="E33" s="12" t="s">
        <v>144</v>
      </c>
      <c r="F33" s="12" t="s">
        <v>144</v>
      </c>
      <c r="G33" s="13" t="s">
        <v>2565</v>
      </c>
      <c r="H33" s="12" t="s">
        <v>108</v>
      </c>
      <c r="I33" s="12" t="s">
        <v>123</v>
      </c>
      <c r="J33" s="14" t="n">
        <v>46231</v>
      </c>
      <c r="K33" s="13" t="s">
        <v>2717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2718</v>
      </c>
      <c r="B34" s="12" t="s">
        <v>2719</v>
      </c>
      <c r="C34" s="12" t="s">
        <v>1197</v>
      </c>
      <c r="D34" s="13" t="s">
        <v>2720</v>
      </c>
      <c r="E34" s="12" t="s">
        <v>144</v>
      </c>
      <c r="F34" s="12" t="s">
        <v>2625</v>
      </c>
      <c r="G34" s="13" t="s">
        <v>2706</v>
      </c>
      <c r="H34" s="12" t="s">
        <v>108</v>
      </c>
      <c r="I34" s="12" t="s">
        <v>123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2722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126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753</v>
      </c>
      <c r="B9" s="12" t="s">
        <v>100</v>
      </c>
      <c r="C9" s="12" t="s">
        <v>1197</v>
      </c>
      <c r="D9" s="13" t="s">
        <v>2723</v>
      </c>
      <c r="E9" s="12" t="s">
        <v>144</v>
      </c>
      <c r="F9" s="12" t="s">
        <v>145</v>
      </c>
      <c r="G9" s="13" t="s">
        <v>2724</v>
      </c>
      <c r="H9" s="12" t="s">
        <v>108</v>
      </c>
      <c r="I9" s="12" t="s">
        <v>123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756</v>
      </c>
      <c r="B10" s="12" t="s">
        <v>2412</v>
      </c>
      <c r="C10" s="12" t="s">
        <v>1197</v>
      </c>
      <c r="D10" s="13" t="s">
        <v>2725</v>
      </c>
      <c r="E10" s="12" t="s">
        <v>144</v>
      </c>
      <c r="F10" s="12" t="s">
        <v>164</v>
      </c>
      <c r="G10" s="13" t="s">
        <v>2726</v>
      </c>
      <c r="H10" s="12" t="s">
        <v>108</v>
      </c>
      <c r="I10" s="12" t="s">
        <v>123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757</v>
      </c>
      <c r="B11" s="12" t="s">
        <v>1355</v>
      </c>
      <c r="C11" s="12" t="s">
        <v>1197</v>
      </c>
      <c r="D11" s="13" t="s">
        <v>2727</v>
      </c>
      <c r="E11" s="12" t="s">
        <v>144</v>
      </c>
      <c r="F11" s="12" t="s">
        <v>164</v>
      </c>
      <c r="G11" s="13" t="s">
        <v>2726</v>
      </c>
      <c r="H11" s="12" t="s">
        <v>108</v>
      </c>
      <c r="I11" s="12" t="s">
        <v>123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759</v>
      </c>
      <c r="B12" s="12" t="s">
        <v>152</v>
      </c>
      <c r="C12" s="12" t="s">
        <v>2421</v>
      </c>
      <c r="D12" s="13" t="s">
        <v>2728</v>
      </c>
      <c r="E12" s="12" t="s">
        <v>144</v>
      </c>
      <c r="F12" s="12" t="s">
        <v>154</v>
      </c>
      <c r="G12" s="13" t="s">
        <v>2729</v>
      </c>
      <c r="H12" s="12" t="s">
        <v>108</v>
      </c>
      <c r="I12" s="12" t="s">
        <v>123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761</v>
      </c>
      <c r="B13" s="12" t="s">
        <v>148</v>
      </c>
      <c r="C13" s="12" t="s">
        <v>1197</v>
      </c>
      <c r="D13" s="13" t="s">
        <v>2730</v>
      </c>
      <c r="E13" s="12" t="s">
        <v>144</v>
      </c>
      <c r="F13" s="12" t="s">
        <v>144</v>
      </c>
      <c r="G13" s="13" t="s">
        <v>150</v>
      </c>
      <c r="H13" s="12" t="s">
        <v>108</v>
      </c>
      <c r="I13" s="12" t="s">
        <v>123</v>
      </c>
      <c r="J13" s="14" t="n">
        <v>46231</v>
      </c>
      <c r="K13" s="13" t="s">
        <v>2731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763</v>
      </c>
      <c r="B14" s="12" t="s">
        <v>1323</v>
      </c>
      <c r="C14" s="12" t="s">
        <v>2662</v>
      </c>
      <c r="D14" s="13" t="s">
        <v>2732</v>
      </c>
      <c r="E14" s="12" t="s">
        <v>144</v>
      </c>
      <c r="F14" s="12" t="s">
        <v>144</v>
      </c>
      <c r="G14" s="13" t="s">
        <v>1325</v>
      </c>
      <c r="H14" s="12" t="s">
        <v>108</v>
      </c>
      <c r="I14" s="12" t="s">
        <v>123</v>
      </c>
      <c r="J14" s="14" t="n">
        <v>46231</v>
      </c>
      <c r="K14" s="13" t="s">
        <v>2733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765</v>
      </c>
      <c r="B15" s="12" t="s">
        <v>1588</v>
      </c>
      <c r="C15" s="12" t="s">
        <v>2665</v>
      </c>
      <c r="D15" s="13" t="s">
        <v>2666</v>
      </c>
      <c r="E15" s="12" t="s">
        <v>144</v>
      </c>
      <c r="F15" s="12" t="s">
        <v>164</v>
      </c>
      <c r="G15" s="13" t="s">
        <v>2726</v>
      </c>
      <c r="H15" s="12" t="s">
        <v>108</v>
      </c>
      <c r="I15" s="12" t="s">
        <v>123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767</v>
      </c>
      <c r="B16" s="12" t="s">
        <v>1146</v>
      </c>
      <c r="C16" s="12" t="s">
        <v>813</v>
      </c>
      <c r="D16" s="13" t="s">
        <v>2668</v>
      </c>
      <c r="E16" s="12" t="s">
        <v>144</v>
      </c>
      <c r="F16" s="12" t="s">
        <v>169</v>
      </c>
      <c r="G16" s="13" t="s">
        <v>2734</v>
      </c>
      <c r="H16" s="12" t="s">
        <v>108</v>
      </c>
      <c r="I16" s="12" t="s">
        <v>123</v>
      </c>
      <c r="J16" s="14" t="n">
        <v>46231</v>
      </c>
      <c r="K16" s="13" t="s">
        <v>2735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769</v>
      </c>
      <c r="B17" s="12" t="s">
        <v>2736</v>
      </c>
      <c r="C17" s="12" t="s">
        <v>2737</v>
      </c>
      <c r="D17" s="13" t="s">
        <v>2738</v>
      </c>
      <c r="E17" s="12" t="s">
        <v>144</v>
      </c>
      <c r="F17" s="12" t="s">
        <v>169</v>
      </c>
      <c r="G17" s="13" t="s">
        <v>2739</v>
      </c>
      <c r="H17" s="12" t="s">
        <v>108</v>
      </c>
      <c r="I17" s="12" t="s">
        <v>123</v>
      </c>
      <c r="J17" s="14" t="n">
        <v>46231</v>
      </c>
      <c r="K17" s="13" t="s">
        <v>2740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771</v>
      </c>
      <c r="B18" s="12" t="s">
        <v>2671</v>
      </c>
      <c r="C18" s="12" t="s">
        <v>2662</v>
      </c>
      <c r="D18" s="13" t="s">
        <v>2741</v>
      </c>
      <c r="E18" s="12" t="s">
        <v>144</v>
      </c>
      <c r="F18" s="12" t="s">
        <v>169</v>
      </c>
      <c r="G18" s="13" t="s">
        <v>2739</v>
      </c>
      <c r="H18" s="12" t="s">
        <v>108</v>
      </c>
      <c r="I18" s="12" t="s">
        <v>123</v>
      </c>
      <c r="J18" s="14" t="n">
        <v>46231</v>
      </c>
      <c r="K18" s="13" t="s">
        <v>2742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772</v>
      </c>
      <c r="B19" s="12" t="s">
        <v>2743</v>
      </c>
      <c r="C19" s="12" t="s">
        <v>2675</v>
      </c>
      <c r="D19" s="13" t="s">
        <v>2744</v>
      </c>
      <c r="E19" s="12" t="s">
        <v>144</v>
      </c>
      <c r="F19" s="12" t="s">
        <v>169</v>
      </c>
      <c r="G19" s="13" t="s">
        <v>2739</v>
      </c>
      <c r="H19" s="12" t="s">
        <v>108</v>
      </c>
      <c r="I19" s="12" t="s">
        <v>123</v>
      </c>
      <c r="J19" s="14" t="n">
        <v>46231</v>
      </c>
      <c r="K19" s="13" t="s">
        <v>2740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774</v>
      </c>
      <c r="B20" s="12" t="s">
        <v>1931</v>
      </c>
      <c r="C20" s="12" t="s">
        <v>2675</v>
      </c>
      <c r="D20" s="13" t="s">
        <v>2745</v>
      </c>
      <c r="E20" s="12" t="s">
        <v>144</v>
      </c>
      <c r="F20" s="12" t="s">
        <v>169</v>
      </c>
      <c r="G20" s="13" t="s">
        <v>2739</v>
      </c>
      <c r="H20" s="12" t="s">
        <v>108</v>
      </c>
      <c r="I20" s="12" t="s">
        <v>123</v>
      </c>
      <c r="J20" s="14" t="n">
        <v>46231</v>
      </c>
      <c r="K20" s="13" t="s">
        <v>2746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775</v>
      </c>
      <c r="B21" s="12" t="s">
        <v>2537</v>
      </c>
      <c r="C21" s="12" t="s">
        <v>2678</v>
      </c>
      <c r="D21" s="13" t="s">
        <v>2679</v>
      </c>
      <c r="E21" s="12" t="s">
        <v>144</v>
      </c>
      <c r="F21" s="12" t="s">
        <v>169</v>
      </c>
      <c r="G21" s="13" t="s">
        <v>2734</v>
      </c>
      <c r="H21" s="12" t="s">
        <v>108</v>
      </c>
      <c r="I21" s="12" t="s">
        <v>123</v>
      </c>
      <c r="J21" s="14" t="n">
        <v>46231</v>
      </c>
      <c r="K21" s="13" t="s">
        <v>2747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777</v>
      </c>
      <c r="B22" s="12" t="s">
        <v>2535</v>
      </c>
      <c r="C22" s="12" t="s">
        <v>2748</v>
      </c>
      <c r="D22" s="13" t="s">
        <v>2682</v>
      </c>
      <c r="E22" s="12" t="s">
        <v>144</v>
      </c>
      <c r="F22" s="12" t="s">
        <v>164</v>
      </c>
      <c r="G22" s="13" t="s">
        <v>2726</v>
      </c>
      <c r="H22" s="12" t="s">
        <v>108</v>
      </c>
      <c r="I22" s="12" t="s">
        <v>123</v>
      </c>
      <c r="J22" s="14" t="n">
        <v>46231</v>
      </c>
      <c r="K22" s="13" t="s">
        <v>2749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779</v>
      </c>
      <c r="B23" s="12" t="s">
        <v>1601</v>
      </c>
      <c r="C23" s="12" t="s">
        <v>2684</v>
      </c>
      <c r="D23" s="13" t="s">
        <v>2750</v>
      </c>
      <c r="E23" s="12" t="s">
        <v>144</v>
      </c>
      <c r="F23" s="12" t="s">
        <v>169</v>
      </c>
      <c r="G23" s="13" t="s">
        <v>2734</v>
      </c>
      <c r="H23" s="12" t="s">
        <v>108</v>
      </c>
      <c r="I23" s="12" t="s">
        <v>123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780</v>
      </c>
      <c r="B24" s="12" t="s">
        <v>183</v>
      </c>
      <c r="C24" s="12" t="s">
        <v>42</v>
      </c>
      <c r="D24" s="13" t="s">
        <v>2751</v>
      </c>
      <c r="E24" s="12" t="s">
        <v>144</v>
      </c>
      <c r="F24" s="12" t="s">
        <v>169</v>
      </c>
      <c r="G24" s="13" t="s">
        <v>2734</v>
      </c>
      <c r="H24" s="12" t="s">
        <v>108</v>
      </c>
      <c r="I24" s="12" t="s">
        <v>123</v>
      </c>
      <c r="J24" s="14" t="n">
        <v>46231</v>
      </c>
      <c r="K24" s="13" t="s">
        <v>2752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2753</v>
      </c>
      <c r="B25" s="12" t="s">
        <v>2544</v>
      </c>
      <c r="C25" s="12" t="s">
        <v>1197</v>
      </c>
      <c r="D25" s="13" t="s">
        <v>2754</v>
      </c>
      <c r="E25" s="12" t="s">
        <v>144</v>
      </c>
      <c r="F25" s="12" t="s">
        <v>179</v>
      </c>
      <c r="G25" s="13" t="s">
        <v>2755</v>
      </c>
      <c r="H25" s="12" t="s">
        <v>106</v>
      </c>
      <c r="I25" s="12" t="s">
        <v>122</v>
      </c>
      <c r="J25" s="14" t="n">
        <v>46231</v>
      </c>
      <c r="K25" s="13" t="s">
        <v>2756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2757</v>
      </c>
      <c r="B26" s="12" t="s">
        <v>1878</v>
      </c>
      <c r="C26" s="12" t="s">
        <v>1197</v>
      </c>
      <c r="D26" s="13" t="s">
        <v>2758</v>
      </c>
      <c r="E26" s="12" t="s">
        <v>144</v>
      </c>
      <c r="F26" s="12" t="s">
        <v>179</v>
      </c>
      <c r="G26" s="13" t="s">
        <v>2755</v>
      </c>
      <c r="H26" s="12" t="s">
        <v>106</v>
      </c>
      <c r="I26" s="12" t="s">
        <v>122</v>
      </c>
      <c r="J26" s="14" t="n">
        <v>46231</v>
      </c>
      <c r="K26" s="13" t="s">
        <v>2611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2759</v>
      </c>
      <c r="B27" s="12" t="s">
        <v>177</v>
      </c>
      <c r="C27" s="12" t="s">
        <v>1197</v>
      </c>
      <c r="D27" s="13" t="s">
        <v>2760</v>
      </c>
      <c r="E27" s="12" t="s">
        <v>144</v>
      </c>
      <c r="F27" s="12" t="s">
        <v>179</v>
      </c>
      <c r="G27" s="13" t="s">
        <v>2755</v>
      </c>
      <c r="H27" s="12" t="s">
        <v>106</v>
      </c>
      <c r="I27" s="12" t="s">
        <v>122</v>
      </c>
      <c r="J27" s="14" t="n">
        <v>46231</v>
      </c>
      <c r="K27" s="13" t="s">
        <v>2695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2761</v>
      </c>
      <c r="B28" s="12" t="s">
        <v>1543</v>
      </c>
      <c r="C28" s="12" t="s">
        <v>1197</v>
      </c>
      <c r="D28" s="13" t="s">
        <v>2762</v>
      </c>
      <c r="E28" s="12" t="s">
        <v>144</v>
      </c>
      <c r="F28" s="12" t="s">
        <v>164</v>
      </c>
      <c r="G28" s="13" t="s">
        <v>2763</v>
      </c>
      <c r="H28" s="12" t="s">
        <v>108</v>
      </c>
      <c r="I28" s="12" t="s">
        <v>123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2764</v>
      </c>
      <c r="B29" s="12" t="s">
        <v>172</v>
      </c>
      <c r="C29" s="12" t="s">
        <v>1197</v>
      </c>
      <c r="D29" s="13" t="s">
        <v>2765</v>
      </c>
      <c r="E29" s="12" t="s">
        <v>144</v>
      </c>
      <c r="F29" s="12" t="s">
        <v>174</v>
      </c>
      <c r="G29" s="13" t="s">
        <v>2734</v>
      </c>
      <c r="H29" s="12" t="s">
        <v>108</v>
      </c>
      <c r="I29" s="12" t="s">
        <v>123</v>
      </c>
      <c r="J29" s="14" t="n">
        <v>46231</v>
      </c>
      <c r="K29" s="13" t="s">
        <v>2766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2767</v>
      </c>
      <c r="B30" s="12" t="s">
        <v>632</v>
      </c>
      <c r="C30" s="12" t="s">
        <v>1197</v>
      </c>
      <c r="D30" s="13" t="s">
        <v>2768</v>
      </c>
      <c r="E30" s="12" t="s">
        <v>144</v>
      </c>
      <c r="F30" s="12" t="s">
        <v>634</v>
      </c>
      <c r="G30" s="13" t="s">
        <v>2769</v>
      </c>
      <c r="H30" s="12" t="s">
        <v>108</v>
      </c>
      <c r="I30" s="12" t="s">
        <v>123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2770</v>
      </c>
      <c r="B31" s="12" t="s">
        <v>2399</v>
      </c>
      <c r="C31" s="12" t="s">
        <v>2623</v>
      </c>
      <c r="D31" s="13" t="s">
        <v>2771</v>
      </c>
      <c r="E31" s="12" t="s">
        <v>144</v>
      </c>
      <c r="F31" s="12" t="s">
        <v>2625</v>
      </c>
      <c r="G31" s="13" t="s">
        <v>2772</v>
      </c>
      <c r="H31" s="12" t="s">
        <v>108</v>
      </c>
      <c r="I31" s="12" t="s">
        <v>123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2773</v>
      </c>
      <c r="B32" s="12" t="s">
        <v>206</v>
      </c>
      <c r="C32" s="12" t="s">
        <v>2628</v>
      </c>
      <c r="D32" s="13" t="s">
        <v>2774</v>
      </c>
      <c r="E32" s="12" t="s">
        <v>144</v>
      </c>
      <c r="F32" s="12" t="s">
        <v>2625</v>
      </c>
      <c r="G32" s="13" t="s">
        <v>2775</v>
      </c>
      <c r="H32" s="12" t="s">
        <v>108</v>
      </c>
      <c r="I32" s="12" t="s">
        <v>123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2776</v>
      </c>
      <c r="B33" s="12" t="s">
        <v>210</v>
      </c>
      <c r="C33" s="12" t="s">
        <v>1197</v>
      </c>
      <c r="D33" s="13" t="s">
        <v>2777</v>
      </c>
      <c r="E33" s="12" t="s">
        <v>212</v>
      </c>
      <c r="F33" s="12" t="s">
        <v>212</v>
      </c>
      <c r="G33" s="13" t="s">
        <v>213</v>
      </c>
      <c r="H33" s="12" t="s">
        <v>108</v>
      </c>
      <c r="I33" s="12" t="s">
        <v>123</v>
      </c>
      <c r="J33" s="14" t="n">
        <v>46231</v>
      </c>
      <c r="K33" s="13" t="s">
        <v>2778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2779</v>
      </c>
      <c r="B34" s="12" t="s">
        <v>197</v>
      </c>
      <c r="C34" s="12" t="s">
        <v>1197</v>
      </c>
      <c r="D34" s="13" t="s">
        <v>2780</v>
      </c>
      <c r="E34" s="12" t="s">
        <v>144</v>
      </c>
      <c r="F34" s="12" t="s">
        <v>185</v>
      </c>
      <c r="G34" s="13" t="s">
        <v>2781</v>
      </c>
      <c r="H34" s="12" t="s">
        <v>102</v>
      </c>
      <c r="I34" s="12" t="s">
        <v>122</v>
      </c>
      <c r="J34" s="14" t="n">
        <v>46231</v>
      </c>
      <c r="K34" s="13" t="s">
        <v>1821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2782</v>
      </c>
      <c r="B35" s="12" t="s">
        <v>215</v>
      </c>
      <c r="C35" s="12" t="s">
        <v>2641</v>
      </c>
      <c r="D35" s="13" t="s">
        <v>2783</v>
      </c>
      <c r="E35" s="12" t="s">
        <v>144</v>
      </c>
      <c r="F35" s="12" t="s">
        <v>144</v>
      </c>
      <c r="G35" s="13" t="s">
        <v>2565</v>
      </c>
      <c r="H35" s="12" t="s">
        <v>108</v>
      </c>
      <c r="I35" s="12" t="s">
        <v>123</v>
      </c>
      <c r="J35" s="14" t="n">
        <v>46231</v>
      </c>
      <c r="K35" s="13" t="s">
        <v>2784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2785</v>
      </c>
      <c r="B36" s="12" t="s">
        <v>2719</v>
      </c>
      <c r="C36" s="12" t="s">
        <v>1197</v>
      </c>
      <c r="D36" s="13" t="s">
        <v>2786</v>
      </c>
      <c r="E36" s="12" t="s">
        <v>144</v>
      </c>
      <c r="F36" s="12" t="s">
        <v>2625</v>
      </c>
      <c r="G36" s="13" t="s">
        <v>2772</v>
      </c>
      <c r="H36" s="12" t="s">
        <v>108</v>
      </c>
      <c r="I36" s="12" t="s">
        <v>123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126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2789</v>
      </c>
      <c r="B9" s="12" t="s">
        <v>100</v>
      </c>
      <c r="C9" s="12" t="s">
        <v>1197</v>
      </c>
      <c r="D9" s="13" t="s">
        <v>2790</v>
      </c>
      <c r="E9" s="12" t="s">
        <v>144</v>
      </c>
      <c r="F9" s="12" t="s">
        <v>145</v>
      </c>
      <c r="G9" s="13" t="s">
        <v>2791</v>
      </c>
      <c r="H9" s="12" t="s">
        <v>108</v>
      </c>
      <c r="I9" s="12" t="s">
        <v>123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2792</v>
      </c>
      <c r="B10" s="12" t="s">
        <v>2412</v>
      </c>
      <c r="C10" s="12" t="s">
        <v>1197</v>
      </c>
      <c r="D10" s="13" t="s">
        <v>2793</v>
      </c>
      <c r="E10" s="12" t="s">
        <v>144</v>
      </c>
      <c r="F10" s="12" t="s">
        <v>164</v>
      </c>
      <c r="G10" s="13" t="s">
        <v>2794</v>
      </c>
      <c r="H10" s="12" t="s">
        <v>108</v>
      </c>
      <c r="I10" s="12" t="s">
        <v>123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2795</v>
      </c>
      <c r="B11" s="12" t="s">
        <v>1355</v>
      </c>
      <c r="C11" s="12" t="s">
        <v>1197</v>
      </c>
      <c r="D11" s="13" t="s">
        <v>2796</v>
      </c>
      <c r="E11" s="12" t="s">
        <v>144</v>
      </c>
      <c r="F11" s="12" t="s">
        <v>164</v>
      </c>
      <c r="G11" s="13" t="s">
        <v>2794</v>
      </c>
      <c r="H11" s="12" t="s">
        <v>108</v>
      </c>
      <c r="I11" s="12" t="s">
        <v>123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2797</v>
      </c>
      <c r="B12" s="12" t="s">
        <v>152</v>
      </c>
      <c r="C12" s="12" t="s">
        <v>2421</v>
      </c>
      <c r="D12" s="13" t="s">
        <v>2798</v>
      </c>
      <c r="E12" s="12" t="s">
        <v>144</v>
      </c>
      <c r="F12" s="12" t="s">
        <v>154</v>
      </c>
      <c r="G12" s="13" t="s">
        <v>2799</v>
      </c>
      <c r="H12" s="12" t="s">
        <v>108</v>
      </c>
      <c r="I12" s="12" t="s">
        <v>123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2800</v>
      </c>
      <c r="B13" s="12" t="s">
        <v>148</v>
      </c>
      <c r="C13" s="12" t="s">
        <v>1197</v>
      </c>
      <c r="D13" s="13" t="s">
        <v>2801</v>
      </c>
      <c r="E13" s="12" t="s">
        <v>144</v>
      </c>
      <c r="F13" s="12" t="s">
        <v>144</v>
      </c>
      <c r="G13" s="13" t="s">
        <v>150</v>
      </c>
      <c r="H13" s="12" t="s">
        <v>108</v>
      </c>
      <c r="I13" s="12" t="s">
        <v>123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2802</v>
      </c>
      <c r="B14" s="12" t="s">
        <v>1323</v>
      </c>
      <c r="C14" s="12" t="s">
        <v>1197</v>
      </c>
      <c r="D14" s="13" t="s">
        <v>2803</v>
      </c>
      <c r="E14" s="12" t="s">
        <v>144</v>
      </c>
      <c r="F14" s="12" t="s">
        <v>144</v>
      </c>
      <c r="G14" s="13" t="s">
        <v>1325</v>
      </c>
      <c r="H14" s="12" t="s">
        <v>108</v>
      </c>
      <c r="I14" s="12" t="s">
        <v>123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2804</v>
      </c>
      <c r="B15" s="12" t="s">
        <v>1588</v>
      </c>
      <c r="C15" s="12" t="s">
        <v>813</v>
      </c>
      <c r="D15" s="13" t="s">
        <v>2805</v>
      </c>
      <c r="E15" s="12" t="s">
        <v>144</v>
      </c>
      <c r="F15" s="12" t="s">
        <v>164</v>
      </c>
      <c r="G15" s="13" t="s">
        <v>2806</v>
      </c>
      <c r="H15" s="12" t="s">
        <v>108</v>
      </c>
      <c r="I15" s="12" t="s">
        <v>123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2807</v>
      </c>
      <c r="B16" s="12" t="s">
        <v>1146</v>
      </c>
      <c r="C16" s="12" t="s">
        <v>813</v>
      </c>
      <c r="D16" s="13" t="s">
        <v>2808</v>
      </c>
      <c r="E16" s="12" t="s">
        <v>144</v>
      </c>
      <c r="F16" s="12" t="s">
        <v>169</v>
      </c>
      <c r="G16" s="13" t="s">
        <v>2809</v>
      </c>
      <c r="H16" s="12" t="s">
        <v>108</v>
      </c>
      <c r="I16" s="12" t="s">
        <v>123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2810</v>
      </c>
      <c r="B17" s="12" t="s">
        <v>2811</v>
      </c>
      <c r="C17" s="12" t="s">
        <v>850</v>
      </c>
      <c r="D17" s="13" t="s">
        <v>2812</v>
      </c>
      <c r="E17" s="12" t="s">
        <v>144</v>
      </c>
      <c r="F17" s="12" t="s">
        <v>169</v>
      </c>
      <c r="G17" s="13" t="s">
        <v>2813</v>
      </c>
      <c r="H17" s="12" t="s">
        <v>108</v>
      </c>
      <c r="I17" s="12" t="s">
        <v>123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2814</v>
      </c>
      <c r="B18" s="12" t="s">
        <v>2671</v>
      </c>
      <c r="C18" s="12" t="s">
        <v>850</v>
      </c>
      <c r="D18" s="13" t="s">
        <v>2815</v>
      </c>
      <c r="E18" s="12" t="s">
        <v>144</v>
      </c>
      <c r="F18" s="12" t="s">
        <v>169</v>
      </c>
      <c r="G18" s="13" t="s">
        <v>2813</v>
      </c>
      <c r="H18" s="12" t="s">
        <v>108</v>
      </c>
      <c r="I18" s="12" t="s">
        <v>123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2816</v>
      </c>
      <c r="B19" s="12" t="s">
        <v>1931</v>
      </c>
      <c r="C19" s="12" t="s">
        <v>850</v>
      </c>
      <c r="D19" s="13" t="s">
        <v>2817</v>
      </c>
      <c r="E19" s="12" t="s">
        <v>144</v>
      </c>
      <c r="F19" s="12" t="s">
        <v>169</v>
      </c>
      <c r="G19" s="13" t="s">
        <v>2809</v>
      </c>
      <c r="H19" s="12" t="s">
        <v>108</v>
      </c>
      <c r="I19" s="12" t="s">
        <v>123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2818</v>
      </c>
      <c r="B20" s="12" t="s">
        <v>2819</v>
      </c>
      <c r="C20" s="12" t="s">
        <v>2820</v>
      </c>
      <c r="D20" s="13" t="s">
        <v>2821</v>
      </c>
      <c r="E20" s="12" t="s">
        <v>144</v>
      </c>
      <c r="F20" s="12" t="s">
        <v>169</v>
      </c>
      <c r="G20" s="13" t="s">
        <v>2809</v>
      </c>
      <c r="H20" s="12" t="s">
        <v>108</v>
      </c>
      <c r="I20" s="12" t="s">
        <v>123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2822</v>
      </c>
      <c r="B21" s="12" t="s">
        <v>1601</v>
      </c>
      <c r="C21" s="12" t="s">
        <v>2823</v>
      </c>
      <c r="D21" s="13" t="s">
        <v>2824</v>
      </c>
      <c r="E21" s="12" t="s">
        <v>144</v>
      </c>
      <c r="F21" s="12" t="s">
        <v>169</v>
      </c>
      <c r="G21" s="13" t="s">
        <v>2809</v>
      </c>
      <c r="H21" s="12" t="s">
        <v>108</v>
      </c>
      <c r="I21" s="12" t="s">
        <v>123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2825</v>
      </c>
      <c r="B22" s="12" t="s">
        <v>183</v>
      </c>
      <c r="C22" s="12" t="s">
        <v>2826</v>
      </c>
      <c r="D22" s="13" t="s">
        <v>2827</v>
      </c>
      <c r="E22" s="12" t="s">
        <v>144</v>
      </c>
      <c r="F22" s="12" t="s">
        <v>169</v>
      </c>
      <c r="G22" s="13" t="s">
        <v>2809</v>
      </c>
      <c r="H22" s="12" t="s">
        <v>108</v>
      </c>
      <c r="I22" s="12" t="s">
        <v>123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2828</v>
      </c>
      <c r="B23" s="12" t="s">
        <v>2544</v>
      </c>
      <c r="C23" s="12" t="s">
        <v>1197</v>
      </c>
      <c r="D23" s="13" t="s">
        <v>2829</v>
      </c>
      <c r="E23" s="12" t="s">
        <v>144</v>
      </c>
      <c r="F23" s="12" t="s">
        <v>179</v>
      </c>
      <c r="G23" s="13" t="s">
        <v>2830</v>
      </c>
      <c r="H23" s="12" t="s">
        <v>106</v>
      </c>
      <c r="I23" s="12" t="s">
        <v>122</v>
      </c>
      <c r="J23" s="14" t="n">
        <v>46231</v>
      </c>
      <c r="K23" s="13" t="s">
        <v>2611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2831</v>
      </c>
      <c r="B24" s="12" t="s">
        <v>1878</v>
      </c>
      <c r="C24" s="12" t="s">
        <v>1197</v>
      </c>
      <c r="D24" s="13" t="s">
        <v>2832</v>
      </c>
      <c r="E24" s="12" t="s">
        <v>144</v>
      </c>
      <c r="F24" s="12" t="s">
        <v>179</v>
      </c>
      <c r="G24" s="13" t="s">
        <v>2830</v>
      </c>
      <c r="H24" s="12" t="s">
        <v>106</v>
      </c>
      <c r="I24" s="12" t="s">
        <v>122</v>
      </c>
      <c r="J24" s="14" t="n">
        <v>46231</v>
      </c>
      <c r="K24" s="13" t="s">
        <v>2611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2833</v>
      </c>
      <c r="B25" s="12" t="s">
        <v>177</v>
      </c>
      <c r="C25" s="12" t="s">
        <v>1197</v>
      </c>
      <c r="D25" s="13" t="s">
        <v>2834</v>
      </c>
      <c r="E25" s="12" t="s">
        <v>144</v>
      </c>
      <c r="F25" s="12" t="s">
        <v>179</v>
      </c>
      <c r="G25" s="13" t="s">
        <v>2830</v>
      </c>
      <c r="H25" s="12" t="s">
        <v>106</v>
      </c>
      <c r="I25" s="12" t="s">
        <v>122</v>
      </c>
      <c r="J25" s="14" t="n">
        <v>46231</v>
      </c>
      <c r="K25" s="13" t="s">
        <v>2695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2835</v>
      </c>
      <c r="B26" s="12" t="s">
        <v>1543</v>
      </c>
      <c r="C26" s="12" t="s">
        <v>1197</v>
      </c>
      <c r="D26" s="13" t="s">
        <v>2836</v>
      </c>
      <c r="E26" s="12" t="s">
        <v>144</v>
      </c>
      <c r="F26" s="12" t="s">
        <v>164</v>
      </c>
      <c r="G26" s="13" t="s">
        <v>2837</v>
      </c>
      <c r="H26" s="12" t="s">
        <v>108</v>
      </c>
      <c r="I26" s="12" t="s">
        <v>123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2838</v>
      </c>
      <c r="B27" s="12" t="s">
        <v>172</v>
      </c>
      <c r="C27" s="12" t="s">
        <v>1197</v>
      </c>
      <c r="D27" s="13" t="s">
        <v>2839</v>
      </c>
      <c r="E27" s="12" t="s">
        <v>144</v>
      </c>
      <c r="F27" s="12" t="s">
        <v>174</v>
      </c>
      <c r="G27" s="13" t="s">
        <v>2809</v>
      </c>
      <c r="H27" s="12" t="s">
        <v>108</v>
      </c>
      <c r="I27" s="12" t="s">
        <v>123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2840</v>
      </c>
      <c r="B28" s="12" t="s">
        <v>632</v>
      </c>
      <c r="C28" s="12" t="s">
        <v>1197</v>
      </c>
      <c r="D28" s="13" t="s">
        <v>2841</v>
      </c>
      <c r="E28" s="12" t="s">
        <v>144</v>
      </c>
      <c r="F28" s="12" t="s">
        <v>634</v>
      </c>
      <c r="G28" s="13" t="s">
        <v>2842</v>
      </c>
      <c r="H28" s="12" t="s">
        <v>108</v>
      </c>
      <c r="I28" s="12" t="s">
        <v>123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2843</v>
      </c>
      <c r="B29" s="12" t="s">
        <v>2399</v>
      </c>
      <c r="C29" s="12" t="s">
        <v>2623</v>
      </c>
      <c r="D29" s="13" t="s">
        <v>2844</v>
      </c>
      <c r="E29" s="12" t="s">
        <v>144</v>
      </c>
      <c r="F29" s="12" t="s">
        <v>2625</v>
      </c>
      <c r="G29" s="13" t="s">
        <v>2845</v>
      </c>
      <c r="H29" s="12" t="s">
        <v>108</v>
      </c>
      <c r="I29" s="12" t="s">
        <v>123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2846</v>
      </c>
      <c r="B30" s="12" t="s">
        <v>206</v>
      </c>
      <c r="C30" s="12" t="s">
        <v>2628</v>
      </c>
      <c r="D30" s="13" t="s">
        <v>2847</v>
      </c>
      <c r="E30" s="12" t="s">
        <v>144</v>
      </c>
      <c r="F30" s="12" t="s">
        <v>2625</v>
      </c>
      <c r="G30" s="13" t="s">
        <v>2848</v>
      </c>
      <c r="H30" s="12" t="s">
        <v>108</v>
      </c>
      <c r="I30" s="12" t="s">
        <v>123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2849</v>
      </c>
      <c r="B31" s="12" t="s">
        <v>210</v>
      </c>
      <c r="C31" s="12" t="s">
        <v>1197</v>
      </c>
      <c r="D31" s="13" t="s">
        <v>2850</v>
      </c>
      <c r="E31" s="12" t="s">
        <v>212</v>
      </c>
      <c r="F31" s="12" t="s">
        <v>212</v>
      </c>
      <c r="G31" s="13" t="s">
        <v>213</v>
      </c>
      <c r="H31" s="12" t="s">
        <v>108</v>
      </c>
      <c r="I31" s="12" t="s">
        <v>123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2851</v>
      </c>
      <c r="B32" s="12" t="s">
        <v>197</v>
      </c>
      <c r="C32" s="12" t="s">
        <v>1197</v>
      </c>
      <c r="D32" s="13" t="s">
        <v>2852</v>
      </c>
      <c r="E32" s="12" t="s">
        <v>144</v>
      </c>
      <c r="F32" s="12" t="s">
        <v>185</v>
      </c>
      <c r="G32" s="13" t="s">
        <v>2853</v>
      </c>
      <c r="H32" s="12" t="s">
        <v>102</v>
      </c>
      <c r="I32" s="12" t="s">
        <v>122</v>
      </c>
      <c r="J32" s="14" t="n">
        <v>46231</v>
      </c>
      <c r="K32" s="13" t="s">
        <v>1821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2854</v>
      </c>
      <c r="B33" s="12" t="s">
        <v>215</v>
      </c>
      <c r="C33" s="12" t="s">
        <v>2641</v>
      </c>
      <c r="D33" s="13" t="s">
        <v>2564</v>
      </c>
      <c r="E33" s="12" t="s">
        <v>144</v>
      </c>
      <c r="F33" s="12" t="s">
        <v>144</v>
      </c>
      <c r="G33" s="13" t="s">
        <v>2565</v>
      </c>
      <c r="H33" s="12" t="s">
        <v>108</v>
      </c>
      <c r="I33" s="12" t="s">
        <v>123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2855</v>
      </c>
      <c r="B34" s="12" t="s">
        <v>2719</v>
      </c>
      <c r="C34" s="12" t="s">
        <v>1197</v>
      </c>
      <c r="D34" s="13" t="s">
        <v>2856</v>
      </c>
      <c r="E34" s="12" t="s">
        <v>144</v>
      </c>
      <c r="F34" s="12" t="s">
        <v>2625</v>
      </c>
      <c r="G34" s="13" t="s">
        <v>2845</v>
      </c>
      <c r="H34" s="12" t="s">
        <v>108</v>
      </c>
      <c r="I34" s="12" t="s">
        <v>123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126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127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2859</v>
      </c>
      <c r="B9" s="12" t="s">
        <v>2860</v>
      </c>
      <c r="C9" s="12" t="s">
        <v>850</v>
      </c>
      <c r="D9" s="13" t="s">
        <v>2861</v>
      </c>
      <c r="E9" s="12" t="s">
        <v>144</v>
      </c>
      <c r="F9" s="12" t="s">
        <v>145</v>
      </c>
      <c r="G9" s="13" t="s">
        <v>2862</v>
      </c>
      <c r="H9" s="12" t="s">
        <v>108</v>
      </c>
      <c r="I9" s="12" t="s">
        <v>123</v>
      </c>
      <c r="J9" s="14" t="n">
        <v>46232</v>
      </c>
      <c r="K9" s="13" t="s">
        <v>2863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2864</v>
      </c>
      <c r="B10" s="12" t="s">
        <v>2412</v>
      </c>
      <c r="C10" s="12" t="s">
        <v>850</v>
      </c>
      <c r="D10" s="13" t="s">
        <v>2865</v>
      </c>
      <c r="E10" s="12" t="s">
        <v>144</v>
      </c>
      <c r="F10" s="12" t="s">
        <v>164</v>
      </c>
      <c r="G10" s="13" t="s">
        <v>2866</v>
      </c>
      <c r="H10" s="12" t="s">
        <v>108</v>
      </c>
      <c r="I10" s="12" t="s">
        <v>123</v>
      </c>
      <c r="J10" s="14" t="n">
        <v>46232</v>
      </c>
      <c r="K10" s="13" t="s">
        <v>2867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2868</v>
      </c>
      <c r="B11" s="12" t="s">
        <v>1355</v>
      </c>
      <c r="C11" s="12" t="s">
        <v>850</v>
      </c>
      <c r="D11" s="13" t="s">
        <v>2869</v>
      </c>
      <c r="E11" s="12" t="s">
        <v>144</v>
      </c>
      <c r="F11" s="12" t="s">
        <v>164</v>
      </c>
      <c r="G11" s="13" t="s">
        <v>2870</v>
      </c>
      <c r="H11" s="12" t="s">
        <v>108</v>
      </c>
      <c r="I11" s="12" t="s">
        <v>123</v>
      </c>
      <c r="J11" s="14" t="n">
        <v>46232</v>
      </c>
      <c r="K11" s="13" t="s">
        <v>2871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2872</v>
      </c>
      <c r="B12" s="12" t="s">
        <v>2873</v>
      </c>
      <c r="C12" s="12" t="s">
        <v>813</v>
      </c>
      <c r="D12" s="13" t="s">
        <v>2874</v>
      </c>
      <c r="E12" s="12" t="s">
        <v>169</v>
      </c>
      <c r="F12" s="12" t="s">
        <v>169</v>
      </c>
      <c r="G12" s="13" t="s">
        <v>2875</v>
      </c>
      <c r="H12" s="12" t="s">
        <v>108</v>
      </c>
      <c r="I12" s="12" t="s">
        <v>123</v>
      </c>
      <c r="J12" s="14" t="n">
        <v>46232</v>
      </c>
      <c r="K12" s="13" t="s">
        <v>2876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2877</v>
      </c>
      <c r="B13" s="12" t="s">
        <v>2878</v>
      </c>
      <c r="C13" s="12" t="s">
        <v>868</v>
      </c>
      <c r="D13" s="13" t="s">
        <v>2879</v>
      </c>
      <c r="E13" s="12" t="s">
        <v>169</v>
      </c>
      <c r="F13" s="12" t="s">
        <v>169</v>
      </c>
      <c r="G13" s="13" t="s">
        <v>2875</v>
      </c>
      <c r="H13" s="12" t="s">
        <v>108</v>
      </c>
      <c r="I13" s="12" t="s">
        <v>123</v>
      </c>
      <c r="J13" s="14" t="n">
        <v>46232</v>
      </c>
      <c r="K13" s="13" t="s">
        <v>2880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2881</v>
      </c>
      <c r="B14" s="12" t="s">
        <v>2882</v>
      </c>
      <c r="C14" s="12" t="s">
        <v>850</v>
      </c>
      <c r="D14" s="13" t="s">
        <v>2883</v>
      </c>
      <c r="E14" s="12" t="s">
        <v>169</v>
      </c>
      <c r="F14" s="12" t="s">
        <v>169</v>
      </c>
      <c r="G14" s="13" t="s">
        <v>2884</v>
      </c>
      <c r="H14" s="12" t="s">
        <v>108</v>
      </c>
      <c r="I14" s="12" t="s">
        <v>123</v>
      </c>
      <c r="J14" s="14" t="n">
        <v>46232</v>
      </c>
      <c r="K14" s="13" t="s">
        <v>2885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2886</v>
      </c>
      <c r="B15" s="12" t="s">
        <v>1595</v>
      </c>
      <c r="C15" s="12" t="s">
        <v>850</v>
      </c>
      <c r="D15" s="13" t="s">
        <v>2887</v>
      </c>
      <c r="E15" s="12" t="s">
        <v>169</v>
      </c>
      <c r="F15" s="12" t="s">
        <v>169</v>
      </c>
      <c r="G15" s="13" t="s">
        <v>2875</v>
      </c>
      <c r="H15" s="12" t="s">
        <v>108</v>
      </c>
      <c r="I15" s="12" t="s">
        <v>123</v>
      </c>
      <c r="J15" s="14" t="n">
        <v>46232</v>
      </c>
      <c r="K15" s="13" t="s">
        <v>2888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2889</v>
      </c>
      <c r="B16" s="12" t="s">
        <v>2890</v>
      </c>
      <c r="C16" s="12" t="s">
        <v>850</v>
      </c>
      <c r="D16" s="13" t="s">
        <v>2891</v>
      </c>
      <c r="E16" s="12" t="s">
        <v>169</v>
      </c>
      <c r="F16" s="12" t="s">
        <v>169</v>
      </c>
      <c r="G16" s="13" t="s">
        <v>2875</v>
      </c>
      <c r="H16" s="12" t="s">
        <v>108</v>
      </c>
      <c r="I16" s="12" t="s">
        <v>123</v>
      </c>
      <c r="J16" s="14" t="n">
        <v>46232</v>
      </c>
      <c r="K16" s="13" t="s">
        <v>2892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2893</v>
      </c>
      <c r="B17" s="12" t="s">
        <v>2894</v>
      </c>
      <c r="C17" s="12" t="s">
        <v>868</v>
      </c>
      <c r="D17" s="13" t="s">
        <v>2895</v>
      </c>
      <c r="E17" s="12" t="s">
        <v>169</v>
      </c>
      <c r="F17" s="12" t="s">
        <v>169</v>
      </c>
      <c r="G17" s="13" t="s">
        <v>2875</v>
      </c>
      <c r="H17" s="12" t="s">
        <v>108</v>
      </c>
      <c r="I17" s="12" t="s">
        <v>123</v>
      </c>
      <c r="J17" s="14" t="n">
        <v>46232</v>
      </c>
      <c r="K17" s="13" t="s">
        <v>2896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2897</v>
      </c>
      <c r="B18" s="12" t="s">
        <v>2898</v>
      </c>
      <c r="C18" s="12" t="s">
        <v>813</v>
      </c>
      <c r="D18" s="13" t="s">
        <v>2899</v>
      </c>
      <c r="E18" s="12" t="s">
        <v>169</v>
      </c>
      <c r="F18" s="12" t="s">
        <v>169</v>
      </c>
      <c r="G18" s="13" t="s">
        <v>2875</v>
      </c>
      <c r="H18" s="12" t="s">
        <v>108</v>
      </c>
      <c r="I18" s="12" t="s">
        <v>123</v>
      </c>
      <c r="J18" s="14" t="n">
        <v>46232</v>
      </c>
      <c r="K18" s="13" t="s">
        <v>2900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2901</v>
      </c>
      <c r="B19" s="12" t="s">
        <v>148</v>
      </c>
      <c r="C19" s="12" t="s">
        <v>74</v>
      </c>
      <c r="D19" s="13" t="s">
        <v>2902</v>
      </c>
      <c r="E19" s="12" t="s">
        <v>144</v>
      </c>
      <c r="F19" s="12" t="s">
        <v>144</v>
      </c>
      <c r="G19" s="13" t="s">
        <v>2903</v>
      </c>
      <c r="H19" s="12" t="s">
        <v>108</v>
      </c>
      <c r="I19" s="12" t="s">
        <v>123</v>
      </c>
      <c r="J19" s="14" t="n">
        <v>46232</v>
      </c>
      <c r="K19" s="13" t="s">
        <v>2904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2905</v>
      </c>
      <c r="B20" s="12" t="s">
        <v>152</v>
      </c>
      <c r="C20" s="12" t="s">
        <v>2421</v>
      </c>
      <c r="D20" s="13" t="s">
        <v>2906</v>
      </c>
      <c r="E20" s="12" t="s">
        <v>144</v>
      </c>
      <c r="F20" s="12" t="s">
        <v>154</v>
      </c>
      <c r="G20" s="13" t="s">
        <v>2907</v>
      </c>
      <c r="H20" s="12" t="s">
        <v>108</v>
      </c>
      <c r="I20" s="12" t="s">
        <v>123</v>
      </c>
      <c r="J20" s="14" t="n">
        <v>46232</v>
      </c>
      <c r="K20" s="13" t="s">
        <v>2908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2909</v>
      </c>
      <c r="B21" s="12" t="s">
        <v>1323</v>
      </c>
      <c r="C21" s="12" t="s">
        <v>850</v>
      </c>
      <c r="D21" s="13" t="s">
        <v>2910</v>
      </c>
      <c r="E21" s="12" t="s">
        <v>144</v>
      </c>
      <c r="F21" s="12" t="s">
        <v>144</v>
      </c>
      <c r="G21" s="13" t="s">
        <v>1325</v>
      </c>
      <c r="H21" s="12" t="s">
        <v>108</v>
      </c>
      <c r="I21" s="12" t="s">
        <v>123</v>
      </c>
      <c r="J21" s="14" t="n">
        <v>46232</v>
      </c>
      <c r="K21" s="13" t="s">
        <v>2911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2912</v>
      </c>
      <c r="B22" s="12" t="s">
        <v>157</v>
      </c>
      <c r="C22" s="12" t="s">
        <v>850</v>
      </c>
      <c r="D22" s="13" t="s">
        <v>2913</v>
      </c>
      <c r="E22" s="12" t="s">
        <v>144</v>
      </c>
      <c r="F22" s="12" t="s">
        <v>159</v>
      </c>
      <c r="G22" s="13" t="s">
        <v>2914</v>
      </c>
      <c r="H22" s="12" t="s">
        <v>108</v>
      </c>
      <c r="I22" s="12" t="s">
        <v>123</v>
      </c>
      <c r="J22" s="14" t="n">
        <v>46232</v>
      </c>
      <c r="K22" s="13" t="s">
        <v>2915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2916</v>
      </c>
      <c r="B23" s="12" t="s">
        <v>1705</v>
      </c>
      <c r="C23" s="12" t="s">
        <v>850</v>
      </c>
      <c r="D23" s="13" t="s">
        <v>2917</v>
      </c>
      <c r="E23" s="12" t="s">
        <v>169</v>
      </c>
      <c r="F23" s="12" t="s">
        <v>179</v>
      </c>
      <c r="G23" s="13" t="s">
        <v>2918</v>
      </c>
      <c r="H23" s="12" t="s">
        <v>108</v>
      </c>
      <c r="I23" s="12" t="s">
        <v>123</v>
      </c>
      <c r="J23" s="14" t="n">
        <v>46232</v>
      </c>
      <c r="K23" s="13" t="s">
        <v>2919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2920</v>
      </c>
      <c r="B24" s="12" t="s">
        <v>2921</v>
      </c>
      <c r="C24" s="12" t="s">
        <v>850</v>
      </c>
      <c r="D24" s="13" t="s">
        <v>2922</v>
      </c>
      <c r="E24" s="12" t="s">
        <v>169</v>
      </c>
      <c r="F24" s="12" t="s">
        <v>179</v>
      </c>
      <c r="G24" s="13" t="s">
        <v>2918</v>
      </c>
      <c r="H24" s="12" t="s">
        <v>108</v>
      </c>
      <c r="I24" s="12" t="s">
        <v>123</v>
      </c>
      <c r="J24" s="14" t="n">
        <v>46232</v>
      </c>
      <c r="K24" s="13" t="s">
        <v>2923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2924</v>
      </c>
      <c r="B25" s="12" t="s">
        <v>2925</v>
      </c>
      <c r="C25" s="12" t="s">
        <v>2926</v>
      </c>
      <c r="D25" s="13" t="s">
        <v>2927</v>
      </c>
      <c r="E25" s="12" t="s">
        <v>169</v>
      </c>
      <c r="F25" s="12" t="s">
        <v>179</v>
      </c>
      <c r="G25" s="13" t="s">
        <v>2918</v>
      </c>
      <c r="H25" s="12" t="s">
        <v>108</v>
      </c>
      <c r="I25" s="12" t="s">
        <v>123</v>
      </c>
      <c r="J25" s="14" t="n">
        <v>46232</v>
      </c>
      <c r="K25" s="13" t="s">
        <v>2928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2929</v>
      </c>
      <c r="B26" s="12" t="s">
        <v>2930</v>
      </c>
      <c r="C26" s="12" t="s">
        <v>850</v>
      </c>
      <c r="D26" s="13" t="s">
        <v>2931</v>
      </c>
      <c r="E26" s="12" t="s">
        <v>144</v>
      </c>
      <c r="F26" s="12" t="s">
        <v>164</v>
      </c>
      <c r="G26" s="13" t="s">
        <v>2870</v>
      </c>
      <c r="H26" s="12" t="s">
        <v>108</v>
      </c>
      <c r="I26" s="12" t="s">
        <v>123</v>
      </c>
      <c r="J26" s="14" t="n">
        <v>46232</v>
      </c>
      <c r="K26" s="13" t="s">
        <v>2932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2933</v>
      </c>
      <c r="B27" s="12" t="s">
        <v>2934</v>
      </c>
      <c r="C27" s="12" t="s">
        <v>2935</v>
      </c>
      <c r="D27" s="13" t="s">
        <v>2936</v>
      </c>
      <c r="E27" s="12" t="s">
        <v>169</v>
      </c>
      <c r="F27" s="12" t="s">
        <v>169</v>
      </c>
      <c r="G27" s="13" t="s">
        <v>2937</v>
      </c>
      <c r="H27" s="12" t="s">
        <v>108</v>
      </c>
      <c r="I27" s="12" t="s">
        <v>123</v>
      </c>
      <c r="J27" s="14" t="n">
        <v>46232</v>
      </c>
      <c r="K27" s="13" t="s">
        <v>2938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2939</v>
      </c>
      <c r="B28" s="12" t="s">
        <v>183</v>
      </c>
      <c r="C28" s="12" t="s">
        <v>850</v>
      </c>
      <c r="D28" s="13" t="s">
        <v>2940</v>
      </c>
      <c r="E28" s="12" t="s">
        <v>169</v>
      </c>
      <c r="F28" s="12" t="s">
        <v>169</v>
      </c>
      <c r="G28" s="13" t="s">
        <v>2918</v>
      </c>
      <c r="H28" s="12" t="s">
        <v>108</v>
      </c>
      <c r="I28" s="12" t="s">
        <v>123</v>
      </c>
      <c r="J28" s="14" t="n">
        <v>46232</v>
      </c>
      <c r="K28" s="13" t="s">
        <v>2941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2942</v>
      </c>
      <c r="B29" s="12" t="s">
        <v>2544</v>
      </c>
      <c r="C29" s="12" t="s">
        <v>850</v>
      </c>
      <c r="D29" s="13" t="s">
        <v>2943</v>
      </c>
      <c r="E29" s="12" t="s">
        <v>169</v>
      </c>
      <c r="F29" s="12" t="s">
        <v>169</v>
      </c>
      <c r="G29" s="13" t="s">
        <v>2918</v>
      </c>
      <c r="H29" s="12" t="s">
        <v>108</v>
      </c>
      <c r="I29" s="12" t="s">
        <v>123</v>
      </c>
      <c r="J29" s="14" t="n">
        <v>46232</v>
      </c>
      <c r="K29" s="13" t="s">
        <v>2944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2945</v>
      </c>
      <c r="B30" s="12" t="s">
        <v>2946</v>
      </c>
      <c r="C30" s="12" t="s">
        <v>850</v>
      </c>
      <c r="D30" s="13" t="s">
        <v>2947</v>
      </c>
      <c r="E30" s="12" t="s">
        <v>169</v>
      </c>
      <c r="F30" s="12" t="s">
        <v>179</v>
      </c>
      <c r="G30" s="13" t="s">
        <v>2918</v>
      </c>
      <c r="H30" s="12" t="s">
        <v>108</v>
      </c>
      <c r="I30" s="12" t="s">
        <v>123</v>
      </c>
      <c r="J30" s="14" t="n">
        <v>46232</v>
      </c>
      <c r="K30" s="13" t="s">
        <v>2948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2949</v>
      </c>
      <c r="B31" s="12" t="s">
        <v>1543</v>
      </c>
      <c r="C31" s="12" t="s">
        <v>850</v>
      </c>
      <c r="D31" s="13" t="s">
        <v>2950</v>
      </c>
      <c r="E31" s="12" t="s">
        <v>144</v>
      </c>
      <c r="F31" s="12" t="s">
        <v>164</v>
      </c>
      <c r="G31" s="13" t="s">
        <v>2951</v>
      </c>
      <c r="H31" s="12" t="s">
        <v>108</v>
      </c>
      <c r="I31" s="12" t="s">
        <v>123</v>
      </c>
      <c r="J31" s="14" t="n">
        <v>46232</v>
      </c>
      <c r="K31" s="13" t="s">
        <v>2952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2953</v>
      </c>
      <c r="B32" s="12" t="s">
        <v>172</v>
      </c>
      <c r="C32" s="12" t="s">
        <v>850</v>
      </c>
      <c r="D32" s="13" t="s">
        <v>2954</v>
      </c>
      <c r="E32" s="12" t="s">
        <v>169</v>
      </c>
      <c r="F32" s="12" t="s">
        <v>174</v>
      </c>
      <c r="G32" s="13" t="s">
        <v>2875</v>
      </c>
      <c r="H32" s="12" t="s">
        <v>108</v>
      </c>
      <c r="I32" s="12" t="s">
        <v>123</v>
      </c>
      <c r="J32" s="14" t="n">
        <v>46232</v>
      </c>
      <c r="K32" s="13" t="s">
        <v>2955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2956</v>
      </c>
      <c r="B33" s="12" t="s">
        <v>632</v>
      </c>
      <c r="C33" s="12" t="s">
        <v>850</v>
      </c>
      <c r="D33" s="13" t="s">
        <v>2957</v>
      </c>
      <c r="E33" s="12" t="s">
        <v>144</v>
      </c>
      <c r="F33" s="12" t="s">
        <v>634</v>
      </c>
      <c r="G33" s="13" t="s">
        <v>2958</v>
      </c>
      <c r="H33" s="12" t="s">
        <v>108</v>
      </c>
      <c r="I33" s="12" t="s">
        <v>123</v>
      </c>
      <c r="J33" s="14" t="n">
        <v>46232</v>
      </c>
      <c r="K33" s="13" t="s">
        <v>2959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2960</v>
      </c>
      <c r="B34" s="12" t="s">
        <v>2961</v>
      </c>
      <c r="C34" s="12" t="s">
        <v>850</v>
      </c>
      <c r="D34" s="13" t="s">
        <v>2962</v>
      </c>
      <c r="E34" s="12" t="s">
        <v>169</v>
      </c>
      <c r="F34" s="12" t="s">
        <v>179</v>
      </c>
      <c r="G34" s="13" t="s">
        <v>2963</v>
      </c>
      <c r="H34" s="12" t="s">
        <v>110</v>
      </c>
      <c r="I34" s="12" t="s">
        <v>122</v>
      </c>
      <c r="J34" s="14" t="n">
        <v>46232</v>
      </c>
      <c r="K34" s="13" t="s">
        <v>2964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2965</v>
      </c>
      <c r="B35" s="12" t="s">
        <v>2399</v>
      </c>
      <c r="C35" s="12" t="s">
        <v>2966</v>
      </c>
      <c r="D35" s="13" t="s">
        <v>2967</v>
      </c>
      <c r="E35" s="12" t="s">
        <v>144</v>
      </c>
      <c r="F35" s="12" t="s">
        <v>2625</v>
      </c>
      <c r="G35" s="13" t="s">
        <v>2968</v>
      </c>
      <c r="H35" s="12" t="s">
        <v>108</v>
      </c>
      <c r="I35" s="12" t="s">
        <v>123</v>
      </c>
      <c r="J35" s="14" t="n">
        <v>46232</v>
      </c>
      <c r="K35" s="13" t="s">
        <v>2969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2970</v>
      </c>
      <c r="B36" s="12" t="s">
        <v>210</v>
      </c>
      <c r="C36" s="12" t="s">
        <v>850</v>
      </c>
      <c r="D36" s="13" t="s">
        <v>2971</v>
      </c>
      <c r="E36" s="12" t="s">
        <v>212</v>
      </c>
      <c r="F36" s="12" t="s">
        <v>212</v>
      </c>
      <c r="G36" s="13" t="s">
        <v>213</v>
      </c>
      <c r="H36" s="12" t="s">
        <v>108</v>
      </c>
      <c r="I36" s="12" t="s">
        <v>123</v>
      </c>
      <c r="J36" s="14" t="n">
        <v>46232</v>
      </c>
      <c r="K36" s="13" t="s">
        <v>2972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2973</v>
      </c>
      <c r="B37" s="12" t="s">
        <v>197</v>
      </c>
      <c r="C37" s="12" t="s">
        <v>850</v>
      </c>
      <c r="D37" s="13" t="s">
        <v>2974</v>
      </c>
      <c r="E37" s="12" t="s">
        <v>2975</v>
      </c>
      <c r="F37" s="12" t="s">
        <v>185</v>
      </c>
      <c r="G37" s="13" t="s">
        <v>2976</v>
      </c>
      <c r="H37" s="12" t="s">
        <v>102</v>
      </c>
      <c r="I37" s="12" t="s">
        <v>122</v>
      </c>
      <c r="J37" s="14"/>
      <c r="K37" s="13" t="s">
        <v>2977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2978</v>
      </c>
      <c r="B38" s="12" t="s">
        <v>215</v>
      </c>
      <c r="C38" s="12" t="s">
        <v>2641</v>
      </c>
      <c r="D38" s="13" t="s">
        <v>2979</v>
      </c>
      <c r="E38" s="12" t="s">
        <v>144</v>
      </c>
      <c r="F38" s="12" t="s">
        <v>144</v>
      </c>
      <c r="G38" s="13" t="s">
        <v>2980</v>
      </c>
      <c r="H38" s="12" t="s">
        <v>108</v>
      </c>
      <c r="I38" s="12" t="s">
        <v>123</v>
      </c>
      <c r="J38" s="14" t="n">
        <v>46232</v>
      </c>
      <c r="K38" s="13" t="s">
        <v>2981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2982</v>
      </c>
      <c r="B39" s="12" t="s">
        <v>2719</v>
      </c>
      <c r="C39" s="12" t="s">
        <v>850</v>
      </c>
      <c r="D39" s="13" t="s">
        <v>2983</v>
      </c>
      <c r="E39" s="12" t="s">
        <v>144</v>
      </c>
      <c r="F39" s="12" t="s">
        <v>2625</v>
      </c>
      <c r="G39" s="13" t="s">
        <v>2984</v>
      </c>
      <c r="H39" s="12" t="s">
        <v>108</v>
      </c>
      <c r="I39" s="12" t="s">
        <v>123</v>
      </c>
      <c r="J39" s="14" t="n">
        <v>46232</v>
      </c>
      <c r="K39" s="13" t="s">
        <v>2985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2987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126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2988</v>
      </c>
      <c r="B9" s="12" t="s">
        <v>100</v>
      </c>
      <c r="C9" s="12" t="s">
        <v>813</v>
      </c>
      <c r="D9" s="13" t="s">
        <v>2989</v>
      </c>
      <c r="E9" s="12" t="s">
        <v>144</v>
      </c>
      <c r="F9" s="12" t="s">
        <v>145</v>
      </c>
      <c r="G9" s="13" t="s">
        <v>2990</v>
      </c>
      <c r="H9" s="12" t="s">
        <v>108</v>
      </c>
      <c r="I9" s="12" t="s">
        <v>123</v>
      </c>
      <c r="J9" s="14" t="n">
        <v>46231</v>
      </c>
      <c r="K9" s="13" t="s">
        <v>2991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2992</v>
      </c>
      <c r="B10" s="12" t="s">
        <v>2412</v>
      </c>
      <c r="C10" s="12" t="s">
        <v>813</v>
      </c>
      <c r="D10" s="13" t="s">
        <v>2993</v>
      </c>
      <c r="E10" s="12" t="s">
        <v>144</v>
      </c>
      <c r="F10" s="12" t="s">
        <v>164</v>
      </c>
      <c r="G10" s="13" t="s">
        <v>2994</v>
      </c>
      <c r="H10" s="12" t="s">
        <v>108</v>
      </c>
      <c r="I10" s="12" t="s">
        <v>123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2995</v>
      </c>
      <c r="B11" s="12" t="s">
        <v>1355</v>
      </c>
      <c r="C11" s="12" t="s">
        <v>813</v>
      </c>
      <c r="D11" s="13" t="s">
        <v>2996</v>
      </c>
      <c r="E11" s="12" t="s">
        <v>144</v>
      </c>
      <c r="F11" s="12" t="s">
        <v>164</v>
      </c>
      <c r="G11" s="13" t="s">
        <v>2994</v>
      </c>
      <c r="H11" s="12" t="s">
        <v>108</v>
      </c>
      <c r="I11" s="12" t="s">
        <v>123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2997</v>
      </c>
      <c r="B12" s="12" t="s">
        <v>152</v>
      </c>
      <c r="C12" s="12" t="s">
        <v>2421</v>
      </c>
      <c r="D12" s="13" t="s">
        <v>2998</v>
      </c>
      <c r="E12" s="12" t="s">
        <v>144</v>
      </c>
      <c r="F12" s="12" t="s">
        <v>154</v>
      </c>
      <c r="G12" s="13" t="s">
        <v>2999</v>
      </c>
      <c r="H12" s="12" t="s">
        <v>108</v>
      </c>
      <c r="I12" s="12" t="s">
        <v>123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3000</v>
      </c>
      <c r="B13" s="12" t="s">
        <v>148</v>
      </c>
      <c r="C13" s="12" t="s">
        <v>813</v>
      </c>
      <c r="D13" s="13" t="s">
        <v>3001</v>
      </c>
      <c r="E13" s="12" t="s">
        <v>144</v>
      </c>
      <c r="F13" s="12" t="s">
        <v>144</v>
      </c>
      <c r="G13" s="13" t="s">
        <v>150</v>
      </c>
      <c r="H13" s="12" t="s">
        <v>108</v>
      </c>
      <c r="I13" s="12" t="s">
        <v>123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3002</v>
      </c>
      <c r="B14" s="12" t="s">
        <v>1323</v>
      </c>
      <c r="C14" s="12" t="s">
        <v>813</v>
      </c>
      <c r="D14" s="13" t="s">
        <v>3003</v>
      </c>
      <c r="E14" s="12" t="s">
        <v>144</v>
      </c>
      <c r="F14" s="12" t="s">
        <v>144</v>
      </c>
      <c r="G14" s="13" t="s">
        <v>1325</v>
      </c>
      <c r="H14" s="12" t="s">
        <v>108</v>
      </c>
      <c r="I14" s="12" t="s">
        <v>123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3004</v>
      </c>
      <c r="B15" s="12" t="s">
        <v>1306</v>
      </c>
      <c r="C15" s="12" t="s">
        <v>813</v>
      </c>
      <c r="D15" s="13" t="s">
        <v>3005</v>
      </c>
      <c r="E15" s="12" t="s">
        <v>144</v>
      </c>
      <c r="F15" s="12" t="s">
        <v>169</v>
      </c>
      <c r="G15" s="13" t="s">
        <v>3006</v>
      </c>
      <c r="H15" s="12" t="s">
        <v>108</v>
      </c>
      <c r="I15" s="12" t="s">
        <v>123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3007</v>
      </c>
      <c r="B16" s="12" t="s">
        <v>1705</v>
      </c>
      <c r="C16" s="12" t="s">
        <v>813</v>
      </c>
      <c r="D16" s="13" t="s">
        <v>3008</v>
      </c>
      <c r="E16" s="12" t="s">
        <v>144</v>
      </c>
      <c r="F16" s="12" t="s">
        <v>169</v>
      </c>
      <c r="G16" s="13" t="s">
        <v>3009</v>
      </c>
      <c r="H16" s="12" t="s">
        <v>108</v>
      </c>
      <c r="I16" s="12" t="s">
        <v>123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3010</v>
      </c>
      <c r="B17" s="12" t="s">
        <v>3011</v>
      </c>
      <c r="C17" s="12" t="s">
        <v>813</v>
      </c>
      <c r="D17" s="13" t="s">
        <v>3012</v>
      </c>
      <c r="E17" s="12" t="s">
        <v>144</v>
      </c>
      <c r="F17" s="12" t="s">
        <v>169</v>
      </c>
      <c r="G17" s="13" t="s">
        <v>3009</v>
      </c>
      <c r="H17" s="12" t="s">
        <v>108</v>
      </c>
      <c r="I17" s="12" t="s">
        <v>123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3013</v>
      </c>
      <c r="B18" s="12" t="s">
        <v>3014</v>
      </c>
      <c r="C18" s="12" t="s">
        <v>813</v>
      </c>
      <c r="D18" s="13" t="s">
        <v>3015</v>
      </c>
      <c r="E18" s="12" t="s">
        <v>144</v>
      </c>
      <c r="F18" s="12" t="s">
        <v>169</v>
      </c>
      <c r="G18" s="13" t="s">
        <v>3009</v>
      </c>
      <c r="H18" s="12" t="s">
        <v>108</v>
      </c>
      <c r="I18" s="12" t="s">
        <v>123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3016</v>
      </c>
      <c r="B19" s="12" t="s">
        <v>1099</v>
      </c>
      <c r="C19" s="12" t="s">
        <v>3017</v>
      </c>
      <c r="D19" s="13" t="s">
        <v>3018</v>
      </c>
      <c r="E19" s="12" t="s">
        <v>144</v>
      </c>
      <c r="F19" s="12" t="s">
        <v>169</v>
      </c>
      <c r="G19" s="13" t="s">
        <v>3009</v>
      </c>
      <c r="H19" s="12" t="s">
        <v>108</v>
      </c>
      <c r="I19" s="12" t="s">
        <v>123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3019</v>
      </c>
      <c r="B20" s="12" t="s">
        <v>192</v>
      </c>
      <c r="C20" s="12" t="s">
        <v>813</v>
      </c>
      <c r="D20" s="13" t="s">
        <v>3020</v>
      </c>
      <c r="E20" s="12" t="s">
        <v>144</v>
      </c>
      <c r="F20" s="12" t="s">
        <v>164</v>
      </c>
      <c r="G20" s="13" t="s">
        <v>2994</v>
      </c>
      <c r="H20" s="12" t="s">
        <v>108</v>
      </c>
      <c r="I20" s="12" t="s">
        <v>123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3021</v>
      </c>
      <c r="B21" s="12" t="s">
        <v>672</v>
      </c>
      <c r="C21" s="12" t="s">
        <v>3022</v>
      </c>
      <c r="D21" s="13" t="s">
        <v>3023</v>
      </c>
      <c r="E21" s="12" t="s">
        <v>144</v>
      </c>
      <c r="F21" s="12" t="s">
        <v>169</v>
      </c>
      <c r="G21" s="13" t="s">
        <v>3009</v>
      </c>
      <c r="H21" s="12" t="s">
        <v>108</v>
      </c>
      <c r="I21" s="12" t="s">
        <v>123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3024</v>
      </c>
      <c r="B22" s="12" t="s">
        <v>172</v>
      </c>
      <c r="C22" s="12" t="s">
        <v>3022</v>
      </c>
      <c r="D22" s="13" t="s">
        <v>3025</v>
      </c>
      <c r="E22" s="12" t="s">
        <v>144</v>
      </c>
      <c r="F22" s="12" t="s">
        <v>174</v>
      </c>
      <c r="G22" s="13" t="s">
        <v>3009</v>
      </c>
      <c r="H22" s="12" t="s">
        <v>108</v>
      </c>
      <c r="I22" s="12" t="s">
        <v>123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3026</v>
      </c>
      <c r="B23" s="12" t="s">
        <v>183</v>
      </c>
      <c r="C23" s="12" t="s">
        <v>813</v>
      </c>
      <c r="D23" s="13" t="s">
        <v>3027</v>
      </c>
      <c r="E23" s="12" t="s">
        <v>144</v>
      </c>
      <c r="F23" s="12" t="s">
        <v>169</v>
      </c>
      <c r="G23" s="13" t="s">
        <v>3009</v>
      </c>
      <c r="H23" s="12" t="s">
        <v>108</v>
      </c>
      <c r="I23" s="12" t="s">
        <v>123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3028</v>
      </c>
      <c r="B24" s="12" t="s">
        <v>2544</v>
      </c>
      <c r="C24" s="12" t="s">
        <v>3022</v>
      </c>
      <c r="D24" s="13" t="s">
        <v>3029</v>
      </c>
      <c r="E24" s="12" t="s">
        <v>144</v>
      </c>
      <c r="F24" s="12" t="s">
        <v>179</v>
      </c>
      <c r="G24" s="13" t="s">
        <v>3030</v>
      </c>
      <c r="H24" s="12" t="s">
        <v>106</v>
      </c>
      <c r="I24" s="12" t="s">
        <v>122</v>
      </c>
      <c r="J24" s="14" t="n">
        <v>46231</v>
      </c>
      <c r="K24" s="13" t="s">
        <v>3031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3032</v>
      </c>
      <c r="B25" s="12" t="s">
        <v>1878</v>
      </c>
      <c r="C25" s="12" t="s">
        <v>813</v>
      </c>
      <c r="D25" s="13" t="s">
        <v>3033</v>
      </c>
      <c r="E25" s="12" t="s">
        <v>144</v>
      </c>
      <c r="F25" s="12" t="s">
        <v>179</v>
      </c>
      <c r="G25" s="13" t="s">
        <v>3030</v>
      </c>
      <c r="H25" s="12" t="s">
        <v>106</v>
      </c>
      <c r="I25" s="12" t="s">
        <v>122</v>
      </c>
      <c r="J25" s="14" t="n">
        <v>46231</v>
      </c>
      <c r="K25" s="13" t="s">
        <v>3034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3035</v>
      </c>
      <c r="B26" s="12" t="s">
        <v>2493</v>
      </c>
      <c r="C26" s="12" t="s">
        <v>813</v>
      </c>
      <c r="D26" s="13" t="s">
        <v>3036</v>
      </c>
      <c r="E26" s="12" t="s">
        <v>144</v>
      </c>
      <c r="F26" s="12" t="s">
        <v>179</v>
      </c>
      <c r="G26" s="13" t="s">
        <v>3037</v>
      </c>
      <c r="H26" s="12" t="s">
        <v>106</v>
      </c>
      <c r="I26" s="12" t="s">
        <v>122</v>
      </c>
      <c r="J26" s="14" t="n">
        <v>46231</v>
      </c>
      <c r="K26" s="13" t="s">
        <v>3038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3039</v>
      </c>
      <c r="B27" s="12" t="s">
        <v>1543</v>
      </c>
      <c r="C27" s="12" t="s">
        <v>813</v>
      </c>
      <c r="D27" s="13" t="s">
        <v>3040</v>
      </c>
      <c r="E27" s="12" t="s">
        <v>144</v>
      </c>
      <c r="F27" s="12" t="s">
        <v>164</v>
      </c>
      <c r="G27" s="13" t="s">
        <v>3041</v>
      </c>
      <c r="H27" s="12" t="s">
        <v>108</v>
      </c>
      <c r="I27" s="12" t="s">
        <v>123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3042</v>
      </c>
      <c r="B28" s="12" t="s">
        <v>632</v>
      </c>
      <c r="C28" s="12" t="s">
        <v>813</v>
      </c>
      <c r="D28" s="13" t="s">
        <v>3043</v>
      </c>
      <c r="E28" s="12" t="s">
        <v>144</v>
      </c>
      <c r="F28" s="12" t="s">
        <v>634</v>
      </c>
      <c r="G28" s="13" t="s">
        <v>3044</v>
      </c>
      <c r="H28" s="12" t="s">
        <v>108</v>
      </c>
      <c r="I28" s="12" t="s">
        <v>123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3045</v>
      </c>
      <c r="B29" s="12" t="s">
        <v>2399</v>
      </c>
      <c r="C29" s="12" t="s">
        <v>2623</v>
      </c>
      <c r="D29" s="13" t="s">
        <v>3046</v>
      </c>
      <c r="E29" s="12" t="s">
        <v>144</v>
      </c>
      <c r="F29" s="12" t="s">
        <v>2625</v>
      </c>
      <c r="G29" s="13" t="s">
        <v>3047</v>
      </c>
      <c r="H29" s="12" t="s">
        <v>108</v>
      </c>
      <c r="I29" s="12" t="s">
        <v>123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3048</v>
      </c>
      <c r="B30" s="12" t="s">
        <v>206</v>
      </c>
      <c r="C30" s="12" t="s">
        <v>2628</v>
      </c>
      <c r="D30" s="13" t="s">
        <v>3049</v>
      </c>
      <c r="E30" s="12" t="s">
        <v>144</v>
      </c>
      <c r="F30" s="12" t="s">
        <v>2625</v>
      </c>
      <c r="G30" s="13" t="s">
        <v>3050</v>
      </c>
      <c r="H30" s="12" t="s">
        <v>108</v>
      </c>
      <c r="I30" s="12" t="s">
        <v>123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3051</v>
      </c>
      <c r="B31" s="12" t="s">
        <v>210</v>
      </c>
      <c r="C31" s="12" t="s">
        <v>813</v>
      </c>
      <c r="D31" s="13" t="s">
        <v>3052</v>
      </c>
      <c r="E31" s="12" t="s">
        <v>212</v>
      </c>
      <c r="F31" s="12" t="s">
        <v>212</v>
      </c>
      <c r="G31" s="13" t="s">
        <v>213</v>
      </c>
      <c r="H31" s="12" t="s">
        <v>108</v>
      </c>
      <c r="I31" s="12" t="s">
        <v>123</v>
      </c>
      <c r="J31" s="14" t="s">
        <v>3053</v>
      </c>
      <c r="K31" s="13" t="s">
        <v>3054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3055</v>
      </c>
      <c r="B32" s="12" t="s">
        <v>177</v>
      </c>
      <c r="C32" s="12" t="s">
        <v>3022</v>
      </c>
      <c r="D32" s="13" t="s">
        <v>3056</v>
      </c>
      <c r="E32" s="12" t="s">
        <v>144</v>
      </c>
      <c r="F32" s="12" t="s">
        <v>179</v>
      </c>
      <c r="G32" s="13" t="s">
        <v>3030</v>
      </c>
      <c r="H32" s="12" t="s">
        <v>106</v>
      </c>
      <c r="I32" s="12" t="s">
        <v>122</v>
      </c>
      <c r="J32" s="14" t="n">
        <v>46231</v>
      </c>
      <c r="K32" s="13" t="s">
        <v>3057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3058</v>
      </c>
      <c r="B33" s="12" t="s">
        <v>197</v>
      </c>
      <c r="C33" s="12" t="s">
        <v>3022</v>
      </c>
      <c r="D33" s="13" t="s">
        <v>3059</v>
      </c>
      <c r="E33" s="12" t="s">
        <v>144</v>
      </c>
      <c r="F33" s="12" t="s">
        <v>185</v>
      </c>
      <c r="G33" s="13" t="s">
        <v>3060</v>
      </c>
      <c r="H33" s="12" t="s">
        <v>102</v>
      </c>
      <c r="I33" s="12" t="s">
        <v>122</v>
      </c>
      <c r="J33" s="14"/>
      <c r="K33" s="13" t="s">
        <v>1821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3061</v>
      </c>
      <c r="B34" s="12" t="s">
        <v>215</v>
      </c>
      <c r="C34" s="12" t="s">
        <v>2641</v>
      </c>
      <c r="D34" s="13" t="s">
        <v>3062</v>
      </c>
      <c r="E34" s="12" t="s">
        <v>144</v>
      </c>
      <c r="F34" s="12" t="s">
        <v>144</v>
      </c>
      <c r="G34" s="13" t="s">
        <v>2565</v>
      </c>
      <c r="H34" s="12" t="s">
        <v>108</v>
      </c>
      <c r="I34" s="12" t="s">
        <v>123</v>
      </c>
      <c r="J34" s="14" t="s">
        <v>3053</v>
      </c>
      <c r="K34" s="13" t="s">
        <v>3063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3065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126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1759</v>
      </c>
      <c r="B9" s="12" t="s">
        <v>100</v>
      </c>
      <c r="C9" s="12" t="s">
        <v>1197</v>
      </c>
      <c r="D9" s="13" t="s">
        <v>3066</v>
      </c>
      <c r="E9" s="12" t="s">
        <v>144</v>
      </c>
      <c r="F9" s="12" t="s">
        <v>145</v>
      </c>
      <c r="G9" s="13" t="s">
        <v>3067</v>
      </c>
      <c r="H9" s="12" t="s">
        <v>108</v>
      </c>
      <c r="I9" s="12" t="s">
        <v>123</v>
      </c>
      <c r="J9" s="14" t="n">
        <v>46231</v>
      </c>
      <c r="K9" s="13" t="s">
        <v>3068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1762</v>
      </c>
      <c r="B10" s="12" t="s">
        <v>2412</v>
      </c>
      <c r="C10" s="12" t="s">
        <v>2421</v>
      </c>
      <c r="D10" s="13" t="s">
        <v>3069</v>
      </c>
      <c r="E10" s="12" t="s">
        <v>144</v>
      </c>
      <c r="F10" s="12" t="s">
        <v>164</v>
      </c>
      <c r="G10" s="13" t="s">
        <v>3070</v>
      </c>
      <c r="H10" s="12" t="s">
        <v>108</v>
      </c>
      <c r="I10" s="12" t="s">
        <v>123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1766</v>
      </c>
      <c r="B11" s="12" t="s">
        <v>1355</v>
      </c>
      <c r="C11" s="12" t="s">
        <v>1197</v>
      </c>
      <c r="D11" s="13" t="s">
        <v>3071</v>
      </c>
      <c r="E11" s="12" t="s">
        <v>144</v>
      </c>
      <c r="F11" s="12" t="s">
        <v>164</v>
      </c>
      <c r="G11" s="13" t="s">
        <v>3070</v>
      </c>
      <c r="H11" s="12" t="s">
        <v>108</v>
      </c>
      <c r="I11" s="12" t="s">
        <v>123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1768</v>
      </c>
      <c r="B12" s="12" t="s">
        <v>152</v>
      </c>
      <c r="C12" s="12" t="s">
        <v>2421</v>
      </c>
      <c r="D12" s="13" t="s">
        <v>3072</v>
      </c>
      <c r="E12" s="12" t="s">
        <v>144</v>
      </c>
      <c r="F12" s="12" t="s">
        <v>154</v>
      </c>
      <c r="G12" s="13" t="s">
        <v>3073</v>
      </c>
      <c r="H12" s="12" t="s">
        <v>108</v>
      </c>
      <c r="I12" s="12" t="s">
        <v>123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1771</v>
      </c>
      <c r="B13" s="12" t="s">
        <v>148</v>
      </c>
      <c r="C13" s="12" t="s">
        <v>1197</v>
      </c>
      <c r="D13" s="13" t="s">
        <v>3074</v>
      </c>
      <c r="E13" s="12" t="s">
        <v>144</v>
      </c>
      <c r="F13" s="12" t="s">
        <v>144</v>
      </c>
      <c r="G13" s="13" t="s">
        <v>150</v>
      </c>
      <c r="H13" s="12" t="s">
        <v>108</v>
      </c>
      <c r="I13" s="12" t="s">
        <v>123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1774</v>
      </c>
      <c r="B14" s="12" t="s">
        <v>1323</v>
      </c>
      <c r="C14" s="12" t="s">
        <v>1197</v>
      </c>
      <c r="D14" s="13" t="s">
        <v>3075</v>
      </c>
      <c r="E14" s="12" t="s">
        <v>144</v>
      </c>
      <c r="F14" s="12" t="s">
        <v>144</v>
      </c>
      <c r="G14" s="13" t="s">
        <v>1325</v>
      </c>
      <c r="H14" s="12" t="s">
        <v>108</v>
      </c>
      <c r="I14" s="12" t="s">
        <v>123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1778</v>
      </c>
      <c r="B15" s="12" t="s">
        <v>1588</v>
      </c>
      <c r="C15" s="12" t="s">
        <v>813</v>
      </c>
      <c r="D15" s="13" t="s">
        <v>3076</v>
      </c>
      <c r="E15" s="12" t="s">
        <v>144</v>
      </c>
      <c r="F15" s="12" t="s">
        <v>169</v>
      </c>
      <c r="G15" s="13" t="s">
        <v>3077</v>
      </c>
      <c r="H15" s="12" t="s">
        <v>108</v>
      </c>
      <c r="I15" s="12" t="s">
        <v>123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1782</v>
      </c>
      <c r="B16" s="12" t="s">
        <v>1705</v>
      </c>
      <c r="C16" s="12" t="s">
        <v>813</v>
      </c>
      <c r="D16" s="13" t="s">
        <v>3078</v>
      </c>
      <c r="E16" s="12" t="s">
        <v>144</v>
      </c>
      <c r="F16" s="12" t="s">
        <v>179</v>
      </c>
      <c r="G16" s="13" t="s">
        <v>3079</v>
      </c>
      <c r="H16" s="12" t="s">
        <v>106</v>
      </c>
      <c r="I16" s="12" t="s">
        <v>122</v>
      </c>
      <c r="J16" s="14" t="n">
        <v>46231</v>
      </c>
      <c r="K16" s="13" t="s">
        <v>3080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1786</v>
      </c>
      <c r="B17" s="12" t="s">
        <v>1710</v>
      </c>
      <c r="C17" s="12" t="s">
        <v>3081</v>
      </c>
      <c r="D17" s="13" t="s">
        <v>3082</v>
      </c>
      <c r="E17" s="12" t="s">
        <v>144</v>
      </c>
      <c r="F17" s="12" t="s">
        <v>179</v>
      </c>
      <c r="G17" s="13" t="s">
        <v>3079</v>
      </c>
      <c r="H17" s="12" t="s">
        <v>106</v>
      </c>
      <c r="I17" s="12" t="s">
        <v>122</v>
      </c>
      <c r="J17" s="14" t="n">
        <v>46231</v>
      </c>
      <c r="K17" s="13" t="s">
        <v>3083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1790</v>
      </c>
      <c r="B18" s="12" t="s">
        <v>3084</v>
      </c>
      <c r="C18" s="12" t="s">
        <v>21</v>
      </c>
      <c r="D18" s="13" t="s">
        <v>3085</v>
      </c>
      <c r="E18" s="12" t="s">
        <v>144</v>
      </c>
      <c r="F18" s="12" t="s">
        <v>164</v>
      </c>
      <c r="G18" s="13" t="s">
        <v>3086</v>
      </c>
      <c r="H18" s="12" t="s">
        <v>108</v>
      </c>
      <c r="I18" s="12" t="s">
        <v>123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1794</v>
      </c>
      <c r="B19" s="12" t="s">
        <v>3087</v>
      </c>
      <c r="C19" s="12" t="s">
        <v>33</v>
      </c>
      <c r="D19" s="13" t="s">
        <v>3088</v>
      </c>
      <c r="E19" s="12" t="s">
        <v>144</v>
      </c>
      <c r="F19" s="12" t="s">
        <v>169</v>
      </c>
      <c r="G19" s="13" t="s">
        <v>3077</v>
      </c>
      <c r="H19" s="12" t="s">
        <v>108</v>
      </c>
      <c r="I19" s="12" t="s">
        <v>123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1798</v>
      </c>
      <c r="B20" s="12" t="s">
        <v>3089</v>
      </c>
      <c r="C20" s="12" t="s">
        <v>3090</v>
      </c>
      <c r="D20" s="13" t="s">
        <v>3091</v>
      </c>
      <c r="E20" s="12" t="s">
        <v>144</v>
      </c>
      <c r="F20" s="12" t="s">
        <v>164</v>
      </c>
      <c r="G20" s="13" t="s">
        <v>3070</v>
      </c>
      <c r="H20" s="12" t="s">
        <v>108</v>
      </c>
      <c r="I20" s="12" t="s">
        <v>123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1802</v>
      </c>
      <c r="B21" s="12" t="s">
        <v>3092</v>
      </c>
      <c r="C21" s="12" t="s">
        <v>3093</v>
      </c>
      <c r="D21" s="13" t="s">
        <v>3094</v>
      </c>
      <c r="E21" s="12" t="s">
        <v>144</v>
      </c>
      <c r="F21" s="12" t="s">
        <v>164</v>
      </c>
      <c r="G21" s="13" t="s">
        <v>3070</v>
      </c>
      <c r="H21" s="12" t="s">
        <v>108</v>
      </c>
      <c r="I21" s="12" t="s">
        <v>123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1806</v>
      </c>
      <c r="B22" s="12" t="s">
        <v>3095</v>
      </c>
      <c r="C22" s="12" t="s">
        <v>3093</v>
      </c>
      <c r="D22" s="13" t="s">
        <v>3096</v>
      </c>
      <c r="E22" s="12" t="s">
        <v>144</v>
      </c>
      <c r="F22" s="12" t="s">
        <v>169</v>
      </c>
      <c r="G22" s="13" t="s">
        <v>3077</v>
      </c>
      <c r="H22" s="12" t="s">
        <v>108</v>
      </c>
      <c r="I22" s="12" t="s">
        <v>123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1808</v>
      </c>
      <c r="B23" s="12" t="s">
        <v>1595</v>
      </c>
      <c r="C23" s="12" t="s">
        <v>3097</v>
      </c>
      <c r="D23" s="13" t="s">
        <v>3098</v>
      </c>
      <c r="E23" s="12" t="s">
        <v>144</v>
      </c>
      <c r="F23" s="12" t="s">
        <v>169</v>
      </c>
      <c r="G23" s="13" t="s">
        <v>3099</v>
      </c>
      <c r="H23" s="12" t="s">
        <v>108</v>
      </c>
      <c r="I23" s="12" t="s">
        <v>123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1811</v>
      </c>
      <c r="B24" s="12" t="s">
        <v>2046</v>
      </c>
      <c r="C24" s="12" t="s">
        <v>3100</v>
      </c>
      <c r="D24" s="13" t="s">
        <v>3101</v>
      </c>
      <c r="E24" s="12" t="s">
        <v>144</v>
      </c>
      <c r="F24" s="12" t="s">
        <v>169</v>
      </c>
      <c r="G24" s="13" t="s">
        <v>3077</v>
      </c>
      <c r="H24" s="12" t="s">
        <v>108</v>
      </c>
      <c r="I24" s="12" t="s">
        <v>123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1813</v>
      </c>
      <c r="B25" s="12" t="s">
        <v>192</v>
      </c>
      <c r="C25" s="12" t="s">
        <v>3081</v>
      </c>
      <c r="D25" s="13" t="s">
        <v>3102</v>
      </c>
      <c r="E25" s="12" t="s">
        <v>144</v>
      </c>
      <c r="F25" s="12" t="s">
        <v>164</v>
      </c>
      <c r="G25" s="13" t="s">
        <v>3103</v>
      </c>
      <c r="H25" s="12" t="s">
        <v>108</v>
      </c>
      <c r="I25" s="12" t="s">
        <v>123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1815</v>
      </c>
      <c r="B26" s="12" t="s">
        <v>183</v>
      </c>
      <c r="C26" s="12" t="s">
        <v>813</v>
      </c>
      <c r="D26" s="13" t="s">
        <v>3104</v>
      </c>
      <c r="E26" s="12" t="s">
        <v>144</v>
      </c>
      <c r="F26" s="12" t="s">
        <v>169</v>
      </c>
      <c r="G26" s="13" t="s">
        <v>3077</v>
      </c>
      <c r="H26" s="12" t="s">
        <v>108</v>
      </c>
      <c r="I26" s="12" t="s">
        <v>123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1818</v>
      </c>
      <c r="B27" s="12" t="s">
        <v>2544</v>
      </c>
      <c r="C27" s="12" t="s">
        <v>3081</v>
      </c>
      <c r="D27" s="13" t="s">
        <v>3105</v>
      </c>
      <c r="E27" s="12" t="s">
        <v>144</v>
      </c>
      <c r="F27" s="12" t="s">
        <v>179</v>
      </c>
      <c r="G27" s="13" t="s">
        <v>3106</v>
      </c>
      <c r="H27" s="12" t="s">
        <v>106</v>
      </c>
      <c r="I27" s="12" t="s">
        <v>122</v>
      </c>
      <c r="J27" s="14" t="n">
        <v>46231</v>
      </c>
      <c r="K27" s="13" t="s">
        <v>3107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1822</v>
      </c>
      <c r="B28" s="12" t="s">
        <v>172</v>
      </c>
      <c r="C28" s="12" t="s">
        <v>1197</v>
      </c>
      <c r="D28" s="13" t="s">
        <v>3108</v>
      </c>
      <c r="E28" s="12" t="s">
        <v>144</v>
      </c>
      <c r="F28" s="12" t="s">
        <v>174</v>
      </c>
      <c r="G28" s="13" t="s">
        <v>3077</v>
      </c>
      <c r="H28" s="12" t="s">
        <v>108</v>
      </c>
      <c r="I28" s="12" t="s">
        <v>123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1825</v>
      </c>
      <c r="B29" s="12" t="s">
        <v>1878</v>
      </c>
      <c r="C29" s="12" t="s">
        <v>1197</v>
      </c>
      <c r="D29" s="13" t="s">
        <v>3109</v>
      </c>
      <c r="E29" s="12" t="s">
        <v>144</v>
      </c>
      <c r="F29" s="12" t="s">
        <v>179</v>
      </c>
      <c r="G29" s="13" t="s">
        <v>3079</v>
      </c>
      <c r="H29" s="12" t="s">
        <v>106</v>
      </c>
      <c r="I29" s="12" t="s">
        <v>122</v>
      </c>
      <c r="J29" s="14" t="n">
        <v>46231</v>
      </c>
      <c r="K29" s="13" t="s">
        <v>3034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1828</v>
      </c>
      <c r="B30" s="12" t="s">
        <v>2493</v>
      </c>
      <c r="C30" s="12" t="s">
        <v>1197</v>
      </c>
      <c r="D30" s="13" t="s">
        <v>3110</v>
      </c>
      <c r="E30" s="12" t="s">
        <v>144</v>
      </c>
      <c r="F30" s="12" t="s">
        <v>179</v>
      </c>
      <c r="G30" s="13" t="s">
        <v>3111</v>
      </c>
      <c r="H30" s="12" t="s">
        <v>106</v>
      </c>
      <c r="I30" s="12" t="s">
        <v>122</v>
      </c>
      <c r="J30" s="14" t="n">
        <v>46231</v>
      </c>
      <c r="K30" s="13" t="s">
        <v>3112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1830</v>
      </c>
      <c r="B31" s="12" t="s">
        <v>1543</v>
      </c>
      <c r="C31" s="12" t="s">
        <v>1197</v>
      </c>
      <c r="D31" s="13" t="s">
        <v>3113</v>
      </c>
      <c r="E31" s="12" t="s">
        <v>144</v>
      </c>
      <c r="F31" s="12" t="s">
        <v>2625</v>
      </c>
      <c r="G31" s="13" t="s">
        <v>3114</v>
      </c>
      <c r="H31" s="12" t="s">
        <v>108</v>
      </c>
      <c r="I31" s="12" t="s">
        <v>123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3115</v>
      </c>
      <c r="B32" s="12" t="s">
        <v>632</v>
      </c>
      <c r="C32" s="12" t="s">
        <v>1197</v>
      </c>
      <c r="D32" s="13" t="s">
        <v>3116</v>
      </c>
      <c r="E32" s="12" t="s">
        <v>144</v>
      </c>
      <c r="F32" s="12" t="s">
        <v>634</v>
      </c>
      <c r="G32" s="13" t="s">
        <v>3117</v>
      </c>
      <c r="H32" s="12" t="s">
        <v>108</v>
      </c>
      <c r="I32" s="12" t="s">
        <v>123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3118</v>
      </c>
      <c r="B33" s="12" t="s">
        <v>2399</v>
      </c>
      <c r="C33" s="12" t="s">
        <v>2623</v>
      </c>
      <c r="D33" s="13" t="s">
        <v>3119</v>
      </c>
      <c r="E33" s="12" t="s">
        <v>144</v>
      </c>
      <c r="F33" s="12" t="s">
        <v>2625</v>
      </c>
      <c r="G33" s="13" t="s">
        <v>3120</v>
      </c>
      <c r="H33" s="12" t="s">
        <v>108</v>
      </c>
      <c r="I33" s="12" t="s">
        <v>123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3121</v>
      </c>
      <c r="B34" s="12" t="s">
        <v>206</v>
      </c>
      <c r="C34" s="12" t="s">
        <v>2628</v>
      </c>
      <c r="D34" s="13" t="s">
        <v>3122</v>
      </c>
      <c r="E34" s="12" t="s">
        <v>144</v>
      </c>
      <c r="F34" s="12" t="s">
        <v>2625</v>
      </c>
      <c r="G34" s="13" t="s">
        <v>3123</v>
      </c>
      <c r="H34" s="12" t="s">
        <v>108</v>
      </c>
      <c r="I34" s="12" t="s">
        <v>123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3124</v>
      </c>
      <c r="B35" s="12" t="s">
        <v>210</v>
      </c>
      <c r="C35" s="12" t="s">
        <v>1197</v>
      </c>
      <c r="D35" s="13" t="s">
        <v>3125</v>
      </c>
      <c r="E35" s="12" t="s">
        <v>212</v>
      </c>
      <c r="F35" s="12" t="s">
        <v>212</v>
      </c>
      <c r="G35" s="13" t="s">
        <v>213</v>
      </c>
      <c r="H35" s="12" t="s">
        <v>108</v>
      </c>
      <c r="I35" s="12" t="s">
        <v>123</v>
      </c>
      <c r="J35" s="14" t="n">
        <v>46231</v>
      </c>
      <c r="K35" s="13" t="s">
        <v>3126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3127</v>
      </c>
      <c r="B36" s="12" t="s">
        <v>177</v>
      </c>
      <c r="C36" s="12" t="s">
        <v>1197</v>
      </c>
      <c r="D36" s="13" t="s">
        <v>3128</v>
      </c>
      <c r="E36" s="12" t="s">
        <v>144</v>
      </c>
      <c r="F36" s="12" t="s">
        <v>179</v>
      </c>
      <c r="G36" s="13" t="s">
        <v>3079</v>
      </c>
      <c r="H36" s="12" t="s">
        <v>106</v>
      </c>
      <c r="I36" s="12" t="s">
        <v>122</v>
      </c>
      <c r="J36" s="14" t="n">
        <v>46231</v>
      </c>
      <c r="K36" s="13" t="s">
        <v>3057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3129</v>
      </c>
      <c r="B37" s="12" t="s">
        <v>197</v>
      </c>
      <c r="C37" s="12" t="s">
        <v>1197</v>
      </c>
      <c r="D37" s="13" t="s">
        <v>3130</v>
      </c>
      <c r="E37" s="12" t="s">
        <v>144</v>
      </c>
      <c r="F37" s="12" t="s">
        <v>185</v>
      </c>
      <c r="G37" s="13" t="s">
        <v>3131</v>
      </c>
      <c r="H37" s="12" t="s">
        <v>102</v>
      </c>
      <c r="I37" s="12" t="s">
        <v>122</v>
      </c>
      <c r="J37" s="14"/>
      <c r="K37" s="13" t="s">
        <v>1821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3132</v>
      </c>
      <c r="B38" s="12" t="s">
        <v>215</v>
      </c>
      <c r="C38" s="12" t="s">
        <v>2641</v>
      </c>
      <c r="D38" s="13" t="s">
        <v>3133</v>
      </c>
      <c r="E38" s="12" t="s">
        <v>144</v>
      </c>
      <c r="F38" s="12" t="s">
        <v>144</v>
      </c>
      <c r="G38" s="13" t="s">
        <v>2565</v>
      </c>
      <c r="H38" s="12" t="s">
        <v>108</v>
      </c>
      <c r="I38" s="12" t="s">
        <v>123</v>
      </c>
      <c r="J38" s="14" t="n">
        <v>46231</v>
      </c>
      <c r="K38" s="13" t="s">
        <v>3134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126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3137</v>
      </c>
      <c r="B9" s="12" t="s">
        <v>100</v>
      </c>
      <c r="C9" s="12" t="s">
        <v>1197</v>
      </c>
      <c r="D9" s="13" t="s">
        <v>3138</v>
      </c>
      <c r="E9" s="12" t="s">
        <v>144</v>
      </c>
      <c r="F9" s="12" t="s">
        <v>145</v>
      </c>
      <c r="G9" s="13" t="s">
        <v>3139</v>
      </c>
      <c r="H9" s="12" t="s">
        <v>108</v>
      </c>
      <c r="I9" s="12" t="s">
        <v>123</v>
      </c>
      <c r="J9" s="14" t="n">
        <v>46231</v>
      </c>
      <c r="K9" s="13" t="s">
        <v>3068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3140</v>
      </c>
      <c r="B10" s="12" t="s">
        <v>2412</v>
      </c>
      <c r="C10" s="12" t="s">
        <v>2421</v>
      </c>
      <c r="D10" s="13" t="s">
        <v>3141</v>
      </c>
      <c r="E10" s="12" t="s">
        <v>144</v>
      </c>
      <c r="F10" s="12" t="s">
        <v>164</v>
      </c>
      <c r="G10" s="13" t="s">
        <v>3142</v>
      </c>
      <c r="H10" s="12" t="s">
        <v>108</v>
      </c>
      <c r="I10" s="12" t="s">
        <v>123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3143</v>
      </c>
      <c r="B11" s="12" t="s">
        <v>1355</v>
      </c>
      <c r="C11" s="12" t="s">
        <v>3144</v>
      </c>
      <c r="D11" s="13" t="s">
        <v>3145</v>
      </c>
      <c r="E11" s="12" t="s">
        <v>144</v>
      </c>
      <c r="F11" s="12" t="s">
        <v>164</v>
      </c>
      <c r="G11" s="13" t="s">
        <v>3142</v>
      </c>
      <c r="H11" s="12" t="s">
        <v>108</v>
      </c>
      <c r="I11" s="12" t="s">
        <v>123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3146</v>
      </c>
      <c r="B12" s="12" t="s">
        <v>152</v>
      </c>
      <c r="C12" s="12" t="s">
        <v>2421</v>
      </c>
      <c r="D12" s="13" t="s">
        <v>3147</v>
      </c>
      <c r="E12" s="12" t="s">
        <v>144</v>
      </c>
      <c r="F12" s="12" t="s">
        <v>154</v>
      </c>
      <c r="G12" s="13" t="s">
        <v>3148</v>
      </c>
      <c r="H12" s="12" t="s">
        <v>108</v>
      </c>
      <c r="I12" s="12" t="s">
        <v>123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3149</v>
      </c>
      <c r="B13" s="12" t="s">
        <v>148</v>
      </c>
      <c r="C13" s="12" t="s">
        <v>1197</v>
      </c>
      <c r="D13" s="13" t="s">
        <v>3150</v>
      </c>
      <c r="E13" s="12" t="s">
        <v>144</v>
      </c>
      <c r="F13" s="12" t="s">
        <v>144</v>
      </c>
      <c r="G13" s="13" t="s">
        <v>150</v>
      </c>
      <c r="H13" s="12" t="s">
        <v>108</v>
      </c>
      <c r="I13" s="12" t="s">
        <v>123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3151</v>
      </c>
      <c r="B14" s="12" t="s">
        <v>1323</v>
      </c>
      <c r="C14" s="12" t="s">
        <v>1197</v>
      </c>
      <c r="D14" s="13" t="s">
        <v>3152</v>
      </c>
      <c r="E14" s="12" t="s">
        <v>144</v>
      </c>
      <c r="F14" s="12" t="s">
        <v>144</v>
      </c>
      <c r="G14" s="13" t="s">
        <v>1325</v>
      </c>
      <c r="H14" s="12" t="s">
        <v>108</v>
      </c>
      <c r="I14" s="12" t="s">
        <v>123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3153</v>
      </c>
      <c r="B15" s="12" t="s">
        <v>1588</v>
      </c>
      <c r="C15" s="12" t="s">
        <v>813</v>
      </c>
      <c r="D15" s="13" t="s">
        <v>3154</v>
      </c>
      <c r="E15" s="12" t="s">
        <v>144</v>
      </c>
      <c r="F15" s="12" t="s">
        <v>169</v>
      </c>
      <c r="G15" s="13" t="s">
        <v>3155</v>
      </c>
      <c r="H15" s="12" t="s">
        <v>108</v>
      </c>
      <c r="I15" s="12" t="s">
        <v>123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3156</v>
      </c>
      <c r="B16" s="12" t="s">
        <v>1705</v>
      </c>
      <c r="C16" s="12" t="s">
        <v>813</v>
      </c>
      <c r="D16" s="13" t="s">
        <v>3157</v>
      </c>
      <c r="E16" s="12" t="s">
        <v>144</v>
      </c>
      <c r="F16" s="12" t="s">
        <v>179</v>
      </c>
      <c r="G16" s="13" t="s">
        <v>3158</v>
      </c>
      <c r="H16" s="12" t="s">
        <v>106</v>
      </c>
      <c r="I16" s="12" t="s">
        <v>122</v>
      </c>
      <c r="J16" s="14" t="n">
        <v>46231</v>
      </c>
      <c r="K16" s="13" t="s">
        <v>3080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3159</v>
      </c>
      <c r="B17" s="12" t="s">
        <v>3160</v>
      </c>
      <c r="C17" s="12" t="s">
        <v>813</v>
      </c>
      <c r="D17" s="13" t="s">
        <v>3161</v>
      </c>
      <c r="E17" s="12" t="s">
        <v>144</v>
      </c>
      <c r="F17" s="12" t="s">
        <v>179</v>
      </c>
      <c r="G17" s="13" t="s">
        <v>3158</v>
      </c>
      <c r="H17" s="12" t="s">
        <v>106</v>
      </c>
      <c r="I17" s="12" t="s">
        <v>122</v>
      </c>
      <c r="J17" s="14" t="n">
        <v>46231</v>
      </c>
      <c r="K17" s="13" t="s">
        <v>3162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3163</v>
      </c>
      <c r="B18" s="12" t="s">
        <v>1710</v>
      </c>
      <c r="C18" s="12" t="s">
        <v>3164</v>
      </c>
      <c r="D18" s="13" t="s">
        <v>3165</v>
      </c>
      <c r="E18" s="12" t="s">
        <v>144</v>
      </c>
      <c r="F18" s="12" t="s">
        <v>179</v>
      </c>
      <c r="G18" s="13" t="s">
        <v>3166</v>
      </c>
      <c r="H18" s="12" t="s">
        <v>106</v>
      </c>
      <c r="I18" s="12" t="s">
        <v>122</v>
      </c>
      <c r="J18" s="14" t="n">
        <v>46231</v>
      </c>
      <c r="K18" s="13" t="s">
        <v>3167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3168</v>
      </c>
      <c r="B19" s="12" t="s">
        <v>3169</v>
      </c>
      <c r="C19" s="12" t="s">
        <v>813</v>
      </c>
      <c r="D19" s="13" t="s">
        <v>3170</v>
      </c>
      <c r="E19" s="12" t="s">
        <v>144</v>
      </c>
      <c r="F19" s="12" t="s">
        <v>179</v>
      </c>
      <c r="G19" s="13" t="s">
        <v>3158</v>
      </c>
      <c r="H19" s="12" t="s">
        <v>106</v>
      </c>
      <c r="I19" s="12" t="s">
        <v>122</v>
      </c>
      <c r="J19" s="14" t="n">
        <v>46231</v>
      </c>
      <c r="K19" s="13" t="s">
        <v>3171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3172</v>
      </c>
      <c r="B20" s="12" t="s">
        <v>3173</v>
      </c>
      <c r="C20" s="12" t="s">
        <v>3173</v>
      </c>
      <c r="D20" s="13" t="s">
        <v>3174</v>
      </c>
      <c r="E20" s="12" t="s">
        <v>144</v>
      </c>
      <c r="F20" s="12" t="s">
        <v>169</v>
      </c>
      <c r="G20" s="13" t="s">
        <v>3155</v>
      </c>
      <c r="H20" s="12" t="s">
        <v>108</v>
      </c>
      <c r="I20" s="12" t="s">
        <v>123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3175</v>
      </c>
      <c r="B21" s="12" t="s">
        <v>3176</v>
      </c>
      <c r="C21" s="12" t="s">
        <v>3177</v>
      </c>
      <c r="D21" s="13" t="s">
        <v>3178</v>
      </c>
      <c r="E21" s="12" t="s">
        <v>144</v>
      </c>
      <c r="F21" s="12" t="s">
        <v>179</v>
      </c>
      <c r="G21" s="13" t="s">
        <v>3158</v>
      </c>
      <c r="H21" s="12" t="s">
        <v>106</v>
      </c>
      <c r="I21" s="12" t="s">
        <v>122</v>
      </c>
      <c r="J21" s="14" t="n">
        <v>46231</v>
      </c>
      <c r="K21" s="13" t="s">
        <v>3179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3180</v>
      </c>
      <c r="B22" s="12" t="s">
        <v>3181</v>
      </c>
      <c r="C22" s="12" t="s">
        <v>3182</v>
      </c>
      <c r="D22" s="13" t="s">
        <v>3183</v>
      </c>
      <c r="E22" s="12" t="s">
        <v>144</v>
      </c>
      <c r="F22" s="12" t="s">
        <v>169</v>
      </c>
      <c r="G22" s="13" t="s">
        <v>3155</v>
      </c>
      <c r="H22" s="12" t="s">
        <v>108</v>
      </c>
      <c r="I22" s="12" t="s">
        <v>123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3184</v>
      </c>
      <c r="B23" s="12" t="s">
        <v>2287</v>
      </c>
      <c r="C23" s="12" t="s">
        <v>3182</v>
      </c>
      <c r="D23" s="13" t="s">
        <v>3185</v>
      </c>
      <c r="E23" s="12" t="s">
        <v>144</v>
      </c>
      <c r="F23" s="12" t="s">
        <v>164</v>
      </c>
      <c r="G23" s="13" t="s">
        <v>3186</v>
      </c>
      <c r="H23" s="12" t="s">
        <v>108</v>
      </c>
      <c r="I23" s="12" t="s">
        <v>123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3187</v>
      </c>
      <c r="B24" s="12" t="s">
        <v>192</v>
      </c>
      <c r="C24" s="12" t="s">
        <v>1197</v>
      </c>
      <c r="D24" s="13" t="s">
        <v>3188</v>
      </c>
      <c r="E24" s="12" t="s">
        <v>144</v>
      </c>
      <c r="F24" s="12" t="s">
        <v>164</v>
      </c>
      <c r="G24" s="13" t="s">
        <v>3142</v>
      </c>
      <c r="H24" s="12" t="s">
        <v>108</v>
      </c>
      <c r="I24" s="12" t="s">
        <v>123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3189</v>
      </c>
      <c r="B25" s="12" t="s">
        <v>183</v>
      </c>
      <c r="C25" s="12" t="s">
        <v>3177</v>
      </c>
      <c r="D25" s="13" t="s">
        <v>3190</v>
      </c>
      <c r="E25" s="12" t="s">
        <v>144</v>
      </c>
      <c r="F25" s="12" t="s">
        <v>169</v>
      </c>
      <c r="G25" s="13" t="s">
        <v>3155</v>
      </c>
      <c r="H25" s="12" t="s">
        <v>108</v>
      </c>
      <c r="I25" s="12" t="s">
        <v>123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3191</v>
      </c>
      <c r="B26" s="12" t="s">
        <v>2597</v>
      </c>
      <c r="C26" s="12" t="s">
        <v>3177</v>
      </c>
      <c r="D26" s="13" t="s">
        <v>3192</v>
      </c>
      <c r="E26" s="12" t="s">
        <v>144</v>
      </c>
      <c r="F26" s="12" t="s">
        <v>179</v>
      </c>
      <c r="G26" s="13" t="s">
        <v>3166</v>
      </c>
      <c r="H26" s="12" t="s">
        <v>106</v>
      </c>
      <c r="I26" s="12" t="s">
        <v>122</v>
      </c>
      <c r="J26" s="14" t="n">
        <v>46231</v>
      </c>
      <c r="K26" s="13" t="s">
        <v>3193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3194</v>
      </c>
      <c r="B27" s="12" t="s">
        <v>2544</v>
      </c>
      <c r="C27" s="12" t="s">
        <v>1197</v>
      </c>
      <c r="D27" s="13" t="s">
        <v>3195</v>
      </c>
      <c r="E27" s="12" t="s">
        <v>144</v>
      </c>
      <c r="F27" s="12" t="s">
        <v>179</v>
      </c>
      <c r="G27" s="13" t="s">
        <v>3166</v>
      </c>
      <c r="H27" s="12" t="s">
        <v>106</v>
      </c>
      <c r="I27" s="12" t="s">
        <v>122</v>
      </c>
      <c r="J27" s="14" t="n">
        <v>46231</v>
      </c>
      <c r="K27" s="13" t="s">
        <v>3196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3197</v>
      </c>
      <c r="B28" s="12" t="s">
        <v>172</v>
      </c>
      <c r="C28" s="12" t="s">
        <v>1197</v>
      </c>
      <c r="D28" s="13" t="s">
        <v>3198</v>
      </c>
      <c r="E28" s="12" t="s">
        <v>144</v>
      </c>
      <c r="F28" s="12" t="s">
        <v>174</v>
      </c>
      <c r="G28" s="13" t="s">
        <v>3155</v>
      </c>
      <c r="H28" s="12" t="s">
        <v>108</v>
      </c>
      <c r="I28" s="12" t="s">
        <v>123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3199</v>
      </c>
      <c r="B29" s="12" t="s">
        <v>1878</v>
      </c>
      <c r="C29" s="12" t="s">
        <v>1197</v>
      </c>
      <c r="D29" s="13" t="s">
        <v>3200</v>
      </c>
      <c r="E29" s="12" t="s">
        <v>144</v>
      </c>
      <c r="F29" s="12" t="s">
        <v>179</v>
      </c>
      <c r="G29" s="13" t="s">
        <v>3158</v>
      </c>
      <c r="H29" s="12" t="s">
        <v>106</v>
      </c>
      <c r="I29" s="12" t="s">
        <v>122</v>
      </c>
      <c r="J29" s="14" t="n">
        <v>46231</v>
      </c>
      <c r="K29" s="13" t="s">
        <v>3034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3201</v>
      </c>
      <c r="B30" s="12" t="s">
        <v>2493</v>
      </c>
      <c r="C30" s="12" t="s">
        <v>1197</v>
      </c>
      <c r="D30" s="13" t="s">
        <v>3202</v>
      </c>
      <c r="E30" s="12" t="s">
        <v>144</v>
      </c>
      <c r="F30" s="12" t="s">
        <v>185</v>
      </c>
      <c r="G30" s="13" t="s">
        <v>3203</v>
      </c>
      <c r="H30" s="12" t="s">
        <v>106</v>
      </c>
      <c r="I30" s="12" t="s">
        <v>122</v>
      </c>
      <c r="J30" s="14" t="n">
        <v>46231</v>
      </c>
      <c r="K30" s="13" t="s">
        <v>3204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3205</v>
      </c>
      <c r="B31" s="12" t="s">
        <v>1543</v>
      </c>
      <c r="C31" s="12" t="s">
        <v>1197</v>
      </c>
      <c r="D31" s="13" t="s">
        <v>3206</v>
      </c>
      <c r="E31" s="12" t="s">
        <v>144</v>
      </c>
      <c r="F31" s="12" t="s">
        <v>2625</v>
      </c>
      <c r="G31" s="13" t="s">
        <v>3207</v>
      </c>
      <c r="H31" s="12" t="s">
        <v>108</v>
      </c>
      <c r="I31" s="12" t="s">
        <v>123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3208</v>
      </c>
      <c r="B32" s="12" t="s">
        <v>2719</v>
      </c>
      <c r="C32" s="12" t="s">
        <v>3209</v>
      </c>
      <c r="D32" s="13" t="s">
        <v>3210</v>
      </c>
      <c r="E32" s="12" t="s">
        <v>144</v>
      </c>
      <c r="F32" s="12" t="s">
        <v>2625</v>
      </c>
      <c r="G32" s="13" t="s">
        <v>3207</v>
      </c>
      <c r="H32" s="12" t="s">
        <v>108</v>
      </c>
      <c r="I32" s="12" t="s">
        <v>123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3211</v>
      </c>
      <c r="B33" s="12" t="s">
        <v>632</v>
      </c>
      <c r="C33" s="12" t="s">
        <v>1197</v>
      </c>
      <c r="D33" s="13" t="s">
        <v>3212</v>
      </c>
      <c r="E33" s="12" t="s">
        <v>144</v>
      </c>
      <c r="F33" s="12" t="s">
        <v>634</v>
      </c>
      <c r="G33" s="13" t="s">
        <v>3213</v>
      </c>
      <c r="H33" s="12" t="s">
        <v>108</v>
      </c>
      <c r="I33" s="12" t="s">
        <v>123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3214</v>
      </c>
      <c r="B34" s="12" t="s">
        <v>2399</v>
      </c>
      <c r="C34" s="12" t="s">
        <v>2623</v>
      </c>
      <c r="D34" s="13" t="s">
        <v>3215</v>
      </c>
      <c r="E34" s="12" t="s">
        <v>144</v>
      </c>
      <c r="F34" s="12" t="s">
        <v>2625</v>
      </c>
      <c r="G34" s="13" t="s">
        <v>3216</v>
      </c>
      <c r="H34" s="12" t="s">
        <v>108</v>
      </c>
      <c r="I34" s="12" t="s">
        <v>123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3217</v>
      </c>
      <c r="B35" s="12" t="s">
        <v>206</v>
      </c>
      <c r="C35" s="12" t="s">
        <v>2628</v>
      </c>
      <c r="D35" s="13" t="s">
        <v>3218</v>
      </c>
      <c r="E35" s="12" t="s">
        <v>144</v>
      </c>
      <c r="F35" s="12" t="s">
        <v>2625</v>
      </c>
      <c r="G35" s="13" t="s">
        <v>3219</v>
      </c>
      <c r="H35" s="12" t="s">
        <v>108</v>
      </c>
      <c r="I35" s="12" t="s">
        <v>123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3220</v>
      </c>
      <c r="B36" s="12" t="s">
        <v>210</v>
      </c>
      <c r="C36" s="12" t="s">
        <v>1197</v>
      </c>
      <c r="D36" s="13" t="s">
        <v>3221</v>
      </c>
      <c r="E36" s="12" t="s">
        <v>212</v>
      </c>
      <c r="F36" s="12" t="s">
        <v>212</v>
      </c>
      <c r="G36" s="13" t="s">
        <v>213</v>
      </c>
      <c r="H36" s="12" t="s">
        <v>108</v>
      </c>
      <c r="I36" s="12" t="s">
        <v>123</v>
      </c>
      <c r="J36" s="14" t="n">
        <v>46231</v>
      </c>
      <c r="K36" s="13" t="s">
        <v>3126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3222</v>
      </c>
      <c r="B37" s="12" t="s">
        <v>177</v>
      </c>
      <c r="C37" s="12" t="s">
        <v>1197</v>
      </c>
      <c r="D37" s="13" t="s">
        <v>3223</v>
      </c>
      <c r="E37" s="12" t="s">
        <v>144</v>
      </c>
      <c r="F37" s="12" t="s">
        <v>179</v>
      </c>
      <c r="G37" s="13" t="s">
        <v>3158</v>
      </c>
      <c r="H37" s="12" t="s">
        <v>106</v>
      </c>
      <c r="I37" s="12" t="s">
        <v>122</v>
      </c>
      <c r="J37" s="14" t="n">
        <v>46231</v>
      </c>
      <c r="K37" s="13" t="s">
        <v>3057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3224</v>
      </c>
      <c r="B38" s="12" t="s">
        <v>197</v>
      </c>
      <c r="C38" s="12" t="s">
        <v>1197</v>
      </c>
      <c r="D38" s="13" t="s">
        <v>3225</v>
      </c>
      <c r="E38" s="12" t="s">
        <v>144</v>
      </c>
      <c r="F38" s="12" t="s">
        <v>185</v>
      </c>
      <c r="G38" s="13" t="s">
        <v>3203</v>
      </c>
      <c r="H38" s="12" t="s">
        <v>102</v>
      </c>
      <c r="I38" s="12" t="s">
        <v>122</v>
      </c>
      <c r="J38" s="14"/>
      <c r="K38" s="13" t="s">
        <v>1821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3226</v>
      </c>
      <c r="B39" s="12" t="s">
        <v>215</v>
      </c>
      <c r="C39" s="12" t="s">
        <v>2641</v>
      </c>
      <c r="D39" s="13" t="s">
        <v>3227</v>
      </c>
      <c r="E39" s="12" t="s">
        <v>144</v>
      </c>
      <c r="F39" s="12" t="s">
        <v>144</v>
      </c>
      <c r="G39" s="13" t="s">
        <v>2565</v>
      </c>
      <c r="H39" s="12" t="s">
        <v>108</v>
      </c>
      <c r="I39" s="12" t="s">
        <v>123</v>
      </c>
      <c r="J39" s="14" t="n">
        <v>46231</v>
      </c>
      <c r="K39" s="13" t="s">
        <v>3228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126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127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1094</v>
      </c>
      <c r="B9" s="12" t="s">
        <v>141</v>
      </c>
      <c r="C9" s="12" t="s">
        <v>3231</v>
      </c>
      <c r="D9" s="13" t="s">
        <v>3232</v>
      </c>
      <c r="E9" s="12" t="s">
        <v>144</v>
      </c>
      <c r="F9" s="12" t="s">
        <v>145</v>
      </c>
      <c r="G9" s="13" t="s">
        <v>3233</v>
      </c>
      <c r="H9" s="12" t="s">
        <v>108</v>
      </c>
      <c r="I9" s="12" t="s">
        <v>123</v>
      </c>
      <c r="J9" s="14" t="s">
        <v>3234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1098</v>
      </c>
      <c r="B10" s="12" t="s">
        <v>1355</v>
      </c>
      <c r="C10" s="12" t="s">
        <v>1197</v>
      </c>
      <c r="D10" s="13" t="s">
        <v>3235</v>
      </c>
      <c r="E10" s="12" t="s">
        <v>144</v>
      </c>
      <c r="F10" s="12" t="s">
        <v>164</v>
      </c>
      <c r="G10" s="13" t="s">
        <v>3236</v>
      </c>
      <c r="H10" s="12" t="s">
        <v>108</v>
      </c>
      <c r="I10" s="12" t="s">
        <v>123</v>
      </c>
      <c r="J10" s="14" t="s">
        <v>3234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1102</v>
      </c>
      <c r="B11" s="12" t="s">
        <v>148</v>
      </c>
      <c r="C11" s="12" t="s">
        <v>78</v>
      </c>
      <c r="D11" s="13" t="s">
        <v>3237</v>
      </c>
      <c r="E11" s="12" t="s">
        <v>144</v>
      </c>
      <c r="F11" s="12" t="s">
        <v>144</v>
      </c>
      <c r="G11" s="13" t="s">
        <v>150</v>
      </c>
      <c r="H11" s="12" t="s">
        <v>108</v>
      </c>
      <c r="I11" s="12" t="s">
        <v>123</v>
      </c>
      <c r="J11" s="14" t="s">
        <v>3234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1106</v>
      </c>
      <c r="B12" s="12" t="s">
        <v>152</v>
      </c>
      <c r="C12" s="12" t="s">
        <v>1402</v>
      </c>
      <c r="D12" s="13" t="s">
        <v>3238</v>
      </c>
      <c r="E12" s="12" t="s">
        <v>144</v>
      </c>
      <c r="F12" s="12" t="s">
        <v>154</v>
      </c>
      <c r="G12" s="13" t="s">
        <v>3239</v>
      </c>
      <c r="H12" s="12" t="s">
        <v>108</v>
      </c>
      <c r="I12" s="12" t="s">
        <v>123</v>
      </c>
      <c r="J12" s="14" t="s">
        <v>3234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1108</v>
      </c>
      <c r="B13" s="12" t="s">
        <v>157</v>
      </c>
      <c r="C13" s="12" t="s">
        <v>3240</v>
      </c>
      <c r="D13" s="13" t="s">
        <v>1406</v>
      </c>
      <c r="E13" s="12" t="s">
        <v>144</v>
      </c>
      <c r="F13" s="12" t="s">
        <v>159</v>
      </c>
      <c r="G13" s="13" t="s">
        <v>3241</v>
      </c>
      <c r="H13" s="12" t="s">
        <v>108</v>
      </c>
      <c r="I13" s="12" t="s">
        <v>123</v>
      </c>
      <c r="J13" s="14" t="s">
        <v>3234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1111</v>
      </c>
      <c r="B14" s="12" t="s">
        <v>3242</v>
      </c>
      <c r="C14" s="12" t="s">
        <v>3243</v>
      </c>
      <c r="D14" s="13" t="s">
        <v>3244</v>
      </c>
      <c r="E14" s="12" t="s">
        <v>169</v>
      </c>
      <c r="F14" s="12" t="s">
        <v>169</v>
      </c>
      <c r="G14" s="13" t="s">
        <v>3245</v>
      </c>
      <c r="H14" s="12" t="s">
        <v>108</v>
      </c>
      <c r="I14" s="12" t="s">
        <v>123</v>
      </c>
      <c r="J14" s="14" t="s">
        <v>3234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1114</v>
      </c>
      <c r="B15" s="12" t="s">
        <v>1931</v>
      </c>
      <c r="C15" s="12" t="s">
        <v>3246</v>
      </c>
      <c r="D15" s="13" t="s">
        <v>3247</v>
      </c>
      <c r="E15" s="12" t="s">
        <v>169</v>
      </c>
      <c r="F15" s="12" t="s">
        <v>169</v>
      </c>
      <c r="G15" s="13" t="s">
        <v>3245</v>
      </c>
      <c r="H15" s="12" t="s">
        <v>108</v>
      </c>
      <c r="I15" s="12" t="s">
        <v>123</v>
      </c>
      <c r="J15" s="14" t="s">
        <v>3234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1117</v>
      </c>
      <c r="B16" s="12" t="s">
        <v>3248</v>
      </c>
      <c r="C16" s="12" t="s">
        <v>3249</v>
      </c>
      <c r="D16" s="13" t="s">
        <v>3250</v>
      </c>
      <c r="E16" s="12" t="s">
        <v>144</v>
      </c>
      <c r="F16" s="12" t="s">
        <v>164</v>
      </c>
      <c r="G16" s="13" t="s">
        <v>3236</v>
      </c>
      <c r="H16" s="12" t="s">
        <v>108</v>
      </c>
      <c r="I16" s="12" t="s">
        <v>123</v>
      </c>
      <c r="J16" s="14" t="s">
        <v>3234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1120</v>
      </c>
      <c r="B17" s="12" t="s">
        <v>1601</v>
      </c>
      <c r="C17" s="12" t="s">
        <v>3251</v>
      </c>
      <c r="D17" s="13" t="s">
        <v>3252</v>
      </c>
      <c r="E17" s="12" t="s">
        <v>2975</v>
      </c>
      <c r="F17" s="12" t="s">
        <v>179</v>
      </c>
      <c r="G17" s="13" t="s">
        <v>3253</v>
      </c>
      <c r="H17" s="12" t="s">
        <v>106</v>
      </c>
      <c r="I17" s="12" t="s">
        <v>122</v>
      </c>
      <c r="J17" s="14" t="s">
        <v>3254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1123</v>
      </c>
      <c r="B18" s="12" t="s">
        <v>1146</v>
      </c>
      <c r="C18" s="12" t="s">
        <v>3255</v>
      </c>
      <c r="D18" s="13" t="s">
        <v>3256</v>
      </c>
      <c r="E18" s="12" t="s">
        <v>169</v>
      </c>
      <c r="F18" s="12" t="s">
        <v>169</v>
      </c>
      <c r="G18" s="13" t="s">
        <v>3245</v>
      </c>
      <c r="H18" s="12" t="s">
        <v>108</v>
      </c>
      <c r="I18" s="12" t="s">
        <v>123</v>
      </c>
      <c r="J18" s="14" t="s">
        <v>3234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1126</v>
      </c>
      <c r="B19" s="12" t="s">
        <v>3257</v>
      </c>
      <c r="C19" s="12" t="s">
        <v>1099</v>
      </c>
      <c r="D19" s="13" t="s">
        <v>3258</v>
      </c>
      <c r="E19" s="12" t="s">
        <v>169</v>
      </c>
      <c r="F19" s="12" t="s">
        <v>169</v>
      </c>
      <c r="G19" s="13" t="s">
        <v>3245</v>
      </c>
      <c r="H19" s="12" t="s">
        <v>108</v>
      </c>
      <c r="I19" s="12" t="s">
        <v>123</v>
      </c>
      <c r="J19" s="14" t="s">
        <v>3234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1128</v>
      </c>
      <c r="B20" s="12" t="s">
        <v>3259</v>
      </c>
      <c r="C20" s="12" t="s">
        <v>1099</v>
      </c>
      <c r="D20" s="13" t="s">
        <v>3260</v>
      </c>
      <c r="E20" s="12" t="s">
        <v>2975</v>
      </c>
      <c r="F20" s="12" t="s">
        <v>185</v>
      </c>
      <c r="G20" s="13" t="s">
        <v>3261</v>
      </c>
      <c r="H20" s="12" t="s">
        <v>106</v>
      </c>
      <c r="I20" s="12" t="s">
        <v>122</v>
      </c>
      <c r="J20" s="14" t="s">
        <v>3254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1131</v>
      </c>
      <c r="B21" s="12" t="s">
        <v>172</v>
      </c>
      <c r="C21" s="12" t="s">
        <v>1197</v>
      </c>
      <c r="D21" s="13" t="s">
        <v>3262</v>
      </c>
      <c r="E21" s="12" t="s">
        <v>169</v>
      </c>
      <c r="F21" s="12" t="s">
        <v>174</v>
      </c>
      <c r="G21" s="13" t="s">
        <v>3245</v>
      </c>
      <c r="H21" s="12" t="s">
        <v>108</v>
      </c>
      <c r="I21" s="12" t="s">
        <v>123</v>
      </c>
      <c r="J21" s="14" t="s">
        <v>3234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1134</v>
      </c>
      <c r="B22" s="12" t="s">
        <v>1878</v>
      </c>
      <c r="C22" s="12" t="s">
        <v>1197</v>
      </c>
      <c r="D22" s="13" t="s">
        <v>3263</v>
      </c>
      <c r="E22" s="12" t="s">
        <v>2975</v>
      </c>
      <c r="F22" s="12" t="s">
        <v>179</v>
      </c>
      <c r="G22" s="13" t="s">
        <v>3253</v>
      </c>
      <c r="H22" s="12" t="s">
        <v>106</v>
      </c>
      <c r="I22" s="12" t="s">
        <v>122</v>
      </c>
      <c r="J22" s="14" t="s">
        <v>3254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1136</v>
      </c>
      <c r="B23" s="12" t="s">
        <v>183</v>
      </c>
      <c r="C23" s="12" t="s">
        <v>3264</v>
      </c>
      <c r="D23" s="13" t="s">
        <v>3265</v>
      </c>
      <c r="E23" s="12" t="s">
        <v>2975</v>
      </c>
      <c r="F23" s="12" t="s">
        <v>185</v>
      </c>
      <c r="G23" s="13" t="s">
        <v>3261</v>
      </c>
      <c r="H23" s="12" t="s">
        <v>106</v>
      </c>
      <c r="I23" s="12" t="s">
        <v>122</v>
      </c>
      <c r="J23" s="14" t="s">
        <v>3254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1138</v>
      </c>
      <c r="B24" s="12" t="s">
        <v>2544</v>
      </c>
      <c r="C24" s="12" t="s">
        <v>3264</v>
      </c>
      <c r="D24" s="13" t="s">
        <v>3266</v>
      </c>
      <c r="E24" s="12" t="s">
        <v>2975</v>
      </c>
      <c r="F24" s="12" t="s">
        <v>179</v>
      </c>
      <c r="G24" s="13" t="s">
        <v>3253</v>
      </c>
      <c r="H24" s="12" t="s">
        <v>106</v>
      </c>
      <c r="I24" s="12" t="s">
        <v>122</v>
      </c>
      <c r="J24" s="14" t="s">
        <v>3254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3267</v>
      </c>
      <c r="B25" s="12" t="s">
        <v>1543</v>
      </c>
      <c r="C25" s="12" t="s">
        <v>3255</v>
      </c>
      <c r="D25" s="13" t="s">
        <v>3268</v>
      </c>
      <c r="E25" s="12" t="s">
        <v>2975</v>
      </c>
      <c r="F25" s="12" t="s">
        <v>185</v>
      </c>
      <c r="G25" s="13" t="s">
        <v>3261</v>
      </c>
      <c r="H25" s="12" t="s">
        <v>106</v>
      </c>
      <c r="I25" s="12" t="s">
        <v>122</v>
      </c>
      <c r="J25" s="14" t="s">
        <v>3254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3269</v>
      </c>
      <c r="B26" s="12" t="s">
        <v>2399</v>
      </c>
      <c r="C26" s="12" t="s">
        <v>78</v>
      </c>
      <c r="D26" s="13" t="s">
        <v>3270</v>
      </c>
      <c r="E26" s="12" t="s">
        <v>144</v>
      </c>
      <c r="F26" s="12" t="s">
        <v>203</v>
      </c>
      <c r="G26" s="13" t="s">
        <v>3271</v>
      </c>
      <c r="H26" s="12" t="s">
        <v>108</v>
      </c>
      <c r="I26" s="12" t="s">
        <v>123</v>
      </c>
      <c r="J26" s="14" t="s">
        <v>3234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3272</v>
      </c>
      <c r="B27" s="12" t="s">
        <v>210</v>
      </c>
      <c r="C27" s="12" t="s">
        <v>78</v>
      </c>
      <c r="D27" s="13" t="s">
        <v>3273</v>
      </c>
      <c r="E27" s="12" t="s">
        <v>212</v>
      </c>
      <c r="F27" s="12" t="s">
        <v>212</v>
      </c>
      <c r="G27" s="13" t="s">
        <v>3274</v>
      </c>
      <c r="H27" s="12" t="s">
        <v>108</v>
      </c>
      <c r="I27" s="12" t="s">
        <v>123</v>
      </c>
      <c r="J27" s="14" t="s">
        <v>3234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3275</v>
      </c>
      <c r="B28" s="12" t="s">
        <v>215</v>
      </c>
      <c r="C28" s="12" t="s">
        <v>78</v>
      </c>
      <c r="D28" s="13" t="s">
        <v>3276</v>
      </c>
      <c r="E28" s="12" t="s">
        <v>212</v>
      </c>
      <c r="F28" s="12" t="s">
        <v>144</v>
      </c>
      <c r="G28" s="13" t="s">
        <v>3277</v>
      </c>
      <c r="H28" s="12" t="s">
        <v>108</v>
      </c>
      <c r="I28" s="12" t="s">
        <v>123</v>
      </c>
      <c r="J28" s="14" t="s">
        <v>3234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3278</v>
      </c>
      <c r="B29" s="12" t="s">
        <v>197</v>
      </c>
      <c r="C29" s="12" t="s">
        <v>1197</v>
      </c>
      <c r="D29" s="13" t="s">
        <v>3279</v>
      </c>
      <c r="E29" s="12" t="s">
        <v>2975</v>
      </c>
      <c r="F29" s="12" t="s">
        <v>185</v>
      </c>
      <c r="G29" s="13" t="s">
        <v>3261</v>
      </c>
      <c r="H29" s="12" t="s">
        <v>106</v>
      </c>
      <c r="I29" s="12" t="s">
        <v>122</v>
      </c>
      <c r="J29" s="14" t="s">
        <v>3254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3280</v>
      </c>
      <c r="B30" s="12" t="s">
        <v>177</v>
      </c>
      <c r="C30" s="12" t="s">
        <v>1197</v>
      </c>
      <c r="D30" s="13" t="s">
        <v>3281</v>
      </c>
      <c r="E30" s="12" t="s">
        <v>2975</v>
      </c>
      <c r="F30" s="12" t="s">
        <v>179</v>
      </c>
      <c r="G30" s="13" t="s">
        <v>3253</v>
      </c>
      <c r="H30" s="12" t="s">
        <v>106</v>
      </c>
      <c r="I30" s="12" t="s">
        <v>122</v>
      </c>
      <c r="J30" s="14" t="s">
        <v>3254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126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127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3284</v>
      </c>
      <c r="B9" s="12" t="s">
        <v>141</v>
      </c>
      <c r="C9" s="12" t="s">
        <v>813</v>
      </c>
      <c r="D9" s="13" t="s">
        <v>3285</v>
      </c>
      <c r="E9" s="12" t="s">
        <v>144</v>
      </c>
      <c r="F9" s="12" t="s">
        <v>145</v>
      </c>
      <c r="G9" s="13" t="s">
        <v>3286</v>
      </c>
      <c r="H9" s="12" t="s">
        <v>108</v>
      </c>
      <c r="I9" s="12" t="s">
        <v>123</v>
      </c>
      <c r="J9" s="14" t="s">
        <v>3234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3287</v>
      </c>
      <c r="B10" s="12" t="s">
        <v>1355</v>
      </c>
      <c r="C10" s="12" t="s">
        <v>1197</v>
      </c>
      <c r="D10" s="13" t="s">
        <v>3288</v>
      </c>
      <c r="E10" s="12" t="s">
        <v>144</v>
      </c>
      <c r="F10" s="12" t="s">
        <v>164</v>
      </c>
      <c r="G10" s="13" t="s">
        <v>3289</v>
      </c>
      <c r="H10" s="12" t="s">
        <v>108</v>
      </c>
      <c r="I10" s="12" t="s">
        <v>123</v>
      </c>
      <c r="J10" s="14" t="s">
        <v>3234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3290</v>
      </c>
      <c r="B11" s="12" t="s">
        <v>148</v>
      </c>
      <c r="C11" s="12" t="s">
        <v>3291</v>
      </c>
      <c r="D11" s="13" t="s">
        <v>3292</v>
      </c>
      <c r="E11" s="12" t="s">
        <v>144</v>
      </c>
      <c r="F11" s="12" t="s">
        <v>144</v>
      </c>
      <c r="G11" s="13" t="s">
        <v>150</v>
      </c>
      <c r="H11" s="12" t="s">
        <v>108</v>
      </c>
      <c r="I11" s="12" t="s">
        <v>123</v>
      </c>
      <c r="J11" s="14" t="s">
        <v>3234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3293</v>
      </c>
      <c r="B12" s="12" t="s">
        <v>152</v>
      </c>
      <c r="C12" s="12" t="s">
        <v>1402</v>
      </c>
      <c r="D12" s="13" t="s">
        <v>3238</v>
      </c>
      <c r="E12" s="12" t="s">
        <v>144</v>
      </c>
      <c r="F12" s="12" t="s">
        <v>154</v>
      </c>
      <c r="G12" s="13" t="s">
        <v>3294</v>
      </c>
      <c r="H12" s="12" t="s">
        <v>108</v>
      </c>
      <c r="I12" s="12" t="s">
        <v>123</v>
      </c>
      <c r="J12" s="14" t="s">
        <v>3234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3295</v>
      </c>
      <c r="B13" s="12" t="s">
        <v>157</v>
      </c>
      <c r="C13" s="12" t="s">
        <v>1197</v>
      </c>
      <c r="D13" s="13" t="s">
        <v>3296</v>
      </c>
      <c r="E13" s="12" t="s">
        <v>144</v>
      </c>
      <c r="F13" s="12" t="s">
        <v>159</v>
      </c>
      <c r="G13" s="13" t="s">
        <v>3297</v>
      </c>
      <c r="H13" s="12" t="s">
        <v>108</v>
      </c>
      <c r="I13" s="12" t="s">
        <v>123</v>
      </c>
      <c r="J13" s="14" t="s">
        <v>3234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3298</v>
      </c>
      <c r="B14" s="12" t="s">
        <v>3299</v>
      </c>
      <c r="C14" s="12" t="s">
        <v>3300</v>
      </c>
      <c r="D14" s="13" t="s">
        <v>3301</v>
      </c>
      <c r="E14" s="12" t="s">
        <v>169</v>
      </c>
      <c r="F14" s="12" t="s">
        <v>169</v>
      </c>
      <c r="G14" s="13" t="s">
        <v>3302</v>
      </c>
      <c r="H14" s="12" t="s">
        <v>108</v>
      </c>
      <c r="I14" s="12" t="s">
        <v>123</v>
      </c>
      <c r="J14" s="14" t="s">
        <v>3234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3303</v>
      </c>
      <c r="B15" s="12" t="s">
        <v>1421</v>
      </c>
      <c r="C15" s="12" t="s">
        <v>3249</v>
      </c>
      <c r="D15" s="13" t="s">
        <v>3304</v>
      </c>
      <c r="E15" s="12" t="s">
        <v>169</v>
      </c>
      <c r="F15" s="12" t="s">
        <v>169</v>
      </c>
      <c r="G15" s="13" t="s">
        <v>3302</v>
      </c>
      <c r="H15" s="12" t="s">
        <v>108</v>
      </c>
      <c r="I15" s="12" t="s">
        <v>123</v>
      </c>
      <c r="J15" s="14" t="s">
        <v>3234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3305</v>
      </c>
      <c r="B16" s="12" t="s">
        <v>1601</v>
      </c>
      <c r="C16" s="12" t="s">
        <v>1197</v>
      </c>
      <c r="D16" s="13" t="s">
        <v>3306</v>
      </c>
      <c r="E16" s="12" t="s">
        <v>2975</v>
      </c>
      <c r="F16" s="12" t="s">
        <v>179</v>
      </c>
      <c r="G16" s="13" t="s">
        <v>3307</v>
      </c>
      <c r="H16" s="12" t="s">
        <v>110</v>
      </c>
      <c r="I16" s="12" t="s">
        <v>122</v>
      </c>
      <c r="J16" s="14" t="s">
        <v>3308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3309</v>
      </c>
      <c r="B17" s="12" t="s">
        <v>1146</v>
      </c>
      <c r="C17" s="12" t="s">
        <v>813</v>
      </c>
      <c r="D17" s="13" t="s">
        <v>3310</v>
      </c>
      <c r="E17" s="12" t="s">
        <v>169</v>
      </c>
      <c r="F17" s="12" t="s">
        <v>169</v>
      </c>
      <c r="G17" s="13" t="s">
        <v>3302</v>
      </c>
      <c r="H17" s="12" t="s">
        <v>108</v>
      </c>
      <c r="I17" s="12" t="s">
        <v>123</v>
      </c>
      <c r="J17" s="14" t="s">
        <v>3234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3311</v>
      </c>
      <c r="B18" s="12" t="s">
        <v>172</v>
      </c>
      <c r="C18" s="12" t="s">
        <v>1197</v>
      </c>
      <c r="D18" s="13" t="s">
        <v>3312</v>
      </c>
      <c r="E18" s="12" t="s">
        <v>169</v>
      </c>
      <c r="F18" s="12" t="s">
        <v>174</v>
      </c>
      <c r="G18" s="13" t="s">
        <v>3302</v>
      </c>
      <c r="H18" s="12" t="s">
        <v>108</v>
      </c>
      <c r="I18" s="12" t="s">
        <v>123</v>
      </c>
      <c r="J18" s="14" t="s">
        <v>3234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3313</v>
      </c>
      <c r="B19" s="12" t="s">
        <v>1878</v>
      </c>
      <c r="C19" s="12" t="s">
        <v>1197</v>
      </c>
      <c r="D19" s="13" t="s">
        <v>3314</v>
      </c>
      <c r="E19" s="12" t="s">
        <v>2975</v>
      </c>
      <c r="F19" s="12" t="s">
        <v>179</v>
      </c>
      <c r="G19" s="13" t="s">
        <v>3307</v>
      </c>
      <c r="H19" s="12" t="s">
        <v>110</v>
      </c>
      <c r="I19" s="12" t="s">
        <v>122</v>
      </c>
      <c r="J19" s="14" t="s">
        <v>3308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3315</v>
      </c>
      <c r="B20" s="12" t="s">
        <v>183</v>
      </c>
      <c r="C20" s="12" t="s">
        <v>813</v>
      </c>
      <c r="D20" s="13" t="s">
        <v>3316</v>
      </c>
      <c r="E20" s="12" t="s">
        <v>2975</v>
      </c>
      <c r="F20" s="12" t="s">
        <v>185</v>
      </c>
      <c r="G20" s="13" t="s">
        <v>3317</v>
      </c>
      <c r="H20" s="12" t="s">
        <v>106</v>
      </c>
      <c r="I20" s="12" t="s">
        <v>122</v>
      </c>
      <c r="J20" s="14" t="s">
        <v>3318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3319</v>
      </c>
      <c r="B21" s="12" t="s">
        <v>2544</v>
      </c>
      <c r="C21" s="12" t="s">
        <v>3320</v>
      </c>
      <c r="D21" s="13" t="s">
        <v>3321</v>
      </c>
      <c r="E21" s="12" t="s">
        <v>2975</v>
      </c>
      <c r="F21" s="12" t="s">
        <v>179</v>
      </c>
      <c r="G21" s="13" t="s">
        <v>3307</v>
      </c>
      <c r="H21" s="12" t="s">
        <v>110</v>
      </c>
      <c r="I21" s="12" t="s">
        <v>122</v>
      </c>
      <c r="J21" s="14" t="s">
        <v>3308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3322</v>
      </c>
      <c r="B22" s="12" t="s">
        <v>1543</v>
      </c>
      <c r="C22" s="12" t="s">
        <v>813</v>
      </c>
      <c r="D22" s="13" t="s">
        <v>3268</v>
      </c>
      <c r="E22" s="12" t="s">
        <v>2975</v>
      </c>
      <c r="F22" s="12" t="s">
        <v>185</v>
      </c>
      <c r="G22" s="13" t="s">
        <v>3317</v>
      </c>
      <c r="H22" s="12" t="s">
        <v>110</v>
      </c>
      <c r="I22" s="12" t="s">
        <v>122</v>
      </c>
      <c r="J22" s="14" t="s">
        <v>3308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3323</v>
      </c>
      <c r="B23" s="12" t="s">
        <v>2399</v>
      </c>
      <c r="C23" s="12" t="s">
        <v>3291</v>
      </c>
      <c r="D23" s="13" t="s">
        <v>3324</v>
      </c>
      <c r="E23" s="12" t="s">
        <v>144</v>
      </c>
      <c r="F23" s="12" t="s">
        <v>203</v>
      </c>
      <c r="G23" s="13" t="s">
        <v>3325</v>
      </c>
      <c r="H23" s="12" t="s">
        <v>108</v>
      </c>
      <c r="I23" s="12" t="s">
        <v>123</v>
      </c>
      <c r="J23" s="14" t="s">
        <v>3234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3326</v>
      </c>
      <c r="B24" s="12" t="s">
        <v>210</v>
      </c>
      <c r="C24" s="12" t="s">
        <v>3291</v>
      </c>
      <c r="D24" s="13" t="s">
        <v>3327</v>
      </c>
      <c r="E24" s="12" t="s">
        <v>212</v>
      </c>
      <c r="F24" s="12" t="s">
        <v>212</v>
      </c>
      <c r="G24" s="13" t="s">
        <v>3274</v>
      </c>
      <c r="H24" s="12" t="s">
        <v>108</v>
      </c>
      <c r="I24" s="12" t="s">
        <v>123</v>
      </c>
      <c r="J24" s="14" t="s">
        <v>3328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3329</v>
      </c>
      <c r="B25" s="12" t="s">
        <v>215</v>
      </c>
      <c r="C25" s="12" t="s">
        <v>3291</v>
      </c>
      <c r="D25" s="13" t="s">
        <v>3276</v>
      </c>
      <c r="E25" s="12" t="s">
        <v>212</v>
      </c>
      <c r="F25" s="12" t="s">
        <v>144</v>
      </c>
      <c r="G25" s="13" t="s">
        <v>3277</v>
      </c>
      <c r="H25" s="12" t="s">
        <v>108</v>
      </c>
      <c r="I25" s="12" t="s">
        <v>123</v>
      </c>
      <c r="J25" s="14" t="s">
        <v>3328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3330</v>
      </c>
      <c r="B26" s="12" t="s">
        <v>197</v>
      </c>
      <c r="C26" s="12" t="s">
        <v>1197</v>
      </c>
      <c r="D26" s="13" t="s">
        <v>3331</v>
      </c>
      <c r="E26" s="12" t="s">
        <v>2975</v>
      </c>
      <c r="F26" s="12" t="s">
        <v>185</v>
      </c>
      <c r="G26" s="13" t="s">
        <v>3317</v>
      </c>
      <c r="H26" s="12" t="s">
        <v>106</v>
      </c>
      <c r="I26" s="12" t="s">
        <v>122</v>
      </c>
      <c r="J26" s="14" t="s">
        <v>3318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3332</v>
      </c>
      <c r="B27" s="12" t="s">
        <v>177</v>
      </c>
      <c r="C27" s="12" t="s">
        <v>1197</v>
      </c>
      <c r="D27" s="13" t="s">
        <v>3333</v>
      </c>
      <c r="E27" s="12" t="s">
        <v>2975</v>
      </c>
      <c r="F27" s="12" t="s">
        <v>179</v>
      </c>
      <c r="G27" s="13" t="s">
        <v>3307</v>
      </c>
      <c r="H27" s="12" t="s">
        <v>110</v>
      </c>
      <c r="I27" s="12" t="s">
        <v>122</v>
      </c>
      <c r="J27" s="14" t="s">
        <v>3308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126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3336</v>
      </c>
      <c r="B9" s="12" t="s">
        <v>141</v>
      </c>
      <c r="C9" s="12" t="s">
        <v>813</v>
      </c>
      <c r="D9" s="13" t="s">
        <v>3337</v>
      </c>
      <c r="E9" s="12" t="s">
        <v>144</v>
      </c>
      <c r="F9" s="12" t="s">
        <v>145</v>
      </c>
      <c r="G9" s="13" t="s">
        <v>3338</v>
      </c>
      <c r="H9" s="12" t="s">
        <v>108</v>
      </c>
      <c r="I9" s="12" t="s">
        <v>123</v>
      </c>
      <c r="J9" s="14" t="s">
        <v>3234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3339</v>
      </c>
      <c r="B10" s="12" t="s">
        <v>1355</v>
      </c>
      <c r="C10" s="12" t="s">
        <v>1197</v>
      </c>
      <c r="D10" s="13" t="s">
        <v>3340</v>
      </c>
      <c r="E10" s="12" t="s">
        <v>144</v>
      </c>
      <c r="F10" s="12" t="s">
        <v>164</v>
      </c>
      <c r="G10" s="13" t="s">
        <v>3341</v>
      </c>
      <c r="H10" s="12" t="s">
        <v>108</v>
      </c>
      <c r="I10" s="12" t="s">
        <v>123</v>
      </c>
      <c r="J10" s="14" t="s">
        <v>3234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3342</v>
      </c>
      <c r="B11" s="12" t="s">
        <v>148</v>
      </c>
      <c r="C11" s="12" t="s">
        <v>3343</v>
      </c>
      <c r="D11" s="13" t="s">
        <v>3344</v>
      </c>
      <c r="E11" s="12" t="s">
        <v>144</v>
      </c>
      <c r="F11" s="12" t="s">
        <v>144</v>
      </c>
      <c r="G11" s="13" t="s">
        <v>150</v>
      </c>
      <c r="H11" s="12" t="s">
        <v>108</v>
      </c>
      <c r="I11" s="12" t="s">
        <v>123</v>
      </c>
      <c r="J11" s="14" t="s">
        <v>3234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3345</v>
      </c>
      <c r="B12" s="12" t="s">
        <v>152</v>
      </c>
      <c r="C12" s="12" t="s">
        <v>1402</v>
      </c>
      <c r="D12" s="13" t="s">
        <v>3346</v>
      </c>
      <c r="E12" s="12" t="s">
        <v>144</v>
      </c>
      <c r="F12" s="12" t="s">
        <v>154</v>
      </c>
      <c r="G12" s="13" t="s">
        <v>3347</v>
      </c>
      <c r="H12" s="12" t="s">
        <v>108</v>
      </c>
      <c r="I12" s="12" t="s">
        <v>123</v>
      </c>
      <c r="J12" s="14" t="s">
        <v>3234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3348</v>
      </c>
      <c r="B13" s="12" t="s">
        <v>157</v>
      </c>
      <c r="C13" s="12" t="s">
        <v>3349</v>
      </c>
      <c r="D13" s="13" t="s">
        <v>3350</v>
      </c>
      <c r="E13" s="12" t="s">
        <v>144</v>
      </c>
      <c r="F13" s="12" t="s">
        <v>159</v>
      </c>
      <c r="G13" s="13" t="s">
        <v>3351</v>
      </c>
      <c r="H13" s="12" t="s">
        <v>108</v>
      </c>
      <c r="I13" s="12" t="s">
        <v>123</v>
      </c>
      <c r="J13" s="14" t="s">
        <v>3234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3352</v>
      </c>
      <c r="B14" s="12" t="s">
        <v>3353</v>
      </c>
      <c r="C14" s="12" t="s">
        <v>3354</v>
      </c>
      <c r="D14" s="13" t="s">
        <v>3355</v>
      </c>
      <c r="E14" s="12" t="s">
        <v>169</v>
      </c>
      <c r="F14" s="12" t="s">
        <v>169</v>
      </c>
      <c r="G14" s="13" t="s">
        <v>3356</v>
      </c>
      <c r="H14" s="12" t="s">
        <v>108</v>
      </c>
      <c r="I14" s="12" t="s">
        <v>123</v>
      </c>
      <c r="J14" s="14" t="s">
        <v>3234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3357</v>
      </c>
      <c r="B15" s="12" t="s">
        <v>1421</v>
      </c>
      <c r="C15" s="12" t="s">
        <v>3249</v>
      </c>
      <c r="D15" s="13" t="s">
        <v>3358</v>
      </c>
      <c r="E15" s="12" t="s">
        <v>169</v>
      </c>
      <c r="F15" s="12" t="s">
        <v>169</v>
      </c>
      <c r="G15" s="13" t="s">
        <v>3356</v>
      </c>
      <c r="H15" s="12" t="s">
        <v>108</v>
      </c>
      <c r="I15" s="12" t="s">
        <v>123</v>
      </c>
      <c r="J15" s="14" t="s">
        <v>3234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3359</v>
      </c>
      <c r="B16" s="12" t="s">
        <v>2597</v>
      </c>
      <c r="C16" s="12" t="s">
        <v>32</v>
      </c>
      <c r="D16" s="13" t="s">
        <v>3360</v>
      </c>
      <c r="E16" s="12" t="s">
        <v>169</v>
      </c>
      <c r="F16" s="12" t="s">
        <v>169</v>
      </c>
      <c r="G16" s="13" t="s">
        <v>3356</v>
      </c>
      <c r="H16" s="12" t="s">
        <v>108</v>
      </c>
      <c r="I16" s="12" t="s">
        <v>123</v>
      </c>
      <c r="J16" s="14" t="s">
        <v>3234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3361</v>
      </c>
      <c r="B17" s="12" t="s">
        <v>1601</v>
      </c>
      <c r="C17" s="12" t="s">
        <v>1197</v>
      </c>
      <c r="D17" s="13" t="s">
        <v>3362</v>
      </c>
      <c r="E17" s="12" t="s">
        <v>2975</v>
      </c>
      <c r="F17" s="12" t="s">
        <v>179</v>
      </c>
      <c r="G17" s="13" t="s">
        <v>3363</v>
      </c>
      <c r="H17" s="12" t="s">
        <v>110</v>
      </c>
      <c r="I17" s="12" t="s">
        <v>122</v>
      </c>
      <c r="J17" s="14" t="s">
        <v>3308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3364</v>
      </c>
      <c r="B18" s="12" t="s">
        <v>1146</v>
      </c>
      <c r="C18" s="12" t="s">
        <v>3365</v>
      </c>
      <c r="D18" s="13" t="s">
        <v>3366</v>
      </c>
      <c r="E18" s="12" t="s">
        <v>169</v>
      </c>
      <c r="F18" s="12" t="s">
        <v>169</v>
      </c>
      <c r="G18" s="13" t="s">
        <v>3356</v>
      </c>
      <c r="H18" s="12" t="s">
        <v>108</v>
      </c>
      <c r="I18" s="12" t="s">
        <v>123</v>
      </c>
      <c r="J18" s="14" t="s">
        <v>3234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3367</v>
      </c>
      <c r="B19" s="12" t="s">
        <v>172</v>
      </c>
      <c r="C19" s="12" t="s">
        <v>3249</v>
      </c>
      <c r="D19" s="13" t="s">
        <v>3368</v>
      </c>
      <c r="E19" s="12" t="s">
        <v>169</v>
      </c>
      <c r="F19" s="12" t="s">
        <v>174</v>
      </c>
      <c r="G19" s="13" t="s">
        <v>3356</v>
      </c>
      <c r="H19" s="12" t="s">
        <v>108</v>
      </c>
      <c r="I19" s="12" t="s">
        <v>123</v>
      </c>
      <c r="J19" s="14" t="s">
        <v>3234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3369</v>
      </c>
      <c r="B20" s="12" t="s">
        <v>1878</v>
      </c>
      <c r="C20" s="12" t="s">
        <v>1197</v>
      </c>
      <c r="D20" s="13" t="s">
        <v>3314</v>
      </c>
      <c r="E20" s="12" t="s">
        <v>2975</v>
      </c>
      <c r="F20" s="12" t="s">
        <v>179</v>
      </c>
      <c r="G20" s="13" t="s">
        <v>3363</v>
      </c>
      <c r="H20" s="12" t="s">
        <v>110</v>
      </c>
      <c r="I20" s="12" t="s">
        <v>122</v>
      </c>
      <c r="J20" s="14" t="s">
        <v>3308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3370</v>
      </c>
      <c r="B21" s="12" t="s">
        <v>183</v>
      </c>
      <c r="C21" s="12" t="s">
        <v>3371</v>
      </c>
      <c r="D21" s="13" t="s">
        <v>3372</v>
      </c>
      <c r="E21" s="12" t="s">
        <v>2975</v>
      </c>
      <c r="F21" s="12" t="s">
        <v>185</v>
      </c>
      <c r="G21" s="13" t="s">
        <v>3373</v>
      </c>
      <c r="H21" s="12" t="s">
        <v>106</v>
      </c>
      <c r="I21" s="12" t="s">
        <v>122</v>
      </c>
      <c r="J21" s="14" t="s">
        <v>3318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3374</v>
      </c>
      <c r="B22" s="12" t="s">
        <v>2544</v>
      </c>
      <c r="C22" s="12" t="s">
        <v>3371</v>
      </c>
      <c r="D22" s="13" t="s">
        <v>3375</v>
      </c>
      <c r="E22" s="12" t="s">
        <v>2975</v>
      </c>
      <c r="F22" s="12" t="s">
        <v>179</v>
      </c>
      <c r="G22" s="13" t="s">
        <v>3363</v>
      </c>
      <c r="H22" s="12" t="s">
        <v>110</v>
      </c>
      <c r="I22" s="12" t="s">
        <v>122</v>
      </c>
      <c r="J22" s="14" t="s">
        <v>3308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3376</v>
      </c>
      <c r="B23" s="12" t="s">
        <v>1543</v>
      </c>
      <c r="C23" s="12" t="s">
        <v>32</v>
      </c>
      <c r="D23" s="13" t="s">
        <v>3377</v>
      </c>
      <c r="E23" s="12" t="s">
        <v>2975</v>
      </c>
      <c r="F23" s="12" t="s">
        <v>185</v>
      </c>
      <c r="G23" s="13" t="s">
        <v>3373</v>
      </c>
      <c r="H23" s="12" t="s">
        <v>110</v>
      </c>
      <c r="I23" s="12" t="s">
        <v>122</v>
      </c>
      <c r="J23" s="14" t="s">
        <v>3308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3378</v>
      </c>
      <c r="B24" s="12" t="s">
        <v>2399</v>
      </c>
      <c r="C24" s="12" t="s">
        <v>3343</v>
      </c>
      <c r="D24" s="13" t="s">
        <v>3324</v>
      </c>
      <c r="E24" s="12" t="s">
        <v>144</v>
      </c>
      <c r="F24" s="12" t="s">
        <v>203</v>
      </c>
      <c r="G24" s="13" t="s">
        <v>3379</v>
      </c>
      <c r="H24" s="12" t="s">
        <v>108</v>
      </c>
      <c r="I24" s="12" t="s">
        <v>123</v>
      </c>
      <c r="J24" s="14" t="s">
        <v>3234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3380</v>
      </c>
      <c r="B25" s="12" t="s">
        <v>210</v>
      </c>
      <c r="C25" s="12" t="s">
        <v>3343</v>
      </c>
      <c r="D25" s="13" t="s">
        <v>3381</v>
      </c>
      <c r="E25" s="12" t="s">
        <v>212</v>
      </c>
      <c r="F25" s="12" t="s">
        <v>212</v>
      </c>
      <c r="G25" s="13" t="s">
        <v>3274</v>
      </c>
      <c r="H25" s="12" t="s">
        <v>108</v>
      </c>
      <c r="I25" s="12" t="s">
        <v>123</v>
      </c>
      <c r="J25" s="14" t="s">
        <v>3328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3382</v>
      </c>
      <c r="B26" s="12" t="s">
        <v>215</v>
      </c>
      <c r="C26" s="12" t="s">
        <v>3343</v>
      </c>
      <c r="D26" s="13" t="s">
        <v>3276</v>
      </c>
      <c r="E26" s="12" t="s">
        <v>212</v>
      </c>
      <c r="F26" s="12" t="s">
        <v>144</v>
      </c>
      <c r="G26" s="13" t="s">
        <v>3277</v>
      </c>
      <c r="H26" s="12" t="s">
        <v>108</v>
      </c>
      <c r="I26" s="12" t="s">
        <v>123</v>
      </c>
      <c r="J26" s="14" t="s">
        <v>3328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3383</v>
      </c>
      <c r="B27" s="12" t="s">
        <v>197</v>
      </c>
      <c r="C27" s="12" t="s">
        <v>1197</v>
      </c>
      <c r="D27" s="13" t="s">
        <v>3384</v>
      </c>
      <c r="E27" s="12" t="s">
        <v>2975</v>
      </c>
      <c r="F27" s="12" t="s">
        <v>185</v>
      </c>
      <c r="G27" s="13" t="s">
        <v>3373</v>
      </c>
      <c r="H27" s="12" t="s">
        <v>106</v>
      </c>
      <c r="I27" s="12" t="s">
        <v>122</v>
      </c>
      <c r="J27" s="14" t="s">
        <v>3318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3385</v>
      </c>
      <c r="B28" s="12" t="s">
        <v>177</v>
      </c>
      <c r="C28" s="12" t="s">
        <v>1197</v>
      </c>
      <c r="D28" s="13" t="s">
        <v>3333</v>
      </c>
      <c r="E28" s="12" t="s">
        <v>2975</v>
      </c>
      <c r="F28" s="12" t="s">
        <v>179</v>
      </c>
      <c r="G28" s="13" t="s">
        <v>3363</v>
      </c>
      <c r="H28" s="12" t="s">
        <v>110</v>
      </c>
      <c r="I28" s="12" t="s">
        <v>122</v>
      </c>
      <c r="J28" s="14" t="s">
        <v>3308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3387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126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3388</v>
      </c>
      <c r="B9" s="12" t="s">
        <v>141</v>
      </c>
      <c r="C9" s="12" t="s">
        <v>813</v>
      </c>
      <c r="D9" s="13" t="s">
        <v>3389</v>
      </c>
      <c r="E9" s="12" t="s">
        <v>144</v>
      </c>
      <c r="F9" s="12" t="s">
        <v>145</v>
      </c>
      <c r="G9" s="13" t="s">
        <v>3390</v>
      </c>
      <c r="H9" s="12" t="s">
        <v>108</v>
      </c>
      <c r="I9" s="12" t="s">
        <v>123</v>
      </c>
      <c r="J9" s="14" t="s">
        <v>3234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3391</v>
      </c>
      <c r="B10" s="12" t="s">
        <v>1355</v>
      </c>
      <c r="C10" s="12" t="s">
        <v>1197</v>
      </c>
      <c r="D10" s="13" t="s">
        <v>3392</v>
      </c>
      <c r="E10" s="12" t="s">
        <v>144</v>
      </c>
      <c r="F10" s="12" t="s">
        <v>164</v>
      </c>
      <c r="G10" s="13" t="s">
        <v>3393</v>
      </c>
      <c r="H10" s="12" t="s">
        <v>108</v>
      </c>
      <c r="I10" s="12" t="s">
        <v>123</v>
      </c>
      <c r="J10" s="14" t="s">
        <v>3234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3394</v>
      </c>
      <c r="B11" s="12" t="s">
        <v>148</v>
      </c>
      <c r="C11" s="12" t="s">
        <v>3395</v>
      </c>
      <c r="D11" s="13" t="s">
        <v>3396</v>
      </c>
      <c r="E11" s="12" t="s">
        <v>144</v>
      </c>
      <c r="F11" s="12" t="s">
        <v>144</v>
      </c>
      <c r="G11" s="13" t="s">
        <v>150</v>
      </c>
      <c r="H11" s="12" t="s">
        <v>108</v>
      </c>
      <c r="I11" s="12" t="s">
        <v>123</v>
      </c>
      <c r="J11" s="14" t="s">
        <v>3234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3397</v>
      </c>
      <c r="B12" s="12" t="s">
        <v>152</v>
      </c>
      <c r="C12" s="12" t="s">
        <v>1402</v>
      </c>
      <c r="D12" s="13" t="s">
        <v>3398</v>
      </c>
      <c r="E12" s="12" t="s">
        <v>144</v>
      </c>
      <c r="F12" s="12" t="s">
        <v>154</v>
      </c>
      <c r="G12" s="13" t="s">
        <v>3399</v>
      </c>
      <c r="H12" s="12" t="s">
        <v>108</v>
      </c>
      <c r="I12" s="12" t="s">
        <v>123</v>
      </c>
      <c r="J12" s="14" t="s">
        <v>3234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3400</v>
      </c>
      <c r="B13" s="12" t="s">
        <v>157</v>
      </c>
      <c r="C13" s="12" t="s">
        <v>1197</v>
      </c>
      <c r="D13" s="13" t="s">
        <v>3401</v>
      </c>
      <c r="E13" s="12" t="s">
        <v>144</v>
      </c>
      <c r="F13" s="12" t="s">
        <v>159</v>
      </c>
      <c r="G13" s="13" t="s">
        <v>3402</v>
      </c>
      <c r="H13" s="12" t="s">
        <v>108</v>
      </c>
      <c r="I13" s="12" t="s">
        <v>123</v>
      </c>
      <c r="J13" s="14" t="s">
        <v>3234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3403</v>
      </c>
      <c r="B14" s="12" t="s">
        <v>3404</v>
      </c>
      <c r="C14" s="12" t="s">
        <v>3405</v>
      </c>
      <c r="D14" s="13" t="s">
        <v>3406</v>
      </c>
      <c r="E14" s="12" t="s">
        <v>169</v>
      </c>
      <c r="F14" s="12" t="s">
        <v>169</v>
      </c>
      <c r="G14" s="13" t="s">
        <v>3407</v>
      </c>
      <c r="H14" s="12" t="s">
        <v>108</v>
      </c>
      <c r="I14" s="12" t="s">
        <v>123</v>
      </c>
      <c r="J14" s="14" t="s">
        <v>3234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3408</v>
      </c>
      <c r="B15" s="12" t="s">
        <v>1421</v>
      </c>
      <c r="C15" s="12" t="s">
        <v>3249</v>
      </c>
      <c r="D15" s="13" t="s">
        <v>3409</v>
      </c>
      <c r="E15" s="12" t="s">
        <v>169</v>
      </c>
      <c r="F15" s="12" t="s">
        <v>169</v>
      </c>
      <c r="G15" s="13" t="s">
        <v>3407</v>
      </c>
      <c r="H15" s="12" t="s">
        <v>108</v>
      </c>
      <c r="I15" s="12" t="s">
        <v>123</v>
      </c>
      <c r="J15" s="14" t="s">
        <v>3234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3410</v>
      </c>
      <c r="B16" s="12" t="s">
        <v>2597</v>
      </c>
      <c r="C16" s="12" t="s">
        <v>36</v>
      </c>
      <c r="D16" s="13" t="s">
        <v>3411</v>
      </c>
      <c r="E16" s="12" t="s">
        <v>169</v>
      </c>
      <c r="F16" s="12" t="s">
        <v>169</v>
      </c>
      <c r="G16" s="13" t="s">
        <v>3407</v>
      </c>
      <c r="H16" s="12" t="s">
        <v>108</v>
      </c>
      <c r="I16" s="12" t="s">
        <v>123</v>
      </c>
      <c r="J16" s="14" t="s">
        <v>3234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3412</v>
      </c>
      <c r="B17" s="12" t="s">
        <v>1601</v>
      </c>
      <c r="C17" s="12" t="s">
        <v>1197</v>
      </c>
      <c r="D17" s="13" t="s">
        <v>3413</v>
      </c>
      <c r="E17" s="12" t="s">
        <v>2975</v>
      </c>
      <c r="F17" s="12" t="s">
        <v>179</v>
      </c>
      <c r="G17" s="13" t="s">
        <v>3414</v>
      </c>
      <c r="H17" s="12" t="s">
        <v>110</v>
      </c>
      <c r="I17" s="12" t="s">
        <v>122</v>
      </c>
      <c r="J17" s="14" t="s">
        <v>3308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3415</v>
      </c>
      <c r="B18" s="12" t="s">
        <v>1146</v>
      </c>
      <c r="C18" s="12" t="s">
        <v>813</v>
      </c>
      <c r="D18" s="13" t="s">
        <v>3310</v>
      </c>
      <c r="E18" s="12" t="s">
        <v>169</v>
      </c>
      <c r="F18" s="12" t="s">
        <v>169</v>
      </c>
      <c r="G18" s="13" t="s">
        <v>3407</v>
      </c>
      <c r="H18" s="12" t="s">
        <v>108</v>
      </c>
      <c r="I18" s="12" t="s">
        <v>123</v>
      </c>
      <c r="J18" s="14" t="s">
        <v>3234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3416</v>
      </c>
      <c r="B19" s="12" t="s">
        <v>172</v>
      </c>
      <c r="C19" s="12" t="s">
        <v>3417</v>
      </c>
      <c r="D19" s="13" t="s">
        <v>3418</v>
      </c>
      <c r="E19" s="12" t="s">
        <v>169</v>
      </c>
      <c r="F19" s="12" t="s">
        <v>174</v>
      </c>
      <c r="G19" s="13" t="s">
        <v>3407</v>
      </c>
      <c r="H19" s="12" t="s">
        <v>108</v>
      </c>
      <c r="I19" s="12" t="s">
        <v>123</v>
      </c>
      <c r="J19" s="14" t="s">
        <v>3234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3419</v>
      </c>
      <c r="B20" s="12" t="s">
        <v>1878</v>
      </c>
      <c r="C20" s="12" t="s">
        <v>1197</v>
      </c>
      <c r="D20" s="13" t="s">
        <v>3314</v>
      </c>
      <c r="E20" s="12" t="s">
        <v>2975</v>
      </c>
      <c r="F20" s="12" t="s">
        <v>179</v>
      </c>
      <c r="G20" s="13" t="s">
        <v>3414</v>
      </c>
      <c r="H20" s="12" t="s">
        <v>110</v>
      </c>
      <c r="I20" s="12" t="s">
        <v>122</v>
      </c>
      <c r="J20" s="14" t="s">
        <v>3308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3420</v>
      </c>
      <c r="B21" s="12" t="s">
        <v>183</v>
      </c>
      <c r="C21" s="12" t="s">
        <v>813</v>
      </c>
      <c r="D21" s="13" t="s">
        <v>3421</v>
      </c>
      <c r="E21" s="12" t="s">
        <v>2975</v>
      </c>
      <c r="F21" s="12" t="s">
        <v>185</v>
      </c>
      <c r="G21" s="13" t="s">
        <v>3422</v>
      </c>
      <c r="H21" s="12" t="s">
        <v>106</v>
      </c>
      <c r="I21" s="12" t="s">
        <v>122</v>
      </c>
      <c r="J21" s="14" t="s">
        <v>3318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3423</v>
      </c>
      <c r="B22" s="12" t="s">
        <v>2544</v>
      </c>
      <c r="C22" s="12" t="s">
        <v>3424</v>
      </c>
      <c r="D22" s="13" t="s">
        <v>3425</v>
      </c>
      <c r="E22" s="12" t="s">
        <v>2975</v>
      </c>
      <c r="F22" s="12" t="s">
        <v>179</v>
      </c>
      <c r="G22" s="13" t="s">
        <v>3414</v>
      </c>
      <c r="H22" s="12" t="s">
        <v>110</v>
      </c>
      <c r="I22" s="12" t="s">
        <v>122</v>
      </c>
      <c r="J22" s="14" t="s">
        <v>3308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3426</v>
      </c>
      <c r="B23" s="12" t="s">
        <v>1543</v>
      </c>
      <c r="C23" s="12" t="s">
        <v>813</v>
      </c>
      <c r="D23" s="13" t="s">
        <v>3427</v>
      </c>
      <c r="E23" s="12" t="s">
        <v>2975</v>
      </c>
      <c r="F23" s="12" t="s">
        <v>185</v>
      </c>
      <c r="G23" s="13" t="s">
        <v>3422</v>
      </c>
      <c r="H23" s="12" t="s">
        <v>110</v>
      </c>
      <c r="I23" s="12" t="s">
        <v>122</v>
      </c>
      <c r="J23" s="14" t="s">
        <v>3308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3428</v>
      </c>
      <c r="B24" s="12" t="s">
        <v>2399</v>
      </c>
      <c r="C24" s="12" t="s">
        <v>3395</v>
      </c>
      <c r="D24" s="13" t="s">
        <v>3324</v>
      </c>
      <c r="E24" s="12" t="s">
        <v>144</v>
      </c>
      <c r="F24" s="12" t="s">
        <v>203</v>
      </c>
      <c r="G24" s="13" t="s">
        <v>3429</v>
      </c>
      <c r="H24" s="12" t="s">
        <v>108</v>
      </c>
      <c r="I24" s="12" t="s">
        <v>123</v>
      </c>
      <c r="J24" s="14" t="s">
        <v>3234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3430</v>
      </c>
      <c r="B25" s="12" t="s">
        <v>210</v>
      </c>
      <c r="C25" s="12" t="s">
        <v>3395</v>
      </c>
      <c r="D25" s="13" t="s">
        <v>3431</v>
      </c>
      <c r="E25" s="12" t="s">
        <v>212</v>
      </c>
      <c r="F25" s="12" t="s">
        <v>212</v>
      </c>
      <c r="G25" s="13" t="s">
        <v>3274</v>
      </c>
      <c r="H25" s="12" t="s">
        <v>108</v>
      </c>
      <c r="I25" s="12" t="s">
        <v>123</v>
      </c>
      <c r="J25" s="14" t="s">
        <v>3328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3432</v>
      </c>
      <c r="B26" s="12" t="s">
        <v>215</v>
      </c>
      <c r="C26" s="12" t="s">
        <v>3395</v>
      </c>
      <c r="D26" s="13" t="s">
        <v>3276</v>
      </c>
      <c r="E26" s="12" t="s">
        <v>212</v>
      </c>
      <c r="F26" s="12" t="s">
        <v>144</v>
      </c>
      <c r="G26" s="13" t="s">
        <v>3277</v>
      </c>
      <c r="H26" s="12" t="s">
        <v>108</v>
      </c>
      <c r="I26" s="12" t="s">
        <v>123</v>
      </c>
      <c r="J26" s="14" t="s">
        <v>3328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3433</v>
      </c>
      <c r="B27" s="12" t="s">
        <v>197</v>
      </c>
      <c r="C27" s="12" t="s">
        <v>1197</v>
      </c>
      <c r="D27" s="13" t="s">
        <v>3434</v>
      </c>
      <c r="E27" s="12" t="s">
        <v>2975</v>
      </c>
      <c r="F27" s="12" t="s">
        <v>185</v>
      </c>
      <c r="G27" s="13" t="s">
        <v>3422</v>
      </c>
      <c r="H27" s="12" t="s">
        <v>106</v>
      </c>
      <c r="I27" s="12" t="s">
        <v>122</v>
      </c>
      <c r="J27" s="14" t="s">
        <v>3318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3435</v>
      </c>
      <c r="B28" s="12" t="s">
        <v>177</v>
      </c>
      <c r="C28" s="12" t="s">
        <v>1197</v>
      </c>
      <c r="D28" s="13" t="s">
        <v>3333</v>
      </c>
      <c r="E28" s="12" t="s">
        <v>2975</v>
      </c>
      <c r="F28" s="12" t="s">
        <v>179</v>
      </c>
      <c r="G28" s="13" t="s">
        <v>3414</v>
      </c>
      <c r="H28" s="12" t="s">
        <v>110</v>
      </c>
      <c r="I28" s="12" t="s">
        <v>122</v>
      </c>
      <c r="J28" s="14" t="s">
        <v>3308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126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127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3438</v>
      </c>
      <c r="B9" s="12" t="s">
        <v>141</v>
      </c>
      <c r="C9" s="12" t="s">
        <v>1402</v>
      </c>
      <c r="D9" s="13" t="s">
        <v>3439</v>
      </c>
      <c r="E9" s="12" t="s">
        <v>144</v>
      </c>
      <c r="F9" s="12" t="s">
        <v>145</v>
      </c>
      <c r="G9" s="13" t="s">
        <v>3440</v>
      </c>
      <c r="H9" s="12" t="s">
        <v>108</v>
      </c>
      <c r="I9" s="12" t="s">
        <v>123</v>
      </c>
      <c r="J9" s="14" t="s">
        <v>3441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3442</v>
      </c>
      <c r="B10" s="12" t="s">
        <v>1355</v>
      </c>
      <c r="C10" s="12" t="s">
        <v>1197</v>
      </c>
      <c r="D10" s="13" t="s">
        <v>3443</v>
      </c>
      <c r="E10" s="12" t="s">
        <v>144</v>
      </c>
      <c r="F10" s="12" t="s">
        <v>164</v>
      </c>
      <c r="G10" s="13" t="s">
        <v>3444</v>
      </c>
      <c r="H10" s="12" t="s">
        <v>108</v>
      </c>
      <c r="I10" s="12" t="s">
        <v>123</v>
      </c>
      <c r="J10" s="14" t="s">
        <v>3445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3446</v>
      </c>
      <c r="B11" s="12" t="s">
        <v>148</v>
      </c>
      <c r="C11" s="12" t="s">
        <v>82</v>
      </c>
      <c r="D11" s="13" t="s">
        <v>3447</v>
      </c>
      <c r="E11" s="12" t="s">
        <v>144</v>
      </c>
      <c r="F11" s="12" t="s">
        <v>144</v>
      </c>
      <c r="G11" s="13" t="s">
        <v>3448</v>
      </c>
      <c r="H11" s="12" t="s">
        <v>108</v>
      </c>
      <c r="I11" s="12" t="s">
        <v>123</v>
      </c>
      <c r="J11" s="14" t="s">
        <v>3449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3450</v>
      </c>
      <c r="B12" s="12" t="s">
        <v>152</v>
      </c>
      <c r="C12" s="12" t="s">
        <v>1402</v>
      </c>
      <c r="D12" s="13" t="s">
        <v>3451</v>
      </c>
      <c r="E12" s="12" t="s">
        <v>144</v>
      </c>
      <c r="F12" s="12" t="s">
        <v>154</v>
      </c>
      <c r="G12" s="13" t="s">
        <v>3452</v>
      </c>
      <c r="H12" s="12" t="s">
        <v>108</v>
      </c>
      <c r="I12" s="12" t="s">
        <v>123</v>
      </c>
      <c r="J12" s="14" t="s">
        <v>3453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3454</v>
      </c>
      <c r="B13" s="12" t="s">
        <v>157</v>
      </c>
      <c r="C13" s="12" t="s">
        <v>1197</v>
      </c>
      <c r="D13" s="13" t="s">
        <v>3455</v>
      </c>
      <c r="E13" s="12" t="s">
        <v>144</v>
      </c>
      <c r="F13" s="12" t="s">
        <v>159</v>
      </c>
      <c r="G13" s="13" t="s">
        <v>3456</v>
      </c>
      <c r="H13" s="12" t="s">
        <v>108</v>
      </c>
      <c r="I13" s="12" t="s">
        <v>123</v>
      </c>
      <c r="J13" s="14" t="s">
        <v>3457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3458</v>
      </c>
      <c r="B14" s="12" t="s">
        <v>3459</v>
      </c>
      <c r="C14" s="12" t="s">
        <v>1633</v>
      </c>
      <c r="D14" s="13" t="s">
        <v>3460</v>
      </c>
      <c r="E14" s="12" t="s">
        <v>169</v>
      </c>
      <c r="F14" s="12" t="s">
        <v>169</v>
      </c>
      <c r="G14" s="13" t="s">
        <v>3461</v>
      </c>
      <c r="H14" s="12" t="s">
        <v>108</v>
      </c>
      <c r="I14" s="12" t="s">
        <v>123</v>
      </c>
      <c r="J14" s="14" t="s">
        <v>3462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3463</v>
      </c>
      <c r="B15" s="12" t="s">
        <v>32</v>
      </c>
      <c r="C15" s="12" t="s">
        <v>3464</v>
      </c>
      <c r="D15" s="13" t="s">
        <v>3465</v>
      </c>
      <c r="E15" s="12" t="s">
        <v>169</v>
      </c>
      <c r="F15" s="12" t="s">
        <v>169</v>
      </c>
      <c r="G15" s="13" t="s">
        <v>3461</v>
      </c>
      <c r="H15" s="12" t="s">
        <v>108</v>
      </c>
      <c r="I15" s="12" t="s">
        <v>123</v>
      </c>
      <c r="J15" s="14" t="s">
        <v>3466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3467</v>
      </c>
      <c r="B16" s="12" t="s">
        <v>3468</v>
      </c>
      <c r="C16" s="12" t="s">
        <v>813</v>
      </c>
      <c r="D16" s="13" t="s">
        <v>3469</v>
      </c>
      <c r="E16" s="12" t="s">
        <v>144</v>
      </c>
      <c r="F16" s="12" t="s">
        <v>164</v>
      </c>
      <c r="G16" s="13" t="s">
        <v>3444</v>
      </c>
      <c r="H16" s="12" t="s">
        <v>108</v>
      </c>
      <c r="I16" s="12" t="s">
        <v>123</v>
      </c>
      <c r="J16" s="14" t="s">
        <v>3470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3471</v>
      </c>
      <c r="B17" s="12" t="s">
        <v>1146</v>
      </c>
      <c r="C17" s="12" t="s">
        <v>813</v>
      </c>
      <c r="D17" s="13" t="s">
        <v>3472</v>
      </c>
      <c r="E17" s="12" t="s">
        <v>169</v>
      </c>
      <c r="F17" s="12" t="s">
        <v>169</v>
      </c>
      <c r="G17" s="13" t="s">
        <v>3461</v>
      </c>
      <c r="H17" s="12" t="s">
        <v>108</v>
      </c>
      <c r="I17" s="12" t="s">
        <v>123</v>
      </c>
      <c r="J17" s="14" t="s">
        <v>3473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3474</v>
      </c>
      <c r="B18" s="12" t="s">
        <v>1099</v>
      </c>
      <c r="C18" s="12" t="s">
        <v>3475</v>
      </c>
      <c r="D18" s="13" t="s">
        <v>3476</v>
      </c>
      <c r="E18" s="12" t="s">
        <v>144</v>
      </c>
      <c r="F18" s="12" t="s">
        <v>164</v>
      </c>
      <c r="G18" s="13" t="s">
        <v>3444</v>
      </c>
      <c r="H18" s="12" t="s">
        <v>108</v>
      </c>
      <c r="I18" s="12" t="s">
        <v>123</v>
      </c>
      <c r="J18" s="14" t="s">
        <v>3477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3478</v>
      </c>
      <c r="B19" s="12" t="s">
        <v>1878</v>
      </c>
      <c r="C19" s="12" t="s">
        <v>1197</v>
      </c>
      <c r="D19" s="13" t="s">
        <v>3479</v>
      </c>
      <c r="E19" s="12" t="s">
        <v>2975</v>
      </c>
      <c r="F19" s="12" t="s">
        <v>179</v>
      </c>
      <c r="G19" s="13" t="s">
        <v>3480</v>
      </c>
      <c r="H19" s="12" t="s">
        <v>110</v>
      </c>
      <c r="I19" s="12" t="s">
        <v>122</v>
      </c>
      <c r="J19" s="14" t="s">
        <v>3481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3482</v>
      </c>
      <c r="B20" s="12" t="s">
        <v>183</v>
      </c>
      <c r="C20" s="12" t="s">
        <v>3483</v>
      </c>
      <c r="D20" s="13" t="s">
        <v>3484</v>
      </c>
      <c r="E20" s="12" t="s">
        <v>2975</v>
      </c>
      <c r="F20" s="12" t="s">
        <v>179</v>
      </c>
      <c r="G20" s="13" t="s">
        <v>3480</v>
      </c>
      <c r="H20" s="12" t="s">
        <v>110</v>
      </c>
      <c r="I20" s="12" t="s">
        <v>122</v>
      </c>
      <c r="J20" s="14" t="s">
        <v>3485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3486</v>
      </c>
      <c r="B21" s="12" t="s">
        <v>172</v>
      </c>
      <c r="C21" s="12" t="s">
        <v>3464</v>
      </c>
      <c r="D21" s="13" t="s">
        <v>3487</v>
      </c>
      <c r="E21" s="12" t="s">
        <v>169</v>
      </c>
      <c r="F21" s="12" t="s">
        <v>174</v>
      </c>
      <c r="G21" s="13" t="s">
        <v>3461</v>
      </c>
      <c r="H21" s="12" t="s">
        <v>108</v>
      </c>
      <c r="I21" s="12" t="s">
        <v>123</v>
      </c>
      <c r="J21" s="14" t="s">
        <v>3488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3489</v>
      </c>
      <c r="B22" s="12" t="s">
        <v>197</v>
      </c>
      <c r="C22" s="12" t="s">
        <v>82</v>
      </c>
      <c r="D22" s="13" t="s">
        <v>3490</v>
      </c>
      <c r="E22" s="12" t="s">
        <v>2975</v>
      </c>
      <c r="F22" s="12" t="s">
        <v>185</v>
      </c>
      <c r="G22" s="13" t="s">
        <v>3491</v>
      </c>
      <c r="H22" s="12" t="s">
        <v>106</v>
      </c>
      <c r="I22" s="12" t="s">
        <v>122</v>
      </c>
      <c r="J22" s="14" t="s">
        <v>3492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3493</v>
      </c>
      <c r="B23" s="12" t="s">
        <v>2399</v>
      </c>
      <c r="C23" s="12" t="s">
        <v>82</v>
      </c>
      <c r="D23" s="13" t="s">
        <v>3494</v>
      </c>
      <c r="E23" s="12" t="s">
        <v>144</v>
      </c>
      <c r="F23" s="12" t="s">
        <v>203</v>
      </c>
      <c r="G23" s="13" t="s">
        <v>3495</v>
      </c>
      <c r="H23" s="12" t="s">
        <v>108</v>
      </c>
      <c r="I23" s="12" t="s">
        <v>123</v>
      </c>
      <c r="J23" s="14" t="s">
        <v>3496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3497</v>
      </c>
      <c r="B24" s="12" t="s">
        <v>210</v>
      </c>
      <c r="C24" s="12" t="s">
        <v>1402</v>
      </c>
      <c r="D24" s="13" t="s">
        <v>3498</v>
      </c>
      <c r="E24" s="12" t="s">
        <v>212</v>
      </c>
      <c r="F24" s="12" t="s">
        <v>212</v>
      </c>
      <c r="G24" s="13" t="s">
        <v>2560</v>
      </c>
      <c r="H24" s="12" t="s">
        <v>108</v>
      </c>
      <c r="I24" s="12" t="s">
        <v>123</v>
      </c>
      <c r="J24" s="14" t="s">
        <v>3499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126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127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3502</v>
      </c>
      <c r="B9" s="12" t="s">
        <v>141</v>
      </c>
      <c r="C9" s="12" t="s">
        <v>1572</v>
      </c>
      <c r="D9" s="13" t="s">
        <v>3503</v>
      </c>
      <c r="E9" s="12" t="s">
        <v>144</v>
      </c>
      <c r="F9" s="12" t="s">
        <v>145</v>
      </c>
      <c r="G9" s="13" t="s">
        <v>3504</v>
      </c>
      <c r="H9" s="12" t="s">
        <v>108</v>
      </c>
      <c r="I9" s="12" t="s">
        <v>123</v>
      </c>
      <c r="J9" s="14" t="s">
        <v>3441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3505</v>
      </c>
      <c r="B10" s="12" t="s">
        <v>1355</v>
      </c>
      <c r="C10" s="12" t="s">
        <v>1572</v>
      </c>
      <c r="D10" s="13" t="s">
        <v>3506</v>
      </c>
      <c r="E10" s="12" t="s">
        <v>144</v>
      </c>
      <c r="F10" s="12" t="s">
        <v>164</v>
      </c>
      <c r="G10" s="13" t="s">
        <v>3507</v>
      </c>
      <c r="H10" s="12" t="s">
        <v>108</v>
      </c>
      <c r="I10" s="12" t="s">
        <v>123</v>
      </c>
      <c r="J10" s="14" t="s">
        <v>3445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3508</v>
      </c>
      <c r="B11" s="12" t="s">
        <v>148</v>
      </c>
      <c r="C11" s="12" t="s">
        <v>83</v>
      </c>
      <c r="D11" s="13" t="s">
        <v>3509</v>
      </c>
      <c r="E11" s="12" t="s">
        <v>144</v>
      </c>
      <c r="F11" s="12" t="s">
        <v>144</v>
      </c>
      <c r="G11" s="13" t="s">
        <v>3448</v>
      </c>
      <c r="H11" s="12" t="s">
        <v>108</v>
      </c>
      <c r="I11" s="12" t="s">
        <v>123</v>
      </c>
      <c r="J11" s="14" t="s">
        <v>3449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3510</v>
      </c>
      <c r="B12" s="12" t="s">
        <v>152</v>
      </c>
      <c r="C12" s="12" t="s">
        <v>1572</v>
      </c>
      <c r="D12" s="13" t="s">
        <v>3511</v>
      </c>
      <c r="E12" s="12" t="s">
        <v>144</v>
      </c>
      <c r="F12" s="12" t="s">
        <v>154</v>
      </c>
      <c r="G12" s="13" t="s">
        <v>3512</v>
      </c>
      <c r="H12" s="12" t="s">
        <v>108</v>
      </c>
      <c r="I12" s="12" t="s">
        <v>123</v>
      </c>
      <c r="J12" s="14" t="s">
        <v>3453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3513</v>
      </c>
      <c r="B13" s="12" t="s">
        <v>157</v>
      </c>
      <c r="C13" s="12" t="s">
        <v>1572</v>
      </c>
      <c r="D13" s="13" t="s">
        <v>3514</v>
      </c>
      <c r="E13" s="12" t="s">
        <v>144</v>
      </c>
      <c r="F13" s="12" t="s">
        <v>159</v>
      </c>
      <c r="G13" s="13" t="s">
        <v>3515</v>
      </c>
      <c r="H13" s="12" t="s">
        <v>108</v>
      </c>
      <c r="I13" s="12" t="s">
        <v>123</v>
      </c>
      <c r="J13" s="14" t="s">
        <v>3457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3516</v>
      </c>
      <c r="B14" s="12" t="s">
        <v>672</v>
      </c>
      <c r="C14" s="12" t="s">
        <v>813</v>
      </c>
      <c r="D14" s="13" t="s">
        <v>3517</v>
      </c>
      <c r="E14" s="12" t="s">
        <v>169</v>
      </c>
      <c r="F14" s="12" t="s">
        <v>169</v>
      </c>
      <c r="G14" s="13" t="s">
        <v>3518</v>
      </c>
      <c r="H14" s="12" t="s">
        <v>108</v>
      </c>
      <c r="I14" s="12" t="s">
        <v>123</v>
      </c>
      <c r="J14" s="14" t="s">
        <v>3519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3520</v>
      </c>
      <c r="B15" s="12" t="s">
        <v>3521</v>
      </c>
      <c r="C15" s="12" t="s">
        <v>1572</v>
      </c>
      <c r="D15" s="13" t="s">
        <v>3522</v>
      </c>
      <c r="E15" s="12" t="s">
        <v>169</v>
      </c>
      <c r="F15" s="12" t="s">
        <v>169</v>
      </c>
      <c r="G15" s="13" t="s">
        <v>3518</v>
      </c>
      <c r="H15" s="12" t="s">
        <v>108</v>
      </c>
      <c r="I15" s="12" t="s">
        <v>123</v>
      </c>
      <c r="J15" s="14" t="s">
        <v>3523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3524</v>
      </c>
      <c r="B16" s="12" t="s">
        <v>32</v>
      </c>
      <c r="C16" s="12" t="s">
        <v>813</v>
      </c>
      <c r="D16" s="13" t="s">
        <v>3525</v>
      </c>
      <c r="E16" s="12" t="s">
        <v>169</v>
      </c>
      <c r="F16" s="12" t="s">
        <v>169</v>
      </c>
      <c r="G16" s="13" t="s">
        <v>3518</v>
      </c>
      <c r="H16" s="12" t="s">
        <v>108</v>
      </c>
      <c r="I16" s="12" t="s">
        <v>123</v>
      </c>
      <c r="J16" s="14" t="s">
        <v>3526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3527</v>
      </c>
      <c r="B17" s="12" t="s">
        <v>3468</v>
      </c>
      <c r="C17" s="12" t="s">
        <v>813</v>
      </c>
      <c r="D17" s="13" t="s">
        <v>3528</v>
      </c>
      <c r="E17" s="12" t="s">
        <v>144</v>
      </c>
      <c r="F17" s="12" t="s">
        <v>164</v>
      </c>
      <c r="G17" s="13" t="s">
        <v>3507</v>
      </c>
      <c r="H17" s="12" t="s">
        <v>108</v>
      </c>
      <c r="I17" s="12" t="s">
        <v>123</v>
      </c>
      <c r="J17" s="14" t="s">
        <v>3470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3529</v>
      </c>
      <c r="B18" s="12" t="s">
        <v>1146</v>
      </c>
      <c r="C18" s="12" t="s">
        <v>813</v>
      </c>
      <c r="D18" s="13" t="s">
        <v>3530</v>
      </c>
      <c r="E18" s="12" t="s">
        <v>169</v>
      </c>
      <c r="F18" s="12" t="s">
        <v>169</v>
      </c>
      <c r="G18" s="13" t="s">
        <v>3518</v>
      </c>
      <c r="H18" s="12" t="s">
        <v>108</v>
      </c>
      <c r="I18" s="12" t="s">
        <v>123</v>
      </c>
      <c r="J18" s="14" t="s">
        <v>3473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3531</v>
      </c>
      <c r="B19" s="12" t="s">
        <v>3532</v>
      </c>
      <c r="C19" s="12" t="s">
        <v>868</v>
      </c>
      <c r="D19" s="13" t="s">
        <v>3533</v>
      </c>
      <c r="E19" s="12" t="s">
        <v>144</v>
      </c>
      <c r="F19" s="12" t="s">
        <v>164</v>
      </c>
      <c r="G19" s="13" t="s">
        <v>3507</v>
      </c>
      <c r="H19" s="12" t="s">
        <v>108</v>
      </c>
      <c r="I19" s="12" t="s">
        <v>123</v>
      </c>
      <c r="J19" s="14" t="s">
        <v>3534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3535</v>
      </c>
      <c r="B20" s="12" t="s">
        <v>1878</v>
      </c>
      <c r="C20" s="12" t="s">
        <v>1572</v>
      </c>
      <c r="D20" s="13" t="s">
        <v>3479</v>
      </c>
      <c r="E20" s="12" t="s">
        <v>2975</v>
      </c>
      <c r="F20" s="12" t="s">
        <v>179</v>
      </c>
      <c r="G20" s="13" t="s">
        <v>3536</v>
      </c>
      <c r="H20" s="12" t="s">
        <v>110</v>
      </c>
      <c r="I20" s="12" t="s">
        <v>122</v>
      </c>
      <c r="J20" s="14" t="s">
        <v>3537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3538</v>
      </c>
      <c r="B21" s="12" t="s">
        <v>183</v>
      </c>
      <c r="C21" s="12" t="s">
        <v>1572</v>
      </c>
      <c r="D21" s="13" t="s">
        <v>3539</v>
      </c>
      <c r="E21" s="12" t="s">
        <v>2975</v>
      </c>
      <c r="F21" s="12" t="s">
        <v>179</v>
      </c>
      <c r="G21" s="13" t="s">
        <v>3536</v>
      </c>
      <c r="H21" s="12" t="s">
        <v>110</v>
      </c>
      <c r="I21" s="12" t="s">
        <v>122</v>
      </c>
      <c r="J21" s="14" t="s">
        <v>3540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3541</v>
      </c>
      <c r="B22" s="12" t="s">
        <v>172</v>
      </c>
      <c r="C22" s="12" t="s">
        <v>1572</v>
      </c>
      <c r="D22" s="13" t="s">
        <v>3542</v>
      </c>
      <c r="E22" s="12" t="s">
        <v>169</v>
      </c>
      <c r="F22" s="12" t="s">
        <v>174</v>
      </c>
      <c r="G22" s="13" t="s">
        <v>3518</v>
      </c>
      <c r="H22" s="12" t="s">
        <v>108</v>
      </c>
      <c r="I22" s="12" t="s">
        <v>123</v>
      </c>
      <c r="J22" s="14" t="s">
        <v>3488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3543</v>
      </c>
      <c r="B23" s="12" t="s">
        <v>197</v>
      </c>
      <c r="C23" s="12" t="s">
        <v>83</v>
      </c>
      <c r="D23" s="13" t="s">
        <v>3544</v>
      </c>
      <c r="E23" s="12" t="s">
        <v>2975</v>
      </c>
      <c r="F23" s="12" t="s">
        <v>185</v>
      </c>
      <c r="G23" s="13" t="s">
        <v>3545</v>
      </c>
      <c r="H23" s="12" t="s">
        <v>106</v>
      </c>
      <c r="I23" s="12" t="s">
        <v>122</v>
      </c>
      <c r="J23" s="14" t="s">
        <v>3546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3547</v>
      </c>
      <c r="B24" s="12" t="s">
        <v>2399</v>
      </c>
      <c r="C24" s="12" t="s">
        <v>83</v>
      </c>
      <c r="D24" s="13" t="s">
        <v>3548</v>
      </c>
      <c r="E24" s="12" t="s">
        <v>144</v>
      </c>
      <c r="F24" s="12" t="s">
        <v>203</v>
      </c>
      <c r="G24" s="13" t="s">
        <v>3549</v>
      </c>
      <c r="H24" s="12" t="s">
        <v>108</v>
      </c>
      <c r="I24" s="12" t="s">
        <v>123</v>
      </c>
      <c r="J24" s="14" t="s">
        <v>3496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3550</v>
      </c>
      <c r="B25" s="12" t="s">
        <v>210</v>
      </c>
      <c r="C25" s="12" t="s">
        <v>1572</v>
      </c>
      <c r="D25" s="13" t="s">
        <v>3551</v>
      </c>
      <c r="E25" s="12" t="s">
        <v>212</v>
      </c>
      <c r="F25" s="12" t="s">
        <v>212</v>
      </c>
      <c r="G25" s="13" t="s">
        <v>2560</v>
      </c>
      <c r="H25" s="12" t="s">
        <v>108</v>
      </c>
      <c r="I25" s="12" t="s">
        <v>123</v>
      </c>
      <c r="J25" s="14" t="s">
        <v>3499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3553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126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127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3554</v>
      </c>
      <c r="B9" s="12" t="s">
        <v>100</v>
      </c>
      <c r="C9" s="12" t="s">
        <v>1197</v>
      </c>
      <c r="D9" s="13" t="s">
        <v>3555</v>
      </c>
      <c r="E9" s="12" t="s">
        <v>144</v>
      </c>
      <c r="F9" s="12" t="s">
        <v>145</v>
      </c>
      <c r="G9" s="13" t="s">
        <v>3556</v>
      </c>
      <c r="H9" s="12" t="s">
        <v>108</v>
      </c>
      <c r="I9" s="12" t="s">
        <v>123</v>
      </c>
      <c r="J9" s="14" t="n">
        <v>46232</v>
      </c>
      <c r="K9" s="13" t="s">
        <v>3557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3558</v>
      </c>
      <c r="B10" s="12" t="s">
        <v>2412</v>
      </c>
      <c r="C10" s="12" t="s">
        <v>1197</v>
      </c>
      <c r="D10" s="13" t="s">
        <v>3559</v>
      </c>
      <c r="E10" s="12" t="s">
        <v>144</v>
      </c>
      <c r="F10" s="12" t="s">
        <v>164</v>
      </c>
      <c r="G10" s="13" t="s">
        <v>3560</v>
      </c>
      <c r="H10" s="12" t="s">
        <v>108</v>
      </c>
      <c r="I10" s="12" t="s">
        <v>123</v>
      </c>
      <c r="J10" s="14" t="n">
        <v>46232</v>
      </c>
      <c r="K10" s="13" t="s">
        <v>3445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3561</v>
      </c>
      <c r="B11" s="12" t="s">
        <v>1355</v>
      </c>
      <c r="C11" s="12" t="s">
        <v>1197</v>
      </c>
      <c r="D11" s="13" t="s">
        <v>3562</v>
      </c>
      <c r="E11" s="12" t="s">
        <v>144</v>
      </c>
      <c r="F11" s="12" t="s">
        <v>164</v>
      </c>
      <c r="G11" s="13" t="s">
        <v>3560</v>
      </c>
      <c r="H11" s="12" t="s">
        <v>108</v>
      </c>
      <c r="I11" s="12" t="s">
        <v>123</v>
      </c>
      <c r="J11" s="14" t="n">
        <v>46232</v>
      </c>
      <c r="K11" s="13" t="s">
        <v>3563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3564</v>
      </c>
      <c r="B12" s="12" t="s">
        <v>152</v>
      </c>
      <c r="C12" s="12" t="s">
        <v>2421</v>
      </c>
      <c r="D12" s="13" t="s">
        <v>3565</v>
      </c>
      <c r="E12" s="12" t="s">
        <v>144</v>
      </c>
      <c r="F12" s="12" t="s">
        <v>154</v>
      </c>
      <c r="G12" s="13" t="s">
        <v>3566</v>
      </c>
      <c r="H12" s="12" t="s">
        <v>108</v>
      </c>
      <c r="I12" s="12" t="s">
        <v>123</v>
      </c>
      <c r="J12" s="14" t="n">
        <v>46232</v>
      </c>
      <c r="K12" s="13" t="s">
        <v>3567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3568</v>
      </c>
      <c r="B13" s="12" t="s">
        <v>148</v>
      </c>
      <c r="C13" s="12" t="s">
        <v>1197</v>
      </c>
      <c r="D13" s="13" t="s">
        <v>3569</v>
      </c>
      <c r="E13" s="12" t="s">
        <v>144</v>
      </c>
      <c r="F13" s="12" t="s">
        <v>144</v>
      </c>
      <c r="G13" s="13" t="s">
        <v>2903</v>
      </c>
      <c r="H13" s="12" t="s">
        <v>108</v>
      </c>
      <c r="I13" s="12" t="s">
        <v>123</v>
      </c>
      <c r="J13" s="14" t="n">
        <v>46232</v>
      </c>
      <c r="K13" s="13" t="s">
        <v>3570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3571</v>
      </c>
      <c r="B14" s="12" t="s">
        <v>1323</v>
      </c>
      <c r="C14" s="12" t="s">
        <v>3572</v>
      </c>
      <c r="D14" s="13" t="s">
        <v>3573</v>
      </c>
      <c r="E14" s="12" t="s">
        <v>144</v>
      </c>
      <c r="F14" s="12" t="s">
        <v>144</v>
      </c>
      <c r="G14" s="13" t="s">
        <v>1325</v>
      </c>
      <c r="H14" s="12" t="s">
        <v>108</v>
      </c>
      <c r="I14" s="12" t="s">
        <v>123</v>
      </c>
      <c r="J14" s="14" t="n">
        <v>46232</v>
      </c>
      <c r="K14" s="13" t="s">
        <v>3574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3575</v>
      </c>
      <c r="B15" s="12" t="s">
        <v>157</v>
      </c>
      <c r="C15" s="12" t="s">
        <v>1197</v>
      </c>
      <c r="D15" s="13" t="s">
        <v>3576</v>
      </c>
      <c r="E15" s="12" t="s">
        <v>144</v>
      </c>
      <c r="F15" s="12" t="s">
        <v>159</v>
      </c>
      <c r="G15" s="13" t="s">
        <v>3577</v>
      </c>
      <c r="H15" s="12" t="s">
        <v>108</v>
      </c>
      <c r="I15" s="12" t="s">
        <v>123</v>
      </c>
      <c r="J15" s="14" t="n">
        <v>46232</v>
      </c>
      <c r="K15" s="13" t="s">
        <v>3578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3579</v>
      </c>
      <c r="B16" s="12" t="s">
        <v>3580</v>
      </c>
      <c r="C16" s="12" t="s">
        <v>3581</v>
      </c>
      <c r="D16" s="13" t="s">
        <v>3582</v>
      </c>
      <c r="E16" s="12" t="s">
        <v>169</v>
      </c>
      <c r="F16" s="12" t="s">
        <v>169</v>
      </c>
      <c r="G16" s="13" t="s">
        <v>3583</v>
      </c>
      <c r="H16" s="12" t="s">
        <v>108</v>
      </c>
      <c r="I16" s="12" t="s">
        <v>123</v>
      </c>
      <c r="J16" s="14" t="n">
        <v>46232</v>
      </c>
      <c r="K16" s="13" t="s">
        <v>3584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3585</v>
      </c>
      <c r="B17" s="12" t="s">
        <v>3586</v>
      </c>
      <c r="C17" s="12" t="s">
        <v>3587</v>
      </c>
      <c r="D17" s="13" t="s">
        <v>3588</v>
      </c>
      <c r="E17" s="12" t="s">
        <v>169</v>
      </c>
      <c r="F17" s="12" t="s">
        <v>169</v>
      </c>
      <c r="G17" s="13" t="s">
        <v>3589</v>
      </c>
      <c r="H17" s="12" t="s">
        <v>108</v>
      </c>
      <c r="I17" s="12" t="s">
        <v>123</v>
      </c>
      <c r="J17" s="14" t="n">
        <v>46232</v>
      </c>
      <c r="K17" s="13" t="s">
        <v>3590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3591</v>
      </c>
      <c r="B18" s="12" t="s">
        <v>3592</v>
      </c>
      <c r="C18" s="12" t="s">
        <v>3593</v>
      </c>
      <c r="D18" s="13" t="s">
        <v>3594</v>
      </c>
      <c r="E18" s="12" t="s">
        <v>169</v>
      </c>
      <c r="F18" s="12" t="s">
        <v>169</v>
      </c>
      <c r="G18" s="13" t="s">
        <v>3583</v>
      </c>
      <c r="H18" s="12" t="s">
        <v>108</v>
      </c>
      <c r="I18" s="12" t="s">
        <v>123</v>
      </c>
      <c r="J18" s="14" t="n">
        <v>46232</v>
      </c>
      <c r="K18" s="13" t="s">
        <v>3595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3596</v>
      </c>
      <c r="B19" s="12" t="s">
        <v>3597</v>
      </c>
      <c r="C19" s="12" t="s">
        <v>3598</v>
      </c>
      <c r="D19" s="13" t="s">
        <v>3599</v>
      </c>
      <c r="E19" s="12" t="s">
        <v>169</v>
      </c>
      <c r="F19" s="12" t="s">
        <v>169</v>
      </c>
      <c r="G19" s="13" t="s">
        <v>3600</v>
      </c>
      <c r="H19" s="12" t="s">
        <v>108</v>
      </c>
      <c r="I19" s="12" t="s">
        <v>123</v>
      </c>
      <c r="J19" s="14" t="n">
        <v>46232</v>
      </c>
      <c r="K19" s="13" t="s">
        <v>3601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3602</v>
      </c>
      <c r="B20" s="12" t="s">
        <v>1601</v>
      </c>
      <c r="C20" s="12" t="s">
        <v>3603</v>
      </c>
      <c r="D20" s="13" t="s">
        <v>3604</v>
      </c>
      <c r="E20" s="12" t="s">
        <v>144</v>
      </c>
      <c r="F20" s="12" t="s">
        <v>164</v>
      </c>
      <c r="G20" s="13" t="s">
        <v>3605</v>
      </c>
      <c r="H20" s="12" t="s">
        <v>108</v>
      </c>
      <c r="I20" s="12" t="s">
        <v>123</v>
      </c>
      <c r="J20" s="14" t="n">
        <v>46232</v>
      </c>
      <c r="K20" s="13" t="s">
        <v>3606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3607</v>
      </c>
      <c r="B21" s="12" t="s">
        <v>1705</v>
      </c>
      <c r="C21" s="12" t="s">
        <v>3593</v>
      </c>
      <c r="D21" s="13" t="s">
        <v>3608</v>
      </c>
      <c r="E21" s="12" t="s">
        <v>169</v>
      </c>
      <c r="F21" s="12" t="s">
        <v>179</v>
      </c>
      <c r="G21" s="13" t="s">
        <v>3609</v>
      </c>
      <c r="H21" s="12" t="s">
        <v>108</v>
      </c>
      <c r="I21" s="12" t="s">
        <v>123</v>
      </c>
      <c r="J21" s="14" t="n">
        <v>46232</v>
      </c>
      <c r="K21" s="13" t="s">
        <v>3610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3611</v>
      </c>
      <c r="B22" s="12" t="s">
        <v>3612</v>
      </c>
      <c r="C22" s="12" t="s">
        <v>3613</v>
      </c>
      <c r="D22" s="13" t="s">
        <v>3614</v>
      </c>
      <c r="E22" s="12" t="s">
        <v>169</v>
      </c>
      <c r="F22" s="12" t="s">
        <v>169</v>
      </c>
      <c r="G22" s="13" t="s">
        <v>3615</v>
      </c>
      <c r="H22" s="12" t="s">
        <v>108</v>
      </c>
      <c r="I22" s="12" t="s">
        <v>123</v>
      </c>
      <c r="J22" s="14" t="n">
        <v>46232</v>
      </c>
      <c r="K22" s="13" t="s">
        <v>3616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3617</v>
      </c>
      <c r="B23" s="12" t="s">
        <v>3618</v>
      </c>
      <c r="C23" s="12" t="s">
        <v>3619</v>
      </c>
      <c r="D23" s="13" t="s">
        <v>3620</v>
      </c>
      <c r="E23" s="12" t="s">
        <v>169</v>
      </c>
      <c r="F23" s="12" t="s">
        <v>179</v>
      </c>
      <c r="G23" s="13" t="s">
        <v>3609</v>
      </c>
      <c r="H23" s="12" t="s">
        <v>108</v>
      </c>
      <c r="I23" s="12" t="s">
        <v>123</v>
      </c>
      <c r="J23" s="14" t="n">
        <v>46232</v>
      </c>
      <c r="K23" s="13" t="s">
        <v>3621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3622</v>
      </c>
      <c r="B24" s="12" t="s">
        <v>183</v>
      </c>
      <c r="C24" s="12" t="s">
        <v>3081</v>
      </c>
      <c r="D24" s="13" t="s">
        <v>3623</v>
      </c>
      <c r="E24" s="12" t="s">
        <v>169</v>
      </c>
      <c r="F24" s="12" t="s">
        <v>169</v>
      </c>
      <c r="G24" s="13" t="s">
        <v>3583</v>
      </c>
      <c r="H24" s="12" t="s">
        <v>108</v>
      </c>
      <c r="I24" s="12" t="s">
        <v>123</v>
      </c>
      <c r="J24" s="14" t="n">
        <v>46232</v>
      </c>
      <c r="K24" s="13" t="s">
        <v>3624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3625</v>
      </c>
      <c r="B25" s="12" t="s">
        <v>2544</v>
      </c>
      <c r="C25" s="12" t="s">
        <v>1197</v>
      </c>
      <c r="D25" s="13" t="s">
        <v>3626</v>
      </c>
      <c r="E25" s="12" t="s">
        <v>169</v>
      </c>
      <c r="F25" s="12" t="s">
        <v>169</v>
      </c>
      <c r="G25" s="13" t="s">
        <v>3583</v>
      </c>
      <c r="H25" s="12" t="s">
        <v>108</v>
      </c>
      <c r="I25" s="12" t="s">
        <v>123</v>
      </c>
      <c r="J25" s="14" t="n">
        <v>46232</v>
      </c>
      <c r="K25" s="13" t="s">
        <v>3627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3628</v>
      </c>
      <c r="B26" s="12" t="s">
        <v>2946</v>
      </c>
      <c r="C26" s="12" t="s">
        <v>1197</v>
      </c>
      <c r="D26" s="13" t="s">
        <v>3629</v>
      </c>
      <c r="E26" s="12" t="s">
        <v>169</v>
      </c>
      <c r="F26" s="12" t="s">
        <v>179</v>
      </c>
      <c r="G26" s="13" t="s">
        <v>3609</v>
      </c>
      <c r="H26" s="12" t="s">
        <v>108</v>
      </c>
      <c r="I26" s="12" t="s">
        <v>123</v>
      </c>
      <c r="J26" s="14" t="n">
        <v>46232</v>
      </c>
      <c r="K26" s="13" t="s">
        <v>3630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3631</v>
      </c>
      <c r="B27" s="12" t="s">
        <v>1543</v>
      </c>
      <c r="C27" s="12" t="s">
        <v>1197</v>
      </c>
      <c r="D27" s="13" t="s">
        <v>3632</v>
      </c>
      <c r="E27" s="12" t="s">
        <v>144</v>
      </c>
      <c r="F27" s="12" t="s">
        <v>164</v>
      </c>
      <c r="G27" s="13" t="s">
        <v>3633</v>
      </c>
      <c r="H27" s="12" t="s">
        <v>108</v>
      </c>
      <c r="I27" s="12" t="s">
        <v>123</v>
      </c>
      <c r="J27" s="14" t="n">
        <v>46232</v>
      </c>
      <c r="K27" s="13" t="s">
        <v>3634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3635</v>
      </c>
      <c r="B28" s="12" t="s">
        <v>172</v>
      </c>
      <c r="C28" s="12" t="s">
        <v>3636</v>
      </c>
      <c r="D28" s="13" t="s">
        <v>3637</v>
      </c>
      <c r="E28" s="12" t="s">
        <v>169</v>
      </c>
      <c r="F28" s="12" t="s">
        <v>174</v>
      </c>
      <c r="G28" s="13" t="s">
        <v>3589</v>
      </c>
      <c r="H28" s="12" t="s">
        <v>108</v>
      </c>
      <c r="I28" s="12" t="s">
        <v>123</v>
      </c>
      <c r="J28" s="14" t="n">
        <v>46232</v>
      </c>
      <c r="K28" s="13" t="s">
        <v>3638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3639</v>
      </c>
      <c r="B29" s="12" t="s">
        <v>632</v>
      </c>
      <c r="C29" s="12" t="s">
        <v>1197</v>
      </c>
      <c r="D29" s="13" t="s">
        <v>3640</v>
      </c>
      <c r="E29" s="12" t="s">
        <v>144</v>
      </c>
      <c r="F29" s="12" t="s">
        <v>634</v>
      </c>
      <c r="G29" s="13" t="s">
        <v>3641</v>
      </c>
      <c r="H29" s="12" t="s">
        <v>108</v>
      </c>
      <c r="I29" s="12" t="s">
        <v>123</v>
      </c>
      <c r="J29" s="14" t="n">
        <v>46232</v>
      </c>
      <c r="K29" s="13" t="s">
        <v>3642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3643</v>
      </c>
      <c r="B30" s="12" t="s">
        <v>2961</v>
      </c>
      <c r="C30" s="12" t="s">
        <v>1197</v>
      </c>
      <c r="D30" s="13" t="s">
        <v>3644</v>
      </c>
      <c r="E30" s="12" t="s">
        <v>169</v>
      </c>
      <c r="F30" s="12" t="s">
        <v>179</v>
      </c>
      <c r="G30" s="13" t="s">
        <v>3645</v>
      </c>
      <c r="H30" s="12" t="s">
        <v>108</v>
      </c>
      <c r="I30" s="12" t="s">
        <v>123</v>
      </c>
      <c r="J30" s="14" t="n">
        <v>46232</v>
      </c>
      <c r="K30" s="13" t="s">
        <v>3646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3647</v>
      </c>
      <c r="B31" s="12" t="s">
        <v>2399</v>
      </c>
      <c r="C31" s="12" t="s">
        <v>2623</v>
      </c>
      <c r="D31" s="13" t="s">
        <v>3648</v>
      </c>
      <c r="E31" s="12" t="s">
        <v>144</v>
      </c>
      <c r="F31" s="12" t="s">
        <v>2625</v>
      </c>
      <c r="G31" s="13" t="s">
        <v>3649</v>
      </c>
      <c r="H31" s="12" t="s">
        <v>108</v>
      </c>
      <c r="I31" s="12" t="s">
        <v>123</v>
      </c>
      <c r="J31" s="14" t="n">
        <v>46232</v>
      </c>
      <c r="K31" s="13" t="s">
        <v>3650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3651</v>
      </c>
      <c r="B32" s="12" t="s">
        <v>206</v>
      </c>
      <c r="C32" s="12" t="s">
        <v>2628</v>
      </c>
      <c r="D32" s="13" t="s">
        <v>3652</v>
      </c>
      <c r="E32" s="12" t="s">
        <v>144</v>
      </c>
      <c r="F32" s="12" t="s">
        <v>2625</v>
      </c>
      <c r="G32" s="13" t="s">
        <v>3653</v>
      </c>
      <c r="H32" s="12" t="s">
        <v>108</v>
      </c>
      <c r="I32" s="12" t="s">
        <v>123</v>
      </c>
      <c r="J32" s="14" t="n">
        <v>46232</v>
      </c>
      <c r="K32" s="13" t="s">
        <v>3654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3655</v>
      </c>
      <c r="B33" s="12" t="s">
        <v>210</v>
      </c>
      <c r="C33" s="12" t="s">
        <v>3656</v>
      </c>
      <c r="D33" s="13" t="s">
        <v>3657</v>
      </c>
      <c r="E33" s="12" t="s">
        <v>212</v>
      </c>
      <c r="F33" s="12" t="s">
        <v>212</v>
      </c>
      <c r="G33" s="13" t="s">
        <v>213</v>
      </c>
      <c r="H33" s="12" t="s">
        <v>108</v>
      </c>
      <c r="I33" s="12" t="s">
        <v>123</v>
      </c>
      <c r="J33" s="14" t="n">
        <v>46232</v>
      </c>
      <c r="K33" s="13" t="s">
        <v>3658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3659</v>
      </c>
      <c r="B34" s="12" t="s">
        <v>197</v>
      </c>
      <c r="C34" s="12" t="s">
        <v>1197</v>
      </c>
      <c r="D34" s="13" t="s">
        <v>3660</v>
      </c>
      <c r="E34" s="12" t="s">
        <v>2975</v>
      </c>
      <c r="F34" s="12" t="s">
        <v>185</v>
      </c>
      <c r="G34" s="13" t="s">
        <v>3661</v>
      </c>
      <c r="H34" s="12" t="s">
        <v>102</v>
      </c>
      <c r="I34" s="12" t="s">
        <v>122</v>
      </c>
      <c r="J34" s="14" t="n">
        <v>46232</v>
      </c>
      <c r="K34" s="13" t="s">
        <v>3662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3663</v>
      </c>
      <c r="B35" s="12" t="s">
        <v>215</v>
      </c>
      <c r="C35" s="12" t="s">
        <v>2641</v>
      </c>
      <c r="D35" s="13" t="s">
        <v>3664</v>
      </c>
      <c r="E35" s="12" t="s">
        <v>144</v>
      </c>
      <c r="F35" s="12" t="s">
        <v>144</v>
      </c>
      <c r="G35" s="13" t="s">
        <v>217</v>
      </c>
      <c r="H35" s="12" t="s">
        <v>108</v>
      </c>
      <c r="I35" s="12" t="s">
        <v>123</v>
      </c>
      <c r="J35" s="14" t="n">
        <v>46232</v>
      </c>
      <c r="K35" s="13" t="s">
        <v>3665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3666</v>
      </c>
      <c r="B36" s="12" t="s">
        <v>2719</v>
      </c>
      <c r="C36" s="12" t="s">
        <v>1197</v>
      </c>
      <c r="D36" s="13" t="s">
        <v>3667</v>
      </c>
      <c r="E36" s="12" t="s">
        <v>144</v>
      </c>
      <c r="F36" s="12" t="s">
        <v>2625</v>
      </c>
      <c r="G36" s="13" t="s">
        <v>3649</v>
      </c>
      <c r="H36" s="12" t="s">
        <v>108</v>
      </c>
      <c r="I36" s="12" t="s">
        <v>123</v>
      </c>
      <c r="J36" s="14" t="n">
        <v>46232</v>
      </c>
      <c r="K36" s="13" t="s">
        <v>2985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3669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126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3438</v>
      </c>
      <c r="B9" s="12" t="s">
        <v>100</v>
      </c>
      <c r="C9" s="12" t="s">
        <v>3670</v>
      </c>
      <c r="D9" s="13" t="s">
        <v>3671</v>
      </c>
      <c r="E9" s="12" t="s">
        <v>144</v>
      </c>
      <c r="F9" s="12" t="s">
        <v>145</v>
      </c>
      <c r="G9" s="13" t="s">
        <v>3672</v>
      </c>
      <c r="H9" s="12" t="s">
        <v>108</v>
      </c>
      <c r="I9" s="12" t="s">
        <v>123</v>
      </c>
      <c r="J9" s="14" t="n">
        <v>46232</v>
      </c>
      <c r="K9" s="13" t="s">
        <v>3673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3442</v>
      </c>
      <c r="B10" s="12" t="s">
        <v>1355</v>
      </c>
      <c r="C10" s="12" t="s">
        <v>3670</v>
      </c>
      <c r="D10" s="13" t="s">
        <v>3674</v>
      </c>
      <c r="E10" s="12" t="s">
        <v>144</v>
      </c>
      <c r="F10" s="12" t="s">
        <v>164</v>
      </c>
      <c r="G10" s="13" t="s">
        <v>3675</v>
      </c>
      <c r="H10" s="12" t="s">
        <v>108</v>
      </c>
      <c r="I10" s="12" t="s">
        <v>123</v>
      </c>
      <c r="J10" s="14" t="n">
        <v>46232</v>
      </c>
      <c r="K10" s="13" t="s">
        <v>3676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3446</v>
      </c>
      <c r="B11" s="12" t="s">
        <v>148</v>
      </c>
      <c r="C11" s="12" t="s">
        <v>3677</v>
      </c>
      <c r="D11" s="13" t="s">
        <v>3678</v>
      </c>
      <c r="E11" s="12" t="s">
        <v>144</v>
      </c>
      <c r="F11" s="12" t="s">
        <v>144</v>
      </c>
      <c r="G11" s="13" t="s">
        <v>2903</v>
      </c>
      <c r="H11" s="12" t="s">
        <v>108</v>
      </c>
      <c r="I11" s="12" t="s">
        <v>123</v>
      </c>
      <c r="J11" s="14" t="n">
        <v>46232</v>
      </c>
      <c r="K11" s="13" t="s">
        <v>3679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3450</v>
      </c>
      <c r="B12" s="12" t="s">
        <v>152</v>
      </c>
      <c r="C12" s="12" t="s">
        <v>3670</v>
      </c>
      <c r="D12" s="13" t="s">
        <v>3680</v>
      </c>
      <c r="E12" s="12" t="s">
        <v>144</v>
      </c>
      <c r="F12" s="12" t="s">
        <v>154</v>
      </c>
      <c r="G12" s="13" t="s">
        <v>3681</v>
      </c>
      <c r="H12" s="12" t="s">
        <v>108</v>
      </c>
      <c r="I12" s="12" t="s">
        <v>123</v>
      </c>
      <c r="J12" s="14" t="n">
        <v>46232</v>
      </c>
      <c r="K12" s="13" t="s">
        <v>3682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3454</v>
      </c>
      <c r="B13" s="12" t="s">
        <v>1323</v>
      </c>
      <c r="C13" s="12" t="s">
        <v>3670</v>
      </c>
      <c r="D13" s="13" t="s">
        <v>3683</v>
      </c>
      <c r="E13" s="12" t="s">
        <v>144</v>
      </c>
      <c r="F13" s="12" t="s">
        <v>144</v>
      </c>
      <c r="G13" s="13" t="s">
        <v>592</v>
      </c>
      <c r="H13" s="12" t="s">
        <v>108</v>
      </c>
      <c r="I13" s="12" t="s">
        <v>123</v>
      </c>
      <c r="J13" s="14" t="n">
        <v>46232</v>
      </c>
      <c r="K13" s="13" t="s">
        <v>3684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3458</v>
      </c>
      <c r="B14" s="12" t="s">
        <v>157</v>
      </c>
      <c r="C14" s="12" t="s">
        <v>813</v>
      </c>
      <c r="D14" s="13" t="s">
        <v>3685</v>
      </c>
      <c r="E14" s="12" t="s">
        <v>144</v>
      </c>
      <c r="F14" s="12" t="s">
        <v>159</v>
      </c>
      <c r="G14" s="13" t="s">
        <v>3686</v>
      </c>
      <c r="H14" s="12" t="s">
        <v>108</v>
      </c>
      <c r="I14" s="12" t="s">
        <v>123</v>
      </c>
      <c r="J14" s="14" t="n">
        <v>46232</v>
      </c>
      <c r="K14" s="13" t="s">
        <v>3687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3463</v>
      </c>
      <c r="B15" s="12" t="s">
        <v>3688</v>
      </c>
      <c r="C15" s="12" t="s">
        <v>813</v>
      </c>
      <c r="D15" s="13" t="s">
        <v>3689</v>
      </c>
      <c r="E15" s="12" t="s">
        <v>169</v>
      </c>
      <c r="F15" s="12" t="s">
        <v>169</v>
      </c>
      <c r="G15" s="13" t="s">
        <v>3690</v>
      </c>
      <c r="H15" s="12" t="s">
        <v>108</v>
      </c>
      <c r="I15" s="12" t="s">
        <v>123</v>
      </c>
      <c r="J15" s="14" t="n">
        <v>46232</v>
      </c>
      <c r="K15" s="13" t="s">
        <v>3691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3467</v>
      </c>
      <c r="B16" s="12" t="s">
        <v>1795</v>
      </c>
      <c r="C16" s="12" t="s">
        <v>3670</v>
      </c>
      <c r="D16" s="13" t="s">
        <v>3692</v>
      </c>
      <c r="E16" s="12" t="s">
        <v>169</v>
      </c>
      <c r="F16" s="12" t="s">
        <v>169</v>
      </c>
      <c r="G16" s="13" t="s">
        <v>3693</v>
      </c>
      <c r="H16" s="12" t="s">
        <v>108</v>
      </c>
      <c r="I16" s="12" t="s">
        <v>123</v>
      </c>
      <c r="J16" s="14" t="n">
        <v>46232</v>
      </c>
      <c r="K16" s="13" t="s">
        <v>3694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3471</v>
      </c>
      <c r="B17" s="12" t="s">
        <v>3695</v>
      </c>
      <c r="C17" s="12" t="s">
        <v>3670</v>
      </c>
      <c r="D17" s="13" t="s">
        <v>3696</v>
      </c>
      <c r="E17" s="12" t="s">
        <v>169</v>
      </c>
      <c r="F17" s="12" t="s">
        <v>169</v>
      </c>
      <c r="G17" s="13" t="s">
        <v>3690</v>
      </c>
      <c r="H17" s="12" t="s">
        <v>108</v>
      </c>
      <c r="I17" s="12" t="s">
        <v>123</v>
      </c>
      <c r="J17" s="14" t="n">
        <v>46232</v>
      </c>
      <c r="K17" s="13" t="s">
        <v>3697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3474</v>
      </c>
      <c r="B18" s="12" t="s">
        <v>192</v>
      </c>
      <c r="C18" s="12" t="s">
        <v>3670</v>
      </c>
      <c r="D18" s="13" t="s">
        <v>3698</v>
      </c>
      <c r="E18" s="12" t="s">
        <v>169</v>
      </c>
      <c r="F18" s="12" t="s">
        <v>169</v>
      </c>
      <c r="G18" s="13" t="s">
        <v>3699</v>
      </c>
      <c r="H18" s="12" t="s">
        <v>108</v>
      </c>
      <c r="I18" s="12" t="s">
        <v>123</v>
      </c>
      <c r="J18" s="14" t="n">
        <v>46232</v>
      </c>
      <c r="K18" s="13" t="s">
        <v>2932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3478</v>
      </c>
      <c r="B19" s="12" t="s">
        <v>3700</v>
      </c>
      <c r="C19" s="12" t="s">
        <v>813</v>
      </c>
      <c r="D19" s="13" t="s">
        <v>3701</v>
      </c>
      <c r="E19" s="12" t="s">
        <v>169</v>
      </c>
      <c r="F19" s="12" t="s">
        <v>169</v>
      </c>
      <c r="G19" s="13" t="s">
        <v>3702</v>
      </c>
      <c r="H19" s="12" t="s">
        <v>108</v>
      </c>
      <c r="I19" s="12" t="s">
        <v>123</v>
      </c>
      <c r="J19" s="14" t="n">
        <v>46232</v>
      </c>
      <c r="K19" s="13" t="s">
        <v>3703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3482</v>
      </c>
      <c r="B20" s="12" t="s">
        <v>3704</v>
      </c>
      <c r="C20" s="12" t="s">
        <v>813</v>
      </c>
      <c r="D20" s="13" t="s">
        <v>3705</v>
      </c>
      <c r="E20" s="12" t="s">
        <v>169</v>
      </c>
      <c r="F20" s="12" t="s">
        <v>169</v>
      </c>
      <c r="G20" s="13" t="s">
        <v>3702</v>
      </c>
      <c r="H20" s="12" t="s">
        <v>108</v>
      </c>
      <c r="I20" s="12" t="s">
        <v>123</v>
      </c>
      <c r="J20" s="14" t="n">
        <v>46232</v>
      </c>
      <c r="K20" s="13" t="s">
        <v>3706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3486</v>
      </c>
      <c r="B21" s="12" t="s">
        <v>172</v>
      </c>
      <c r="C21" s="12" t="s">
        <v>3670</v>
      </c>
      <c r="D21" s="13" t="s">
        <v>3707</v>
      </c>
      <c r="E21" s="12" t="s">
        <v>169</v>
      </c>
      <c r="F21" s="12" t="s">
        <v>174</v>
      </c>
      <c r="G21" s="13" t="s">
        <v>3690</v>
      </c>
      <c r="H21" s="12" t="s">
        <v>108</v>
      </c>
      <c r="I21" s="12" t="s">
        <v>123</v>
      </c>
      <c r="J21" s="14" t="n">
        <v>46232</v>
      </c>
      <c r="K21" s="13" t="s">
        <v>3708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3489</v>
      </c>
      <c r="B22" s="12" t="s">
        <v>177</v>
      </c>
      <c r="C22" s="12" t="s">
        <v>813</v>
      </c>
      <c r="D22" s="13" t="s">
        <v>3709</v>
      </c>
      <c r="E22" s="12" t="s">
        <v>169</v>
      </c>
      <c r="F22" s="12" t="s">
        <v>179</v>
      </c>
      <c r="G22" s="13" t="s">
        <v>3710</v>
      </c>
      <c r="H22" s="12" t="s">
        <v>110</v>
      </c>
      <c r="I22" s="12" t="s">
        <v>122</v>
      </c>
      <c r="J22" s="14" t="n">
        <v>46232</v>
      </c>
      <c r="K22" s="13" t="s">
        <v>3711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3493</v>
      </c>
      <c r="B23" s="12" t="s">
        <v>632</v>
      </c>
      <c r="C23" s="12" t="s">
        <v>3677</v>
      </c>
      <c r="D23" s="13" t="s">
        <v>3712</v>
      </c>
      <c r="E23" s="12" t="s">
        <v>144</v>
      </c>
      <c r="F23" s="12" t="s">
        <v>634</v>
      </c>
      <c r="G23" s="13" t="s">
        <v>3713</v>
      </c>
      <c r="H23" s="12" t="s">
        <v>108</v>
      </c>
      <c r="I23" s="12" t="s">
        <v>123</v>
      </c>
      <c r="J23" s="14" t="n">
        <v>46232</v>
      </c>
      <c r="K23" s="13" t="s">
        <v>3714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3497</v>
      </c>
      <c r="B24" s="12" t="s">
        <v>201</v>
      </c>
      <c r="C24" s="12" t="s">
        <v>3677</v>
      </c>
      <c r="D24" s="13" t="s">
        <v>3715</v>
      </c>
      <c r="E24" s="12" t="s">
        <v>144</v>
      </c>
      <c r="F24" s="12" t="s">
        <v>203</v>
      </c>
      <c r="G24" s="13" t="s">
        <v>3716</v>
      </c>
      <c r="H24" s="12" t="s">
        <v>108</v>
      </c>
      <c r="I24" s="12" t="s">
        <v>123</v>
      </c>
      <c r="J24" s="14" t="n">
        <v>46232</v>
      </c>
      <c r="K24" s="13" t="s">
        <v>3717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3718</v>
      </c>
      <c r="B25" s="12" t="s">
        <v>206</v>
      </c>
      <c r="C25" s="12" t="s">
        <v>3677</v>
      </c>
      <c r="D25" s="13" t="s">
        <v>3719</v>
      </c>
      <c r="E25" s="12" t="s">
        <v>144</v>
      </c>
      <c r="F25" s="12" t="s">
        <v>203</v>
      </c>
      <c r="G25" s="13" t="s">
        <v>3720</v>
      </c>
      <c r="H25" s="12" t="s">
        <v>108</v>
      </c>
      <c r="I25" s="12" t="s">
        <v>123</v>
      </c>
      <c r="J25" s="14" t="n">
        <v>46232</v>
      </c>
      <c r="K25" s="13" t="s">
        <v>3721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3722</v>
      </c>
      <c r="B26" s="12" t="s">
        <v>210</v>
      </c>
      <c r="C26" s="12" t="s">
        <v>3670</v>
      </c>
      <c r="D26" s="13" t="s">
        <v>3723</v>
      </c>
      <c r="E26" s="12" t="s">
        <v>212</v>
      </c>
      <c r="F26" s="12" t="s">
        <v>212</v>
      </c>
      <c r="G26" s="13" t="s">
        <v>213</v>
      </c>
      <c r="H26" s="12" t="s">
        <v>108</v>
      </c>
      <c r="I26" s="12" t="s">
        <v>123</v>
      </c>
      <c r="J26" s="14" t="n">
        <v>46232</v>
      </c>
      <c r="K26" s="13" t="s">
        <v>3724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3725</v>
      </c>
      <c r="B27" s="12" t="s">
        <v>197</v>
      </c>
      <c r="C27" s="12" t="s">
        <v>3677</v>
      </c>
      <c r="D27" s="13" t="s">
        <v>3726</v>
      </c>
      <c r="E27" s="12" t="s">
        <v>144</v>
      </c>
      <c r="F27" s="12" t="s">
        <v>185</v>
      </c>
      <c r="G27" s="13" t="s">
        <v>3727</v>
      </c>
      <c r="H27" s="12" t="s">
        <v>102</v>
      </c>
      <c r="I27" s="12" t="s">
        <v>122</v>
      </c>
      <c r="J27" s="14" t="n">
        <v>46232</v>
      </c>
      <c r="K27" s="13" t="s">
        <v>3728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3729</v>
      </c>
      <c r="B28" s="12" t="s">
        <v>215</v>
      </c>
      <c r="C28" s="12" t="s">
        <v>3677</v>
      </c>
      <c r="D28" s="13" t="s">
        <v>2266</v>
      </c>
      <c r="E28" s="12" t="s">
        <v>144</v>
      </c>
      <c r="F28" s="12" t="s">
        <v>144</v>
      </c>
      <c r="G28" s="13" t="s">
        <v>217</v>
      </c>
      <c r="H28" s="12" t="s">
        <v>108</v>
      </c>
      <c r="I28" s="12" t="s">
        <v>123</v>
      </c>
      <c r="J28" s="14" t="n">
        <v>46232</v>
      </c>
      <c r="K28" s="13" t="s">
        <v>3730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8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126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3733</v>
      </c>
      <c r="B9" s="12" t="s">
        <v>100</v>
      </c>
      <c r="C9" s="12" t="s">
        <v>86</v>
      </c>
      <c r="D9" s="13" t="s">
        <v>3734</v>
      </c>
      <c r="E9" s="12" t="s">
        <v>144</v>
      </c>
      <c r="F9" s="12" t="s">
        <v>145</v>
      </c>
      <c r="G9" s="13" t="s">
        <v>3735</v>
      </c>
      <c r="H9" s="12" t="s">
        <v>108</v>
      </c>
      <c r="I9" s="12" t="s">
        <v>123</v>
      </c>
      <c r="J9" s="14" t="n">
        <v>46232</v>
      </c>
      <c r="K9" s="13" t="s">
        <v>3736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3737</v>
      </c>
      <c r="B10" s="12" t="s">
        <v>1355</v>
      </c>
      <c r="C10" s="12" t="s">
        <v>813</v>
      </c>
      <c r="D10" s="13" t="s">
        <v>3738</v>
      </c>
      <c r="E10" s="12" t="s">
        <v>144</v>
      </c>
      <c r="F10" s="12" t="s">
        <v>164</v>
      </c>
      <c r="G10" s="13" t="s">
        <v>3739</v>
      </c>
      <c r="H10" s="12" t="s">
        <v>108</v>
      </c>
      <c r="I10" s="12" t="s">
        <v>123</v>
      </c>
      <c r="J10" s="14" t="n">
        <v>46232</v>
      </c>
      <c r="K10" s="13" t="s">
        <v>3740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3741</v>
      </c>
      <c r="B11" s="12" t="s">
        <v>148</v>
      </c>
      <c r="C11" s="12" t="s">
        <v>86</v>
      </c>
      <c r="D11" s="13" t="s">
        <v>3742</v>
      </c>
      <c r="E11" s="12" t="s">
        <v>144</v>
      </c>
      <c r="F11" s="12" t="s">
        <v>144</v>
      </c>
      <c r="G11" s="13" t="s">
        <v>2903</v>
      </c>
      <c r="H11" s="12" t="s">
        <v>108</v>
      </c>
      <c r="I11" s="12" t="s">
        <v>123</v>
      </c>
      <c r="J11" s="14" t="n">
        <v>46232</v>
      </c>
      <c r="K11" s="13" t="s">
        <v>3743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3744</v>
      </c>
      <c r="B12" s="12" t="s">
        <v>152</v>
      </c>
      <c r="C12" s="12" t="s">
        <v>2421</v>
      </c>
      <c r="D12" s="13" t="s">
        <v>3745</v>
      </c>
      <c r="E12" s="12" t="s">
        <v>144</v>
      </c>
      <c r="F12" s="12" t="s">
        <v>154</v>
      </c>
      <c r="G12" s="13" t="s">
        <v>3746</v>
      </c>
      <c r="H12" s="12" t="s">
        <v>108</v>
      </c>
      <c r="I12" s="12" t="s">
        <v>123</v>
      </c>
      <c r="J12" s="14" t="n">
        <v>46232</v>
      </c>
      <c r="K12" s="13" t="s">
        <v>3747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3748</v>
      </c>
      <c r="B13" s="12" t="s">
        <v>1323</v>
      </c>
      <c r="C13" s="12" t="s">
        <v>813</v>
      </c>
      <c r="D13" s="13" t="s">
        <v>3749</v>
      </c>
      <c r="E13" s="12" t="s">
        <v>144</v>
      </c>
      <c r="F13" s="12" t="s">
        <v>144</v>
      </c>
      <c r="G13" s="13" t="s">
        <v>1325</v>
      </c>
      <c r="H13" s="12" t="s">
        <v>108</v>
      </c>
      <c r="I13" s="12" t="s">
        <v>123</v>
      </c>
      <c r="J13" s="14" t="n">
        <v>46232</v>
      </c>
      <c r="K13" s="13" t="s">
        <v>3750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3751</v>
      </c>
      <c r="B14" s="12" t="s">
        <v>157</v>
      </c>
      <c r="C14" s="12" t="s">
        <v>813</v>
      </c>
      <c r="D14" s="13" t="s">
        <v>3752</v>
      </c>
      <c r="E14" s="12" t="s">
        <v>144</v>
      </c>
      <c r="F14" s="12" t="s">
        <v>159</v>
      </c>
      <c r="G14" s="13" t="s">
        <v>3753</v>
      </c>
      <c r="H14" s="12" t="s">
        <v>108</v>
      </c>
      <c r="I14" s="12" t="s">
        <v>123</v>
      </c>
      <c r="J14" s="14" t="n">
        <v>46232</v>
      </c>
      <c r="K14" s="13" t="s">
        <v>3754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3755</v>
      </c>
      <c r="B15" s="12" t="s">
        <v>3756</v>
      </c>
      <c r="C15" s="12" t="s">
        <v>813</v>
      </c>
      <c r="D15" s="13" t="s">
        <v>3757</v>
      </c>
      <c r="E15" s="12" t="s">
        <v>169</v>
      </c>
      <c r="F15" s="12" t="s">
        <v>169</v>
      </c>
      <c r="G15" s="13" t="s">
        <v>3758</v>
      </c>
      <c r="H15" s="12" t="s">
        <v>108</v>
      </c>
      <c r="I15" s="12" t="s">
        <v>123</v>
      </c>
      <c r="J15" s="14" t="n">
        <v>46232</v>
      </c>
      <c r="K15" s="13" t="s">
        <v>3759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3760</v>
      </c>
      <c r="B16" s="12" t="s">
        <v>3761</v>
      </c>
      <c r="C16" s="12" t="s">
        <v>813</v>
      </c>
      <c r="D16" s="13" t="s">
        <v>3762</v>
      </c>
      <c r="E16" s="12" t="s">
        <v>169</v>
      </c>
      <c r="F16" s="12" t="s">
        <v>169</v>
      </c>
      <c r="G16" s="13" t="s">
        <v>3758</v>
      </c>
      <c r="H16" s="12" t="s">
        <v>108</v>
      </c>
      <c r="I16" s="12" t="s">
        <v>123</v>
      </c>
      <c r="J16" s="14" t="n">
        <v>46232</v>
      </c>
      <c r="K16" s="13" t="s">
        <v>3763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3764</v>
      </c>
      <c r="B17" s="12" t="s">
        <v>3765</v>
      </c>
      <c r="C17" s="12" t="s">
        <v>3022</v>
      </c>
      <c r="D17" s="13" t="s">
        <v>3766</v>
      </c>
      <c r="E17" s="12" t="s">
        <v>169</v>
      </c>
      <c r="F17" s="12" t="s">
        <v>169</v>
      </c>
      <c r="G17" s="13" t="s">
        <v>3758</v>
      </c>
      <c r="H17" s="12" t="s">
        <v>108</v>
      </c>
      <c r="I17" s="12" t="s">
        <v>123</v>
      </c>
      <c r="J17" s="14" t="n">
        <v>46232</v>
      </c>
      <c r="K17" s="13" t="s">
        <v>3767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3768</v>
      </c>
      <c r="B18" s="12" t="s">
        <v>3769</v>
      </c>
      <c r="C18" s="12" t="s">
        <v>3022</v>
      </c>
      <c r="D18" s="13" t="s">
        <v>3770</v>
      </c>
      <c r="E18" s="12" t="s">
        <v>169</v>
      </c>
      <c r="F18" s="12" t="s">
        <v>174</v>
      </c>
      <c r="G18" s="13" t="s">
        <v>3758</v>
      </c>
      <c r="H18" s="12" t="s">
        <v>108</v>
      </c>
      <c r="I18" s="12" t="s">
        <v>123</v>
      </c>
      <c r="J18" s="14" t="n">
        <v>46232</v>
      </c>
      <c r="K18" s="13" t="s">
        <v>3771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3772</v>
      </c>
      <c r="B19" s="12" t="s">
        <v>192</v>
      </c>
      <c r="C19" s="12" t="s">
        <v>3773</v>
      </c>
      <c r="D19" s="13" t="s">
        <v>3774</v>
      </c>
      <c r="E19" s="12" t="s">
        <v>169</v>
      </c>
      <c r="F19" s="12" t="s">
        <v>169</v>
      </c>
      <c r="G19" s="13" t="s">
        <v>3758</v>
      </c>
      <c r="H19" s="12" t="s">
        <v>108</v>
      </c>
      <c r="I19" s="12" t="s">
        <v>123</v>
      </c>
      <c r="J19" s="14" t="n">
        <v>46232</v>
      </c>
      <c r="K19" s="13" t="s">
        <v>3775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3776</v>
      </c>
      <c r="B20" s="12" t="s">
        <v>3777</v>
      </c>
      <c r="C20" s="12" t="s">
        <v>813</v>
      </c>
      <c r="D20" s="13" t="s">
        <v>3778</v>
      </c>
      <c r="E20" s="12" t="s">
        <v>144</v>
      </c>
      <c r="F20" s="12" t="s">
        <v>164</v>
      </c>
      <c r="G20" s="13" t="s">
        <v>3739</v>
      </c>
      <c r="H20" s="12" t="s">
        <v>108</v>
      </c>
      <c r="I20" s="12" t="s">
        <v>123</v>
      </c>
      <c r="J20" s="14" t="n">
        <v>46232</v>
      </c>
      <c r="K20" s="13" t="s">
        <v>3779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3780</v>
      </c>
      <c r="B21" s="12" t="s">
        <v>2930</v>
      </c>
      <c r="C21" s="12" t="s">
        <v>813</v>
      </c>
      <c r="D21" s="13" t="s">
        <v>3781</v>
      </c>
      <c r="E21" s="12" t="s">
        <v>144</v>
      </c>
      <c r="F21" s="12" t="s">
        <v>164</v>
      </c>
      <c r="G21" s="13" t="s">
        <v>3782</v>
      </c>
      <c r="H21" s="12" t="s">
        <v>108</v>
      </c>
      <c r="I21" s="12" t="s">
        <v>123</v>
      </c>
      <c r="J21" s="14" t="n">
        <v>46232</v>
      </c>
      <c r="K21" s="13" t="s">
        <v>3783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3784</v>
      </c>
      <c r="B22" s="12" t="s">
        <v>2486</v>
      </c>
      <c r="C22" s="12" t="s">
        <v>3022</v>
      </c>
      <c r="D22" s="13" t="s">
        <v>3785</v>
      </c>
      <c r="E22" s="12" t="s">
        <v>169</v>
      </c>
      <c r="F22" s="12" t="s">
        <v>169</v>
      </c>
      <c r="G22" s="13" t="s">
        <v>3786</v>
      </c>
      <c r="H22" s="12" t="s">
        <v>108</v>
      </c>
      <c r="I22" s="12" t="s">
        <v>123</v>
      </c>
      <c r="J22" s="14" t="n">
        <v>46232</v>
      </c>
      <c r="K22" s="13" t="s">
        <v>3787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3788</v>
      </c>
      <c r="B23" s="12" t="s">
        <v>172</v>
      </c>
      <c r="C23" s="12" t="s">
        <v>3022</v>
      </c>
      <c r="D23" s="13" t="s">
        <v>3789</v>
      </c>
      <c r="E23" s="12" t="s">
        <v>169</v>
      </c>
      <c r="F23" s="12" t="s">
        <v>174</v>
      </c>
      <c r="G23" s="13" t="s">
        <v>3758</v>
      </c>
      <c r="H23" s="12" t="s">
        <v>108</v>
      </c>
      <c r="I23" s="12" t="s">
        <v>123</v>
      </c>
      <c r="J23" s="14" t="n">
        <v>46232</v>
      </c>
      <c r="K23" s="13" t="s">
        <v>3790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3791</v>
      </c>
      <c r="B24" s="12" t="s">
        <v>632</v>
      </c>
      <c r="C24" s="12" t="s">
        <v>86</v>
      </c>
      <c r="D24" s="13" t="s">
        <v>3792</v>
      </c>
      <c r="E24" s="12" t="s">
        <v>144</v>
      </c>
      <c r="F24" s="12" t="s">
        <v>634</v>
      </c>
      <c r="G24" s="13" t="s">
        <v>3793</v>
      </c>
      <c r="H24" s="12" t="s">
        <v>108</v>
      </c>
      <c r="I24" s="12" t="s">
        <v>123</v>
      </c>
      <c r="J24" s="14" t="n">
        <v>46232</v>
      </c>
      <c r="K24" s="13" t="s">
        <v>3794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3795</v>
      </c>
      <c r="B25" s="12" t="s">
        <v>177</v>
      </c>
      <c r="C25" s="12" t="s">
        <v>3022</v>
      </c>
      <c r="D25" s="13" t="s">
        <v>3796</v>
      </c>
      <c r="E25" s="12" t="s">
        <v>169</v>
      </c>
      <c r="F25" s="12" t="s">
        <v>179</v>
      </c>
      <c r="G25" s="13" t="s">
        <v>3797</v>
      </c>
      <c r="H25" s="12" t="s">
        <v>110</v>
      </c>
      <c r="I25" s="12" t="s">
        <v>122</v>
      </c>
      <c r="J25" s="14" t="n">
        <v>46232</v>
      </c>
      <c r="K25" s="13" t="s">
        <v>3798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3799</v>
      </c>
      <c r="B26" s="12" t="s">
        <v>2399</v>
      </c>
      <c r="C26" s="12" t="s">
        <v>2623</v>
      </c>
      <c r="D26" s="13" t="s">
        <v>3800</v>
      </c>
      <c r="E26" s="12" t="s">
        <v>144</v>
      </c>
      <c r="F26" s="12" t="s">
        <v>2625</v>
      </c>
      <c r="G26" s="13" t="s">
        <v>3801</v>
      </c>
      <c r="H26" s="12" t="s">
        <v>108</v>
      </c>
      <c r="I26" s="12" t="s">
        <v>123</v>
      </c>
      <c r="J26" s="14" t="n">
        <v>46232</v>
      </c>
      <c r="K26" s="13" t="s">
        <v>3802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3803</v>
      </c>
      <c r="B27" s="12" t="s">
        <v>206</v>
      </c>
      <c r="C27" s="12" t="s">
        <v>2628</v>
      </c>
      <c r="D27" s="13" t="s">
        <v>3804</v>
      </c>
      <c r="E27" s="12" t="s">
        <v>144</v>
      </c>
      <c r="F27" s="12" t="s">
        <v>2625</v>
      </c>
      <c r="G27" s="13" t="s">
        <v>3805</v>
      </c>
      <c r="H27" s="12" t="s">
        <v>108</v>
      </c>
      <c r="I27" s="12" t="s">
        <v>123</v>
      </c>
      <c r="J27" s="14" t="n">
        <v>46232</v>
      </c>
      <c r="K27" s="13" t="s">
        <v>3721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3806</v>
      </c>
      <c r="B28" s="12" t="s">
        <v>210</v>
      </c>
      <c r="C28" s="12" t="s">
        <v>813</v>
      </c>
      <c r="D28" s="13" t="s">
        <v>3807</v>
      </c>
      <c r="E28" s="12" t="s">
        <v>212</v>
      </c>
      <c r="F28" s="12" t="s">
        <v>212</v>
      </c>
      <c r="G28" s="13" t="s">
        <v>3808</v>
      </c>
      <c r="H28" s="12" t="s">
        <v>108</v>
      </c>
      <c r="I28" s="12" t="s">
        <v>123</v>
      </c>
      <c r="J28" s="14" t="n">
        <v>46232</v>
      </c>
      <c r="K28" s="13" t="s">
        <v>3809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3810</v>
      </c>
      <c r="B29" s="12" t="s">
        <v>197</v>
      </c>
      <c r="C29" s="12" t="s">
        <v>86</v>
      </c>
      <c r="D29" s="13" t="s">
        <v>3811</v>
      </c>
      <c r="E29" s="12" t="s">
        <v>144</v>
      </c>
      <c r="F29" s="12" t="s">
        <v>185</v>
      </c>
      <c r="G29" s="13" t="s">
        <v>3812</v>
      </c>
      <c r="H29" s="12" t="s">
        <v>102</v>
      </c>
      <c r="I29" s="12" t="s">
        <v>122</v>
      </c>
      <c r="J29" s="14"/>
      <c r="K29" s="13" t="s">
        <v>3813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3814</v>
      </c>
      <c r="B30" s="12" t="s">
        <v>215</v>
      </c>
      <c r="C30" s="12" t="s">
        <v>86</v>
      </c>
      <c r="D30" s="13" t="s">
        <v>3815</v>
      </c>
      <c r="E30" s="12" t="s">
        <v>144</v>
      </c>
      <c r="F30" s="12" t="s">
        <v>144</v>
      </c>
      <c r="G30" s="13" t="s">
        <v>217</v>
      </c>
      <c r="H30" s="12" t="s">
        <v>108</v>
      </c>
      <c r="I30" s="12" t="s">
        <v>123</v>
      </c>
      <c r="J30" s="14" t="n">
        <v>46232</v>
      </c>
      <c r="K30" s="13" t="s">
        <v>3816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126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3818</v>
      </c>
      <c r="B9" s="12" t="s">
        <v>100</v>
      </c>
      <c r="C9" s="12" t="s">
        <v>87</v>
      </c>
      <c r="D9" s="13" t="s">
        <v>3819</v>
      </c>
      <c r="E9" s="12" t="s">
        <v>144</v>
      </c>
      <c r="F9" s="12" t="s">
        <v>145</v>
      </c>
      <c r="G9" s="13" t="s">
        <v>3820</v>
      </c>
      <c r="H9" s="12" t="s">
        <v>108</v>
      </c>
      <c r="I9" s="12" t="s">
        <v>123</v>
      </c>
      <c r="J9" s="14" t="n">
        <v>46232</v>
      </c>
      <c r="K9" s="13" t="s">
        <v>3736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3821</v>
      </c>
      <c r="B10" s="12" t="s">
        <v>1355</v>
      </c>
      <c r="C10" s="12" t="s">
        <v>813</v>
      </c>
      <c r="D10" s="13" t="s">
        <v>3822</v>
      </c>
      <c r="E10" s="12" t="s">
        <v>144</v>
      </c>
      <c r="F10" s="12" t="s">
        <v>164</v>
      </c>
      <c r="G10" s="13" t="s">
        <v>3823</v>
      </c>
      <c r="H10" s="12" t="s">
        <v>108</v>
      </c>
      <c r="I10" s="12" t="s">
        <v>123</v>
      </c>
      <c r="J10" s="14" t="n">
        <v>46232</v>
      </c>
      <c r="K10" s="13" t="s">
        <v>3740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3824</v>
      </c>
      <c r="B11" s="12" t="s">
        <v>148</v>
      </c>
      <c r="C11" s="12" t="s">
        <v>87</v>
      </c>
      <c r="D11" s="13" t="s">
        <v>3825</v>
      </c>
      <c r="E11" s="12" t="s">
        <v>144</v>
      </c>
      <c r="F11" s="12" t="s">
        <v>144</v>
      </c>
      <c r="G11" s="13" t="s">
        <v>2903</v>
      </c>
      <c r="H11" s="12" t="s">
        <v>108</v>
      </c>
      <c r="I11" s="12" t="s">
        <v>123</v>
      </c>
      <c r="J11" s="14" t="n">
        <v>46232</v>
      </c>
      <c r="K11" s="13" t="s">
        <v>3743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3826</v>
      </c>
      <c r="B12" s="12" t="s">
        <v>152</v>
      </c>
      <c r="C12" s="12" t="s">
        <v>2421</v>
      </c>
      <c r="D12" s="13" t="s">
        <v>3745</v>
      </c>
      <c r="E12" s="12" t="s">
        <v>144</v>
      </c>
      <c r="F12" s="12" t="s">
        <v>154</v>
      </c>
      <c r="G12" s="13" t="s">
        <v>3827</v>
      </c>
      <c r="H12" s="12" t="s">
        <v>108</v>
      </c>
      <c r="I12" s="12" t="s">
        <v>123</v>
      </c>
      <c r="J12" s="14" t="n">
        <v>46232</v>
      </c>
      <c r="K12" s="13" t="s">
        <v>3747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3828</v>
      </c>
      <c r="B13" s="12" t="s">
        <v>1323</v>
      </c>
      <c r="C13" s="12" t="s">
        <v>813</v>
      </c>
      <c r="D13" s="13" t="s">
        <v>3829</v>
      </c>
      <c r="E13" s="12" t="s">
        <v>144</v>
      </c>
      <c r="F13" s="12" t="s">
        <v>144</v>
      </c>
      <c r="G13" s="13" t="s">
        <v>1325</v>
      </c>
      <c r="H13" s="12" t="s">
        <v>108</v>
      </c>
      <c r="I13" s="12" t="s">
        <v>123</v>
      </c>
      <c r="J13" s="14" t="n">
        <v>46232</v>
      </c>
      <c r="K13" s="13" t="s">
        <v>3750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3830</v>
      </c>
      <c r="B14" s="12" t="s">
        <v>157</v>
      </c>
      <c r="C14" s="12" t="s">
        <v>813</v>
      </c>
      <c r="D14" s="13" t="s">
        <v>3831</v>
      </c>
      <c r="E14" s="12" t="s">
        <v>144</v>
      </c>
      <c r="F14" s="12" t="s">
        <v>159</v>
      </c>
      <c r="G14" s="13" t="s">
        <v>3832</v>
      </c>
      <c r="H14" s="12" t="s">
        <v>108</v>
      </c>
      <c r="I14" s="12" t="s">
        <v>123</v>
      </c>
      <c r="J14" s="14" t="n">
        <v>46232</v>
      </c>
      <c r="K14" s="13" t="s">
        <v>3754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3833</v>
      </c>
      <c r="B15" s="12" t="s">
        <v>3756</v>
      </c>
      <c r="C15" s="12" t="s">
        <v>813</v>
      </c>
      <c r="D15" s="13" t="s">
        <v>3834</v>
      </c>
      <c r="E15" s="12" t="s">
        <v>169</v>
      </c>
      <c r="F15" s="12" t="s">
        <v>169</v>
      </c>
      <c r="G15" s="13" t="s">
        <v>3835</v>
      </c>
      <c r="H15" s="12" t="s">
        <v>108</v>
      </c>
      <c r="I15" s="12" t="s">
        <v>123</v>
      </c>
      <c r="J15" s="14" t="n">
        <v>46232</v>
      </c>
      <c r="K15" s="13" t="s">
        <v>3759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3836</v>
      </c>
      <c r="B16" s="12" t="s">
        <v>3761</v>
      </c>
      <c r="C16" s="12" t="s">
        <v>813</v>
      </c>
      <c r="D16" s="13" t="s">
        <v>3762</v>
      </c>
      <c r="E16" s="12" t="s">
        <v>169</v>
      </c>
      <c r="F16" s="12" t="s">
        <v>169</v>
      </c>
      <c r="G16" s="13" t="s">
        <v>3835</v>
      </c>
      <c r="H16" s="12" t="s">
        <v>108</v>
      </c>
      <c r="I16" s="12" t="s">
        <v>123</v>
      </c>
      <c r="J16" s="14" t="n">
        <v>46232</v>
      </c>
      <c r="K16" s="13" t="s">
        <v>3763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3837</v>
      </c>
      <c r="B17" s="12" t="s">
        <v>3765</v>
      </c>
      <c r="C17" s="12" t="s">
        <v>3022</v>
      </c>
      <c r="D17" s="13" t="s">
        <v>3838</v>
      </c>
      <c r="E17" s="12" t="s">
        <v>169</v>
      </c>
      <c r="F17" s="12" t="s">
        <v>169</v>
      </c>
      <c r="G17" s="13" t="s">
        <v>3835</v>
      </c>
      <c r="H17" s="12" t="s">
        <v>108</v>
      </c>
      <c r="I17" s="12" t="s">
        <v>123</v>
      </c>
      <c r="J17" s="14" t="n">
        <v>46232</v>
      </c>
      <c r="K17" s="13" t="s">
        <v>3767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3839</v>
      </c>
      <c r="B18" s="12" t="s">
        <v>3769</v>
      </c>
      <c r="C18" s="12" t="s">
        <v>3022</v>
      </c>
      <c r="D18" s="13" t="s">
        <v>3770</v>
      </c>
      <c r="E18" s="12" t="s">
        <v>169</v>
      </c>
      <c r="F18" s="12" t="s">
        <v>174</v>
      </c>
      <c r="G18" s="13" t="s">
        <v>3835</v>
      </c>
      <c r="H18" s="12" t="s">
        <v>108</v>
      </c>
      <c r="I18" s="12" t="s">
        <v>123</v>
      </c>
      <c r="J18" s="14" t="n">
        <v>46232</v>
      </c>
      <c r="K18" s="13" t="s">
        <v>3771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3840</v>
      </c>
      <c r="B19" s="12" t="s">
        <v>192</v>
      </c>
      <c r="C19" s="12" t="s">
        <v>3841</v>
      </c>
      <c r="D19" s="13" t="s">
        <v>3842</v>
      </c>
      <c r="E19" s="12" t="s">
        <v>169</v>
      </c>
      <c r="F19" s="12" t="s">
        <v>169</v>
      </c>
      <c r="G19" s="13" t="s">
        <v>3835</v>
      </c>
      <c r="H19" s="12" t="s">
        <v>108</v>
      </c>
      <c r="I19" s="12" t="s">
        <v>123</v>
      </c>
      <c r="J19" s="14" t="n">
        <v>46232</v>
      </c>
      <c r="K19" s="13" t="s">
        <v>3775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3843</v>
      </c>
      <c r="B20" s="12" t="s">
        <v>3777</v>
      </c>
      <c r="C20" s="12" t="s">
        <v>813</v>
      </c>
      <c r="D20" s="13" t="s">
        <v>3778</v>
      </c>
      <c r="E20" s="12" t="s">
        <v>144</v>
      </c>
      <c r="F20" s="12" t="s">
        <v>164</v>
      </c>
      <c r="G20" s="13" t="s">
        <v>3823</v>
      </c>
      <c r="H20" s="12" t="s">
        <v>108</v>
      </c>
      <c r="I20" s="12" t="s">
        <v>123</v>
      </c>
      <c r="J20" s="14" t="n">
        <v>46232</v>
      </c>
      <c r="K20" s="13" t="s">
        <v>3779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3844</v>
      </c>
      <c r="B21" s="12" t="s">
        <v>2930</v>
      </c>
      <c r="C21" s="12" t="s">
        <v>813</v>
      </c>
      <c r="D21" s="13" t="s">
        <v>3781</v>
      </c>
      <c r="E21" s="12" t="s">
        <v>144</v>
      </c>
      <c r="F21" s="12" t="s">
        <v>164</v>
      </c>
      <c r="G21" s="13" t="s">
        <v>3845</v>
      </c>
      <c r="H21" s="12" t="s">
        <v>108</v>
      </c>
      <c r="I21" s="12" t="s">
        <v>123</v>
      </c>
      <c r="J21" s="14" t="n">
        <v>46232</v>
      </c>
      <c r="K21" s="13" t="s">
        <v>3783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3846</v>
      </c>
      <c r="B22" s="12" t="s">
        <v>2486</v>
      </c>
      <c r="C22" s="12" t="s">
        <v>3022</v>
      </c>
      <c r="D22" s="13" t="s">
        <v>3785</v>
      </c>
      <c r="E22" s="12" t="s">
        <v>169</v>
      </c>
      <c r="F22" s="12" t="s">
        <v>169</v>
      </c>
      <c r="G22" s="13" t="s">
        <v>3847</v>
      </c>
      <c r="H22" s="12" t="s">
        <v>108</v>
      </c>
      <c r="I22" s="12" t="s">
        <v>123</v>
      </c>
      <c r="J22" s="14" t="n">
        <v>46232</v>
      </c>
      <c r="K22" s="13" t="s">
        <v>3787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3848</v>
      </c>
      <c r="B23" s="12" t="s">
        <v>172</v>
      </c>
      <c r="C23" s="12" t="s">
        <v>3022</v>
      </c>
      <c r="D23" s="13" t="s">
        <v>3789</v>
      </c>
      <c r="E23" s="12" t="s">
        <v>169</v>
      </c>
      <c r="F23" s="12" t="s">
        <v>174</v>
      </c>
      <c r="G23" s="13" t="s">
        <v>3835</v>
      </c>
      <c r="H23" s="12" t="s">
        <v>108</v>
      </c>
      <c r="I23" s="12" t="s">
        <v>123</v>
      </c>
      <c r="J23" s="14" t="n">
        <v>46232</v>
      </c>
      <c r="K23" s="13" t="s">
        <v>3790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3849</v>
      </c>
      <c r="B24" s="12" t="s">
        <v>632</v>
      </c>
      <c r="C24" s="12" t="s">
        <v>87</v>
      </c>
      <c r="D24" s="13" t="s">
        <v>3792</v>
      </c>
      <c r="E24" s="12" t="s">
        <v>144</v>
      </c>
      <c r="F24" s="12" t="s">
        <v>634</v>
      </c>
      <c r="G24" s="13" t="s">
        <v>3850</v>
      </c>
      <c r="H24" s="12" t="s">
        <v>108</v>
      </c>
      <c r="I24" s="12" t="s">
        <v>123</v>
      </c>
      <c r="J24" s="14" t="n">
        <v>46232</v>
      </c>
      <c r="K24" s="13" t="s">
        <v>3794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3851</v>
      </c>
      <c r="B25" s="12" t="s">
        <v>177</v>
      </c>
      <c r="C25" s="12" t="s">
        <v>3022</v>
      </c>
      <c r="D25" s="13" t="s">
        <v>3796</v>
      </c>
      <c r="E25" s="12" t="s">
        <v>169</v>
      </c>
      <c r="F25" s="12" t="s">
        <v>179</v>
      </c>
      <c r="G25" s="13" t="s">
        <v>3852</v>
      </c>
      <c r="H25" s="12" t="s">
        <v>110</v>
      </c>
      <c r="I25" s="12" t="s">
        <v>122</v>
      </c>
      <c r="J25" s="14" t="n">
        <v>46232</v>
      </c>
      <c r="K25" s="13" t="s">
        <v>3798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3853</v>
      </c>
      <c r="B26" s="12" t="s">
        <v>2399</v>
      </c>
      <c r="C26" s="12" t="s">
        <v>2623</v>
      </c>
      <c r="D26" s="13" t="s">
        <v>3800</v>
      </c>
      <c r="E26" s="12" t="s">
        <v>144</v>
      </c>
      <c r="F26" s="12" t="s">
        <v>2625</v>
      </c>
      <c r="G26" s="13" t="s">
        <v>3854</v>
      </c>
      <c r="H26" s="12" t="s">
        <v>108</v>
      </c>
      <c r="I26" s="12" t="s">
        <v>123</v>
      </c>
      <c r="J26" s="14" t="n">
        <v>46232</v>
      </c>
      <c r="K26" s="13" t="s">
        <v>3802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3855</v>
      </c>
      <c r="B27" s="12" t="s">
        <v>206</v>
      </c>
      <c r="C27" s="12" t="s">
        <v>2628</v>
      </c>
      <c r="D27" s="13" t="s">
        <v>3856</v>
      </c>
      <c r="E27" s="12" t="s">
        <v>144</v>
      </c>
      <c r="F27" s="12" t="s">
        <v>2625</v>
      </c>
      <c r="G27" s="13" t="s">
        <v>3857</v>
      </c>
      <c r="H27" s="12" t="s">
        <v>108</v>
      </c>
      <c r="I27" s="12" t="s">
        <v>123</v>
      </c>
      <c r="J27" s="14" t="n">
        <v>46232</v>
      </c>
      <c r="K27" s="13" t="s">
        <v>3721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3858</v>
      </c>
      <c r="B28" s="12" t="s">
        <v>210</v>
      </c>
      <c r="C28" s="12" t="s">
        <v>813</v>
      </c>
      <c r="D28" s="13" t="s">
        <v>3859</v>
      </c>
      <c r="E28" s="12" t="s">
        <v>212</v>
      </c>
      <c r="F28" s="12" t="s">
        <v>212</v>
      </c>
      <c r="G28" s="13" t="s">
        <v>3808</v>
      </c>
      <c r="H28" s="12" t="s">
        <v>108</v>
      </c>
      <c r="I28" s="12" t="s">
        <v>123</v>
      </c>
      <c r="J28" s="14" t="n">
        <v>46232</v>
      </c>
      <c r="K28" s="13" t="s">
        <v>3809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3860</v>
      </c>
      <c r="B29" s="12" t="s">
        <v>197</v>
      </c>
      <c r="C29" s="12" t="s">
        <v>87</v>
      </c>
      <c r="D29" s="13" t="s">
        <v>3811</v>
      </c>
      <c r="E29" s="12" t="s">
        <v>144</v>
      </c>
      <c r="F29" s="12" t="s">
        <v>185</v>
      </c>
      <c r="G29" s="13" t="s">
        <v>3861</v>
      </c>
      <c r="H29" s="12" t="s">
        <v>102</v>
      </c>
      <c r="I29" s="12" t="s">
        <v>122</v>
      </c>
      <c r="J29" s="14"/>
      <c r="K29" s="13" t="s">
        <v>3813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3862</v>
      </c>
      <c r="B30" s="12" t="s">
        <v>215</v>
      </c>
      <c r="C30" s="12" t="s">
        <v>87</v>
      </c>
      <c r="D30" s="13" t="s">
        <v>3815</v>
      </c>
      <c r="E30" s="12" t="s">
        <v>144</v>
      </c>
      <c r="F30" s="12" t="s">
        <v>144</v>
      </c>
      <c r="G30" s="13" t="s">
        <v>217</v>
      </c>
      <c r="H30" s="12" t="s">
        <v>108</v>
      </c>
      <c r="I30" s="12" t="s">
        <v>123</v>
      </c>
      <c r="J30" s="14" t="n">
        <v>46232</v>
      </c>
      <c r="K30" s="13" t="s">
        <v>3816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3864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126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127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1632</v>
      </c>
      <c r="B9" s="12" t="s">
        <v>2860</v>
      </c>
      <c r="C9" s="12" t="s">
        <v>3865</v>
      </c>
      <c r="D9" s="13" t="s">
        <v>3866</v>
      </c>
      <c r="E9" s="12" t="s">
        <v>144</v>
      </c>
      <c r="F9" s="12" t="s">
        <v>145</v>
      </c>
      <c r="G9" s="13" t="s">
        <v>3867</v>
      </c>
      <c r="H9" s="12" t="s">
        <v>108</v>
      </c>
      <c r="I9" s="12" t="s">
        <v>123</v>
      </c>
      <c r="J9" s="14" t="n">
        <v>46232</v>
      </c>
      <c r="K9" s="13" t="s">
        <v>2863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1636</v>
      </c>
      <c r="B10" s="12" t="s">
        <v>2412</v>
      </c>
      <c r="C10" s="12" t="s">
        <v>3868</v>
      </c>
      <c r="D10" s="13" t="s">
        <v>3869</v>
      </c>
      <c r="E10" s="12" t="s">
        <v>144</v>
      </c>
      <c r="F10" s="12" t="s">
        <v>164</v>
      </c>
      <c r="G10" s="13" t="s">
        <v>3870</v>
      </c>
      <c r="H10" s="12" t="s">
        <v>108</v>
      </c>
      <c r="I10" s="12" t="s">
        <v>123</v>
      </c>
      <c r="J10" s="14" t="n">
        <v>46232</v>
      </c>
      <c r="K10" s="13" t="s">
        <v>3871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1639</v>
      </c>
      <c r="B11" s="12" t="s">
        <v>1355</v>
      </c>
      <c r="C11" s="12" t="s">
        <v>3865</v>
      </c>
      <c r="D11" s="13" t="s">
        <v>3872</v>
      </c>
      <c r="E11" s="12" t="s">
        <v>144</v>
      </c>
      <c r="F11" s="12" t="s">
        <v>164</v>
      </c>
      <c r="G11" s="13" t="s">
        <v>3873</v>
      </c>
      <c r="H11" s="12" t="s">
        <v>108</v>
      </c>
      <c r="I11" s="12" t="s">
        <v>123</v>
      </c>
      <c r="J11" s="14" t="n">
        <v>46232</v>
      </c>
      <c r="K11" s="13" t="s">
        <v>3874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1641</v>
      </c>
      <c r="B12" s="12" t="s">
        <v>1186</v>
      </c>
      <c r="C12" s="12" t="s">
        <v>813</v>
      </c>
      <c r="D12" s="13" t="s">
        <v>3875</v>
      </c>
      <c r="E12" s="12" t="s">
        <v>169</v>
      </c>
      <c r="F12" s="12" t="s">
        <v>169</v>
      </c>
      <c r="G12" s="13" t="s">
        <v>3876</v>
      </c>
      <c r="H12" s="12" t="s">
        <v>108</v>
      </c>
      <c r="I12" s="12" t="s">
        <v>123</v>
      </c>
      <c r="J12" s="14" t="n">
        <v>46232</v>
      </c>
      <c r="K12" s="13" t="s">
        <v>3877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1644</v>
      </c>
      <c r="B13" s="12" t="s">
        <v>3878</v>
      </c>
      <c r="C13" s="12" t="s">
        <v>1099</v>
      </c>
      <c r="D13" s="13" t="s">
        <v>3879</v>
      </c>
      <c r="E13" s="12" t="s">
        <v>169</v>
      </c>
      <c r="F13" s="12" t="s">
        <v>169</v>
      </c>
      <c r="G13" s="13" t="s">
        <v>3880</v>
      </c>
      <c r="H13" s="12" t="s">
        <v>108</v>
      </c>
      <c r="I13" s="12" t="s">
        <v>123</v>
      </c>
      <c r="J13" s="14" t="n">
        <v>46232</v>
      </c>
      <c r="K13" s="13" t="s">
        <v>3881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1647</v>
      </c>
      <c r="B14" s="12" t="s">
        <v>3882</v>
      </c>
      <c r="C14" s="12" t="s">
        <v>2442</v>
      </c>
      <c r="D14" s="13" t="s">
        <v>3883</v>
      </c>
      <c r="E14" s="12" t="s">
        <v>169</v>
      </c>
      <c r="F14" s="12" t="s">
        <v>169</v>
      </c>
      <c r="G14" s="13" t="s">
        <v>3884</v>
      </c>
      <c r="H14" s="12" t="s">
        <v>108</v>
      </c>
      <c r="I14" s="12" t="s">
        <v>123</v>
      </c>
      <c r="J14" s="14" t="n">
        <v>46232</v>
      </c>
      <c r="K14" s="13" t="s">
        <v>3885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1650</v>
      </c>
      <c r="B15" s="12" t="s">
        <v>3886</v>
      </c>
      <c r="C15" s="12" t="s">
        <v>1099</v>
      </c>
      <c r="D15" s="13" t="s">
        <v>3887</v>
      </c>
      <c r="E15" s="12" t="s">
        <v>169</v>
      </c>
      <c r="F15" s="12" t="s">
        <v>169</v>
      </c>
      <c r="G15" s="13" t="s">
        <v>3888</v>
      </c>
      <c r="H15" s="12" t="s">
        <v>108</v>
      </c>
      <c r="I15" s="12" t="s">
        <v>123</v>
      </c>
      <c r="J15" s="14" t="n">
        <v>46232</v>
      </c>
      <c r="K15" s="13" t="s">
        <v>3889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1652</v>
      </c>
      <c r="B16" s="12" t="s">
        <v>3890</v>
      </c>
      <c r="C16" s="12" t="s">
        <v>3891</v>
      </c>
      <c r="D16" s="13" t="s">
        <v>3892</v>
      </c>
      <c r="E16" s="12" t="s">
        <v>169</v>
      </c>
      <c r="F16" s="12" t="s">
        <v>169</v>
      </c>
      <c r="G16" s="13" t="s">
        <v>3888</v>
      </c>
      <c r="H16" s="12" t="s">
        <v>108</v>
      </c>
      <c r="I16" s="12" t="s">
        <v>123</v>
      </c>
      <c r="J16" s="14" t="n">
        <v>46232</v>
      </c>
      <c r="K16" s="13" t="s">
        <v>3893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1654</v>
      </c>
      <c r="B17" s="12" t="s">
        <v>1595</v>
      </c>
      <c r="C17" s="12" t="s">
        <v>1099</v>
      </c>
      <c r="D17" s="13" t="s">
        <v>3894</v>
      </c>
      <c r="E17" s="12" t="s">
        <v>169</v>
      </c>
      <c r="F17" s="12" t="s">
        <v>169</v>
      </c>
      <c r="G17" s="13" t="s">
        <v>3888</v>
      </c>
      <c r="H17" s="12" t="s">
        <v>108</v>
      </c>
      <c r="I17" s="12" t="s">
        <v>123</v>
      </c>
      <c r="J17" s="14" t="n">
        <v>46232</v>
      </c>
      <c r="K17" s="13" t="s">
        <v>3895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1657</v>
      </c>
      <c r="B18" s="12" t="s">
        <v>1242</v>
      </c>
      <c r="C18" s="12" t="s">
        <v>3896</v>
      </c>
      <c r="D18" s="13" t="s">
        <v>3897</v>
      </c>
      <c r="E18" s="12" t="s">
        <v>169</v>
      </c>
      <c r="F18" s="12" t="s">
        <v>169</v>
      </c>
      <c r="G18" s="13" t="s">
        <v>3898</v>
      </c>
      <c r="H18" s="12" t="s">
        <v>108</v>
      </c>
      <c r="I18" s="12" t="s">
        <v>123</v>
      </c>
      <c r="J18" s="14" t="n">
        <v>46232</v>
      </c>
      <c r="K18" s="13" t="s">
        <v>3899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1659</v>
      </c>
      <c r="B19" s="12" t="s">
        <v>3900</v>
      </c>
      <c r="C19" s="12" t="s">
        <v>813</v>
      </c>
      <c r="D19" s="13" t="s">
        <v>3901</v>
      </c>
      <c r="E19" s="12" t="s">
        <v>169</v>
      </c>
      <c r="F19" s="12" t="s">
        <v>169</v>
      </c>
      <c r="G19" s="13" t="s">
        <v>3876</v>
      </c>
      <c r="H19" s="12" t="s">
        <v>108</v>
      </c>
      <c r="I19" s="12" t="s">
        <v>123</v>
      </c>
      <c r="J19" s="14" t="n">
        <v>46232</v>
      </c>
      <c r="K19" s="13" t="s">
        <v>3902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1661</v>
      </c>
      <c r="B20" s="12" t="s">
        <v>3903</v>
      </c>
      <c r="C20" s="12" t="s">
        <v>1099</v>
      </c>
      <c r="D20" s="13" t="s">
        <v>3904</v>
      </c>
      <c r="E20" s="12" t="s">
        <v>212</v>
      </c>
      <c r="F20" s="12" t="s">
        <v>212</v>
      </c>
      <c r="G20" s="13" t="s">
        <v>3905</v>
      </c>
      <c r="H20" s="12" t="s">
        <v>108</v>
      </c>
      <c r="I20" s="12" t="s">
        <v>123</v>
      </c>
      <c r="J20" s="14" t="n">
        <v>46232</v>
      </c>
      <c r="K20" s="13" t="s">
        <v>3906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1663</v>
      </c>
      <c r="B21" s="12" t="s">
        <v>3907</v>
      </c>
      <c r="C21" s="12" t="s">
        <v>813</v>
      </c>
      <c r="D21" s="13" t="s">
        <v>3908</v>
      </c>
      <c r="E21" s="12" t="s">
        <v>144</v>
      </c>
      <c r="F21" s="12" t="s">
        <v>154</v>
      </c>
      <c r="G21" s="13" t="s">
        <v>3909</v>
      </c>
      <c r="H21" s="12" t="s">
        <v>108</v>
      </c>
      <c r="I21" s="12" t="s">
        <v>123</v>
      </c>
      <c r="J21" s="14" t="n">
        <v>46232</v>
      </c>
      <c r="K21" s="13" t="s">
        <v>3910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1665</v>
      </c>
      <c r="B22" s="12" t="s">
        <v>148</v>
      </c>
      <c r="C22" s="12" t="s">
        <v>88</v>
      </c>
      <c r="D22" s="13" t="s">
        <v>3911</v>
      </c>
      <c r="E22" s="12" t="s">
        <v>144</v>
      </c>
      <c r="F22" s="12" t="s">
        <v>144</v>
      </c>
      <c r="G22" s="13" t="s">
        <v>3912</v>
      </c>
      <c r="H22" s="12" t="s">
        <v>108</v>
      </c>
      <c r="I22" s="12" t="s">
        <v>123</v>
      </c>
      <c r="J22" s="14" t="n">
        <v>46232</v>
      </c>
      <c r="K22" s="13" t="s">
        <v>3913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1667</v>
      </c>
      <c r="B23" s="12" t="s">
        <v>152</v>
      </c>
      <c r="C23" s="12" t="s">
        <v>2421</v>
      </c>
      <c r="D23" s="13" t="s">
        <v>3914</v>
      </c>
      <c r="E23" s="12" t="s">
        <v>144</v>
      </c>
      <c r="F23" s="12" t="s">
        <v>154</v>
      </c>
      <c r="G23" s="13" t="s">
        <v>3915</v>
      </c>
      <c r="H23" s="12" t="s">
        <v>108</v>
      </c>
      <c r="I23" s="12" t="s">
        <v>123</v>
      </c>
      <c r="J23" s="14" t="n">
        <v>46232</v>
      </c>
      <c r="K23" s="13" t="s">
        <v>2908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1671</v>
      </c>
      <c r="B24" s="12" t="s">
        <v>1323</v>
      </c>
      <c r="C24" s="12" t="s">
        <v>3865</v>
      </c>
      <c r="D24" s="13" t="s">
        <v>3916</v>
      </c>
      <c r="E24" s="12" t="s">
        <v>144</v>
      </c>
      <c r="F24" s="12" t="s">
        <v>144</v>
      </c>
      <c r="G24" s="13" t="s">
        <v>3917</v>
      </c>
      <c r="H24" s="12" t="s">
        <v>108</v>
      </c>
      <c r="I24" s="12" t="s">
        <v>123</v>
      </c>
      <c r="J24" s="14" t="n">
        <v>46232</v>
      </c>
      <c r="K24" s="13" t="s">
        <v>2911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1675</v>
      </c>
      <c r="B25" s="12" t="s">
        <v>157</v>
      </c>
      <c r="C25" s="12" t="s">
        <v>3865</v>
      </c>
      <c r="D25" s="13" t="s">
        <v>3918</v>
      </c>
      <c r="E25" s="12" t="s">
        <v>144</v>
      </c>
      <c r="F25" s="12" t="s">
        <v>159</v>
      </c>
      <c r="G25" s="13" t="s">
        <v>3919</v>
      </c>
      <c r="H25" s="12" t="s">
        <v>108</v>
      </c>
      <c r="I25" s="12" t="s">
        <v>123</v>
      </c>
      <c r="J25" s="14" t="n">
        <v>46232</v>
      </c>
      <c r="K25" s="13" t="s">
        <v>3920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1677</v>
      </c>
      <c r="B26" s="12" t="s">
        <v>1705</v>
      </c>
      <c r="C26" s="12" t="s">
        <v>813</v>
      </c>
      <c r="D26" s="13" t="s">
        <v>3921</v>
      </c>
      <c r="E26" s="12" t="s">
        <v>169</v>
      </c>
      <c r="F26" s="12" t="s">
        <v>179</v>
      </c>
      <c r="G26" s="13" t="s">
        <v>3898</v>
      </c>
      <c r="H26" s="12" t="s">
        <v>108</v>
      </c>
      <c r="I26" s="12" t="s">
        <v>123</v>
      </c>
      <c r="J26" s="14" t="n">
        <v>46232</v>
      </c>
      <c r="K26" s="13" t="s">
        <v>3922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1679</v>
      </c>
      <c r="B27" s="12" t="s">
        <v>3923</v>
      </c>
      <c r="C27" s="12" t="s">
        <v>3865</v>
      </c>
      <c r="D27" s="13" t="s">
        <v>3924</v>
      </c>
      <c r="E27" s="12" t="s">
        <v>169</v>
      </c>
      <c r="F27" s="12" t="s">
        <v>179</v>
      </c>
      <c r="G27" s="13" t="s">
        <v>3925</v>
      </c>
      <c r="H27" s="12" t="s">
        <v>108</v>
      </c>
      <c r="I27" s="12" t="s">
        <v>123</v>
      </c>
      <c r="J27" s="14" t="n">
        <v>46232</v>
      </c>
      <c r="K27" s="13" t="s">
        <v>3926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1681</v>
      </c>
      <c r="B28" s="12" t="s">
        <v>3927</v>
      </c>
      <c r="C28" s="12" t="s">
        <v>3928</v>
      </c>
      <c r="D28" s="13" t="s">
        <v>3929</v>
      </c>
      <c r="E28" s="12" t="s">
        <v>169</v>
      </c>
      <c r="F28" s="12" t="s">
        <v>179</v>
      </c>
      <c r="G28" s="13" t="s">
        <v>3925</v>
      </c>
      <c r="H28" s="12" t="s">
        <v>108</v>
      </c>
      <c r="I28" s="12" t="s">
        <v>123</v>
      </c>
      <c r="J28" s="14" t="n">
        <v>46232</v>
      </c>
      <c r="K28" s="13" t="s">
        <v>3930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3931</v>
      </c>
      <c r="B29" s="12" t="s">
        <v>2930</v>
      </c>
      <c r="C29" s="12" t="s">
        <v>1197</v>
      </c>
      <c r="D29" s="13" t="s">
        <v>3932</v>
      </c>
      <c r="E29" s="12" t="s">
        <v>144</v>
      </c>
      <c r="F29" s="12" t="s">
        <v>164</v>
      </c>
      <c r="G29" s="13" t="s">
        <v>3870</v>
      </c>
      <c r="H29" s="12" t="s">
        <v>108</v>
      </c>
      <c r="I29" s="12" t="s">
        <v>123</v>
      </c>
      <c r="J29" s="14" t="n">
        <v>46232</v>
      </c>
      <c r="K29" s="13" t="s">
        <v>3933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3934</v>
      </c>
      <c r="B30" s="12" t="s">
        <v>183</v>
      </c>
      <c r="C30" s="12" t="s">
        <v>3891</v>
      </c>
      <c r="D30" s="13" t="s">
        <v>3935</v>
      </c>
      <c r="E30" s="12" t="s">
        <v>169</v>
      </c>
      <c r="F30" s="12" t="s">
        <v>169</v>
      </c>
      <c r="G30" s="13" t="s">
        <v>3898</v>
      </c>
      <c r="H30" s="12" t="s">
        <v>108</v>
      </c>
      <c r="I30" s="12" t="s">
        <v>123</v>
      </c>
      <c r="J30" s="14" t="n">
        <v>46232</v>
      </c>
      <c r="K30" s="13" t="s">
        <v>3936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3937</v>
      </c>
      <c r="B31" s="12" t="s">
        <v>2946</v>
      </c>
      <c r="C31" s="12" t="s">
        <v>3865</v>
      </c>
      <c r="D31" s="13" t="s">
        <v>3938</v>
      </c>
      <c r="E31" s="12" t="s">
        <v>169</v>
      </c>
      <c r="F31" s="12" t="s">
        <v>179</v>
      </c>
      <c r="G31" s="13" t="s">
        <v>3925</v>
      </c>
      <c r="H31" s="12" t="s">
        <v>108</v>
      </c>
      <c r="I31" s="12" t="s">
        <v>123</v>
      </c>
      <c r="J31" s="14" t="n">
        <v>46232</v>
      </c>
      <c r="K31" s="13" t="s">
        <v>3939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3940</v>
      </c>
      <c r="B32" s="12" t="s">
        <v>1543</v>
      </c>
      <c r="C32" s="12" t="s">
        <v>3865</v>
      </c>
      <c r="D32" s="13" t="s">
        <v>3941</v>
      </c>
      <c r="E32" s="12" t="s">
        <v>144</v>
      </c>
      <c r="F32" s="12" t="s">
        <v>164</v>
      </c>
      <c r="G32" s="13" t="s">
        <v>3942</v>
      </c>
      <c r="H32" s="12" t="s">
        <v>108</v>
      </c>
      <c r="I32" s="12" t="s">
        <v>123</v>
      </c>
      <c r="J32" s="14" t="n">
        <v>46232</v>
      </c>
      <c r="K32" s="13" t="s">
        <v>3943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3944</v>
      </c>
      <c r="B33" s="12" t="s">
        <v>172</v>
      </c>
      <c r="C33" s="12" t="s">
        <v>3865</v>
      </c>
      <c r="D33" s="13" t="s">
        <v>3945</v>
      </c>
      <c r="E33" s="12" t="s">
        <v>169</v>
      </c>
      <c r="F33" s="12" t="s">
        <v>174</v>
      </c>
      <c r="G33" s="13" t="s">
        <v>3888</v>
      </c>
      <c r="H33" s="12" t="s">
        <v>108</v>
      </c>
      <c r="I33" s="12" t="s">
        <v>123</v>
      </c>
      <c r="J33" s="14" t="n">
        <v>46232</v>
      </c>
      <c r="K33" s="13" t="s">
        <v>3946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3947</v>
      </c>
      <c r="B34" s="12" t="s">
        <v>632</v>
      </c>
      <c r="C34" s="12" t="s">
        <v>1197</v>
      </c>
      <c r="D34" s="13" t="s">
        <v>3948</v>
      </c>
      <c r="E34" s="12" t="s">
        <v>144</v>
      </c>
      <c r="F34" s="12" t="s">
        <v>634</v>
      </c>
      <c r="G34" s="13" t="s">
        <v>3949</v>
      </c>
      <c r="H34" s="12" t="s">
        <v>108</v>
      </c>
      <c r="I34" s="12" t="s">
        <v>123</v>
      </c>
      <c r="J34" s="14" t="n">
        <v>46232</v>
      </c>
      <c r="K34" s="13" t="s">
        <v>3950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3951</v>
      </c>
      <c r="B35" s="12" t="s">
        <v>2961</v>
      </c>
      <c r="C35" s="12" t="s">
        <v>1197</v>
      </c>
      <c r="D35" s="13" t="s">
        <v>3952</v>
      </c>
      <c r="E35" s="12" t="s">
        <v>169</v>
      </c>
      <c r="F35" s="12" t="s">
        <v>179</v>
      </c>
      <c r="G35" s="13" t="s">
        <v>3953</v>
      </c>
      <c r="H35" s="12" t="s">
        <v>110</v>
      </c>
      <c r="I35" s="12" t="s">
        <v>122</v>
      </c>
      <c r="J35" s="14" t="n">
        <v>46232</v>
      </c>
      <c r="K35" s="13" t="s">
        <v>3954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3955</v>
      </c>
      <c r="B36" s="12" t="s">
        <v>2399</v>
      </c>
      <c r="C36" s="12" t="s">
        <v>2966</v>
      </c>
      <c r="D36" s="13" t="s">
        <v>3956</v>
      </c>
      <c r="E36" s="12" t="s">
        <v>144</v>
      </c>
      <c r="F36" s="12" t="s">
        <v>2625</v>
      </c>
      <c r="G36" s="13" t="s">
        <v>3957</v>
      </c>
      <c r="H36" s="12" t="s">
        <v>108</v>
      </c>
      <c r="I36" s="12" t="s">
        <v>123</v>
      </c>
      <c r="J36" s="14" t="n">
        <v>46232</v>
      </c>
      <c r="K36" s="13" t="s">
        <v>2969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3958</v>
      </c>
      <c r="B37" s="12" t="s">
        <v>210</v>
      </c>
      <c r="C37" s="12" t="s">
        <v>3865</v>
      </c>
      <c r="D37" s="13" t="s">
        <v>3959</v>
      </c>
      <c r="E37" s="12" t="s">
        <v>212</v>
      </c>
      <c r="F37" s="12" t="s">
        <v>212</v>
      </c>
      <c r="G37" s="13" t="s">
        <v>3960</v>
      </c>
      <c r="H37" s="12" t="s">
        <v>108</v>
      </c>
      <c r="I37" s="12" t="s">
        <v>123</v>
      </c>
      <c r="J37" s="14" t="n">
        <v>46232</v>
      </c>
      <c r="K37" s="13" t="s">
        <v>3961</v>
      </c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3962</v>
      </c>
      <c r="B38" s="12" t="s">
        <v>197</v>
      </c>
      <c r="C38" s="12" t="s">
        <v>3865</v>
      </c>
      <c r="D38" s="13" t="s">
        <v>3963</v>
      </c>
      <c r="E38" s="12" t="s">
        <v>2975</v>
      </c>
      <c r="F38" s="12" t="s">
        <v>185</v>
      </c>
      <c r="G38" s="13" t="s">
        <v>3964</v>
      </c>
      <c r="H38" s="12" t="s">
        <v>102</v>
      </c>
      <c r="I38" s="12" t="s">
        <v>122</v>
      </c>
      <c r="J38" s="14"/>
      <c r="K38" s="13" t="s">
        <v>3965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3966</v>
      </c>
      <c r="B39" s="12" t="s">
        <v>215</v>
      </c>
      <c r="C39" s="12" t="s">
        <v>2641</v>
      </c>
      <c r="D39" s="13" t="s">
        <v>3967</v>
      </c>
      <c r="E39" s="12" t="s">
        <v>144</v>
      </c>
      <c r="F39" s="12" t="s">
        <v>144</v>
      </c>
      <c r="G39" s="13" t="s">
        <v>2980</v>
      </c>
      <c r="H39" s="12" t="s">
        <v>108</v>
      </c>
      <c r="I39" s="12" t="s">
        <v>123</v>
      </c>
      <c r="J39" s="14" t="n">
        <v>46232</v>
      </c>
      <c r="K39" s="13" t="s">
        <v>3968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3970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126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127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3971</v>
      </c>
      <c r="B9" s="12" t="s">
        <v>100</v>
      </c>
      <c r="C9" s="12" t="s">
        <v>1197</v>
      </c>
      <c r="D9" s="13" t="s">
        <v>3972</v>
      </c>
      <c r="E9" s="12" t="s">
        <v>144</v>
      </c>
      <c r="F9" s="12" t="s">
        <v>145</v>
      </c>
      <c r="G9" s="13" t="s">
        <v>3973</v>
      </c>
      <c r="H9" s="12" t="s">
        <v>108</v>
      </c>
      <c r="I9" s="12" t="s">
        <v>123</v>
      </c>
      <c r="J9" s="14" t="n">
        <v>46230</v>
      </c>
      <c r="K9" s="13" t="s">
        <v>3974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3975</v>
      </c>
      <c r="B10" s="12" t="s">
        <v>2412</v>
      </c>
      <c r="C10" s="12" t="s">
        <v>1197</v>
      </c>
      <c r="D10" s="13" t="s">
        <v>3976</v>
      </c>
      <c r="E10" s="12" t="s">
        <v>144</v>
      </c>
      <c r="F10" s="12" t="s">
        <v>164</v>
      </c>
      <c r="G10" s="13" t="s">
        <v>3977</v>
      </c>
      <c r="H10" s="12" t="s">
        <v>108</v>
      </c>
      <c r="I10" s="12" t="s">
        <v>123</v>
      </c>
      <c r="J10" s="14" t="n">
        <v>46230</v>
      </c>
      <c r="K10" s="13" t="s">
        <v>3978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3979</v>
      </c>
      <c r="B11" s="12" t="s">
        <v>1355</v>
      </c>
      <c r="C11" s="12" t="s">
        <v>1197</v>
      </c>
      <c r="D11" s="13" t="s">
        <v>3980</v>
      </c>
      <c r="E11" s="12" t="s">
        <v>144</v>
      </c>
      <c r="F11" s="12" t="s">
        <v>164</v>
      </c>
      <c r="G11" s="13" t="s">
        <v>3977</v>
      </c>
      <c r="H11" s="12" t="s">
        <v>108</v>
      </c>
      <c r="I11" s="12" t="s">
        <v>123</v>
      </c>
      <c r="J11" s="14" t="n">
        <v>46230</v>
      </c>
      <c r="K11" s="13" t="s">
        <v>3981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3982</v>
      </c>
      <c r="B12" s="12" t="s">
        <v>152</v>
      </c>
      <c r="C12" s="12" t="s">
        <v>2421</v>
      </c>
      <c r="D12" s="13" t="s">
        <v>3983</v>
      </c>
      <c r="E12" s="12" t="s">
        <v>144</v>
      </c>
      <c r="F12" s="12" t="s">
        <v>154</v>
      </c>
      <c r="G12" s="13" t="s">
        <v>3984</v>
      </c>
      <c r="H12" s="12" t="s">
        <v>108</v>
      </c>
      <c r="I12" s="12" t="s">
        <v>123</v>
      </c>
      <c r="J12" s="14" t="n">
        <v>46230</v>
      </c>
      <c r="K12" s="13" t="s">
        <v>3985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3986</v>
      </c>
      <c r="B13" s="12" t="s">
        <v>148</v>
      </c>
      <c r="C13" s="12" t="s">
        <v>90</v>
      </c>
      <c r="D13" s="13" t="s">
        <v>3987</v>
      </c>
      <c r="E13" s="12" t="s">
        <v>144</v>
      </c>
      <c r="F13" s="12" t="s">
        <v>144</v>
      </c>
      <c r="G13" s="13" t="s">
        <v>2903</v>
      </c>
      <c r="H13" s="12" t="s">
        <v>108</v>
      </c>
      <c r="I13" s="12" t="s">
        <v>123</v>
      </c>
      <c r="J13" s="14" t="n">
        <v>46230</v>
      </c>
      <c r="K13" s="13" t="s">
        <v>3988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3989</v>
      </c>
      <c r="B14" s="12" t="s">
        <v>1323</v>
      </c>
      <c r="C14" s="12" t="s">
        <v>813</v>
      </c>
      <c r="D14" s="13" t="s">
        <v>3990</v>
      </c>
      <c r="E14" s="12" t="s">
        <v>144</v>
      </c>
      <c r="F14" s="12" t="s">
        <v>144</v>
      </c>
      <c r="G14" s="13" t="s">
        <v>1325</v>
      </c>
      <c r="H14" s="12" t="s">
        <v>108</v>
      </c>
      <c r="I14" s="12" t="s">
        <v>123</v>
      </c>
      <c r="J14" s="14" t="n">
        <v>46230</v>
      </c>
      <c r="K14" s="13" t="s">
        <v>3991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3992</v>
      </c>
      <c r="B15" s="12" t="s">
        <v>1588</v>
      </c>
      <c r="C15" s="12" t="s">
        <v>813</v>
      </c>
      <c r="D15" s="13" t="s">
        <v>3993</v>
      </c>
      <c r="E15" s="12" t="s">
        <v>144</v>
      </c>
      <c r="F15" s="12" t="s">
        <v>164</v>
      </c>
      <c r="G15" s="13" t="s">
        <v>3977</v>
      </c>
      <c r="H15" s="12" t="s">
        <v>108</v>
      </c>
      <c r="I15" s="12" t="s">
        <v>123</v>
      </c>
      <c r="J15" s="14" t="n">
        <v>46230</v>
      </c>
      <c r="K15" s="13" t="s">
        <v>3994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3995</v>
      </c>
      <c r="B16" s="12" t="s">
        <v>3459</v>
      </c>
      <c r="C16" s="12" t="s">
        <v>3996</v>
      </c>
      <c r="D16" s="13" t="s">
        <v>3997</v>
      </c>
      <c r="E16" s="12" t="s">
        <v>169</v>
      </c>
      <c r="F16" s="12" t="s">
        <v>169</v>
      </c>
      <c r="G16" s="13" t="s">
        <v>3998</v>
      </c>
      <c r="H16" s="12" t="s">
        <v>108</v>
      </c>
      <c r="I16" s="12" t="s">
        <v>123</v>
      </c>
      <c r="J16" s="14" t="n">
        <v>46230</v>
      </c>
      <c r="K16" s="13" t="s">
        <v>3999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4000</v>
      </c>
      <c r="B17" s="12" t="s">
        <v>1601</v>
      </c>
      <c r="C17" s="12" t="s">
        <v>3996</v>
      </c>
      <c r="D17" s="13" t="s">
        <v>4001</v>
      </c>
      <c r="E17" s="12" t="s">
        <v>169</v>
      </c>
      <c r="F17" s="12" t="s">
        <v>179</v>
      </c>
      <c r="G17" s="13" t="s">
        <v>4002</v>
      </c>
      <c r="H17" s="12" t="s">
        <v>108</v>
      </c>
      <c r="I17" s="12" t="s">
        <v>123</v>
      </c>
      <c r="J17" s="14" t="n">
        <v>46230</v>
      </c>
      <c r="K17" s="13" t="s">
        <v>4003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4004</v>
      </c>
      <c r="B18" s="12" t="s">
        <v>1146</v>
      </c>
      <c r="C18" s="12" t="s">
        <v>813</v>
      </c>
      <c r="D18" s="13" t="s">
        <v>4005</v>
      </c>
      <c r="E18" s="12" t="s">
        <v>169</v>
      </c>
      <c r="F18" s="12" t="s">
        <v>169</v>
      </c>
      <c r="G18" s="13" t="s">
        <v>3998</v>
      </c>
      <c r="H18" s="12" t="s">
        <v>108</v>
      </c>
      <c r="I18" s="12" t="s">
        <v>123</v>
      </c>
      <c r="J18" s="14" t="n">
        <v>46230</v>
      </c>
      <c r="K18" s="13" t="s">
        <v>4006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4007</v>
      </c>
      <c r="B19" s="12" t="s">
        <v>1242</v>
      </c>
      <c r="C19" s="12" t="s">
        <v>4008</v>
      </c>
      <c r="D19" s="13" t="s">
        <v>4009</v>
      </c>
      <c r="E19" s="12" t="s">
        <v>169</v>
      </c>
      <c r="F19" s="12" t="s">
        <v>169</v>
      </c>
      <c r="G19" s="13" t="s">
        <v>3998</v>
      </c>
      <c r="H19" s="12" t="s">
        <v>108</v>
      </c>
      <c r="I19" s="12" t="s">
        <v>123</v>
      </c>
      <c r="J19" s="14" t="n">
        <v>46230</v>
      </c>
      <c r="K19" s="13" t="s">
        <v>4010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4011</v>
      </c>
      <c r="B20" s="12" t="s">
        <v>4012</v>
      </c>
      <c r="C20" s="12" t="s">
        <v>4012</v>
      </c>
      <c r="D20" s="13" t="s">
        <v>4013</v>
      </c>
      <c r="E20" s="12" t="s">
        <v>144</v>
      </c>
      <c r="F20" s="12" t="s">
        <v>164</v>
      </c>
      <c r="G20" s="13" t="s">
        <v>4014</v>
      </c>
      <c r="H20" s="12" t="s">
        <v>108</v>
      </c>
      <c r="I20" s="12" t="s">
        <v>123</v>
      </c>
      <c r="J20" s="14" t="n">
        <v>46230</v>
      </c>
      <c r="K20" s="13" t="s">
        <v>4015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4016</v>
      </c>
      <c r="B21" s="12" t="s">
        <v>4017</v>
      </c>
      <c r="C21" s="12" t="s">
        <v>4018</v>
      </c>
      <c r="D21" s="13" t="s">
        <v>4019</v>
      </c>
      <c r="E21" s="12" t="s">
        <v>169</v>
      </c>
      <c r="F21" s="12" t="s">
        <v>169</v>
      </c>
      <c r="G21" s="13" t="s">
        <v>3998</v>
      </c>
      <c r="H21" s="12" t="s">
        <v>108</v>
      </c>
      <c r="I21" s="12" t="s">
        <v>123</v>
      </c>
      <c r="J21" s="14" t="n">
        <v>46230</v>
      </c>
      <c r="K21" s="13" t="s">
        <v>4020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4021</v>
      </c>
      <c r="B22" s="12" t="s">
        <v>183</v>
      </c>
      <c r="C22" s="12" t="s">
        <v>1197</v>
      </c>
      <c r="D22" s="13" t="s">
        <v>4022</v>
      </c>
      <c r="E22" s="12" t="s">
        <v>169</v>
      </c>
      <c r="F22" s="12" t="s">
        <v>179</v>
      </c>
      <c r="G22" s="13" t="s">
        <v>4002</v>
      </c>
      <c r="H22" s="12" t="s">
        <v>108</v>
      </c>
      <c r="I22" s="12" t="s">
        <v>123</v>
      </c>
      <c r="J22" s="14" t="n">
        <v>46230</v>
      </c>
      <c r="K22" s="13" t="s">
        <v>4023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4024</v>
      </c>
      <c r="B23" s="12" t="s">
        <v>2493</v>
      </c>
      <c r="C23" s="12" t="s">
        <v>4008</v>
      </c>
      <c r="D23" s="13" t="s">
        <v>4025</v>
      </c>
      <c r="E23" s="12" t="s">
        <v>169</v>
      </c>
      <c r="F23" s="12" t="s">
        <v>179</v>
      </c>
      <c r="G23" s="13" t="s">
        <v>4026</v>
      </c>
      <c r="H23" s="12" t="s">
        <v>108</v>
      </c>
      <c r="I23" s="12" t="s">
        <v>123</v>
      </c>
      <c r="J23" s="14" t="n">
        <v>46230</v>
      </c>
      <c r="K23" s="13" t="s">
        <v>4027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4028</v>
      </c>
      <c r="B24" s="12" t="s">
        <v>172</v>
      </c>
      <c r="C24" s="12" t="s">
        <v>813</v>
      </c>
      <c r="D24" s="13" t="s">
        <v>4029</v>
      </c>
      <c r="E24" s="12" t="s">
        <v>169</v>
      </c>
      <c r="F24" s="12" t="s">
        <v>174</v>
      </c>
      <c r="G24" s="13" t="s">
        <v>3998</v>
      </c>
      <c r="H24" s="12" t="s">
        <v>108</v>
      </c>
      <c r="I24" s="12" t="s">
        <v>123</v>
      </c>
      <c r="J24" s="14" t="n">
        <v>46230</v>
      </c>
      <c r="K24" s="13" t="s">
        <v>4030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4031</v>
      </c>
      <c r="B25" s="12" t="s">
        <v>632</v>
      </c>
      <c r="C25" s="12" t="s">
        <v>90</v>
      </c>
      <c r="D25" s="13" t="s">
        <v>4032</v>
      </c>
      <c r="E25" s="12" t="s">
        <v>144</v>
      </c>
      <c r="F25" s="12" t="s">
        <v>634</v>
      </c>
      <c r="G25" s="13" t="s">
        <v>4033</v>
      </c>
      <c r="H25" s="12" t="s">
        <v>108</v>
      </c>
      <c r="I25" s="12" t="s">
        <v>123</v>
      </c>
      <c r="J25" s="14" t="n">
        <v>46230</v>
      </c>
      <c r="K25" s="13" t="s">
        <v>4034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4035</v>
      </c>
      <c r="B26" s="12" t="s">
        <v>2399</v>
      </c>
      <c r="C26" s="12" t="s">
        <v>90</v>
      </c>
      <c r="D26" s="13" t="s">
        <v>4036</v>
      </c>
      <c r="E26" s="12" t="s">
        <v>144</v>
      </c>
      <c r="F26" s="12" t="s">
        <v>203</v>
      </c>
      <c r="G26" s="13" t="s">
        <v>4037</v>
      </c>
      <c r="H26" s="12" t="s">
        <v>108</v>
      </c>
      <c r="I26" s="12" t="s">
        <v>123</v>
      </c>
      <c r="J26" s="14" t="n">
        <v>46230</v>
      </c>
      <c r="K26" s="13" t="s">
        <v>3496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4038</v>
      </c>
      <c r="B27" s="12" t="s">
        <v>206</v>
      </c>
      <c r="C27" s="12" t="s">
        <v>90</v>
      </c>
      <c r="D27" s="13" t="s">
        <v>4039</v>
      </c>
      <c r="E27" s="12" t="s">
        <v>144</v>
      </c>
      <c r="F27" s="12" t="s">
        <v>203</v>
      </c>
      <c r="G27" s="13" t="s">
        <v>4040</v>
      </c>
      <c r="H27" s="12" t="s">
        <v>108</v>
      </c>
      <c r="I27" s="12" t="s">
        <v>123</v>
      </c>
      <c r="J27" s="14" t="n">
        <v>46230</v>
      </c>
      <c r="K27" s="13" t="s">
        <v>4041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4042</v>
      </c>
      <c r="B28" s="12" t="s">
        <v>210</v>
      </c>
      <c r="C28" s="12" t="s">
        <v>90</v>
      </c>
      <c r="D28" s="13" t="s">
        <v>4043</v>
      </c>
      <c r="E28" s="12" t="s">
        <v>212</v>
      </c>
      <c r="F28" s="12" t="s">
        <v>212</v>
      </c>
      <c r="G28" s="13" t="s">
        <v>2560</v>
      </c>
      <c r="H28" s="12" t="s">
        <v>108</v>
      </c>
      <c r="I28" s="12" t="s">
        <v>123</v>
      </c>
      <c r="J28" s="14" t="n">
        <v>46230</v>
      </c>
      <c r="K28" s="13" t="s">
        <v>4044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4045</v>
      </c>
      <c r="B29" s="12" t="s">
        <v>197</v>
      </c>
      <c r="C29" s="12" t="s">
        <v>90</v>
      </c>
      <c r="D29" s="13" t="s">
        <v>4046</v>
      </c>
      <c r="E29" s="12" t="s">
        <v>2975</v>
      </c>
      <c r="F29" s="12" t="s">
        <v>185</v>
      </c>
      <c r="G29" s="13" t="s">
        <v>4047</v>
      </c>
      <c r="H29" s="12" t="s">
        <v>102</v>
      </c>
      <c r="I29" s="12" t="s">
        <v>122</v>
      </c>
      <c r="J29" s="14" t="n">
        <v>46230</v>
      </c>
      <c r="K29" s="13" t="s">
        <v>1821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4048</v>
      </c>
      <c r="B30" s="12" t="s">
        <v>215</v>
      </c>
      <c r="C30" s="12" t="s">
        <v>90</v>
      </c>
      <c r="D30" s="13" t="s">
        <v>2564</v>
      </c>
      <c r="E30" s="12" t="s">
        <v>144</v>
      </c>
      <c r="F30" s="12" t="s">
        <v>144</v>
      </c>
      <c r="G30" s="13" t="s">
        <v>4049</v>
      </c>
      <c r="H30" s="12" t="s">
        <v>108</v>
      </c>
      <c r="I30" s="12" t="s">
        <v>123</v>
      </c>
      <c r="J30" s="14" t="n">
        <v>46230</v>
      </c>
      <c r="K30" s="13" t="s">
        <v>4050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4052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126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127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4053</v>
      </c>
      <c r="B9" s="12" t="s">
        <v>100</v>
      </c>
      <c r="C9" s="12" t="s">
        <v>1197</v>
      </c>
      <c r="D9" s="13" t="s">
        <v>4054</v>
      </c>
      <c r="E9" s="12" t="s">
        <v>144</v>
      </c>
      <c r="F9" s="12" t="s">
        <v>145</v>
      </c>
      <c r="G9" s="13" t="s">
        <v>4055</v>
      </c>
      <c r="H9" s="12" t="s">
        <v>108</v>
      </c>
      <c r="I9" s="12" t="s">
        <v>123</v>
      </c>
      <c r="J9" s="14" t="n">
        <v>46230</v>
      </c>
      <c r="K9" s="13" t="s">
        <v>3974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4056</v>
      </c>
      <c r="B10" s="12" t="s">
        <v>2412</v>
      </c>
      <c r="C10" s="12" t="s">
        <v>1197</v>
      </c>
      <c r="D10" s="13" t="s">
        <v>4057</v>
      </c>
      <c r="E10" s="12" t="s">
        <v>144</v>
      </c>
      <c r="F10" s="12" t="s">
        <v>164</v>
      </c>
      <c r="G10" s="13" t="s">
        <v>4058</v>
      </c>
      <c r="H10" s="12" t="s">
        <v>108</v>
      </c>
      <c r="I10" s="12" t="s">
        <v>123</v>
      </c>
      <c r="J10" s="14" t="n">
        <v>46230</v>
      </c>
      <c r="K10" s="13" t="s">
        <v>3978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4059</v>
      </c>
      <c r="B11" s="12" t="s">
        <v>1355</v>
      </c>
      <c r="C11" s="12" t="s">
        <v>1197</v>
      </c>
      <c r="D11" s="13" t="s">
        <v>4060</v>
      </c>
      <c r="E11" s="12" t="s">
        <v>144</v>
      </c>
      <c r="F11" s="12" t="s">
        <v>164</v>
      </c>
      <c r="G11" s="13" t="s">
        <v>4058</v>
      </c>
      <c r="H11" s="12" t="s">
        <v>108</v>
      </c>
      <c r="I11" s="12" t="s">
        <v>123</v>
      </c>
      <c r="J11" s="14" t="n">
        <v>46230</v>
      </c>
      <c r="K11" s="13" t="s">
        <v>4061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4062</v>
      </c>
      <c r="B12" s="12" t="s">
        <v>152</v>
      </c>
      <c r="C12" s="12" t="s">
        <v>2421</v>
      </c>
      <c r="D12" s="13" t="s">
        <v>4063</v>
      </c>
      <c r="E12" s="12" t="s">
        <v>144</v>
      </c>
      <c r="F12" s="12" t="s">
        <v>154</v>
      </c>
      <c r="G12" s="13" t="s">
        <v>4064</v>
      </c>
      <c r="H12" s="12" t="s">
        <v>108</v>
      </c>
      <c r="I12" s="12" t="s">
        <v>123</v>
      </c>
      <c r="J12" s="14" t="n">
        <v>46230</v>
      </c>
      <c r="K12" s="13" t="s">
        <v>4065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4066</v>
      </c>
      <c r="B13" s="12" t="s">
        <v>148</v>
      </c>
      <c r="C13" s="12" t="s">
        <v>91</v>
      </c>
      <c r="D13" s="13" t="s">
        <v>4067</v>
      </c>
      <c r="E13" s="12" t="s">
        <v>144</v>
      </c>
      <c r="F13" s="12" t="s">
        <v>144</v>
      </c>
      <c r="G13" s="13" t="s">
        <v>2903</v>
      </c>
      <c r="H13" s="12" t="s">
        <v>108</v>
      </c>
      <c r="I13" s="12" t="s">
        <v>123</v>
      </c>
      <c r="J13" s="14" t="n">
        <v>46230</v>
      </c>
      <c r="K13" s="13" t="s">
        <v>3988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4068</v>
      </c>
      <c r="B14" s="12" t="s">
        <v>1323</v>
      </c>
      <c r="C14" s="12" t="s">
        <v>813</v>
      </c>
      <c r="D14" s="13" t="s">
        <v>4069</v>
      </c>
      <c r="E14" s="12" t="s">
        <v>144</v>
      </c>
      <c r="F14" s="12" t="s">
        <v>144</v>
      </c>
      <c r="G14" s="13" t="s">
        <v>1325</v>
      </c>
      <c r="H14" s="12" t="s">
        <v>108</v>
      </c>
      <c r="I14" s="12" t="s">
        <v>123</v>
      </c>
      <c r="J14" s="14" t="n">
        <v>46230</v>
      </c>
      <c r="K14" s="13" t="s">
        <v>3991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4070</v>
      </c>
      <c r="B15" s="12" t="s">
        <v>1588</v>
      </c>
      <c r="C15" s="12" t="s">
        <v>813</v>
      </c>
      <c r="D15" s="13" t="s">
        <v>4071</v>
      </c>
      <c r="E15" s="12" t="s">
        <v>144</v>
      </c>
      <c r="F15" s="12" t="s">
        <v>164</v>
      </c>
      <c r="G15" s="13" t="s">
        <v>4058</v>
      </c>
      <c r="H15" s="12" t="s">
        <v>108</v>
      </c>
      <c r="I15" s="12" t="s">
        <v>123</v>
      </c>
      <c r="J15" s="14" t="n">
        <v>46230</v>
      </c>
      <c r="K15" s="13" t="s">
        <v>3994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4072</v>
      </c>
      <c r="B16" s="12" t="s">
        <v>3459</v>
      </c>
      <c r="C16" s="12" t="s">
        <v>3996</v>
      </c>
      <c r="D16" s="13" t="s">
        <v>3997</v>
      </c>
      <c r="E16" s="12" t="s">
        <v>169</v>
      </c>
      <c r="F16" s="12" t="s">
        <v>169</v>
      </c>
      <c r="G16" s="13" t="s">
        <v>4073</v>
      </c>
      <c r="H16" s="12" t="s">
        <v>108</v>
      </c>
      <c r="I16" s="12" t="s">
        <v>123</v>
      </c>
      <c r="J16" s="14" t="n">
        <v>46230</v>
      </c>
      <c r="K16" s="13" t="s">
        <v>3999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4074</v>
      </c>
      <c r="B17" s="12" t="s">
        <v>1306</v>
      </c>
      <c r="C17" s="12" t="s">
        <v>4075</v>
      </c>
      <c r="D17" s="13" t="s">
        <v>4076</v>
      </c>
      <c r="E17" s="12" t="s">
        <v>169</v>
      </c>
      <c r="F17" s="12" t="s">
        <v>169</v>
      </c>
      <c r="G17" s="13" t="s">
        <v>4073</v>
      </c>
      <c r="H17" s="12" t="s">
        <v>108</v>
      </c>
      <c r="I17" s="12" t="s">
        <v>123</v>
      </c>
      <c r="J17" s="14" t="n">
        <v>46230</v>
      </c>
      <c r="K17" s="13" t="s">
        <v>4077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4078</v>
      </c>
      <c r="B18" s="12" t="s">
        <v>1146</v>
      </c>
      <c r="C18" s="12" t="s">
        <v>813</v>
      </c>
      <c r="D18" s="13" t="s">
        <v>4079</v>
      </c>
      <c r="E18" s="12" t="s">
        <v>169</v>
      </c>
      <c r="F18" s="12" t="s">
        <v>169</v>
      </c>
      <c r="G18" s="13" t="s">
        <v>4073</v>
      </c>
      <c r="H18" s="12" t="s">
        <v>108</v>
      </c>
      <c r="I18" s="12" t="s">
        <v>123</v>
      </c>
      <c r="J18" s="14" t="n">
        <v>46230</v>
      </c>
      <c r="K18" s="13" t="s">
        <v>4006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4080</v>
      </c>
      <c r="B19" s="12" t="s">
        <v>1242</v>
      </c>
      <c r="C19" s="12" t="s">
        <v>4075</v>
      </c>
      <c r="D19" s="13" t="s">
        <v>4081</v>
      </c>
      <c r="E19" s="12" t="s">
        <v>169</v>
      </c>
      <c r="F19" s="12" t="s">
        <v>169</v>
      </c>
      <c r="G19" s="13" t="s">
        <v>4073</v>
      </c>
      <c r="H19" s="12" t="s">
        <v>108</v>
      </c>
      <c r="I19" s="12" t="s">
        <v>123</v>
      </c>
      <c r="J19" s="14" t="n">
        <v>46230</v>
      </c>
      <c r="K19" s="13" t="s">
        <v>4082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4083</v>
      </c>
      <c r="B20" s="12" t="s">
        <v>1601</v>
      </c>
      <c r="C20" s="12" t="s">
        <v>1803</v>
      </c>
      <c r="D20" s="13" t="s">
        <v>4084</v>
      </c>
      <c r="E20" s="12" t="s">
        <v>169</v>
      </c>
      <c r="F20" s="12" t="s">
        <v>179</v>
      </c>
      <c r="G20" s="13" t="s">
        <v>4085</v>
      </c>
      <c r="H20" s="12" t="s">
        <v>108</v>
      </c>
      <c r="I20" s="12" t="s">
        <v>123</v>
      </c>
      <c r="J20" s="14" t="n">
        <v>46230</v>
      </c>
      <c r="K20" s="13" t="s">
        <v>4003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4086</v>
      </c>
      <c r="B21" s="12" t="s">
        <v>4017</v>
      </c>
      <c r="C21" s="12" t="s">
        <v>4018</v>
      </c>
      <c r="D21" s="13" t="s">
        <v>4019</v>
      </c>
      <c r="E21" s="12" t="s">
        <v>169</v>
      </c>
      <c r="F21" s="12" t="s">
        <v>169</v>
      </c>
      <c r="G21" s="13" t="s">
        <v>4073</v>
      </c>
      <c r="H21" s="12" t="s">
        <v>108</v>
      </c>
      <c r="I21" s="12" t="s">
        <v>123</v>
      </c>
      <c r="J21" s="14" t="n">
        <v>46230</v>
      </c>
      <c r="K21" s="13" t="s">
        <v>4087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4088</v>
      </c>
      <c r="B22" s="12" t="s">
        <v>183</v>
      </c>
      <c r="C22" s="12" t="s">
        <v>1197</v>
      </c>
      <c r="D22" s="13" t="s">
        <v>4089</v>
      </c>
      <c r="E22" s="12" t="s">
        <v>169</v>
      </c>
      <c r="F22" s="12" t="s">
        <v>179</v>
      </c>
      <c r="G22" s="13" t="s">
        <v>4085</v>
      </c>
      <c r="H22" s="12" t="s">
        <v>108</v>
      </c>
      <c r="I22" s="12" t="s">
        <v>123</v>
      </c>
      <c r="J22" s="14" t="n">
        <v>46230</v>
      </c>
      <c r="K22" s="13" t="s">
        <v>4023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4090</v>
      </c>
      <c r="B23" s="12" t="s">
        <v>2493</v>
      </c>
      <c r="C23" s="12" t="s">
        <v>4075</v>
      </c>
      <c r="D23" s="13" t="s">
        <v>4091</v>
      </c>
      <c r="E23" s="12" t="s">
        <v>169</v>
      </c>
      <c r="F23" s="12" t="s">
        <v>179</v>
      </c>
      <c r="G23" s="13" t="s">
        <v>4092</v>
      </c>
      <c r="H23" s="12" t="s">
        <v>108</v>
      </c>
      <c r="I23" s="12" t="s">
        <v>123</v>
      </c>
      <c r="J23" s="14" t="n">
        <v>46230</v>
      </c>
      <c r="K23" s="13" t="s">
        <v>4027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4093</v>
      </c>
      <c r="B24" s="12" t="s">
        <v>172</v>
      </c>
      <c r="C24" s="12" t="s">
        <v>4094</v>
      </c>
      <c r="D24" s="13" t="s">
        <v>4095</v>
      </c>
      <c r="E24" s="12" t="s">
        <v>169</v>
      </c>
      <c r="F24" s="12" t="s">
        <v>174</v>
      </c>
      <c r="G24" s="13" t="s">
        <v>4073</v>
      </c>
      <c r="H24" s="12" t="s">
        <v>108</v>
      </c>
      <c r="I24" s="12" t="s">
        <v>123</v>
      </c>
      <c r="J24" s="14" t="n">
        <v>46230</v>
      </c>
      <c r="K24" s="13" t="s">
        <v>4030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4096</v>
      </c>
      <c r="B25" s="12" t="s">
        <v>632</v>
      </c>
      <c r="C25" s="12" t="s">
        <v>91</v>
      </c>
      <c r="D25" s="13" t="s">
        <v>4032</v>
      </c>
      <c r="E25" s="12" t="s">
        <v>144</v>
      </c>
      <c r="F25" s="12" t="s">
        <v>634</v>
      </c>
      <c r="G25" s="13" t="s">
        <v>4097</v>
      </c>
      <c r="H25" s="12" t="s">
        <v>108</v>
      </c>
      <c r="I25" s="12" t="s">
        <v>123</v>
      </c>
      <c r="J25" s="14" t="n">
        <v>46230</v>
      </c>
      <c r="K25" s="13" t="s">
        <v>4034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4098</v>
      </c>
      <c r="B26" s="12" t="s">
        <v>2399</v>
      </c>
      <c r="C26" s="12" t="s">
        <v>91</v>
      </c>
      <c r="D26" s="13" t="s">
        <v>4099</v>
      </c>
      <c r="E26" s="12" t="s">
        <v>144</v>
      </c>
      <c r="F26" s="12" t="s">
        <v>203</v>
      </c>
      <c r="G26" s="13" t="s">
        <v>4100</v>
      </c>
      <c r="H26" s="12" t="s">
        <v>108</v>
      </c>
      <c r="I26" s="12" t="s">
        <v>123</v>
      </c>
      <c r="J26" s="14" t="n">
        <v>46230</v>
      </c>
      <c r="K26" s="13" t="s">
        <v>3496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4101</v>
      </c>
      <c r="B27" s="12" t="s">
        <v>206</v>
      </c>
      <c r="C27" s="12" t="s">
        <v>91</v>
      </c>
      <c r="D27" s="13" t="s">
        <v>4102</v>
      </c>
      <c r="E27" s="12" t="s">
        <v>144</v>
      </c>
      <c r="F27" s="12" t="s">
        <v>203</v>
      </c>
      <c r="G27" s="13" t="s">
        <v>4103</v>
      </c>
      <c r="H27" s="12" t="s">
        <v>108</v>
      </c>
      <c r="I27" s="12" t="s">
        <v>123</v>
      </c>
      <c r="J27" s="14" t="n">
        <v>46230</v>
      </c>
      <c r="K27" s="13" t="s">
        <v>4041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4104</v>
      </c>
      <c r="B28" s="12" t="s">
        <v>210</v>
      </c>
      <c r="C28" s="12" t="s">
        <v>91</v>
      </c>
      <c r="D28" s="13" t="s">
        <v>4105</v>
      </c>
      <c r="E28" s="12" t="s">
        <v>212</v>
      </c>
      <c r="F28" s="12" t="s">
        <v>212</v>
      </c>
      <c r="G28" s="13" t="s">
        <v>2560</v>
      </c>
      <c r="H28" s="12" t="s">
        <v>108</v>
      </c>
      <c r="I28" s="12" t="s">
        <v>123</v>
      </c>
      <c r="J28" s="14" t="n">
        <v>46230</v>
      </c>
      <c r="K28" s="13" t="s">
        <v>4044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4106</v>
      </c>
      <c r="B29" s="12" t="s">
        <v>197</v>
      </c>
      <c r="C29" s="12" t="s">
        <v>91</v>
      </c>
      <c r="D29" s="13" t="s">
        <v>4046</v>
      </c>
      <c r="E29" s="12" t="s">
        <v>2975</v>
      </c>
      <c r="F29" s="12" t="s">
        <v>185</v>
      </c>
      <c r="G29" s="13" t="s">
        <v>4107</v>
      </c>
      <c r="H29" s="12" t="s">
        <v>102</v>
      </c>
      <c r="I29" s="12" t="s">
        <v>122</v>
      </c>
      <c r="J29" s="14" t="n">
        <v>46230</v>
      </c>
      <c r="K29" s="13" t="s">
        <v>1821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4108</v>
      </c>
      <c r="B30" s="12" t="s">
        <v>215</v>
      </c>
      <c r="C30" s="12" t="s">
        <v>91</v>
      </c>
      <c r="D30" s="13" t="s">
        <v>2564</v>
      </c>
      <c r="E30" s="12" t="s">
        <v>144</v>
      </c>
      <c r="F30" s="12" t="s">
        <v>144</v>
      </c>
      <c r="G30" s="13" t="s">
        <v>4049</v>
      </c>
      <c r="H30" s="12" t="s">
        <v>108</v>
      </c>
      <c r="I30" s="12" t="s">
        <v>123</v>
      </c>
      <c r="J30" s="14" t="n">
        <v>46230</v>
      </c>
      <c r="K30" s="13" t="s">
        <v>4050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4110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126</v>
      </c>
      <c r="E4" s="6" t="n">
        <f aca="false">SUM(M9:M33)</f>
        <v>16</v>
      </c>
      <c r="G4" s="5" t="s">
        <v>14</v>
      </c>
      <c r="H4" s="7" t="n">
        <f aca="false">IF(B4=0,0,E4/B4)</f>
        <v>0.64</v>
      </c>
      <c r="J4" s="5" t="s">
        <v>15</v>
      </c>
      <c r="K4" s="6" t="str">
        <f aca="false">IF(COUNTIFS(E9:E33,"package",M9:M33,0)&gt;0,"open","complete")</f>
        <v>complete</v>
      </c>
    </row>
    <row r="5" customFormat="false" ht="17.25" hidden="false" customHeight="true" outlineLevel="0" collapsed="false">
      <c r="A5" s="5" t="s">
        <v>127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open</v>
      </c>
    </row>
    <row r="8" customFormat="false" ht="15" hidden="false" customHeight="true" outlineLevel="0" collapsed="false">
      <c r="A8" s="1" t="s">
        <v>128</v>
      </c>
      <c r="B8" s="1" t="s">
        <v>129</v>
      </c>
      <c r="C8" s="1" t="s">
        <v>130</v>
      </c>
      <c r="D8" s="1" t="s">
        <v>131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0" t="s">
        <v>137</v>
      </c>
      <c r="K8" s="1" t="s">
        <v>138</v>
      </c>
      <c r="L8" s="1" t="s">
        <v>139</v>
      </c>
      <c r="M8" s="1" t="s">
        <v>126</v>
      </c>
    </row>
    <row r="9" customFormat="false" ht="54" hidden="false" customHeight="true" outlineLevel="0" collapsed="false">
      <c r="A9" s="12" t="s">
        <v>4111</v>
      </c>
      <c r="B9" s="12" t="s">
        <v>100</v>
      </c>
      <c r="C9" s="12" t="s">
        <v>1197</v>
      </c>
      <c r="D9" s="13" t="s">
        <v>4112</v>
      </c>
      <c r="E9" s="12" t="s">
        <v>144</v>
      </c>
      <c r="F9" s="12" t="s">
        <v>145</v>
      </c>
      <c r="G9" s="13" t="s">
        <v>4113</v>
      </c>
      <c r="H9" s="12" t="s">
        <v>108</v>
      </c>
      <c r="I9" s="12" t="s">
        <v>123</v>
      </c>
      <c r="J9" s="14" t="n">
        <v>46241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4114</v>
      </c>
      <c r="B10" s="12" t="s">
        <v>2412</v>
      </c>
      <c r="C10" s="12" t="s">
        <v>1197</v>
      </c>
      <c r="D10" s="13" t="s">
        <v>4115</v>
      </c>
      <c r="E10" s="12" t="s">
        <v>144</v>
      </c>
      <c r="F10" s="12" t="s">
        <v>164</v>
      </c>
      <c r="G10" s="13" t="s">
        <v>4116</v>
      </c>
      <c r="H10" s="12" t="s">
        <v>108</v>
      </c>
      <c r="I10" s="12" t="s">
        <v>123</v>
      </c>
      <c r="J10" s="14" t="n">
        <v>46241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4117</v>
      </c>
      <c r="B11" s="12" t="s">
        <v>1355</v>
      </c>
      <c r="C11" s="12" t="s">
        <v>1197</v>
      </c>
      <c r="D11" s="13" t="s">
        <v>4118</v>
      </c>
      <c r="E11" s="12" t="s">
        <v>144</v>
      </c>
      <c r="F11" s="12" t="s">
        <v>164</v>
      </c>
      <c r="G11" s="13" t="s">
        <v>4116</v>
      </c>
      <c r="H11" s="12" t="s">
        <v>108</v>
      </c>
      <c r="I11" s="12" t="s">
        <v>123</v>
      </c>
      <c r="J11" s="14" t="n">
        <v>46241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4119</v>
      </c>
      <c r="B12" s="12" t="s">
        <v>152</v>
      </c>
      <c r="C12" s="12" t="s">
        <v>2421</v>
      </c>
      <c r="D12" s="13" t="s">
        <v>4120</v>
      </c>
      <c r="E12" s="12" t="s">
        <v>144</v>
      </c>
      <c r="F12" s="12" t="s">
        <v>154</v>
      </c>
      <c r="G12" s="13" t="s">
        <v>4121</v>
      </c>
      <c r="H12" s="12" t="s">
        <v>108</v>
      </c>
      <c r="I12" s="12" t="s">
        <v>123</v>
      </c>
      <c r="J12" s="14" t="n">
        <v>46241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4122</v>
      </c>
      <c r="B13" s="12" t="s">
        <v>148</v>
      </c>
      <c r="C13" s="12" t="s">
        <v>1197</v>
      </c>
      <c r="D13" s="13" t="s">
        <v>4123</v>
      </c>
      <c r="E13" s="12" t="s">
        <v>144</v>
      </c>
      <c r="F13" s="12" t="s">
        <v>144</v>
      </c>
      <c r="G13" s="13" t="s">
        <v>150</v>
      </c>
      <c r="H13" s="12" t="s">
        <v>108</v>
      </c>
      <c r="I13" s="12" t="s">
        <v>123</v>
      </c>
      <c r="J13" s="14" t="n">
        <v>46241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4124</v>
      </c>
      <c r="B14" s="12" t="s">
        <v>4125</v>
      </c>
      <c r="C14" s="12" t="s">
        <v>4126</v>
      </c>
      <c r="D14" s="13" t="s">
        <v>4127</v>
      </c>
      <c r="E14" s="12" t="s">
        <v>144</v>
      </c>
      <c r="F14" s="12" t="s">
        <v>144</v>
      </c>
      <c r="G14" s="13" t="s">
        <v>4128</v>
      </c>
      <c r="H14" s="12" t="s">
        <v>108</v>
      </c>
      <c r="I14" s="12" t="s">
        <v>123</v>
      </c>
      <c r="J14" s="14" t="n">
        <v>46241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4129</v>
      </c>
      <c r="B15" s="12" t="s">
        <v>1588</v>
      </c>
      <c r="C15" s="12" t="s">
        <v>813</v>
      </c>
      <c r="D15" s="13" t="s">
        <v>4130</v>
      </c>
      <c r="E15" s="12" t="s">
        <v>144</v>
      </c>
      <c r="F15" s="12" t="s">
        <v>164</v>
      </c>
      <c r="G15" s="13" t="s">
        <v>4116</v>
      </c>
      <c r="H15" s="12" t="s">
        <v>108</v>
      </c>
      <c r="I15" s="12" t="s">
        <v>123</v>
      </c>
      <c r="J15" s="14" t="n">
        <v>46241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4131</v>
      </c>
      <c r="B16" s="12" t="s">
        <v>2594</v>
      </c>
      <c r="C16" s="12" t="s">
        <v>4132</v>
      </c>
      <c r="D16" s="13" t="s">
        <v>4133</v>
      </c>
      <c r="E16" s="12" t="s">
        <v>144</v>
      </c>
      <c r="F16" s="12" t="s">
        <v>169</v>
      </c>
      <c r="G16" s="13" t="s">
        <v>4134</v>
      </c>
      <c r="H16" s="12" t="s">
        <v>108</v>
      </c>
      <c r="I16" s="12" t="s">
        <v>123</v>
      </c>
      <c r="J16" s="14" t="n">
        <v>46241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4135</v>
      </c>
      <c r="B17" s="12" t="s">
        <v>4136</v>
      </c>
      <c r="C17" s="12" t="s">
        <v>4137</v>
      </c>
      <c r="D17" s="13" t="s">
        <v>4138</v>
      </c>
      <c r="E17" s="12" t="s">
        <v>144</v>
      </c>
      <c r="F17" s="12" t="s">
        <v>169</v>
      </c>
      <c r="G17" s="13" t="s">
        <v>4134</v>
      </c>
      <c r="H17" s="12" t="s">
        <v>108</v>
      </c>
      <c r="I17" s="12" t="s">
        <v>123</v>
      </c>
      <c r="J17" s="14" t="n">
        <v>46241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4139</v>
      </c>
      <c r="B18" s="12" t="s">
        <v>1931</v>
      </c>
      <c r="C18" s="12" t="s">
        <v>3580</v>
      </c>
      <c r="D18" s="13" t="s">
        <v>4140</v>
      </c>
      <c r="E18" s="12" t="s">
        <v>144</v>
      </c>
      <c r="F18" s="12" t="s">
        <v>169</v>
      </c>
      <c r="G18" s="13" t="s">
        <v>4134</v>
      </c>
      <c r="H18" s="12" t="s">
        <v>108</v>
      </c>
      <c r="I18" s="12" t="s">
        <v>123</v>
      </c>
      <c r="J18" s="14" t="n">
        <v>46241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4141</v>
      </c>
      <c r="B19" s="12" t="s">
        <v>2671</v>
      </c>
      <c r="C19" s="12" t="s">
        <v>2601</v>
      </c>
      <c r="D19" s="13" t="s">
        <v>4142</v>
      </c>
      <c r="E19" s="12" t="s">
        <v>144</v>
      </c>
      <c r="F19" s="12" t="s">
        <v>169</v>
      </c>
      <c r="G19" s="13" t="s">
        <v>4134</v>
      </c>
      <c r="H19" s="12" t="s">
        <v>108</v>
      </c>
      <c r="I19" s="12" t="s">
        <v>123</v>
      </c>
      <c r="J19" s="14" t="n">
        <v>46241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4143</v>
      </c>
      <c r="B20" s="12" t="s">
        <v>4144</v>
      </c>
      <c r="C20" s="12" t="s">
        <v>4145</v>
      </c>
      <c r="D20" s="13" t="s">
        <v>4146</v>
      </c>
      <c r="E20" s="12" t="s">
        <v>144</v>
      </c>
      <c r="F20" s="12" t="s">
        <v>169</v>
      </c>
      <c r="G20" s="13" t="s">
        <v>4134</v>
      </c>
      <c r="H20" s="12" t="s">
        <v>108</v>
      </c>
      <c r="I20" s="12" t="s">
        <v>123</v>
      </c>
      <c r="J20" s="14" t="n">
        <v>46241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4147</v>
      </c>
      <c r="B21" s="12" t="s">
        <v>172</v>
      </c>
      <c r="C21" s="12" t="s">
        <v>4148</v>
      </c>
      <c r="D21" s="13" t="s">
        <v>4149</v>
      </c>
      <c r="E21" s="12" t="s">
        <v>144</v>
      </c>
      <c r="F21" s="12" t="s">
        <v>164</v>
      </c>
      <c r="G21" s="13" t="s">
        <v>4116</v>
      </c>
      <c r="H21" s="12" t="s">
        <v>108</v>
      </c>
      <c r="I21" s="12" t="s">
        <v>123</v>
      </c>
      <c r="J21" s="14" t="n">
        <v>46241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4150</v>
      </c>
      <c r="B22" s="12" t="s">
        <v>172</v>
      </c>
      <c r="C22" s="12" t="s">
        <v>2594</v>
      </c>
      <c r="D22" s="13" t="s">
        <v>4151</v>
      </c>
      <c r="E22" s="12" t="s">
        <v>144</v>
      </c>
      <c r="F22" s="12" t="s">
        <v>169</v>
      </c>
      <c r="G22" s="13" t="s">
        <v>4134</v>
      </c>
      <c r="H22" s="12" t="s">
        <v>108</v>
      </c>
      <c r="I22" s="12" t="s">
        <v>123</v>
      </c>
      <c r="J22" s="14" t="n">
        <v>46241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4152</v>
      </c>
      <c r="B23" s="12" t="s">
        <v>172</v>
      </c>
      <c r="C23" s="12" t="s">
        <v>4153</v>
      </c>
      <c r="D23" s="13" t="s">
        <v>4154</v>
      </c>
      <c r="E23" s="12" t="s">
        <v>144</v>
      </c>
      <c r="F23" s="12" t="s">
        <v>169</v>
      </c>
      <c r="G23" s="13" t="s">
        <v>4134</v>
      </c>
      <c r="H23" s="12" t="s">
        <v>108</v>
      </c>
      <c r="I23" s="12" t="s">
        <v>123</v>
      </c>
      <c r="J23" s="14" t="n">
        <v>46241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4155</v>
      </c>
      <c r="B24" s="12" t="s">
        <v>1146</v>
      </c>
      <c r="C24" s="12" t="s">
        <v>813</v>
      </c>
      <c r="D24" s="13" t="s">
        <v>4156</v>
      </c>
      <c r="E24" s="12" t="s">
        <v>634</v>
      </c>
      <c r="F24" s="12" t="s">
        <v>179</v>
      </c>
      <c r="G24" s="13" t="s">
        <v>4157</v>
      </c>
      <c r="H24" s="12" t="s">
        <v>106</v>
      </c>
      <c r="I24" s="12" t="s">
        <v>122</v>
      </c>
      <c r="J24" s="14"/>
      <c r="K24" s="13"/>
      <c r="L24" s="12" t="n">
        <v>0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4158</v>
      </c>
      <c r="B25" s="12" t="s">
        <v>4159</v>
      </c>
      <c r="C25" s="12" t="s">
        <v>813</v>
      </c>
      <c r="D25" s="13" t="s">
        <v>4160</v>
      </c>
      <c r="E25" s="12" t="s">
        <v>634</v>
      </c>
      <c r="F25" s="12" t="s">
        <v>179</v>
      </c>
      <c r="G25" s="13" t="s">
        <v>4157</v>
      </c>
      <c r="H25" s="12" t="s">
        <v>106</v>
      </c>
      <c r="I25" s="12" t="s">
        <v>122</v>
      </c>
      <c r="J25" s="14"/>
      <c r="K25" s="13"/>
      <c r="L25" s="12" t="n">
        <v>0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4161</v>
      </c>
      <c r="B26" s="12" t="s">
        <v>1878</v>
      </c>
      <c r="C26" s="12" t="s">
        <v>1197</v>
      </c>
      <c r="D26" s="13" t="s">
        <v>4162</v>
      </c>
      <c r="E26" s="12" t="s">
        <v>634</v>
      </c>
      <c r="F26" s="12" t="s">
        <v>179</v>
      </c>
      <c r="G26" s="13" t="s">
        <v>4157</v>
      </c>
      <c r="H26" s="12" t="s">
        <v>106</v>
      </c>
      <c r="I26" s="12" t="s">
        <v>122</v>
      </c>
      <c r="J26" s="14"/>
      <c r="K26" s="13"/>
      <c r="L26" s="12" t="n">
        <v>0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4163</v>
      </c>
      <c r="B27" s="12" t="s">
        <v>2300</v>
      </c>
      <c r="C27" s="12" t="s">
        <v>1197</v>
      </c>
      <c r="D27" s="13" t="s">
        <v>4164</v>
      </c>
      <c r="E27" s="12" t="s">
        <v>185</v>
      </c>
      <c r="F27" s="12" t="s">
        <v>185</v>
      </c>
      <c r="G27" s="13" t="s">
        <v>4165</v>
      </c>
      <c r="H27" s="12" t="s">
        <v>102</v>
      </c>
      <c r="I27" s="12" t="s">
        <v>122</v>
      </c>
      <c r="J27" s="14"/>
      <c r="K27" s="13"/>
      <c r="L27" s="12" t="n">
        <v>0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4166</v>
      </c>
      <c r="B28" s="12" t="s">
        <v>1242</v>
      </c>
      <c r="C28" s="12" t="s">
        <v>1197</v>
      </c>
      <c r="D28" s="13" t="s">
        <v>4167</v>
      </c>
      <c r="E28" s="12" t="s">
        <v>185</v>
      </c>
      <c r="F28" s="12" t="s">
        <v>185</v>
      </c>
      <c r="G28" s="13" t="s">
        <v>4165</v>
      </c>
      <c r="H28" s="12" t="s">
        <v>102</v>
      </c>
      <c r="I28" s="12" t="s">
        <v>122</v>
      </c>
      <c r="J28" s="14"/>
      <c r="K28" s="13"/>
      <c r="L28" s="12" t="n">
        <v>0</v>
      </c>
      <c r="M28" s="12" t="n">
        <f aca="false">IF(OR(AND(I28="yes",H28="verified"),AND(I28="no",OR(H28="tested",H28="verified")),AND(H28="not applicable",K28&lt;&gt;"")),1,0)</f>
        <v>0</v>
      </c>
    </row>
    <row r="29" customFormat="false" ht="54" hidden="false" customHeight="true" outlineLevel="0" collapsed="false">
      <c r="A29" s="12" t="s">
        <v>4168</v>
      </c>
      <c r="B29" s="12" t="s">
        <v>4169</v>
      </c>
      <c r="C29" s="12" t="s">
        <v>1197</v>
      </c>
      <c r="D29" s="13" t="s">
        <v>4170</v>
      </c>
      <c r="E29" s="12" t="s">
        <v>185</v>
      </c>
      <c r="F29" s="12" t="s">
        <v>185</v>
      </c>
      <c r="G29" s="13" t="s">
        <v>4165</v>
      </c>
      <c r="H29" s="12" t="s">
        <v>102</v>
      </c>
      <c r="I29" s="12" t="s">
        <v>122</v>
      </c>
      <c r="J29" s="14"/>
      <c r="K29" s="13"/>
      <c r="L29" s="12" t="n">
        <v>0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4171</v>
      </c>
      <c r="B30" s="12" t="s">
        <v>4172</v>
      </c>
      <c r="C30" s="12" t="s">
        <v>2594</v>
      </c>
      <c r="D30" s="13" t="s">
        <v>4173</v>
      </c>
      <c r="E30" s="12" t="s">
        <v>185</v>
      </c>
      <c r="F30" s="12" t="s">
        <v>185</v>
      </c>
      <c r="G30" s="13" t="s">
        <v>4165</v>
      </c>
      <c r="H30" s="12" t="s">
        <v>102</v>
      </c>
      <c r="I30" s="12" t="s">
        <v>122</v>
      </c>
      <c r="J30" s="14"/>
      <c r="K30" s="13"/>
      <c r="L30" s="12" t="n">
        <v>0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4174</v>
      </c>
      <c r="B31" s="12" t="s">
        <v>4175</v>
      </c>
      <c r="C31" s="12" t="s">
        <v>1197</v>
      </c>
      <c r="D31" s="13" t="s">
        <v>4176</v>
      </c>
      <c r="E31" s="12" t="s">
        <v>185</v>
      </c>
      <c r="F31" s="12" t="s">
        <v>185</v>
      </c>
      <c r="G31" s="13" t="s">
        <v>4165</v>
      </c>
      <c r="H31" s="12" t="s">
        <v>102</v>
      </c>
      <c r="I31" s="12" t="s">
        <v>122</v>
      </c>
      <c r="J31" s="14"/>
      <c r="K31" s="13"/>
      <c r="L31" s="12" t="n">
        <v>0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4177</v>
      </c>
      <c r="B32" s="12" t="s">
        <v>4178</v>
      </c>
      <c r="C32" s="12" t="s">
        <v>1931</v>
      </c>
      <c r="D32" s="13" t="s">
        <v>4179</v>
      </c>
      <c r="E32" s="12" t="s">
        <v>144</v>
      </c>
      <c r="F32" s="12" t="s">
        <v>2625</v>
      </c>
      <c r="G32" s="13" t="s">
        <v>4180</v>
      </c>
      <c r="H32" s="12" t="s">
        <v>108</v>
      </c>
      <c r="I32" s="12" t="s">
        <v>123</v>
      </c>
      <c r="J32" s="14" t="n">
        <v>46241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4181</v>
      </c>
      <c r="B33" s="12" t="s">
        <v>210</v>
      </c>
      <c r="C33" s="12" t="s">
        <v>192</v>
      </c>
      <c r="D33" s="13" t="s">
        <v>4182</v>
      </c>
      <c r="E33" s="12" t="s">
        <v>212</v>
      </c>
      <c r="F33" s="12" t="s">
        <v>212</v>
      </c>
      <c r="G33" s="13" t="s">
        <v>4183</v>
      </c>
      <c r="H33" s="12" t="s">
        <v>106</v>
      </c>
      <c r="I33" s="12" t="s">
        <v>123</v>
      </c>
      <c r="J33" s="14"/>
      <c r="K33" s="13"/>
      <c r="L33" s="12" t="n">
        <v>0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126</v>
      </c>
      <c r="E4" s="6" t="n">
        <f aca="false">SUM(M9:M24)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128</v>
      </c>
      <c r="B8" s="8" t="s">
        <v>129</v>
      </c>
      <c r="C8" s="8" t="s">
        <v>130</v>
      </c>
      <c r="D8" s="8" t="s">
        <v>131</v>
      </c>
      <c r="E8" s="8" t="s">
        <v>132</v>
      </c>
      <c r="F8" s="8" t="s">
        <v>133</v>
      </c>
      <c r="G8" s="8" t="s">
        <v>134</v>
      </c>
      <c r="H8" s="8" t="s">
        <v>135</v>
      </c>
      <c r="I8" s="8" t="s">
        <v>136</v>
      </c>
      <c r="J8" s="11" t="s">
        <v>137</v>
      </c>
      <c r="K8" s="8" t="s">
        <v>138</v>
      </c>
      <c r="L8" s="8" t="s">
        <v>139</v>
      </c>
      <c r="M8" s="8" t="s">
        <v>126</v>
      </c>
    </row>
    <row r="9" customFormat="false" ht="54" hidden="false" customHeight="true" outlineLevel="0" collapsed="false">
      <c r="A9" s="12" t="s">
        <v>4185</v>
      </c>
      <c r="B9" s="12" t="s">
        <v>141</v>
      </c>
      <c r="C9" s="12" t="s">
        <v>1572</v>
      </c>
      <c r="D9" s="13" t="s">
        <v>4186</v>
      </c>
      <c r="E9" s="12" t="s">
        <v>144</v>
      </c>
      <c r="F9" s="12" t="s">
        <v>145</v>
      </c>
      <c r="G9" s="13" t="s">
        <v>4187</v>
      </c>
      <c r="H9" s="12" t="s">
        <v>108</v>
      </c>
      <c r="I9" s="12" t="s">
        <v>123</v>
      </c>
      <c r="J9" s="14" t="n">
        <v>46244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4188</v>
      </c>
      <c r="B10" s="12" t="s">
        <v>1355</v>
      </c>
      <c r="C10" s="12" t="s">
        <v>1572</v>
      </c>
      <c r="D10" s="13" t="s">
        <v>4189</v>
      </c>
      <c r="E10" s="12" t="s">
        <v>144</v>
      </c>
      <c r="F10" s="12" t="s">
        <v>164</v>
      </c>
      <c r="G10" s="13" t="s">
        <v>4190</v>
      </c>
      <c r="H10" s="12" t="s">
        <v>108</v>
      </c>
      <c r="I10" s="12" t="s">
        <v>123</v>
      </c>
      <c r="J10" s="14" t="n">
        <v>46244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4191</v>
      </c>
      <c r="B11" s="12" t="s">
        <v>148</v>
      </c>
      <c r="C11" s="12" t="s">
        <v>93</v>
      </c>
      <c r="D11" s="13" t="s">
        <v>4192</v>
      </c>
      <c r="E11" s="12" t="s">
        <v>144</v>
      </c>
      <c r="F11" s="12" t="s">
        <v>144</v>
      </c>
      <c r="G11" s="13" t="s">
        <v>150</v>
      </c>
      <c r="H11" s="12" t="s">
        <v>108</v>
      </c>
      <c r="I11" s="12" t="s">
        <v>123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4193</v>
      </c>
      <c r="B12" s="12" t="s">
        <v>152</v>
      </c>
      <c r="C12" s="12" t="s">
        <v>1572</v>
      </c>
      <c r="D12" s="13" t="s">
        <v>4194</v>
      </c>
      <c r="E12" s="12" t="s">
        <v>144</v>
      </c>
      <c r="F12" s="12" t="s">
        <v>154</v>
      </c>
      <c r="G12" s="13" t="s">
        <v>4195</v>
      </c>
      <c r="H12" s="12" t="s">
        <v>108</v>
      </c>
      <c r="I12" s="12" t="s">
        <v>123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4196</v>
      </c>
      <c r="B13" s="12" t="s">
        <v>157</v>
      </c>
      <c r="C13" s="12" t="s">
        <v>1572</v>
      </c>
      <c r="D13" s="13" t="s">
        <v>4197</v>
      </c>
      <c r="E13" s="12" t="s">
        <v>144</v>
      </c>
      <c r="F13" s="12" t="s">
        <v>159</v>
      </c>
      <c r="G13" s="13" t="s">
        <v>4198</v>
      </c>
      <c r="H13" s="12" t="s">
        <v>108</v>
      </c>
      <c r="I13" s="12" t="s">
        <v>123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4199</v>
      </c>
      <c r="B14" s="12" t="s">
        <v>162</v>
      </c>
      <c r="C14" s="12" t="s">
        <v>1572</v>
      </c>
      <c r="D14" s="13" t="s">
        <v>4200</v>
      </c>
      <c r="E14" s="12" t="s">
        <v>144</v>
      </c>
      <c r="F14" s="12" t="s">
        <v>164</v>
      </c>
      <c r="G14" s="13" t="s">
        <v>4190</v>
      </c>
      <c r="H14" s="12" t="s">
        <v>108</v>
      </c>
      <c r="I14" s="12" t="s">
        <v>123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4201</v>
      </c>
      <c r="B15" s="12" t="s">
        <v>167</v>
      </c>
      <c r="C15" s="12" t="s">
        <v>1572</v>
      </c>
      <c r="D15" s="13" t="s">
        <v>4202</v>
      </c>
      <c r="E15" s="12" t="s">
        <v>144</v>
      </c>
      <c r="F15" s="12" t="s">
        <v>169</v>
      </c>
      <c r="G15" s="13" t="s">
        <v>4203</v>
      </c>
      <c r="H15" s="12" t="s">
        <v>108</v>
      </c>
      <c r="I15" s="12" t="s">
        <v>123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4204</v>
      </c>
      <c r="B16" s="12" t="s">
        <v>4159</v>
      </c>
      <c r="C16" s="12" t="s">
        <v>868</v>
      </c>
      <c r="D16" s="13" t="s">
        <v>4205</v>
      </c>
      <c r="E16" s="12" t="s">
        <v>144</v>
      </c>
      <c r="F16" s="12" t="s">
        <v>179</v>
      </c>
      <c r="G16" s="13" t="s">
        <v>4206</v>
      </c>
      <c r="H16" s="12" t="s">
        <v>110</v>
      </c>
      <c r="I16" s="12" t="s">
        <v>122</v>
      </c>
      <c r="J16" s="14" t="n">
        <v>46244</v>
      </c>
      <c r="K16" s="13" t="s">
        <v>4207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4208</v>
      </c>
      <c r="B17" s="12" t="s">
        <v>192</v>
      </c>
      <c r="C17" s="12" t="s">
        <v>868</v>
      </c>
      <c r="D17" s="13" t="s">
        <v>4209</v>
      </c>
      <c r="E17" s="12" t="s">
        <v>144</v>
      </c>
      <c r="F17" s="12" t="s">
        <v>169</v>
      </c>
      <c r="G17" s="13" t="s">
        <v>4203</v>
      </c>
      <c r="H17" s="12" t="s">
        <v>108</v>
      </c>
      <c r="I17" s="12" t="s">
        <v>123</v>
      </c>
      <c r="J17" s="14" t="n">
        <v>46244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4210</v>
      </c>
      <c r="B18" s="12" t="s">
        <v>172</v>
      </c>
      <c r="C18" s="12" t="s">
        <v>1572</v>
      </c>
      <c r="D18" s="13" t="s">
        <v>4211</v>
      </c>
      <c r="E18" s="12" t="s">
        <v>144</v>
      </c>
      <c r="F18" s="12" t="s">
        <v>174</v>
      </c>
      <c r="G18" s="13" t="s">
        <v>4203</v>
      </c>
      <c r="H18" s="12" t="s">
        <v>108</v>
      </c>
      <c r="I18" s="12" t="s">
        <v>123</v>
      </c>
      <c r="J18" s="14" t="n">
        <v>46244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4212</v>
      </c>
      <c r="B19" s="12" t="s">
        <v>183</v>
      </c>
      <c r="C19" s="12" t="s">
        <v>1572</v>
      </c>
      <c r="D19" s="13" t="s">
        <v>4213</v>
      </c>
      <c r="E19" s="12" t="s">
        <v>144</v>
      </c>
      <c r="F19" s="12" t="s">
        <v>185</v>
      </c>
      <c r="G19" s="13" t="s">
        <v>4214</v>
      </c>
      <c r="H19" s="12" t="s">
        <v>106</v>
      </c>
      <c r="I19" s="12" t="s">
        <v>122</v>
      </c>
      <c r="J19" s="14"/>
      <c r="K19" s="13" t="s">
        <v>4215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4216</v>
      </c>
      <c r="B20" s="12" t="s">
        <v>197</v>
      </c>
      <c r="C20" s="12" t="s">
        <v>93</v>
      </c>
      <c r="D20" s="13" t="s">
        <v>4217</v>
      </c>
      <c r="E20" s="12" t="s">
        <v>144</v>
      </c>
      <c r="F20" s="12" t="s">
        <v>185</v>
      </c>
      <c r="G20" s="13" t="s">
        <v>4214</v>
      </c>
      <c r="H20" s="12" t="s">
        <v>106</v>
      </c>
      <c r="I20" s="12" t="s">
        <v>122</v>
      </c>
      <c r="J20" s="14"/>
      <c r="K20" s="13" t="s">
        <v>4218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4219</v>
      </c>
      <c r="B21" s="12" t="s">
        <v>201</v>
      </c>
      <c r="C21" s="12" t="s">
        <v>93</v>
      </c>
      <c r="D21" s="13" t="s">
        <v>4220</v>
      </c>
      <c r="E21" s="12" t="s">
        <v>144</v>
      </c>
      <c r="F21" s="12" t="s">
        <v>203</v>
      </c>
      <c r="G21" s="13" t="s">
        <v>4221</v>
      </c>
      <c r="H21" s="12" t="s">
        <v>108</v>
      </c>
      <c r="I21" s="12" t="s">
        <v>123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4222</v>
      </c>
      <c r="B22" s="12" t="s">
        <v>206</v>
      </c>
      <c r="C22" s="12" t="s">
        <v>93</v>
      </c>
      <c r="D22" s="13" t="s">
        <v>4223</v>
      </c>
      <c r="E22" s="12" t="s">
        <v>144</v>
      </c>
      <c r="F22" s="12" t="s">
        <v>203</v>
      </c>
      <c r="G22" s="13" t="s">
        <v>4224</v>
      </c>
      <c r="H22" s="12" t="s">
        <v>108</v>
      </c>
      <c r="I22" s="12" t="s">
        <v>123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4225</v>
      </c>
      <c r="B23" s="12" t="s">
        <v>210</v>
      </c>
      <c r="C23" s="12" t="s">
        <v>93</v>
      </c>
      <c r="D23" s="13" t="s">
        <v>4226</v>
      </c>
      <c r="E23" s="12" t="s">
        <v>212</v>
      </c>
      <c r="F23" s="12" t="s">
        <v>212</v>
      </c>
      <c r="G23" s="13" t="s">
        <v>4227</v>
      </c>
      <c r="H23" s="12" t="s">
        <v>108</v>
      </c>
      <c r="I23" s="12" t="s">
        <v>123</v>
      </c>
      <c r="J23" s="14" t="n">
        <v>46244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4228</v>
      </c>
      <c r="B24" s="12" t="s">
        <v>215</v>
      </c>
      <c r="C24" s="12" t="s">
        <v>93</v>
      </c>
      <c r="D24" s="13" t="s">
        <v>4229</v>
      </c>
      <c r="E24" s="12" t="s">
        <v>144</v>
      </c>
      <c r="F24" s="12" t="s">
        <v>144</v>
      </c>
      <c r="G24" s="13" t="s">
        <v>584</v>
      </c>
      <c r="H24" s="12" t="s">
        <v>106</v>
      </c>
      <c r="I24" s="12" t="s">
        <v>122</v>
      </c>
      <c r="J24" s="14" t="n">
        <v>46244</v>
      </c>
      <c r="K24" s="13" t="s">
        <v>835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2026-08-10T04:09:49Z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