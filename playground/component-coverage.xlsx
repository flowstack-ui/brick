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9.xml" ContentType="application/vnd.openxmlformats-officedocument.spreadsheetml.table+xml"/>
  <Override PartName="/xl/tables/table1.xml" ContentType="application/vnd.openxmlformats-officedocument.spreadsheetml.table+xml"/>
  <Override PartName="/xl/tables/table20.xml" ContentType="application/vnd.openxmlformats-officedocument.spreadsheetml.table+xml"/>
  <Override PartName="/xl/tables/table4.xml" ContentType="application/vnd.openxmlformats-officedocument.spreadsheetml.table+xml"/>
  <Override PartName="/xl/tables/table21.xml" ContentType="application/vnd.openxmlformats-officedocument.spreadsheetml.table+xml"/>
  <Override PartName="/xl/tables/table5.xml" ContentType="application/vnd.openxmlformats-officedocument.spreadsheetml.table+xml"/>
  <Override PartName="/xl/tables/table3.xml" ContentType="application/vnd.openxmlformats-officedocument.spreadsheetml.table+xml"/>
  <Override PartName="/xl/tables/table22.xml" ContentType="application/vnd.openxmlformats-officedocument.spreadsheetml.table+xml"/>
  <Override PartName="/xl/tables/table6.xml" ContentType="application/vnd.openxmlformats-officedocument.spreadsheetml.table+xml"/>
  <Override PartName="/xl/tables/table18.xml" ContentType="application/vnd.openxmlformats-officedocument.spreadsheetml.table+xml"/>
  <Override PartName="/xl/tables/table12.xml" ContentType="application/vnd.openxmlformats-officedocument.spreadsheetml.table+xml"/>
  <Override PartName="/xl/tables/table8.xml" ContentType="application/vnd.openxmlformats-officedocument.spreadsheetml.table+xml"/>
  <Override PartName="/xl/tables/table23.xml" ContentType="application/vnd.openxmlformats-officedocument.spreadsheetml.table+xml"/>
  <Override PartName="/xl/tables/table2.xml" ContentType="application/vnd.openxmlformats-officedocument.spreadsheetml.table+xml"/>
  <Override PartName="/xl/tables/table13.xml" ContentType="application/vnd.openxmlformats-officedocument.spreadsheetml.table+xml"/>
  <Override PartName="/xl/tables/table7.xml" ContentType="application/vnd.openxmlformats-officedocument.spreadsheetml.table+xml"/>
  <Override PartName="/xl/tables/table11.xml" ContentType="application/vnd.openxmlformats-officedocument.spreadsheetml.table+xml"/>
  <Override PartName="/xl/tables/table19.xml" ContentType="application/vnd.openxmlformats-officedocument.spreadsheetml.table+xml"/>
  <Override PartName="/xl/tables/table14.xml" ContentType="application/vnd.openxmlformats-officedocument.spreadsheetml.table+xml"/>
  <Override PartName="/xl/tables/table10.xml" ContentType="application/vnd.openxmlformats-officedocument.spreadsheetml.table+xml"/>
  <Override PartName="/xl/tables/table15.xml" ContentType="application/vnd.openxmlformats-officedocument.spreadsheetml.table+xml"/>
  <Override PartName="/xl/tables/table17.xml" ContentType="application/vnd.openxmlformats-officedocument.spreadsheetml.table+xml"/>
  <Override PartName="/xl/tables/table16.xml" ContentType="application/vnd.openxmlformats-officedocument.spreadsheetml.table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19.xml" ContentType="application/vnd.openxmlformats-officedocument.spreadsheetml.worksheet+xml"/>
  <Override PartName="/xl/worksheets/sheet5.xml" ContentType="application/vnd.openxmlformats-officedocument.spreadsheetml.worksheet+xml"/>
  <Override PartName="/xl/worksheets/sheet11.xml" ContentType="application/vnd.openxmlformats-officedocument.spreadsheetml.worksheet+xml"/>
  <Override PartName="/xl/worksheets/sheet24.xml" ContentType="application/vnd.openxmlformats-officedocument.spreadsheetml.worksheet+xml"/>
  <Override PartName="/xl/worksheets/sheet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20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22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_Lists" sheetId="3" state="hidden" r:id="rId5"/>
    <sheet name="Alert Dialog" sheetId="4" state="visible" r:id="rId6"/>
    <sheet name="App Bar" sheetId="5" state="visible" r:id="rId7"/>
    <sheet name="Avatar" sheetId="6" state="visible" r:id="rId8"/>
    <sheet name="Badge" sheetId="7" state="visible" r:id="rId9"/>
    <sheet name="Button" sheetId="8" state="visible" r:id="rId10"/>
    <sheet name="Card" sheetId="9" state="visible" r:id="rId11"/>
    <sheet name="Checkbox" sheetId="10" state="visible" r:id="rId12"/>
    <sheet name="Checkbox Group" sheetId="11" state="visible" r:id="rId13"/>
    <sheet name="Dialog" sheetId="12" state="visible" r:id="rId14"/>
    <sheet name="Drawer" sheetId="13" state="visible" r:id="rId15"/>
    <sheet name="Field" sheetId="14" state="visible" r:id="rId16"/>
    <sheet name="Fieldset" sheetId="15" state="visible" r:id="rId17"/>
    <sheet name="Form" sheetId="16" state="visible" r:id="rId18"/>
    <sheet name="Hover Card" sheetId="17" state="visible" r:id="rId19"/>
    <sheet name="Icon Button" sheetId="18" state="visible" r:id="rId20"/>
    <sheet name="Input" sheetId="19" state="visible" r:id="rId21"/>
    <sheet name="Notification Badge" sheetId="20" state="visible" r:id="rId22"/>
    <sheet name="Popover" sheetId="21" state="visible" r:id="rId23"/>
    <sheet name="Toggle" sheetId="22" state="visible" r:id="rId24"/>
    <sheet name="Toggle Group" sheetId="23" state="visible" r:id="rId25"/>
    <sheet name="Tooltip" sheetId="24" state="visible" r:id="rId2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<sst xmlns="http://schemas.openxmlformats.org/spreadsheetml/2006/main" count="3707" uniqueCount="654">
  <si>
    <t xml:space="preserve">Brick Component Coverage</t>
  </si>
  <si>
    <t xml:space="preserve">Current package evidence across 21 independently exported components.</t>
  </si>
  <si>
    <t xml:space="preserve">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</si>
  <si>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</si>
  <si>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</si>
  <si>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</si>
  <si>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</si>
  <si>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</si>
  <si>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</si>
  <si>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</si>
  <si>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</si>
  <si>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</si>
  <si>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</si>
  <si>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N/A</t>
  </si>
  <si>
    <t xml:space="preserve">Completion</t>
  </si>
  <si>
    <t xml:space="preserve">Package gate</t>
  </si>
  <si>
    <t xml:space="preserve">Consumer gate</t>
  </si>
  <si>
    <t xml:space="preserve">Alert Dialog</t>
  </si>
  <si>
    <t xml:space="preserve">App Bar</t>
  </si>
  <si>
    <t xml:space="preserve">Avatar</t>
  </si>
  <si>
    <t xml:space="preserve">Badge</t>
  </si>
  <si>
    <t xml:space="preserve">Button</t>
  </si>
  <si>
    <t xml:space="preserve">Card</t>
  </si>
  <si>
    <t xml:space="preserve">Checkbox</t>
  </si>
  <si>
    <t xml:space="preserve">Checkbox Group</t>
  </si>
  <si>
    <t xml:space="preserve">Dialog</t>
  </si>
  <si>
    <t xml:space="preserve">Drawer</t>
  </si>
  <si>
    <t xml:space="preserve">Field</t>
  </si>
  <si>
    <t xml:space="preserve">Fieldset</t>
  </si>
  <si>
    <t xml:space="preserve">Form</t>
  </si>
  <si>
    <t xml:space="preserve">Hover Card</t>
  </si>
  <si>
    <t xml:space="preserve">Icon Button</t>
  </si>
  <si>
    <t xml:space="preserve">Input</t>
  </si>
  <si>
    <t xml:space="preserve">Notification Badge</t>
  </si>
  <si>
    <t xml:space="preserve">Popover</t>
  </si>
  <si>
    <t xml:space="preserve">Toggle</t>
  </si>
  <si>
    <t xml:space="preserve">Toggle Group</t>
  </si>
  <si>
    <t xml:space="preserve">Tooltip</t>
  </si>
  <si>
    <t xml:space="preserve">Coverage Workbook Guide</t>
  </si>
  <si>
    <t xml:space="preserve">How to interpret, maintain, and verify this evidence tracker.</t>
  </si>
  <si>
    <t xml:space="preserve">Topic</t>
  </si>
  <si>
    <t xml:space="preserve">Rule</t>
  </si>
  <si>
    <t xml:space="preserve">Purpose</t>
  </si>
  <si>
    <t xml:space="preserve">This workbook summarizes evidence; source, tests, protocols, and public documentation remain authoritative.</t>
  </si>
  <si>
    <t xml:space="preserve">Ownership</t>
  </si>
  <si>
    <t xml:space="preserve">Every independently exported public component owns one sheet. Family integration never replaces component ownership.</t>
  </si>
  <si>
    <t xml:space="preserve">not started</t>
  </si>
  <si>
    <t xml:space="preserve">Required implementation or evidence does not exist.</t>
  </si>
  <si>
    <t xml:space="preserve">partial</t>
  </si>
  <si>
    <t xml:space="preserve">Some evidence exists, but the assertion is incomplete.</t>
  </si>
  <si>
    <t xml:space="preserve">implemented</t>
  </si>
  <si>
    <t xml:space="preserve">The implementation or evidence exists but has not passed its repeatable check.</t>
  </si>
  <si>
    <t xml:space="preserve">tested</t>
  </si>
  <si>
    <t xml:space="preserve">The automated or repeatable check passes.</t>
  </si>
  <si>
    <t xml:space="preserve">verified</t>
  </si>
  <si>
    <t xml:space="preserve">Required human review passed.</t>
  </si>
  <si>
    <t xml:space="preserve">blocked</t>
  </si>
  <si>
    <t xml:space="preserve">A blocker or follow-up is recorded.</t>
  </si>
  <si>
    <t xml:space="preserve">not applicable</t>
  </si>
  <si>
    <t xml:space="preserve">The reason is recorded in Blocker / N/A reason.</t>
  </si>
  <si>
    <t xml:space="preserve">Manual completion</t>
  </si>
  <si>
    <t xml:space="preserve">The owner confirmed every current component protocol completed on 2026-07-24.</t>
  </si>
  <si>
    <t xml:space="preserve">Maintenance</t>
  </si>
  <si>
    <t xml:space="preserve">Update exact evidence paths and statuses in the same workstream as component changes.</t>
  </si>
  <si>
    <t xml:space="preserve">Release</t>
  </si>
  <si>
    <t xml:space="preserve">Recalculate formulas, scan errors, and visually inspect changed sheets before release.</t>
  </si>
  <si>
    <t xml:space="preserve">yes</t>
  </si>
  <si>
    <t xml:space="preserve">no</t>
  </si>
  <si>
    <t xml:space="preserve">Alert Dialog Evidence</t>
  </si>
  <si>
    <t xml:space="preserve">Assertion-level package, browser, human-review, documentation, and consumer evidence.</t>
  </si>
  <si>
    <t xml:space="preserve">Resolved</t>
  </si>
  <si>
    <t xml:space="preserve">complete</t>
  </si>
  <si>
    <t xml:space="preserve">Manual review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</si>
  <si>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</si>
  <si>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</si>
  <si>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</si>
  <si>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</si>
  <si>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</si>
  <si>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</si>
  <si>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</si>
  <si>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Status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</si>
  <si>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</si>
  <si>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</si>
  <si>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</si>
  <si>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</si>
  <si>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AD-01</t>
  </si>
  <si>
    <t xml:space="preserve">Implementation</t>
  </si>
  <si>
    <t xml:space="preserve">AlertDialog</t>
  </si>
  <si>
    <t xml:space="preserve">Public component implementation and Atom adapter exist.</t>
  </si>
  <si>
    <t xml:space="preserve">package</t>
  </si>
  <si>
    <t xml:space="preserve">source</t>
  </si>
  <si>
    <t xml:space="preserve">../src/components/alert-dialog</t>
  </si>
  <si>
    <t xml:space="preserve">AD-02</t>
  </si>
  <si>
    <t xml:space="preserve">Exports</t>
  </si>
  <si>
    <t xml:space="preserve">Root and public subpath exports expose the component.</t>
  </si>
  <si>
    <t xml:space="preserve">../test/package/package.test.mjs</t>
  </si>
  <si>
    <t xml:space="preserve">AD-03</t>
  </si>
  <si>
    <t xml:space="preserve">Types</t>
  </si>
  <si>
    <t xml:space="preserve">Public props, refs, composition branches, and invalid cases type-check.</t>
  </si>
  <si>
    <t xml:space="preserve">types</t>
  </si>
  <si>
    <t xml:space="preserve">../test/types/components/alert-dialog.test.ts</t>
  </si>
  <si>
    <t xml:space="preserve">AD-04</t>
  </si>
  <si>
    <t xml:space="preserve">CSS</t>
  </si>
  <si>
    <t xml:space="preserve">Static public CSS, classes, slots, recipes, states, and tokens are present.</t>
  </si>
  <si>
    <t xml:space="preserve">css</t>
  </si>
  <si>
    <t xml:space="preserve">../src/components/alert-dialog/alert-dialog.css</t>
  </si>
  <si>
    <t xml:space="preserve">AD-05</t>
  </si>
  <si>
    <t xml:space="preserve">Unit</t>
  </si>
  <si>
    <t xml:space="preserve">Brick-owned DOM, recipes, adapters, and public hooks pass focused tests.</t>
  </si>
  <si>
    <t xml:space="preserve">component</t>
  </si>
  <si>
    <t xml:space="preserve">../test/components/alert-dialog/alert-dialog.test.tsx</t>
  </si>
  <si>
    <t xml:space="preserve">AD-06</t>
  </si>
  <si>
    <t xml:space="preserve">Browser</t>
  </si>
  <si>
    <t xml:space="preserve">Real-browser behavior and component contract checks pass.</t>
  </si>
  <si>
    <t xml:space="preserve">browser</t>
  </si>
  <si>
    <t xml:space="preserve">tests/components/alert-dialog/behavior.spec.ts</t>
  </si>
  <si>
    <t xml:space="preserve">AD-07</t>
  </si>
  <si>
    <t xml:space="preserve">Accessibility</t>
  </si>
  <si>
    <t xml:space="preserve">Automated semantics and accessibility checks pass in the browser evidence suite.</t>
  </si>
  <si>
    <t xml:space="preserve">axe</t>
  </si>
  <si>
    <t xml:space="preserve">tests/components/alert-dialog/behavior.spec.ts; tests/integration</t>
  </si>
  <si>
    <t xml:space="preserve">AD-08</t>
  </si>
  <si>
    <t xml:space="preserve">Visual</t>
  </si>
  <si>
    <t xml:space="preserve">Reviewed baselines cover the component's risk-selected recipes and states.</t>
  </si>
  <si>
    <t xml:space="preserve">visual</t>
  </si>
  <si>
    <t xml:space="preserve">tests/components/alert-dialog/visual.spec.ts</t>
  </si>
  <si>
    <t xml:space="preserve">Owner reviewed the current playground evidence.</t>
  </si>
  <si>
    <t xml:space="preserve">AD-09</t>
  </si>
  <si>
    <t xml:space="preserve">Responsive</t>
  </si>
  <si>
    <t xml:space="preserve">Mobile, zoom/reflow, content stress, and RTL remain usable and contained.</t>
  </si>
  <si>
    <t xml:space="preserve">manual</t>
  </si>
  <si>
    <t xml:space="preserve">manual-tests/alert-dialog.md</t>
  </si>
  <si>
    <t xml:space="preserve">Owner completed the current manual protocol.</t>
  </si>
  <si>
    <t xml:space="preserve">AD-10</t>
  </si>
  <si>
    <t xml:space="preserve">Theme</t>
  </si>
  <si>
    <t xml:space="preserve">Light, dark, focus, forced-colors, and relevant motion behavior remain perceivable.</t>
  </si>
  <si>
    <t xml:space="preserve">AD-11</t>
  </si>
  <si>
    <t xml:space="preserve">Composition</t>
  </si>
  <si>
    <t xml:space="preserve">Default, render, and asChild output preserve the intended element, slots, state, and relationships.</t>
  </si>
  <si>
    <t xml:space="preserve">manual-tests/alert-dialog.md; tests/components/alert-dialog/behavior.spec.ts</t>
  </si>
  <si>
    <t xml:space="preserve">Owner reviewed the live and rendered output evidence.</t>
  </si>
  <si>
    <t xml:space="preserve">AD-12</t>
  </si>
  <si>
    <t xml:space="preserve">Manual</t>
  </si>
  <si>
    <t xml:space="preserve">The complete component-owned manual protocol passed against every playground scenario.</t>
  </si>
  <si>
    <t xml:space="preserve">Owner confirmed completion on 2026-07-24.</t>
  </si>
  <si>
    <t xml:space="preserve">AD-13</t>
  </si>
  <si>
    <t xml:space="preserve">Docs</t>
  </si>
  <si>
    <t xml:space="preserve">Public usage documentation exists at the component-owned path.</t>
  </si>
  <si>
    <t xml:space="preserve">docs</t>
  </si>
  <si>
    <t xml:space="preserve">../docs/components/alert-dialog/README.md</t>
  </si>
  <si>
    <t xml:space="preserve">AD-14</t>
  </si>
  <si>
    <t xml:space="preserve">Changelog</t>
  </si>
  <si>
    <t xml:space="preserve">The component owns a public changelog.</t>
  </si>
  <si>
    <t xml:space="preserve">../docs/components/alert-dialog/CHANGELOG.md</t>
  </si>
  <si>
    <t xml:space="preserve">AD-15</t>
  </si>
  <si>
    <t xml:space="preserve">Consumer</t>
  </si>
  <si>
    <t xml:space="preserve">The standalone consumer imports and exercises the public package component.</t>
  </si>
  <si>
    <t xml:space="preserve">consumer</t>
  </si>
  <si>
    <t xml:space="preserve">../apps/consumer/src/App.tsx; ../apps/consumer/tests/consumer.spec.ts</t>
  </si>
  <si>
    <t xml:space="preserve">AD-16</t>
  </si>
  <si>
    <t xml:space="preserve">Package</t>
  </si>
  <si>
    <t xml:space="preserve">Build, exports, tarball, CSS, and consumer boundary verification pass.</t>
  </si>
  <si>
    <t xml:space="preserve">../scripts/verify-package.mjs; ../scripts/verify-consumers.mjs</t>
  </si>
  <si>
    <t xml:space="preserve">App Bar Evidence</t>
  </si>
  <si>
    <t xml:space="preserve">AB-01</t>
  </si>
  <si>
    <t xml:space="preserve">AppBar</t>
  </si>
  <si>
    <t xml:space="preserve">../src/components/app-bar</t>
  </si>
  <si>
    <t xml:space="preserve">AB-02</t>
  </si>
  <si>
    <t xml:space="preserve">AB-03</t>
  </si>
  <si>
    <t xml:space="preserve">../test/types/components/app-bar.test.ts</t>
  </si>
  <si>
    <t xml:space="preserve">AB-04</t>
  </si>
  <si>
    <t xml:space="preserve">../src/components/app-bar/app-bar.css</t>
  </si>
  <si>
    <t xml:space="preserve">AB-05</t>
  </si>
  <si>
    <t xml:space="preserve">../test/components/app-bar/app-bar.test.tsx</t>
  </si>
  <si>
    <t xml:space="preserve">AB-06</t>
  </si>
  <si>
    <t xml:space="preserve">tests/components/app-bar/behavior.spec.ts</t>
  </si>
  <si>
    <t xml:space="preserve">AB-07</t>
  </si>
  <si>
    <t xml:space="preserve">tests/components/app-bar/behavior.spec.ts; tests/integration</t>
  </si>
  <si>
    <t xml:space="preserve">AB-08</t>
  </si>
  <si>
    <t xml:space="preserve">tests/components/app-bar/visual.spec.ts</t>
  </si>
  <si>
    <t xml:space="preserve">AB-09</t>
  </si>
  <si>
    <t xml:space="preserve">manual-tests/app-bar.md</t>
  </si>
  <si>
    <t xml:space="preserve">AB-10</t>
  </si>
  <si>
    <t xml:space="preserve">AB-11</t>
  </si>
  <si>
    <t xml:space="preserve">manual-tests/app-bar.md; tests/components/app-bar/behavior.spec.ts</t>
  </si>
  <si>
    <t xml:space="preserve">AB-12</t>
  </si>
  <si>
    <t xml:space="preserve">AB-13</t>
  </si>
  <si>
    <t xml:space="preserve">../docs/components/app-bar/README.md</t>
  </si>
  <si>
    <t xml:space="preserve">AB-14</t>
  </si>
  <si>
    <t xml:space="preserve">../docs/components/app-bar/CHANGELOG.md</t>
  </si>
  <si>
    <t xml:space="preserve">AB-15</t>
  </si>
  <si>
    <t xml:space="preserve">AB-16</t>
  </si>
  <si>
    <t xml:space="preserve">Avatar Evidence</t>
  </si>
  <si>
    <t xml:space="preserve">A-01</t>
  </si>
  <si>
    <t xml:space="preserve">../src/components/avatar</t>
  </si>
  <si>
    <t xml:space="preserve">A-02</t>
  </si>
  <si>
    <t xml:space="preserve">A-03</t>
  </si>
  <si>
    <t xml:space="preserve">../test/types/components/avatar.test.ts</t>
  </si>
  <si>
    <t xml:space="preserve">A-04</t>
  </si>
  <si>
    <t xml:space="preserve">../src/components/avatar/avatar.css</t>
  </si>
  <si>
    <t xml:space="preserve">A-05</t>
  </si>
  <si>
    <t xml:space="preserve">../test/components/avatar/avatar.test.tsx</t>
  </si>
  <si>
    <t xml:space="preserve">A-06</t>
  </si>
  <si>
    <t xml:space="preserve">tests/components/avatar/behavior.spec.ts</t>
  </si>
  <si>
    <t xml:space="preserve">A-07</t>
  </si>
  <si>
    <t xml:space="preserve">tests/components/avatar/behavior.spec.ts; tests/integration</t>
  </si>
  <si>
    <t xml:space="preserve">A-08</t>
  </si>
  <si>
    <t xml:space="preserve">tests/components/avatar/visual.spec.ts</t>
  </si>
  <si>
    <t xml:space="preserve">A-09</t>
  </si>
  <si>
    <t xml:space="preserve">manual-tests/avatar.md</t>
  </si>
  <si>
    <t xml:space="preserve">A-10</t>
  </si>
  <si>
    <t xml:space="preserve">A-11</t>
  </si>
  <si>
    <t xml:space="preserve">manual-tests/avatar.md; tests/components/avatar/behavior.spec.ts</t>
  </si>
  <si>
    <t xml:space="preserve">A-12</t>
  </si>
  <si>
    <t xml:space="preserve">A-13</t>
  </si>
  <si>
    <t xml:space="preserve">../docs/components/avatar/README.md</t>
  </si>
  <si>
    <t xml:space="preserve">A-14</t>
  </si>
  <si>
    <t xml:space="preserve">../docs/components/avatar/CHANGELOG.md</t>
  </si>
  <si>
    <t xml:space="preserve">A-15</t>
  </si>
  <si>
    <t xml:space="preserve">A-16</t>
  </si>
  <si>
    <t xml:space="preserve">Badge Evidence</t>
  </si>
  <si>
    <t xml:space="preserve">B-01</t>
  </si>
  <si>
    <t xml:space="preserve">../src/components/badge</t>
  </si>
  <si>
    <t xml:space="preserve">B-02</t>
  </si>
  <si>
    <t xml:space="preserve">B-03</t>
  </si>
  <si>
    <t xml:space="preserve">../test/types/components/badge.test.ts</t>
  </si>
  <si>
    <t xml:space="preserve">B-04</t>
  </si>
  <si>
    <t xml:space="preserve">../src/components/badge/badge.css</t>
  </si>
  <si>
    <t xml:space="preserve">B-05</t>
  </si>
  <si>
    <t xml:space="preserve">../test/components/badge/badge.test.tsx</t>
  </si>
  <si>
    <t xml:space="preserve">B-06</t>
  </si>
  <si>
    <t xml:space="preserve">tests/components/badge/behavior.spec.ts</t>
  </si>
  <si>
    <t xml:space="preserve">B-07</t>
  </si>
  <si>
    <t xml:space="preserve">tests/components/badge/behavior.spec.ts; tests/integration</t>
  </si>
  <si>
    <t xml:space="preserve">B-08</t>
  </si>
  <si>
    <t xml:space="preserve">tests/components/badge/visual.spec.ts</t>
  </si>
  <si>
    <t xml:space="preserve">B-09</t>
  </si>
  <si>
    <t xml:space="preserve">manual-tests/badge.md</t>
  </si>
  <si>
    <t xml:space="preserve">B-10</t>
  </si>
  <si>
    <t xml:space="preserve">B-11</t>
  </si>
  <si>
    <t xml:space="preserve">manual-tests/badge.md; tests/components/badge/behavior.spec.ts</t>
  </si>
  <si>
    <t xml:space="preserve">B-12</t>
  </si>
  <si>
    <t xml:space="preserve">B-13</t>
  </si>
  <si>
    <t xml:space="preserve">../docs/components/badge/README.md</t>
  </si>
  <si>
    <t xml:space="preserve">B-14</t>
  </si>
  <si>
    <t xml:space="preserve">../docs/components/badge/CHANGELOG.md</t>
  </si>
  <si>
    <t xml:space="preserve">B-15</t>
  </si>
  <si>
    <t xml:space="preserve">B-16</t>
  </si>
  <si>
    <t xml:space="preserve">Button Evidence</t>
  </si>
  <si>
    <t xml:space="preserve">../src/components/button</t>
  </si>
  <si>
    <t xml:space="preserve">../test/types/components/button.test.ts</t>
  </si>
  <si>
    <t xml:space="preserve">../src/components/button/button.css</t>
  </si>
  <si>
    <t xml:space="preserve">../test/components/button/button.test.tsx</t>
  </si>
  <si>
    <t xml:space="preserve">tests/components/button/behavior.spec.ts</t>
  </si>
  <si>
    <t xml:space="preserve">tests/components/button/behavior.spec.ts; tests/integration</t>
  </si>
  <si>
    <t xml:space="preserve">tests/components/button/visual.spec.ts</t>
  </si>
  <si>
    <t xml:space="preserve">manual-tests/button.md</t>
  </si>
  <si>
    <t xml:space="preserve">manual-tests/button.md; tests/components/button/behavior.spec.ts</t>
  </si>
  <si>
    <t xml:space="preserve">../docs/components/button/README.md</t>
  </si>
  <si>
    <t xml:space="preserve">../docs/components/button/CHANGELOG.md</t>
  </si>
  <si>
    <t xml:space="preserve">Card Evidence</t>
  </si>
  <si>
    <t xml:space="preserve">C-01</t>
  </si>
  <si>
    <t xml:space="preserve">../src/components/card</t>
  </si>
  <si>
    <t xml:space="preserve">C-02</t>
  </si>
  <si>
    <t xml:space="preserve">C-03</t>
  </si>
  <si>
    <t xml:space="preserve">../test/types/components/card.test.ts</t>
  </si>
  <si>
    <t xml:space="preserve">C-04</t>
  </si>
  <si>
    <t xml:space="preserve">../src/components/card/card.css</t>
  </si>
  <si>
    <t xml:space="preserve">C-05</t>
  </si>
  <si>
    <t xml:space="preserve">../test/components/card/card.test.tsx</t>
  </si>
  <si>
    <t xml:space="preserve">C-06</t>
  </si>
  <si>
    <t xml:space="preserve">tests/components/card/behavior.spec.ts</t>
  </si>
  <si>
    <t xml:space="preserve">C-07</t>
  </si>
  <si>
    <t xml:space="preserve">tests/components/card/behavior.spec.ts; tests/integration</t>
  </si>
  <si>
    <t xml:space="preserve">C-08</t>
  </si>
  <si>
    <t xml:space="preserve">tests/components/card/visual.spec.ts</t>
  </si>
  <si>
    <t xml:space="preserve">C-09</t>
  </si>
  <si>
    <t xml:space="preserve">manual-tests/card.md</t>
  </si>
  <si>
    <t xml:space="preserve">C-10</t>
  </si>
  <si>
    <t xml:space="preserve">C-11</t>
  </si>
  <si>
    <t xml:space="preserve">manual-tests/card.md; tests/components/card/behavior.spec.ts</t>
  </si>
  <si>
    <t xml:space="preserve">C-12</t>
  </si>
  <si>
    <t xml:space="preserve">C-13</t>
  </si>
  <si>
    <t xml:space="preserve">../docs/components/card/README.md</t>
  </si>
  <si>
    <t xml:space="preserve">C-14</t>
  </si>
  <si>
    <t xml:space="preserve">../docs/components/card/CHANGELOG.md</t>
  </si>
  <si>
    <t xml:space="preserve">C-15</t>
  </si>
  <si>
    <t xml:space="preserve">C-16</t>
  </si>
  <si>
    <t xml:space="preserve">Checkbox Evidence</t>
  </si>
  <si>
    <t xml:space="preserve">../src/components/checkbox</t>
  </si>
  <si>
    <t xml:space="preserve">../test/types/components/checkbox.test.ts</t>
  </si>
  <si>
    <t xml:space="preserve">../src/components/checkbox/checkbox.css</t>
  </si>
  <si>
    <t xml:space="preserve">../test/components/checkbox/checkbox.test.tsx</t>
  </si>
  <si>
    <t xml:space="preserve">tests/components/checkbox/behavior.spec.ts</t>
  </si>
  <si>
    <t xml:space="preserve">tests/components/checkbox/behavior.spec.ts; tests/integration</t>
  </si>
  <si>
    <t xml:space="preserve">tests/components/checkbox/visual.spec.ts</t>
  </si>
  <si>
    <t xml:space="preserve">manual-tests/checkbox.md</t>
  </si>
  <si>
    <t xml:space="preserve">manual-tests/checkbox.md; tests/components/checkbox/behavior.spec.ts</t>
  </si>
  <si>
    <t xml:space="preserve">../docs/components/checkbox/README.md</t>
  </si>
  <si>
    <t xml:space="preserve">../docs/components/checkbox/CHANGELOG.md</t>
  </si>
  <si>
    <t xml:space="preserve">Checkbox Group Evidence</t>
  </si>
  <si>
    <t xml:space="preserve">CG-01</t>
  </si>
  <si>
    <t xml:space="preserve">CheckboxGroup</t>
  </si>
  <si>
    <t xml:space="preserve">../src/components/checkbox-group</t>
  </si>
  <si>
    <t xml:space="preserve">CG-02</t>
  </si>
  <si>
    <t xml:space="preserve">CG-03</t>
  </si>
  <si>
    <t xml:space="preserve">../test/types/components/checkbox-group.test.ts</t>
  </si>
  <si>
    <t xml:space="preserve">CG-04</t>
  </si>
  <si>
    <t xml:space="preserve">../src/components/checkbox-group/checkbox-group.css</t>
  </si>
  <si>
    <t xml:space="preserve">CG-05</t>
  </si>
  <si>
    <t xml:space="preserve">../test/components/checkbox-group/checkbox-group.test.tsx</t>
  </si>
  <si>
    <t xml:space="preserve">CG-06</t>
  </si>
  <si>
    <t xml:space="preserve">tests/components/checkbox-group/behavior.spec.ts</t>
  </si>
  <si>
    <t xml:space="preserve">CG-07</t>
  </si>
  <si>
    <t xml:space="preserve">tests/components/checkbox-group/behavior.spec.ts; tests/integration</t>
  </si>
  <si>
    <t xml:space="preserve">CG-08</t>
  </si>
  <si>
    <t xml:space="preserve">tests/components/checkbox-group/visual.spec.ts</t>
  </si>
  <si>
    <t xml:space="preserve">CG-09</t>
  </si>
  <si>
    <t xml:space="preserve">manual-tests/checkbox-group.md</t>
  </si>
  <si>
    <t xml:space="preserve">CG-10</t>
  </si>
  <si>
    <t xml:space="preserve">CG-11</t>
  </si>
  <si>
    <t xml:space="preserve">manual-tests/checkbox-group.md; tests/components/checkbox-group/behavior.spec.ts</t>
  </si>
  <si>
    <t xml:space="preserve">CG-12</t>
  </si>
  <si>
    <t xml:space="preserve">CG-13</t>
  </si>
  <si>
    <t xml:space="preserve">../docs/components/checkbox-group/README.md</t>
  </si>
  <si>
    <t xml:space="preserve">CG-14</t>
  </si>
  <si>
    <t xml:space="preserve">../docs/components/checkbox-group/CHANGELOG.md</t>
  </si>
  <si>
    <t xml:space="preserve">CG-15</t>
  </si>
  <si>
    <t xml:space="preserve">CG-16</t>
  </si>
  <si>
    <t xml:space="preserve">Dialog Evidence</t>
  </si>
  <si>
    <t xml:space="preserve">D-01</t>
  </si>
  <si>
    <t xml:space="preserve">../src/components/dialog</t>
  </si>
  <si>
    <t xml:space="preserve">D-02</t>
  </si>
  <si>
    <t xml:space="preserve">D-03</t>
  </si>
  <si>
    <t xml:space="preserve">../test/types/components/dialog.test.ts</t>
  </si>
  <si>
    <t xml:space="preserve">D-04</t>
  </si>
  <si>
    <t xml:space="preserve">../src/components/dialog/dialog.css</t>
  </si>
  <si>
    <t xml:space="preserve">D-05</t>
  </si>
  <si>
    <t xml:space="preserve">../test/components/dialog/dialog.test.tsx</t>
  </si>
  <si>
    <t xml:space="preserve">D-06</t>
  </si>
  <si>
    <t xml:space="preserve">tests/components/dialog/behavior.spec.ts</t>
  </si>
  <si>
    <t xml:space="preserve">D-07</t>
  </si>
  <si>
    <t xml:space="preserve">tests/components/dialog/behavior.spec.ts; tests/integration</t>
  </si>
  <si>
    <t xml:space="preserve">D-08</t>
  </si>
  <si>
    <t xml:space="preserve">tests/components/dialog/visual.spec.ts</t>
  </si>
  <si>
    <t xml:space="preserve">D-09</t>
  </si>
  <si>
    <t xml:space="preserve">manual-tests/dialog.md</t>
  </si>
  <si>
    <t xml:space="preserve">D-10</t>
  </si>
  <si>
    <t xml:space="preserve">D-11</t>
  </si>
  <si>
    <t xml:space="preserve">manual-tests/dialog.md; tests/components/dialog/behavior.spec.ts</t>
  </si>
  <si>
    <t xml:space="preserve">D-12</t>
  </si>
  <si>
    <t xml:space="preserve">D-13</t>
  </si>
  <si>
    <t xml:space="preserve">../docs/components/dialog/README.md</t>
  </si>
  <si>
    <t xml:space="preserve">D-14</t>
  </si>
  <si>
    <t xml:space="preserve">../docs/components/dialog/CHANGELOG.md</t>
  </si>
  <si>
    <t xml:space="preserve">D-15</t>
  </si>
  <si>
    <t xml:space="preserve">D-16</t>
  </si>
  <si>
    <t xml:space="preserve">Drawer Evidence</t>
  </si>
  <si>
    <t xml:space="preserve">../src/components/drawer</t>
  </si>
  <si>
    <t xml:space="preserve">../test/types/components/drawer.test.ts</t>
  </si>
  <si>
    <t xml:space="preserve">../src/components/drawer/drawer.css</t>
  </si>
  <si>
    <t xml:space="preserve">../test/components/drawer/drawer.test.tsx</t>
  </si>
  <si>
    <t xml:space="preserve">tests/components/drawer/behavior.spec.ts</t>
  </si>
  <si>
    <t xml:space="preserve">tests/components/drawer/behavior.spec.ts; tests/integration</t>
  </si>
  <si>
    <t xml:space="preserve">tests/components/drawer/visual.spec.ts</t>
  </si>
  <si>
    <t xml:space="preserve">manual-tests/drawer.md</t>
  </si>
  <si>
    <t xml:space="preserve">manual-tests/drawer.md; tests/components/drawer/behavior.spec.ts</t>
  </si>
  <si>
    <t xml:space="preserve">../docs/components/drawer/README.md</t>
  </si>
  <si>
    <t xml:space="preserve">../docs/components/drawer/CHANGELOG.md</t>
  </si>
  <si>
    <t xml:space="preserve">Field Evidence</t>
  </si>
  <si>
    <t xml:space="preserve">F-01</t>
  </si>
  <si>
    <t xml:space="preserve">../src/components/field</t>
  </si>
  <si>
    <t xml:space="preserve">F-02</t>
  </si>
  <si>
    <t xml:space="preserve">F-03</t>
  </si>
  <si>
    <t xml:space="preserve">../test/types/components/field.test.ts</t>
  </si>
  <si>
    <t xml:space="preserve">F-04</t>
  </si>
  <si>
    <t xml:space="preserve">../src/components/field/field.css</t>
  </si>
  <si>
    <t xml:space="preserve">F-05</t>
  </si>
  <si>
    <t xml:space="preserve">../test/components/field/field.test.tsx</t>
  </si>
  <si>
    <t xml:space="preserve">F-06</t>
  </si>
  <si>
    <t xml:space="preserve">tests/components/field/behavior.spec.ts</t>
  </si>
  <si>
    <t xml:space="preserve">F-07</t>
  </si>
  <si>
    <t xml:space="preserve">tests/components/field/behavior.spec.ts; tests/integration</t>
  </si>
  <si>
    <t xml:space="preserve">F-08</t>
  </si>
  <si>
    <t xml:space="preserve">tests/components/field/visual.spec.ts</t>
  </si>
  <si>
    <t xml:space="preserve">F-09</t>
  </si>
  <si>
    <t xml:space="preserve">manual-tests/field.md</t>
  </si>
  <si>
    <t xml:space="preserve">F-10</t>
  </si>
  <si>
    <t xml:space="preserve">F-11</t>
  </si>
  <si>
    <t xml:space="preserve">manual-tests/field.md; tests/components/field/behavior.spec.ts</t>
  </si>
  <si>
    <t xml:space="preserve">F-12</t>
  </si>
  <si>
    <t xml:space="preserve">F-13</t>
  </si>
  <si>
    <t xml:space="preserve">../docs/components/field/README.md</t>
  </si>
  <si>
    <t xml:space="preserve">F-14</t>
  </si>
  <si>
    <t xml:space="preserve">../docs/components/field/CHANGELOG.md</t>
  </si>
  <si>
    <t xml:space="preserve">F-15</t>
  </si>
  <si>
    <t xml:space="preserve">F-16</t>
  </si>
  <si>
    <t xml:space="preserve">Fieldset Evidence</t>
  </si>
  <si>
    <t xml:space="preserve">../src/components/fieldset</t>
  </si>
  <si>
    <t xml:space="preserve">../test/types/components/fieldset.test.ts</t>
  </si>
  <si>
    <t xml:space="preserve">../src/components/fieldset/fieldset.css</t>
  </si>
  <si>
    <t xml:space="preserve">../test/components/fieldset/fieldset.test.tsx</t>
  </si>
  <si>
    <t xml:space="preserve">tests/components/fieldset/behavior.spec.ts</t>
  </si>
  <si>
    <t xml:space="preserve">tests/components/fieldset/behavior.spec.ts; tests/integration</t>
  </si>
  <si>
    <t xml:space="preserve">tests/components/fieldset/visual.spec.ts</t>
  </si>
  <si>
    <t xml:space="preserve">manual-tests/fieldset.md</t>
  </si>
  <si>
    <t xml:space="preserve">manual-tests/fieldset.md; tests/components/fieldset/behavior.spec.ts</t>
  </si>
  <si>
    <t xml:space="preserve">../docs/components/fieldset/README.md</t>
  </si>
  <si>
    <t xml:space="preserve">../docs/components/fieldset/CHANGELOG.md</t>
  </si>
  <si>
    <t xml:space="preserve">Form Evidence</t>
  </si>
  <si>
    <t xml:space="preserve">../src/components/form</t>
  </si>
  <si>
    <t xml:space="preserve">../test/types/components/form.test.ts</t>
  </si>
  <si>
    <t xml:space="preserve">../src/components/form/form.css</t>
  </si>
  <si>
    <t xml:space="preserve">../test/components/form/form.test.tsx</t>
  </si>
  <si>
    <t xml:space="preserve">tests/components/form/behavior.spec.ts</t>
  </si>
  <si>
    <t xml:space="preserve">tests/components/form/behavior.spec.ts; tests/integration</t>
  </si>
  <si>
    <t xml:space="preserve">tests/components/form/visual.spec.ts</t>
  </si>
  <si>
    <t xml:space="preserve">manual-tests/form.md</t>
  </si>
  <si>
    <t xml:space="preserve">manual-tests/form.md; tests/components/form/behavior.spec.ts</t>
  </si>
  <si>
    <t xml:space="preserve">../docs/components/form/README.md</t>
  </si>
  <si>
    <t xml:space="preserve">../docs/components/form/CHANGELOG.md</t>
  </si>
  <si>
    <t xml:space="preserve">Hover Card Evidence</t>
  </si>
  <si>
    <t xml:space="preserve">HC-01</t>
  </si>
  <si>
    <t xml:space="preserve">HoverCard</t>
  </si>
  <si>
    <t xml:space="preserve">../src/components/hover-card</t>
  </si>
  <si>
    <t xml:space="preserve">HC-02</t>
  </si>
  <si>
    <t xml:space="preserve">HC-03</t>
  </si>
  <si>
    <t xml:space="preserve">../test/types/components/hover-card.test.ts</t>
  </si>
  <si>
    <t xml:space="preserve">HC-04</t>
  </si>
  <si>
    <t xml:space="preserve">../src/components/hover-card/hover-card.css</t>
  </si>
  <si>
    <t xml:space="preserve">HC-05</t>
  </si>
  <si>
    <t xml:space="preserve">../test/components/hover-card/hover-card.test.tsx</t>
  </si>
  <si>
    <t xml:space="preserve">HC-06</t>
  </si>
  <si>
    <t xml:space="preserve">tests/components/hover-card/behavior.spec.ts</t>
  </si>
  <si>
    <t xml:space="preserve">HC-07</t>
  </si>
  <si>
    <t xml:space="preserve">tests/components/hover-card/behavior.spec.ts; tests/integration</t>
  </si>
  <si>
    <t xml:space="preserve">HC-08</t>
  </si>
  <si>
    <t xml:space="preserve">tests/components/hover-card/visual.spec.ts</t>
  </si>
  <si>
    <t xml:space="preserve">HC-09</t>
  </si>
  <si>
    <t xml:space="preserve">manual-tests/hover-card.md</t>
  </si>
  <si>
    <t xml:space="preserve">HC-10</t>
  </si>
  <si>
    <t xml:space="preserve">HC-11</t>
  </si>
  <si>
    <t xml:space="preserve">manual-tests/hover-card.md; tests/components/hover-card/behavior.spec.ts</t>
  </si>
  <si>
    <t xml:space="preserve">HC-12</t>
  </si>
  <si>
    <t xml:space="preserve">HC-13</t>
  </si>
  <si>
    <t xml:space="preserve">../docs/components/hover-card/README.md</t>
  </si>
  <si>
    <t xml:space="preserve">HC-14</t>
  </si>
  <si>
    <t xml:space="preserve">../docs/components/hover-card/CHANGELOG.md</t>
  </si>
  <si>
    <t xml:space="preserve">HC-15</t>
  </si>
  <si>
    <t xml:space="preserve">HC-16</t>
  </si>
  <si>
    <t xml:space="preserve">Icon Button Evidence</t>
  </si>
  <si>
    <t xml:space="preserve">IB-01</t>
  </si>
  <si>
    <t xml:space="preserve">IconButton</t>
  </si>
  <si>
    <t xml:space="preserve">../src/components/icon-button</t>
  </si>
  <si>
    <t xml:space="preserve">IB-02</t>
  </si>
  <si>
    <t xml:space="preserve">IB-03</t>
  </si>
  <si>
    <t xml:space="preserve">../test/types/components/icon-button.test.ts</t>
  </si>
  <si>
    <t xml:space="preserve">IB-04</t>
  </si>
  <si>
    <t xml:space="preserve">../src/components/icon-button/icon-button.css</t>
  </si>
  <si>
    <t xml:space="preserve">IB-05</t>
  </si>
  <si>
    <t xml:space="preserve">../test/components/icon-button/icon-button.test.tsx</t>
  </si>
  <si>
    <t xml:space="preserve">IB-06</t>
  </si>
  <si>
    <t xml:space="preserve">tests/components/icon-button/behavior.spec.ts</t>
  </si>
  <si>
    <t xml:space="preserve">IB-07</t>
  </si>
  <si>
    <t xml:space="preserve">tests/components/icon-button/behavior.spec.ts; tests/integration</t>
  </si>
  <si>
    <t xml:space="preserve">IB-08</t>
  </si>
  <si>
    <t xml:space="preserve">tests/components/icon-button/visual.spec.ts</t>
  </si>
  <si>
    <t xml:space="preserve">IB-09</t>
  </si>
  <si>
    <t xml:space="preserve">manual-tests/icon-button.md</t>
  </si>
  <si>
    <t xml:space="preserve">IB-10</t>
  </si>
  <si>
    <t xml:space="preserve">IB-11</t>
  </si>
  <si>
    <t xml:space="preserve">manual-tests/icon-button.md; tests/components/icon-button/behavior.spec.ts</t>
  </si>
  <si>
    <t xml:space="preserve">IB-12</t>
  </si>
  <si>
    <t xml:space="preserve">IB-13</t>
  </si>
  <si>
    <t xml:space="preserve">../docs/components/icon-button/README.md</t>
  </si>
  <si>
    <t xml:space="preserve">IB-14</t>
  </si>
  <si>
    <t xml:space="preserve">../docs/components/icon-button/CHANGELOG.md</t>
  </si>
  <si>
    <t xml:space="preserve">IB-15</t>
  </si>
  <si>
    <t xml:space="preserve">IB-16</t>
  </si>
  <si>
    <t xml:space="preserve">Input Evidence</t>
  </si>
  <si>
    <t xml:space="preserve">I-01</t>
  </si>
  <si>
    <t xml:space="preserve">Brick wrapper, native input ref, adornments, and Atom-powered Clear are implemented.</t>
  </si>
  <si>
    <t xml:space="preserve">../src/components/input</t>
  </si>
  <si>
    <t xml:space="preserve">I-02</t>
  </si>
  <si>
    <t xml:space="preserve">Root and public Input subpath exports expose runtime and type surfaces.</t>
  </si>
  <si>
    <t xml:space="preserve">I-03</t>
  </si>
  <si>
    <t xml:space="preserve">Recipes, native text types, ref, underline shape exclusion, and native size collision type-check.</t>
  </si>
  <si>
    <t xml:space="preserve">../test/types/components/input.test.ts</t>
  </si>
  <si>
    <t xml:space="preserve">I-04</t>
  </si>
  <si>
    <t xml:space="preserve">Recipes, sizes, shapes, states, adornment geometry, logical layout, and public tokens ship as static CSS.</t>
  </si>
  <si>
    <t xml:space="preserve">../src/components/input/input.css</t>
  </si>
  <si>
    <t xml:space="preserve">I-05</t>
  </si>
  <si>
    <t xml:space="preserve">Defaults, DOM order, refs, hooks, Clear delegation, prop filtering, and state adaptation pass focused tests.</t>
  </si>
  <si>
    <t xml:space="preserve">../test/components/input/input.test.tsx</t>
  </si>
  <si>
    <t xml:space="preserve">I-06</t>
  </si>
  <si>
    <t xml:space="preserve">Real-browser recipes, geometry, ownership, native form behavior, output, adornments, and Clear checks pass.</t>
  </si>
  <si>
    <t xml:space="preserve">tests/components/input/behavior.spec.ts</t>
  </si>
  <si>
    <t xml:space="preserve">I-07</t>
  </si>
  <si>
    <t xml:space="preserve">Field naming and relationships, native availability states, focus restoration, and axe checks pass.</t>
  </si>
  <si>
    <t xml:space="preserve">tests/components/input/behavior.spec.ts; tests/integration/form-foundation.spec.ts</t>
  </si>
  <si>
    <t xml:space="preserve">I-08</t>
  </si>
  <si>
    <t xml:space="preserve">Reviewed baselines cover defaults, recipes, geometry, adornments, states, appearance, RTL, and forced colors.</t>
  </si>
  <si>
    <t xml:space="preserve">tests/components/input/visual.spec.ts</t>
  </si>
  <si>
    <t xml:space="preserve">Owner reviewed and corrected the current Input playground evidence.</t>
  </si>
  <si>
    <t xml:space="preserve">I-09</t>
  </si>
  <si>
    <t xml:space="preserve">Physical mobile, 200%/400% zoom, long-value stress, and RTL remain usable and contained.</t>
  </si>
  <si>
    <t xml:space="preserve">manual-tests/input.md</t>
  </si>
  <si>
    <t xml:space="preserve">Manual protocol exists; physical device and zoom review have not been recorded.</t>
  </si>
  <si>
    <t xml:space="preserve">I-10</t>
  </si>
  <si>
    <t xml:space="preserve">Light, dark, focus, invalid, forced-colors, and reduced-motion treatment remain perceivable.</t>
  </si>
  <si>
    <t xml:space="preserve">manual-tests/input.md; tests/components/input/visual.spec.ts</t>
  </si>
  <si>
    <t xml:space="preserve">Automated evidence passes; human appearance review is not fully recorded.</t>
  </si>
  <si>
    <t xml:space="preserve">I-11</t>
  </si>
  <si>
    <t xml:space="preserve">Field/Form labels, descriptions, errors, external ownership, generated IDs, and rendered HTML match.</t>
  </si>
  <si>
    <t xml:space="preserve">manual-tests/input.md; tests/components/input/behavior.spec.ts</t>
  </si>
  <si>
    <t xml:space="preserve">Automated relationships pass; the complete human output review is pending.</t>
  </si>
  <si>
    <t xml:space="preserve">I-12</t>
  </si>
  <si>
    <t xml:space="preserve">The component-owned manual protocol passes every Input playground scenario.</t>
  </si>
  <si>
    <t xml:space="preserve">Protocol is intentionally unrun and contains no claimed result.</t>
  </si>
  <si>
    <t xml:space="preserve">I-13</t>
  </si>
  <si>
    <t xml:space="preserve">Source-backed public usage and API documentation passes component documentation checks.</t>
  </si>
  <si>
    <t xml:space="preserve">../docs/components/input/README.md</t>
  </si>
  <si>
    <t xml:space="preserve">I-14</t>
  </si>
  <si>
    <t xml:space="preserve">Input owns a public component changelog and the package changelog records its addition.</t>
  </si>
  <si>
    <t xml:space="preserve">../docs/components/input/CHANGELOG.md; ../CHANGELOG.md</t>
  </si>
  <si>
    <t xml:space="preserve">I-15</t>
  </si>
  <si>
    <t xml:space="preserve">The packed Consumer proves Field, adornment, Clear, validation, submit, and reset through public imports.</t>
  </si>
  <si>
    <t xml:space="preserve">I-16</t>
  </si>
  <si>
    <t xml:space="preserve">Build, SSR, exports, CSS, tarball, React 18/19, and packed-consumer verification pass.</t>
  </si>
  <si>
    <t xml:space="preserve">../test/package; ../scripts/verify-package.mjs; ../scripts/verify-consumers.mjs</t>
  </si>
  <si>
    <t xml:space="preserve">Notification Badge Evidence</t>
  </si>
  <si>
    <t xml:space="preserve">NB-01</t>
  </si>
  <si>
    <t xml:space="preserve">NotificationBadge</t>
  </si>
  <si>
    <t xml:space="preserve">NB-02</t>
  </si>
  <si>
    <t xml:space="preserve">NB-03</t>
  </si>
  <si>
    <t xml:space="preserve">../test/types/components/notification-badge.test.ts</t>
  </si>
  <si>
    <t xml:space="preserve">NB-04</t>
  </si>
  <si>
    <t xml:space="preserve">NB-05</t>
  </si>
  <si>
    <t xml:space="preserve">../test/components/notification-badge/notification-badge.test.tsx</t>
  </si>
  <si>
    <t xml:space="preserve">NB-06</t>
  </si>
  <si>
    <t xml:space="preserve">tests/components/notification-badge/behavior.spec.ts</t>
  </si>
  <si>
    <t xml:space="preserve">NB-07</t>
  </si>
  <si>
    <t xml:space="preserve">tests/components/notification-badge/behavior.spec.ts; tests/integration</t>
  </si>
  <si>
    <t xml:space="preserve">NB-08</t>
  </si>
  <si>
    <t xml:space="preserve">tests/components/notification-badge/visual.spec.ts</t>
  </si>
  <si>
    <t xml:space="preserve">NB-09</t>
  </si>
  <si>
    <t xml:space="preserve">manual-tests/notification-badge.md</t>
  </si>
  <si>
    <t xml:space="preserve">NB-10</t>
  </si>
  <si>
    <t xml:space="preserve">NB-11</t>
  </si>
  <si>
    <t xml:space="preserve">manual-tests/notification-badge.md; tests/components/notification-badge/behavior.spec.ts</t>
  </si>
  <si>
    <t xml:space="preserve">NB-12</t>
  </si>
  <si>
    <t xml:space="preserve">NB-13</t>
  </si>
  <si>
    <t xml:space="preserve">../docs/components/notification-badge/README.md</t>
  </si>
  <si>
    <t xml:space="preserve">NB-14</t>
  </si>
  <si>
    <t xml:space="preserve">../docs/components/notification-badge/CHANGELOG.md</t>
  </si>
  <si>
    <t xml:space="preserve">NB-15</t>
  </si>
  <si>
    <t xml:space="preserve">NB-16</t>
  </si>
  <si>
    <t xml:space="preserve">Popover Evidence</t>
  </si>
  <si>
    <t xml:space="preserve">P-01</t>
  </si>
  <si>
    <t xml:space="preserve">../src/components/popover</t>
  </si>
  <si>
    <t xml:space="preserve">P-02</t>
  </si>
  <si>
    <t xml:space="preserve">P-03</t>
  </si>
  <si>
    <t xml:space="preserve">../test/types/components/popover.test.ts</t>
  </si>
  <si>
    <t xml:space="preserve">P-04</t>
  </si>
  <si>
    <t xml:space="preserve">../src/components/popover/popover.css</t>
  </si>
  <si>
    <t xml:space="preserve">P-05</t>
  </si>
  <si>
    <t xml:space="preserve">../test/components/popover/popover.test.tsx</t>
  </si>
  <si>
    <t xml:space="preserve">P-06</t>
  </si>
  <si>
    <t xml:space="preserve">tests/components/popover/behavior.spec.ts</t>
  </si>
  <si>
    <t xml:space="preserve">P-07</t>
  </si>
  <si>
    <t xml:space="preserve">tests/components/popover/behavior.spec.ts; tests/integration</t>
  </si>
  <si>
    <t xml:space="preserve">P-08</t>
  </si>
  <si>
    <t xml:space="preserve">tests/components/popover/visual.spec.ts</t>
  </si>
  <si>
    <t xml:space="preserve">P-09</t>
  </si>
  <si>
    <t xml:space="preserve">manual-tests/popover.md</t>
  </si>
  <si>
    <t xml:space="preserve">P-10</t>
  </si>
  <si>
    <t xml:space="preserve">P-11</t>
  </si>
  <si>
    <t xml:space="preserve">manual-tests/popover.md; tests/components/popover/behavior.spec.ts</t>
  </si>
  <si>
    <t xml:space="preserve">P-12</t>
  </si>
  <si>
    <t xml:space="preserve">P-13</t>
  </si>
  <si>
    <t xml:space="preserve">../docs/components/popover/README.md</t>
  </si>
  <si>
    <t xml:space="preserve">P-14</t>
  </si>
  <si>
    <t xml:space="preserve">../docs/components/popover/CHANGELOG.md</t>
  </si>
  <si>
    <t xml:space="preserve">P-15</t>
  </si>
  <si>
    <t xml:space="preserve">P-16</t>
  </si>
  <si>
    <t xml:space="preserve">Toggle Evidence</t>
  </si>
  <si>
    <t xml:space="preserve">T-01</t>
  </si>
  <si>
    <t xml:space="preserve">../src/components/toggle</t>
  </si>
  <si>
    <t xml:space="preserve">T-02</t>
  </si>
  <si>
    <t xml:space="preserve">T-03</t>
  </si>
  <si>
    <t xml:space="preserve">../test/types/components/toggle.test.ts</t>
  </si>
  <si>
    <t xml:space="preserve">T-04</t>
  </si>
  <si>
    <t xml:space="preserve">../src/components/toggle/toggle.css</t>
  </si>
  <si>
    <t xml:space="preserve">T-05</t>
  </si>
  <si>
    <t xml:space="preserve">../test/components/toggle/toggle.test.tsx</t>
  </si>
  <si>
    <t xml:space="preserve">T-06</t>
  </si>
  <si>
    <t xml:space="preserve">tests/components/toggle/behavior.spec.ts</t>
  </si>
  <si>
    <t xml:space="preserve">T-07</t>
  </si>
  <si>
    <t xml:space="preserve">tests/components/toggle/behavior.spec.ts; tests/integration</t>
  </si>
  <si>
    <t xml:space="preserve">T-08</t>
  </si>
  <si>
    <t xml:space="preserve">tests/components/toggle/visual.spec.ts</t>
  </si>
  <si>
    <t xml:space="preserve">T-09</t>
  </si>
  <si>
    <t xml:space="preserve">manual-tests/toggle.md</t>
  </si>
  <si>
    <t xml:space="preserve">T-10</t>
  </si>
  <si>
    <t xml:space="preserve">T-11</t>
  </si>
  <si>
    <t xml:space="preserve">manual-tests/toggle.md; tests/components/toggle/behavior.spec.ts</t>
  </si>
  <si>
    <t xml:space="preserve">T-12</t>
  </si>
  <si>
    <t xml:space="preserve">T-13</t>
  </si>
  <si>
    <t xml:space="preserve">../docs/components/toggle/README.md</t>
  </si>
  <si>
    <t xml:space="preserve">T-14</t>
  </si>
  <si>
    <t xml:space="preserve">../docs/components/toggle/CHANGELOG.md</t>
  </si>
  <si>
    <t xml:space="preserve">T-15</t>
  </si>
  <si>
    <t xml:space="preserve">T-16</t>
  </si>
  <si>
    <t xml:space="preserve">Toggle Group Evidence</t>
  </si>
  <si>
    <t xml:space="preserve">TG-01</t>
  </si>
  <si>
    <t xml:space="preserve">ToggleGroup</t>
  </si>
  <si>
    <t xml:space="preserve">../src/components/toggle-group</t>
  </si>
  <si>
    <t xml:space="preserve">TG-02</t>
  </si>
  <si>
    <t xml:space="preserve">TG-03</t>
  </si>
  <si>
    <t xml:space="preserve">../test/types/components/toggle-group.test.ts</t>
  </si>
  <si>
    <t xml:space="preserve">TG-04</t>
  </si>
  <si>
    <t xml:space="preserve">../src/components/toggle-group/toggle-group.css</t>
  </si>
  <si>
    <t xml:space="preserve">TG-05</t>
  </si>
  <si>
    <t xml:space="preserve">../test/components/toggle-group/toggle-group.test.tsx</t>
  </si>
  <si>
    <t xml:space="preserve">TG-06</t>
  </si>
  <si>
    <t xml:space="preserve">tests/components/toggle-group/behavior.spec.ts</t>
  </si>
  <si>
    <t xml:space="preserve">TG-07</t>
  </si>
  <si>
    <t xml:space="preserve">tests/components/toggle-group/behavior.spec.ts; tests/integration</t>
  </si>
  <si>
    <t xml:space="preserve">TG-08</t>
  </si>
  <si>
    <t xml:space="preserve">tests/components/toggle-group/visual.spec.ts</t>
  </si>
  <si>
    <t xml:space="preserve">TG-09</t>
  </si>
  <si>
    <t xml:space="preserve">manual-tests/toggle-group.md</t>
  </si>
  <si>
    <t xml:space="preserve">TG-10</t>
  </si>
  <si>
    <t xml:space="preserve">TG-11</t>
  </si>
  <si>
    <t xml:space="preserve">manual-tests/toggle-group.md; tests/components/toggle-group/behavior.spec.ts</t>
  </si>
  <si>
    <t xml:space="preserve">TG-12</t>
  </si>
  <si>
    <t xml:space="preserve">TG-13</t>
  </si>
  <si>
    <t xml:space="preserve">../docs/components/toggle-group/README.md</t>
  </si>
  <si>
    <t xml:space="preserve">TG-14</t>
  </si>
  <si>
    <t xml:space="preserve">../docs/components/toggle-group/CHANGELOG.md</t>
  </si>
  <si>
    <t xml:space="preserve">TG-15</t>
  </si>
  <si>
    <t xml:space="preserve">TG-16</t>
  </si>
  <si>
    <t xml:space="preserve">Tooltip Evidence</t>
  </si>
  <si>
    <t xml:space="preserve">../src/components/tooltip</t>
  </si>
  <si>
    <t xml:space="preserve">../test/types/components/tooltip.test.ts</t>
  </si>
  <si>
    <t xml:space="preserve">../src/components/tooltip/tooltip.css</t>
  </si>
  <si>
    <t xml:space="preserve">../test/components/tooltip/tooltip.test.tsx</t>
  </si>
  <si>
    <t xml:space="preserve">tests/components/tooltip/behavior.spec.ts</t>
  </si>
  <si>
    <t xml:space="preserve">tests/components/tooltip/behavior.spec.ts; tests/integration</t>
  </si>
  <si>
    <t xml:space="preserve">tests/components/tooltip/visual.spec.ts</t>
  </si>
  <si>
    <t xml:space="preserve">manual-tests/tooltip.md</t>
  </si>
  <si>
    <t xml:space="preserve">manual-tests/tooltip.md; tests/components/tooltip/behavior.spec.ts</t>
  </si>
  <si>
    <t xml:space="preserve">../docs/components/tooltip/README.md</t>
  </si>
  <si>
    <t xml:space="preserve">../docs/components/tooltip/CHANGELOG.md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</si>
</sst>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ptos Display"/>
      <family val="2"/>
      <charset val="1"/>
    </font>
    <font>
      <sz val="10"/>
      <color rgb="FF5E6B7C"/>
      <name val="Aptos"/>
      <family val="2"/>
      <charset val="1"/>
    </font>
    <font>
      <b val="true"/>
      <sz val="9"/>
      <color rgb="FF5E6B7C"/>
      <name val="Aptos"/>
      <family val="2"/>
      <charset val="1"/>
    </font>
    <font>
      <b val="true"/>
      <sz val="14"/>
      <color rgb="FF172033"/>
      <name val="Aptos Display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overageIndex" displayName="CoverageIndex" ref="A7:M28" headerRowCount="1" totalsRowCount="0" totalsRowShown="0">
  <autoFilter ref="A7:M28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10.xml><?xml version="1.0" encoding="utf-8"?>
<table xmlns="http://schemas.openxmlformats.org/spreadsheetml/2006/main" id="10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19.xml><?xml version="1.0" encoding="utf-8"?>
<table xmlns="http://schemas.openxmlformats.org/spreadsheetml/2006/main" id="19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1.xml><?xml version="1.0" encoding="utf-8"?>
<table xmlns="http://schemas.openxmlformats.org/spreadsheetml/2006/main" id="21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14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15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16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17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table" Target="../tables/table19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table" Target="../tables/table20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table" Target="../tables/table21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table" Target="../tables/table22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table" Target="../tables/table2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.71"/>
    <col collapsed="false" customWidth="true" hidden="false" outlineLevel="0" max="9" min="2" style="0" width="12.71"/>
    <col collapsed="false" customWidth="true" hidden="false" outlineLevel="0" max="10" min="10" style="1" width="14.71"/>
    <col collapsed="false" customWidth="true" hidden="false" outlineLevel="0" max="13" min="11" style="0" width="16.71"/>
  </cols>
  <sheetData>
    <row r="1" customFormat="false" ht="37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27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7.35" hidden="false" customHeight="false" outlineLevel="0" collapsed="false">
      <c r="A4" s="4" t="s">
        <v>2</v>
      </c>
      <c r="B4" s="5" t="n">
        <f aca="false">COUNTA(A8:A28)</f>
        <v>21</v>
      </c>
      <c r="D4" s="4" t="s">
        <v>3</v>
      </c>
      <c r="E4" s="5" t="n">
        <f aca="false">COUNTIF(M8:M28,"complete")</f>
        <v>20</v>
      </c>
      <c r="G4" s="4" t="s">
        <v>4</v>
      </c>
      <c r="H4" s="5" t="n">
        <f aca="false">COUNTIF(M8:M28,"blocked")</f>
        <v>0</v>
      </c>
      <c r="J4" s="4" t="s">
        <v>5</v>
      </c>
      <c r="K4" s="6" t="n">
        <f aca="false">IF(B4=0,0,E4/B4)</f>
        <v>0.952380952380952</v>
      </c>
    </row>
    <row r="7" customFormat="false" ht="15" hidden="false" customHeight="false" outlineLevel="0" collapsed="false">
      <c r="A7" s="7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  <c r="H7" s="7" t="s">
        <v>4</v>
      </c>
      <c r="I7" s="7" t="s">
        <v>13</v>
      </c>
      <c r="J7" s="8" t="s">
        <v>14</v>
      </c>
      <c r="K7" s="7" t="s">
        <v>15</v>
      </c>
      <c r="L7" s="7" t="s">
        <v>16</v>
      </c>
      <c r="M7" s="7" t="s">
        <v>5</v>
      </c>
    </row>
    <row r="8" customFormat="false" ht="24" hidden="false" customHeight="true" outlineLevel="0" collapsed="false">
      <c r="A8" s="0" t="s">
        <v>17</v>
      </c>
      <c r="B8" s="0" t="n">
        <f aca="true">INDIRECT("'"&amp;A8&amp;"'!B4")</f>
        <v>16</v>
      </c>
      <c r="C8" s="0" t="n">
        <f aca="true">COUNTIF(INDIRECT("'"&amp;A8&amp;"'!H9:H200"),"not started")</f>
        <v>0</v>
      </c>
      <c r="D8" s="0" t="n">
        <f aca="true">COUNTIF(INDIRECT("'"&amp;A8&amp;"'!H9:H200"),"partial")</f>
        <v>0</v>
      </c>
      <c r="E8" s="0" t="n">
        <f aca="true">COUNTIF(INDIRECT("'"&amp;A8&amp;"'!H9:H200"),"implemented")</f>
        <v>0</v>
      </c>
      <c r="F8" s="0" t="n">
        <f aca="true">COUNTIF(INDIRECT("'"&amp;A8&amp;"'!H9:H200"),"tested")</f>
        <v>11</v>
      </c>
      <c r="G8" s="0" t="n">
        <f aca="true">COUNTIF(INDIRECT("'"&amp;A8&amp;"'!H9:H200"),"verified")</f>
        <v>5</v>
      </c>
      <c r="H8" s="0" t="n">
        <f aca="true">COUNTIF(INDIRECT("'"&amp;A8&amp;"'!H9:H200"),"blocked")</f>
        <v>0</v>
      </c>
      <c r="I8" s="0" t="n">
        <f aca="true">COUNTIF(INDIRECT("'"&amp;A8&amp;"'!H9:H200"),"not applicable")</f>
        <v>0</v>
      </c>
      <c r="J8" s="1" t="n">
        <f aca="true">INDIRECT("'"&amp;A8&amp;"'!H4")</f>
        <v>1</v>
      </c>
      <c r="K8" s="0" t="str">
        <f aca="true">INDIRECT("'"&amp;A8&amp;"'!K4")</f>
        <v>complete</v>
      </c>
      <c r="L8" s="0" t="str">
        <f aca="true">INDIRECT("'"&amp;A8&amp;"'!E5")</f>
        <v>complete</v>
      </c>
      <c r="M8" s="0" t="str">
        <f aca="false">IF(AND(J8=1,K8="complete",L8="complete"),"complete",IF(H8&gt;0,"blocked","open"))</f>
        <v>complete</v>
      </c>
    </row>
    <row r="9" customFormat="false" ht="24" hidden="false" customHeight="true" outlineLevel="0" collapsed="false">
      <c r="A9" s="0" t="s">
        <v>18</v>
      </c>
      <c r="B9" s="0" t="n">
        <f aca="true">INDIRECT("'"&amp;A9&amp;"'!B4")</f>
        <v>16</v>
      </c>
      <c r="C9" s="0" t="n">
        <f aca="true">COUNTIF(INDIRECT("'"&amp;A9&amp;"'!H9:H200"),"not started")</f>
        <v>0</v>
      </c>
      <c r="D9" s="0" t="n">
        <f aca="true">COUNTIF(INDIRECT("'"&amp;A9&amp;"'!H9:H200"),"partial")</f>
        <v>0</v>
      </c>
      <c r="E9" s="0" t="n">
        <f aca="true">COUNTIF(INDIRECT("'"&amp;A9&amp;"'!H9:H200"),"implemented")</f>
        <v>0</v>
      </c>
      <c r="F9" s="0" t="n">
        <f aca="true">COUNTIF(INDIRECT("'"&amp;A9&amp;"'!H9:H200"),"tested")</f>
        <v>11</v>
      </c>
      <c r="G9" s="0" t="n">
        <f aca="true">COUNTIF(INDIRECT("'"&amp;A9&amp;"'!H9:H200"),"verified")</f>
        <v>5</v>
      </c>
      <c r="H9" s="0" t="n">
        <f aca="true">COUNTIF(INDIRECT("'"&amp;A9&amp;"'!H9:H200"),"blocked")</f>
        <v>0</v>
      </c>
      <c r="I9" s="0" t="n">
        <f aca="true">COUNTIF(INDIRECT("'"&amp;A9&amp;"'!H9:H200"),"not applicable")</f>
        <v>0</v>
      </c>
      <c r="J9" s="1" t="n">
        <f aca="true">INDIRECT("'"&amp;A9&amp;"'!H4")</f>
        <v>1</v>
      </c>
      <c r="K9" s="0" t="str">
        <f aca="true">INDIRECT("'"&amp;A9&amp;"'!K4")</f>
        <v>complete</v>
      </c>
      <c r="L9" s="0" t="str">
        <f aca="true">INDIRECT("'"&amp;A9&amp;"'!E5")</f>
        <v>complete</v>
      </c>
      <c r="M9" s="0" t="str">
        <f aca="false">IF(AND(J9=1,K9="complete",L9="complete"),"complete",IF(H9&gt;0,"blocked","open"))</f>
        <v>complete</v>
      </c>
    </row>
    <row r="10" customFormat="false" ht="24" hidden="false" customHeight="true" outlineLevel="0" collapsed="false">
      <c r="A10" s="0" t="s">
        <v>19</v>
      </c>
      <c r="B10" s="0" t="n">
        <f aca="true">INDIRECT("'"&amp;A10&amp;"'!B4")</f>
        <v>16</v>
      </c>
      <c r="C10" s="0" t="n">
        <f aca="true">COUNTIF(INDIRECT("'"&amp;A10&amp;"'!H9:H200"),"not started")</f>
        <v>0</v>
      </c>
      <c r="D10" s="0" t="n">
        <f aca="true">COUNTIF(INDIRECT("'"&amp;A10&amp;"'!H9:H200"),"partial")</f>
        <v>0</v>
      </c>
      <c r="E10" s="0" t="n">
        <f aca="true">COUNTIF(INDIRECT("'"&amp;A10&amp;"'!H9:H200"),"implemented")</f>
        <v>0</v>
      </c>
      <c r="F10" s="0" t="n">
        <f aca="true">COUNTIF(INDIRECT("'"&amp;A10&amp;"'!H9:H200"),"tested")</f>
        <v>11</v>
      </c>
      <c r="G10" s="0" t="n">
        <f aca="true">COUNTIF(INDIRECT("'"&amp;A10&amp;"'!H9:H200"),"verified")</f>
        <v>5</v>
      </c>
      <c r="H10" s="0" t="n">
        <f aca="true">COUNTIF(INDIRECT("'"&amp;A10&amp;"'!H9:H200"),"blocked")</f>
        <v>0</v>
      </c>
      <c r="I10" s="0" t="n">
        <f aca="true">COUNTIF(INDIRECT("'"&amp;A10&amp;"'!H9:H200"),"not applicable")</f>
        <v>0</v>
      </c>
      <c r="J10" s="1" t="n">
        <f aca="true">INDIRECT("'"&amp;A10&amp;"'!H4")</f>
        <v>1</v>
      </c>
      <c r="K10" s="0" t="str">
        <f aca="true">INDIRECT("'"&amp;A10&amp;"'!K4")</f>
        <v>complete</v>
      </c>
      <c r="L10" s="0" t="str">
        <f aca="true">INDIRECT("'"&amp;A10&amp;"'!E5")</f>
        <v>complete</v>
      </c>
      <c r="M10" s="0" t="str">
        <f aca="false">IF(AND(J10=1,K10="complete",L10="complete"),"complete",IF(H10&gt;0,"blocked","open"))</f>
        <v>complete</v>
      </c>
    </row>
    <row r="11" customFormat="false" ht="24" hidden="false" customHeight="true" outlineLevel="0" collapsed="false">
      <c r="A11" s="0" t="s">
        <v>20</v>
      </c>
      <c r="B11" s="0" t="n">
        <f aca="true">INDIRECT("'"&amp;A11&amp;"'!B4")</f>
        <v>16</v>
      </c>
      <c r="C11" s="0" t="n">
        <f aca="true">COUNTIF(INDIRECT("'"&amp;A11&amp;"'!H9:H200"),"not started")</f>
        <v>0</v>
      </c>
      <c r="D11" s="0" t="n">
        <f aca="true">COUNTIF(INDIRECT("'"&amp;A11&amp;"'!H9:H200"),"partial")</f>
        <v>0</v>
      </c>
      <c r="E11" s="0" t="n">
        <f aca="true">COUNTIF(INDIRECT("'"&amp;A11&amp;"'!H9:H200"),"implemented")</f>
        <v>0</v>
      </c>
      <c r="F11" s="0" t="n">
        <f aca="true">COUNTIF(INDIRECT("'"&amp;A11&amp;"'!H9:H200"),"tested")</f>
        <v>11</v>
      </c>
      <c r="G11" s="0" t="n">
        <f aca="true">COUNTIF(INDIRECT("'"&amp;A11&amp;"'!H9:H200"),"verified")</f>
        <v>5</v>
      </c>
      <c r="H11" s="0" t="n">
        <f aca="true">COUNTIF(INDIRECT("'"&amp;A11&amp;"'!H9:H200"),"blocked")</f>
        <v>0</v>
      </c>
      <c r="I11" s="0" t="n">
        <f aca="true">COUNTIF(INDIRECT("'"&amp;A11&amp;"'!H9:H200"),"not applicable")</f>
        <v>0</v>
      </c>
      <c r="J11" s="1" t="n">
        <f aca="true">INDIRECT("'"&amp;A11&amp;"'!H4")</f>
        <v>1</v>
      </c>
      <c r="K11" s="0" t="str">
        <f aca="true">INDIRECT("'"&amp;A11&amp;"'!K4")</f>
        <v>complete</v>
      </c>
      <c r="L11" s="0" t="str">
        <f aca="true">INDIRECT("'"&amp;A11&amp;"'!E5")</f>
        <v>complete</v>
      </c>
      <c r="M11" s="0" t="str">
        <f aca="false">IF(AND(J11=1,K11="complete",L11="complete"),"complete",IF(H11&gt;0,"blocked","open"))</f>
        <v>complete</v>
      </c>
    </row>
    <row r="12" customFormat="false" ht="24" hidden="false" customHeight="true" outlineLevel="0" collapsed="false">
      <c r="A12" s="0" t="s">
        <v>21</v>
      </c>
      <c r="B12" s="0" t="n">
        <f aca="true">INDIRECT("'"&amp;A12&amp;"'!B4")</f>
        <v>16</v>
      </c>
      <c r="C12" s="0" t="n">
        <f aca="true">COUNTIF(INDIRECT("'"&amp;A12&amp;"'!H9:H200"),"not started")</f>
        <v>0</v>
      </c>
      <c r="D12" s="0" t="n">
        <f aca="true">COUNTIF(INDIRECT("'"&amp;A12&amp;"'!H9:H200"),"partial")</f>
        <v>0</v>
      </c>
      <c r="E12" s="0" t="n">
        <f aca="true">COUNTIF(INDIRECT("'"&amp;A12&amp;"'!H9:H200"),"implemented")</f>
        <v>0</v>
      </c>
      <c r="F12" s="0" t="n">
        <f aca="true">COUNTIF(INDIRECT("'"&amp;A12&amp;"'!H9:H200"),"tested")</f>
        <v>11</v>
      </c>
      <c r="G12" s="0" t="n">
        <f aca="true">COUNTIF(INDIRECT("'"&amp;A12&amp;"'!H9:H200"),"verified")</f>
        <v>5</v>
      </c>
      <c r="H12" s="0" t="n">
        <f aca="true">COUNTIF(INDIRECT("'"&amp;A12&amp;"'!H9:H200"),"blocked")</f>
        <v>0</v>
      </c>
      <c r="I12" s="0" t="n">
        <f aca="true">COUNTIF(INDIRECT("'"&amp;A12&amp;"'!H9:H200"),"not applicable")</f>
        <v>0</v>
      </c>
      <c r="J12" s="1" t="n">
        <f aca="true">INDIRECT("'"&amp;A12&amp;"'!H4")</f>
        <v>1</v>
      </c>
      <c r="K12" s="0" t="str">
        <f aca="true">INDIRECT("'"&amp;A12&amp;"'!K4")</f>
        <v>complete</v>
      </c>
      <c r="L12" s="0" t="str">
        <f aca="true">INDIRECT("'"&amp;A12&amp;"'!E5")</f>
        <v>complete</v>
      </c>
      <c r="M12" s="0" t="str">
        <f aca="false">IF(AND(J12=1,K12="complete",L12="complete"),"complete",IF(H12&gt;0,"blocked","open"))</f>
        <v>complete</v>
      </c>
    </row>
    <row r="13" customFormat="false" ht="24" hidden="false" customHeight="true" outlineLevel="0" collapsed="false">
      <c r="A13" s="0" t="s">
        <v>22</v>
      </c>
      <c r="B13" s="0" t="n">
        <f aca="true">INDIRECT("'"&amp;A13&amp;"'!B4")</f>
        <v>16</v>
      </c>
      <c r="C13" s="0" t="n">
        <f aca="true">COUNTIF(INDIRECT("'"&amp;A13&amp;"'!H9:H200"),"not started")</f>
        <v>0</v>
      </c>
      <c r="D13" s="0" t="n">
        <f aca="true">COUNTIF(INDIRECT("'"&amp;A13&amp;"'!H9:H200"),"partial")</f>
        <v>0</v>
      </c>
      <c r="E13" s="0" t="n">
        <f aca="true">COUNTIF(INDIRECT("'"&amp;A13&amp;"'!H9:H200"),"implemented")</f>
        <v>0</v>
      </c>
      <c r="F13" s="0" t="n">
        <f aca="true">COUNTIF(INDIRECT("'"&amp;A13&amp;"'!H9:H200"),"tested")</f>
        <v>11</v>
      </c>
      <c r="G13" s="0" t="n">
        <f aca="true">COUNTIF(INDIRECT("'"&amp;A13&amp;"'!H9:H200"),"verified")</f>
        <v>5</v>
      </c>
      <c r="H13" s="0" t="n">
        <f aca="true">COUNTIF(INDIRECT("'"&amp;A13&amp;"'!H9:H200"),"blocked")</f>
        <v>0</v>
      </c>
      <c r="I13" s="0" t="n">
        <f aca="true">COUNTIF(INDIRECT("'"&amp;A13&amp;"'!H9:H200"),"not applicable")</f>
        <v>0</v>
      </c>
      <c r="J13" s="1" t="n">
        <f aca="true">INDIRECT("'"&amp;A13&amp;"'!H4")</f>
        <v>1</v>
      </c>
      <c r="K13" s="0" t="str">
        <f aca="true">INDIRECT("'"&amp;A13&amp;"'!K4")</f>
        <v>complete</v>
      </c>
      <c r="L13" s="0" t="str">
        <f aca="true">INDIRECT("'"&amp;A13&amp;"'!E5")</f>
        <v>complete</v>
      </c>
      <c r="M13" s="0" t="str">
        <f aca="false">IF(AND(J13=1,K13="complete",L13="complete"),"complete",IF(H13&gt;0,"blocked","open"))</f>
        <v>complete</v>
      </c>
    </row>
    <row r="14" customFormat="false" ht="24" hidden="false" customHeight="true" outlineLevel="0" collapsed="false">
      <c r="A14" s="0" t="s">
        <v>23</v>
      </c>
      <c r="B14" s="0" t="n">
        <f aca="true">INDIRECT("'"&amp;A14&amp;"'!B4")</f>
        <v>16</v>
      </c>
      <c r="C14" s="0" t="n">
        <f aca="true">COUNTIF(INDIRECT("'"&amp;A14&amp;"'!H9:H200"),"not started")</f>
        <v>0</v>
      </c>
      <c r="D14" s="0" t="n">
        <f aca="true">COUNTIF(INDIRECT("'"&amp;A14&amp;"'!H9:H200"),"partial")</f>
        <v>0</v>
      </c>
      <c r="E14" s="0" t="n">
        <f aca="true">COUNTIF(INDIRECT("'"&amp;A14&amp;"'!H9:H200"),"implemented")</f>
        <v>0</v>
      </c>
      <c r="F14" s="0" t="n">
        <f aca="true">COUNTIF(INDIRECT("'"&amp;A14&amp;"'!H9:H200"),"tested")</f>
        <v>11</v>
      </c>
      <c r="G14" s="0" t="n">
        <f aca="true">COUNTIF(INDIRECT("'"&amp;A14&amp;"'!H9:H200"),"verified")</f>
        <v>5</v>
      </c>
      <c r="H14" s="0" t="n">
        <f aca="true">COUNTIF(INDIRECT("'"&amp;A14&amp;"'!H9:H200"),"blocked")</f>
        <v>0</v>
      </c>
      <c r="I14" s="0" t="n">
        <f aca="true">COUNTIF(INDIRECT("'"&amp;A14&amp;"'!H9:H200"),"not applicable")</f>
        <v>0</v>
      </c>
      <c r="J14" s="1" t="n">
        <f aca="true">INDIRECT("'"&amp;A14&amp;"'!H4")</f>
        <v>1</v>
      </c>
      <c r="K14" s="0" t="str">
        <f aca="true">INDIRECT("'"&amp;A14&amp;"'!K4")</f>
        <v>complete</v>
      </c>
      <c r="L14" s="0" t="str">
        <f aca="true">INDIRECT("'"&amp;A14&amp;"'!E5")</f>
        <v>complete</v>
      </c>
      <c r="M14" s="0" t="str">
        <f aca="false">IF(AND(J14=1,K14="complete",L14="complete"),"complete",IF(H14&gt;0,"blocked","open"))</f>
        <v>complete</v>
      </c>
    </row>
    <row r="15" customFormat="false" ht="24" hidden="false" customHeight="true" outlineLevel="0" collapsed="false">
      <c r="A15" s="0" t="s">
        <v>24</v>
      </c>
      <c r="B15" s="0" t="n">
        <f aca="true">INDIRECT("'"&amp;A15&amp;"'!B4")</f>
        <v>16</v>
      </c>
      <c r="C15" s="0" t="n">
        <f aca="true">COUNTIF(INDIRECT("'"&amp;A15&amp;"'!H9:H200"),"not started")</f>
        <v>0</v>
      </c>
      <c r="D15" s="0" t="n">
        <f aca="true">COUNTIF(INDIRECT("'"&amp;A15&amp;"'!H9:H200"),"partial")</f>
        <v>0</v>
      </c>
      <c r="E15" s="0" t="n">
        <f aca="true">COUNTIF(INDIRECT("'"&amp;A15&amp;"'!H9:H200"),"implemented")</f>
        <v>0</v>
      </c>
      <c r="F15" s="0" t="n">
        <f aca="true">COUNTIF(INDIRECT("'"&amp;A15&amp;"'!H9:H200"),"tested")</f>
        <v>11</v>
      </c>
      <c r="G15" s="0" t="n">
        <f aca="true">COUNTIF(INDIRECT("'"&amp;A15&amp;"'!H9:H200"),"verified")</f>
        <v>5</v>
      </c>
      <c r="H15" s="0" t="n">
        <f aca="true">COUNTIF(INDIRECT("'"&amp;A15&amp;"'!H9:H200"),"blocked")</f>
        <v>0</v>
      </c>
      <c r="I15" s="0" t="n">
        <f aca="true">COUNTIF(INDIRECT("'"&amp;A15&amp;"'!H9:H200"),"not applicable")</f>
        <v>0</v>
      </c>
      <c r="J15" s="1" t="n">
        <f aca="true">INDIRECT("'"&amp;A15&amp;"'!H4")</f>
        <v>1</v>
      </c>
      <c r="K15" s="0" t="str">
        <f aca="true">INDIRECT("'"&amp;A15&amp;"'!K4")</f>
        <v>complete</v>
      </c>
      <c r="L15" s="0" t="str">
        <f aca="true">INDIRECT("'"&amp;A15&amp;"'!E5")</f>
        <v>complete</v>
      </c>
      <c r="M15" s="0" t="str">
        <f aca="false">IF(AND(J15=1,K15="complete",L15="complete"),"complete",IF(H15&gt;0,"blocked","open"))</f>
        <v>complete</v>
      </c>
    </row>
    <row r="16" customFormat="false" ht="24" hidden="false" customHeight="true" outlineLevel="0" collapsed="false">
      <c r="A16" s="0" t="s">
        <v>25</v>
      </c>
      <c r="B16" s="0" t="n">
        <f aca="true">INDIRECT("'"&amp;A16&amp;"'!B4")</f>
        <v>16</v>
      </c>
      <c r="C16" s="0" t="n">
        <f aca="true">COUNTIF(INDIRECT("'"&amp;A16&amp;"'!H9:H200"),"not started")</f>
        <v>0</v>
      </c>
      <c r="D16" s="0" t="n">
        <f aca="true">COUNTIF(INDIRECT("'"&amp;A16&amp;"'!H9:H200"),"partial")</f>
        <v>0</v>
      </c>
      <c r="E16" s="0" t="n">
        <f aca="true">COUNTIF(INDIRECT("'"&amp;A16&amp;"'!H9:H200"),"implemented")</f>
        <v>0</v>
      </c>
      <c r="F16" s="0" t="n">
        <f aca="true">COUNTIF(INDIRECT("'"&amp;A16&amp;"'!H9:H200"),"tested")</f>
        <v>11</v>
      </c>
      <c r="G16" s="0" t="n">
        <f aca="true">COUNTIF(INDIRECT("'"&amp;A16&amp;"'!H9:H200"),"verified")</f>
        <v>5</v>
      </c>
      <c r="H16" s="0" t="n">
        <f aca="true">COUNTIF(INDIRECT("'"&amp;A16&amp;"'!H9:H200"),"blocked")</f>
        <v>0</v>
      </c>
      <c r="I16" s="0" t="n">
        <f aca="true">COUNTIF(INDIRECT("'"&amp;A16&amp;"'!H9:H200"),"not applicable")</f>
        <v>0</v>
      </c>
      <c r="J16" s="1" t="n">
        <f aca="true">INDIRECT("'"&amp;A16&amp;"'!H4")</f>
        <v>1</v>
      </c>
      <c r="K16" s="0" t="str">
        <f aca="true">INDIRECT("'"&amp;A16&amp;"'!K4")</f>
        <v>complete</v>
      </c>
      <c r="L16" s="0" t="str">
        <f aca="true">INDIRECT("'"&amp;A16&amp;"'!E5")</f>
        <v>complete</v>
      </c>
      <c r="M16" s="0" t="str">
        <f aca="false">IF(AND(J16=1,K16="complete",L16="complete"),"complete",IF(H16&gt;0,"blocked","open"))</f>
        <v>complete</v>
      </c>
    </row>
    <row r="17" customFormat="false" ht="24" hidden="false" customHeight="true" outlineLevel="0" collapsed="false">
      <c r="A17" s="0" t="s">
        <v>26</v>
      </c>
      <c r="B17" s="0" t="n">
        <f aca="true">INDIRECT("'"&amp;A17&amp;"'!B4")</f>
        <v>16</v>
      </c>
      <c r="C17" s="0" t="n">
        <f aca="true">COUNTIF(INDIRECT("'"&amp;A17&amp;"'!H9:H200"),"not started")</f>
        <v>0</v>
      </c>
      <c r="D17" s="0" t="n">
        <f aca="true">COUNTIF(INDIRECT("'"&amp;A17&amp;"'!H9:H200"),"partial")</f>
        <v>0</v>
      </c>
      <c r="E17" s="0" t="n">
        <f aca="true">COUNTIF(INDIRECT("'"&amp;A17&amp;"'!H9:H200"),"implemented")</f>
        <v>0</v>
      </c>
      <c r="F17" s="0" t="n">
        <f aca="true">COUNTIF(INDIRECT("'"&amp;A17&amp;"'!H9:H200"),"tested")</f>
        <v>11</v>
      </c>
      <c r="G17" s="0" t="n">
        <f aca="true">COUNTIF(INDIRECT("'"&amp;A17&amp;"'!H9:H200"),"verified")</f>
        <v>5</v>
      </c>
      <c r="H17" s="0" t="n">
        <f aca="true">COUNTIF(INDIRECT("'"&amp;A17&amp;"'!H9:H200"),"blocked")</f>
        <v>0</v>
      </c>
      <c r="I17" s="0" t="n">
        <f aca="true">COUNTIF(INDIRECT("'"&amp;A17&amp;"'!H9:H200"),"not applicable")</f>
        <v>0</v>
      </c>
      <c r="J17" s="1" t="n">
        <f aca="true">INDIRECT("'"&amp;A17&amp;"'!H4")</f>
        <v>1</v>
      </c>
      <c r="K17" s="0" t="str">
        <f aca="true">INDIRECT("'"&amp;A17&amp;"'!K4")</f>
        <v>complete</v>
      </c>
      <c r="L17" s="0" t="str">
        <f aca="true">INDIRECT("'"&amp;A17&amp;"'!E5")</f>
        <v>complete</v>
      </c>
      <c r="M17" s="0" t="str">
        <f aca="false">IF(AND(J17=1,K17="complete",L17="complete"),"complete",IF(H17&gt;0,"blocked","open"))</f>
        <v>complete</v>
      </c>
    </row>
    <row r="18" customFormat="false" ht="24" hidden="false" customHeight="true" outlineLevel="0" collapsed="false">
      <c r="A18" s="0" t="s">
        <v>27</v>
      </c>
      <c r="B18" s="0" t="n">
        <f aca="true">INDIRECT("'"&amp;A18&amp;"'!B4")</f>
        <v>16</v>
      </c>
      <c r="C18" s="0" t="n">
        <f aca="true">COUNTIF(INDIRECT("'"&amp;A18&amp;"'!H9:H200"),"not started")</f>
        <v>0</v>
      </c>
      <c r="D18" s="0" t="n">
        <f aca="true">COUNTIF(INDIRECT("'"&amp;A18&amp;"'!H9:H200"),"partial")</f>
        <v>0</v>
      </c>
      <c r="E18" s="0" t="n">
        <f aca="true">COUNTIF(INDIRECT("'"&amp;A18&amp;"'!H9:H200"),"implemented")</f>
        <v>0</v>
      </c>
      <c r="F18" s="0" t="n">
        <f aca="true">COUNTIF(INDIRECT("'"&amp;A18&amp;"'!H9:H200"),"tested")</f>
        <v>11</v>
      </c>
      <c r="G18" s="0" t="n">
        <f aca="true">COUNTIF(INDIRECT("'"&amp;A18&amp;"'!H9:H200"),"verified")</f>
        <v>5</v>
      </c>
      <c r="H18" s="0" t="n">
        <f aca="true">COUNTIF(INDIRECT("'"&amp;A18&amp;"'!H9:H200"),"blocked")</f>
        <v>0</v>
      </c>
      <c r="I18" s="0" t="n">
        <f aca="true">COUNTIF(INDIRECT("'"&amp;A18&amp;"'!H9:H200"),"not applicable")</f>
        <v>0</v>
      </c>
      <c r="J18" s="1" t="n">
        <f aca="true">INDIRECT("'"&amp;A18&amp;"'!H4")</f>
        <v>1</v>
      </c>
      <c r="K18" s="0" t="str">
        <f aca="true">INDIRECT("'"&amp;A18&amp;"'!K4")</f>
        <v>complete</v>
      </c>
      <c r="L18" s="0" t="str">
        <f aca="true">INDIRECT("'"&amp;A18&amp;"'!E5")</f>
        <v>complete</v>
      </c>
      <c r="M18" s="0" t="str">
        <f aca="false">IF(AND(J18=1,K18="complete",L18="complete"),"complete",IF(H18&gt;0,"blocked","open"))</f>
        <v>complete</v>
      </c>
    </row>
    <row r="19" customFormat="false" ht="24" hidden="false" customHeight="true" outlineLevel="0" collapsed="false">
      <c r="A19" s="0" t="s">
        <v>28</v>
      </c>
      <c r="B19" s="0" t="n">
        <f aca="true">INDIRECT("'"&amp;A19&amp;"'!B4")</f>
        <v>16</v>
      </c>
      <c r="C19" s="0" t="n">
        <f aca="true">COUNTIF(INDIRECT("'"&amp;A19&amp;"'!H9:H200"),"not started")</f>
        <v>0</v>
      </c>
      <c r="D19" s="0" t="n">
        <f aca="true">COUNTIF(INDIRECT("'"&amp;A19&amp;"'!H9:H200"),"partial")</f>
        <v>0</v>
      </c>
      <c r="E19" s="0" t="n">
        <f aca="true">COUNTIF(INDIRECT("'"&amp;A19&amp;"'!H9:H200"),"implemented")</f>
        <v>0</v>
      </c>
      <c r="F19" s="0" t="n">
        <f aca="true">COUNTIF(INDIRECT("'"&amp;A19&amp;"'!H9:H200"),"tested")</f>
        <v>11</v>
      </c>
      <c r="G19" s="0" t="n">
        <f aca="true">COUNTIF(INDIRECT("'"&amp;A19&amp;"'!H9:H200"),"verified")</f>
        <v>5</v>
      </c>
      <c r="H19" s="0" t="n">
        <f aca="true">COUNTIF(INDIRECT("'"&amp;A19&amp;"'!H9:H200"),"blocked")</f>
        <v>0</v>
      </c>
      <c r="I19" s="0" t="n">
        <f aca="true">COUNTIF(INDIRECT("'"&amp;A19&amp;"'!H9:H200"),"not applicable")</f>
        <v>0</v>
      </c>
      <c r="J19" s="1" t="n">
        <f aca="true">INDIRECT("'"&amp;A19&amp;"'!H4")</f>
        <v>1</v>
      </c>
      <c r="K19" s="0" t="str">
        <f aca="true">INDIRECT("'"&amp;A19&amp;"'!K4")</f>
        <v>complete</v>
      </c>
      <c r="L19" s="0" t="str">
        <f aca="true">INDIRECT("'"&amp;A19&amp;"'!E5")</f>
        <v>complete</v>
      </c>
      <c r="M19" s="0" t="str">
        <f aca="false">IF(AND(J19=1,K19="complete",L19="complete"),"complete",IF(H19&gt;0,"blocked","open"))</f>
        <v>complete</v>
      </c>
    </row>
    <row r="20" customFormat="false" ht="24" hidden="false" customHeight="true" outlineLevel="0" collapsed="false">
      <c r="A20" s="0" t="s">
        <v>29</v>
      </c>
      <c r="B20" s="0" t="n">
        <f aca="true">INDIRECT("'"&amp;A20&amp;"'!B4")</f>
        <v>16</v>
      </c>
      <c r="C20" s="0" t="n">
        <f aca="true">COUNTIF(INDIRECT("'"&amp;A20&amp;"'!H9:H200"),"not started")</f>
        <v>0</v>
      </c>
      <c r="D20" s="0" t="n">
        <f aca="true">COUNTIF(INDIRECT("'"&amp;A20&amp;"'!H9:H200"),"partial")</f>
        <v>0</v>
      </c>
      <c r="E20" s="0" t="n">
        <f aca="true">COUNTIF(INDIRECT("'"&amp;A20&amp;"'!H9:H200"),"implemented")</f>
        <v>0</v>
      </c>
      <c r="F20" s="0" t="n">
        <f aca="true">COUNTIF(INDIRECT("'"&amp;A20&amp;"'!H9:H200"),"tested")</f>
        <v>11</v>
      </c>
      <c r="G20" s="0" t="n">
        <f aca="true">COUNTIF(INDIRECT("'"&amp;A20&amp;"'!H9:H200"),"verified")</f>
        <v>5</v>
      </c>
      <c r="H20" s="0" t="n">
        <f aca="true">COUNTIF(INDIRECT("'"&amp;A20&amp;"'!H9:H200"),"blocked")</f>
        <v>0</v>
      </c>
      <c r="I20" s="0" t="n">
        <f aca="true">COUNTIF(INDIRECT("'"&amp;A20&amp;"'!H9:H200"),"not applicable")</f>
        <v>0</v>
      </c>
      <c r="J20" s="1" t="n">
        <f aca="true">INDIRECT("'"&amp;A20&amp;"'!H4")</f>
        <v>1</v>
      </c>
      <c r="K20" s="0" t="str">
        <f aca="true">INDIRECT("'"&amp;A20&amp;"'!K4")</f>
        <v>complete</v>
      </c>
      <c r="L20" s="0" t="str">
        <f aca="true">INDIRECT("'"&amp;A20&amp;"'!E5")</f>
        <v>complete</v>
      </c>
      <c r="M20" s="0" t="str">
        <f aca="false">IF(AND(J20=1,K20="complete",L20="complete"),"complete",IF(H20&gt;0,"blocked","open"))</f>
        <v>complete</v>
      </c>
    </row>
    <row r="21" customFormat="false" ht="24" hidden="false" customHeight="true" outlineLevel="0" collapsed="false">
      <c r="A21" s="0" t="s">
        <v>30</v>
      </c>
      <c r="B21" s="0" t="n">
        <f aca="true">INDIRECT("'"&amp;A21&amp;"'!B4")</f>
        <v>16</v>
      </c>
      <c r="C21" s="0" t="n">
        <f aca="true">COUNTIF(INDIRECT("'"&amp;A21&amp;"'!H9:H200"),"not started")</f>
        <v>0</v>
      </c>
      <c r="D21" s="0" t="n">
        <f aca="true">COUNTIF(INDIRECT("'"&amp;A21&amp;"'!H9:H200"),"partial")</f>
        <v>0</v>
      </c>
      <c r="E21" s="0" t="n">
        <f aca="true">COUNTIF(INDIRECT("'"&amp;A21&amp;"'!H9:H200"),"implemented")</f>
        <v>0</v>
      </c>
      <c r="F21" s="0" t="n">
        <f aca="true">COUNTIF(INDIRECT("'"&amp;A21&amp;"'!H9:H200"),"tested")</f>
        <v>11</v>
      </c>
      <c r="G21" s="0" t="n">
        <f aca="true">COUNTIF(INDIRECT("'"&amp;A21&amp;"'!H9:H200"),"verified")</f>
        <v>5</v>
      </c>
      <c r="H21" s="0" t="n">
        <f aca="true">COUNTIF(INDIRECT("'"&amp;A21&amp;"'!H9:H200"),"blocked")</f>
        <v>0</v>
      </c>
      <c r="I21" s="0" t="n">
        <f aca="true">COUNTIF(INDIRECT("'"&amp;A21&amp;"'!H9:H200"),"not applicable")</f>
        <v>0</v>
      </c>
      <c r="J21" s="1" t="n">
        <f aca="true">INDIRECT("'"&amp;A21&amp;"'!H4")</f>
        <v>1</v>
      </c>
      <c r="K21" s="0" t="str">
        <f aca="true">INDIRECT("'"&amp;A21&amp;"'!K4")</f>
        <v>complete</v>
      </c>
      <c r="L21" s="0" t="str">
        <f aca="true">INDIRECT("'"&amp;A21&amp;"'!E5")</f>
        <v>complete</v>
      </c>
      <c r="M21" s="0" t="str">
        <f aca="false">IF(AND(J21=1,K21="complete",L21="complete"),"complete",IF(H21&gt;0,"blocked","open"))</f>
        <v>complete</v>
      </c>
    </row>
    <row r="22" customFormat="false" ht="24" hidden="false" customHeight="true" outlineLevel="0" collapsed="false">
      <c r="A22" s="0" t="s">
        <v>31</v>
      </c>
      <c r="B22" s="0" t="n">
        <f aca="true">INDIRECT("'"&amp;A22&amp;"'!B4")</f>
        <v>16</v>
      </c>
      <c r="C22" s="0" t="n">
        <f aca="true">COUNTIF(INDIRECT("'"&amp;A22&amp;"'!H9:H200"),"not started")</f>
        <v>0</v>
      </c>
      <c r="D22" s="0" t="n">
        <f aca="true">COUNTIF(INDIRECT("'"&amp;A22&amp;"'!H9:H200"),"partial")</f>
        <v>0</v>
      </c>
      <c r="E22" s="0" t="n">
        <f aca="true">COUNTIF(INDIRECT("'"&amp;A22&amp;"'!H9:H200"),"implemented")</f>
        <v>0</v>
      </c>
      <c r="F22" s="0" t="n">
        <f aca="true">COUNTIF(INDIRECT("'"&amp;A22&amp;"'!H9:H200"),"tested")</f>
        <v>11</v>
      </c>
      <c r="G22" s="0" t="n">
        <f aca="true">COUNTIF(INDIRECT("'"&amp;A22&amp;"'!H9:H200"),"verified")</f>
        <v>5</v>
      </c>
      <c r="H22" s="0" t="n">
        <f aca="true">COUNTIF(INDIRECT("'"&amp;A22&amp;"'!H9:H200"),"blocked")</f>
        <v>0</v>
      </c>
      <c r="I22" s="0" t="n">
        <f aca="true">COUNTIF(INDIRECT("'"&amp;A22&amp;"'!H9:H200"),"not applicable")</f>
        <v>0</v>
      </c>
      <c r="J22" s="1" t="n">
        <f aca="true">INDIRECT("'"&amp;A22&amp;"'!H4")</f>
        <v>1</v>
      </c>
      <c r="K22" s="0" t="str">
        <f aca="true">INDIRECT("'"&amp;A22&amp;"'!K4")</f>
        <v>complete</v>
      </c>
      <c r="L22" s="0" t="str">
        <f aca="true">INDIRECT("'"&amp;A22&amp;"'!E5")</f>
        <v>complete</v>
      </c>
      <c r="M22" s="0" t="str">
        <f aca="false">IF(AND(J22=1,K22="complete",L22="complete"),"complete",IF(H22&gt;0,"blocked","open"))</f>
        <v>complete</v>
      </c>
    </row>
    <row r="23" customFormat="false" ht="24" hidden="false" customHeight="true" outlineLevel="0" collapsed="false">
      <c r="A23" s="0" t="s">
        <v>32</v>
      </c>
      <c r="B23" s="0" t="n">
        <f aca="true">INDIRECT("'"&amp;A23&amp;"'!B4")</f>
        <v>16</v>
      </c>
      <c r="C23" s="0" t="n">
        <f aca="true">COUNTIF(INDIRECT("'"&amp;A23&amp;"'!H9:H200"),"not started")</f>
        <v>0</v>
      </c>
      <c r="D23" s="0" t="n">
        <f aca="true">COUNTIF(INDIRECT("'"&amp;A23&amp;"'!H9:H200"),"partial")</f>
        <v>0</v>
      </c>
      <c r="E23" s="0" t="n">
        <f aca="true">COUNTIF(INDIRECT("'"&amp;A23&amp;"'!H9:H200"),"implemented")</f>
        <v>4</v>
      </c>
      <c r="F23" s="0" t="n">
        <f aca="true">COUNTIF(INDIRECT("'"&amp;A23&amp;"'!H9:H200"),"tested")</f>
        <v>11</v>
      </c>
      <c r="G23" s="0" t="n">
        <f aca="true">COUNTIF(INDIRECT("'"&amp;A23&amp;"'!H9:H200"),"verified")</f>
        <v>1</v>
      </c>
      <c r="H23" s="0" t="n">
        <f aca="true">COUNTIF(INDIRECT("'"&amp;A23&amp;"'!H9:H200"),"blocked")</f>
        <v>0</v>
      </c>
      <c r="I23" s="0" t="n">
        <f aca="true">COUNTIF(INDIRECT("'"&amp;A23&amp;"'!H9:H200"),"not applicable")</f>
        <v>0</v>
      </c>
      <c r="J23" s="1" t="n">
        <f aca="true">INDIRECT("'"&amp;A23&amp;"'!H4")</f>
        <v>0.75</v>
      </c>
      <c r="K23" s="0" t="str">
        <f aca="true">INDIRECT("'"&amp;A23&amp;"'!K4")</f>
        <v>open</v>
      </c>
      <c r="L23" s="0" t="str">
        <f aca="true">INDIRECT("'"&amp;A23&amp;"'!E5")</f>
        <v>complete</v>
      </c>
      <c r="M23" s="0" t="str">
        <f aca="false">IF(AND(J23=1,K23="complete",L23="complete"),"complete",IF(H23&gt;0,"blocked","open"))</f>
        <v>open</v>
      </c>
    </row>
    <row r="24" customFormat="false" ht="24" hidden="false" customHeight="true" outlineLevel="0" collapsed="false">
      <c r="A24" s="0" t="s">
        <v>33</v>
      </c>
      <c r="B24" s="0" t="n">
        <f aca="true">INDIRECT("'"&amp;A24&amp;"'!B4")</f>
        <v>16</v>
      </c>
      <c r="C24" s="0" t="n">
        <f aca="true">COUNTIF(INDIRECT("'"&amp;A24&amp;"'!H9:H200"),"not started")</f>
        <v>0</v>
      </c>
      <c r="D24" s="0" t="n">
        <f aca="true">COUNTIF(INDIRECT("'"&amp;A24&amp;"'!H9:H200"),"partial")</f>
        <v>0</v>
      </c>
      <c r="E24" s="0" t="n">
        <f aca="true">COUNTIF(INDIRECT("'"&amp;A24&amp;"'!H9:H200"),"implemented")</f>
        <v>0</v>
      </c>
      <c r="F24" s="0" t="n">
        <f aca="true">COUNTIF(INDIRECT("'"&amp;A24&amp;"'!H9:H200"),"tested")</f>
        <v>11</v>
      </c>
      <c r="G24" s="0" t="n">
        <f aca="true">COUNTIF(INDIRECT("'"&amp;A24&amp;"'!H9:H200"),"verified")</f>
        <v>5</v>
      </c>
      <c r="H24" s="0" t="n">
        <f aca="true">COUNTIF(INDIRECT("'"&amp;A24&amp;"'!H9:H200"),"blocked")</f>
        <v>0</v>
      </c>
      <c r="I24" s="0" t="n">
        <f aca="true">COUNTIF(INDIRECT("'"&amp;A24&amp;"'!H9:H200"),"not applicable")</f>
        <v>0</v>
      </c>
      <c r="J24" s="1" t="n">
        <f aca="true">INDIRECT("'"&amp;A24&amp;"'!H4")</f>
        <v>1</v>
      </c>
      <c r="K24" s="0" t="str">
        <f aca="true">INDIRECT("'"&amp;A24&amp;"'!K4")</f>
        <v>complete</v>
      </c>
      <c r="L24" s="0" t="str">
        <f aca="true">INDIRECT("'"&amp;A24&amp;"'!E5")</f>
        <v>complete</v>
      </c>
      <c r="M24" s="0" t="str">
        <f aca="false">IF(AND(J24=1,K24="complete",L24="complete"),"complete",IF(H24&gt;0,"blocked","open"))</f>
        <v>complete</v>
      </c>
    </row>
    <row r="25" customFormat="false" ht="24" hidden="false" customHeight="true" outlineLevel="0" collapsed="false">
      <c r="A25" s="0" t="s">
        <v>34</v>
      </c>
      <c r="B25" s="0" t="n">
        <f aca="true">INDIRECT("'"&amp;A25&amp;"'!B4")</f>
        <v>16</v>
      </c>
      <c r="C25" s="0" t="n">
        <f aca="true">COUNTIF(INDIRECT("'"&amp;A25&amp;"'!H9:H200"),"not started")</f>
        <v>0</v>
      </c>
      <c r="D25" s="0" t="n">
        <f aca="true">COUNTIF(INDIRECT("'"&amp;A25&amp;"'!H9:H200"),"partial")</f>
        <v>0</v>
      </c>
      <c r="E25" s="0" t="n">
        <f aca="true">COUNTIF(INDIRECT("'"&amp;A25&amp;"'!H9:H200"),"implemented")</f>
        <v>0</v>
      </c>
      <c r="F25" s="0" t="n">
        <f aca="true">COUNTIF(INDIRECT("'"&amp;A25&amp;"'!H9:H200"),"tested")</f>
        <v>11</v>
      </c>
      <c r="G25" s="0" t="n">
        <f aca="true">COUNTIF(INDIRECT("'"&amp;A25&amp;"'!H9:H200"),"verified")</f>
        <v>5</v>
      </c>
      <c r="H25" s="0" t="n">
        <f aca="true">COUNTIF(INDIRECT("'"&amp;A25&amp;"'!H9:H200"),"blocked")</f>
        <v>0</v>
      </c>
      <c r="I25" s="0" t="n">
        <f aca="true">COUNTIF(INDIRECT("'"&amp;A25&amp;"'!H9:H200"),"not applicable")</f>
        <v>0</v>
      </c>
      <c r="J25" s="1" t="n">
        <f aca="true">INDIRECT("'"&amp;A25&amp;"'!H4")</f>
        <v>1</v>
      </c>
      <c r="K25" s="0" t="str">
        <f aca="true">INDIRECT("'"&amp;A25&amp;"'!K4")</f>
        <v>complete</v>
      </c>
      <c r="L25" s="0" t="str">
        <f aca="true">INDIRECT("'"&amp;A25&amp;"'!E5")</f>
        <v>complete</v>
      </c>
      <c r="M25" s="0" t="str">
        <f aca="false">IF(AND(J25=1,K25="complete",L25="complete"),"complete",IF(H25&gt;0,"blocked","open"))</f>
        <v>complete</v>
      </c>
    </row>
    <row r="26" customFormat="false" ht="24" hidden="false" customHeight="true" outlineLevel="0" collapsed="false">
      <c r="A26" s="0" t="s">
        <v>35</v>
      </c>
      <c r="B26" s="0" t="n">
        <f aca="true">INDIRECT("'"&amp;A26&amp;"'!B4")</f>
        <v>16</v>
      </c>
      <c r="C26" s="0" t="n">
        <f aca="true">COUNTIF(INDIRECT("'"&amp;A26&amp;"'!H9:H200"),"not started")</f>
        <v>0</v>
      </c>
      <c r="D26" s="0" t="n">
        <f aca="true">COUNTIF(INDIRECT("'"&amp;A26&amp;"'!H9:H200"),"partial")</f>
        <v>0</v>
      </c>
      <c r="E26" s="0" t="n">
        <f aca="true">COUNTIF(INDIRECT("'"&amp;A26&amp;"'!H9:H200"),"implemented")</f>
        <v>0</v>
      </c>
      <c r="F26" s="0" t="n">
        <f aca="true">COUNTIF(INDIRECT("'"&amp;A26&amp;"'!H9:H200"),"tested")</f>
        <v>11</v>
      </c>
      <c r="G26" s="0" t="n">
        <f aca="true">COUNTIF(INDIRECT("'"&amp;A26&amp;"'!H9:H200"),"verified")</f>
        <v>5</v>
      </c>
      <c r="H26" s="0" t="n">
        <f aca="true">COUNTIF(INDIRECT("'"&amp;A26&amp;"'!H9:H200"),"blocked")</f>
        <v>0</v>
      </c>
      <c r="I26" s="0" t="n">
        <f aca="true">COUNTIF(INDIRECT("'"&amp;A26&amp;"'!H9:H200"),"not applicable")</f>
        <v>0</v>
      </c>
      <c r="J26" s="1" t="n">
        <f aca="true">INDIRECT("'"&amp;A26&amp;"'!H4")</f>
        <v>1</v>
      </c>
      <c r="K26" s="0" t="str">
        <f aca="true">INDIRECT("'"&amp;A26&amp;"'!K4")</f>
        <v>complete</v>
      </c>
      <c r="L26" s="0" t="str">
        <f aca="true">INDIRECT("'"&amp;A26&amp;"'!E5")</f>
        <v>complete</v>
      </c>
      <c r="M26" s="0" t="str">
        <f aca="false">IF(AND(J26=1,K26="complete",L26="complete"),"complete",IF(H26&gt;0,"blocked","open"))</f>
        <v>complete</v>
      </c>
    </row>
    <row r="27" customFormat="false" ht="24" hidden="false" customHeight="true" outlineLevel="0" collapsed="false">
      <c r="A27" s="0" t="s">
        <v>36</v>
      </c>
      <c r="B27" s="0" t="n">
        <f aca="true">INDIRECT("'"&amp;A27&amp;"'!B4")</f>
        <v>16</v>
      </c>
      <c r="C27" s="0" t="n">
        <f aca="true">COUNTIF(INDIRECT("'"&amp;A27&amp;"'!H9:H200"),"not started")</f>
        <v>0</v>
      </c>
      <c r="D27" s="0" t="n">
        <f aca="true">COUNTIF(INDIRECT("'"&amp;A27&amp;"'!H9:H200"),"partial")</f>
        <v>0</v>
      </c>
      <c r="E27" s="0" t="n">
        <f aca="true">COUNTIF(INDIRECT("'"&amp;A27&amp;"'!H9:H200"),"implemented")</f>
        <v>0</v>
      </c>
      <c r="F27" s="0" t="n">
        <f aca="true">COUNTIF(INDIRECT("'"&amp;A27&amp;"'!H9:H200"),"tested")</f>
        <v>11</v>
      </c>
      <c r="G27" s="0" t="n">
        <f aca="true">COUNTIF(INDIRECT("'"&amp;A27&amp;"'!H9:H200"),"verified")</f>
        <v>5</v>
      </c>
      <c r="H27" s="0" t="n">
        <f aca="true">COUNTIF(INDIRECT("'"&amp;A27&amp;"'!H9:H200"),"blocked")</f>
        <v>0</v>
      </c>
      <c r="I27" s="0" t="n">
        <f aca="true">COUNTIF(INDIRECT("'"&amp;A27&amp;"'!H9:H200"),"not applicable")</f>
        <v>0</v>
      </c>
      <c r="J27" s="1" t="n">
        <f aca="true">INDIRECT("'"&amp;A27&amp;"'!H4")</f>
        <v>1</v>
      </c>
      <c r="K27" s="0" t="str">
        <f aca="true">INDIRECT("'"&amp;A27&amp;"'!K4")</f>
        <v>complete</v>
      </c>
      <c r="L27" s="0" t="str">
        <f aca="true">INDIRECT("'"&amp;A27&amp;"'!E5")</f>
        <v>complete</v>
      </c>
      <c r="M27" s="0" t="str">
        <f aca="false">IF(AND(J27=1,K27="complete",L27="complete"),"complete",IF(H27&gt;0,"blocked","open"))</f>
        <v>complete</v>
      </c>
    </row>
    <row r="28" customFormat="false" ht="15" hidden="false" customHeight="false" outlineLevel="0" collapsed="false">
      <c r="A28" s="0" t="s">
        <v>37</v>
      </c>
      <c r="B28" s="0" t="n">
        <f aca="true">INDIRECT("'"&amp;A28&amp;"'!B4")</f>
        <v>16</v>
      </c>
      <c r="C28" s="0" t="n">
        <f aca="true">COUNTIF(INDIRECT("'"&amp;A28&amp;"'!H9:H200"),"not started")</f>
        <v>0</v>
      </c>
      <c r="D28" s="0" t="n">
        <f aca="true">COUNTIF(INDIRECT("'"&amp;A28&amp;"'!H9:H200"),"partial")</f>
        <v>0</v>
      </c>
      <c r="E28" s="0" t="n">
        <f aca="true">COUNTIF(INDIRECT("'"&amp;A28&amp;"'!H9:H200"),"implemented")</f>
        <v>0</v>
      </c>
      <c r="F28" s="0" t="n">
        <f aca="true">COUNTIF(INDIRECT("'"&amp;A28&amp;"'!H9:H200"),"tested")</f>
        <v>11</v>
      </c>
      <c r="G28" s="0" t="n">
        <f aca="true">COUNTIF(INDIRECT("'"&amp;A28&amp;"'!H9:H200"),"verified")</f>
        <v>5</v>
      </c>
      <c r="H28" s="0" t="n">
        <f aca="true">COUNTIF(INDIRECT("'"&amp;A28&amp;"'!H9:H200"),"blocked")</f>
        <v>0</v>
      </c>
      <c r="I28" s="0" t="n">
        <f aca="true">COUNTIF(INDIRECT("'"&amp;A28&amp;"'!H9:H200"),"not applicable")</f>
        <v>0</v>
      </c>
      <c r="J28" s="1" t="n">
        <f aca="true">INDIRECT("'"&amp;A28&amp;"'!H4")</f>
        <v>1</v>
      </c>
      <c r="K28" s="0" t="str">
        <f aca="true">INDIRECT("'"&amp;A28&amp;"'!K4")</f>
        <v>complete</v>
      </c>
      <c r="L28" s="0" t="str">
        <f aca="true">INDIRECT("'"&amp;A28&amp;"'!E5")</f>
        <v>complete</v>
      </c>
      <c r="M28" s="0" t="str">
        <f aca="false">IF(AND(J28=1,K28="complete",L28="complete"),"complete",IF(H28&gt;0,"blocked","open"))</f>
        <v>complete</v>
      </c>
    </row>
  </sheetData>
  <mergeCells count="2">
    <mergeCell ref="A1:M1"/>
    <mergeCell ref="A2:M2"/>
  </mergeCells>
  <conditionalFormatting sqref="M8:M27">
    <cfRule type="containsText" priority="2" operator="containsText" aboveAverage="0" equalAverage="0" bottom="0" percent="0" rank="0" text="complete" dxfId="3">
      <formula>NOT(ISERROR(SEARCH("complete",M8)))</formula>
    </cfRule>
  </conditionalFormatting>
  <conditionalFormatting sqref="M28">
    <cfRule type="containsText" priority="3" operator="containsText" aboveAverage="0" equalAverage="0" bottom="0" percent="0" rank="0" text="complete" dxfId="3">
      <formula>NOT(ISERROR(SEARCH("complete",M28)))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.71"/>
    <col collapsed="false" customWidth="true" hidden="false" outlineLevel="0" max="2" min="2" style="0" width="105.71"/>
  </cols>
  <sheetData>
    <row r="1" customFormat="false" ht="37.5" hidden="false" customHeight="true" outlineLevel="0" collapsed="false">
      <c r="A1" s="2" t="s">
        <v>38</v>
      </c>
      <c r="B1" s="2"/>
      <c r="C1" s="2"/>
      <c r="D1" s="2"/>
    </row>
    <row r="2" customFormat="false" ht="27.75" hidden="false" customHeight="true" outlineLevel="0" collapsed="false">
      <c r="A2" s="3" t="s">
        <v>39</v>
      </c>
      <c r="B2" s="3"/>
      <c r="C2" s="3"/>
      <c r="D2" s="3"/>
    </row>
    <row r="3" customFormat="false" ht="15" hidden="false" customHeight="false" outlineLevel="0" collapsed="false">
      <c r="A3" s="7" t="s">
        <v>40</v>
      </c>
      <c r="B3" s="7" t="s">
        <v>41</v>
      </c>
    </row>
    <row r="4" customFormat="false" ht="30" hidden="false" customHeight="true" outlineLevel="0" collapsed="false">
      <c r="A4" s="0" t="s">
        <v>42</v>
      </c>
      <c r="B4" s="0" t="s">
        <v>43</v>
      </c>
    </row>
    <row r="5" customFormat="false" ht="30" hidden="false" customHeight="true" outlineLevel="0" collapsed="false">
      <c r="A5" s="0" t="s">
        <v>44</v>
      </c>
      <c r="B5" s="0" t="s">
        <v>45</v>
      </c>
    </row>
    <row r="6" customFormat="false" ht="30" hidden="false" customHeight="true" outlineLevel="0" collapsed="false">
      <c r="A6" s="0" t="s">
        <v>46</v>
      </c>
      <c r="B6" s="0" t="s">
        <v>47</v>
      </c>
    </row>
    <row r="7" customFormat="false" ht="30" hidden="false" customHeight="true" outlineLevel="0" collapsed="false">
      <c r="A7" s="0" t="s">
        <v>48</v>
      </c>
      <c r="B7" s="0" t="s">
        <v>49</v>
      </c>
    </row>
    <row r="8" customFormat="false" ht="30" hidden="false" customHeight="true" outlineLevel="0" collapsed="false">
      <c r="A8" s="0" t="s">
        <v>50</v>
      </c>
      <c r="B8" s="0" t="s">
        <v>51</v>
      </c>
    </row>
    <row r="9" customFormat="false" ht="30" hidden="false" customHeight="true" outlineLevel="0" collapsed="false">
      <c r="A9" s="0" t="s">
        <v>52</v>
      </c>
      <c r="B9" s="0" t="s">
        <v>53</v>
      </c>
    </row>
    <row r="10" customFormat="false" ht="30" hidden="false" customHeight="true" outlineLevel="0" collapsed="false">
      <c r="A10" s="0" t="s">
        <v>54</v>
      </c>
      <c r="B10" s="0" t="s">
        <v>55</v>
      </c>
    </row>
    <row r="11" customFormat="false" ht="30" hidden="false" customHeight="true" outlineLevel="0" collapsed="false">
      <c r="A11" s="0" t="s">
        <v>56</v>
      </c>
      <c r="B11" s="0" t="s">
        <v>57</v>
      </c>
    </row>
    <row r="12" customFormat="false" ht="30" hidden="false" customHeight="true" outlineLevel="0" collapsed="false">
      <c r="A12" s="0" t="s">
        <v>58</v>
      </c>
      <c r="B12" s="0" t="s">
        <v>59</v>
      </c>
    </row>
    <row r="13" customFormat="false" ht="30" hidden="false" customHeight="true" outlineLevel="0" collapsed="false">
      <c r="A13" s="0" t="s">
        <v>60</v>
      </c>
      <c r="B13" s="0" t="s">
        <v>61</v>
      </c>
    </row>
    <row r="14" customFormat="false" ht="30" hidden="false" customHeight="true" outlineLevel="0" collapsed="false">
      <c r="A14" s="0" t="s">
        <v>62</v>
      </c>
      <c r="B14" s="0" t="s">
        <v>63</v>
      </c>
    </row>
    <row r="15" customFormat="false" ht="30" hidden="false" customHeight="true" outlineLevel="0" collapsed="false">
      <c r="A15" s="0" t="s">
        <v>64</v>
      </c>
      <c r="B15" s="0" t="s">
        <v>65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46</v>
      </c>
      <c r="B1" s="0" t="s">
        <v>66</v>
      </c>
    </row>
    <row r="2" customFormat="false" ht="15" hidden="false" customHeight="false" outlineLevel="0" collapsed="false">
      <c r="A2" s="0" t="s">
        <v>48</v>
      </c>
      <c r="B2" s="0" t="s">
        <v>67</v>
      </c>
    </row>
    <row r="3" customFormat="false" ht="15" hidden="false" customHeight="false" outlineLevel="0" collapsed="false">
      <c r="A3" s="0" t="s">
        <v>50</v>
      </c>
    </row>
    <row r="4" customFormat="false" ht="15" hidden="false" customHeight="false" outlineLevel="0" collapsed="false">
      <c r="A4" s="0" t="s">
        <v>52</v>
      </c>
    </row>
    <row r="5" customFormat="false" ht="15" hidden="false" customHeight="false" outlineLevel="0" collapsed="false">
      <c r="A5" s="0" t="s">
        <v>54</v>
      </c>
    </row>
    <row r="6" customFormat="false" ht="15" hidden="false" customHeight="false" outlineLevel="0" collapsed="false">
      <c r="A6" s="0" t="s">
        <v>56</v>
      </c>
    </row>
    <row r="7" customFormat="false" ht="15" hidden="false" customHeight="false" outlineLevel="0" collapsed="false">
      <c r="A7" s="0" t="s">
        <v>58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.71"/>
    <col collapsed="false" customWidth="true" hidden="false" outlineLevel="0" max="2" min="2" style="0" width="15.71"/>
    <col collapsed="false" customWidth="true" hidden="false" outlineLevel="0" max="3" min="3" style="0" width="18.71"/>
    <col collapsed="false" customWidth="true" hidden="false" outlineLevel="0" max="4" min="4" style="0" width="58.71"/>
    <col collapsed="false" customWidth="true" hidden="false" outlineLevel="0" max="6" min="5" style="0" width="14.71"/>
    <col collapsed="false" customWidth="true" hidden="false" outlineLevel="0" max="7" min="7" style="0" width="50.71"/>
    <col collapsed="false" customWidth="true" hidden="false" outlineLevel="0" max="8" min="8" style="0" width="17.71"/>
    <col collapsed="false" customWidth="true" hidden="false" outlineLevel="0" max="9" min="9" style="0" width="14.71"/>
    <col collapsed="false" customWidth="true" hidden="false" outlineLevel="0" max="10" min="10" style="9" width="14.71"/>
    <col collapsed="false" customWidth="true" hidden="false" outlineLevel="0" max="11" min="11" style="0" width="42.71"/>
    <col collapsed="false" customWidth="true" hidden="false" outlineLevel="0" max="13" min="12" style="0" width="10.71"/>
  </cols>
  <sheetData>
    <row r="1" customFormat="false" ht="37.5" hidden="false" customHeight="true" outlineLevel="0" collapsed="false">
      <c r="A1" s="2" t="s">
        <v>68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27.75" hidden="false" customHeight="true" outlineLevel="0" collapsed="false">
      <c r="A2" s="3" t="s">
        <v>69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7.35" hidden="false" customHeight="false" outlineLevel="0" collapsed="false">
      <c r="A4" s="4" t="s">
        <v>7</v>
      </c>
      <c r="B4" s="5" t="n">
        <v>16</v>
      </c>
      <c r="D4" s="4" t="s">
        <v>70</v>
      </c>
      <c r="E4" s="5" t="n">
        <v>16</v>
      </c>
      <c r="G4" s="4" t="s">
        <v>14</v>
      </c>
      <c r="H4" s="6" t="n">
        <v>1</v>
      </c>
      <c r="J4" s="4" t="s">
        <v>15</v>
      </c>
      <c r="K4" s="5" t="s">
        <v>71</v>
      </c>
    </row>
    <row r="5" customFormat="false" ht="17.35" hidden="false" customHeight="false" outlineLevel="0" collapsed="false">
      <c r="A5" s="4" t="s">
        <v>72</v>
      </c>
      <c r="B5" s="5" t="s">
        <v>71</v>
      </c>
      <c r="D5" s="4" t="s">
        <v>16</v>
      </c>
      <c r="E5" s="5" t="s">
        <v>71</v>
      </c>
    </row>
    <row r="8" customFormat="false" ht="15" hidden="false" customHeight="false" outlineLevel="0" collapsed="false">
      <c r="A8" s="7" t="s">
        <v>73</v>
      </c>
      <c r="B8" s="7" t="s">
        <v>74</v>
      </c>
      <c r="C8" s="7" t="s">
        <v>75</v>
      </c>
      <c r="D8" s="7" t="s">
        <v>76</v>
      </c>
      <c r="E8" s="7" t="s">
        <v>77</v>
      </c>
      <c r="F8" s="7" t="s">
        <v>78</v>
      </c>
      <c r="G8" s="7" t="s">
        <v>79</v>
      </c>
      <c r="H8" s="7" t="s">
        <v>80</v>
      </c>
      <c r="I8" s="7" t="s">
        <v>81</v>
      </c>
      <c r="J8" s="10" t="s">
        <v>82</v>
      </c>
      <c r="K8" s="7" t="s">
        <v>83</v>
      </c>
      <c r="L8" s="7" t="s">
        <v>84</v>
      </c>
      <c r="M8" s="7" t="s">
        <v>70</v>
      </c>
    </row>
    <row r="9" customFormat="false" ht="42" hidden="false" customHeight="true" outlineLevel="0" collapsed="false">
      <c r="A9" s="0" t="s">
        <v>85</v>
      </c>
      <c r="B9" s="0" t="s">
        <v>86</v>
      </c>
      <c r="C9" s="0" t="s">
        <v>87</v>
      </c>
      <c r="D9" s="0" t="s">
        <v>88</v>
      </c>
      <c r="E9" s="0" t="s">
        <v>89</v>
      </c>
      <c r="F9" s="0" t="s">
        <v>90</v>
      </c>
      <c r="G9" s="0" t="s">
        <v>91</v>
      </c>
      <c r="H9" s="7" t="s">
        <v>52</v>
      </c>
      <c r="I9" s="7" t="s">
        <v>67</v>
      </c>
      <c r="J9" s="9" t="n">
        <v>46227</v>
      </c>
      <c r="L9" s="0" t="n">
        <v>1</v>
      </c>
      <c r="M9" s="0" t="n">
        <v>1</v>
      </c>
    </row>
    <row r="10" customFormat="false" ht="42" hidden="false" customHeight="true" outlineLevel="0" collapsed="false">
      <c r="A10" s="0" t="s">
        <v>92</v>
      </c>
      <c r="B10" s="0" t="s">
        <v>93</v>
      </c>
      <c r="C10" s="0" t="s">
        <v>87</v>
      </c>
      <c r="D10" s="0" t="s">
        <v>94</v>
      </c>
      <c r="E10" s="0" t="s">
        <v>89</v>
      </c>
      <c r="F10" s="0" t="s">
        <v>89</v>
      </c>
      <c r="G10" s="0" t="s">
        <v>95</v>
      </c>
      <c r="H10" s="7" t="s">
        <v>52</v>
      </c>
      <c r="I10" s="7" t="s">
        <v>67</v>
      </c>
      <c r="J10" s="9" t="n">
        <v>46227</v>
      </c>
      <c r="L10" s="0" t="n">
        <v>1</v>
      </c>
      <c r="M10" s="0" t="n">
        <v>1</v>
      </c>
    </row>
    <row r="11" customFormat="false" ht="42" hidden="false" customHeight="true" outlineLevel="0" collapsed="false">
      <c r="A11" s="0" t="s">
        <v>96</v>
      </c>
      <c r="B11" s="0" t="s">
        <v>97</v>
      </c>
      <c r="C11" s="0" t="s">
        <v>87</v>
      </c>
      <c r="D11" s="0" t="s">
        <v>98</v>
      </c>
      <c r="E11" s="0" t="s">
        <v>89</v>
      </c>
      <c r="F11" s="0" t="s">
        <v>99</v>
      </c>
      <c r="G11" s="0" t="s">
        <v>100</v>
      </c>
      <c r="H11" s="7" t="s">
        <v>52</v>
      </c>
      <c r="I11" s="7" t="s">
        <v>67</v>
      </c>
      <c r="J11" s="9" t="n">
        <v>46227</v>
      </c>
      <c r="L11" s="0" t="n">
        <v>1</v>
      </c>
      <c r="M11" s="0" t="n">
        <v>1</v>
      </c>
    </row>
    <row r="12" customFormat="false" ht="42" hidden="false" customHeight="true" outlineLevel="0" collapsed="false">
      <c r="A12" s="0" t="s">
        <v>101</v>
      </c>
      <c r="B12" s="0" t="s">
        <v>102</v>
      </c>
      <c r="C12" s="0" t="s">
        <v>87</v>
      </c>
      <c r="D12" s="0" t="s">
        <v>103</v>
      </c>
      <c r="E12" s="0" t="s">
        <v>89</v>
      </c>
      <c r="F12" s="0" t="s">
        <v>104</v>
      </c>
      <c r="G12" s="0" t="s">
        <v>105</v>
      </c>
      <c r="H12" s="7" t="s">
        <v>52</v>
      </c>
      <c r="I12" s="7" t="s">
        <v>67</v>
      </c>
      <c r="J12" s="9" t="n">
        <v>46227</v>
      </c>
      <c r="L12" s="0" t="n">
        <v>1</v>
      </c>
      <c r="M12" s="0" t="n">
        <v>1</v>
      </c>
    </row>
    <row r="13" customFormat="false" ht="42" hidden="false" customHeight="true" outlineLevel="0" collapsed="false">
      <c r="A13" s="0" t="s">
        <v>106</v>
      </c>
      <c r="B13" s="0" t="s">
        <v>107</v>
      </c>
      <c r="C13" s="0" t="s">
        <v>87</v>
      </c>
      <c r="D13" s="0" t="s">
        <v>108</v>
      </c>
      <c r="E13" s="0" t="s">
        <v>89</v>
      </c>
      <c r="F13" s="0" t="s">
        <v>109</v>
      </c>
      <c r="G13" s="0" t="s">
        <v>110</v>
      </c>
      <c r="H13" s="7" t="s">
        <v>52</v>
      </c>
      <c r="I13" s="7" t="s">
        <v>67</v>
      </c>
      <c r="J13" s="9" t="n">
        <v>46227</v>
      </c>
      <c r="L13" s="0" t="n">
        <v>1</v>
      </c>
      <c r="M13" s="0" t="n">
        <v>1</v>
      </c>
    </row>
    <row r="14" customFormat="false" ht="42" hidden="false" customHeight="true" outlineLevel="0" collapsed="false">
      <c r="A14" s="0" t="s">
        <v>111</v>
      </c>
      <c r="B14" s="0" t="s">
        <v>112</v>
      </c>
      <c r="C14" s="0" t="s">
        <v>87</v>
      </c>
      <c r="D14" s="0" t="s">
        <v>113</v>
      </c>
      <c r="E14" s="0" t="s">
        <v>89</v>
      </c>
      <c r="F14" s="0" t="s">
        <v>114</v>
      </c>
      <c r="G14" s="0" t="s">
        <v>115</v>
      </c>
      <c r="H14" s="7" t="s">
        <v>52</v>
      </c>
      <c r="I14" s="7" t="s">
        <v>67</v>
      </c>
      <c r="J14" s="9" t="n">
        <v>46227</v>
      </c>
      <c r="L14" s="0" t="n">
        <v>1</v>
      </c>
      <c r="M14" s="0" t="n">
        <v>1</v>
      </c>
    </row>
    <row r="15" customFormat="false" ht="42" hidden="false" customHeight="true" outlineLevel="0" collapsed="false">
      <c r="A15" s="0" t="s">
        <v>116</v>
      </c>
      <c r="B15" s="0" t="s">
        <v>117</v>
      </c>
      <c r="C15" s="0" t="s">
        <v>87</v>
      </c>
      <c r="D15" s="0" t="s">
        <v>118</v>
      </c>
      <c r="E15" s="0" t="s">
        <v>89</v>
      </c>
      <c r="F15" s="0" t="s">
        <v>119</v>
      </c>
      <c r="G15" s="0" t="s">
        <v>120</v>
      </c>
      <c r="H15" s="7" t="s">
        <v>52</v>
      </c>
      <c r="I15" s="7" t="s">
        <v>67</v>
      </c>
      <c r="J15" s="9" t="n">
        <v>46227</v>
      </c>
      <c r="L15" s="0" t="n">
        <v>1</v>
      </c>
      <c r="M15" s="0" t="n">
        <v>1</v>
      </c>
    </row>
    <row r="16" customFormat="false" ht="42" hidden="false" customHeight="true" outlineLevel="0" collapsed="false">
      <c r="A16" s="0" t="s">
        <v>121</v>
      </c>
      <c r="B16" s="0" t="s">
        <v>122</v>
      </c>
      <c r="C16" s="0" t="s">
        <v>87</v>
      </c>
      <c r="D16" s="0" t="s">
        <v>123</v>
      </c>
      <c r="E16" s="0" t="s">
        <v>89</v>
      </c>
      <c r="F16" s="0" t="s">
        <v>124</v>
      </c>
      <c r="G16" s="0" t="s">
        <v>125</v>
      </c>
      <c r="H16" s="7" t="s">
        <v>54</v>
      </c>
      <c r="I16" s="7" t="s">
        <v>66</v>
      </c>
      <c r="J16" s="9" t="n">
        <v>46227</v>
      </c>
      <c r="K16" s="0" t="s">
        <v>126</v>
      </c>
      <c r="L16" s="0" t="n">
        <v>1</v>
      </c>
      <c r="M16" s="0" t="n">
        <v>1</v>
      </c>
    </row>
    <row r="17" customFormat="false" ht="42" hidden="false" customHeight="true" outlineLevel="0" collapsed="false">
      <c r="A17" s="0" t="s">
        <v>127</v>
      </c>
      <c r="B17" s="0" t="s">
        <v>128</v>
      </c>
      <c r="C17" s="0" t="s">
        <v>87</v>
      </c>
      <c r="D17" s="0" t="s">
        <v>129</v>
      </c>
      <c r="E17" s="0" t="s">
        <v>89</v>
      </c>
      <c r="F17" s="0" t="s">
        <v>130</v>
      </c>
      <c r="G17" s="0" t="s">
        <v>131</v>
      </c>
      <c r="H17" s="7" t="s">
        <v>54</v>
      </c>
      <c r="I17" s="7" t="s">
        <v>66</v>
      </c>
      <c r="J17" s="9" t="n">
        <v>46227</v>
      </c>
      <c r="K17" s="0" t="s">
        <v>132</v>
      </c>
      <c r="L17" s="0" t="n">
        <v>1</v>
      </c>
      <c r="M17" s="0" t="n">
        <v>1</v>
      </c>
    </row>
    <row r="18" customFormat="false" ht="42" hidden="false" customHeight="true" outlineLevel="0" collapsed="false">
      <c r="A18" s="0" t="s">
        <v>133</v>
      </c>
      <c r="B18" s="0" t="s">
        <v>134</v>
      </c>
      <c r="C18" s="0" t="s">
        <v>87</v>
      </c>
      <c r="D18" s="0" t="s">
        <v>135</v>
      </c>
      <c r="E18" s="0" t="s">
        <v>89</v>
      </c>
      <c r="F18" s="0" t="s">
        <v>130</v>
      </c>
      <c r="G18" s="0" t="s">
        <v>131</v>
      </c>
      <c r="H18" s="7" t="s">
        <v>54</v>
      </c>
      <c r="I18" s="7" t="s">
        <v>66</v>
      </c>
      <c r="J18" s="9" t="n">
        <v>46227</v>
      </c>
      <c r="K18" s="0" t="s">
        <v>132</v>
      </c>
      <c r="L18" s="0" t="n">
        <v>1</v>
      </c>
      <c r="M18" s="0" t="n">
        <v>1</v>
      </c>
    </row>
    <row r="19" customFormat="false" ht="42" hidden="false" customHeight="true" outlineLevel="0" collapsed="false">
      <c r="A19" s="0" t="s">
        <v>136</v>
      </c>
      <c r="B19" s="0" t="s">
        <v>137</v>
      </c>
      <c r="C19" s="0" t="s">
        <v>87</v>
      </c>
      <c r="D19" s="0" t="s">
        <v>138</v>
      </c>
      <c r="E19" s="0" t="s">
        <v>89</v>
      </c>
      <c r="F19" s="0" t="s">
        <v>130</v>
      </c>
      <c r="G19" s="0" t="s">
        <v>139</v>
      </c>
      <c r="H19" s="7" t="s">
        <v>54</v>
      </c>
      <c r="I19" s="7" t="s">
        <v>66</v>
      </c>
      <c r="J19" s="9" t="n">
        <v>46227</v>
      </c>
      <c r="K19" s="0" t="s">
        <v>140</v>
      </c>
      <c r="L19" s="0" t="n">
        <v>1</v>
      </c>
      <c r="M19" s="0" t="n">
        <v>1</v>
      </c>
    </row>
    <row r="20" customFormat="false" ht="42" hidden="false" customHeight="true" outlineLevel="0" collapsed="false">
      <c r="A20" s="0" t="s">
        <v>141</v>
      </c>
      <c r="B20" s="0" t="s">
        <v>142</v>
      </c>
      <c r="C20" s="0" t="s">
        <v>87</v>
      </c>
      <c r="D20" s="0" t="s">
        <v>143</v>
      </c>
      <c r="E20" s="0" t="s">
        <v>89</v>
      </c>
      <c r="F20" s="0" t="s">
        <v>130</v>
      </c>
      <c r="G20" s="0" t="s">
        <v>131</v>
      </c>
      <c r="H20" s="7" t="s">
        <v>54</v>
      </c>
      <c r="I20" s="7" t="s">
        <v>66</v>
      </c>
      <c r="J20" s="9" t="n">
        <v>46227</v>
      </c>
      <c r="K20" s="0" t="s">
        <v>144</v>
      </c>
      <c r="L20" s="0" t="n">
        <v>1</v>
      </c>
      <c r="M20" s="0" t="n">
        <v>1</v>
      </c>
    </row>
    <row r="21" customFormat="false" ht="42" hidden="false" customHeight="true" outlineLevel="0" collapsed="false">
      <c r="A21" s="0" t="s">
        <v>145</v>
      </c>
      <c r="B21" s="0" t="s">
        <v>146</v>
      </c>
      <c r="C21" s="0" t="s">
        <v>87</v>
      </c>
      <c r="D21" s="0" t="s">
        <v>147</v>
      </c>
      <c r="E21" s="0" t="s">
        <v>89</v>
      </c>
      <c r="F21" s="0" t="s">
        <v>148</v>
      </c>
      <c r="G21" s="0" t="s">
        <v>149</v>
      </c>
      <c r="H21" s="7" t="s">
        <v>52</v>
      </c>
      <c r="I21" s="7" t="s">
        <v>67</v>
      </c>
      <c r="J21" s="9" t="n">
        <v>46227</v>
      </c>
      <c r="L21" s="0" t="n">
        <v>1</v>
      </c>
      <c r="M21" s="0" t="n">
        <v>1</v>
      </c>
    </row>
    <row r="22" customFormat="false" ht="42" hidden="false" customHeight="true" outlineLevel="0" collapsed="false">
      <c r="A22" s="0" t="s">
        <v>150</v>
      </c>
      <c r="B22" s="0" t="s">
        <v>151</v>
      </c>
      <c r="C22" s="0" t="s">
        <v>87</v>
      </c>
      <c r="D22" s="0" t="s">
        <v>152</v>
      </c>
      <c r="E22" s="0" t="s">
        <v>89</v>
      </c>
      <c r="F22" s="0" t="s">
        <v>148</v>
      </c>
      <c r="G22" s="0" t="s">
        <v>153</v>
      </c>
      <c r="H22" s="7" t="s">
        <v>52</v>
      </c>
      <c r="I22" s="7" t="s">
        <v>67</v>
      </c>
      <c r="J22" s="9" t="n">
        <v>46227</v>
      </c>
      <c r="L22" s="0" t="n">
        <v>1</v>
      </c>
      <c r="M22" s="0" t="n">
        <v>1</v>
      </c>
    </row>
    <row r="23" customFormat="false" ht="42" hidden="false" customHeight="true" outlineLevel="0" collapsed="false">
      <c r="A23" s="0" t="s">
        <v>154</v>
      </c>
      <c r="B23" s="0" t="s">
        <v>155</v>
      </c>
      <c r="C23" s="0" t="s">
        <v>87</v>
      </c>
      <c r="D23" s="0" t="s">
        <v>156</v>
      </c>
      <c r="E23" s="0" t="s">
        <v>157</v>
      </c>
      <c r="F23" s="0" t="s">
        <v>157</v>
      </c>
      <c r="G23" s="0" t="s">
        <v>158</v>
      </c>
      <c r="H23" s="7" t="s">
        <v>52</v>
      </c>
      <c r="I23" s="7" t="s">
        <v>67</v>
      </c>
      <c r="J23" s="9" t="n">
        <v>46227</v>
      </c>
      <c r="L23" s="0" t="n">
        <v>1</v>
      </c>
      <c r="M23" s="0" t="n">
        <v>1</v>
      </c>
    </row>
    <row r="24" customFormat="false" ht="42" hidden="false" customHeight="true" outlineLevel="0" collapsed="false">
      <c r="A24" s="0" t="s">
        <v>159</v>
      </c>
      <c r="B24" s="0" t="s">
        <v>160</v>
      </c>
      <c r="C24" s="0" t="s">
        <v>87</v>
      </c>
      <c r="D24" s="0" t="s">
        <v>161</v>
      </c>
      <c r="E24" s="0" t="s">
        <v>89</v>
      </c>
      <c r="F24" s="0" t="s">
        <v>89</v>
      </c>
      <c r="G24" s="0" t="s">
        <v>162</v>
      </c>
      <c r="H24" s="7" t="s">
        <v>52</v>
      </c>
      <c r="I24" s="7" t="s">
        <v>67</v>
      </c>
      <c r="J24" s="9" t="n">
        <v>46227</v>
      </c>
      <c r="L24" s="0" t="n">
        <v>1</v>
      </c>
      <c r="M24" s="0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.71"/>
    <col collapsed="false" customWidth="true" hidden="false" outlineLevel="0" max="2" min="2" style="0" width="15.71"/>
    <col collapsed="false" customWidth="true" hidden="false" outlineLevel="0" max="3" min="3" style="0" width="18.71"/>
    <col collapsed="false" customWidth="true" hidden="false" outlineLevel="0" max="4" min="4" style="0" width="58.71"/>
    <col collapsed="false" customWidth="true" hidden="false" outlineLevel="0" max="6" min="5" style="0" width="14.71"/>
    <col collapsed="false" customWidth="true" hidden="false" outlineLevel="0" max="7" min="7" style="0" width="50.71"/>
    <col collapsed="false" customWidth="true" hidden="false" outlineLevel="0" max="8" min="8" style="0" width="17.71"/>
    <col collapsed="false" customWidth="true" hidden="false" outlineLevel="0" max="9" min="9" style="0" width="14.71"/>
    <col collapsed="false" customWidth="true" hidden="false" outlineLevel="0" max="10" min="10" style="9" width="14.71"/>
    <col collapsed="false" customWidth="true" hidden="false" outlineLevel="0" max="11" min="11" style="0" width="42.71"/>
    <col collapsed="false" customWidth="true" hidden="false" outlineLevel="0" max="13" min="12" style="0" width="10.71"/>
  </cols>
  <sheetData>
    <row r="1" customFormat="false" ht="37.5" hidden="false" customHeight="true" outlineLevel="0" collapsed="false">
      <c r="A1" s="2" t="s">
        <v>163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27.75" hidden="false" customHeight="true" outlineLevel="0" collapsed="false">
      <c r="A2" s="3" t="s">
        <v>69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7.35" hidden="false" customHeight="false" outlineLevel="0" collapsed="false">
      <c r="A4" s="4" t="s">
        <v>7</v>
      </c>
      <c r="B4" s="5" t="n">
        <v>16</v>
      </c>
      <c r="D4" s="4" t="s">
        <v>70</v>
      </c>
      <c r="E4" s="5" t="n">
        <v>16</v>
      </c>
      <c r="G4" s="4" t="s">
        <v>14</v>
      </c>
      <c r="H4" s="6" t="n">
        <v>1</v>
      </c>
      <c r="J4" s="4" t="s">
        <v>15</v>
      </c>
      <c r="K4" s="5" t="s">
        <v>71</v>
      </c>
    </row>
    <row r="5" customFormat="false" ht="17.35" hidden="false" customHeight="false" outlineLevel="0" collapsed="false">
      <c r="A5" s="4" t="s">
        <v>72</v>
      </c>
      <c r="B5" s="5" t="s">
        <v>71</v>
      </c>
      <c r="D5" s="4" t="s">
        <v>16</v>
      </c>
      <c r="E5" s="5" t="s">
        <v>71</v>
      </c>
    </row>
    <row r="8" customFormat="false" ht="15" hidden="false" customHeight="false" outlineLevel="0" collapsed="false">
      <c r="A8" s="7" t="s">
        <v>73</v>
      </c>
      <c r="B8" s="7" t="s">
        <v>74</v>
      </c>
      <c r="C8" s="7" t="s">
        <v>75</v>
      </c>
      <c r="D8" s="7" t="s">
        <v>76</v>
      </c>
      <c r="E8" s="7" t="s">
        <v>77</v>
      </c>
      <c r="F8" s="7" t="s">
        <v>78</v>
      </c>
      <c r="G8" s="7" t="s">
        <v>79</v>
      </c>
      <c r="H8" s="7" t="s">
        <v>80</v>
      </c>
      <c r="I8" s="7" t="s">
        <v>81</v>
      </c>
      <c r="J8" s="10" t="s">
        <v>82</v>
      </c>
      <c r="K8" s="7" t="s">
        <v>83</v>
      </c>
      <c r="L8" s="7" t="s">
        <v>84</v>
      </c>
      <c r="M8" s="7" t="s">
        <v>70</v>
      </c>
    </row>
    <row r="9" customFormat="false" ht="42" hidden="false" customHeight="true" outlineLevel="0" collapsed="false">
      <c r="A9" s="0" t="s">
        <v>164</v>
      </c>
      <c r="B9" s="0" t="s">
        <v>86</v>
      </c>
      <c r="C9" s="0" t="s">
        <v>165</v>
      </c>
      <c r="D9" s="0" t="s">
        <v>88</v>
      </c>
      <c r="E9" s="0" t="s">
        <v>89</v>
      </c>
      <c r="F9" s="0" t="s">
        <v>90</v>
      </c>
      <c r="G9" s="0" t="s">
        <v>166</v>
      </c>
      <c r="H9" s="7" t="s">
        <v>52</v>
      </c>
      <c r="I9" s="7" t="s">
        <v>67</v>
      </c>
      <c r="J9" s="9" t="n">
        <v>46227</v>
      </c>
      <c r="L9" s="0" t="n">
        <v>1</v>
      </c>
      <c r="M9" s="0" t="n">
        <v>1</v>
      </c>
    </row>
    <row r="10" customFormat="false" ht="42" hidden="false" customHeight="true" outlineLevel="0" collapsed="false">
      <c r="A10" s="0" t="s">
        <v>167</v>
      </c>
      <c r="B10" s="0" t="s">
        <v>93</v>
      </c>
      <c r="C10" s="0" t="s">
        <v>165</v>
      </c>
      <c r="D10" s="0" t="s">
        <v>94</v>
      </c>
      <c r="E10" s="0" t="s">
        <v>89</v>
      </c>
      <c r="F10" s="0" t="s">
        <v>89</v>
      </c>
      <c r="G10" s="0" t="s">
        <v>95</v>
      </c>
      <c r="H10" s="7" t="s">
        <v>52</v>
      </c>
      <c r="I10" s="7" t="s">
        <v>67</v>
      </c>
      <c r="J10" s="9" t="n">
        <v>46227</v>
      </c>
      <c r="L10" s="0" t="n">
        <v>1</v>
      </c>
      <c r="M10" s="0" t="n">
        <v>1</v>
      </c>
    </row>
    <row r="11" customFormat="false" ht="42" hidden="false" customHeight="true" outlineLevel="0" collapsed="false">
      <c r="A11" s="0" t="s">
        <v>168</v>
      </c>
      <c r="B11" s="0" t="s">
        <v>97</v>
      </c>
      <c r="C11" s="0" t="s">
        <v>165</v>
      </c>
      <c r="D11" s="0" t="s">
        <v>98</v>
      </c>
      <c r="E11" s="0" t="s">
        <v>89</v>
      </c>
      <c r="F11" s="0" t="s">
        <v>99</v>
      </c>
      <c r="G11" s="0" t="s">
        <v>169</v>
      </c>
      <c r="H11" s="7" t="s">
        <v>52</v>
      </c>
      <c r="I11" s="7" t="s">
        <v>67</v>
      </c>
      <c r="J11" s="9" t="n">
        <v>46227</v>
      </c>
      <c r="L11" s="0" t="n">
        <v>1</v>
      </c>
      <c r="M11" s="0" t="n">
        <v>1</v>
      </c>
    </row>
    <row r="12" customFormat="false" ht="42" hidden="false" customHeight="true" outlineLevel="0" collapsed="false">
      <c r="A12" s="0" t="s">
        <v>170</v>
      </c>
      <c r="B12" s="0" t="s">
        <v>102</v>
      </c>
      <c r="C12" s="0" t="s">
        <v>165</v>
      </c>
      <c r="D12" s="0" t="s">
        <v>103</v>
      </c>
      <c r="E12" s="0" t="s">
        <v>89</v>
      </c>
      <c r="F12" s="0" t="s">
        <v>104</v>
      </c>
      <c r="G12" s="0" t="s">
        <v>171</v>
      </c>
      <c r="H12" s="7" t="s">
        <v>52</v>
      </c>
      <c r="I12" s="7" t="s">
        <v>67</v>
      </c>
      <c r="J12" s="9" t="n">
        <v>46227</v>
      </c>
      <c r="L12" s="0" t="n">
        <v>1</v>
      </c>
      <c r="M12" s="0" t="n">
        <v>1</v>
      </c>
    </row>
    <row r="13" customFormat="false" ht="42" hidden="false" customHeight="true" outlineLevel="0" collapsed="false">
      <c r="A13" s="0" t="s">
        <v>172</v>
      </c>
      <c r="B13" s="0" t="s">
        <v>107</v>
      </c>
      <c r="C13" s="0" t="s">
        <v>165</v>
      </c>
      <c r="D13" s="0" t="s">
        <v>108</v>
      </c>
      <c r="E13" s="0" t="s">
        <v>89</v>
      </c>
      <c r="F13" s="0" t="s">
        <v>109</v>
      </c>
      <c r="G13" s="0" t="s">
        <v>173</v>
      </c>
      <c r="H13" s="7" t="s">
        <v>52</v>
      </c>
      <c r="I13" s="7" t="s">
        <v>67</v>
      </c>
      <c r="J13" s="9" t="n">
        <v>46227</v>
      </c>
      <c r="L13" s="0" t="n">
        <v>1</v>
      </c>
      <c r="M13" s="0" t="n">
        <v>1</v>
      </c>
    </row>
    <row r="14" customFormat="false" ht="42" hidden="false" customHeight="true" outlineLevel="0" collapsed="false">
      <c r="A14" s="0" t="s">
        <v>174</v>
      </c>
      <c r="B14" s="0" t="s">
        <v>112</v>
      </c>
      <c r="C14" s="0" t="s">
        <v>165</v>
      </c>
      <c r="D14" s="0" t="s">
        <v>113</v>
      </c>
      <c r="E14" s="0" t="s">
        <v>89</v>
      </c>
      <c r="F14" s="0" t="s">
        <v>114</v>
      </c>
      <c r="G14" s="0" t="s">
        <v>175</v>
      </c>
      <c r="H14" s="7" t="s">
        <v>52</v>
      </c>
      <c r="I14" s="7" t="s">
        <v>67</v>
      </c>
      <c r="J14" s="9" t="n">
        <v>46227</v>
      </c>
      <c r="L14" s="0" t="n">
        <v>1</v>
      </c>
      <c r="M14" s="0" t="n">
        <v>1</v>
      </c>
    </row>
    <row r="15" customFormat="false" ht="42" hidden="false" customHeight="true" outlineLevel="0" collapsed="false">
      <c r="A15" s="0" t="s">
        <v>176</v>
      </c>
      <c r="B15" s="0" t="s">
        <v>117</v>
      </c>
      <c r="C15" s="0" t="s">
        <v>165</v>
      </c>
      <c r="D15" s="0" t="s">
        <v>118</v>
      </c>
      <c r="E15" s="0" t="s">
        <v>89</v>
      </c>
      <c r="F15" s="0" t="s">
        <v>119</v>
      </c>
      <c r="G15" s="0" t="s">
        <v>177</v>
      </c>
      <c r="H15" s="7" t="s">
        <v>52</v>
      </c>
      <c r="I15" s="7" t="s">
        <v>67</v>
      </c>
      <c r="J15" s="9" t="n">
        <v>46227</v>
      </c>
      <c r="L15" s="0" t="n">
        <v>1</v>
      </c>
      <c r="M15" s="0" t="n">
        <v>1</v>
      </c>
    </row>
    <row r="16" customFormat="false" ht="42" hidden="false" customHeight="true" outlineLevel="0" collapsed="false">
      <c r="A16" s="0" t="s">
        <v>178</v>
      </c>
      <c r="B16" s="0" t="s">
        <v>122</v>
      </c>
      <c r="C16" s="0" t="s">
        <v>165</v>
      </c>
      <c r="D16" s="0" t="s">
        <v>123</v>
      </c>
      <c r="E16" s="0" t="s">
        <v>89</v>
      </c>
      <c r="F16" s="0" t="s">
        <v>124</v>
      </c>
      <c r="G16" s="0" t="s">
        <v>179</v>
      </c>
      <c r="H16" s="7" t="s">
        <v>54</v>
      </c>
      <c r="I16" s="7" t="s">
        <v>66</v>
      </c>
      <c r="J16" s="9" t="n">
        <v>46227</v>
      </c>
      <c r="K16" s="0" t="s">
        <v>126</v>
      </c>
      <c r="L16" s="0" t="n">
        <v>1</v>
      </c>
      <c r="M16" s="0" t="n">
        <v>1</v>
      </c>
    </row>
    <row r="17" customFormat="false" ht="42" hidden="false" customHeight="true" outlineLevel="0" collapsed="false">
      <c r="A17" s="0" t="s">
        <v>180</v>
      </c>
      <c r="B17" s="0" t="s">
        <v>128</v>
      </c>
      <c r="C17" s="0" t="s">
        <v>165</v>
      </c>
      <c r="D17" s="0" t="s">
        <v>129</v>
      </c>
      <c r="E17" s="0" t="s">
        <v>89</v>
      </c>
      <c r="F17" s="0" t="s">
        <v>130</v>
      </c>
      <c r="G17" s="0" t="s">
        <v>181</v>
      </c>
      <c r="H17" s="7" t="s">
        <v>54</v>
      </c>
      <c r="I17" s="7" t="s">
        <v>66</v>
      </c>
      <c r="J17" s="9" t="n">
        <v>46227</v>
      </c>
      <c r="K17" s="0" t="s">
        <v>132</v>
      </c>
      <c r="L17" s="0" t="n">
        <v>1</v>
      </c>
      <c r="M17" s="0" t="n">
        <v>1</v>
      </c>
    </row>
    <row r="18" customFormat="false" ht="42" hidden="false" customHeight="true" outlineLevel="0" collapsed="false">
      <c r="A18" s="0" t="s">
        <v>182</v>
      </c>
      <c r="B18" s="0" t="s">
        <v>134</v>
      </c>
      <c r="C18" s="0" t="s">
        <v>165</v>
      </c>
      <c r="D18" s="0" t="s">
        <v>135</v>
      </c>
      <c r="E18" s="0" t="s">
        <v>89</v>
      </c>
      <c r="F18" s="0" t="s">
        <v>130</v>
      </c>
      <c r="G18" s="0" t="s">
        <v>181</v>
      </c>
      <c r="H18" s="7" t="s">
        <v>54</v>
      </c>
      <c r="I18" s="7" t="s">
        <v>66</v>
      </c>
      <c r="J18" s="9" t="n">
        <v>46227</v>
      </c>
      <c r="K18" s="0" t="s">
        <v>132</v>
      </c>
      <c r="L18" s="0" t="n">
        <v>1</v>
      </c>
      <c r="M18" s="0" t="n">
        <v>1</v>
      </c>
    </row>
    <row r="19" customFormat="false" ht="42" hidden="false" customHeight="true" outlineLevel="0" collapsed="false">
      <c r="A19" s="0" t="s">
        <v>183</v>
      </c>
      <c r="B19" s="0" t="s">
        <v>137</v>
      </c>
      <c r="C19" s="0" t="s">
        <v>165</v>
      </c>
      <c r="D19" s="0" t="s">
        <v>138</v>
      </c>
      <c r="E19" s="0" t="s">
        <v>89</v>
      </c>
      <c r="F19" s="0" t="s">
        <v>130</v>
      </c>
      <c r="G19" s="0" t="s">
        <v>184</v>
      </c>
      <c r="H19" s="7" t="s">
        <v>54</v>
      </c>
      <c r="I19" s="7" t="s">
        <v>66</v>
      </c>
      <c r="J19" s="9" t="n">
        <v>46227</v>
      </c>
      <c r="K19" s="0" t="s">
        <v>140</v>
      </c>
      <c r="L19" s="0" t="n">
        <v>1</v>
      </c>
      <c r="M19" s="0" t="n">
        <v>1</v>
      </c>
    </row>
    <row r="20" customFormat="false" ht="42" hidden="false" customHeight="true" outlineLevel="0" collapsed="false">
      <c r="A20" s="0" t="s">
        <v>185</v>
      </c>
      <c r="B20" s="0" t="s">
        <v>142</v>
      </c>
      <c r="C20" s="0" t="s">
        <v>165</v>
      </c>
      <c r="D20" s="0" t="s">
        <v>143</v>
      </c>
      <c r="E20" s="0" t="s">
        <v>89</v>
      </c>
      <c r="F20" s="0" t="s">
        <v>130</v>
      </c>
      <c r="G20" s="0" t="s">
        <v>181</v>
      </c>
      <c r="H20" s="7" t="s">
        <v>54</v>
      </c>
      <c r="I20" s="7" t="s">
        <v>66</v>
      </c>
      <c r="J20" s="9" t="n">
        <v>46227</v>
      </c>
      <c r="K20" s="0" t="s">
        <v>144</v>
      </c>
      <c r="L20" s="0" t="n">
        <v>1</v>
      </c>
      <c r="M20" s="0" t="n">
        <v>1</v>
      </c>
    </row>
    <row r="21" customFormat="false" ht="42" hidden="false" customHeight="true" outlineLevel="0" collapsed="false">
      <c r="A21" s="0" t="s">
        <v>186</v>
      </c>
      <c r="B21" s="0" t="s">
        <v>146</v>
      </c>
      <c r="C21" s="0" t="s">
        <v>165</v>
      </c>
      <c r="D21" s="0" t="s">
        <v>147</v>
      </c>
      <c r="E21" s="0" t="s">
        <v>89</v>
      </c>
      <c r="F21" s="0" t="s">
        <v>148</v>
      </c>
      <c r="G21" s="0" t="s">
        <v>187</v>
      </c>
      <c r="H21" s="7" t="s">
        <v>52</v>
      </c>
      <c r="I21" s="7" t="s">
        <v>67</v>
      </c>
      <c r="J21" s="9" t="n">
        <v>46227</v>
      </c>
      <c r="L21" s="0" t="n">
        <v>1</v>
      </c>
      <c r="M21" s="0" t="n">
        <v>1</v>
      </c>
    </row>
    <row r="22" customFormat="false" ht="42" hidden="false" customHeight="true" outlineLevel="0" collapsed="false">
      <c r="A22" s="0" t="s">
        <v>188</v>
      </c>
      <c r="B22" s="0" t="s">
        <v>151</v>
      </c>
      <c r="C22" s="0" t="s">
        <v>165</v>
      </c>
      <c r="D22" s="0" t="s">
        <v>152</v>
      </c>
      <c r="E22" s="0" t="s">
        <v>89</v>
      </c>
      <c r="F22" s="0" t="s">
        <v>148</v>
      </c>
      <c r="G22" s="0" t="s">
        <v>189</v>
      </c>
      <c r="H22" s="7" t="s">
        <v>52</v>
      </c>
      <c r="I22" s="7" t="s">
        <v>67</v>
      </c>
      <c r="J22" s="9" t="n">
        <v>46227</v>
      </c>
      <c r="L22" s="0" t="n">
        <v>1</v>
      </c>
      <c r="M22" s="0" t="n">
        <v>1</v>
      </c>
    </row>
    <row r="23" customFormat="false" ht="42" hidden="false" customHeight="true" outlineLevel="0" collapsed="false">
      <c r="A23" s="0" t="s">
        <v>190</v>
      </c>
      <c r="B23" s="0" t="s">
        <v>155</v>
      </c>
      <c r="C23" s="0" t="s">
        <v>165</v>
      </c>
      <c r="D23" s="0" t="s">
        <v>156</v>
      </c>
      <c r="E23" s="0" t="s">
        <v>157</v>
      </c>
      <c r="F23" s="0" t="s">
        <v>157</v>
      </c>
      <c r="G23" s="0" t="s">
        <v>158</v>
      </c>
      <c r="H23" s="7" t="s">
        <v>52</v>
      </c>
      <c r="I23" s="7" t="s">
        <v>67</v>
      </c>
      <c r="J23" s="9" t="n">
        <v>46227</v>
      </c>
      <c r="L23" s="0" t="n">
        <v>1</v>
      </c>
      <c r="M23" s="0" t="n">
        <v>1</v>
      </c>
    </row>
    <row r="24" customFormat="false" ht="42" hidden="false" customHeight="true" outlineLevel="0" collapsed="false">
      <c r="A24" s="0" t="s">
        <v>191</v>
      </c>
      <c r="B24" s="0" t="s">
        <v>160</v>
      </c>
      <c r="C24" s="0" t="s">
        <v>165</v>
      </c>
      <c r="D24" s="0" t="s">
        <v>161</v>
      </c>
      <c r="E24" s="0" t="s">
        <v>89</v>
      </c>
      <c r="F24" s="0" t="s">
        <v>89</v>
      </c>
      <c r="G24" s="0" t="s">
        <v>162</v>
      </c>
      <c r="H24" s="7" t="s">
        <v>52</v>
      </c>
      <c r="I24" s="7" t="s">
        <v>67</v>
      </c>
      <c r="J24" s="9" t="n">
        <v>46227</v>
      </c>
      <c r="L24" s="0" t="n">
        <v>1</v>
      </c>
      <c r="M24" s="0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.71"/>
    <col collapsed="false" customWidth="true" hidden="false" outlineLevel="0" max="2" min="2" style="0" width="15.71"/>
    <col collapsed="false" customWidth="true" hidden="false" outlineLevel="0" max="3" min="3" style="0" width="18.71"/>
    <col collapsed="false" customWidth="true" hidden="false" outlineLevel="0" max="4" min="4" style="0" width="58.71"/>
    <col collapsed="false" customWidth="true" hidden="false" outlineLevel="0" max="6" min="5" style="0" width="14.71"/>
    <col collapsed="false" customWidth="true" hidden="false" outlineLevel="0" max="7" min="7" style="0" width="50.71"/>
    <col collapsed="false" customWidth="true" hidden="false" outlineLevel="0" max="8" min="8" style="0" width="17.71"/>
    <col collapsed="false" customWidth="true" hidden="false" outlineLevel="0" max="9" min="9" style="0" width="14.71"/>
    <col collapsed="false" customWidth="true" hidden="false" outlineLevel="0" max="10" min="10" style="9" width="14.71"/>
    <col collapsed="false" customWidth="true" hidden="false" outlineLevel="0" max="11" min="11" style="0" width="42.71"/>
    <col collapsed="false" customWidth="true" hidden="false" outlineLevel="0" max="13" min="12" style="0" width="10.71"/>
  </cols>
  <sheetData>
    <row r="1" customFormat="false" ht="37.5" hidden="false" customHeight="true" outlineLevel="0" collapsed="false">
      <c r="A1" s="2" t="s">
        <v>192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27.75" hidden="false" customHeight="true" outlineLevel="0" collapsed="false">
      <c r="A2" s="3" t="s">
        <v>69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7.35" hidden="false" customHeight="false" outlineLevel="0" collapsed="false">
      <c r="A4" s="4" t="s">
        <v>7</v>
      </c>
      <c r="B4" s="5" t="n">
        <v>16</v>
      </c>
      <c r="D4" s="4" t="s">
        <v>70</v>
      </c>
      <c r="E4" s="5" t="n">
        <v>16</v>
      </c>
      <c r="G4" s="4" t="s">
        <v>14</v>
      </c>
      <c r="H4" s="6" t="n">
        <v>1</v>
      </c>
      <c r="J4" s="4" t="s">
        <v>15</v>
      </c>
      <c r="K4" s="5" t="s">
        <v>71</v>
      </c>
    </row>
    <row r="5" customFormat="false" ht="17.35" hidden="false" customHeight="false" outlineLevel="0" collapsed="false">
      <c r="A5" s="4" t="s">
        <v>72</v>
      </c>
      <c r="B5" s="5" t="s">
        <v>71</v>
      </c>
      <c r="D5" s="4" t="s">
        <v>16</v>
      </c>
      <c r="E5" s="5" t="s">
        <v>71</v>
      </c>
    </row>
    <row r="8" customFormat="false" ht="15" hidden="false" customHeight="false" outlineLevel="0" collapsed="false">
      <c r="A8" s="7" t="s">
        <v>73</v>
      </c>
      <c r="B8" s="7" t="s">
        <v>74</v>
      </c>
      <c r="C8" s="7" t="s">
        <v>75</v>
      </c>
      <c r="D8" s="7" t="s">
        <v>76</v>
      </c>
      <c r="E8" s="7" t="s">
        <v>77</v>
      </c>
      <c r="F8" s="7" t="s">
        <v>78</v>
      </c>
      <c r="G8" s="7" t="s">
        <v>79</v>
      </c>
      <c r="H8" s="7" t="s">
        <v>80</v>
      </c>
      <c r="I8" s="7" t="s">
        <v>81</v>
      </c>
      <c r="J8" s="10" t="s">
        <v>82</v>
      </c>
      <c r="K8" s="7" t="s">
        <v>83</v>
      </c>
      <c r="L8" s="7" t="s">
        <v>84</v>
      </c>
      <c r="M8" s="7" t="s">
        <v>70</v>
      </c>
    </row>
    <row r="9" customFormat="false" ht="42" hidden="false" customHeight="true" outlineLevel="0" collapsed="false">
      <c r="A9" s="0" t="s">
        <v>193</v>
      </c>
      <c r="B9" s="0" t="s">
        <v>86</v>
      </c>
      <c r="C9" s="0" t="s">
        <v>19</v>
      </c>
      <c r="D9" s="0" t="s">
        <v>88</v>
      </c>
      <c r="E9" s="0" t="s">
        <v>89</v>
      </c>
      <c r="F9" s="0" t="s">
        <v>90</v>
      </c>
      <c r="G9" s="0" t="s">
        <v>194</v>
      </c>
      <c r="H9" s="7" t="s">
        <v>52</v>
      </c>
      <c r="I9" s="7" t="s">
        <v>67</v>
      </c>
      <c r="J9" s="9" t="n">
        <v>46227</v>
      </c>
      <c r="L9" s="0" t="n">
        <v>1</v>
      </c>
      <c r="M9" s="0" t="n">
        <v>1</v>
      </c>
    </row>
    <row r="10" customFormat="false" ht="42" hidden="false" customHeight="true" outlineLevel="0" collapsed="false">
      <c r="A10" s="0" t="s">
        <v>195</v>
      </c>
      <c r="B10" s="0" t="s">
        <v>93</v>
      </c>
      <c r="C10" s="0" t="s">
        <v>19</v>
      </c>
      <c r="D10" s="0" t="s">
        <v>94</v>
      </c>
      <c r="E10" s="0" t="s">
        <v>89</v>
      </c>
      <c r="F10" s="0" t="s">
        <v>89</v>
      </c>
      <c r="G10" s="0" t="s">
        <v>95</v>
      </c>
      <c r="H10" s="7" t="s">
        <v>52</v>
      </c>
      <c r="I10" s="7" t="s">
        <v>67</v>
      </c>
      <c r="J10" s="9" t="n">
        <v>46227</v>
      </c>
      <c r="L10" s="0" t="n">
        <v>1</v>
      </c>
      <c r="M10" s="0" t="n">
        <v>1</v>
      </c>
    </row>
    <row r="11" customFormat="false" ht="42" hidden="false" customHeight="true" outlineLevel="0" collapsed="false">
      <c r="A11" s="0" t="s">
        <v>196</v>
      </c>
      <c r="B11" s="0" t="s">
        <v>97</v>
      </c>
      <c r="C11" s="0" t="s">
        <v>19</v>
      </c>
      <c r="D11" s="0" t="s">
        <v>98</v>
      </c>
      <c r="E11" s="0" t="s">
        <v>89</v>
      </c>
      <c r="F11" s="0" t="s">
        <v>99</v>
      </c>
      <c r="G11" s="0" t="s">
        <v>197</v>
      </c>
      <c r="H11" s="7" t="s">
        <v>52</v>
      </c>
      <c r="I11" s="7" t="s">
        <v>67</v>
      </c>
      <c r="J11" s="9" t="n">
        <v>46227</v>
      </c>
      <c r="L11" s="0" t="n">
        <v>1</v>
      </c>
      <c r="M11" s="0" t="n">
        <v>1</v>
      </c>
    </row>
    <row r="12" customFormat="false" ht="42" hidden="false" customHeight="true" outlineLevel="0" collapsed="false">
      <c r="A12" s="0" t="s">
        <v>198</v>
      </c>
      <c r="B12" s="0" t="s">
        <v>102</v>
      </c>
      <c r="C12" s="0" t="s">
        <v>19</v>
      </c>
      <c r="D12" s="0" t="s">
        <v>103</v>
      </c>
      <c r="E12" s="0" t="s">
        <v>89</v>
      </c>
      <c r="F12" s="0" t="s">
        <v>104</v>
      </c>
      <c r="G12" s="0" t="s">
        <v>199</v>
      </c>
      <c r="H12" s="7" t="s">
        <v>52</v>
      </c>
      <c r="I12" s="7" t="s">
        <v>67</v>
      </c>
      <c r="J12" s="9" t="n">
        <v>46227</v>
      </c>
      <c r="L12" s="0" t="n">
        <v>1</v>
      </c>
      <c r="M12" s="0" t="n">
        <v>1</v>
      </c>
    </row>
    <row r="13" customFormat="false" ht="42" hidden="false" customHeight="true" outlineLevel="0" collapsed="false">
      <c r="A13" s="0" t="s">
        <v>200</v>
      </c>
      <c r="B13" s="0" t="s">
        <v>107</v>
      </c>
      <c r="C13" s="0" t="s">
        <v>19</v>
      </c>
      <c r="D13" s="0" t="s">
        <v>108</v>
      </c>
      <c r="E13" s="0" t="s">
        <v>89</v>
      </c>
      <c r="F13" s="0" t="s">
        <v>109</v>
      </c>
      <c r="G13" s="0" t="s">
        <v>201</v>
      </c>
      <c r="H13" s="7" t="s">
        <v>52</v>
      </c>
      <c r="I13" s="7" t="s">
        <v>67</v>
      </c>
      <c r="J13" s="9" t="n">
        <v>46227</v>
      </c>
      <c r="L13" s="0" t="n">
        <v>1</v>
      </c>
      <c r="M13" s="0" t="n">
        <v>1</v>
      </c>
    </row>
    <row r="14" customFormat="false" ht="42" hidden="false" customHeight="true" outlineLevel="0" collapsed="false">
      <c r="A14" s="0" t="s">
        <v>202</v>
      </c>
      <c r="B14" s="0" t="s">
        <v>112</v>
      </c>
      <c r="C14" s="0" t="s">
        <v>19</v>
      </c>
      <c r="D14" s="0" t="s">
        <v>113</v>
      </c>
      <c r="E14" s="0" t="s">
        <v>89</v>
      </c>
      <c r="F14" s="0" t="s">
        <v>114</v>
      </c>
      <c r="G14" s="0" t="s">
        <v>203</v>
      </c>
      <c r="H14" s="7" t="s">
        <v>52</v>
      </c>
      <c r="I14" s="7" t="s">
        <v>67</v>
      </c>
      <c r="J14" s="9" t="n">
        <v>46227</v>
      </c>
      <c r="L14" s="0" t="n">
        <v>1</v>
      </c>
      <c r="M14" s="0" t="n">
        <v>1</v>
      </c>
    </row>
    <row r="15" customFormat="false" ht="42" hidden="false" customHeight="true" outlineLevel="0" collapsed="false">
      <c r="A15" s="0" t="s">
        <v>204</v>
      </c>
      <c r="B15" s="0" t="s">
        <v>117</v>
      </c>
      <c r="C15" s="0" t="s">
        <v>19</v>
      </c>
      <c r="D15" s="0" t="s">
        <v>118</v>
      </c>
      <c r="E15" s="0" t="s">
        <v>89</v>
      </c>
      <c r="F15" s="0" t="s">
        <v>119</v>
      </c>
      <c r="G15" s="0" t="s">
        <v>205</v>
      </c>
      <c r="H15" s="7" t="s">
        <v>52</v>
      </c>
      <c r="I15" s="7" t="s">
        <v>67</v>
      </c>
      <c r="J15" s="9" t="n">
        <v>46227</v>
      </c>
      <c r="L15" s="0" t="n">
        <v>1</v>
      </c>
      <c r="M15" s="0" t="n">
        <v>1</v>
      </c>
    </row>
    <row r="16" customFormat="false" ht="42" hidden="false" customHeight="true" outlineLevel="0" collapsed="false">
      <c r="A16" s="0" t="s">
        <v>206</v>
      </c>
      <c r="B16" s="0" t="s">
        <v>122</v>
      </c>
      <c r="C16" s="0" t="s">
        <v>19</v>
      </c>
      <c r="D16" s="0" t="s">
        <v>123</v>
      </c>
      <c r="E16" s="0" t="s">
        <v>89</v>
      </c>
      <c r="F16" s="0" t="s">
        <v>124</v>
      </c>
      <c r="G16" s="0" t="s">
        <v>207</v>
      </c>
      <c r="H16" s="7" t="s">
        <v>54</v>
      </c>
      <c r="I16" s="7" t="s">
        <v>66</v>
      </c>
      <c r="J16" s="9" t="n">
        <v>46227</v>
      </c>
      <c r="K16" s="0" t="s">
        <v>126</v>
      </c>
      <c r="L16" s="0" t="n">
        <v>1</v>
      </c>
      <c r="M16" s="0" t="n">
        <v>1</v>
      </c>
    </row>
    <row r="17" customFormat="false" ht="42" hidden="false" customHeight="true" outlineLevel="0" collapsed="false">
      <c r="A17" s="0" t="s">
        <v>208</v>
      </c>
      <c r="B17" s="0" t="s">
        <v>128</v>
      </c>
      <c r="C17" s="0" t="s">
        <v>19</v>
      </c>
      <c r="D17" s="0" t="s">
        <v>129</v>
      </c>
      <c r="E17" s="0" t="s">
        <v>89</v>
      </c>
      <c r="F17" s="0" t="s">
        <v>130</v>
      </c>
      <c r="G17" s="0" t="s">
        <v>209</v>
      </c>
      <c r="H17" s="7" t="s">
        <v>54</v>
      </c>
      <c r="I17" s="7" t="s">
        <v>66</v>
      </c>
      <c r="J17" s="9" t="n">
        <v>46227</v>
      </c>
      <c r="K17" s="0" t="s">
        <v>132</v>
      </c>
      <c r="L17" s="0" t="n">
        <v>1</v>
      </c>
      <c r="M17" s="0" t="n">
        <v>1</v>
      </c>
    </row>
    <row r="18" customFormat="false" ht="42" hidden="false" customHeight="true" outlineLevel="0" collapsed="false">
      <c r="A18" s="0" t="s">
        <v>210</v>
      </c>
      <c r="B18" s="0" t="s">
        <v>134</v>
      </c>
      <c r="C18" s="0" t="s">
        <v>19</v>
      </c>
      <c r="D18" s="0" t="s">
        <v>135</v>
      </c>
      <c r="E18" s="0" t="s">
        <v>89</v>
      </c>
      <c r="F18" s="0" t="s">
        <v>130</v>
      </c>
      <c r="G18" s="0" t="s">
        <v>209</v>
      </c>
      <c r="H18" s="7" t="s">
        <v>54</v>
      </c>
      <c r="I18" s="7" t="s">
        <v>66</v>
      </c>
      <c r="J18" s="9" t="n">
        <v>46227</v>
      </c>
      <c r="K18" s="0" t="s">
        <v>132</v>
      </c>
      <c r="L18" s="0" t="n">
        <v>1</v>
      </c>
      <c r="M18" s="0" t="n">
        <v>1</v>
      </c>
    </row>
    <row r="19" customFormat="false" ht="42" hidden="false" customHeight="true" outlineLevel="0" collapsed="false">
      <c r="A19" s="0" t="s">
        <v>211</v>
      </c>
      <c r="B19" s="0" t="s">
        <v>137</v>
      </c>
      <c r="C19" s="0" t="s">
        <v>19</v>
      </c>
      <c r="D19" s="0" t="s">
        <v>138</v>
      </c>
      <c r="E19" s="0" t="s">
        <v>89</v>
      </c>
      <c r="F19" s="0" t="s">
        <v>130</v>
      </c>
      <c r="G19" s="0" t="s">
        <v>212</v>
      </c>
      <c r="H19" s="7" t="s">
        <v>54</v>
      </c>
      <c r="I19" s="7" t="s">
        <v>66</v>
      </c>
      <c r="J19" s="9" t="n">
        <v>46227</v>
      </c>
      <c r="K19" s="0" t="s">
        <v>140</v>
      </c>
      <c r="L19" s="0" t="n">
        <v>1</v>
      </c>
      <c r="M19" s="0" t="n">
        <v>1</v>
      </c>
    </row>
    <row r="20" customFormat="false" ht="42" hidden="false" customHeight="true" outlineLevel="0" collapsed="false">
      <c r="A20" s="0" t="s">
        <v>213</v>
      </c>
      <c r="B20" s="0" t="s">
        <v>142</v>
      </c>
      <c r="C20" s="0" t="s">
        <v>19</v>
      </c>
      <c r="D20" s="0" t="s">
        <v>143</v>
      </c>
      <c r="E20" s="0" t="s">
        <v>89</v>
      </c>
      <c r="F20" s="0" t="s">
        <v>130</v>
      </c>
      <c r="G20" s="0" t="s">
        <v>209</v>
      </c>
      <c r="H20" s="7" t="s">
        <v>54</v>
      </c>
      <c r="I20" s="7" t="s">
        <v>66</v>
      </c>
      <c r="J20" s="9" t="n">
        <v>46227</v>
      </c>
      <c r="K20" s="0" t="s">
        <v>144</v>
      </c>
      <c r="L20" s="0" t="n">
        <v>1</v>
      </c>
      <c r="M20" s="0" t="n">
        <v>1</v>
      </c>
    </row>
    <row r="21" customFormat="false" ht="42" hidden="false" customHeight="true" outlineLevel="0" collapsed="false">
      <c r="A21" s="0" t="s">
        <v>214</v>
      </c>
      <c r="B21" s="0" t="s">
        <v>146</v>
      </c>
      <c r="C21" s="0" t="s">
        <v>19</v>
      </c>
      <c r="D21" s="0" t="s">
        <v>147</v>
      </c>
      <c r="E21" s="0" t="s">
        <v>89</v>
      </c>
      <c r="F21" s="0" t="s">
        <v>148</v>
      </c>
      <c r="G21" s="0" t="s">
        <v>215</v>
      </c>
      <c r="H21" s="7" t="s">
        <v>52</v>
      </c>
      <c r="I21" s="7" t="s">
        <v>67</v>
      </c>
      <c r="J21" s="9" t="n">
        <v>46227</v>
      </c>
      <c r="L21" s="0" t="n">
        <v>1</v>
      </c>
      <c r="M21" s="0" t="n">
        <v>1</v>
      </c>
    </row>
    <row r="22" customFormat="false" ht="42" hidden="false" customHeight="true" outlineLevel="0" collapsed="false">
      <c r="A22" s="0" t="s">
        <v>216</v>
      </c>
      <c r="B22" s="0" t="s">
        <v>151</v>
      </c>
      <c r="C22" s="0" t="s">
        <v>19</v>
      </c>
      <c r="D22" s="0" t="s">
        <v>152</v>
      </c>
      <c r="E22" s="0" t="s">
        <v>89</v>
      </c>
      <c r="F22" s="0" t="s">
        <v>148</v>
      </c>
      <c r="G22" s="0" t="s">
        <v>217</v>
      </c>
      <c r="H22" s="7" t="s">
        <v>52</v>
      </c>
      <c r="I22" s="7" t="s">
        <v>67</v>
      </c>
      <c r="J22" s="9" t="n">
        <v>46227</v>
      </c>
      <c r="L22" s="0" t="n">
        <v>1</v>
      </c>
      <c r="M22" s="0" t="n">
        <v>1</v>
      </c>
    </row>
    <row r="23" customFormat="false" ht="42" hidden="false" customHeight="true" outlineLevel="0" collapsed="false">
      <c r="A23" s="0" t="s">
        <v>218</v>
      </c>
      <c r="B23" s="0" t="s">
        <v>155</v>
      </c>
      <c r="C23" s="0" t="s">
        <v>19</v>
      </c>
      <c r="D23" s="0" t="s">
        <v>156</v>
      </c>
      <c r="E23" s="0" t="s">
        <v>157</v>
      </c>
      <c r="F23" s="0" t="s">
        <v>157</v>
      </c>
      <c r="G23" s="0" t="s">
        <v>158</v>
      </c>
      <c r="H23" s="7" t="s">
        <v>52</v>
      </c>
      <c r="I23" s="7" t="s">
        <v>67</v>
      </c>
      <c r="J23" s="9" t="n">
        <v>46227</v>
      </c>
      <c r="L23" s="0" t="n">
        <v>1</v>
      </c>
      <c r="M23" s="0" t="n">
        <v>1</v>
      </c>
    </row>
    <row r="24" customFormat="false" ht="42" hidden="false" customHeight="true" outlineLevel="0" collapsed="false">
      <c r="A24" s="0" t="s">
        <v>219</v>
      </c>
      <c r="B24" s="0" t="s">
        <v>160</v>
      </c>
      <c r="C24" s="0" t="s">
        <v>19</v>
      </c>
      <c r="D24" s="0" t="s">
        <v>161</v>
      </c>
      <c r="E24" s="0" t="s">
        <v>89</v>
      </c>
      <c r="F24" s="0" t="s">
        <v>89</v>
      </c>
      <c r="G24" s="0" t="s">
        <v>162</v>
      </c>
      <c r="H24" s="7" t="s">
        <v>52</v>
      </c>
      <c r="I24" s="7" t="s">
        <v>67</v>
      </c>
      <c r="J24" s="9" t="n">
        <v>46227</v>
      </c>
      <c r="L24" s="0" t="n">
        <v>1</v>
      </c>
      <c r="M24" s="0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.71"/>
    <col collapsed="false" customWidth="true" hidden="false" outlineLevel="0" max="2" min="2" style="0" width="15.71"/>
    <col collapsed="false" customWidth="true" hidden="false" outlineLevel="0" max="3" min="3" style="0" width="18.71"/>
    <col collapsed="false" customWidth="true" hidden="false" outlineLevel="0" max="4" min="4" style="0" width="58.71"/>
    <col collapsed="false" customWidth="true" hidden="false" outlineLevel="0" max="6" min="5" style="0" width="14.71"/>
    <col collapsed="false" customWidth="true" hidden="false" outlineLevel="0" max="7" min="7" style="0" width="50.71"/>
    <col collapsed="false" customWidth="true" hidden="false" outlineLevel="0" max="8" min="8" style="0" width="17.71"/>
    <col collapsed="false" customWidth="true" hidden="false" outlineLevel="0" max="9" min="9" style="0" width="14.71"/>
    <col collapsed="false" customWidth="true" hidden="false" outlineLevel="0" max="10" min="10" style="9" width="14.71"/>
    <col collapsed="false" customWidth="true" hidden="false" outlineLevel="0" max="11" min="11" style="0" width="42.71"/>
    <col collapsed="false" customWidth="true" hidden="false" outlineLevel="0" max="13" min="12" style="0" width="10.71"/>
  </cols>
  <sheetData>
    <row r="1" customFormat="false" ht="37.5" hidden="false" customHeight="true" outlineLevel="0" collapsed="false">
      <c r="A1" s="2" t="s">
        <v>220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27.75" hidden="false" customHeight="true" outlineLevel="0" collapsed="false">
      <c r="A2" s="3" t="s">
        <v>69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7.35" hidden="false" customHeight="false" outlineLevel="0" collapsed="false">
      <c r="A4" s="4" t="s">
        <v>7</v>
      </c>
      <c r="B4" s="5" t="n">
        <v>16</v>
      </c>
      <c r="D4" s="4" t="s">
        <v>70</v>
      </c>
      <c r="E4" s="5" t="n">
        <v>16</v>
      </c>
      <c r="G4" s="4" t="s">
        <v>14</v>
      </c>
      <c r="H4" s="6" t="n">
        <v>1</v>
      </c>
      <c r="J4" s="4" t="s">
        <v>15</v>
      </c>
      <c r="K4" s="5" t="s">
        <v>71</v>
      </c>
    </row>
    <row r="5" customFormat="false" ht="17.35" hidden="false" customHeight="false" outlineLevel="0" collapsed="false">
      <c r="A5" s="4" t="s">
        <v>72</v>
      </c>
      <c r="B5" s="5" t="s">
        <v>71</v>
      </c>
      <c r="D5" s="4" t="s">
        <v>16</v>
      </c>
      <c r="E5" s="5" t="s">
        <v>71</v>
      </c>
    </row>
    <row r="8" customFormat="false" ht="15" hidden="false" customHeight="false" outlineLevel="0" collapsed="false">
      <c r="A8" s="7" t="s">
        <v>73</v>
      </c>
      <c r="B8" s="7" t="s">
        <v>74</v>
      </c>
      <c r="C8" s="7" t="s">
        <v>75</v>
      </c>
      <c r="D8" s="7" t="s">
        <v>76</v>
      </c>
      <c r="E8" s="7" t="s">
        <v>77</v>
      </c>
      <c r="F8" s="7" t="s">
        <v>78</v>
      </c>
      <c r="G8" s="7" t="s">
        <v>79</v>
      </c>
      <c r="H8" s="7" t="s">
        <v>80</v>
      </c>
      <c r="I8" s="7" t="s">
        <v>81</v>
      </c>
      <c r="J8" s="10" t="s">
        <v>82</v>
      </c>
      <c r="K8" s="7" t="s">
        <v>83</v>
      </c>
      <c r="L8" s="7" t="s">
        <v>84</v>
      </c>
      <c r="M8" s="7" t="s">
        <v>70</v>
      </c>
    </row>
    <row r="9" customFormat="false" ht="42" hidden="false" customHeight="true" outlineLevel="0" collapsed="false">
      <c r="A9" s="0" t="s">
        <v>221</v>
      </c>
      <c r="B9" s="0" t="s">
        <v>86</v>
      </c>
      <c r="C9" s="0" t="s">
        <v>20</v>
      </c>
      <c r="D9" s="0" t="s">
        <v>88</v>
      </c>
      <c r="E9" s="0" t="s">
        <v>89</v>
      </c>
      <c r="F9" s="0" t="s">
        <v>90</v>
      </c>
      <c r="G9" s="0" t="s">
        <v>222</v>
      </c>
      <c r="H9" s="7" t="s">
        <v>52</v>
      </c>
      <c r="I9" s="7" t="s">
        <v>67</v>
      </c>
      <c r="J9" s="9" t="n">
        <v>46227</v>
      </c>
      <c r="L9" s="0" t="n">
        <v>1</v>
      </c>
      <c r="M9" s="0" t="n">
        <v>1</v>
      </c>
    </row>
    <row r="10" customFormat="false" ht="42" hidden="false" customHeight="true" outlineLevel="0" collapsed="false">
      <c r="A10" s="0" t="s">
        <v>223</v>
      </c>
      <c r="B10" s="0" t="s">
        <v>93</v>
      </c>
      <c r="C10" s="0" t="s">
        <v>20</v>
      </c>
      <c r="D10" s="0" t="s">
        <v>94</v>
      </c>
      <c r="E10" s="0" t="s">
        <v>89</v>
      </c>
      <c r="F10" s="0" t="s">
        <v>89</v>
      </c>
      <c r="G10" s="0" t="s">
        <v>95</v>
      </c>
      <c r="H10" s="7" t="s">
        <v>52</v>
      </c>
      <c r="I10" s="7" t="s">
        <v>67</v>
      </c>
      <c r="J10" s="9" t="n">
        <v>46227</v>
      </c>
      <c r="L10" s="0" t="n">
        <v>1</v>
      </c>
      <c r="M10" s="0" t="n">
        <v>1</v>
      </c>
    </row>
    <row r="11" customFormat="false" ht="42" hidden="false" customHeight="true" outlineLevel="0" collapsed="false">
      <c r="A11" s="0" t="s">
        <v>224</v>
      </c>
      <c r="B11" s="0" t="s">
        <v>97</v>
      </c>
      <c r="C11" s="0" t="s">
        <v>20</v>
      </c>
      <c r="D11" s="0" t="s">
        <v>98</v>
      </c>
      <c r="E11" s="0" t="s">
        <v>89</v>
      </c>
      <c r="F11" s="0" t="s">
        <v>99</v>
      </c>
      <c r="G11" s="0" t="s">
        <v>225</v>
      </c>
      <c r="H11" s="7" t="s">
        <v>52</v>
      </c>
      <c r="I11" s="7" t="s">
        <v>67</v>
      </c>
      <c r="J11" s="9" t="n">
        <v>46227</v>
      </c>
      <c r="L11" s="0" t="n">
        <v>1</v>
      </c>
      <c r="M11" s="0" t="n">
        <v>1</v>
      </c>
    </row>
    <row r="12" customFormat="false" ht="42" hidden="false" customHeight="true" outlineLevel="0" collapsed="false">
      <c r="A12" s="0" t="s">
        <v>226</v>
      </c>
      <c r="B12" s="0" t="s">
        <v>102</v>
      </c>
      <c r="C12" s="0" t="s">
        <v>20</v>
      </c>
      <c r="D12" s="0" t="s">
        <v>103</v>
      </c>
      <c r="E12" s="0" t="s">
        <v>89</v>
      </c>
      <c r="F12" s="0" t="s">
        <v>104</v>
      </c>
      <c r="G12" s="0" t="s">
        <v>227</v>
      </c>
      <c r="H12" s="7" t="s">
        <v>52</v>
      </c>
      <c r="I12" s="7" t="s">
        <v>67</v>
      </c>
      <c r="J12" s="9" t="n">
        <v>46227</v>
      </c>
      <c r="L12" s="0" t="n">
        <v>1</v>
      </c>
      <c r="M12" s="0" t="n">
        <v>1</v>
      </c>
    </row>
    <row r="13" customFormat="false" ht="42" hidden="false" customHeight="true" outlineLevel="0" collapsed="false">
      <c r="A13" s="0" t="s">
        <v>228</v>
      </c>
      <c r="B13" s="0" t="s">
        <v>107</v>
      </c>
      <c r="C13" s="0" t="s">
        <v>20</v>
      </c>
      <c r="D13" s="0" t="s">
        <v>108</v>
      </c>
      <c r="E13" s="0" t="s">
        <v>89</v>
      </c>
      <c r="F13" s="0" t="s">
        <v>109</v>
      </c>
      <c r="G13" s="0" t="s">
        <v>229</v>
      </c>
      <c r="H13" s="7" t="s">
        <v>52</v>
      </c>
      <c r="I13" s="7" t="s">
        <v>67</v>
      </c>
      <c r="J13" s="9" t="n">
        <v>46227</v>
      </c>
      <c r="L13" s="0" t="n">
        <v>1</v>
      </c>
      <c r="M13" s="0" t="n">
        <v>1</v>
      </c>
    </row>
    <row r="14" customFormat="false" ht="42" hidden="false" customHeight="true" outlineLevel="0" collapsed="false">
      <c r="A14" s="0" t="s">
        <v>230</v>
      </c>
      <c r="B14" s="0" t="s">
        <v>112</v>
      </c>
      <c r="C14" s="0" t="s">
        <v>20</v>
      </c>
      <c r="D14" s="0" t="s">
        <v>113</v>
      </c>
      <c r="E14" s="0" t="s">
        <v>89</v>
      </c>
      <c r="F14" s="0" t="s">
        <v>114</v>
      </c>
      <c r="G14" s="0" t="s">
        <v>231</v>
      </c>
      <c r="H14" s="7" t="s">
        <v>52</v>
      </c>
      <c r="I14" s="7" t="s">
        <v>67</v>
      </c>
      <c r="J14" s="9" t="n">
        <v>46227</v>
      </c>
      <c r="L14" s="0" t="n">
        <v>1</v>
      </c>
      <c r="M14" s="0" t="n">
        <v>1</v>
      </c>
    </row>
    <row r="15" customFormat="false" ht="42" hidden="false" customHeight="true" outlineLevel="0" collapsed="false">
      <c r="A15" s="0" t="s">
        <v>232</v>
      </c>
      <c r="B15" s="0" t="s">
        <v>117</v>
      </c>
      <c r="C15" s="0" t="s">
        <v>20</v>
      </c>
      <c r="D15" s="0" t="s">
        <v>118</v>
      </c>
      <c r="E15" s="0" t="s">
        <v>89</v>
      </c>
      <c r="F15" s="0" t="s">
        <v>119</v>
      </c>
      <c r="G15" s="0" t="s">
        <v>233</v>
      </c>
      <c r="H15" s="7" t="s">
        <v>52</v>
      </c>
      <c r="I15" s="7" t="s">
        <v>67</v>
      </c>
      <c r="J15" s="9" t="n">
        <v>46227</v>
      </c>
      <c r="L15" s="0" t="n">
        <v>1</v>
      </c>
      <c r="M15" s="0" t="n">
        <v>1</v>
      </c>
    </row>
    <row r="16" customFormat="false" ht="42" hidden="false" customHeight="true" outlineLevel="0" collapsed="false">
      <c r="A16" s="0" t="s">
        <v>234</v>
      </c>
      <c r="B16" s="0" t="s">
        <v>122</v>
      </c>
      <c r="C16" s="0" t="s">
        <v>20</v>
      </c>
      <c r="D16" s="0" t="s">
        <v>123</v>
      </c>
      <c r="E16" s="0" t="s">
        <v>89</v>
      </c>
      <c r="F16" s="0" t="s">
        <v>124</v>
      </c>
      <c r="G16" s="0" t="s">
        <v>235</v>
      </c>
      <c r="H16" s="7" t="s">
        <v>54</v>
      </c>
      <c r="I16" s="7" t="s">
        <v>66</v>
      </c>
      <c r="J16" s="9" t="n">
        <v>46227</v>
      </c>
      <c r="K16" s="0" t="s">
        <v>126</v>
      </c>
      <c r="L16" s="0" t="n">
        <v>1</v>
      </c>
      <c r="M16" s="0" t="n">
        <v>1</v>
      </c>
    </row>
    <row r="17" customFormat="false" ht="42" hidden="false" customHeight="true" outlineLevel="0" collapsed="false">
      <c r="A17" s="0" t="s">
        <v>236</v>
      </c>
      <c r="B17" s="0" t="s">
        <v>128</v>
      </c>
      <c r="C17" s="0" t="s">
        <v>20</v>
      </c>
      <c r="D17" s="0" t="s">
        <v>129</v>
      </c>
      <c r="E17" s="0" t="s">
        <v>89</v>
      </c>
      <c r="F17" s="0" t="s">
        <v>130</v>
      </c>
      <c r="G17" s="0" t="s">
        <v>237</v>
      </c>
      <c r="H17" s="7" t="s">
        <v>54</v>
      </c>
      <c r="I17" s="7" t="s">
        <v>66</v>
      </c>
      <c r="J17" s="9" t="n">
        <v>46227</v>
      </c>
      <c r="K17" s="0" t="s">
        <v>132</v>
      </c>
      <c r="L17" s="0" t="n">
        <v>1</v>
      </c>
      <c r="M17" s="0" t="n">
        <v>1</v>
      </c>
    </row>
    <row r="18" customFormat="false" ht="42" hidden="false" customHeight="true" outlineLevel="0" collapsed="false">
      <c r="A18" s="0" t="s">
        <v>238</v>
      </c>
      <c r="B18" s="0" t="s">
        <v>134</v>
      </c>
      <c r="C18" s="0" t="s">
        <v>20</v>
      </c>
      <c r="D18" s="0" t="s">
        <v>135</v>
      </c>
      <c r="E18" s="0" t="s">
        <v>89</v>
      </c>
      <c r="F18" s="0" t="s">
        <v>130</v>
      </c>
      <c r="G18" s="0" t="s">
        <v>237</v>
      </c>
      <c r="H18" s="7" t="s">
        <v>54</v>
      </c>
      <c r="I18" s="7" t="s">
        <v>66</v>
      </c>
      <c r="J18" s="9" t="n">
        <v>46227</v>
      </c>
      <c r="K18" s="0" t="s">
        <v>132</v>
      </c>
      <c r="L18" s="0" t="n">
        <v>1</v>
      </c>
      <c r="M18" s="0" t="n">
        <v>1</v>
      </c>
    </row>
    <row r="19" customFormat="false" ht="42" hidden="false" customHeight="true" outlineLevel="0" collapsed="false">
      <c r="A19" s="0" t="s">
        <v>239</v>
      </c>
      <c r="B19" s="0" t="s">
        <v>137</v>
      </c>
      <c r="C19" s="0" t="s">
        <v>20</v>
      </c>
      <c r="D19" s="0" t="s">
        <v>138</v>
      </c>
      <c r="E19" s="0" t="s">
        <v>89</v>
      </c>
      <c r="F19" s="0" t="s">
        <v>130</v>
      </c>
      <c r="G19" s="0" t="s">
        <v>240</v>
      </c>
      <c r="H19" s="7" t="s">
        <v>54</v>
      </c>
      <c r="I19" s="7" t="s">
        <v>66</v>
      </c>
      <c r="J19" s="9" t="n">
        <v>46227</v>
      </c>
      <c r="K19" s="0" t="s">
        <v>140</v>
      </c>
      <c r="L19" s="0" t="n">
        <v>1</v>
      </c>
      <c r="M19" s="0" t="n">
        <v>1</v>
      </c>
    </row>
    <row r="20" customFormat="false" ht="42" hidden="false" customHeight="true" outlineLevel="0" collapsed="false">
      <c r="A20" s="0" t="s">
        <v>241</v>
      </c>
      <c r="B20" s="0" t="s">
        <v>142</v>
      </c>
      <c r="C20" s="0" t="s">
        <v>20</v>
      </c>
      <c r="D20" s="0" t="s">
        <v>143</v>
      </c>
      <c r="E20" s="0" t="s">
        <v>89</v>
      </c>
      <c r="F20" s="0" t="s">
        <v>130</v>
      </c>
      <c r="G20" s="0" t="s">
        <v>237</v>
      </c>
      <c r="H20" s="7" t="s">
        <v>54</v>
      </c>
      <c r="I20" s="7" t="s">
        <v>66</v>
      </c>
      <c r="J20" s="9" t="n">
        <v>46227</v>
      </c>
      <c r="K20" s="0" t="s">
        <v>144</v>
      </c>
      <c r="L20" s="0" t="n">
        <v>1</v>
      </c>
      <c r="M20" s="0" t="n">
        <v>1</v>
      </c>
    </row>
    <row r="21" customFormat="false" ht="42" hidden="false" customHeight="true" outlineLevel="0" collapsed="false">
      <c r="A21" s="0" t="s">
        <v>242</v>
      </c>
      <c r="B21" s="0" t="s">
        <v>146</v>
      </c>
      <c r="C21" s="0" t="s">
        <v>20</v>
      </c>
      <c r="D21" s="0" t="s">
        <v>147</v>
      </c>
      <c r="E21" s="0" t="s">
        <v>89</v>
      </c>
      <c r="F21" s="0" t="s">
        <v>148</v>
      </c>
      <c r="G21" s="0" t="s">
        <v>243</v>
      </c>
      <c r="H21" s="7" t="s">
        <v>52</v>
      </c>
      <c r="I21" s="7" t="s">
        <v>67</v>
      </c>
      <c r="J21" s="9" t="n">
        <v>46227</v>
      </c>
      <c r="L21" s="0" t="n">
        <v>1</v>
      </c>
      <c r="M21" s="0" t="n">
        <v>1</v>
      </c>
    </row>
    <row r="22" customFormat="false" ht="42" hidden="false" customHeight="true" outlineLevel="0" collapsed="false">
      <c r="A22" s="0" t="s">
        <v>244</v>
      </c>
      <c r="B22" s="0" t="s">
        <v>151</v>
      </c>
      <c r="C22" s="0" t="s">
        <v>20</v>
      </c>
      <c r="D22" s="0" t="s">
        <v>152</v>
      </c>
      <c r="E22" s="0" t="s">
        <v>89</v>
      </c>
      <c r="F22" s="0" t="s">
        <v>148</v>
      </c>
      <c r="G22" s="0" t="s">
        <v>245</v>
      </c>
      <c r="H22" s="7" t="s">
        <v>52</v>
      </c>
      <c r="I22" s="7" t="s">
        <v>67</v>
      </c>
      <c r="J22" s="9" t="n">
        <v>46227</v>
      </c>
      <c r="L22" s="0" t="n">
        <v>1</v>
      </c>
      <c r="M22" s="0" t="n">
        <v>1</v>
      </c>
    </row>
    <row r="23" customFormat="false" ht="42" hidden="false" customHeight="true" outlineLevel="0" collapsed="false">
      <c r="A23" s="0" t="s">
        <v>246</v>
      </c>
      <c r="B23" s="0" t="s">
        <v>155</v>
      </c>
      <c r="C23" s="0" t="s">
        <v>20</v>
      </c>
      <c r="D23" s="0" t="s">
        <v>156</v>
      </c>
      <c r="E23" s="0" t="s">
        <v>157</v>
      </c>
      <c r="F23" s="0" t="s">
        <v>157</v>
      </c>
      <c r="G23" s="0" t="s">
        <v>158</v>
      </c>
      <c r="H23" s="7" t="s">
        <v>52</v>
      </c>
      <c r="I23" s="7" t="s">
        <v>67</v>
      </c>
      <c r="J23" s="9" t="n">
        <v>46227</v>
      </c>
      <c r="L23" s="0" t="n">
        <v>1</v>
      </c>
      <c r="M23" s="0" t="n">
        <v>1</v>
      </c>
    </row>
    <row r="24" customFormat="false" ht="42" hidden="false" customHeight="true" outlineLevel="0" collapsed="false">
      <c r="A24" s="0" t="s">
        <v>247</v>
      </c>
      <c r="B24" s="0" t="s">
        <v>160</v>
      </c>
      <c r="C24" s="0" t="s">
        <v>20</v>
      </c>
      <c r="D24" s="0" t="s">
        <v>161</v>
      </c>
      <c r="E24" s="0" t="s">
        <v>89</v>
      </c>
      <c r="F24" s="0" t="s">
        <v>89</v>
      </c>
      <c r="G24" s="0" t="s">
        <v>162</v>
      </c>
      <c r="H24" s="7" t="s">
        <v>52</v>
      </c>
      <c r="I24" s="7" t="s">
        <v>67</v>
      </c>
      <c r="J24" s="9" t="n">
        <v>46227</v>
      </c>
      <c r="L24" s="0" t="n">
        <v>1</v>
      </c>
      <c r="M24" s="0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.71"/>
    <col collapsed="false" customWidth="true" hidden="false" outlineLevel="0" max="2" min="2" style="0" width="15.71"/>
    <col collapsed="false" customWidth="true" hidden="false" outlineLevel="0" max="3" min="3" style="0" width="18.71"/>
    <col collapsed="false" customWidth="true" hidden="false" outlineLevel="0" max="4" min="4" style="0" width="58.71"/>
    <col collapsed="false" customWidth="true" hidden="false" outlineLevel="0" max="6" min="5" style="0" width="14.71"/>
    <col collapsed="false" customWidth="true" hidden="false" outlineLevel="0" max="7" min="7" style="0" width="50.71"/>
    <col collapsed="false" customWidth="true" hidden="false" outlineLevel="0" max="8" min="8" style="0" width="17.71"/>
    <col collapsed="false" customWidth="true" hidden="false" outlineLevel="0" max="9" min="9" style="0" width="14.71"/>
    <col collapsed="false" customWidth="true" hidden="false" outlineLevel="0" max="10" min="10" style="9" width="14.71"/>
    <col collapsed="false" customWidth="true" hidden="false" outlineLevel="0" max="11" min="11" style="0" width="42.71"/>
    <col collapsed="false" customWidth="true" hidden="false" outlineLevel="0" max="13" min="12" style="0" width="10.71"/>
  </cols>
  <sheetData>
    <row r="1" customFormat="false" ht="37.5" hidden="false" customHeight="true" outlineLevel="0" collapsed="false">
      <c r="A1" s="2" t="s">
        <v>248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27.75" hidden="false" customHeight="true" outlineLevel="0" collapsed="false">
      <c r="A2" s="3" t="s">
        <v>69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7.35" hidden="false" customHeight="false" outlineLevel="0" collapsed="false">
      <c r="A4" s="4" t="s">
        <v>7</v>
      </c>
      <c r="B4" s="5" t="n">
        <v>16</v>
      </c>
      <c r="D4" s="4" t="s">
        <v>70</v>
      </c>
      <c r="E4" s="5" t="n">
        <v>16</v>
      </c>
      <c r="G4" s="4" t="s">
        <v>14</v>
      </c>
      <c r="H4" s="6" t="n">
        <v>1</v>
      </c>
      <c r="J4" s="4" t="s">
        <v>15</v>
      </c>
      <c r="K4" s="5" t="s">
        <v>71</v>
      </c>
    </row>
    <row r="5" customFormat="false" ht="17.35" hidden="false" customHeight="false" outlineLevel="0" collapsed="false">
      <c r="A5" s="4" t="s">
        <v>72</v>
      </c>
      <c r="B5" s="5" t="s">
        <v>71</v>
      </c>
      <c r="D5" s="4" t="s">
        <v>16</v>
      </c>
      <c r="E5" s="5" t="s">
        <v>71</v>
      </c>
    </row>
    <row r="8" customFormat="false" ht="15" hidden="false" customHeight="false" outlineLevel="0" collapsed="false">
      <c r="A8" s="7" t="s">
        <v>73</v>
      </c>
      <c r="B8" s="7" t="s">
        <v>74</v>
      </c>
      <c r="C8" s="7" t="s">
        <v>75</v>
      </c>
      <c r="D8" s="7" t="s">
        <v>76</v>
      </c>
      <c r="E8" s="7" t="s">
        <v>77</v>
      </c>
      <c r="F8" s="7" t="s">
        <v>78</v>
      </c>
      <c r="G8" s="7" t="s">
        <v>79</v>
      </c>
      <c r="H8" s="7" t="s">
        <v>80</v>
      </c>
      <c r="I8" s="7" t="s">
        <v>81</v>
      </c>
      <c r="J8" s="10" t="s">
        <v>82</v>
      </c>
      <c r="K8" s="7" t="s">
        <v>83</v>
      </c>
      <c r="L8" s="7" t="s">
        <v>84</v>
      </c>
      <c r="M8" s="7" t="s">
        <v>70</v>
      </c>
    </row>
    <row r="9" customFormat="false" ht="42" hidden="false" customHeight="true" outlineLevel="0" collapsed="false">
      <c r="A9" s="0" t="s">
        <v>221</v>
      </c>
      <c r="B9" s="0" t="s">
        <v>86</v>
      </c>
      <c r="C9" s="0" t="s">
        <v>21</v>
      </c>
      <c r="D9" s="0" t="s">
        <v>88</v>
      </c>
      <c r="E9" s="0" t="s">
        <v>89</v>
      </c>
      <c r="F9" s="0" t="s">
        <v>90</v>
      </c>
      <c r="G9" s="0" t="s">
        <v>249</v>
      </c>
      <c r="H9" s="7" t="s">
        <v>52</v>
      </c>
      <c r="I9" s="7" t="s">
        <v>67</v>
      </c>
      <c r="J9" s="9" t="n">
        <v>46227</v>
      </c>
      <c r="L9" s="0" t="n">
        <v>1</v>
      </c>
      <c r="M9" s="0" t="n">
        <v>1</v>
      </c>
    </row>
    <row r="10" customFormat="false" ht="42" hidden="false" customHeight="true" outlineLevel="0" collapsed="false">
      <c r="A10" s="0" t="s">
        <v>223</v>
      </c>
      <c r="B10" s="0" t="s">
        <v>93</v>
      </c>
      <c r="C10" s="0" t="s">
        <v>21</v>
      </c>
      <c r="D10" s="0" t="s">
        <v>94</v>
      </c>
      <c r="E10" s="0" t="s">
        <v>89</v>
      </c>
      <c r="F10" s="0" t="s">
        <v>89</v>
      </c>
      <c r="G10" s="0" t="s">
        <v>95</v>
      </c>
      <c r="H10" s="7" t="s">
        <v>52</v>
      </c>
      <c r="I10" s="7" t="s">
        <v>67</v>
      </c>
      <c r="J10" s="9" t="n">
        <v>46227</v>
      </c>
      <c r="L10" s="0" t="n">
        <v>1</v>
      </c>
      <c r="M10" s="0" t="n">
        <v>1</v>
      </c>
    </row>
    <row r="11" customFormat="false" ht="42" hidden="false" customHeight="true" outlineLevel="0" collapsed="false">
      <c r="A11" s="0" t="s">
        <v>224</v>
      </c>
      <c r="B11" s="0" t="s">
        <v>97</v>
      </c>
      <c r="C11" s="0" t="s">
        <v>21</v>
      </c>
      <c r="D11" s="0" t="s">
        <v>98</v>
      </c>
      <c r="E11" s="0" t="s">
        <v>89</v>
      </c>
      <c r="F11" s="0" t="s">
        <v>99</v>
      </c>
      <c r="G11" s="0" t="s">
        <v>250</v>
      </c>
      <c r="H11" s="7" t="s">
        <v>52</v>
      </c>
      <c r="I11" s="7" t="s">
        <v>67</v>
      </c>
      <c r="J11" s="9" t="n">
        <v>46227</v>
      </c>
      <c r="L11" s="0" t="n">
        <v>1</v>
      </c>
      <c r="M11" s="0" t="n">
        <v>1</v>
      </c>
    </row>
    <row r="12" customFormat="false" ht="42" hidden="false" customHeight="true" outlineLevel="0" collapsed="false">
      <c r="A12" s="0" t="s">
        <v>226</v>
      </c>
      <c r="B12" s="0" t="s">
        <v>102</v>
      </c>
      <c r="C12" s="0" t="s">
        <v>21</v>
      </c>
      <c r="D12" s="0" t="s">
        <v>103</v>
      </c>
      <c r="E12" s="0" t="s">
        <v>89</v>
      </c>
      <c r="F12" s="0" t="s">
        <v>104</v>
      </c>
      <c r="G12" s="0" t="s">
        <v>251</v>
      </c>
      <c r="H12" s="7" t="s">
        <v>52</v>
      </c>
      <c r="I12" s="7" t="s">
        <v>67</v>
      </c>
      <c r="J12" s="9" t="n">
        <v>46227</v>
      </c>
      <c r="L12" s="0" t="n">
        <v>1</v>
      </c>
      <c r="M12" s="0" t="n">
        <v>1</v>
      </c>
    </row>
    <row r="13" customFormat="false" ht="42" hidden="false" customHeight="true" outlineLevel="0" collapsed="false">
      <c r="A13" s="0" t="s">
        <v>228</v>
      </c>
      <c r="B13" s="0" t="s">
        <v>107</v>
      </c>
      <c r="C13" s="0" t="s">
        <v>21</v>
      </c>
      <c r="D13" s="0" t="s">
        <v>108</v>
      </c>
      <c r="E13" s="0" t="s">
        <v>89</v>
      </c>
      <c r="F13" s="0" t="s">
        <v>109</v>
      </c>
      <c r="G13" s="0" t="s">
        <v>252</v>
      </c>
      <c r="H13" s="7" t="s">
        <v>52</v>
      </c>
      <c r="I13" s="7" t="s">
        <v>67</v>
      </c>
      <c r="J13" s="9" t="n">
        <v>46227</v>
      </c>
      <c r="L13" s="0" t="n">
        <v>1</v>
      </c>
      <c r="M13" s="0" t="n">
        <v>1</v>
      </c>
    </row>
    <row r="14" customFormat="false" ht="42" hidden="false" customHeight="true" outlineLevel="0" collapsed="false">
      <c r="A14" s="0" t="s">
        <v>230</v>
      </c>
      <c r="B14" s="0" t="s">
        <v>112</v>
      </c>
      <c r="C14" s="0" t="s">
        <v>21</v>
      </c>
      <c r="D14" s="0" t="s">
        <v>113</v>
      </c>
      <c r="E14" s="0" t="s">
        <v>89</v>
      </c>
      <c r="F14" s="0" t="s">
        <v>114</v>
      </c>
      <c r="G14" s="0" t="s">
        <v>253</v>
      </c>
      <c r="H14" s="7" t="s">
        <v>52</v>
      </c>
      <c r="I14" s="7" t="s">
        <v>67</v>
      </c>
      <c r="J14" s="9" t="n">
        <v>46227</v>
      </c>
      <c r="L14" s="0" t="n">
        <v>1</v>
      </c>
      <c r="M14" s="0" t="n">
        <v>1</v>
      </c>
    </row>
    <row r="15" customFormat="false" ht="42" hidden="false" customHeight="true" outlineLevel="0" collapsed="false">
      <c r="A15" s="0" t="s">
        <v>232</v>
      </c>
      <c r="B15" s="0" t="s">
        <v>117</v>
      </c>
      <c r="C15" s="0" t="s">
        <v>21</v>
      </c>
      <c r="D15" s="0" t="s">
        <v>118</v>
      </c>
      <c r="E15" s="0" t="s">
        <v>89</v>
      </c>
      <c r="F15" s="0" t="s">
        <v>119</v>
      </c>
      <c r="G15" s="0" t="s">
        <v>254</v>
      </c>
      <c r="H15" s="7" t="s">
        <v>52</v>
      </c>
      <c r="I15" s="7" t="s">
        <v>67</v>
      </c>
      <c r="J15" s="9" t="n">
        <v>46227</v>
      </c>
      <c r="L15" s="0" t="n">
        <v>1</v>
      </c>
      <c r="M15" s="0" t="n">
        <v>1</v>
      </c>
    </row>
    <row r="16" customFormat="false" ht="42" hidden="false" customHeight="true" outlineLevel="0" collapsed="false">
      <c r="A16" s="0" t="s">
        <v>234</v>
      </c>
      <c r="B16" s="0" t="s">
        <v>122</v>
      </c>
      <c r="C16" s="0" t="s">
        <v>21</v>
      </c>
      <c r="D16" s="0" t="s">
        <v>123</v>
      </c>
      <c r="E16" s="0" t="s">
        <v>89</v>
      </c>
      <c r="F16" s="0" t="s">
        <v>124</v>
      </c>
      <c r="G16" s="0" t="s">
        <v>255</v>
      </c>
      <c r="H16" s="7" t="s">
        <v>54</v>
      </c>
      <c r="I16" s="7" t="s">
        <v>66</v>
      </c>
      <c r="J16" s="9" t="n">
        <v>46227</v>
      </c>
      <c r="K16" s="0" t="s">
        <v>126</v>
      </c>
      <c r="L16" s="0" t="n">
        <v>1</v>
      </c>
      <c r="M16" s="0" t="n">
        <v>1</v>
      </c>
    </row>
    <row r="17" customFormat="false" ht="42" hidden="false" customHeight="true" outlineLevel="0" collapsed="false">
      <c r="A17" s="0" t="s">
        <v>236</v>
      </c>
      <c r="B17" s="0" t="s">
        <v>128</v>
      </c>
      <c r="C17" s="0" t="s">
        <v>21</v>
      </c>
      <c r="D17" s="0" t="s">
        <v>129</v>
      </c>
      <c r="E17" s="0" t="s">
        <v>89</v>
      </c>
      <c r="F17" s="0" t="s">
        <v>130</v>
      </c>
      <c r="G17" s="0" t="s">
        <v>256</v>
      </c>
      <c r="H17" s="7" t="s">
        <v>54</v>
      </c>
      <c r="I17" s="7" t="s">
        <v>66</v>
      </c>
      <c r="J17" s="9" t="n">
        <v>46227</v>
      </c>
      <c r="K17" s="0" t="s">
        <v>132</v>
      </c>
      <c r="L17" s="0" t="n">
        <v>1</v>
      </c>
      <c r="M17" s="0" t="n">
        <v>1</v>
      </c>
    </row>
    <row r="18" customFormat="false" ht="42" hidden="false" customHeight="true" outlineLevel="0" collapsed="false">
      <c r="A18" s="0" t="s">
        <v>238</v>
      </c>
      <c r="B18" s="0" t="s">
        <v>134</v>
      </c>
      <c r="C18" s="0" t="s">
        <v>21</v>
      </c>
      <c r="D18" s="0" t="s">
        <v>135</v>
      </c>
      <c r="E18" s="0" t="s">
        <v>89</v>
      </c>
      <c r="F18" s="0" t="s">
        <v>130</v>
      </c>
      <c r="G18" s="0" t="s">
        <v>256</v>
      </c>
      <c r="H18" s="7" t="s">
        <v>54</v>
      </c>
      <c r="I18" s="7" t="s">
        <v>66</v>
      </c>
      <c r="J18" s="9" t="n">
        <v>46227</v>
      </c>
      <c r="K18" s="0" t="s">
        <v>132</v>
      </c>
      <c r="L18" s="0" t="n">
        <v>1</v>
      </c>
      <c r="M18" s="0" t="n">
        <v>1</v>
      </c>
    </row>
    <row r="19" customFormat="false" ht="42" hidden="false" customHeight="true" outlineLevel="0" collapsed="false">
      <c r="A19" s="0" t="s">
        <v>239</v>
      </c>
      <c r="B19" s="0" t="s">
        <v>137</v>
      </c>
      <c r="C19" s="0" t="s">
        <v>21</v>
      </c>
      <c r="D19" s="0" t="s">
        <v>138</v>
      </c>
      <c r="E19" s="0" t="s">
        <v>89</v>
      </c>
      <c r="F19" s="0" t="s">
        <v>130</v>
      </c>
      <c r="G19" s="0" t="s">
        <v>257</v>
      </c>
      <c r="H19" s="7" t="s">
        <v>54</v>
      </c>
      <c r="I19" s="7" t="s">
        <v>66</v>
      </c>
      <c r="J19" s="9" t="n">
        <v>46227</v>
      </c>
      <c r="K19" s="0" t="s">
        <v>140</v>
      </c>
      <c r="L19" s="0" t="n">
        <v>1</v>
      </c>
      <c r="M19" s="0" t="n">
        <v>1</v>
      </c>
    </row>
    <row r="20" customFormat="false" ht="42" hidden="false" customHeight="true" outlineLevel="0" collapsed="false">
      <c r="A20" s="0" t="s">
        <v>241</v>
      </c>
      <c r="B20" s="0" t="s">
        <v>142</v>
      </c>
      <c r="C20" s="0" t="s">
        <v>21</v>
      </c>
      <c r="D20" s="0" t="s">
        <v>143</v>
      </c>
      <c r="E20" s="0" t="s">
        <v>89</v>
      </c>
      <c r="F20" s="0" t="s">
        <v>130</v>
      </c>
      <c r="G20" s="0" t="s">
        <v>256</v>
      </c>
      <c r="H20" s="7" t="s">
        <v>54</v>
      </c>
      <c r="I20" s="7" t="s">
        <v>66</v>
      </c>
      <c r="J20" s="9" t="n">
        <v>46227</v>
      </c>
      <c r="K20" s="0" t="s">
        <v>144</v>
      </c>
      <c r="L20" s="0" t="n">
        <v>1</v>
      </c>
      <c r="M20" s="0" t="n">
        <v>1</v>
      </c>
    </row>
    <row r="21" customFormat="false" ht="42" hidden="false" customHeight="true" outlineLevel="0" collapsed="false">
      <c r="A21" s="0" t="s">
        <v>242</v>
      </c>
      <c r="B21" s="0" t="s">
        <v>146</v>
      </c>
      <c r="C21" s="0" t="s">
        <v>21</v>
      </c>
      <c r="D21" s="0" t="s">
        <v>147</v>
      </c>
      <c r="E21" s="0" t="s">
        <v>89</v>
      </c>
      <c r="F21" s="0" t="s">
        <v>148</v>
      </c>
      <c r="G21" s="0" t="s">
        <v>258</v>
      </c>
      <c r="H21" s="7" t="s">
        <v>52</v>
      </c>
      <c r="I21" s="7" t="s">
        <v>67</v>
      </c>
      <c r="J21" s="9" t="n">
        <v>46227</v>
      </c>
      <c r="L21" s="0" t="n">
        <v>1</v>
      </c>
      <c r="M21" s="0" t="n">
        <v>1</v>
      </c>
    </row>
    <row r="22" customFormat="false" ht="42" hidden="false" customHeight="true" outlineLevel="0" collapsed="false">
      <c r="A22" s="0" t="s">
        <v>244</v>
      </c>
      <c r="B22" s="0" t="s">
        <v>151</v>
      </c>
      <c r="C22" s="0" t="s">
        <v>21</v>
      </c>
      <c r="D22" s="0" t="s">
        <v>152</v>
      </c>
      <c r="E22" s="0" t="s">
        <v>89</v>
      </c>
      <c r="F22" s="0" t="s">
        <v>148</v>
      </c>
      <c r="G22" s="0" t="s">
        <v>259</v>
      </c>
      <c r="H22" s="7" t="s">
        <v>52</v>
      </c>
      <c r="I22" s="7" t="s">
        <v>67</v>
      </c>
      <c r="J22" s="9" t="n">
        <v>46227</v>
      </c>
      <c r="L22" s="0" t="n">
        <v>1</v>
      </c>
      <c r="M22" s="0" t="n">
        <v>1</v>
      </c>
    </row>
    <row r="23" customFormat="false" ht="42" hidden="false" customHeight="true" outlineLevel="0" collapsed="false">
      <c r="A23" s="0" t="s">
        <v>246</v>
      </c>
      <c r="B23" s="0" t="s">
        <v>155</v>
      </c>
      <c r="C23" s="0" t="s">
        <v>21</v>
      </c>
      <c r="D23" s="0" t="s">
        <v>156</v>
      </c>
      <c r="E23" s="0" t="s">
        <v>157</v>
      </c>
      <c r="F23" s="0" t="s">
        <v>157</v>
      </c>
      <c r="G23" s="0" t="s">
        <v>158</v>
      </c>
      <c r="H23" s="7" t="s">
        <v>52</v>
      </c>
      <c r="I23" s="7" t="s">
        <v>67</v>
      </c>
      <c r="J23" s="9" t="n">
        <v>46227</v>
      </c>
      <c r="L23" s="0" t="n">
        <v>1</v>
      </c>
      <c r="M23" s="0" t="n">
        <v>1</v>
      </c>
    </row>
    <row r="24" customFormat="false" ht="42" hidden="false" customHeight="true" outlineLevel="0" collapsed="false">
      <c r="A24" s="0" t="s">
        <v>247</v>
      </c>
      <c r="B24" s="0" t="s">
        <v>160</v>
      </c>
      <c r="C24" s="0" t="s">
        <v>21</v>
      </c>
      <c r="D24" s="0" t="s">
        <v>161</v>
      </c>
      <c r="E24" s="0" t="s">
        <v>89</v>
      </c>
      <c r="F24" s="0" t="s">
        <v>89</v>
      </c>
      <c r="G24" s="0" t="s">
        <v>162</v>
      </c>
      <c r="H24" s="7" t="s">
        <v>52</v>
      </c>
      <c r="I24" s="7" t="s">
        <v>67</v>
      </c>
      <c r="J24" s="9" t="n">
        <v>46227</v>
      </c>
      <c r="L24" s="0" t="n">
        <v>1</v>
      </c>
      <c r="M24" s="0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.71"/>
    <col collapsed="false" customWidth="true" hidden="false" outlineLevel="0" max="2" min="2" style="0" width="15.71"/>
    <col collapsed="false" customWidth="true" hidden="false" outlineLevel="0" max="3" min="3" style="0" width="18.71"/>
    <col collapsed="false" customWidth="true" hidden="false" outlineLevel="0" max="4" min="4" style="0" width="58.71"/>
    <col collapsed="false" customWidth="true" hidden="false" outlineLevel="0" max="6" min="5" style="0" width="14.71"/>
    <col collapsed="false" customWidth="true" hidden="false" outlineLevel="0" max="7" min="7" style="0" width="50.71"/>
    <col collapsed="false" customWidth="true" hidden="false" outlineLevel="0" max="8" min="8" style="0" width="17.71"/>
    <col collapsed="false" customWidth="true" hidden="false" outlineLevel="0" max="9" min="9" style="0" width="14.71"/>
    <col collapsed="false" customWidth="true" hidden="false" outlineLevel="0" max="10" min="10" style="9" width="14.71"/>
    <col collapsed="false" customWidth="true" hidden="false" outlineLevel="0" max="11" min="11" style="0" width="42.71"/>
    <col collapsed="false" customWidth="true" hidden="false" outlineLevel="0" max="13" min="12" style="0" width="10.71"/>
  </cols>
  <sheetData>
    <row r="1" customFormat="false" ht="37.5" hidden="false" customHeight="true" outlineLevel="0" collapsed="false">
      <c r="A1" s="2" t="s">
        <v>260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27.75" hidden="false" customHeight="true" outlineLevel="0" collapsed="false">
      <c r="A2" s="3" t="s">
        <v>69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7.35" hidden="false" customHeight="false" outlineLevel="0" collapsed="false">
      <c r="A4" s="4" t="s">
        <v>7</v>
      </c>
      <c r="B4" s="5" t="n">
        <v>16</v>
      </c>
      <c r="D4" s="4" t="s">
        <v>70</v>
      </c>
      <c r="E4" s="5" t="n">
        <v>16</v>
      </c>
      <c r="G4" s="4" t="s">
        <v>14</v>
      </c>
      <c r="H4" s="6" t="n">
        <v>1</v>
      </c>
      <c r="J4" s="4" t="s">
        <v>15</v>
      </c>
      <c r="K4" s="5" t="s">
        <v>71</v>
      </c>
    </row>
    <row r="5" customFormat="false" ht="17.35" hidden="false" customHeight="false" outlineLevel="0" collapsed="false">
      <c r="A5" s="4" t="s">
        <v>72</v>
      </c>
      <c r="B5" s="5" t="s">
        <v>71</v>
      </c>
      <c r="D5" s="4" t="s">
        <v>16</v>
      </c>
      <c r="E5" s="5" t="s">
        <v>71</v>
      </c>
    </row>
    <row r="8" customFormat="false" ht="15" hidden="false" customHeight="false" outlineLevel="0" collapsed="false">
      <c r="A8" s="7" t="s">
        <v>73</v>
      </c>
      <c r="B8" s="7" t="s">
        <v>74</v>
      </c>
      <c r="C8" s="7" t="s">
        <v>75</v>
      </c>
      <c r="D8" s="7" t="s">
        <v>76</v>
      </c>
      <c r="E8" s="7" t="s">
        <v>77</v>
      </c>
      <c r="F8" s="7" t="s">
        <v>78</v>
      </c>
      <c r="G8" s="7" t="s">
        <v>79</v>
      </c>
      <c r="H8" s="7" t="s">
        <v>80</v>
      </c>
      <c r="I8" s="7" t="s">
        <v>81</v>
      </c>
      <c r="J8" s="10" t="s">
        <v>82</v>
      </c>
      <c r="K8" s="7" t="s">
        <v>83</v>
      </c>
      <c r="L8" s="7" t="s">
        <v>84</v>
      </c>
      <c r="M8" s="7" t="s">
        <v>70</v>
      </c>
    </row>
    <row r="9" customFormat="false" ht="42" hidden="false" customHeight="true" outlineLevel="0" collapsed="false">
      <c r="A9" s="0" t="s">
        <v>261</v>
      </c>
      <c r="B9" s="0" t="s">
        <v>86</v>
      </c>
      <c r="C9" s="0" t="s">
        <v>22</v>
      </c>
      <c r="D9" s="0" t="s">
        <v>88</v>
      </c>
      <c r="E9" s="0" t="s">
        <v>89</v>
      </c>
      <c r="F9" s="0" t="s">
        <v>90</v>
      </c>
      <c r="G9" s="0" t="s">
        <v>262</v>
      </c>
      <c r="H9" s="7" t="s">
        <v>52</v>
      </c>
      <c r="I9" s="7" t="s">
        <v>67</v>
      </c>
      <c r="J9" s="9" t="n">
        <v>46227</v>
      </c>
      <c r="L9" s="0" t="n">
        <v>1</v>
      </c>
      <c r="M9" s="0" t="n">
        <v>1</v>
      </c>
    </row>
    <row r="10" customFormat="false" ht="42" hidden="false" customHeight="true" outlineLevel="0" collapsed="false">
      <c r="A10" s="0" t="s">
        <v>263</v>
      </c>
      <c r="B10" s="0" t="s">
        <v>93</v>
      </c>
      <c r="C10" s="0" t="s">
        <v>22</v>
      </c>
      <c r="D10" s="0" t="s">
        <v>94</v>
      </c>
      <c r="E10" s="0" t="s">
        <v>89</v>
      </c>
      <c r="F10" s="0" t="s">
        <v>89</v>
      </c>
      <c r="G10" s="0" t="s">
        <v>95</v>
      </c>
      <c r="H10" s="7" t="s">
        <v>52</v>
      </c>
      <c r="I10" s="7" t="s">
        <v>67</v>
      </c>
      <c r="J10" s="9" t="n">
        <v>46227</v>
      </c>
      <c r="L10" s="0" t="n">
        <v>1</v>
      </c>
      <c r="M10" s="0" t="n">
        <v>1</v>
      </c>
    </row>
    <row r="11" customFormat="false" ht="42" hidden="false" customHeight="true" outlineLevel="0" collapsed="false">
      <c r="A11" s="0" t="s">
        <v>264</v>
      </c>
      <c r="B11" s="0" t="s">
        <v>97</v>
      </c>
      <c r="C11" s="0" t="s">
        <v>22</v>
      </c>
      <c r="D11" s="0" t="s">
        <v>98</v>
      </c>
      <c r="E11" s="0" t="s">
        <v>89</v>
      </c>
      <c r="F11" s="0" t="s">
        <v>99</v>
      </c>
      <c r="G11" s="0" t="s">
        <v>265</v>
      </c>
      <c r="H11" s="7" t="s">
        <v>52</v>
      </c>
      <c r="I11" s="7" t="s">
        <v>67</v>
      </c>
      <c r="J11" s="9" t="n">
        <v>46227</v>
      </c>
      <c r="L11" s="0" t="n">
        <v>1</v>
      </c>
      <c r="M11" s="0" t="n">
        <v>1</v>
      </c>
    </row>
    <row r="12" customFormat="false" ht="42" hidden="false" customHeight="true" outlineLevel="0" collapsed="false">
      <c r="A12" s="0" t="s">
        <v>266</v>
      </c>
      <c r="B12" s="0" t="s">
        <v>102</v>
      </c>
      <c r="C12" s="0" t="s">
        <v>22</v>
      </c>
      <c r="D12" s="0" t="s">
        <v>103</v>
      </c>
      <c r="E12" s="0" t="s">
        <v>89</v>
      </c>
      <c r="F12" s="0" t="s">
        <v>104</v>
      </c>
      <c r="G12" s="0" t="s">
        <v>267</v>
      </c>
      <c r="H12" s="7" t="s">
        <v>52</v>
      </c>
      <c r="I12" s="7" t="s">
        <v>67</v>
      </c>
      <c r="J12" s="9" t="n">
        <v>46227</v>
      </c>
      <c r="L12" s="0" t="n">
        <v>1</v>
      </c>
      <c r="M12" s="0" t="n">
        <v>1</v>
      </c>
    </row>
    <row r="13" customFormat="false" ht="42" hidden="false" customHeight="true" outlineLevel="0" collapsed="false">
      <c r="A13" s="0" t="s">
        <v>268</v>
      </c>
      <c r="B13" s="0" t="s">
        <v>107</v>
      </c>
      <c r="C13" s="0" t="s">
        <v>22</v>
      </c>
      <c r="D13" s="0" t="s">
        <v>108</v>
      </c>
      <c r="E13" s="0" t="s">
        <v>89</v>
      </c>
      <c r="F13" s="0" t="s">
        <v>109</v>
      </c>
      <c r="G13" s="0" t="s">
        <v>269</v>
      </c>
      <c r="H13" s="7" t="s">
        <v>52</v>
      </c>
      <c r="I13" s="7" t="s">
        <v>67</v>
      </c>
      <c r="J13" s="9" t="n">
        <v>46227</v>
      </c>
      <c r="L13" s="0" t="n">
        <v>1</v>
      </c>
      <c r="M13" s="0" t="n">
        <v>1</v>
      </c>
    </row>
    <row r="14" customFormat="false" ht="42" hidden="false" customHeight="true" outlineLevel="0" collapsed="false">
      <c r="A14" s="0" t="s">
        <v>270</v>
      </c>
      <c r="B14" s="0" t="s">
        <v>112</v>
      </c>
      <c r="C14" s="0" t="s">
        <v>22</v>
      </c>
      <c r="D14" s="0" t="s">
        <v>113</v>
      </c>
      <c r="E14" s="0" t="s">
        <v>89</v>
      </c>
      <c r="F14" s="0" t="s">
        <v>114</v>
      </c>
      <c r="G14" s="0" t="s">
        <v>271</v>
      </c>
      <c r="H14" s="7" t="s">
        <v>52</v>
      </c>
      <c r="I14" s="7" t="s">
        <v>67</v>
      </c>
      <c r="J14" s="9" t="n">
        <v>46227</v>
      </c>
      <c r="L14" s="0" t="n">
        <v>1</v>
      </c>
      <c r="M14" s="0" t="n">
        <v>1</v>
      </c>
    </row>
    <row r="15" customFormat="false" ht="42" hidden="false" customHeight="true" outlineLevel="0" collapsed="false">
      <c r="A15" s="0" t="s">
        <v>272</v>
      </c>
      <c r="B15" s="0" t="s">
        <v>117</v>
      </c>
      <c r="C15" s="0" t="s">
        <v>22</v>
      </c>
      <c r="D15" s="0" t="s">
        <v>118</v>
      </c>
      <c r="E15" s="0" t="s">
        <v>89</v>
      </c>
      <c r="F15" s="0" t="s">
        <v>119</v>
      </c>
      <c r="G15" s="0" t="s">
        <v>273</v>
      </c>
      <c r="H15" s="7" t="s">
        <v>52</v>
      </c>
      <c r="I15" s="7" t="s">
        <v>67</v>
      </c>
      <c r="J15" s="9" t="n">
        <v>46227</v>
      </c>
      <c r="L15" s="0" t="n">
        <v>1</v>
      </c>
      <c r="M15" s="0" t="n">
        <v>1</v>
      </c>
    </row>
    <row r="16" customFormat="false" ht="42" hidden="false" customHeight="true" outlineLevel="0" collapsed="false">
      <c r="A16" s="0" t="s">
        <v>274</v>
      </c>
      <c r="B16" s="0" t="s">
        <v>122</v>
      </c>
      <c r="C16" s="0" t="s">
        <v>22</v>
      </c>
      <c r="D16" s="0" t="s">
        <v>123</v>
      </c>
      <c r="E16" s="0" t="s">
        <v>89</v>
      </c>
      <c r="F16" s="0" t="s">
        <v>124</v>
      </c>
      <c r="G16" s="0" t="s">
        <v>275</v>
      </c>
      <c r="H16" s="7" t="s">
        <v>54</v>
      </c>
      <c r="I16" s="7" t="s">
        <v>66</v>
      </c>
      <c r="J16" s="9" t="n">
        <v>46227</v>
      </c>
      <c r="K16" s="0" t="s">
        <v>126</v>
      </c>
      <c r="L16" s="0" t="n">
        <v>1</v>
      </c>
      <c r="M16" s="0" t="n">
        <v>1</v>
      </c>
    </row>
    <row r="17" customFormat="false" ht="42" hidden="false" customHeight="true" outlineLevel="0" collapsed="false">
      <c r="A17" s="0" t="s">
        <v>276</v>
      </c>
      <c r="B17" s="0" t="s">
        <v>128</v>
      </c>
      <c r="C17" s="0" t="s">
        <v>22</v>
      </c>
      <c r="D17" s="0" t="s">
        <v>129</v>
      </c>
      <c r="E17" s="0" t="s">
        <v>89</v>
      </c>
      <c r="F17" s="0" t="s">
        <v>130</v>
      </c>
      <c r="G17" s="0" t="s">
        <v>277</v>
      </c>
      <c r="H17" s="7" t="s">
        <v>54</v>
      </c>
      <c r="I17" s="7" t="s">
        <v>66</v>
      </c>
      <c r="J17" s="9" t="n">
        <v>46227</v>
      </c>
      <c r="K17" s="0" t="s">
        <v>132</v>
      </c>
      <c r="L17" s="0" t="n">
        <v>1</v>
      </c>
      <c r="M17" s="0" t="n">
        <v>1</v>
      </c>
    </row>
    <row r="18" customFormat="false" ht="42" hidden="false" customHeight="true" outlineLevel="0" collapsed="false">
      <c r="A18" s="0" t="s">
        <v>278</v>
      </c>
      <c r="B18" s="0" t="s">
        <v>134</v>
      </c>
      <c r="C18" s="0" t="s">
        <v>22</v>
      </c>
      <c r="D18" s="0" t="s">
        <v>135</v>
      </c>
      <c r="E18" s="0" t="s">
        <v>89</v>
      </c>
      <c r="F18" s="0" t="s">
        <v>130</v>
      </c>
      <c r="G18" s="0" t="s">
        <v>277</v>
      </c>
      <c r="H18" s="7" t="s">
        <v>54</v>
      </c>
      <c r="I18" s="7" t="s">
        <v>66</v>
      </c>
      <c r="J18" s="9" t="n">
        <v>46227</v>
      </c>
      <c r="K18" s="0" t="s">
        <v>132</v>
      </c>
      <c r="L18" s="0" t="n">
        <v>1</v>
      </c>
      <c r="M18" s="0" t="n">
        <v>1</v>
      </c>
    </row>
    <row r="19" customFormat="false" ht="42" hidden="false" customHeight="true" outlineLevel="0" collapsed="false">
      <c r="A19" s="0" t="s">
        <v>279</v>
      </c>
      <c r="B19" s="0" t="s">
        <v>137</v>
      </c>
      <c r="C19" s="0" t="s">
        <v>22</v>
      </c>
      <c r="D19" s="0" t="s">
        <v>138</v>
      </c>
      <c r="E19" s="0" t="s">
        <v>89</v>
      </c>
      <c r="F19" s="0" t="s">
        <v>130</v>
      </c>
      <c r="G19" s="0" t="s">
        <v>280</v>
      </c>
      <c r="H19" s="7" t="s">
        <v>54</v>
      </c>
      <c r="I19" s="7" t="s">
        <v>66</v>
      </c>
      <c r="J19" s="9" t="n">
        <v>46227</v>
      </c>
      <c r="K19" s="0" t="s">
        <v>140</v>
      </c>
      <c r="L19" s="0" t="n">
        <v>1</v>
      </c>
      <c r="M19" s="0" t="n">
        <v>1</v>
      </c>
    </row>
    <row r="20" customFormat="false" ht="42" hidden="false" customHeight="true" outlineLevel="0" collapsed="false">
      <c r="A20" s="0" t="s">
        <v>281</v>
      </c>
      <c r="B20" s="0" t="s">
        <v>142</v>
      </c>
      <c r="C20" s="0" t="s">
        <v>22</v>
      </c>
      <c r="D20" s="0" t="s">
        <v>143</v>
      </c>
      <c r="E20" s="0" t="s">
        <v>89</v>
      </c>
      <c r="F20" s="0" t="s">
        <v>130</v>
      </c>
      <c r="G20" s="0" t="s">
        <v>277</v>
      </c>
      <c r="H20" s="7" t="s">
        <v>54</v>
      </c>
      <c r="I20" s="7" t="s">
        <v>66</v>
      </c>
      <c r="J20" s="9" t="n">
        <v>46227</v>
      </c>
      <c r="K20" s="0" t="s">
        <v>144</v>
      </c>
      <c r="L20" s="0" t="n">
        <v>1</v>
      </c>
      <c r="M20" s="0" t="n">
        <v>1</v>
      </c>
    </row>
    <row r="21" customFormat="false" ht="42" hidden="false" customHeight="true" outlineLevel="0" collapsed="false">
      <c r="A21" s="0" t="s">
        <v>282</v>
      </c>
      <c r="B21" s="0" t="s">
        <v>146</v>
      </c>
      <c r="C21" s="0" t="s">
        <v>22</v>
      </c>
      <c r="D21" s="0" t="s">
        <v>147</v>
      </c>
      <c r="E21" s="0" t="s">
        <v>89</v>
      </c>
      <c r="F21" s="0" t="s">
        <v>148</v>
      </c>
      <c r="G21" s="0" t="s">
        <v>283</v>
      </c>
      <c r="H21" s="7" t="s">
        <v>52</v>
      </c>
      <c r="I21" s="7" t="s">
        <v>67</v>
      </c>
      <c r="J21" s="9" t="n">
        <v>46227</v>
      </c>
      <c r="L21" s="0" t="n">
        <v>1</v>
      </c>
      <c r="M21" s="0" t="n">
        <v>1</v>
      </c>
    </row>
    <row r="22" customFormat="false" ht="42" hidden="false" customHeight="true" outlineLevel="0" collapsed="false">
      <c r="A22" s="0" t="s">
        <v>284</v>
      </c>
      <c r="B22" s="0" t="s">
        <v>151</v>
      </c>
      <c r="C22" s="0" t="s">
        <v>22</v>
      </c>
      <c r="D22" s="0" t="s">
        <v>152</v>
      </c>
      <c r="E22" s="0" t="s">
        <v>89</v>
      </c>
      <c r="F22" s="0" t="s">
        <v>148</v>
      </c>
      <c r="G22" s="0" t="s">
        <v>285</v>
      </c>
      <c r="H22" s="7" t="s">
        <v>52</v>
      </c>
      <c r="I22" s="7" t="s">
        <v>67</v>
      </c>
      <c r="J22" s="9" t="n">
        <v>46227</v>
      </c>
      <c r="L22" s="0" t="n">
        <v>1</v>
      </c>
      <c r="M22" s="0" t="n">
        <v>1</v>
      </c>
    </row>
    <row r="23" customFormat="false" ht="42" hidden="false" customHeight="true" outlineLevel="0" collapsed="false">
      <c r="A23" s="0" t="s">
        <v>286</v>
      </c>
      <c r="B23" s="0" t="s">
        <v>155</v>
      </c>
      <c r="C23" s="0" t="s">
        <v>22</v>
      </c>
      <c r="D23" s="0" t="s">
        <v>156</v>
      </c>
      <c r="E23" s="0" t="s">
        <v>157</v>
      </c>
      <c r="F23" s="0" t="s">
        <v>157</v>
      </c>
      <c r="G23" s="0" t="s">
        <v>158</v>
      </c>
      <c r="H23" s="7" t="s">
        <v>52</v>
      </c>
      <c r="I23" s="7" t="s">
        <v>67</v>
      </c>
      <c r="J23" s="9" t="n">
        <v>46227</v>
      </c>
      <c r="L23" s="0" t="n">
        <v>1</v>
      </c>
      <c r="M23" s="0" t="n">
        <v>1</v>
      </c>
    </row>
    <row r="24" customFormat="false" ht="42" hidden="false" customHeight="true" outlineLevel="0" collapsed="false">
      <c r="A24" s="0" t="s">
        <v>287</v>
      </c>
      <c r="B24" s="0" t="s">
        <v>160</v>
      </c>
      <c r="C24" s="0" t="s">
        <v>22</v>
      </c>
      <c r="D24" s="0" t="s">
        <v>161</v>
      </c>
      <c r="E24" s="0" t="s">
        <v>89</v>
      </c>
      <c r="F24" s="0" t="s">
        <v>89</v>
      </c>
      <c r="G24" s="0" t="s">
        <v>162</v>
      </c>
      <c r="H24" s="7" t="s">
        <v>52</v>
      </c>
      <c r="I24" s="7" t="s">
        <v>67</v>
      </c>
      <c r="J24" s="9" t="n">
        <v>46227</v>
      </c>
      <c r="L24" s="0" t="n">
        <v>1</v>
      </c>
      <c r="M24" s="0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.71"/>
    <col collapsed="false" customWidth="true" hidden="false" outlineLevel="0" max="2" min="2" style="0" width="15.71"/>
    <col collapsed="false" customWidth="true" hidden="false" outlineLevel="0" max="3" min="3" style="0" width="18.71"/>
    <col collapsed="false" customWidth="true" hidden="false" outlineLevel="0" max="4" min="4" style="0" width="58.71"/>
    <col collapsed="false" customWidth="true" hidden="false" outlineLevel="0" max="6" min="5" style="0" width="14.71"/>
    <col collapsed="false" customWidth="true" hidden="false" outlineLevel="0" max="7" min="7" style="0" width="50.71"/>
    <col collapsed="false" customWidth="true" hidden="false" outlineLevel="0" max="8" min="8" style="0" width="17.71"/>
    <col collapsed="false" customWidth="true" hidden="false" outlineLevel="0" max="9" min="9" style="0" width="14.71"/>
    <col collapsed="false" customWidth="true" hidden="false" outlineLevel="0" max="10" min="10" style="9" width="14.71"/>
    <col collapsed="false" customWidth="true" hidden="false" outlineLevel="0" max="11" min="11" style="0" width="42.71"/>
    <col collapsed="false" customWidth="true" hidden="false" outlineLevel="0" max="13" min="12" style="0" width="10.71"/>
  </cols>
  <sheetData>
    <row r="1" customFormat="false" ht="37.5" hidden="false" customHeight="true" outlineLevel="0" collapsed="false">
      <c r="A1" s="2" t="s">
        <v>288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27.75" hidden="false" customHeight="true" outlineLevel="0" collapsed="false">
      <c r="A2" s="3" t="s">
        <v>69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7.35" hidden="false" customHeight="false" outlineLevel="0" collapsed="false">
      <c r="A4" s="4" t="s">
        <v>7</v>
      </c>
      <c r="B4" s="5" t="n">
        <v>16</v>
      </c>
      <c r="D4" s="4" t="s">
        <v>70</v>
      </c>
      <c r="E4" s="5" t="n">
        <v>16</v>
      </c>
      <c r="G4" s="4" t="s">
        <v>14</v>
      </c>
      <c r="H4" s="6" t="n">
        <v>1</v>
      </c>
      <c r="J4" s="4" t="s">
        <v>15</v>
      </c>
      <c r="K4" s="5" t="s">
        <v>71</v>
      </c>
    </row>
    <row r="5" customFormat="false" ht="17.35" hidden="false" customHeight="false" outlineLevel="0" collapsed="false">
      <c r="A5" s="4" t="s">
        <v>72</v>
      </c>
      <c r="B5" s="5" t="s">
        <v>71</v>
      </c>
      <c r="D5" s="4" t="s">
        <v>16</v>
      </c>
      <c r="E5" s="5" t="s">
        <v>71</v>
      </c>
    </row>
    <row r="8" customFormat="false" ht="15" hidden="false" customHeight="false" outlineLevel="0" collapsed="false">
      <c r="A8" s="7" t="s">
        <v>73</v>
      </c>
      <c r="B8" s="7" t="s">
        <v>74</v>
      </c>
      <c r="C8" s="7" t="s">
        <v>75</v>
      </c>
      <c r="D8" s="7" t="s">
        <v>76</v>
      </c>
      <c r="E8" s="7" t="s">
        <v>77</v>
      </c>
      <c r="F8" s="7" t="s">
        <v>78</v>
      </c>
      <c r="G8" s="7" t="s">
        <v>79</v>
      </c>
      <c r="H8" s="7" t="s">
        <v>80</v>
      </c>
      <c r="I8" s="7" t="s">
        <v>81</v>
      </c>
      <c r="J8" s="10" t="s">
        <v>82</v>
      </c>
      <c r="K8" s="7" t="s">
        <v>83</v>
      </c>
      <c r="L8" s="7" t="s">
        <v>84</v>
      </c>
      <c r="M8" s="7" t="s">
        <v>70</v>
      </c>
    </row>
    <row r="9" customFormat="false" ht="42" hidden="false" customHeight="true" outlineLevel="0" collapsed="false">
      <c r="A9" s="0" t="s">
        <v>261</v>
      </c>
      <c r="B9" s="0" t="s">
        <v>86</v>
      </c>
      <c r="C9" s="0" t="s">
        <v>23</v>
      </c>
      <c r="D9" s="0" t="s">
        <v>88</v>
      </c>
      <c r="E9" s="0" t="s">
        <v>89</v>
      </c>
      <c r="F9" s="0" t="s">
        <v>90</v>
      </c>
      <c r="G9" s="0" t="s">
        <v>289</v>
      </c>
      <c r="H9" s="7" t="s">
        <v>52</v>
      </c>
      <c r="I9" s="7" t="s">
        <v>67</v>
      </c>
      <c r="J9" s="9" t="n">
        <v>46227</v>
      </c>
      <c r="L9" s="0" t="n">
        <v>1</v>
      </c>
      <c r="M9" s="0" t="n">
        <v>1</v>
      </c>
    </row>
    <row r="10" customFormat="false" ht="42" hidden="false" customHeight="true" outlineLevel="0" collapsed="false">
      <c r="A10" s="0" t="s">
        <v>263</v>
      </c>
      <c r="B10" s="0" t="s">
        <v>93</v>
      </c>
      <c r="C10" s="0" t="s">
        <v>23</v>
      </c>
      <c r="D10" s="0" t="s">
        <v>94</v>
      </c>
      <c r="E10" s="0" t="s">
        <v>89</v>
      </c>
      <c r="F10" s="0" t="s">
        <v>89</v>
      </c>
      <c r="G10" s="0" t="s">
        <v>95</v>
      </c>
      <c r="H10" s="7" t="s">
        <v>52</v>
      </c>
      <c r="I10" s="7" t="s">
        <v>67</v>
      </c>
      <c r="J10" s="9" t="n">
        <v>46227</v>
      </c>
      <c r="L10" s="0" t="n">
        <v>1</v>
      </c>
      <c r="M10" s="0" t="n">
        <v>1</v>
      </c>
    </row>
    <row r="11" customFormat="false" ht="42" hidden="false" customHeight="true" outlineLevel="0" collapsed="false">
      <c r="A11" s="0" t="s">
        <v>264</v>
      </c>
      <c r="B11" s="0" t="s">
        <v>97</v>
      </c>
      <c r="C11" s="0" t="s">
        <v>23</v>
      </c>
      <c r="D11" s="0" t="s">
        <v>98</v>
      </c>
      <c r="E11" s="0" t="s">
        <v>89</v>
      </c>
      <c r="F11" s="0" t="s">
        <v>99</v>
      </c>
      <c r="G11" s="0" t="s">
        <v>290</v>
      </c>
      <c r="H11" s="7" t="s">
        <v>52</v>
      </c>
      <c r="I11" s="7" t="s">
        <v>67</v>
      </c>
      <c r="J11" s="9" t="n">
        <v>46227</v>
      </c>
      <c r="L11" s="0" t="n">
        <v>1</v>
      </c>
      <c r="M11" s="0" t="n">
        <v>1</v>
      </c>
    </row>
    <row r="12" customFormat="false" ht="42" hidden="false" customHeight="true" outlineLevel="0" collapsed="false">
      <c r="A12" s="0" t="s">
        <v>266</v>
      </c>
      <c r="B12" s="0" t="s">
        <v>102</v>
      </c>
      <c r="C12" s="0" t="s">
        <v>23</v>
      </c>
      <c r="D12" s="0" t="s">
        <v>103</v>
      </c>
      <c r="E12" s="0" t="s">
        <v>89</v>
      </c>
      <c r="F12" s="0" t="s">
        <v>104</v>
      </c>
      <c r="G12" s="0" t="s">
        <v>291</v>
      </c>
      <c r="H12" s="7" t="s">
        <v>52</v>
      </c>
      <c r="I12" s="7" t="s">
        <v>67</v>
      </c>
      <c r="J12" s="9" t="n">
        <v>46227</v>
      </c>
      <c r="L12" s="0" t="n">
        <v>1</v>
      </c>
      <c r="M12" s="0" t="n">
        <v>1</v>
      </c>
    </row>
    <row r="13" customFormat="false" ht="42" hidden="false" customHeight="true" outlineLevel="0" collapsed="false">
      <c r="A13" s="0" t="s">
        <v>268</v>
      </c>
      <c r="B13" s="0" t="s">
        <v>107</v>
      </c>
      <c r="C13" s="0" t="s">
        <v>23</v>
      </c>
      <c r="D13" s="0" t="s">
        <v>108</v>
      </c>
      <c r="E13" s="0" t="s">
        <v>89</v>
      </c>
      <c r="F13" s="0" t="s">
        <v>109</v>
      </c>
      <c r="G13" s="0" t="s">
        <v>292</v>
      </c>
      <c r="H13" s="7" t="s">
        <v>52</v>
      </c>
      <c r="I13" s="7" t="s">
        <v>67</v>
      </c>
      <c r="J13" s="9" t="n">
        <v>46227</v>
      </c>
      <c r="L13" s="0" t="n">
        <v>1</v>
      </c>
      <c r="M13" s="0" t="n">
        <v>1</v>
      </c>
    </row>
    <row r="14" customFormat="false" ht="42" hidden="false" customHeight="true" outlineLevel="0" collapsed="false">
      <c r="A14" s="0" t="s">
        <v>270</v>
      </c>
      <c r="B14" s="0" t="s">
        <v>112</v>
      </c>
      <c r="C14" s="0" t="s">
        <v>23</v>
      </c>
      <c r="D14" s="0" t="s">
        <v>113</v>
      </c>
      <c r="E14" s="0" t="s">
        <v>89</v>
      </c>
      <c r="F14" s="0" t="s">
        <v>114</v>
      </c>
      <c r="G14" s="0" t="s">
        <v>293</v>
      </c>
      <c r="H14" s="7" t="s">
        <v>52</v>
      </c>
      <c r="I14" s="7" t="s">
        <v>67</v>
      </c>
      <c r="J14" s="9" t="n">
        <v>46227</v>
      </c>
      <c r="L14" s="0" t="n">
        <v>1</v>
      </c>
      <c r="M14" s="0" t="n">
        <v>1</v>
      </c>
    </row>
    <row r="15" customFormat="false" ht="42" hidden="false" customHeight="true" outlineLevel="0" collapsed="false">
      <c r="A15" s="0" t="s">
        <v>272</v>
      </c>
      <c r="B15" s="0" t="s">
        <v>117</v>
      </c>
      <c r="C15" s="0" t="s">
        <v>23</v>
      </c>
      <c r="D15" s="0" t="s">
        <v>118</v>
      </c>
      <c r="E15" s="0" t="s">
        <v>89</v>
      </c>
      <c r="F15" s="0" t="s">
        <v>119</v>
      </c>
      <c r="G15" s="0" t="s">
        <v>294</v>
      </c>
      <c r="H15" s="7" t="s">
        <v>52</v>
      </c>
      <c r="I15" s="7" t="s">
        <v>67</v>
      </c>
      <c r="J15" s="9" t="n">
        <v>46227</v>
      </c>
      <c r="L15" s="0" t="n">
        <v>1</v>
      </c>
      <c r="M15" s="0" t="n">
        <v>1</v>
      </c>
    </row>
    <row r="16" customFormat="false" ht="42" hidden="false" customHeight="true" outlineLevel="0" collapsed="false">
      <c r="A16" s="0" t="s">
        <v>274</v>
      </c>
      <c r="B16" s="0" t="s">
        <v>122</v>
      </c>
      <c r="C16" s="0" t="s">
        <v>23</v>
      </c>
      <c r="D16" s="0" t="s">
        <v>123</v>
      </c>
      <c r="E16" s="0" t="s">
        <v>89</v>
      </c>
      <c r="F16" s="0" t="s">
        <v>124</v>
      </c>
      <c r="G16" s="0" t="s">
        <v>295</v>
      </c>
      <c r="H16" s="7" t="s">
        <v>54</v>
      </c>
      <c r="I16" s="7" t="s">
        <v>66</v>
      </c>
      <c r="J16" s="9" t="n">
        <v>46227</v>
      </c>
      <c r="K16" s="0" t="s">
        <v>126</v>
      </c>
      <c r="L16" s="0" t="n">
        <v>1</v>
      </c>
      <c r="M16" s="0" t="n">
        <v>1</v>
      </c>
    </row>
    <row r="17" customFormat="false" ht="42" hidden="false" customHeight="true" outlineLevel="0" collapsed="false">
      <c r="A17" s="0" t="s">
        <v>276</v>
      </c>
      <c r="B17" s="0" t="s">
        <v>128</v>
      </c>
      <c r="C17" s="0" t="s">
        <v>23</v>
      </c>
      <c r="D17" s="0" t="s">
        <v>129</v>
      </c>
      <c r="E17" s="0" t="s">
        <v>89</v>
      </c>
      <c r="F17" s="0" t="s">
        <v>130</v>
      </c>
      <c r="G17" s="0" t="s">
        <v>296</v>
      </c>
      <c r="H17" s="7" t="s">
        <v>54</v>
      </c>
      <c r="I17" s="7" t="s">
        <v>66</v>
      </c>
      <c r="J17" s="9" t="n">
        <v>46227</v>
      </c>
      <c r="K17" s="0" t="s">
        <v>132</v>
      </c>
      <c r="L17" s="0" t="n">
        <v>1</v>
      </c>
      <c r="M17" s="0" t="n">
        <v>1</v>
      </c>
    </row>
    <row r="18" customFormat="false" ht="42" hidden="false" customHeight="true" outlineLevel="0" collapsed="false">
      <c r="A18" s="0" t="s">
        <v>278</v>
      </c>
      <c r="B18" s="0" t="s">
        <v>134</v>
      </c>
      <c r="C18" s="0" t="s">
        <v>23</v>
      </c>
      <c r="D18" s="0" t="s">
        <v>135</v>
      </c>
      <c r="E18" s="0" t="s">
        <v>89</v>
      </c>
      <c r="F18" s="0" t="s">
        <v>130</v>
      </c>
      <c r="G18" s="0" t="s">
        <v>296</v>
      </c>
      <c r="H18" s="7" t="s">
        <v>54</v>
      </c>
      <c r="I18" s="7" t="s">
        <v>66</v>
      </c>
      <c r="J18" s="9" t="n">
        <v>46227</v>
      </c>
      <c r="K18" s="0" t="s">
        <v>132</v>
      </c>
      <c r="L18" s="0" t="n">
        <v>1</v>
      </c>
      <c r="M18" s="0" t="n">
        <v>1</v>
      </c>
    </row>
    <row r="19" customFormat="false" ht="42" hidden="false" customHeight="true" outlineLevel="0" collapsed="false">
      <c r="A19" s="0" t="s">
        <v>279</v>
      </c>
      <c r="B19" s="0" t="s">
        <v>137</v>
      </c>
      <c r="C19" s="0" t="s">
        <v>23</v>
      </c>
      <c r="D19" s="0" t="s">
        <v>138</v>
      </c>
      <c r="E19" s="0" t="s">
        <v>89</v>
      </c>
      <c r="F19" s="0" t="s">
        <v>130</v>
      </c>
      <c r="G19" s="0" t="s">
        <v>297</v>
      </c>
      <c r="H19" s="7" t="s">
        <v>54</v>
      </c>
      <c r="I19" s="7" t="s">
        <v>66</v>
      </c>
      <c r="J19" s="9" t="n">
        <v>46227</v>
      </c>
      <c r="K19" s="0" t="s">
        <v>140</v>
      </c>
      <c r="L19" s="0" t="n">
        <v>1</v>
      </c>
      <c r="M19" s="0" t="n">
        <v>1</v>
      </c>
    </row>
    <row r="20" customFormat="false" ht="42" hidden="false" customHeight="true" outlineLevel="0" collapsed="false">
      <c r="A20" s="0" t="s">
        <v>281</v>
      </c>
      <c r="B20" s="0" t="s">
        <v>142</v>
      </c>
      <c r="C20" s="0" t="s">
        <v>23</v>
      </c>
      <c r="D20" s="0" t="s">
        <v>143</v>
      </c>
      <c r="E20" s="0" t="s">
        <v>89</v>
      </c>
      <c r="F20" s="0" t="s">
        <v>130</v>
      </c>
      <c r="G20" s="0" t="s">
        <v>296</v>
      </c>
      <c r="H20" s="7" t="s">
        <v>54</v>
      </c>
      <c r="I20" s="7" t="s">
        <v>66</v>
      </c>
      <c r="J20" s="9" t="n">
        <v>46227</v>
      </c>
      <c r="K20" s="0" t="s">
        <v>144</v>
      </c>
      <c r="L20" s="0" t="n">
        <v>1</v>
      </c>
      <c r="M20" s="0" t="n">
        <v>1</v>
      </c>
    </row>
    <row r="21" customFormat="false" ht="42" hidden="false" customHeight="true" outlineLevel="0" collapsed="false">
      <c r="A21" s="0" t="s">
        <v>282</v>
      </c>
      <c r="B21" s="0" t="s">
        <v>146</v>
      </c>
      <c r="C21" s="0" t="s">
        <v>23</v>
      </c>
      <c r="D21" s="0" t="s">
        <v>147</v>
      </c>
      <c r="E21" s="0" t="s">
        <v>89</v>
      </c>
      <c r="F21" s="0" t="s">
        <v>148</v>
      </c>
      <c r="G21" s="0" t="s">
        <v>298</v>
      </c>
      <c r="H21" s="7" t="s">
        <v>52</v>
      </c>
      <c r="I21" s="7" t="s">
        <v>67</v>
      </c>
      <c r="J21" s="9" t="n">
        <v>46227</v>
      </c>
      <c r="L21" s="0" t="n">
        <v>1</v>
      </c>
      <c r="M21" s="0" t="n">
        <v>1</v>
      </c>
    </row>
    <row r="22" customFormat="false" ht="42" hidden="false" customHeight="true" outlineLevel="0" collapsed="false">
      <c r="A22" s="0" t="s">
        <v>284</v>
      </c>
      <c r="B22" s="0" t="s">
        <v>151</v>
      </c>
      <c r="C22" s="0" t="s">
        <v>23</v>
      </c>
      <c r="D22" s="0" t="s">
        <v>152</v>
      </c>
      <c r="E22" s="0" t="s">
        <v>89</v>
      </c>
      <c r="F22" s="0" t="s">
        <v>148</v>
      </c>
      <c r="G22" s="0" t="s">
        <v>299</v>
      </c>
      <c r="H22" s="7" t="s">
        <v>52</v>
      </c>
      <c r="I22" s="7" t="s">
        <v>67</v>
      </c>
      <c r="J22" s="9" t="n">
        <v>46227</v>
      </c>
      <c r="L22" s="0" t="n">
        <v>1</v>
      </c>
      <c r="M22" s="0" t="n">
        <v>1</v>
      </c>
    </row>
    <row r="23" customFormat="false" ht="42" hidden="false" customHeight="true" outlineLevel="0" collapsed="false">
      <c r="A23" s="0" t="s">
        <v>286</v>
      </c>
      <c r="B23" s="0" t="s">
        <v>155</v>
      </c>
      <c r="C23" s="0" t="s">
        <v>23</v>
      </c>
      <c r="D23" s="0" t="s">
        <v>156</v>
      </c>
      <c r="E23" s="0" t="s">
        <v>157</v>
      </c>
      <c r="F23" s="0" t="s">
        <v>157</v>
      </c>
      <c r="G23" s="0" t="s">
        <v>158</v>
      </c>
      <c r="H23" s="7" t="s">
        <v>52</v>
      </c>
      <c r="I23" s="7" t="s">
        <v>67</v>
      </c>
      <c r="J23" s="9" t="n">
        <v>46227</v>
      </c>
      <c r="L23" s="0" t="n">
        <v>1</v>
      </c>
      <c r="M23" s="0" t="n">
        <v>1</v>
      </c>
    </row>
    <row r="24" customFormat="false" ht="42" hidden="false" customHeight="true" outlineLevel="0" collapsed="false">
      <c r="A24" s="0" t="s">
        <v>287</v>
      </c>
      <c r="B24" s="0" t="s">
        <v>160</v>
      </c>
      <c r="C24" s="0" t="s">
        <v>23</v>
      </c>
      <c r="D24" s="0" t="s">
        <v>161</v>
      </c>
      <c r="E24" s="0" t="s">
        <v>89</v>
      </c>
      <c r="F24" s="0" t="s">
        <v>89</v>
      </c>
      <c r="G24" s="0" t="s">
        <v>162</v>
      </c>
      <c r="H24" s="7" t="s">
        <v>52</v>
      </c>
      <c r="I24" s="7" t="s">
        <v>67</v>
      </c>
      <c r="J24" s="9" t="n">
        <v>46227</v>
      </c>
      <c r="L24" s="0" t="n">
        <v>1</v>
      </c>
      <c r="M24" s="0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.71"/>
    <col collapsed="false" customWidth="true" hidden="false" outlineLevel="0" max="2" min="2" style="0" width="15.71"/>
    <col collapsed="false" customWidth="true" hidden="false" outlineLevel="0" max="3" min="3" style="0" width="18.71"/>
    <col collapsed="false" customWidth="true" hidden="false" outlineLevel="0" max="4" min="4" style="0" width="58.71"/>
    <col collapsed="false" customWidth="true" hidden="false" outlineLevel="0" max="6" min="5" style="0" width="14.71"/>
    <col collapsed="false" customWidth="true" hidden="false" outlineLevel="0" max="7" min="7" style="0" width="50.71"/>
    <col collapsed="false" customWidth="true" hidden="false" outlineLevel="0" max="8" min="8" style="0" width="17.71"/>
    <col collapsed="false" customWidth="true" hidden="false" outlineLevel="0" max="9" min="9" style="0" width="14.71"/>
    <col collapsed="false" customWidth="true" hidden="false" outlineLevel="0" max="10" min="10" style="9" width="14.71"/>
    <col collapsed="false" customWidth="true" hidden="false" outlineLevel="0" max="11" min="11" style="0" width="42.71"/>
    <col collapsed="false" customWidth="true" hidden="false" outlineLevel="0" max="13" min="12" style="0" width="10.71"/>
  </cols>
  <sheetData>
    <row r="1" customFormat="false" ht="37.5" hidden="false" customHeight="true" outlineLevel="0" collapsed="false">
      <c r="A1" s="2" t="s">
        <v>300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27.75" hidden="false" customHeight="true" outlineLevel="0" collapsed="false">
      <c r="A2" s="3" t="s">
        <v>69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7.35" hidden="false" customHeight="false" outlineLevel="0" collapsed="false">
      <c r="A4" s="4" t="s">
        <v>7</v>
      </c>
      <c r="B4" s="5" t="n">
        <v>16</v>
      </c>
      <c r="D4" s="4" t="s">
        <v>70</v>
      </c>
      <c r="E4" s="5" t="n">
        <v>16</v>
      </c>
      <c r="G4" s="4" t="s">
        <v>14</v>
      </c>
      <c r="H4" s="6" t="n">
        <v>1</v>
      </c>
      <c r="J4" s="4" t="s">
        <v>15</v>
      </c>
      <c r="K4" s="5" t="s">
        <v>71</v>
      </c>
    </row>
    <row r="5" customFormat="false" ht="17.35" hidden="false" customHeight="false" outlineLevel="0" collapsed="false">
      <c r="A5" s="4" t="s">
        <v>72</v>
      </c>
      <c r="B5" s="5" t="s">
        <v>71</v>
      </c>
      <c r="D5" s="4" t="s">
        <v>16</v>
      </c>
      <c r="E5" s="5" t="s">
        <v>71</v>
      </c>
    </row>
    <row r="8" customFormat="false" ht="15" hidden="false" customHeight="false" outlineLevel="0" collapsed="false">
      <c r="A8" s="7" t="s">
        <v>73</v>
      </c>
      <c r="B8" s="7" t="s">
        <v>74</v>
      </c>
      <c r="C8" s="7" t="s">
        <v>75</v>
      </c>
      <c r="D8" s="7" t="s">
        <v>76</v>
      </c>
      <c r="E8" s="7" t="s">
        <v>77</v>
      </c>
      <c r="F8" s="7" t="s">
        <v>78</v>
      </c>
      <c r="G8" s="7" t="s">
        <v>79</v>
      </c>
      <c r="H8" s="7" t="s">
        <v>80</v>
      </c>
      <c r="I8" s="7" t="s">
        <v>81</v>
      </c>
      <c r="J8" s="10" t="s">
        <v>82</v>
      </c>
      <c r="K8" s="7" t="s">
        <v>83</v>
      </c>
      <c r="L8" s="7" t="s">
        <v>84</v>
      </c>
      <c r="M8" s="7" t="s">
        <v>70</v>
      </c>
    </row>
    <row r="9" customFormat="false" ht="42" hidden="false" customHeight="true" outlineLevel="0" collapsed="false">
      <c r="A9" s="0" t="s">
        <v>301</v>
      </c>
      <c r="B9" s="0" t="s">
        <v>86</v>
      </c>
      <c r="C9" s="0" t="s">
        <v>302</v>
      </c>
      <c r="D9" s="0" t="s">
        <v>88</v>
      </c>
      <c r="E9" s="0" t="s">
        <v>89</v>
      </c>
      <c r="F9" s="0" t="s">
        <v>90</v>
      </c>
      <c r="G9" s="0" t="s">
        <v>303</v>
      </c>
      <c r="H9" s="7" t="s">
        <v>52</v>
      </c>
      <c r="I9" s="7" t="s">
        <v>67</v>
      </c>
      <c r="J9" s="9" t="n">
        <v>46227</v>
      </c>
      <c r="L9" s="0" t="n">
        <v>1</v>
      </c>
      <c r="M9" s="0" t="n">
        <v>1</v>
      </c>
    </row>
    <row r="10" customFormat="false" ht="42" hidden="false" customHeight="true" outlineLevel="0" collapsed="false">
      <c r="A10" s="0" t="s">
        <v>304</v>
      </c>
      <c r="B10" s="0" t="s">
        <v>93</v>
      </c>
      <c r="C10" s="0" t="s">
        <v>302</v>
      </c>
      <c r="D10" s="0" t="s">
        <v>94</v>
      </c>
      <c r="E10" s="0" t="s">
        <v>89</v>
      </c>
      <c r="F10" s="0" t="s">
        <v>89</v>
      </c>
      <c r="G10" s="0" t="s">
        <v>95</v>
      </c>
      <c r="H10" s="7" t="s">
        <v>52</v>
      </c>
      <c r="I10" s="7" t="s">
        <v>67</v>
      </c>
      <c r="J10" s="9" t="n">
        <v>46227</v>
      </c>
      <c r="L10" s="0" t="n">
        <v>1</v>
      </c>
      <c r="M10" s="0" t="n">
        <v>1</v>
      </c>
    </row>
    <row r="11" customFormat="false" ht="42" hidden="false" customHeight="true" outlineLevel="0" collapsed="false">
      <c r="A11" s="0" t="s">
        <v>305</v>
      </c>
      <c r="B11" s="0" t="s">
        <v>97</v>
      </c>
      <c r="C11" s="0" t="s">
        <v>302</v>
      </c>
      <c r="D11" s="0" t="s">
        <v>98</v>
      </c>
      <c r="E11" s="0" t="s">
        <v>89</v>
      </c>
      <c r="F11" s="0" t="s">
        <v>99</v>
      </c>
      <c r="G11" s="0" t="s">
        <v>306</v>
      </c>
      <c r="H11" s="7" t="s">
        <v>52</v>
      </c>
      <c r="I11" s="7" t="s">
        <v>67</v>
      </c>
      <c r="J11" s="9" t="n">
        <v>46227</v>
      </c>
      <c r="L11" s="0" t="n">
        <v>1</v>
      </c>
      <c r="M11" s="0" t="n">
        <v>1</v>
      </c>
    </row>
    <row r="12" customFormat="false" ht="42" hidden="false" customHeight="true" outlineLevel="0" collapsed="false">
      <c r="A12" s="0" t="s">
        <v>307</v>
      </c>
      <c r="B12" s="0" t="s">
        <v>102</v>
      </c>
      <c r="C12" s="0" t="s">
        <v>302</v>
      </c>
      <c r="D12" s="0" t="s">
        <v>103</v>
      </c>
      <c r="E12" s="0" t="s">
        <v>89</v>
      </c>
      <c r="F12" s="0" t="s">
        <v>104</v>
      </c>
      <c r="G12" s="0" t="s">
        <v>308</v>
      </c>
      <c r="H12" s="7" t="s">
        <v>52</v>
      </c>
      <c r="I12" s="7" t="s">
        <v>67</v>
      </c>
      <c r="J12" s="9" t="n">
        <v>46227</v>
      </c>
      <c r="L12" s="0" t="n">
        <v>1</v>
      </c>
      <c r="M12" s="0" t="n">
        <v>1</v>
      </c>
    </row>
    <row r="13" customFormat="false" ht="42" hidden="false" customHeight="true" outlineLevel="0" collapsed="false">
      <c r="A13" s="0" t="s">
        <v>309</v>
      </c>
      <c r="B13" s="0" t="s">
        <v>107</v>
      </c>
      <c r="C13" s="0" t="s">
        <v>302</v>
      </c>
      <c r="D13" s="0" t="s">
        <v>108</v>
      </c>
      <c r="E13" s="0" t="s">
        <v>89</v>
      </c>
      <c r="F13" s="0" t="s">
        <v>109</v>
      </c>
      <c r="G13" s="0" t="s">
        <v>310</v>
      </c>
      <c r="H13" s="7" t="s">
        <v>52</v>
      </c>
      <c r="I13" s="7" t="s">
        <v>67</v>
      </c>
      <c r="J13" s="9" t="n">
        <v>46227</v>
      </c>
      <c r="L13" s="0" t="n">
        <v>1</v>
      </c>
      <c r="M13" s="0" t="n">
        <v>1</v>
      </c>
    </row>
    <row r="14" customFormat="false" ht="42" hidden="false" customHeight="true" outlineLevel="0" collapsed="false">
      <c r="A14" s="0" t="s">
        <v>311</v>
      </c>
      <c r="B14" s="0" t="s">
        <v>112</v>
      </c>
      <c r="C14" s="0" t="s">
        <v>302</v>
      </c>
      <c r="D14" s="0" t="s">
        <v>113</v>
      </c>
      <c r="E14" s="0" t="s">
        <v>89</v>
      </c>
      <c r="F14" s="0" t="s">
        <v>114</v>
      </c>
      <c r="G14" s="0" t="s">
        <v>312</v>
      </c>
      <c r="H14" s="7" t="s">
        <v>52</v>
      </c>
      <c r="I14" s="7" t="s">
        <v>67</v>
      </c>
      <c r="J14" s="9" t="n">
        <v>46227</v>
      </c>
      <c r="L14" s="0" t="n">
        <v>1</v>
      </c>
      <c r="M14" s="0" t="n">
        <v>1</v>
      </c>
    </row>
    <row r="15" customFormat="false" ht="42" hidden="false" customHeight="true" outlineLevel="0" collapsed="false">
      <c r="A15" s="0" t="s">
        <v>313</v>
      </c>
      <c r="B15" s="0" t="s">
        <v>117</v>
      </c>
      <c r="C15" s="0" t="s">
        <v>302</v>
      </c>
      <c r="D15" s="0" t="s">
        <v>118</v>
      </c>
      <c r="E15" s="0" t="s">
        <v>89</v>
      </c>
      <c r="F15" s="0" t="s">
        <v>119</v>
      </c>
      <c r="G15" s="0" t="s">
        <v>314</v>
      </c>
      <c r="H15" s="7" t="s">
        <v>52</v>
      </c>
      <c r="I15" s="7" t="s">
        <v>67</v>
      </c>
      <c r="J15" s="9" t="n">
        <v>46227</v>
      </c>
      <c r="L15" s="0" t="n">
        <v>1</v>
      </c>
      <c r="M15" s="0" t="n">
        <v>1</v>
      </c>
    </row>
    <row r="16" customFormat="false" ht="42" hidden="false" customHeight="true" outlineLevel="0" collapsed="false">
      <c r="A16" s="0" t="s">
        <v>315</v>
      </c>
      <c r="B16" s="0" t="s">
        <v>122</v>
      </c>
      <c r="C16" s="0" t="s">
        <v>302</v>
      </c>
      <c r="D16" s="0" t="s">
        <v>123</v>
      </c>
      <c r="E16" s="0" t="s">
        <v>89</v>
      </c>
      <c r="F16" s="0" t="s">
        <v>124</v>
      </c>
      <c r="G16" s="0" t="s">
        <v>316</v>
      </c>
      <c r="H16" s="7" t="s">
        <v>54</v>
      </c>
      <c r="I16" s="7" t="s">
        <v>66</v>
      </c>
      <c r="J16" s="9" t="n">
        <v>46227</v>
      </c>
      <c r="K16" s="0" t="s">
        <v>126</v>
      </c>
      <c r="L16" s="0" t="n">
        <v>1</v>
      </c>
      <c r="M16" s="0" t="n">
        <v>1</v>
      </c>
    </row>
    <row r="17" customFormat="false" ht="42" hidden="false" customHeight="true" outlineLevel="0" collapsed="false">
      <c r="A17" s="0" t="s">
        <v>317</v>
      </c>
      <c r="B17" s="0" t="s">
        <v>128</v>
      </c>
      <c r="C17" s="0" t="s">
        <v>302</v>
      </c>
      <c r="D17" s="0" t="s">
        <v>129</v>
      </c>
      <c r="E17" s="0" t="s">
        <v>89</v>
      </c>
      <c r="F17" s="0" t="s">
        <v>130</v>
      </c>
      <c r="G17" s="0" t="s">
        <v>318</v>
      </c>
      <c r="H17" s="7" t="s">
        <v>54</v>
      </c>
      <c r="I17" s="7" t="s">
        <v>66</v>
      </c>
      <c r="J17" s="9" t="n">
        <v>46227</v>
      </c>
      <c r="K17" s="0" t="s">
        <v>132</v>
      </c>
      <c r="L17" s="0" t="n">
        <v>1</v>
      </c>
      <c r="M17" s="0" t="n">
        <v>1</v>
      </c>
    </row>
    <row r="18" customFormat="false" ht="42" hidden="false" customHeight="true" outlineLevel="0" collapsed="false">
      <c r="A18" s="0" t="s">
        <v>319</v>
      </c>
      <c r="B18" s="0" t="s">
        <v>134</v>
      </c>
      <c r="C18" s="0" t="s">
        <v>302</v>
      </c>
      <c r="D18" s="0" t="s">
        <v>135</v>
      </c>
      <c r="E18" s="0" t="s">
        <v>89</v>
      </c>
      <c r="F18" s="0" t="s">
        <v>130</v>
      </c>
      <c r="G18" s="0" t="s">
        <v>318</v>
      </c>
      <c r="H18" s="7" t="s">
        <v>54</v>
      </c>
      <c r="I18" s="7" t="s">
        <v>66</v>
      </c>
      <c r="J18" s="9" t="n">
        <v>46227</v>
      </c>
      <c r="K18" s="0" t="s">
        <v>132</v>
      </c>
      <c r="L18" s="0" t="n">
        <v>1</v>
      </c>
      <c r="M18" s="0" t="n">
        <v>1</v>
      </c>
    </row>
    <row r="19" customFormat="false" ht="42" hidden="false" customHeight="true" outlineLevel="0" collapsed="false">
      <c r="A19" s="0" t="s">
        <v>320</v>
      </c>
      <c r="B19" s="0" t="s">
        <v>137</v>
      </c>
      <c r="C19" s="0" t="s">
        <v>302</v>
      </c>
      <c r="D19" s="0" t="s">
        <v>138</v>
      </c>
      <c r="E19" s="0" t="s">
        <v>89</v>
      </c>
      <c r="F19" s="0" t="s">
        <v>130</v>
      </c>
      <c r="G19" s="0" t="s">
        <v>321</v>
      </c>
      <c r="H19" s="7" t="s">
        <v>54</v>
      </c>
      <c r="I19" s="7" t="s">
        <v>66</v>
      </c>
      <c r="J19" s="9" t="n">
        <v>46227</v>
      </c>
      <c r="K19" s="0" t="s">
        <v>140</v>
      </c>
      <c r="L19" s="0" t="n">
        <v>1</v>
      </c>
      <c r="M19" s="0" t="n">
        <v>1</v>
      </c>
    </row>
    <row r="20" customFormat="false" ht="42" hidden="false" customHeight="true" outlineLevel="0" collapsed="false">
      <c r="A20" s="0" t="s">
        <v>322</v>
      </c>
      <c r="B20" s="0" t="s">
        <v>142</v>
      </c>
      <c r="C20" s="0" t="s">
        <v>302</v>
      </c>
      <c r="D20" s="0" t="s">
        <v>143</v>
      </c>
      <c r="E20" s="0" t="s">
        <v>89</v>
      </c>
      <c r="F20" s="0" t="s">
        <v>130</v>
      </c>
      <c r="G20" s="0" t="s">
        <v>318</v>
      </c>
      <c r="H20" s="7" t="s">
        <v>54</v>
      </c>
      <c r="I20" s="7" t="s">
        <v>66</v>
      </c>
      <c r="J20" s="9" t="n">
        <v>46227</v>
      </c>
      <c r="K20" s="0" t="s">
        <v>144</v>
      </c>
      <c r="L20" s="0" t="n">
        <v>1</v>
      </c>
      <c r="M20" s="0" t="n">
        <v>1</v>
      </c>
    </row>
    <row r="21" customFormat="false" ht="42" hidden="false" customHeight="true" outlineLevel="0" collapsed="false">
      <c r="A21" s="0" t="s">
        <v>323</v>
      </c>
      <c r="B21" s="0" t="s">
        <v>146</v>
      </c>
      <c r="C21" s="0" t="s">
        <v>302</v>
      </c>
      <c r="D21" s="0" t="s">
        <v>147</v>
      </c>
      <c r="E21" s="0" t="s">
        <v>89</v>
      </c>
      <c r="F21" s="0" t="s">
        <v>148</v>
      </c>
      <c r="G21" s="0" t="s">
        <v>324</v>
      </c>
      <c r="H21" s="7" t="s">
        <v>52</v>
      </c>
      <c r="I21" s="7" t="s">
        <v>67</v>
      </c>
      <c r="J21" s="9" t="n">
        <v>46227</v>
      </c>
      <c r="L21" s="0" t="n">
        <v>1</v>
      </c>
      <c r="M21" s="0" t="n">
        <v>1</v>
      </c>
    </row>
    <row r="22" customFormat="false" ht="42" hidden="false" customHeight="true" outlineLevel="0" collapsed="false">
      <c r="A22" s="0" t="s">
        <v>325</v>
      </c>
      <c r="B22" s="0" t="s">
        <v>151</v>
      </c>
      <c r="C22" s="0" t="s">
        <v>302</v>
      </c>
      <c r="D22" s="0" t="s">
        <v>152</v>
      </c>
      <c r="E22" s="0" t="s">
        <v>89</v>
      </c>
      <c r="F22" s="0" t="s">
        <v>148</v>
      </c>
      <c r="G22" s="0" t="s">
        <v>326</v>
      </c>
      <c r="H22" s="7" t="s">
        <v>52</v>
      </c>
      <c r="I22" s="7" t="s">
        <v>67</v>
      </c>
      <c r="J22" s="9" t="n">
        <v>46227</v>
      </c>
      <c r="L22" s="0" t="n">
        <v>1</v>
      </c>
      <c r="M22" s="0" t="n">
        <v>1</v>
      </c>
    </row>
    <row r="23" customFormat="false" ht="42" hidden="false" customHeight="true" outlineLevel="0" collapsed="false">
      <c r="A23" s="0" t="s">
        <v>327</v>
      </c>
      <c r="B23" s="0" t="s">
        <v>155</v>
      </c>
      <c r="C23" s="0" t="s">
        <v>302</v>
      </c>
      <c r="D23" s="0" t="s">
        <v>156</v>
      </c>
      <c r="E23" s="0" t="s">
        <v>157</v>
      </c>
      <c r="F23" s="0" t="s">
        <v>157</v>
      </c>
      <c r="G23" s="0" t="s">
        <v>158</v>
      </c>
      <c r="H23" s="7" t="s">
        <v>52</v>
      </c>
      <c r="I23" s="7" t="s">
        <v>67</v>
      </c>
      <c r="J23" s="9" t="n">
        <v>46227</v>
      </c>
      <c r="L23" s="0" t="n">
        <v>1</v>
      </c>
      <c r="M23" s="0" t="n">
        <v>1</v>
      </c>
    </row>
    <row r="24" customFormat="false" ht="42" hidden="false" customHeight="true" outlineLevel="0" collapsed="false">
      <c r="A24" s="0" t="s">
        <v>328</v>
      </c>
      <c r="B24" s="0" t="s">
        <v>160</v>
      </c>
      <c r="C24" s="0" t="s">
        <v>302</v>
      </c>
      <c r="D24" s="0" t="s">
        <v>161</v>
      </c>
      <c r="E24" s="0" t="s">
        <v>89</v>
      </c>
      <c r="F24" s="0" t="s">
        <v>89</v>
      </c>
      <c r="G24" s="0" t="s">
        <v>162</v>
      </c>
      <c r="H24" s="7" t="s">
        <v>52</v>
      </c>
      <c r="I24" s="7" t="s">
        <v>67</v>
      </c>
      <c r="J24" s="9" t="n">
        <v>46227</v>
      </c>
      <c r="L24" s="0" t="n">
        <v>1</v>
      </c>
      <c r="M24" s="0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.71"/>
    <col collapsed="false" customWidth="true" hidden="false" outlineLevel="0" max="2" min="2" style="0" width="15.71"/>
    <col collapsed="false" customWidth="true" hidden="false" outlineLevel="0" max="3" min="3" style="0" width="18.71"/>
    <col collapsed="false" customWidth="true" hidden="false" outlineLevel="0" max="4" min="4" style="0" width="58.71"/>
    <col collapsed="false" customWidth="true" hidden="false" outlineLevel="0" max="6" min="5" style="0" width="14.71"/>
    <col collapsed="false" customWidth="true" hidden="false" outlineLevel="0" max="7" min="7" style="0" width="50.71"/>
    <col collapsed="false" customWidth="true" hidden="false" outlineLevel="0" max="8" min="8" style="0" width="17.71"/>
    <col collapsed="false" customWidth="true" hidden="false" outlineLevel="0" max="9" min="9" style="0" width="14.71"/>
    <col collapsed="false" customWidth="true" hidden="false" outlineLevel="0" max="10" min="10" style="9" width="14.71"/>
    <col collapsed="false" customWidth="true" hidden="false" outlineLevel="0" max="11" min="11" style="0" width="42.71"/>
    <col collapsed="false" customWidth="true" hidden="false" outlineLevel="0" max="13" min="12" style="0" width="10.71"/>
  </cols>
  <sheetData>
    <row r="1" customFormat="false" ht="37.5" hidden="false" customHeight="true" outlineLevel="0" collapsed="false">
      <c r="A1" s="2" t="s">
        <v>329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27.75" hidden="false" customHeight="true" outlineLevel="0" collapsed="false">
      <c r="A2" s="3" t="s">
        <v>69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7.35" hidden="false" customHeight="false" outlineLevel="0" collapsed="false">
      <c r="A4" s="4" t="s">
        <v>7</v>
      </c>
      <c r="B4" s="5" t="n">
        <v>16</v>
      </c>
      <c r="D4" s="4" t="s">
        <v>70</v>
      </c>
      <c r="E4" s="5" t="n">
        <v>16</v>
      </c>
      <c r="G4" s="4" t="s">
        <v>14</v>
      </c>
      <c r="H4" s="6" t="n">
        <v>1</v>
      </c>
      <c r="J4" s="4" t="s">
        <v>15</v>
      </c>
      <c r="K4" s="5" t="s">
        <v>71</v>
      </c>
    </row>
    <row r="5" customFormat="false" ht="17.35" hidden="false" customHeight="false" outlineLevel="0" collapsed="false">
      <c r="A5" s="4" t="s">
        <v>72</v>
      </c>
      <c r="B5" s="5" t="s">
        <v>71</v>
      </c>
      <c r="D5" s="4" t="s">
        <v>16</v>
      </c>
      <c r="E5" s="5" t="s">
        <v>71</v>
      </c>
    </row>
    <row r="8" customFormat="false" ht="15" hidden="false" customHeight="false" outlineLevel="0" collapsed="false">
      <c r="A8" s="7" t="s">
        <v>73</v>
      </c>
      <c r="B8" s="7" t="s">
        <v>74</v>
      </c>
      <c r="C8" s="7" t="s">
        <v>75</v>
      </c>
      <c r="D8" s="7" t="s">
        <v>76</v>
      </c>
      <c r="E8" s="7" t="s">
        <v>77</v>
      </c>
      <c r="F8" s="7" t="s">
        <v>78</v>
      </c>
      <c r="G8" s="7" t="s">
        <v>79</v>
      </c>
      <c r="H8" s="7" t="s">
        <v>80</v>
      </c>
      <c r="I8" s="7" t="s">
        <v>81</v>
      </c>
      <c r="J8" s="10" t="s">
        <v>82</v>
      </c>
      <c r="K8" s="7" t="s">
        <v>83</v>
      </c>
      <c r="L8" s="7" t="s">
        <v>84</v>
      </c>
      <c r="M8" s="7" t="s">
        <v>70</v>
      </c>
    </row>
    <row r="9" customFormat="false" ht="42" hidden="false" customHeight="true" outlineLevel="0" collapsed="false">
      <c r="A9" s="0" t="s">
        <v>330</v>
      </c>
      <c r="B9" s="0" t="s">
        <v>86</v>
      </c>
      <c r="C9" s="0" t="s">
        <v>25</v>
      </c>
      <c r="D9" s="0" t="s">
        <v>88</v>
      </c>
      <c r="E9" s="0" t="s">
        <v>89</v>
      </c>
      <c r="F9" s="0" t="s">
        <v>90</v>
      </c>
      <c r="G9" s="0" t="s">
        <v>331</v>
      </c>
      <c r="H9" s="7" t="s">
        <v>52</v>
      </c>
      <c r="I9" s="7" t="s">
        <v>67</v>
      </c>
      <c r="J9" s="9" t="n">
        <v>46227</v>
      </c>
      <c r="L9" s="0" t="n">
        <v>1</v>
      </c>
      <c r="M9" s="0" t="n">
        <v>1</v>
      </c>
    </row>
    <row r="10" customFormat="false" ht="42" hidden="false" customHeight="true" outlineLevel="0" collapsed="false">
      <c r="A10" s="0" t="s">
        <v>332</v>
      </c>
      <c r="B10" s="0" t="s">
        <v>93</v>
      </c>
      <c r="C10" s="0" t="s">
        <v>25</v>
      </c>
      <c r="D10" s="0" t="s">
        <v>94</v>
      </c>
      <c r="E10" s="0" t="s">
        <v>89</v>
      </c>
      <c r="F10" s="0" t="s">
        <v>89</v>
      </c>
      <c r="G10" s="0" t="s">
        <v>95</v>
      </c>
      <c r="H10" s="7" t="s">
        <v>52</v>
      </c>
      <c r="I10" s="7" t="s">
        <v>67</v>
      </c>
      <c r="J10" s="9" t="n">
        <v>46227</v>
      </c>
      <c r="L10" s="0" t="n">
        <v>1</v>
      </c>
      <c r="M10" s="0" t="n">
        <v>1</v>
      </c>
    </row>
    <row r="11" customFormat="false" ht="42" hidden="false" customHeight="true" outlineLevel="0" collapsed="false">
      <c r="A11" s="0" t="s">
        <v>333</v>
      </c>
      <c r="B11" s="0" t="s">
        <v>97</v>
      </c>
      <c r="C11" s="0" t="s">
        <v>25</v>
      </c>
      <c r="D11" s="0" t="s">
        <v>98</v>
      </c>
      <c r="E11" s="0" t="s">
        <v>89</v>
      </c>
      <c r="F11" s="0" t="s">
        <v>99</v>
      </c>
      <c r="G11" s="0" t="s">
        <v>334</v>
      </c>
      <c r="H11" s="7" t="s">
        <v>52</v>
      </c>
      <c r="I11" s="7" t="s">
        <v>67</v>
      </c>
      <c r="J11" s="9" t="n">
        <v>46227</v>
      </c>
      <c r="L11" s="0" t="n">
        <v>1</v>
      </c>
      <c r="M11" s="0" t="n">
        <v>1</v>
      </c>
    </row>
    <row r="12" customFormat="false" ht="42" hidden="false" customHeight="true" outlineLevel="0" collapsed="false">
      <c r="A12" s="0" t="s">
        <v>335</v>
      </c>
      <c r="B12" s="0" t="s">
        <v>102</v>
      </c>
      <c r="C12" s="0" t="s">
        <v>25</v>
      </c>
      <c r="D12" s="0" t="s">
        <v>103</v>
      </c>
      <c r="E12" s="0" t="s">
        <v>89</v>
      </c>
      <c r="F12" s="0" t="s">
        <v>104</v>
      </c>
      <c r="G12" s="0" t="s">
        <v>336</v>
      </c>
      <c r="H12" s="7" t="s">
        <v>52</v>
      </c>
      <c r="I12" s="7" t="s">
        <v>67</v>
      </c>
      <c r="J12" s="9" t="n">
        <v>46227</v>
      </c>
      <c r="L12" s="0" t="n">
        <v>1</v>
      </c>
      <c r="M12" s="0" t="n">
        <v>1</v>
      </c>
    </row>
    <row r="13" customFormat="false" ht="42" hidden="false" customHeight="true" outlineLevel="0" collapsed="false">
      <c r="A13" s="0" t="s">
        <v>337</v>
      </c>
      <c r="B13" s="0" t="s">
        <v>107</v>
      </c>
      <c r="C13" s="0" t="s">
        <v>25</v>
      </c>
      <c r="D13" s="0" t="s">
        <v>108</v>
      </c>
      <c r="E13" s="0" t="s">
        <v>89</v>
      </c>
      <c r="F13" s="0" t="s">
        <v>109</v>
      </c>
      <c r="G13" s="0" t="s">
        <v>338</v>
      </c>
      <c r="H13" s="7" t="s">
        <v>52</v>
      </c>
      <c r="I13" s="7" t="s">
        <v>67</v>
      </c>
      <c r="J13" s="9" t="n">
        <v>46227</v>
      </c>
      <c r="L13" s="0" t="n">
        <v>1</v>
      </c>
      <c r="M13" s="0" t="n">
        <v>1</v>
      </c>
    </row>
    <row r="14" customFormat="false" ht="42" hidden="false" customHeight="true" outlineLevel="0" collapsed="false">
      <c r="A14" s="0" t="s">
        <v>339</v>
      </c>
      <c r="B14" s="0" t="s">
        <v>112</v>
      </c>
      <c r="C14" s="0" t="s">
        <v>25</v>
      </c>
      <c r="D14" s="0" t="s">
        <v>113</v>
      </c>
      <c r="E14" s="0" t="s">
        <v>89</v>
      </c>
      <c r="F14" s="0" t="s">
        <v>114</v>
      </c>
      <c r="G14" s="0" t="s">
        <v>340</v>
      </c>
      <c r="H14" s="7" t="s">
        <v>52</v>
      </c>
      <c r="I14" s="7" t="s">
        <v>67</v>
      </c>
      <c r="J14" s="9" t="n">
        <v>46227</v>
      </c>
      <c r="L14" s="0" t="n">
        <v>1</v>
      </c>
      <c r="M14" s="0" t="n">
        <v>1</v>
      </c>
    </row>
    <row r="15" customFormat="false" ht="42" hidden="false" customHeight="true" outlineLevel="0" collapsed="false">
      <c r="A15" s="0" t="s">
        <v>341</v>
      </c>
      <c r="B15" s="0" t="s">
        <v>117</v>
      </c>
      <c r="C15" s="0" t="s">
        <v>25</v>
      </c>
      <c r="D15" s="0" t="s">
        <v>118</v>
      </c>
      <c r="E15" s="0" t="s">
        <v>89</v>
      </c>
      <c r="F15" s="0" t="s">
        <v>119</v>
      </c>
      <c r="G15" s="0" t="s">
        <v>342</v>
      </c>
      <c r="H15" s="7" t="s">
        <v>52</v>
      </c>
      <c r="I15" s="7" t="s">
        <v>67</v>
      </c>
      <c r="J15" s="9" t="n">
        <v>46227</v>
      </c>
      <c r="L15" s="0" t="n">
        <v>1</v>
      </c>
      <c r="M15" s="0" t="n">
        <v>1</v>
      </c>
    </row>
    <row r="16" customFormat="false" ht="42" hidden="false" customHeight="true" outlineLevel="0" collapsed="false">
      <c r="A16" s="0" t="s">
        <v>343</v>
      </c>
      <c r="B16" s="0" t="s">
        <v>122</v>
      </c>
      <c r="C16" s="0" t="s">
        <v>25</v>
      </c>
      <c r="D16" s="0" t="s">
        <v>123</v>
      </c>
      <c r="E16" s="0" t="s">
        <v>89</v>
      </c>
      <c r="F16" s="0" t="s">
        <v>124</v>
      </c>
      <c r="G16" s="0" t="s">
        <v>344</v>
      </c>
      <c r="H16" s="7" t="s">
        <v>54</v>
      </c>
      <c r="I16" s="7" t="s">
        <v>66</v>
      </c>
      <c r="J16" s="9" t="n">
        <v>46227</v>
      </c>
      <c r="K16" s="0" t="s">
        <v>126</v>
      </c>
      <c r="L16" s="0" t="n">
        <v>1</v>
      </c>
      <c r="M16" s="0" t="n">
        <v>1</v>
      </c>
    </row>
    <row r="17" customFormat="false" ht="42" hidden="false" customHeight="true" outlineLevel="0" collapsed="false">
      <c r="A17" s="0" t="s">
        <v>345</v>
      </c>
      <c r="B17" s="0" t="s">
        <v>128</v>
      </c>
      <c r="C17" s="0" t="s">
        <v>25</v>
      </c>
      <c r="D17" s="0" t="s">
        <v>129</v>
      </c>
      <c r="E17" s="0" t="s">
        <v>89</v>
      </c>
      <c r="F17" s="0" t="s">
        <v>130</v>
      </c>
      <c r="G17" s="0" t="s">
        <v>346</v>
      </c>
      <c r="H17" s="7" t="s">
        <v>54</v>
      </c>
      <c r="I17" s="7" t="s">
        <v>66</v>
      </c>
      <c r="J17" s="9" t="n">
        <v>46227</v>
      </c>
      <c r="K17" s="0" t="s">
        <v>132</v>
      </c>
      <c r="L17" s="0" t="n">
        <v>1</v>
      </c>
      <c r="M17" s="0" t="n">
        <v>1</v>
      </c>
    </row>
    <row r="18" customFormat="false" ht="42" hidden="false" customHeight="true" outlineLevel="0" collapsed="false">
      <c r="A18" s="0" t="s">
        <v>347</v>
      </c>
      <c r="B18" s="0" t="s">
        <v>134</v>
      </c>
      <c r="C18" s="0" t="s">
        <v>25</v>
      </c>
      <c r="D18" s="0" t="s">
        <v>135</v>
      </c>
      <c r="E18" s="0" t="s">
        <v>89</v>
      </c>
      <c r="F18" s="0" t="s">
        <v>130</v>
      </c>
      <c r="G18" s="0" t="s">
        <v>346</v>
      </c>
      <c r="H18" s="7" t="s">
        <v>54</v>
      </c>
      <c r="I18" s="7" t="s">
        <v>66</v>
      </c>
      <c r="J18" s="9" t="n">
        <v>46227</v>
      </c>
      <c r="K18" s="0" t="s">
        <v>132</v>
      </c>
      <c r="L18" s="0" t="n">
        <v>1</v>
      </c>
      <c r="M18" s="0" t="n">
        <v>1</v>
      </c>
    </row>
    <row r="19" customFormat="false" ht="42" hidden="false" customHeight="true" outlineLevel="0" collapsed="false">
      <c r="A19" s="0" t="s">
        <v>348</v>
      </c>
      <c r="B19" s="0" t="s">
        <v>137</v>
      </c>
      <c r="C19" s="0" t="s">
        <v>25</v>
      </c>
      <c r="D19" s="0" t="s">
        <v>138</v>
      </c>
      <c r="E19" s="0" t="s">
        <v>89</v>
      </c>
      <c r="F19" s="0" t="s">
        <v>130</v>
      </c>
      <c r="G19" s="0" t="s">
        <v>349</v>
      </c>
      <c r="H19" s="7" t="s">
        <v>54</v>
      </c>
      <c r="I19" s="7" t="s">
        <v>66</v>
      </c>
      <c r="J19" s="9" t="n">
        <v>46227</v>
      </c>
      <c r="K19" s="0" t="s">
        <v>140</v>
      </c>
      <c r="L19" s="0" t="n">
        <v>1</v>
      </c>
      <c r="M19" s="0" t="n">
        <v>1</v>
      </c>
    </row>
    <row r="20" customFormat="false" ht="42" hidden="false" customHeight="true" outlineLevel="0" collapsed="false">
      <c r="A20" s="0" t="s">
        <v>350</v>
      </c>
      <c r="B20" s="0" t="s">
        <v>142</v>
      </c>
      <c r="C20" s="0" t="s">
        <v>25</v>
      </c>
      <c r="D20" s="0" t="s">
        <v>143</v>
      </c>
      <c r="E20" s="0" t="s">
        <v>89</v>
      </c>
      <c r="F20" s="0" t="s">
        <v>130</v>
      </c>
      <c r="G20" s="0" t="s">
        <v>346</v>
      </c>
      <c r="H20" s="7" t="s">
        <v>54</v>
      </c>
      <c r="I20" s="7" t="s">
        <v>66</v>
      </c>
      <c r="J20" s="9" t="n">
        <v>46227</v>
      </c>
      <c r="K20" s="0" t="s">
        <v>144</v>
      </c>
      <c r="L20" s="0" t="n">
        <v>1</v>
      </c>
      <c r="M20" s="0" t="n">
        <v>1</v>
      </c>
    </row>
    <row r="21" customFormat="false" ht="42" hidden="false" customHeight="true" outlineLevel="0" collapsed="false">
      <c r="A21" s="0" t="s">
        <v>351</v>
      </c>
      <c r="B21" s="0" t="s">
        <v>146</v>
      </c>
      <c r="C21" s="0" t="s">
        <v>25</v>
      </c>
      <c r="D21" s="0" t="s">
        <v>147</v>
      </c>
      <c r="E21" s="0" t="s">
        <v>89</v>
      </c>
      <c r="F21" s="0" t="s">
        <v>148</v>
      </c>
      <c r="G21" s="0" t="s">
        <v>352</v>
      </c>
      <c r="H21" s="7" t="s">
        <v>52</v>
      </c>
      <c r="I21" s="7" t="s">
        <v>67</v>
      </c>
      <c r="J21" s="9" t="n">
        <v>46227</v>
      </c>
      <c r="L21" s="0" t="n">
        <v>1</v>
      </c>
      <c r="M21" s="0" t="n">
        <v>1</v>
      </c>
    </row>
    <row r="22" customFormat="false" ht="42" hidden="false" customHeight="true" outlineLevel="0" collapsed="false">
      <c r="A22" s="0" t="s">
        <v>353</v>
      </c>
      <c r="B22" s="0" t="s">
        <v>151</v>
      </c>
      <c r="C22" s="0" t="s">
        <v>25</v>
      </c>
      <c r="D22" s="0" t="s">
        <v>152</v>
      </c>
      <c r="E22" s="0" t="s">
        <v>89</v>
      </c>
      <c r="F22" s="0" t="s">
        <v>148</v>
      </c>
      <c r="G22" s="0" t="s">
        <v>354</v>
      </c>
      <c r="H22" s="7" t="s">
        <v>52</v>
      </c>
      <c r="I22" s="7" t="s">
        <v>67</v>
      </c>
      <c r="J22" s="9" t="n">
        <v>46227</v>
      </c>
      <c r="L22" s="0" t="n">
        <v>1</v>
      </c>
      <c r="M22" s="0" t="n">
        <v>1</v>
      </c>
    </row>
    <row r="23" customFormat="false" ht="42" hidden="false" customHeight="true" outlineLevel="0" collapsed="false">
      <c r="A23" s="0" t="s">
        <v>355</v>
      </c>
      <c r="B23" s="0" t="s">
        <v>155</v>
      </c>
      <c r="C23" s="0" t="s">
        <v>25</v>
      </c>
      <c r="D23" s="0" t="s">
        <v>156</v>
      </c>
      <c r="E23" s="0" t="s">
        <v>157</v>
      </c>
      <c r="F23" s="0" t="s">
        <v>157</v>
      </c>
      <c r="G23" s="0" t="s">
        <v>158</v>
      </c>
      <c r="H23" s="7" t="s">
        <v>52</v>
      </c>
      <c r="I23" s="7" t="s">
        <v>67</v>
      </c>
      <c r="J23" s="9" t="n">
        <v>46227</v>
      </c>
      <c r="L23" s="0" t="n">
        <v>1</v>
      </c>
      <c r="M23" s="0" t="n">
        <v>1</v>
      </c>
    </row>
    <row r="24" customFormat="false" ht="42" hidden="false" customHeight="true" outlineLevel="0" collapsed="false">
      <c r="A24" s="0" t="s">
        <v>356</v>
      </c>
      <c r="B24" s="0" t="s">
        <v>160</v>
      </c>
      <c r="C24" s="0" t="s">
        <v>25</v>
      </c>
      <c r="D24" s="0" t="s">
        <v>161</v>
      </c>
      <c r="E24" s="0" t="s">
        <v>89</v>
      </c>
      <c r="F24" s="0" t="s">
        <v>89</v>
      </c>
      <c r="G24" s="0" t="s">
        <v>162</v>
      </c>
      <c r="H24" s="7" t="s">
        <v>52</v>
      </c>
      <c r="I24" s="7" t="s">
        <v>67</v>
      </c>
      <c r="J24" s="9" t="n">
        <v>46227</v>
      </c>
      <c r="L24" s="0" t="n">
        <v>1</v>
      </c>
      <c r="M24" s="0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.71"/>
    <col collapsed="false" customWidth="true" hidden="false" outlineLevel="0" max="2" min="2" style="0" width="15.71"/>
    <col collapsed="false" customWidth="true" hidden="false" outlineLevel="0" max="3" min="3" style="0" width="18.71"/>
    <col collapsed="false" customWidth="true" hidden="false" outlineLevel="0" max="4" min="4" style="0" width="58.71"/>
    <col collapsed="false" customWidth="true" hidden="false" outlineLevel="0" max="6" min="5" style="0" width="14.71"/>
    <col collapsed="false" customWidth="true" hidden="false" outlineLevel="0" max="7" min="7" style="0" width="50.71"/>
    <col collapsed="false" customWidth="true" hidden="false" outlineLevel="0" max="8" min="8" style="0" width="17.71"/>
    <col collapsed="false" customWidth="true" hidden="false" outlineLevel="0" max="9" min="9" style="0" width="14.71"/>
    <col collapsed="false" customWidth="true" hidden="false" outlineLevel="0" max="10" min="10" style="9" width="14.71"/>
    <col collapsed="false" customWidth="true" hidden="false" outlineLevel="0" max="11" min="11" style="0" width="42.71"/>
    <col collapsed="false" customWidth="true" hidden="false" outlineLevel="0" max="13" min="12" style="0" width="10.71"/>
  </cols>
  <sheetData>
    <row r="1" customFormat="false" ht="37.5" hidden="false" customHeight="true" outlineLevel="0" collapsed="false">
      <c r="A1" s="2" t="s">
        <v>357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27.75" hidden="false" customHeight="true" outlineLevel="0" collapsed="false">
      <c r="A2" s="3" t="s">
        <v>69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7.35" hidden="false" customHeight="false" outlineLevel="0" collapsed="false">
      <c r="A4" s="4" t="s">
        <v>7</v>
      </c>
      <c r="B4" s="5" t="n">
        <v>16</v>
      </c>
      <c r="D4" s="4" t="s">
        <v>70</v>
      </c>
      <c r="E4" s="5" t="n">
        <v>16</v>
      </c>
      <c r="G4" s="4" t="s">
        <v>14</v>
      </c>
      <c r="H4" s="6" t="n">
        <v>1</v>
      </c>
      <c r="J4" s="4" t="s">
        <v>15</v>
      </c>
      <c r="K4" s="5" t="s">
        <v>71</v>
      </c>
    </row>
    <row r="5" customFormat="false" ht="17.35" hidden="false" customHeight="false" outlineLevel="0" collapsed="false">
      <c r="A5" s="4" t="s">
        <v>72</v>
      </c>
      <c r="B5" s="5" t="s">
        <v>71</v>
      </c>
      <c r="D5" s="4" t="s">
        <v>16</v>
      </c>
      <c r="E5" s="5" t="s">
        <v>71</v>
      </c>
    </row>
    <row r="8" customFormat="false" ht="15" hidden="false" customHeight="false" outlineLevel="0" collapsed="false">
      <c r="A8" s="7" t="s">
        <v>73</v>
      </c>
      <c r="B8" s="7" t="s">
        <v>74</v>
      </c>
      <c r="C8" s="7" t="s">
        <v>75</v>
      </c>
      <c r="D8" s="7" t="s">
        <v>76</v>
      </c>
      <c r="E8" s="7" t="s">
        <v>77</v>
      </c>
      <c r="F8" s="7" t="s">
        <v>78</v>
      </c>
      <c r="G8" s="7" t="s">
        <v>79</v>
      </c>
      <c r="H8" s="7" t="s">
        <v>80</v>
      </c>
      <c r="I8" s="7" t="s">
        <v>81</v>
      </c>
      <c r="J8" s="10" t="s">
        <v>82</v>
      </c>
      <c r="K8" s="7" t="s">
        <v>83</v>
      </c>
      <c r="L8" s="7" t="s">
        <v>84</v>
      </c>
      <c r="M8" s="7" t="s">
        <v>70</v>
      </c>
    </row>
    <row r="9" customFormat="false" ht="42" hidden="false" customHeight="true" outlineLevel="0" collapsed="false">
      <c r="A9" s="0" t="s">
        <v>330</v>
      </c>
      <c r="B9" s="0" t="s">
        <v>86</v>
      </c>
      <c r="C9" s="0" t="s">
        <v>26</v>
      </c>
      <c r="D9" s="0" t="s">
        <v>88</v>
      </c>
      <c r="E9" s="0" t="s">
        <v>89</v>
      </c>
      <c r="F9" s="0" t="s">
        <v>90</v>
      </c>
      <c r="G9" s="0" t="s">
        <v>358</v>
      </c>
      <c r="H9" s="7" t="s">
        <v>52</v>
      </c>
      <c r="I9" s="7" t="s">
        <v>67</v>
      </c>
      <c r="J9" s="9" t="n">
        <v>46227</v>
      </c>
      <c r="L9" s="0" t="n">
        <v>1</v>
      </c>
      <c r="M9" s="0" t="n">
        <v>1</v>
      </c>
    </row>
    <row r="10" customFormat="false" ht="42" hidden="false" customHeight="true" outlineLevel="0" collapsed="false">
      <c r="A10" s="0" t="s">
        <v>332</v>
      </c>
      <c r="B10" s="0" t="s">
        <v>93</v>
      </c>
      <c r="C10" s="0" t="s">
        <v>26</v>
      </c>
      <c r="D10" s="0" t="s">
        <v>94</v>
      </c>
      <c r="E10" s="0" t="s">
        <v>89</v>
      </c>
      <c r="F10" s="0" t="s">
        <v>89</v>
      </c>
      <c r="G10" s="0" t="s">
        <v>95</v>
      </c>
      <c r="H10" s="7" t="s">
        <v>52</v>
      </c>
      <c r="I10" s="7" t="s">
        <v>67</v>
      </c>
      <c r="J10" s="9" t="n">
        <v>46227</v>
      </c>
      <c r="L10" s="0" t="n">
        <v>1</v>
      </c>
      <c r="M10" s="0" t="n">
        <v>1</v>
      </c>
    </row>
    <row r="11" customFormat="false" ht="42" hidden="false" customHeight="true" outlineLevel="0" collapsed="false">
      <c r="A11" s="0" t="s">
        <v>333</v>
      </c>
      <c r="B11" s="0" t="s">
        <v>97</v>
      </c>
      <c r="C11" s="0" t="s">
        <v>26</v>
      </c>
      <c r="D11" s="0" t="s">
        <v>98</v>
      </c>
      <c r="E11" s="0" t="s">
        <v>89</v>
      </c>
      <c r="F11" s="0" t="s">
        <v>99</v>
      </c>
      <c r="G11" s="0" t="s">
        <v>359</v>
      </c>
      <c r="H11" s="7" t="s">
        <v>52</v>
      </c>
      <c r="I11" s="7" t="s">
        <v>67</v>
      </c>
      <c r="J11" s="9" t="n">
        <v>46227</v>
      </c>
      <c r="L11" s="0" t="n">
        <v>1</v>
      </c>
      <c r="M11" s="0" t="n">
        <v>1</v>
      </c>
    </row>
    <row r="12" customFormat="false" ht="42" hidden="false" customHeight="true" outlineLevel="0" collapsed="false">
      <c r="A12" s="0" t="s">
        <v>335</v>
      </c>
      <c r="B12" s="0" t="s">
        <v>102</v>
      </c>
      <c r="C12" s="0" t="s">
        <v>26</v>
      </c>
      <c r="D12" s="0" t="s">
        <v>103</v>
      </c>
      <c r="E12" s="0" t="s">
        <v>89</v>
      </c>
      <c r="F12" s="0" t="s">
        <v>104</v>
      </c>
      <c r="G12" s="0" t="s">
        <v>360</v>
      </c>
      <c r="H12" s="7" t="s">
        <v>52</v>
      </c>
      <c r="I12" s="7" t="s">
        <v>67</v>
      </c>
      <c r="J12" s="9" t="n">
        <v>46227</v>
      </c>
      <c r="L12" s="0" t="n">
        <v>1</v>
      </c>
      <c r="M12" s="0" t="n">
        <v>1</v>
      </c>
    </row>
    <row r="13" customFormat="false" ht="42" hidden="false" customHeight="true" outlineLevel="0" collapsed="false">
      <c r="A13" s="0" t="s">
        <v>337</v>
      </c>
      <c r="B13" s="0" t="s">
        <v>107</v>
      </c>
      <c r="C13" s="0" t="s">
        <v>26</v>
      </c>
      <c r="D13" s="0" t="s">
        <v>108</v>
      </c>
      <c r="E13" s="0" t="s">
        <v>89</v>
      </c>
      <c r="F13" s="0" t="s">
        <v>109</v>
      </c>
      <c r="G13" s="0" t="s">
        <v>361</v>
      </c>
      <c r="H13" s="7" t="s">
        <v>52</v>
      </c>
      <c r="I13" s="7" t="s">
        <v>67</v>
      </c>
      <c r="J13" s="9" t="n">
        <v>46227</v>
      </c>
      <c r="L13" s="0" t="n">
        <v>1</v>
      </c>
      <c r="M13" s="0" t="n">
        <v>1</v>
      </c>
    </row>
    <row r="14" customFormat="false" ht="42" hidden="false" customHeight="true" outlineLevel="0" collapsed="false">
      <c r="A14" s="0" t="s">
        <v>339</v>
      </c>
      <c r="B14" s="0" t="s">
        <v>112</v>
      </c>
      <c r="C14" s="0" t="s">
        <v>26</v>
      </c>
      <c r="D14" s="0" t="s">
        <v>113</v>
      </c>
      <c r="E14" s="0" t="s">
        <v>89</v>
      </c>
      <c r="F14" s="0" t="s">
        <v>114</v>
      </c>
      <c r="G14" s="0" t="s">
        <v>362</v>
      </c>
      <c r="H14" s="7" t="s">
        <v>52</v>
      </c>
      <c r="I14" s="7" t="s">
        <v>67</v>
      </c>
      <c r="J14" s="9" t="n">
        <v>46227</v>
      </c>
      <c r="L14" s="0" t="n">
        <v>1</v>
      </c>
      <c r="M14" s="0" t="n">
        <v>1</v>
      </c>
    </row>
    <row r="15" customFormat="false" ht="42" hidden="false" customHeight="true" outlineLevel="0" collapsed="false">
      <c r="A15" s="0" t="s">
        <v>341</v>
      </c>
      <c r="B15" s="0" t="s">
        <v>117</v>
      </c>
      <c r="C15" s="0" t="s">
        <v>26</v>
      </c>
      <c r="D15" s="0" t="s">
        <v>118</v>
      </c>
      <c r="E15" s="0" t="s">
        <v>89</v>
      </c>
      <c r="F15" s="0" t="s">
        <v>119</v>
      </c>
      <c r="G15" s="0" t="s">
        <v>363</v>
      </c>
      <c r="H15" s="7" t="s">
        <v>52</v>
      </c>
      <c r="I15" s="7" t="s">
        <v>67</v>
      </c>
      <c r="J15" s="9" t="n">
        <v>46227</v>
      </c>
      <c r="L15" s="0" t="n">
        <v>1</v>
      </c>
      <c r="M15" s="0" t="n">
        <v>1</v>
      </c>
    </row>
    <row r="16" customFormat="false" ht="42" hidden="false" customHeight="true" outlineLevel="0" collapsed="false">
      <c r="A16" s="0" t="s">
        <v>343</v>
      </c>
      <c r="B16" s="0" t="s">
        <v>122</v>
      </c>
      <c r="C16" s="0" t="s">
        <v>26</v>
      </c>
      <c r="D16" s="0" t="s">
        <v>123</v>
      </c>
      <c r="E16" s="0" t="s">
        <v>89</v>
      </c>
      <c r="F16" s="0" t="s">
        <v>124</v>
      </c>
      <c r="G16" s="0" t="s">
        <v>364</v>
      </c>
      <c r="H16" s="7" t="s">
        <v>54</v>
      </c>
      <c r="I16" s="7" t="s">
        <v>66</v>
      </c>
      <c r="J16" s="9" t="n">
        <v>46227</v>
      </c>
      <c r="K16" s="0" t="s">
        <v>126</v>
      </c>
      <c r="L16" s="0" t="n">
        <v>1</v>
      </c>
      <c r="M16" s="0" t="n">
        <v>1</v>
      </c>
    </row>
    <row r="17" customFormat="false" ht="42" hidden="false" customHeight="true" outlineLevel="0" collapsed="false">
      <c r="A17" s="0" t="s">
        <v>345</v>
      </c>
      <c r="B17" s="0" t="s">
        <v>128</v>
      </c>
      <c r="C17" s="0" t="s">
        <v>26</v>
      </c>
      <c r="D17" s="0" t="s">
        <v>129</v>
      </c>
      <c r="E17" s="0" t="s">
        <v>89</v>
      </c>
      <c r="F17" s="0" t="s">
        <v>130</v>
      </c>
      <c r="G17" s="0" t="s">
        <v>365</v>
      </c>
      <c r="H17" s="7" t="s">
        <v>54</v>
      </c>
      <c r="I17" s="7" t="s">
        <v>66</v>
      </c>
      <c r="J17" s="9" t="n">
        <v>46227</v>
      </c>
      <c r="K17" s="0" t="s">
        <v>132</v>
      </c>
      <c r="L17" s="0" t="n">
        <v>1</v>
      </c>
      <c r="M17" s="0" t="n">
        <v>1</v>
      </c>
    </row>
    <row r="18" customFormat="false" ht="42" hidden="false" customHeight="true" outlineLevel="0" collapsed="false">
      <c r="A18" s="0" t="s">
        <v>347</v>
      </c>
      <c r="B18" s="0" t="s">
        <v>134</v>
      </c>
      <c r="C18" s="0" t="s">
        <v>26</v>
      </c>
      <c r="D18" s="0" t="s">
        <v>135</v>
      </c>
      <c r="E18" s="0" t="s">
        <v>89</v>
      </c>
      <c r="F18" s="0" t="s">
        <v>130</v>
      </c>
      <c r="G18" s="0" t="s">
        <v>365</v>
      </c>
      <c r="H18" s="7" t="s">
        <v>54</v>
      </c>
      <c r="I18" s="7" t="s">
        <v>66</v>
      </c>
      <c r="J18" s="9" t="n">
        <v>46227</v>
      </c>
      <c r="K18" s="0" t="s">
        <v>132</v>
      </c>
      <c r="L18" s="0" t="n">
        <v>1</v>
      </c>
      <c r="M18" s="0" t="n">
        <v>1</v>
      </c>
    </row>
    <row r="19" customFormat="false" ht="42" hidden="false" customHeight="true" outlineLevel="0" collapsed="false">
      <c r="A19" s="0" t="s">
        <v>348</v>
      </c>
      <c r="B19" s="0" t="s">
        <v>137</v>
      </c>
      <c r="C19" s="0" t="s">
        <v>26</v>
      </c>
      <c r="D19" s="0" t="s">
        <v>138</v>
      </c>
      <c r="E19" s="0" t="s">
        <v>89</v>
      </c>
      <c r="F19" s="0" t="s">
        <v>130</v>
      </c>
      <c r="G19" s="0" t="s">
        <v>366</v>
      </c>
      <c r="H19" s="7" t="s">
        <v>54</v>
      </c>
      <c r="I19" s="7" t="s">
        <v>66</v>
      </c>
      <c r="J19" s="9" t="n">
        <v>46227</v>
      </c>
      <c r="K19" s="0" t="s">
        <v>140</v>
      </c>
      <c r="L19" s="0" t="n">
        <v>1</v>
      </c>
      <c r="M19" s="0" t="n">
        <v>1</v>
      </c>
    </row>
    <row r="20" customFormat="false" ht="42" hidden="false" customHeight="true" outlineLevel="0" collapsed="false">
      <c r="A20" s="0" t="s">
        <v>350</v>
      </c>
      <c r="B20" s="0" t="s">
        <v>142</v>
      </c>
      <c r="C20" s="0" t="s">
        <v>26</v>
      </c>
      <c r="D20" s="0" t="s">
        <v>143</v>
      </c>
      <c r="E20" s="0" t="s">
        <v>89</v>
      </c>
      <c r="F20" s="0" t="s">
        <v>130</v>
      </c>
      <c r="G20" s="0" t="s">
        <v>365</v>
      </c>
      <c r="H20" s="7" t="s">
        <v>54</v>
      </c>
      <c r="I20" s="7" t="s">
        <v>66</v>
      </c>
      <c r="J20" s="9" t="n">
        <v>46227</v>
      </c>
      <c r="K20" s="0" t="s">
        <v>144</v>
      </c>
      <c r="L20" s="0" t="n">
        <v>1</v>
      </c>
      <c r="M20" s="0" t="n">
        <v>1</v>
      </c>
    </row>
    <row r="21" customFormat="false" ht="42" hidden="false" customHeight="true" outlineLevel="0" collapsed="false">
      <c r="A21" s="0" t="s">
        <v>351</v>
      </c>
      <c r="B21" s="0" t="s">
        <v>146</v>
      </c>
      <c r="C21" s="0" t="s">
        <v>26</v>
      </c>
      <c r="D21" s="0" t="s">
        <v>147</v>
      </c>
      <c r="E21" s="0" t="s">
        <v>89</v>
      </c>
      <c r="F21" s="0" t="s">
        <v>148</v>
      </c>
      <c r="G21" s="0" t="s">
        <v>367</v>
      </c>
      <c r="H21" s="7" t="s">
        <v>52</v>
      </c>
      <c r="I21" s="7" t="s">
        <v>67</v>
      </c>
      <c r="J21" s="9" t="n">
        <v>46227</v>
      </c>
      <c r="L21" s="0" t="n">
        <v>1</v>
      </c>
      <c r="M21" s="0" t="n">
        <v>1</v>
      </c>
    </row>
    <row r="22" customFormat="false" ht="42" hidden="false" customHeight="true" outlineLevel="0" collapsed="false">
      <c r="A22" s="0" t="s">
        <v>353</v>
      </c>
      <c r="B22" s="0" t="s">
        <v>151</v>
      </c>
      <c r="C22" s="0" t="s">
        <v>26</v>
      </c>
      <c r="D22" s="0" t="s">
        <v>152</v>
      </c>
      <c r="E22" s="0" t="s">
        <v>89</v>
      </c>
      <c r="F22" s="0" t="s">
        <v>148</v>
      </c>
      <c r="G22" s="0" t="s">
        <v>368</v>
      </c>
      <c r="H22" s="7" t="s">
        <v>52</v>
      </c>
      <c r="I22" s="7" t="s">
        <v>67</v>
      </c>
      <c r="J22" s="9" t="n">
        <v>46227</v>
      </c>
      <c r="L22" s="0" t="n">
        <v>1</v>
      </c>
      <c r="M22" s="0" t="n">
        <v>1</v>
      </c>
    </row>
    <row r="23" customFormat="false" ht="42" hidden="false" customHeight="true" outlineLevel="0" collapsed="false">
      <c r="A23" s="0" t="s">
        <v>355</v>
      </c>
      <c r="B23" s="0" t="s">
        <v>155</v>
      </c>
      <c r="C23" s="0" t="s">
        <v>26</v>
      </c>
      <c r="D23" s="0" t="s">
        <v>156</v>
      </c>
      <c r="E23" s="0" t="s">
        <v>157</v>
      </c>
      <c r="F23" s="0" t="s">
        <v>157</v>
      </c>
      <c r="G23" s="0" t="s">
        <v>158</v>
      </c>
      <c r="H23" s="7" t="s">
        <v>52</v>
      </c>
      <c r="I23" s="7" t="s">
        <v>67</v>
      </c>
      <c r="J23" s="9" t="n">
        <v>46227</v>
      </c>
      <c r="L23" s="0" t="n">
        <v>1</v>
      </c>
      <c r="M23" s="0" t="n">
        <v>1</v>
      </c>
    </row>
    <row r="24" customFormat="false" ht="42" hidden="false" customHeight="true" outlineLevel="0" collapsed="false">
      <c r="A24" s="0" t="s">
        <v>356</v>
      </c>
      <c r="B24" s="0" t="s">
        <v>160</v>
      </c>
      <c r="C24" s="0" t="s">
        <v>26</v>
      </c>
      <c r="D24" s="0" t="s">
        <v>161</v>
      </c>
      <c r="E24" s="0" t="s">
        <v>89</v>
      </c>
      <c r="F24" s="0" t="s">
        <v>89</v>
      </c>
      <c r="G24" s="0" t="s">
        <v>162</v>
      </c>
      <c r="H24" s="7" t="s">
        <v>52</v>
      </c>
      <c r="I24" s="7" t="s">
        <v>67</v>
      </c>
      <c r="J24" s="9" t="n">
        <v>46227</v>
      </c>
      <c r="L24" s="0" t="n">
        <v>1</v>
      </c>
      <c r="M24" s="0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.71"/>
    <col collapsed="false" customWidth="true" hidden="false" outlineLevel="0" max="2" min="2" style="0" width="15.71"/>
    <col collapsed="false" customWidth="true" hidden="false" outlineLevel="0" max="3" min="3" style="0" width="18.71"/>
    <col collapsed="false" customWidth="true" hidden="false" outlineLevel="0" max="4" min="4" style="0" width="58.71"/>
    <col collapsed="false" customWidth="true" hidden="false" outlineLevel="0" max="6" min="5" style="0" width="14.71"/>
    <col collapsed="false" customWidth="true" hidden="false" outlineLevel="0" max="7" min="7" style="0" width="50.71"/>
    <col collapsed="false" customWidth="true" hidden="false" outlineLevel="0" max="8" min="8" style="0" width="17.71"/>
    <col collapsed="false" customWidth="true" hidden="false" outlineLevel="0" max="9" min="9" style="0" width="14.71"/>
    <col collapsed="false" customWidth="true" hidden="false" outlineLevel="0" max="10" min="10" style="9" width="14.71"/>
    <col collapsed="false" customWidth="true" hidden="false" outlineLevel="0" max="11" min="11" style="0" width="42.71"/>
    <col collapsed="false" customWidth="true" hidden="false" outlineLevel="0" max="13" min="12" style="0" width="10.71"/>
  </cols>
  <sheetData>
    <row r="1" customFormat="false" ht="37.5" hidden="false" customHeight="true" outlineLevel="0" collapsed="false">
      <c r="A1" s="2" t="s">
        <v>369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27.75" hidden="false" customHeight="true" outlineLevel="0" collapsed="false">
      <c r="A2" s="3" t="s">
        <v>69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7.35" hidden="false" customHeight="false" outlineLevel="0" collapsed="false">
      <c r="A4" s="4" t="s">
        <v>7</v>
      </c>
      <c r="B4" s="5" t="n">
        <v>16</v>
      </c>
      <c r="D4" s="4" t="s">
        <v>70</v>
      </c>
      <c r="E4" s="5" t="n">
        <v>16</v>
      </c>
      <c r="G4" s="4" t="s">
        <v>14</v>
      </c>
      <c r="H4" s="6" t="n">
        <v>1</v>
      </c>
      <c r="J4" s="4" t="s">
        <v>15</v>
      </c>
      <c r="K4" s="5" t="s">
        <v>71</v>
      </c>
    </row>
    <row r="5" customFormat="false" ht="17.35" hidden="false" customHeight="false" outlineLevel="0" collapsed="false">
      <c r="A5" s="4" t="s">
        <v>72</v>
      </c>
      <c r="B5" s="5" t="s">
        <v>71</v>
      </c>
      <c r="D5" s="4" t="s">
        <v>16</v>
      </c>
      <c r="E5" s="5" t="s">
        <v>71</v>
      </c>
    </row>
    <row r="8" customFormat="false" ht="15" hidden="false" customHeight="false" outlineLevel="0" collapsed="false">
      <c r="A8" s="7" t="s">
        <v>73</v>
      </c>
      <c r="B8" s="7" t="s">
        <v>74</v>
      </c>
      <c r="C8" s="7" t="s">
        <v>75</v>
      </c>
      <c r="D8" s="7" t="s">
        <v>76</v>
      </c>
      <c r="E8" s="7" t="s">
        <v>77</v>
      </c>
      <c r="F8" s="7" t="s">
        <v>78</v>
      </c>
      <c r="G8" s="7" t="s">
        <v>79</v>
      </c>
      <c r="H8" s="7" t="s">
        <v>80</v>
      </c>
      <c r="I8" s="7" t="s">
        <v>81</v>
      </c>
      <c r="J8" s="10" t="s">
        <v>82</v>
      </c>
      <c r="K8" s="7" t="s">
        <v>83</v>
      </c>
      <c r="L8" s="7" t="s">
        <v>84</v>
      </c>
      <c r="M8" s="7" t="s">
        <v>70</v>
      </c>
    </row>
    <row r="9" customFormat="false" ht="42" hidden="false" customHeight="true" outlineLevel="0" collapsed="false">
      <c r="A9" s="0" t="s">
        <v>370</v>
      </c>
      <c r="B9" s="0" t="s">
        <v>86</v>
      </c>
      <c r="C9" s="0" t="s">
        <v>27</v>
      </c>
      <c r="D9" s="0" t="s">
        <v>88</v>
      </c>
      <c r="E9" s="0" t="s">
        <v>89</v>
      </c>
      <c r="F9" s="0" t="s">
        <v>90</v>
      </c>
      <c r="G9" s="0" t="s">
        <v>371</v>
      </c>
      <c r="H9" s="7" t="s">
        <v>52</v>
      </c>
      <c r="I9" s="7" t="s">
        <v>67</v>
      </c>
      <c r="J9" s="9" t="n">
        <v>46227</v>
      </c>
      <c r="L9" s="0" t="n">
        <v>1</v>
      </c>
      <c r="M9" s="0" t="n">
        <v>1</v>
      </c>
    </row>
    <row r="10" customFormat="false" ht="42" hidden="false" customHeight="true" outlineLevel="0" collapsed="false">
      <c r="A10" s="0" t="s">
        <v>372</v>
      </c>
      <c r="B10" s="0" t="s">
        <v>93</v>
      </c>
      <c r="C10" s="0" t="s">
        <v>27</v>
      </c>
      <c r="D10" s="0" t="s">
        <v>94</v>
      </c>
      <c r="E10" s="0" t="s">
        <v>89</v>
      </c>
      <c r="F10" s="0" t="s">
        <v>89</v>
      </c>
      <c r="G10" s="0" t="s">
        <v>95</v>
      </c>
      <c r="H10" s="7" t="s">
        <v>52</v>
      </c>
      <c r="I10" s="7" t="s">
        <v>67</v>
      </c>
      <c r="J10" s="9" t="n">
        <v>46227</v>
      </c>
      <c r="L10" s="0" t="n">
        <v>1</v>
      </c>
      <c r="M10" s="0" t="n">
        <v>1</v>
      </c>
    </row>
    <row r="11" customFormat="false" ht="42" hidden="false" customHeight="true" outlineLevel="0" collapsed="false">
      <c r="A11" s="0" t="s">
        <v>373</v>
      </c>
      <c r="B11" s="0" t="s">
        <v>97</v>
      </c>
      <c r="C11" s="0" t="s">
        <v>27</v>
      </c>
      <c r="D11" s="0" t="s">
        <v>98</v>
      </c>
      <c r="E11" s="0" t="s">
        <v>89</v>
      </c>
      <c r="F11" s="0" t="s">
        <v>99</v>
      </c>
      <c r="G11" s="0" t="s">
        <v>374</v>
      </c>
      <c r="H11" s="7" t="s">
        <v>52</v>
      </c>
      <c r="I11" s="7" t="s">
        <v>67</v>
      </c>
      <c r="J11" s="9" t="n">
        <v>46227</v>
      </c>
      <c r="L11" s="0" t="n">
        <v>1</v>
      </c>
      <c r="M11" s="0" t="n">
        <v>1</v>
      </c>
    </row>
    <row r="12" customFormat="false" ht="42" hidden="false" customHeight="true" outlineLevel="0" collapsed="false">
      <c r="A12" s="0" t="s">
        <v>375</v>
      </c>
      <c r="B12" s="0" t="s">
        <v>102</v>
      </c>
      <c r="C12" s="0" t="s">
        <v>27</v>
      </c>
      <c r="D12" s="0" t="s">
        <v>103</v>
      </c>
      <c r="E12" s="0" t="s">
        <v>89</v>
      </c>
      <c r="F12" s="0" t="s">
        <v>104</v>
      </c>
      <c r="G12" s="0" t="s">
        <v>376</v>
      </c>
      <c r="H12" s="7" t="s">
        <v>52</v>
      </c>
      <c r="I12" s="7" t="s">
        <v>67</v>
      </c>
      <c r="J12" s="9" t="n">
        <v>46227</v>
      </c>
      <c r="L12" s="0" t="n">
        <v>1</v>
      </c>
      <c r="M12" s="0" t="n">
        <v>1</v>
      </c>
    </row>
    <row r="13" customFormat="false" ht="42" hidden="false" customHeight="true" outlineLevel="0" collapsed="false">
      <c r="A13" s="0" t="s">
        <v>377</v>
      </c>
      <c r="B13" s="0" t="s">
        <v>107</v>
      </c>
      <c r="C13" s="0" t="s">
        <v>27</v>
      </c>
      <c r="D13" s="0" t="s">
        <v>108</v>
      </c>
      <c r="E13" s="0" t="s">
        <v>89</v>
      </c>
      <c r="F13" s="0" t="s">
        <v>109</v>
      </c>
      <c r="G13" s="0" t="s">
        <v>378</v>
      </c>
      <c r="H13" s="7" t="s">
        <v>52</v>
      </c>
      <c r="I13" s="7" t="s">
        <v>67</v>
      </c>
      <c r="J13" s="9" t="n">
        <v>46227</v>
      </c>
      <c r="L13" s="0" t="n">
        <v>1</v>
      </c>
      <c r="M13" s="0" t="n">
        <v>1</v>
      </c>
    </row>
    <row r="14" customFormat="false" ht="42" hidden="false" customHeight="true" outlineLevel="0" collapsed="false">
      <c r="A14" s="0" t="s">
        <v>379</v>
      </c>
      <c r="B14" s="0" t="s">
        <v>112</v>
      </c>
      <c r="C14" s="0" t="s">
        <v>27</v>
      </c>
      <c r="D14" s="0" t="s">
        <v>113</v>
      </c>
      <c r="E14" s="0" t="s">
        <v>89</v>
      </c>
      <c r="F14" s="0" t="s">
        <v>114</v>
      </c>
      <c r="G14" s="0" t="s">
        <v>380</v>
      </c>
      <c r="H14" s="7" t="s">
        <v>52</v>
      </c>
      <c r="I14" s="7" t="s">
        <v>67</v>
      </c>
      <c r="J14" s="9" t="n">
        <v>46227</v>
      </c>
      <c r="L14" s="0" t="n">
        <v>1</v>
      </c>
      <c r="M14" s="0" t="n">
        <v>1</v>
      </c>
    </row>
    <row r="15" customFormat="false" ht="42" hidden="false" customHeight="true" outlineLevel="0" collapsed="false">
      <c r="A15" s="0" t="s">
        <v>381</v>
      </c>
      <c r="B15" s="0" t="s">
        <v>117</v>
      </c>
      <c r="C15" s="0" t="s">
        <v>27</v>
      </c>
      <c r="D15" s="0" t="s">
        <v>118</v>
      </c>
      <c r="E15" s="0" t="s">
        <v>89</v>
      </c>
      <c r="F15" s="0" t="s">
        <v>119</v>
      </c>
      <c r="G15" s="0" t="s">
        <v>382</v>
      </c>
      <c r="H15" s="7" t="s">
        <v>52</v>
      </c>
      <c r="I15" s="7" t="s">
        <v>67</v>
      </c>
      <c r="J15" s="9" t="n">
        <v>46227</v>
      </c>
      <c r="L15" s="0" t="n">
        <v>1</v>
      </c>
      <c r="M15" s="0" t="n">
        <v>1</v>
      </c>
    </row>
    <row r="16" customFormat="false" ht="42" hidden="false" customHeight="true" outlineLevel="0" collapsed="false">
      <c r="A16" s="0" t="s">
        <v>383</v>
      </c>
      <c r="B16" s="0" t="s">
        <v>122</v>
      </c>
      <c r="C16" s="0" t="s">
        <v>27</v>
      </c>
      <c r="D16" s="0" t="s">
        <v>123</v>
      </c>
      <c r="E16" s="0" t="s">
        <v>89</v>
      </c>
      <c r="F16" s="0" t="s">
        <v>124</v>
      </c>
      <c r="G16" s="0" t="s">
        <v>384</v>
      </c>
      <c r="H16" s="7" t="s">
        <v>54</v>
      </c>
      <c r="I16" s="7" t="s">
        <v>66</v>
      </c>
      <c r="J16" s="9" t="n">
        <v>46227</v>
      </c>
      <c r="K16" s="0" t="s">
        <v>126</v>
      </c>
      <c r="L16" s="0" t="n">
        <v>1</v>
      </c>
      <c r="M16" s="0" t="n">
        <v>1</v>
      </c>
    </row>
    <row r="17" customFormat="false" ht="42" hidden="false" customHeight="true" outlineLevel="0" collapsed="false">
      <c r="A17" s="0" t="s">
        <v>385</v>
      </c>
      <c r="B17" s="0" t="s">
        <v>128</v>
      </c>
      <c r="C17" s="0" t="s">
        <v>27</v>
      </c>
      <c r="D17" s="0" t="s">
        <v>129</v>
      </c>
      <c r="E17" s="0" t="s">
        <v>89</v>
      </c>
      <c r="F17" s="0" t="s">
        <v>130</v>
      </c>
      <c r="G17" s="0" t="s">
        <v>386</v>
      </c>
      <c r="H17" s="7" t="s">
        <v>54</v>
      </c>
      <c r="I17" s="7" t="s">
        <v>66</v>
      </c>
      <c r="J17" s="9" t="n">
        <v>46227</v>
      </c>
      <c r="K17" s="0" t="s">
        <v>132</v>
      </c>
      <c r="L17" s="0" t="n">
        <v>1</v>
      </c>
      <c r="M17" s="0" t="n">
        <v>1</v>
      </c>
    </row>
    <row r="18" customFormat="false" ht="42" hidden="false" customHeight="true" outlineLevel="0" collapsed="false">
      <c r="A18" s="0" t="s">
        <v>387</v>
      </c>
      <c r="B18" s="0" t="s">
        <v>134</v>
      </c>
      <c r="C18" s="0" t="s">
        <v>27</v>
      </c>
      <c r="D18" s="0" t="s">
        <v>135</v>
      </c>
      <c r="E18" s="0" t="s">
        <v>89</v>
      </c>
      <c r="F18" s="0" t="s">
        <v>130</v>
      </c>
      <c r="G18" s="0" t="s">
        <v>386</v>
      </c>
      <c r="H18" s="7" t="s">
        <v>54</v>
      </c>
      <c r="I18" s="7" t="s">
        <v>66</v>
      </c>
      <c r="J18" s="9" t="n">
        <v>46227</v>
      </c>
      <c r="K18" s="0" t="s">
        <v>132</v>
      </c>
      <c r="L18" s="0" t="n">
        <v>1</v>
      </c>
      <c r="M18" s="0" t="n">
        <v>1</v>
      </c>
    </row>
    <row r="19" customFormat="false" ht="42" hidden="false" customHeight="true" outlineLevel="0" collapsed="false">
      <c r="A19" s="0" t="s">
        <v>388</v>
      </c>
      <c r="B19" s="0" t="s">
        <v>137</v>
      </c>
      <c r="C19" s="0" t="s">
        <v>27</v>
      </c>
      <c r="D19" s="0" t="s">
        <v>138</v>
      </c>
      <c r="E19" s="0" t="s">
        <v>89</v>
      </c>
      <c r="F19" s="0" t="s">
        <v>130</v>
      </c>
      <c r="G19" s="0" t="s">
        <v>389</v>
      </c>
      <c r="H19" s="7" t="s">
        <v>54</v>
      </c>
      <c r="I19" s="7" t="s">
        <v>66</v>
      </c>
      <c r="J19" s="9" t="n">
        <v>46227</v>
      </c>
      <c r="K19" s="0" t="s">
        <v>140</v>
      </c>
      <c r="L19" s="0" t="n">
        <v>1</v>
      </c>
      <c r="M19" s="0" t="n">
        <v>1</v>
      </c>
    </row>
    <row r="20" customFormat="false" ht="42" hidden="false" customHeight="true" outlineLevel="0" collapsed="false">
      <c r="A20" s="0" t="s">
        <v>390</v>
      </c>
      <c r="B20" s="0" t="s">
        <v>142</v>
      </c>
      <c r="C20" s="0" t="s">
        <v>27</v>
      </c>
      <c r="D20" s="0" t="s">
        <v>143</v>
      </c>
      <c r="E20" s="0" t="s">
        <v>89</v>
      </c>
      <c r="F20" s="0" t="s">
        <v>130</v>
      </c>
      <c r="G20" s="0" t="s">
        <v>386</v>
      </c>
      <c r="H20" s="7" t="s">
        <v>54</v>
      </c>
      <c r="I20" s="7" t="s">
        <v>66</v>
      </c>
      <c r="J20" s="9" t="n">
        <v>46227</v>
      </c>
      <c r="K20" s="0" t="s">
        <v>144</v>
      </c>
      <c r="L20" s="0" t="n">
        <v>1</v>
      </c>
      <c r="M20" s="0" t="n">
        <v>1</v>
      </c>
    </row>
    <row r="21" customFormat="false" ht="42" hidden="false" customHeight="true" outlineLevel="0" collapsed="false">
      <c r="A21" s="0" t="s">
        <v>391</v>
      </c>
      <c r="B21" s="0" t="s">
        <v>146</v>
      </c>
      <c r="C21" s="0" t="s">
        <v>27</v>
      </c>
      <c r="D21" s="0" t="s">
        <v>147</v>
      </c>
      <c r="E21" s="0" t="s">
        <v>89</v>
      </c>
      <c r="F21" s="0" t="s">
        <v>148</v>
      </c>
      <c r="G21" s="0" t="s">
        <v>392</v>
      </c>
      <c r="H21" s="7" t="s">
        <v>52</v>
      </c>
      <c r="I21" s="7" t="s">
        <v>67</v>
      </c>
      <c r="J21" s="9" t="n">
        <v>46227</v>
      </c>
      <c r="L21" s="0" t="n">
        <v>1</v>
      </c>
      <c r="M21" s="0" t="n">
        <v>1</v>
      </c>
    </row>
    <row r="22" customFormat="false" ht="42" hidden="false" customHeight="true" outlineLevel="0" collapsed="false">
      <c r="A22" s="0" t="s">
        <v>393</v>
      </c>
      <c r="B22" s="0" t="s">
        <v>151</v>
      </c>
      <c r="C22" s="0" t="s">
        <v>27</v>
      </c>
      <c r="D22" s="0" t="s">
        <v>152</v>
      </c>
      <c r="E22" s="0" t="s">
        <v>89</v>
      </c>
      <c r="F22" s="0" t="s">
        <v>148</v>
      </c>
      <c r="G22" s="0" t="s">
        <v>394</v>
      </c>
      <c r="H22" s="7" t="s">
        <v>52</v>
      </c>
      <c r="I22" s="7" t="s">
        <v>67</v>
      </c>
      <c r="J22" s="9" t="n">
        <v>46227</v>
      </c>
      <c r="L22" s="0" t="n">
        <v>1</v>
      </c>
      <c r="M22" s="0" t="n">
        <v>1</v>
      </c>
    </row>
    <row r="23" customFormat="false" ht="42" hidden="false" customHeight="true" outlineLevel="0" collapsed="false">
      <c r="A23" s="0" t="s">
        <v>395</v>
      </c>
      <c r="B23" s="0" t="s">
        <v>155</v>
      </c>
      <c r="C23" s="0" t="s">
        <v>27</v>
      </c>
      <c r="D23" s="0" t="s">
        <v>156</v>
      </c>
      <c r="E23" s="0" t="s">
        <v>157</v>
      </c>
      <c r="F23" s="0" t="s">
        <v>157</v>
      </c>
      <c r="G23" s="0" t="s">
        <v>158</v>
      </c>
      <c r="H23" s="7" t="s">
        <v>52</v>
      </c>
      <c r="I23" s="7" t="s">
        <v>67</v>
      </c>
      <c r="J23" s="9" t="n">
        <v>46227</v>
      </c>
      <c r="L23" s="0" t="n">
        <v>1</v>
      </c>
      <c r="M23" s="0" t="n">
        <v>1</v>
      </c>
    </row>
    <row r="24" customFormat="false" ht="42" hidden="false" customHeight="true" outlineLevel="0" collapsed="false">
      <c r="A24" s="0" t="s">
        <v>396</v>
      </c>
      <c r="B24" s="0" t="s">
        <v>160</v>
      </c>
      <c r="C24" s="0" t="s">
        <v>27</v>
      </c>
      <c r="D24" s="0" t="s">
        <v>161</v>
      </c>
      <c r="E24" s="0" t="s">
        <v>89</v>
      </c>
      <c r="F24" s="0" t="s">
        <v>89</v>
      </c>
      <c r="G24" s="0" t="s">
        <v>162</v>
      </c>
      <c r="H24" s="7" t="s">
        <v>52</v>
      </c>
      <c r="I24" s="7" t="s">
        <v>67</v>
      </c>
      <c r="J24" s="9" t="n">
        <v>46227</v>
      </c>
      <c r="L24" s="0" t="n">
        <v>1</v>
      </c>
      <c r="M24" s="0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.71"/>
    <col collapsed="false" customWidth="true" hidden="false" outlineLevel="0" max="2" min="2" style="0" width="15.71"/>
    <col collapsed="false" customWidth="true" hidden="false" outlineLevel="0" max="3" min="3" style="0" width="18.71"/>
    <col collapsed="false" customWidth="true" hidden="false" outlineLevel="0" max="4" min="4" style="0" width="58.71"/>
    <col collapsed="false" customWidth="true" hidden="false" outlineLevel="0" max="6" min="5" style="0" width="14.71"/>
    <col collapsed="false" customWidth="true" hidden="false" outlineLevel="0" max="7" min="7" style="0" width="50.71"/>
    <col collapsed="false" customWidth="true" hidden="false" outlineLevel="0" max="8" min="8" style="0" width="17.71"/>
    <col collapsed="false" customWidth="true" hidden="false" outlineLevel="0" max="9" min="9" style="0" width="14.71"/>
    <col collapsed="false" customWidth="true" hidden="false" outlineLevel="0" max="10" min="10" style="9" width="14.71"/>
    <col collapsed="false" customWidth="true" hidden="false" outlineLevel="0" max="11" min="11" style="0" width="42.71"/>
    <col collapsed="false" customWidth="true" hidden="false" outlineLevel="0" max="13" min="12" style="0" width="10.71"/>
  </cols>
  <sheetData>
    <row r="1" customFormat="false" ht="37.5" hidden="false" customHeight="true" outlineLevel="0" collapsed="false">
      <c r="A1" s="2" t="s">
        <v>397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27.75" hidden="false" customHeight="true" outlineLevel="0" collapsed="false">
      <c r="A2" s="3" t="s">
        <v>69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7.35" hidden="false" customHeight="false" outlineLevel="0" collapsed="false">
      <c r="A4" s="4" t="s">
        <v>7</v>
      </c>
      <c r="B4" s="5" t="n">
        <v>16</v>
      </c>
      <c r="D4" s="4" t="s">
        <v>70</v>
      </c>
      <c r="E4" s="5" t="n">
        <v>16</v>
      </c>
      <c r="G4" s="4" t="s">
        <v>14</v>
      </c>
      <c r="H4" s="6" t="n">
        <v>1</v>
      </c>
      <c r="J4" s="4" t="s">
        <v>15</v>
      </c>
      <c r="K4" s="5" t="s">
        <v>71</v>
      </c>
    </row>
    <row r="5" customFormat="false" ht="17.35" hidden="false" customHeight="false" outlineLevel="0" collapsed="false">
      <c r="A5" s="4" t="s">
        <v>72</v>
      </c>
      <c r="B5" s="5" t="s">
        <v>71</v>
      </c>
      <c r="D5" s="4" t="s">
        <v>16</v>
      </c>
      <c r="E5" s="5" t="s">
        <v>71</v>
      </c>
    </row>
    <row r="8" customFormat="false" ht="15" hidden="false" customHeight="false" outlineLevel="0" collapsed="false">
      <c r="A8" s="7" t="s">
        <v>73</v>
      </c>
      <c r="B8" s="7" t="s">
        <v>74</v>
      </c>
      <c r="C8" s="7" t="s">
        <v>75</v>
      </c>
      <c r="D8" s="7" t="s">
        <v>76</v>
      </c>
      <c r="E8" s="7" t="s">
        <v>77</v>
      </c>
      <c r="F8" s="7" t="s">
        <v>78</v>
      </c>
      <c r="G8" s="7" t="s">
        <v>79</v>
      </c>
      <c r="H8" s="7" t="s">
        <v>80</v>
      </c>
      <c r="I8" s="7" t="s">
        <v>81</v>
      </c>
      <c r="J8" s="10" t="s">
        <v>82</v>
      </c>
      <c r="K8" s="7" t="s">
        <v>83</v>
      </c>
      <c r="L8" s="7" t="s">
        <v>84</v>
      </c>
      <c r="M8" s="7" t="s">
        <v>70</v>
      </c>
    </row>
    <row r="9" customFormat="false" ht="42" hidden="false" customHeight="true" outlineLevel="0" collapsed="false">
      <c r="A9" s="0" t="s">
        <v>370</v>
      </c>
      <c r="B9" s="0" t="s">
        <v>86</v>
      </c>
      <c r="C9" s="0" t="s">
        <v>28</v>
      </c>
      <c r="D9" s="0" t="s">
        <v>88</v>
      </c>
      <c r="E9" s="0" t="s">
        <v>89</v>
      </c>
      <c r="F9" s="0" t="s">
        <v>90</v>
      </c>
      <c r="G9" s="0" t="s">
        <v>398</v>
      </c>
      <c r="H9" s="7" t="s">
        <v>52</v>
      </c>
      <c r="I9" s="7" t="s">
        <v>67</v>
      </c>
      <c r="J9" s="9" t="n">
        <v>46227</v>
      </c>
      <c r="L9" s="0" t="n">
        <v>1</v>
      </c>
      <c r="M9" s="0" t="n">
        <v>1</v>
      </c>
    </row>
    <row r="10" customFormat="false" ht="42" hidden="false" customHeight="true" outlineLevel="0" collapsed="false">
      <c r="A10" s="0" t="s">
        <v>372</v>
      </c>
      <c r="B10" s="0" t="s">
        <v>93</v>
      </c>
      <c r="C10" s="0" t="s">
        <v>28</v>
      </c>
      <c r="D10" s="0" t="s">
        <v>94</v>
      </c>
      <c r="E10" s="0" t="s">
        <v>89</v>
      </c>
      <c r="F10" s="0" t="s">
        <v>89</v>
      </c>
      <c r="G10" s="0" t="s">
        <v>95</v>
      </c>
      <c r="H10" s="7" t="s">
        <v>52</v>
      </c>
      <c r="I10" s="7" t="s">
        <v>67</v>
      </c>
      <c r="J10" s="9" t="n">
        <v>46227</v>
      </c>
      <c r="L10" s="0" t="n">
        <v>1</v>
      </c>
      <c r="M10" s="0" t="n">
        <v>1</v>
      </c>
    </row>
    <row r="11" customFormat="false" ht="42" hidden="false" customHeight="true" outlineLevel="0" collapsed="false">
      <c r="A11" s="0" t="s">
        <v>373</v>
      </c>
      <c r="B11" s="0" t="s">
        <v>97</v>
      </c>
      <c r="C11" s="0" t="s">
        <v>28</v>
      </c>
      <c r="D11" s="0" t="s">
        <v>98</v>
      </c>
      <c r="E11" s="0" t="s">
        <v>89</v>
      </c>
      <c r="F11" s="0" t="s">
        <v>99</v>
      </c>
      <c r="G11" s="0" t="s">
        <v>399</v>
      </c>
      <c r="H11" s="7" t="s">
        <v>52</v>
      </c>
      <c r="I11" s="7" t="s">
        <v>67</v>
      </c>
      <c r="J11" s="9" t="n">
        <v>46227</v>
      </c>
      <c r="L11" s="0" t="n">
        <v>1</v>
      </c>
      <c r="M11" s="0" t="n">
        <v>1</v>
      </c>
    </row>
    <row r="12" customFormat="false" ht="42" hidden="false" customHeight="true" outlineLevel="0" collapsed="false">
      <c r="A12" s="0" t="s">
        <v>375</v>
      </c>
      <c r="B12" s="0" t="s">
        <v>102</v>
      </c>
      <c r="C12" s="0" t="s">
        <v>28</v>
      </c>
      <c r="D12" s="0" t="s">
        <v>103</v>
      </c>
      <c r="E12" s="0" t="s">
        <v>89</v>
      </c>
      <c r="F12" s="0" t="s">
        <v>104</v>
      </c>
      <c r="G12" s="0" t="s">
        <v>400</v>
      </c>
      <c r="H12" s="7" t="s">
        <v>52</v>
      </c>
      <c r="I12" s="7" t="s">
        <v>67</v>
      </c>
      <c r="J12" s="9" t="n">
        <v>46227</v>
      </c>
      <c r="L12" s="0" t="n">
        <v>1</v>
      </c>
      <c r="M12" s="0" t="n">
        <v>1</v>
      </c>
    </row>
    <row r="13" customFormat="false" ht="42" hidden="false" customHeight="true" outlineLevel="0" collapsed="false">
      <c r="A13" s="0" t="s">
        <v>377</v>
      </c>
      <c r="B13" s="0" t="s">
        <v>107</v>
      </c>
      <c r="C13" s="0" t="s">
        <v>28</v>
      </c>
      <c r="D13" s="0" t="s">
        <v>108</v>
      </c>
      <c r="E13" s="0" t="s">
        <v>89</v>
      </c>
      <c r="F13" s="0" t="s">
        <v>109</v>
      </c>
      <c r="G13" s="0" t="s">
        <v>401</v>
      </c>
      <c r="H13" s="7" t="s">
        <v>52</v>
      </c>
      <c r="I13" s="7" t="s">
        <v>67</v>
      </c>
      <c r="J13" s="9" t="n">
        <v>46227</v>
      </c>
      <c r="L13" s="0" t="n">
        <v>1</v>
      </c>
      <c r="M13" s="0" t="n">
        <v>1</v>
      </c>
    </row>
    <row r="14" customFormat="false" ht="42" hidden="false" customHeight="true" outlineLevel="0" collapsed="false">
      <c r="A14" s="0" t="s">
        <v>379</v>
      </c>
      <c r="B14" s="0" t="s">
        <v>112</v>
      </c>
      <c r="C14" s="0" t="s">
        <v>28</v>
      </c>
      <c r="D14" s="0" t="s">
        <v>113</v>
      </c>
      <c r="E14" s="0" t="s">
        <v>89</v>
      </c>
      <c r="F14" s="0" t="s">
        <v>114</v>
      </c>
      <c r="G14" s="0" t="s">
        <v>402</v>
      </c>
      <c r="H14" s="7" t="s">
        <v>52</v>
      </c>
      <c r="I14" s="7" t="s">
        <v>67</v>
      </c>
      <c r="J14" s="9" t="n">
        <v>46227</v>
      </c>
      <c r="L14" s="0" t="n">
        <v>1</v>
      </c>
      <c r="M14" s="0" t="n">
        <v>1</v>
      </c>
    </row>
    <row r="15" customFormat="false" ht="42" hidden="false" customHeight="true" outlineLevel="0" collapsed="false">
      <c r="A15" s="0" t="s">
        <v>381</v>
      </c>
      <c r="B15" s="0" t="s">
        <v>117</v>
      </c>
      <c r="C15" s="0" t="s">
        <v>28</v>
      </c>
      <c r="D15" s="0" t="s">
        <v>118</v>
      </c>
      <c r="E15" s="0" t="s">
        <v>89</v>
      </c>
      <c r="F15" s="0" t="s">
        <v>119</v>
      </c>
      <c r="G15" s="0" t="s">
        <v>403</v>
      </c>
      <c r="H15" s="7" t="s">
        <v>52</v>
      </c>
      <c r="I15" s="7" t="s">
        <v>67</v>
      </c>
      <c r="J15" s="9" t="n">
        <v>46227</v>
      </c>
      <c r="L15" s="0" t="n">
        <v>1</v>
      </c>
      <c r="M15" s="0" t="n">
        <v>1</v>
      </c>
    </row>
    <row r="16" customFormat="false" ht="42" hidden="false" customHeight="true" outlineLevel="0" collapsed="false">
      <c r="A16" s="0" t="s">
        <v>383</v>
      </c>
      <c r="B16" s="0" t="s">
        <v>122</v>
      </c>
      <c r="C16" s="0" t="s">
        <v>28</v>
      </c>
      <c r="D16" s="0" t="s">
        <v>123</v>
      </c>
      <c r="E16" s="0" t="s">
        <v>89</v>
      </c>
      <c r="F16" s="0" t="s">
        <v>124</v>
      </c>
      <c r="G16" s="0" t="s">
        <v>404</v>
      </c>
      <c r="H16" s="7" t="s">
        <v>54</v>
      </c>
      <c r="I16" s="7" t="s">
        <v>66</v>
      </c>
      <c r="J16" s="9" t="n">
        <v>46227</v>
      </c>
      <c r="K16" s="0" t="s">
        <v>126</v>
      </c>
      <c r="L16" s="0" t="n">
        <v>1</v>
      </c>
      <c r="M16" s="0" t="n">
        <v>1</v>
      </c>
    </row>
    <row r="17" customFormat="false" ht="42" hidden="false" customHeight="true" outlineLevel="0" collapsed="false">
      <c r="A17" s="0" t="s">
        <v>385</v>
      </c>
      <c r="B17" s="0" t="s">
        <v>128</v>
      </c>
      <c r="C17" s="0" t="s">
        <v>28</v>
      </c>
      <c r="D17" s="0" t="s">
        <v>129</v>
      </c>
      <c r="E17" s="0" t="s">
        <v>89</v>
      </c>
      <c r="F17" s="0" t="s">
        <v>130</v>
      </c>
      <c r="G17" s="0" t="s">
        <v>405</v>
      </c>
      <c r="H17" s="7" t="s">
        <v>54</v>
      </c>
      <c r="I17" s="7" t="s">
        <v>66</v>
      </c>
      <c r="J17" s="9" t="n">
        <v>46227</v>
      </c>
      <c r="K17" s="0" t="s">
        <v>132</v>
      </c>
      <c r="L17" s="0" t="n">
        <v>1</v>
      </c>
      <c r="M17" s="0" t="n">
        <v>1</v>
      </c>
    </row>
    <row r="18" customFormat="false" ht="42" hidden="false" customHeight="true" outlineLevel="0" collapsed="false">
      <c r="A18" s="0" t="s">
        <v>387</v>
      </c>
      <c r="B18" s="0" t="s">
        <v>134</v>
      </c>
      <c r="C18" s="0" t="s">
        <v>28</v>
      </c>
      <c r="D18" s="0" t="s">
        <v>135</v>
      </c>
      <c r="E18" s="0" t="s">
        <v>89</v>
      </c>
      <c r="F18" s="0" t="s">
        <v>130</v>
      </c>
      <c r="G18" s="0" t="s">
        <v>405</v>
      </c>
      <c r="H18" s="7" t="s">
        <v>54</v>
      </c>
      <c r="I18" s="7" t="s">
        <v>66</v>
      </c>
      <c r="J18" s="9" t="n">
        <v>46227</v>
      </c>
      <c r="K18" s="0" t="s">
        <v>132</v>
      </c>
      <c r="L18" s="0" t="n">
        <v>1</v>
      </c>
      <c r="M18" s="0" t="n">
        <v>1</v>
      </c>
    </row>
    <row r="19" customFormat="false" ht="42" hidden="false" customHeight="true" outlineLevel="0" collapsed="false">
      <c r="A19" s="0" t="s">
        <v>388</v>
      </c>
      <c r="B19" s="0" t="s">
        <v>137</v>
      </c>
      <c r="C19" s="0" t="s">
        <v>28</v>
      </c>
      <c r="D19" s="0" t="s">
        <v>138</v>
      </c>
      <c r="E19" s="0" t="s">
        <v>89</v>
      </c>
      <c r="F19" s="0" t="s">
        <v>130</v>
      </c>
      <c r="G19" s="0" t="s">
        <v>406</v>
      </c>
      <c r="H19" s="7" t="s">
        <v>54</v>
      </c>
      <c r="I19" s="7" t="s">
        <v>66</v>
      </c>
      <c r="J19" s="9" t="n">
        <v>46227</v>
      </c>
      <c r="K19" s="0" t="s">
        <v>140</v>
      </c>
      <c r="L19" s="0" t="n">
        <v>1</v>
      </c>
      <c r="M19" s="0" t="n">
        <v>1</v>
      </c>
    </row>
    <row r="20" customFormat="false" ht="42" hidden="false" customHeight="true" outlineLevel="0" collapsed="false">
      <c r="A20" s="0" t="s">
        <v>390</v>
      </c>
      <c r="B20" s="0" t="s">
        <v>142</v>
      </c>
      <c r="C20" s="0" t="s">
        <v>28</v>
      </c>
      <c r="D20" s="0" t="s">
        <v>143</v>
      </c>
      <c r="E20" s="0" t="s">
        <v>89</v>
      </c>
      <c r="F20" s="0" t="s">
        <v>130</v>
      </c>
      <c r="G20" s="0" t="s">
        <v>405</v>
      </c>
      <c r="H20" s="7" t="s">
        <v>54</v>
      </c>
      <c r="I20" s="7" t="s">
        <v>66</v>
      </c>
      <c r="J20" s="9" t="n">
        <v>46227</v>
      </c>
      <c r="K20" s="0" t="s">
        <v>144</v>
      </c>
      <c r="L20" s="0" t="n">
        <v>1</v>
      </c>
      <c r="M20" s="0" t="n">
        <v>1</v>
      </c>
    </row>
    <row r="21" customFormat="false" ht="42" hidden="false" customHeight="true" outlineLevel="0" collapsed="false">
      <c r="A21" s="0" t="s">
        <v>391</v>
      </c>
      <c r="B21" s="0" t="s">
        <v>146</v>
      </c>
      <c r="C21" s="0" t="s">
        <v>28</v>
      </c>
      <c r="D21" s="0" t="s">
        <v>147</v>
      </c>
      <c r="E21" s="0" t="s">
        <v>89</v>
      </c>
      <c r="F21" s="0" t="s">
        <v>148</v>
      </c>
      <c r="G21" s="0" t="s">
        <v>407</v>
      </c>
      <c r="H21" s="7" t="s">
        <v>52</v>
      </c>
      <c r="I21" s="7" t="s">
        <v>67</v>
      </c>
      <c r="J21" s="9" t="n">
        <v>46227</v>
      </c>
      <c r="L21" s="0" t="n">
        <v>1</v>
      </c>
      <c r="M21" s="0" t="n">
        <v>1</v>
      </c>
    </row>
    <row r="22" customFormat="false" ht="42" hidden="false" customHeight="true" outlineLevel="0" collapsed="false">
      <c r="A22" s="0" t="s">
        <v>393</v>
      </c>
      <c r="B22" s="0" t="s">
        <v>151</v>
      </c>
      <c r="C22" s="0" t="s">
        <v>28</v>
      </c>
      <c r="D22" s="0" t="s">
        <v>152</v>
      </c>
      <c r="E22" s="0" t="s">
        <v>89</v>
      </c>
      <c r="F22" s="0" t="s">
        <v>148</v>
      </c>
      <c r="G22" s="0" t="s">
        <v>408</v>
      </c>
      <c r="H22" s="7" t="s">
        <v>52</v>
      </c>
      <c r="I22" s="7" t="s">
        <v>67</v>
      </c>
      <c r="J22" s="9" t="n">
        <v>46227</v>
      </c>
      <c r="L22" s="0" t="n">
        <v>1</v>
      </c>
      <c r="M22" s="0" t="n">
        <v>1</v>
      </c>
    </row>
    <row r="23" customFormat="false" ht="42" hidden="false" customHeight="true" outlineLevel="0" collapsed="false">
      <c r="A23" s="0" t="s">
        <v>395</v>
      </c>
      <c r="B23" s="0" t="s">
        <v>155</v>
      </c>
      <c r="C23" s="0" t="s">
        <v>28</v>
      </c>
      <c r="D23" s="0" t="s">
        <v>156</v>
      </c>
      <c r="E23" s="0" t="s">
        <v>157</v>
      </c>
      <c r="F23" s="0" t="s">
        <v>157</v>
      </c>
      <c r="G23" s="0" t="s">
        <v>158</v>
      </c>
      <c r="H23" s="7" t="s">
        <v>52</v>
      </c>
      <c r="I23" s="7" t="s">
        <v>67</v>
      </c>
      <c r="J23" s="9" t="n">
        <v>46227</v>
      </c>
      <c r="L23" s="0" t="n">
        <v>1</v>
      </c>
      <c r="M23" s="0" t="n">
        <v>1</v>
      </c>
    </row>
    <row r="24" customFormat="false" ht="42" hidden="false" customHeight="true" outlineLevel="0" collapsed="false">
      <c r="A24" s="0" t="s">
        <v>396</v>
      </c>
      <c r="B24" s="0" t="s">
        <v>160</v>
      </c>
      <c r="C24" s="0" t="s">
        <v>28</v>
      </c>
      <c r="D24" s="0" t="s">
        <v>161</v>
      </c>
      <c r="E24" s="0" t="s">
        <v>89</v>
      </c>
      <c r="F24" s="0" t="s">
        <v>89</v>
      </c>
      <c r="G24" s="0" t="s">
        <v>162</v>
      </c>
      <c r="H24" s="7" t="s">
        <v>52</v>
      </c>
      <c r="I24" s="7" t="s">
        <v>67</v>
      </c>
      <c r="J24" s="9" t="n">
        <v>46227</v>
      </c>
      <c r="L24" s="0" t="n">
        <v>1</v>
      </c>
      <c r="M24" s="0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.71"/>
    <col collapsed="false" customWidth="true" hidden="false" outlineLevel="0" max="2" min="2" style="0" width="15.71"/>
    <col collapsed="false" customWidth="true" hidden="false" outlineLevel="0" max="3" min="3" style="0" width="18.71"/>
    <col collapsed="false" customWidth="true" hidden="false" outlineLevel="0" max="4" min="4" style="0" width="58.71"/>
    <col collapsed="false" customWidth="true" hidden="false" outlineLevel="0" max="6" min="5" style="0" width="14.71"/>
    <col collapsed="false" customWidth="true" hidden="false" outlineLevel="0" max="7" min="7" style="0" width="50.71"/>
    <col collapsed="false" customWidth="true" hidden="false" outlineLevel="0" max="8" min="8" style="0" width="17.71"/>
    <col collapsed="false" customWidth="true" hidden="false" outlineLevel="0" max="9" min="9" style="0" width="14.71"/>
    <col collapsed="false" customWidth="true" hidden="false" outlineLevel="0" max="10" min="10" style="9" width="14.71"/>
    <col collapsed="false" customWidth="true" hidden="false" outlineLevel="0" max="11" min="11" style="0" width="42.71"/>
    <col collapsed="false" customWidth="true" hidden="false" outlineLevel="0" max="13" min="12" style="0" width="10.71"/>
  </cols>
  <sheetData>
    <row r="1" customFormat="false" ht="37.5" hidden="false" customHeight="true" outlineLevel="0" collapsed="false">
      <c r="A1" s="2" t="s">
        <v>409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27.75" hidden="false" customHeight="true" outlineLevel="0" collapsed="false">
      <c r="A2" s="3" t="s">
        <v>69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7.35" hidden="false" customHeight="false" outlineLevel="0" collapsed="false">
      <c r="A4" s="4" t="s">
        <v>7</v>
      </c>
      <c r="B4" s="5" t="n">
        <v>16</v>
      </c>
      <c r="D4" s="4" t="s">
        <v>70</v>
      </c>
      <c r="E4" s="5" t="n">
        <v>16</v>
      </c>
      <c r="G4" s="4" t="s">
        <v>14</v>
      </c>
      <c r="H4" s="6" t="n">
        <v>1</v>
      </c>
      <c r="J4" s="4" t="s">
        <v>15</v>
      </c>
      <c r="K4" s="5" t="s">
        <v>71</v>
      </c>
    </row>
    <row r="5" customFormat="false" ht="17.35" hidden="false" customHeight="false" outlineLevel="0" collapsed="false">
      <c r="A5" s="4" t="s">
        <v>72</v>
      </c>
      <c r="B5" s="5" t="s">
        <v>71</v>
      </c>
      <c r="D5" s="4" t="s">
        <v>16</v>
      </c>
      <c r="E5" s="5" t="s">
        <v>71</v>
      </c>
    </row>
    <row r="8" customFormat="false" ht="15" hidden="false" customHeight="false" outlineLevel="0" collapsed="false">
      <c r="A8" s="7" t="s">
        <v>73</v>
      </c>
      <c r="B8" s="7" t="s">
        <v>74</v>
      </c>
      <c r="C8" s="7" t="s">
        <v>75</v>
      </c>
      <c r="D8" s="7" t="s">
        <v>76</v>
      </c>
      <c r="E8" s="7" t="s">
        <v>77</v>
      </c>
      <c r="F8" s="7" t="s">
        <v>78</v>
      </c>
      <c r="G8" s="7" t="s">
        <v>79</v>
      </c>
      <c r="H8" s="7" t="s">
        <v>80</v>
      </c>
      <c r="I8" s="7" t="s">
        <v>81</v>
      </c>
      <c r="J8" s="10" t="s">
        <v>82</v>
      </c>
      <c r="K8" s="7" t="s">
        <v>83</v>
      </c>
      <c r="L8" s="7" t="s">
        <v>84</v>
      </c>
      <c r="M8" s="7" t="s">
        <v>70</v>
      </c>
    </row>
    <row r="9" customFormat="false" ht="42" hidden="false" customHeight="true" outlineLevel="0" collapsed="false">
      <c r="A9" s="0" t="s">
        <v>370</v>
      </c>
      <c r="B9" s="0" t="s">
        <v>86</v>
      </c>
      <c r="C9" s="0" t="s">
        <v>29</v>
      </c>
      <c r="D9" s="0" t="s">
        <v>88</v>
      </c>
      <c r="E9" s="0" t="s">
        <v>89</v>
      </c>
      <c r="F9" s="0" t="s">
        <v>90</v>
      </c>
      <c r="G9" s="0" t="s">
        <v>410</v>
      </c>
      <c r="H9" s="7" t="s">
        <v>52</v>
      </c>
      <c r="I9" s="7" t="s">
        <v>67</v>
      </c>
      <c r="J9" s="9" t="n">
        <v>46227</v>
      </c>
      <c r="L9" s="0" t="n">
        <v>1</v>
      </c>
      <c r="M9" s="0" t="n">
        <v>1</v>
      </c>
    </row>
    <row r="10" customFormat="false" ht="42" hidden="false" customHeight="true" outlineLevel="0" collapsed="false">
      <c r="A10" s="0" t="s">
        <v>372</v>
      </c>
      <c r="B10" s="0" t="s">
        <v>93</v>
      </c>
      <c r="C10" s="0" t="s">
        <v>29</v>
      </c>
      <c r="D10" s="0" t="s">
        <v>94</v>
      </c>
      <c r="E10" s="0" t="s">
        <v>89</v>
      </c>
      <c r="F10" s="0" t="s">
        <v>89</v>
      </c>
      <c r="G10" s="0" t="s">
        <v>95</v>
      </c>
      <c r="H10" s="7" t="s">
        <v>52</v>
      </c>
      <c r="I10" s="7" t="s">
        <v>67</v>
      </c>
      <c r="J10" s="9" t="n">
        <v>46227</v>
      </c>
      <c r="L10" s="0" t="n">
        <v>1</v>
      </c>
      <c r="M10" s="0" t="n">
        <v>1</v>
      </c>
    </row>
    <row r="11" customFormat="false" ht="42" hidden="false" customHeight="true" outlineLevel="0" collapsed="false">
      <c r="A11" s="0" t="s">
        <v>373</v>
      </c>
      <c r="B11" s="0" t="s">
        <v>97</v>
      </c>
      <c r="C11" s="0" t="s">
        <v>29</v>
      </c>
      <c r="D11" s="0" t="s">
        <v>98</v>
      </c>
      <c r="E11" s="0" t="s">
        <v>89</v>
      </c>
      <c r="F11" s="0" t="s">
        <v>99</v>
      </c>
      <c r="G11" s="0" t="s">
        <v>411</v>
      </c>
      <c r="H11" s="7" t="s">
        <v>52</v>
      </c>
      <c r="I11" s="7" t="s">
        <v>67</v>
      </c>
      <c r="J11" s="9" t="n">
        <v>46227</v>
      </c>
      <c r="L11" s="0" t="n">
        <v>1</v>
      </c>
      <c r="M11" s="0" t="n">
        <v>1</v>
      </c>
    </row>
    <row r="12" customFormat="false" ht="42" hidden="false" customHeight="true" outlineLevel="0" collapsed="false">
      <c r="A12" s="0" t="s">
        <v>375</v>
      </c>
      <c r="B12" s="0" t="s">
        <v>102</v>
      </c>
      <c r="C12" s="0" t="s">
        <v>29</v>
      </c>
      <c r="D12" s="0" t="s">
        <v>103</v>
      </c>
      <c r="E12" s="0" t="s">
        <v>89</v>
      </c>
      <c r="F12" s="0" t="s">
        <v>104</v>
      </c>
      <c r="G12" s="0" t="s">
        <v>412</v>
      </c>
      <c r="H12" s="7" t="s">
        <v>52</v>
      </c>
      <c r="I12" s="7" t="s">
        <v>67</v>
      </c>
      <c r="J12" s="9" t="n">
        <v>46227</v>
      </c>
      <c r="L12" s="0" t="n">
        <v>1</v>
      </c>
      <c r="M12" s="0" t="n">
        <v>1</v>
      </c>
    </row>
    <row r="13" customFormat="false" ht="42" hidden="false" customHeight="true" outlineLevel="0" collapsed="false">
      <c r="A13" s="0" t="s">
        <v>377</v>
      </c>
      <c r="B13" s="0" t="s">
        <v>107</v>
      </c>
      <c r="C13" s="0" t="s">
        <v>29</v>
      </c>
      <c r="D13" s="0" t="s">
        <v>108</v>
      </c>
      <c r="E13" s="0" t="s">
        <v>89</v>
      </c>
      <c r="F13" s="0" t="s">
        <v>109</v>
      </c>
      <c r="G13" s="0" t="s">
        <v>413</v>
      </c>
      <c r="H13" s="7" t="s">
        <v>52</v>
      </c>
      <c r="I13" s="7" t="s">
        <v>67</v>
      </c>
      <c r="J13" s="9" t="n">
        <v>46227</v>
      </c>
      <c r="L13" s="0" t="n">
        <v>1</v>
      </c>
      <c r="M13" s="0" t="n">
        <v>1</v>
      </c>
    </row>
    <row r="14" customFormat="false" ht="42" hidden="false" customHeight="true" outlineLevel="0" collapsed="false">
      <c r="A14" s="0" t="s">
        <v>379</v>
      </c>
      <c r="B14" s="0" t="s">
        <v>112</v>
      </c>
      <c r="C14" s="0" t="s">
        <v>29</v>
      </c>
      <c r="D14" s="0" t="s">
        <v>113</v>
      </c>
      <c r="E14" s="0" t="s">
        <v>89</v>
      </c>
      <c r="F14" s="0" t="s">
        <v>114</v>
      </c>
      <c r="G14" s="0" t="s">
        <v>414</v>
      </c>
      <c r="H14" s="7" t="s">
        <v>52</v>
      </c>
      <c r="I14" s="7" t="s">
        <v>67</v>
      </c>
      <c r="J14" s="9" t="n">
        <v>46227</v>
      </c>
      <c r="L14" s="0" t="n">
        <v>1</v>
      </c>
      <c r="M14" s="0" t="n">
        <v>1</v>
      </c>
    </row>
    <row r="15" customFormat="false" ht="42" hidden="false" customHeight="true" outlineLevel="0" collapsed="false">
      <c r="A15" s="0" t="s">
        <v>381</v>
      </c>
      <c r="B15" s="0" t="s">
        <v>117</v>
      </c>
      <c r="C15" s="0" t="s">
        <v>29</v>
      </c>
      <c r="D15" s="0" t="s">
        <v>118</v>
      </c>
      <c r="E15" s="0" t="s">
        <v>89</v>
      </c>
      <c r="F15" s="0" t="s">
        <v>119</v>
      </c>
      <c r="G15" s="0" t="s">
        <v>415</v>
      </c>
      <c r="H15" s="7" t="s">
        <v>52</v>
      </c>
      <c r="I15" s="7" t="s">
        <v>67</v>
      </c>
      <c r="J15" s="9" t="n">
        <v>46227</v>
      </c>
      <c r="L15" s="0" t="n">
        <v>1</v>
      </c>
      <c r="M15" s="0" t="n">
        <v>1</v>
      </c>
    </row>
    <row r="16" customFormat="false" ht="42" hidden="false" customHeight="true" outlineLevel="0" collapsed="false">
      <c r="A16" s="0" t="s">
        <v>383</v>
      </c>
      <c r="B16" s="0" t="s">
        <v>122</v>
      </c>
      <c r="C16" s="0" t="s">
        <v>29</v>
      </c>
      <c r="D16" s="0" t="s">
        <v>123</v>
      </c>
      <c r="E16" s="0" t="s">
        <v>89</v>
      </c>
      <c r="F16" s="0" t="s">
        <v>124</v>
      </c>
      <c r="G16" s="0" t="s">
        <v>416</v>
      </c>
      <c r="H16" s="7" t="s">
        <v>54</v>
      </c>
      <c r="I16" s="7" t="s">
        <v>66</v>
      </c>
      <c r="J16" s="9" t="n">
        <v>46227</v>
      </c>
      <c r="K16" s="0" t="s">
        <v>126</v>
      </c>
      <c r="L16" s="0" t="n">
        <v>1</v>
      </c>
      <c r="M16" s="0" t="n">
        <v>1</v>
      </c>
    </row>
    <row r="17" customFormat="false" ht="42" hidden="false" customHeight="true" outlineLevel="0" collapsed="false">
      <c r="A17" s="0" t="s">
        <v>385</v>
      </c>
      <c r="B17" s="0" t="s">
        <v>128</v>
      </c>
      <c r="C17" s="0" t="s">
        <v>29</v>
      </c>
      <c r="D17" s="0" t="s">
        <v>129</v>
      </c>
      <c r="E17" s="0" t="s">
        <v>89</v>
      </c>
      <c r="F17" s="0" t="s">
        <v>130</v>
      </c>
      <c r="G17" s="0" t="s">
        <v>417</v>
      </c>
      <c r="H17" s="7" t="s">
        <v>54</v>
      </c>
      <c r="I17" s="7" t="s">
        <v>66</v>
      </c>
      <c r="J17" s="9" t="n">
        <v>46227</v>
      </c>
      <c r="K17" s="0" t="s">
        <v>132</v>
      </c>
      <c r="L17" s="0" t="n">
        <v>1</v>
      </c>
      <c r="M17" s="0" t="n">
        <v>1</v>
      </c>
    </row>
    <row r="18" customFormat="false" ht="42" hidden="false" customHeight="true" outlineLevel="0" collapsed="false">
      <c r="A18" s="0" t="s">
        <v>387</v>
      </c>
      <c r="B18" s="0" t="s">
        <v>134</v>
      </c>
      <c r="C18" s="0" t="s">
        <v>29</v>
      </c>
      <c r="D18" s="0" t="s">
        <v>135</v>
      </c>
      <c r="E18" s="0" t="s">
        <v>89</v>
      </c>
      <c r="F18" s="0" t="s">
        <v>130</v>
      </c>
      <c r="G18" s="0" t="s">
        <v>417</v>
      </c>
      <c r="H18" s="7" t="s">
        <v>54</v>
      </c>
      <c r="I18" s="7" t="s">
        <v>66</v>
      </c>
      <c r="J18" s="9" t="n">
        <v>46227</v>
      </c>
      <c r="K18" s="0" t="s">
        <v>132</v>
      </c>
      <c r="L18" s="0" t="n">
        <v>1</v>
      </c>
      <c r="M18" s="0" t="n">
        <v>1</v>
      </c>
    </row>
    <row r="19" customFormat="false" ht="42" hidden="false" customHeight="true" outlineLevel="0" collapsed="false">
      <c r="A19" s="0" t="s">
        <v>388</v>
      </c>
      <c r="B19" s="0" t="s">
        <v>137</v>
      </c>
      <c r="C19" s="0" t="s">
        <v>29</v>
      </c>
      <c r="D19" s="0" t="s">
        <v>138</v>
      </c>
      <c r="E19" s="0" t="s">
        <v>89</v>
      </c>
      <c r="F19" s="0" t="s">
        <v>130</v>
      </c>
      <c r="G19" s="0" t="s">
        <v>418</v>
      </c>
      <c r="H19" s="7" t="s">
        <v>54</v>
      </c>
      <c r="I19" s="7" t="s">
        <v>66</v>
      </c>
      <c r="J19" s="9" t="n">
        <v>46227</v>
      </c>
      <c r="K19" s="0" t="s">
        <v>140</v>
      </c>
      <c r="L19" s="0" t="n">
        <v>1</v>
      </c>
      <c r="M19" s="0" t="n">
        <v>1</v>
      </c>
    </row>
    <row r="20" customFormat="false" ht="42" hidden="false" customHeight="true" outlineLevel="0" collapsed="false">
      <c r="A20" s="0" t="s">
        <v>390</v>
      </c>
      <c r="B20" s="0" t="s">
        <v>142</v>
      </c>
      <c r="C20" s="0" t="s">
        <v>29</v>
      </c>
      <c r="D20" s="0" t="s">
        <v>143</v>
      </c>
      <c r="E20" s="0" t="s">
        <v>89</v>
      </c>
      <c r="F20" s="0" t="s">
        <v>130</v>
      </c>
      <c r="G20" s="0" t="s">
        <v>417</v>
      </c>
      <c r="H20" s="7" t="s">
        <v>54</v>
      </c>
      <c r="I20" s="7" t="s">
        <v>66</v>
      </c>
      <c r="J20" s="9" t="n">
        <v>46227</v>
      </c>
      <c r="K20" s="0" t="s">
        <v>144</v>
      </c>
      <c r="L20" s="0" t="n">
        <v>1</v>
      </c>
      <c r="M20" s="0" t="n">
        <v>1</v>
      </c>
    </row>
    <row r="21" customFormat="false" ht="42" hidden="false" customHeight="true" outlineLevel="0" collapsed="false">
      <c r="A21" s="0" t="s">
        <v>391</v>
      </c>
      <c r="B21" s="0" t="s">
        <v>146</v>
      </c>
      <c r="C21" s="0" t="s">
        <v>29</v>
      </c>
      <c r="D21" s="0" t="s">
        <v>147</v>
      </c>
      <c r="E21" s="0" t="s">
        <v>89</v>
      </c>
      <c r="F21" s="0" t="s">
        <v>148</v>
      </c>
      <c r="G21" s="0" t="s">
        <v>419</v>
      </c>
      <c r="H21" s="7" t="s">
        <v>52</v>
      </c>
      <c r="I21" s="7" t="s">
        <v>67</v>
      </c>
      <c r="J21" s="9" t="n">
        <v>46227</v>
      </c>
      <c r="L21" s="0" t="n">
        <v>1</v>
      </c>
      <c r="M21" s="0" t="n">
        <v>1</v>
      </c>
    </row>
    <row r="22" customFormat="false" ht="42" hidden="false" customHeight="true" outlineLevel="0" collapsed="false">
      <c r="A22" s="0" t="s">
        <v>393</v>
      </c>
      <c r="B22" s="0" t="s">
        <v>151</v>
      </c>
      <c r="C22" s="0" t="s">
        <v>29</v>
      </c>
      <c r="D22" s="0" t="s">
        <v>152</v>
      </c>
      <c r="E22" s="0" t="s">
        <v>89</v>
      </c>
      <c r="F22" s="0" t="s">
        <v>148</v>
      </c>
      <c r="G22" s="0" t="s">
        <v>420</v>
      </c>
      <c r="H22" s="7" t="s">
        <v>52</v>
      </c>
      <c r="I22" s="7" t="s">
        <v>67</v>
      </c>
      <c r="J22" s="9" t="n">
        <v>46227</v>
      </c>
      <c r="L22" s="0" t="n">
        <v>1</v>
      </c>
      <c r="M22" s="0" t="n">
        <v>1</v>
      </c>
    </row>
    <row r="23" customFormat="false" ht="42" hidden="false" customHeight="true" outlineLevel="0" collapsed="false">
      <c r="A23" s="0" t="s">
        <v>395</v>
      </c>
      <c r="B23" s="0" t="s">
        <v>155</v>
      </c>
      <c r="C23" s="0" t="s">
        <v>29</v>
      </c>
      <c r="D23" s="0" t="s">
        <v>156</v>
      </c>
      <c r="E23" s="0" t="s">
        <v>157</v>
      </c>
      <c r="F23" s="0" t="s">
        <v>157</v>
      </c>
      <c r="G23" s="0" t="s">
        <v>158</v>
      </c>
      <c r="H23" s="7" t="s">
        <v>52</v>
      </c>
      <c r="I23" s="7" t="s">
        <v>67</v>
      </c>
      <c r="J23" s="9" t="n">
        <v>46227</v>
      </c>
      <c r="L23" s="0" t="n">
        <v>1</v>
      </c>
      <c r="M23" s="0" t="n">
        <v>1</v>
      </c>
    </row>
    <row r="24" customFormat="false" ht="42" hidden="false" customHeight="true" outlineLevel="0" collapsed="false">
      <c r="A24" s="0" t="s">
        <v>396</v>
      </c>
      <c r="B24" s="0" t="s">
        <v>160</v>
      </c>
      <c r="C24" s="0" t="s">
        <v>29</v>
      </c>
      <c r="D24" s="0" t="s">
        <v>161</v>
      </c>
      <c r="E24" s="0" t="s">
        <v>89</v>
      </c>
      <c r="F24" s="0" t="s">
        <v>89</v>
      </c>
      <c r="G24" s="0" t="s">
        <v>162</v>
      </c>
      <c r="H24" s="7" t="s">
        <v>52</v>
      </c>
      <c r="I24" s="7" t="s">
        <v>67</v>
      </c>
      <c r="J24" s="9" t="n">
        <v>46227</v>
      </c>
      <c r="L24" s="0" t="n">
        <v>1</v>
      </c>
      <c r="M24" s="0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.71"/>
    <col collapsed="false" customWidth="true" hidden="false" outlineLevel="0" max="2" min="2" style="0" width="15.71"/>
    <col collapsed="false" customWidth="true" hidden="false" outlineLevel="0" max="3" min="3" style="0" width="18.71"/>
    <col collapsed="false" customWidth="true" hidden="false" outlineLevel="0" max="4" min="4" style="0" width="58.71"/>
    <col collapsed="false" customWidth="true" hidden="false" outlineLevel="0" max="6" min="5" style="0" width="14.71"/>
    <col collapsed="false" customWidth="true" hidden="false" outlineLevel="0" max="7" min="7" style="0" width="50.71"/>
    <col collapsed="false" customWidth="true" hidden="false" outlineLevel="0" max="8" min="8" style="0" width="17.71"/>
    <col collapsed="false" customWidth="true" hidden="false" outlineLevel="0" max="9" min="9" style="0" width="14.71"/>
    <col collapsed="false" customWidth="true" hidden="false" outlineLevel="0" max="10" min="10" style="9" width="14.71"/>
    <col collapsed="false" customWidth="true" hidden="false" outlineLevel="0" max="11" min="11" style="0" width="42.71"/>
    <col collapsed="false" customWidth="true" hidden="false" outlineLevel="0" max="13" min="12" style="0" width="10.71"/>
  </cols>
  <sheetData>
    <row r="1" customFormat="false" ht="37.5" hidden="false" customHeight="true" outlineLevel="0" collapsed="false">
      <c r="A1" s="2" t="s">
        <v>421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27.75" hidden="false" customHeight="true" outlineLevel="0" collapsed="false">
      <c r="A2" s="3" t="s">
        <v>69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7.35" hidden="false" customHeight="false" outlineLevel="0" collapsed="false">
      <c r="A4" s="4" t="s">
        <v>7</v>
      </c>
      <c r="B4" s="5" t="n">
        <v>16</v>
      </c>
      <c r="D4" s="4" t="s">
        <v>70</v>
      </c>
      <c r="E4" s="5" t="n">
        <v>16</v>
      </c>
      <c r="G4" s="4" t="s">
        <v>14</v>
      </c>
      <c r="H4" s="6" t="n">
        <v>1</v>
      </c>
      <c r="J4" s="4" t="s">
        <v>15</v>
      </c>
      <c r="K4" s="5" t="s">
        <v>71</v>
      </c>
    </row>
    <row r="5" customFormat="false" ht="17.35" hidden="false" customHeight="false" outlineLevel="0" collapsed="false">
      <c r="A5" s="4" t="s">
        <v>72</v>
      </c>
      <c r="B5" s="5" t="s">
        <v>71</v>
      </c>
      <c r="D5" s="4" t="s">
        <v>16</v>
      </c>
      <c r="E5" s="5" t="s">
        <v>71</v>
      </c>
    </row>
    <row r="8" customFormat="false" ht="15" hidden="false" customHeight="false" outlineLevel="0" collapsed="false">
      <c r="A8" s="7" t="s">
        <v>73</v>
      </c>
      <c r="B8" s="7" t="s">
        <v>74</v>
      </c>
      <c r="C8" s="7" t="s">
        <v>75</v>
      </c>
      <c r="D8" s="7" t="s">
        <v>76</v>
      </c>
      <c r="E8" s="7" t="s">
        <v>77</v>
      </c>
      <c r="F8" s="7" t="s">
        <v>78</v>
      </c>
      <c r="G8" s="7" t="s">
        <v>79</v>
      </c>
      <c r="H8" s="7" t="s">
        <v>80</v>
      </c>
      <c r="I8" s="7" t="s">
        <v>81</v>
      </c>
      <c r="J8" s="10" t="s">
        <v>82</v>
      </c>
      <c r="K8" s="7" t="s">
        <v>83</v>
      </c>
      <c r="L8" s="7" t="s">
        <v>84</v>
      </c>
      <c r="M8" s="7" t="s">
        <v>70</v>
      </c>
    </row>
    <row r="9" customFormat="false" ht="42" hidden="false" customHeight="true" outlineLevel="0" collapsed="false">
      <c r="A9" s="0" t="s">
        <v>422</v>
      </c>
      <c r="B9" s="0" t="s">
        <v>86</v>
      </c>
      <c r="C9" s="0" t="s">
        <v>423</v>
      </c>
      <c r="D9" s="0" t="s">
        <v>88</v>
      </c>
      <c r="E9" s="0" t="s">
        <v>89</v>
      </c>
      <c r="F9" s="0" t="s">
        <v>90</v>
      </c>
      <c r="G9" s="0" t="s">
        <v>424</v>
      </c>
      <c r="H9" s="7" t="s">
        <v>52</v>
      </c>
      <c r="I9" s="7" t="s">
        <v>67</v>
      </c>
      <c r="J9" s="9" t="n">
        <v>46227</v>
      </c>
      <c r="L9" s="0" t="n">
        <v>1</v>
      </c>
      <c r="M9" s="0" t="n">
        <v>1</v>
      </c>
    </row>
    <row r="10" customFormat="false" ht="42" hidden="false" customHeight="true" outlineLevel="0" collapsed="false">
      <c r="A10" s="0" t="s">
        <v>425</v>
      </c>
      <c r="B10" s="0" t="s">
        <v>93</v>
      </c>
      <c r="C10" s="0" t="s">
        <v>423</v>
      </c>
      <c r="D10" s="0" t="s">
        <v>94</v>
      </c>
      <c r="E10" s="0" t="s">
        <v>89</v>
      </c>
      <c r="F10" s="0" t="s">
        <v>89</v>
      </c>
      <c r="G10" s="0" t="s">
        <v>95</v>
      </c>
      <c r="H10" s="7" t="s">
        <v>52</v>
      </c>
      <c r="I10" s="7" t="s">
        <v>67</v>
      </c>
      <c r="J10" s="9" t="n">
        <v>46227</v>
      </c>
      <c r="L10" s="0" t="n">
        <v>1</v>
      </c>
      <c r="M10" s="0" t="n">
        <v>1</v>
      </c>
    </row>
    <row r="11" customFormat="false" ht="42" hidden="false" customHeight="true" outlineLevel="0" collapsed="false">
      <c r="A11" s="0" t="s">
        <v>426</v>
      </c>
      <c r="B11" s="0" t="s">
        <v>97</v>
      </c>
      <c r="C11" s="0" t="s">
        <v>423</v>
      </c>
      <c r="D11" s="0" t="s">
        <v>98</v>
      </c>
      <c r="E11" s="0" t="s">
        <v>89</v>
      </c>
      <c r="F11" s="0" t="s">
        <v>99</v>
      </c>
      <c r="G11" s="0" t="s">
        <v>427</v>
      </c>
      <c r="H11" s="7" t="s">
        <v>52</v>
      </c>
      <c r="I11" s="7" t="s">
        <v>67</v>
      </c>
      <c r="J11" s="9" t="n">
        <v>46227</v>
      </c>
      <c r="L11" s="0" t="n">
        <v>1</v>
      </c>
      <c r="M11" s="0" t="n">
        <v>1</v>
      </c>
    </row>
    <row r="12" customFormat="false" ht="42" hidden="false" customHeight="true" outlineLevel="0" collapsed="false">
      <c r="A12" s="0" t="s">
        <v>428</v>
      </c>
      <c r="B12" s="0" t="s">
        <v>102</v>
      </c>
      <c r="C12" s="0" t="s">
        <v>423</v>
      </c>
      <c r="D12" s="0" t="s">
        <v>103</v>
      </c>
      <c r="E12" s="0" t="s">
        <v>89</v>
      </c>
      <c r="F12" s="0" t="s">
        <v>104</v>
      </c>
      <c r="G12" s="0" t="s">
        <v>429</v>
      </c>
      <c r="H12" s="7" t="s">
        <v>52</v>
      </c>
      <c r="I12" s="7" t="s">
        <v>67</v>
      </c>
      <c r="J12" s="9" t="n">
        <v>46227</v>
      </c>
      <c r="L12" s="0" t="n">
        <v>1</v>
      </c>
      <c r="M12" s="0" t="n">
        <v>1</v>
      </c>
    </row>
    <row r="13" customFormat="false" ht="42" hidden="false" customHeight="true" outlineLevel="0" collapsed="false">
      <c r="A13" s="0" t="s">
        <v>430</v>
      </c>
      <c r="B13" s="0" t="s">
        <v>107</v>
      </c>
      <c r="C13" s="0" t="s">
        <v>423</v>
      </c>
      <c r="D13" s="0" t="s">
        <v>108</v>
      </c>
      <c r="E13" s="0" t="s">
        <v>89</v>
      </c>
      <c r="F13" s="0" t="s">
        <v>109</v>
      </c>
      <c r="G13" s="0" t="s">
        <v>431</v>
      </c>
      <c r="H13" s="7" t="s">
        <v>52</v>
      </c>
      <c r="I13" s="7" t="s">
        <v>67</v>
      </c>
      <c r="J13" s="9" t="n">
        <v>46227</v>
      </c>
      <c r="L13" s="0" t="n">
        <v>1</v>
      </c>
      <c r="M13" s="0" t="n">
        <v>1</v>
      </c>
    </row>
    <row r="14" customFormat="false" ht="42" hidden="false" customHeight="true" outlineLevel="0" collapsed="false">
      <c r="A14" s="0" t="s">
        <v>432</v>
      </c>
      <c r="B14" s="0" t="s">
        <v>112</v>
      </c>
      <c r="C14" s="0" t="s">
        <v>423</v>
      </c>
      <c r="D14" s="0" t="s">
        <v>113</v>
      </c>
      <c r="E14" s="0" t="s">
        <v>89</v>
      </c>
      <c r="F14" s="0" t="s">
        <v>114</v>
      </c>
      <c r="G14" s="0" t="s">
        <v>433</v>
      </c>
      <c r="H14" s="7" t="s">
        <v>52</v>
      </c>
      <c r="I14" s="7" t="s">
        <v>67</v>
      </c>
      <c r="J14" s="9" t="n">
        <v>46227</v>
      </c>
      <c r="L14" s="0" t="n">
        <v>1</v>
      </c>
      <c r="M14" s="0" t="n">
        <v>1</v>
      </c>
    </row>
    <row r="15" customFormat="false" ht="42" hidden="false" customHeight="true" outlineLevel="0" collapsed="false">
      <c r="A15" s="0" t="s">
        <v>434</v>
      </c>
      <c r="B15" s="0" t="s">
        <v>117</v>
      </c>
      <c r="C15" s="0" t="s">
        <v>423</v>
      </c>
      <c r="D15" s="0" t="s">
        <v>118</v>
      </c>
      <c r="E15" s="0" t="s">
        <v>89</v>
      </c>
      <c r="F15" s="0" t="s">
        <v>119</v>
      </c>
      <c r="G15" s="0" t="s">
        <v>435</v>
      </c>
      <c r="H15" s="7" t="s">
        <v>52</v>
      </c>
      <c r="I15" s="7" t="s">
        <v>67</v>
      </c>
      <c r="J15" s="9" t="n">
        <v>46227</v>
      </c>
      <c r="L15" s="0" t="n">
        <v>1</v>
      </c>
      <c r="M15" s="0" t="n">
        <v>1</v>
      </c>
    </row>
    <row r="16" customFormat="false" ht="42" hidden="false" customHeight="true" outlineLevel="0" collapsed="false">
      <c r="A16" s="0" t="s">
        <v>436</v>
      </c>
      <c r="B16" s="0" t="s">
        <v>122</v>
      </c>
      <c r="C16" s="0" t="s">
        <v>423</v>
      </c>
      <c r="D16" s="0" t="s">
        <v>123</v>
      </c>
      <c r="E16" s="0" t="s">
        <v>89</v>
      </c>
      <c r="F16" s="0" t="s">
        <v>124</v>
      </c>
      <c r="G16" s="0" t="s">
        <v>437</v>
      </c>
      <c r="H16" s="7" t="s">
        <v>54</v>
      </c>
      <c r="I16" s="7" t="s">
        <v>66</v>
      </c>
      <c r="J16" s="9" t="n">
        <v>46227</v>
      </c>
      <c r="K16" s="0" t="s">
        <v>126</v>
      </c>
      <c r="L16" s="0" t="n">
        <v>1</v>
      </c>
      <c r="M16" s="0" t="n">
        <v>1</v>
      </c>
    </row>
    <row r="17" customFormat="false" ht="42" hidden="false" customHeight="true" outlineLevel="0" collapsed="false">
      <c r="A17" s="0" t="s">
        <v>438</v>
      </c>
      <c r="B17" s="0" t="s">
        <v>128</v>
      </c>
      <c r="C17" s="0" t="s">
        <v>423</v>
      </c>
      <c r="D17" s="0" t="s">
        <v>129</v>
      </c>
      <c r="E17" s="0" t="s">
        <v>89</v>
      </c>
      <c r="F17" s="0" t="s">
        <v>130</v>
      </c>
      <c r="G17" s="0" t="s">
        <v>439</v>
      </c>
      <c r="H17" s="7" t="s">
        <v>54</v>
      </c>
      <c r="I17" s="7" t="s">
        <v>66</v>
      </c>
      <c r="J17" s="9" t="n">
        <v>46227</v>
      </c>
      <c r="K17" s="0" t="s">
        <v>132</v>
      </c>
      <c r="L17" s="0" t="n">
        <v>1</v>
      </c>
      <c r="M17" s="0" t="n">
        <v>1</v>
      </c>
    </row>
    <row r="18" customFormat="false" ht="42" hidden="false" customHeight="true" outlineLevel="0" collapsed="false">
      <c r="A18" s="0" t="s">
        <v>440</v>
      </c>
      <c r="B18" s="0" t="s">
        <v>134</v>
      </c>
      <c r="C18" s="0" t="s">
        <v>423</v>
      </c>
      <c r="D18" s="0" t="s">
        <v>135</v>
      </c>
      <c r="E18" s="0" t="s">
        <v>89</v>
      </c>
      <c r="F18" s="0" t="s">
        <v>130</v>
      </c>
      <c r="G18" s="0" t="s">
        <v>439</v>
      </c>
      <c r="H18" s="7" t="s">
        <v>54</v>
      </c>
      <c r="I18" s="7" t="s">
        <v>66</v>
      </c>
      <c r="J18" s="9" t="n">
        <v>46227</v>
      </c>
      <c r="K18" s="0" t="s">
        <v>132</v>
      </c>
      <c r="L18" s="0" t="n">
        <v>1</v>
      </c>
      <c r="M18" s="0" t="n">
        <v>1</v>
      </c>
    </row>
    <row r="19" customFormat="false" ht="42" hidden="false" customHeight="true" outlineLevel="0" collapsed="false">
      <c r="A19" s="0" t="s">
        <v>441</v>
      </c>
      <c r="B19" s="0" t="s">
        <v>137</v>
      </c>
      <c r="C19" s="0" t="s">
        <v>423</v>
      </c>
      <c r="D19" s="0" t="s">
        <v>138</v>
      </c>
      <c r="E19" s="0" t="s">
        <v>89</v>
      </c>
      <c r="F19" s="0" t="s">
        <v>130</v>
      </c>
      <c r="G19" s="0" t="s">
        <v>442</v>
      </c>
      <c r="H19" s="7" t="s">
        <v>54</v>
      </c>
      <c r="I19" s="7" t="s">
        <v>66</v>
      </c>
      <c r="J19" s="9" t="n">
        <v>46227</v>
      </c>
      <c r="K19" s="0" t="s">
        <v>140</v>
      </c>
      <c r="L19" s="0" t="n">
        <v>1</v>
      </c>
      <c r="M19" s="0" t="n">
        <v>1</v>
      </c>
    </row>
    <row r="20" customFormat="false" ht="42" hidden="false" customHeight="true" outlineLevel="0" collapsed="false">
      <c r="A20" s="0" t="s">
        <v>443</v>
      </c>
      <c r="B20" s="0" t="s">
        <v>142</v>
      </c>
      <c r="C20" s="0" t="s">
        <v>423</v>
      </c>
      <c r="D20" s="0" t="s">
        <v>143</v>
      </c>
      <c r="E20" s="0" t="s">
        <v>89</v>
      </c>
      <c r="F20" s="0" t="s">
        <v>130</v>
      </c>
      <c r="G20" s="0" t="s">
        <v>439</v>
      </c>
      <c r="H20" s="7" t="s">
        <v>54</v>
      </c>
      <c r="I20" s="7" t="s">
        <v>66</v>
      </c>
      <c r="J20" s="9" t="n">
        <v>46227</v>
      </c>
      <c r="K20" s="0" t="s">
        <v>144</v>
      </c>
      <c r="L20" s="0" t="n">
        <v>1</v>
      </c>
      <c r="M20" s="0" t="n">
        <v>1</v>
      </c>
    </row>
    <row r="21" customFormat="false" ht="42" hidden="false" customHeight="true" outlineLevel="0" collapsed="false">
      <c r="A21" s="0" t="s">
        <v>444</v>
      </c>
      <c r="B21" s="0" t="s">
        <v>146</v>
      </c>
      <c r="C21" s="0" t="s">
        <v>423</v>
      </c>
      <c r="D21" s="0" t="s">
        <v>147</v>
      </c>
      <c r="E21" s="0" t="s">
        <v>89</v>
      </c>
      <c r="F21" s="0" t="s">
        <v>148</v>
      </c>
      <c r="G21" s="0" t="s">
        <v>445</v>
      </c>
      <c r="H21" s="7" t="s">
        <v>52</v>
      </c>
      <c r="I21" s="7" t="s">
        <v>67</v>
      </c>
      <c r="J21" s="9" t="n">
        <v>46227</v>
      </c>
      <c r="L21" s="0" t="n">
        <v>1</v>
      </c>
      <c r="M21" s="0" t="n">
        <v>1</v>
      </c>
    </row>
    <row r="22" customFormat="false" ht="42" hidden="false" customHeight="true" outlineLevel="0" collapsed="false">
      <c r="A22" s="0" t="s">
        <v>446</v>
      </c>
      <c r="B22" s="0" t="s">
        <v>151</v>
      </c>
      <c r="C22" s="0" t="s">
        <v>423</v>
      </c>
      <c r="D22" s="0" t="s">
        <v>152</v>
      </c>
      <c r="E22" s="0" t="s">
        <v>89</v>
      </c>
      <c r="F22" s="0" t="s">
        <v>148</v>
      </c>
      <c r="G22" s="0" t="s">
        <v>447</v>
      </c>
      <c r="H22" s="7" t="s">
        <v>52</v>
      </c>
      <c r="I22" s="7" t="s">
        <v>67</v>
      </c>
      <c r="J22" s="9" t="n">
        <v>46227</v>
      </c>
      <c r="L22" s="0" t="n">
        <v>1</v>
      </c>
      <c r="M22" s="0" t="n">
        <v>1</v>
      </c>
    </row>
    <row r="23" customFormat="false" ht="42" hidden="false" customHeight="true" outlineLevel="0" collapsed="false">
      <c r="A23" s="0" t="s">
        <v>448</v>
      </c>
      <c r="B23" s="0" t="s">
        <v>155</v>
      </c>
      <c r="C23" s="0" t="s">
        <v>423</v>
      </c>
      <c r="D23" s="0" t="s">
        <v>156</v>
      </c>
      <c r="E23" s="0" t="s">
        <v>157</v>
      </c>
      <c r="F23" s="0" t="s">
        <v>157</v>
      </c>
      <c r="G23" s="0" t="s">
        <v>158</v>
      </c>
      <c r="H23" s="7" t="s">
        <v>52</v>
      </c>
      <c r="I23" s="7" t="s">
        <v>67</v>
      </c>
      <c r="J23" s="9" t="n">
        <v>46227</v>
      </c>
      <c r="L23" s="0" t="n">
        <v>1</v>
      </c>
      <c r="M23" s="0" t="n">
        <v>1</v>
      </c>
    </row>
    <row r="24" customFormat="false" ht="42" hidden="false" customHeight="true" outlineLevel="0" collapsed="false">
      <c r="A24" s="0" t="s">
        <v>449</v>
      </c>
      <c r="B24" s="0" t="s">
        <v>160</v>
      </c>
      <c r="C24" s="0" t="s">
        <v>423</v>
      </c>
      <c r="D24" s="0" t="s">
        <v>161</v>
      </c>
      <c r="E24" s="0" t="s">
        <v>89</v>
      </c>
      <c r="F24" s="0" t="s">
        <v>89</v>
      </c>
      <c r="G24" s="0" t="s">
        <v>162</v>
      </c>
      <c r="H24" s="7" t="s">
        <v>52</v>
      </c>
      <c r="I24" s="7" t="s">
        <v>67</v>
      </c>
      <c r="J24" s="9" t="n">
        <v>46227</v>
      </c>
      <c r="L24" s="0" t="n">
        <v>1</v>
      </c>
      <c r="M24" s="0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.71"/>
    <col collapsed="false" customWidth="true" hidden="false" outlineLevel="0" max="2" min="2" style="0" width="15.71"/>
    <col collapsed="false" customWidth="true" hidden="false" outlineLevel="0" max="3" min="3" style="0" width="18.71"/>
    <col collapsed="false" customWidth="true" hidden="false" outlineLevel="0" max="4" min="4" style="0" width="58.71"/>
    <col collapsed="false" customWidth="true" hidden="false" outlineLevel="0" max="6" min="5" style="0" width="14.71"/>
    <col collapsed="false" customWidth="true" hidden="false" outlineLevel="0" max="7" min="7" style="0" width="50.71"/>
    <col collapsed="false" customWidth="true" hidden="false" outlineLevel="0" max="8" min="8" style="0" width="17.71"/>
    <col collapsed="false" customWidth="true" hidden="false" outlineLevel="0" max="9" min="9" style="0" width="14.71"/>
    <col collapsed="false" customWidth="true" hidden="false" outlineLevel="0" max="10" min="10" style="9" width="14.71"/>
    <col collapsed="false" customWidth="true" hidden="false" outlineLevel="0" max="11" min="11" style="0" width="42.71"/>
    <col collapsed="false" customWidth="true" hidden="false" outlineLevel="0" max="13" min="12" style="0" width="10.71"/>
  </cols>
  <sheetData>
    <row r="1" customFormat="false" ht="37.5" hidden="false" customHeight="true" outlineLevel="0" collapsed="false">
      <c r="A1" s="2" t="s">
        <v>450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27.75" hidden="false" customHeight="true" outlineLevel="0" collapsed="false">
      <c r="A2" s="3" t="s">
        <v>69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7.35" hidden="false" customHeight="false" outlineLevel="0" collapsed="false">
      <c r="A4" s="4" t="s">
        <v>7</v>
      </c>
      <c r="B4" s="5" t="n">
        <v>16</v>
      </c>
      <c r="D4" s="4" t="s">
        <v>70</v>
      </c>
      <c r="E4" s="5" t="n">
        <v>16</v>
      </c>
      <c r="G4" s="4" t="s">
        <v>14</v>
      </c>
      <c r="H4" s="6" t="n">
        <v>1</v>
      </c>
      <c r="J4" s="4" t="s">
        <v>15</v>
      </c>
      <c r="K4" s="5" t="s">
        <v>71</v>
      </c>
    </row>
    <row r="5" customFormat="false" ht="17.35" hidden="false" customHeight="false" outlineLevel="0" collapsed="false">
      <c r="A5" s="4" t="s">
        <v>72</v>
      </c>
      <c r="B5" s="5" t="s">
        <v>71</v>
      </c>
      <c r="D5" s="4" t="s">
        <v>16</v>
      </c>
      <c r="E5" s="5" t="s">
        <v>71</v>
      </c>
    </row>
    <row r="8" customFormat="false" ht="15" hidden="false" customHeight="false" outlineLevel="0" collapsed="false">
      <c r="A8" s="7" t="s">
        <v>73</v>
      </c>
      <c r="B8" s="7" t="s">
        <v>74</v>
      </c>
      <c r="C8" s="7" t="s">
        <v>75</v>
      </c>
      <c r="D8" s="7" t="s">
        <v>76</v>
      </c>
      <c r="E8" s="7" t="s">
        <v>77</v>
      </c>
      <c r="F8" s="7" t="s">
        <v>78</v>
      </c>
      <c r="G8" s="7" t="s">
        <v>79</v>
      </c>
      <c r="H8" s="7" t="s">
        <v>80</v>
      </c>
      <c r="I8" s="7" t="s">
        <v>81</v>
      </c>
      <c r="J8" s="10" t="s">
        <v>82</v>
      </c>
      <c r="K8" s="7" t="s">
        <v>83</v>
      </c>
      <c r="L8" s="7" t="s">
        <v>84</v>
      </c>
      <c r="M8" s="7" t="s">
        <v>70</v>
      </c>
    </row>
    <row r="9" customFormat="false" ht="42" hidden="false" customHeight="true" outlineLevel="0" collapsed="false">
      <c r="A9" s="0" t="s">
        <v>451</v>
      </c>
      <c r="B9" s="0" t="s">
        <v>86</v>
      </c>
      <c r="C9" s="0" t="s">
        <v>452</v>
      </c>
      <c r="D9" s="0" t="s">
        <v>88</v>
      </c>
      <c r="E9" s="0" t="s">
        <v>89</v>
      </c>
      <c r="F9" s="0" t="s">
        <v>90</v>
      </c>
      <c r="G9" s="0" t="s">
        <v>453</v>
      </c>
      <c r="H9" s="7" t="s">
        <v>52</v>
      </c>
      <c r="I9" s="7" t="s">
        <v>67</v>
      </c>
      <c r="J9" s="9" t="n">
        <v>46227</v>
      </c>
      <c r="L9" s="0" t="n">
        <v>1</v>
      </c>
      <c r="M9" s="0" t="n">
        <v>1</v>
      </c>
    </row>
    <row r="10" customFormat="false" ht="42" hidden="false" customHeight="true" outlineLevel="0" collapsed="false">
      <c r="A10" s="0" t="s">
        <v>454</v>
      </c>
      <c r="B10" s="0" t="s">
        <v>93</v>
      </c>
      <c r="C10" s="0" t="s">
        <v>452</v>
      </c>
      <c r="D10" s="0" t="s">
        <v>94</v>
      </c>
      <c r="E10" s="0" t="s">
        <v>89</v>
      </c>
      <c r="F10" s="0" t="s">
        <v>89</v>
      </c>
      <c r="G10" s="0" t="s">
        <v>95</v>
      </c>
      <c r="H10" s="7" t="s">
        <v>52</v>
      </c>
      <c r="I10" s="7" t="s">
        <v>67</v>
      </c>
      <c r="J10" s="9" t="n">
        <v>46227</v>
      </c>
      <c r="L10" s="0" t="n">
        <v>1</v>
      </c>
      <c r="M10" s="0" t="n">
        <v>1</v>
      </c>
    </row>
    <row r="11" customFormat="false" ht="42" hidden="false" customHeight="true" outlineLevel="0" collapsed="false">
      <c r="A11" s="0" t="s">
        <v>455</v>
      </c>
      <c r="B11" s="0" t="s">
        <v>97</v>
      </c>
      <c r="C11" s="0" t="s">
        <v>452</v>
      </c>
      <c r="D11" s="0" t="s">
        <v>98</v>
      </c>
      <c r="E11" s="0" t="s">
        <v>89</v>
      </c>
      <c r="F11" s="0" t="s">
        <v>99</v>
      </c>
      <c r="G11" s="0" t="s">
        <v>456</v>
      </c>
      <c r="H11" s="7" t="s">
        <v>52</v>
      </c>
      <c r="I11" s="7" t="s">
        <v>67</v>
      </c>
      <c r="J11" s="9" t="n">
        <v>46227</v>
      </c>
      <c r="L11" s="0" t="n">
        <v>1</v>
      </c>
      <c r="M11" s="0" t="n">
        <v>1</v>
      </c>
    </row>
    <row r="12" customFormat="false" ht="42" hidden="false" customHeight="true" outlineLevel="0" collapsed="false">
      <c r="A12" s="0" t="s">
        <v>457</v>
      </c>
      <c r="B12" s="0" t="s">
        <v>102</v>
      </c>
      <c r="C12" s="0" t="s">
        <v>452</v>
      </c>
      <c r="D12" s="0" t="s">
        <v>103</v>
      </c>
      <c r="E12" s="0" t="s">
        <v>89</v>
      </c>
      <c r="F12" s="0" t="s">
        <v>104</v>
      </c>
      <c r="G12" s="0" t="s">
        <v>458</v>
      </c>
      <c r="H12" s="7" t="s">
        <v>52</v>
      </c>
      <c r="I12" s="7" t="s">
        <v>67</v>
      </c>
      <c r="J12" s="9" t="n">
        <v>46227</v>
      </c>
      <c r="L12" s="0" t="n">
        <v>1</v>
      </c>
      <c r="M12" s="0" t="n">
        <v>1</v>
      </c>
    </row>
    <row r="13" customFormat="false" ht="42" hidden="false" customHeight="true" outlineLevel="0" collapsed="false">
      <c r="A13" s="0" t="s">
        <v>459</v>
      </c>
      <c r="B13" s="0" t="s">
        <v>107</v>
      </c>
      <c r="C13" s="0" t="s">
        <v>452</v>
      </c>
      <c r="D13" s="0" t="s">
        <v>108</v>
      </c>
      <c r="E13" s="0" t="s">
        <v>89</v>
      </c>
      <c r="F13" s="0" t="s">
        <v>109</v>
      </c>
      <c r="G13" s="0" t="s">
        <v>460</v>
      </c>
      <c r="H13" s="7" t="s">
        <v>52</v>
      </c>
      <c r="I13" s="7" t="s">
        <v>67</v>
      </c>
      <c r="J13" s="9" t="n">
        <v>46227</v>
      </c>
      <c r="L13" s="0" t="n">
        <v>1</v>
      </c>
      <c r="M13" s="0" t="n">
        <v>1</v>
      </c>
    </row>
    <row r="14" customFormat="false" ht="42" hidden="false" customHeight="true" outlineLevel="0" collapsed="false">
      <c r="A14" s="0" t="s">
        <v>461</v>
      </c>
      <c r="B14" s="0" t="s">
        <v>112</v>
      </c>
      <c r="C14" s="0" t="s">
        <v>452</v>
      </c>
      <c r="D14" s="0" t="s">
        <v>113</v>
      </c>
      <c r="E14" s="0" t="s">
        <v>89</v>
      </c>
      <c r="F14" s="0" t="s">
        <v>114</v>
      </c>
      <c r="G14" s="0" t="s">
        <v>462</v>
      </c>
      <c r="H14" s="7" t="s">
        <v>52</v>
      </c>
      <c r="I14" s="7" t="s">
        <v>67</v>
      </c>
      <c r="J14" s="9" t="n">
        <v>46227</v>
      </c>
      <c r="L14" s="0" t="n">
        <v>1</v>
      </c>
      <c r="M14" s="0" t="n">
        <v>1</v>
      </c>
    </row>
    <row r="15" customFormat="false" ht="42" hidden="false" customHeight="true" outlineLevel="0" collapsed="false">
      <c r="A15" s="0" t="s">
        <v>463</v>
      </c>
      <c r="B15" s="0" t="s">
        <v>117</v>
      </c>
      <c r="C15" s="0" t="s">
        <v>452</v>
      </c>
      <c r="D15" s="0" t="s">
        <v>118</v>
      </c>
      <c r="E15" s="0" t="s">
        <v>89</v>
      </c>
      <c r="F15" s="0" t="s">
        <v>119</v>
      </c>
      <c r="G15" s="0" t="s">
        <v>464</v>
      </c>
      <c r="H15" s="7" t="s">
        <v>52</v>
      </c>
      <c r="I15" s="7" t="s">
        <v>67</v>
      </c>
      <c r="J15" s="9" t="n">
        <v>46227</v>
      </c>
      <c r="L15" s="0" t="n">
        <v>1</v>
      </c>
      <c r="M15" s="0" t="n">
        <v>1</v>
      </c>
    </row>
    <row r="16" customFormat="false" ht="42" hidden="false" customHeight="true" outlineLevel="0" collapsed="false">
      <c r="A16" s="0" t="s">
        <v>465</v>
      </c>
      <c r="B16" s="0" t="s">
        <v>122</v>
      </c>
      <c r="C16" s="0" t="s">
        <v>452</v>
      </c>
      <c r="D16" s="0" t="s">
        <v>123</v>
      </c>
      <c r="E16" s="0" t="s">
        <v>89</v>
      </c>
      <c r="F16" s="0" t="s">
        <v>124</v>
      </c>
      <c r="G16" s="0" t="s">
        <v>466</v>
      </c>
      <c r="H16" s="7" t="s">
        <v>54</v>
      </c>
      <c r="I16" s="7" t="s">
        <v>66</v>
      </c>
      <c r="J16" s="9" t="n">
        <v>46227</v>
      </c>
      <c r="K16" s="0" t="s">
        <v>126</v>
      </c>
      <c r="L16" s="0" t="n">
        <v>1</v>
      </c>
      <c r="M16" s="0" t="n">
        <v>1</v>
      </c>
    </row>
    <row r="17" customFormat="false" ht="42" hidden="false" customHeight="true" outlineLevel="0" collapsed="false">
      <c r="A17" s="0" t="s">
        <v>467</v>
      </c>
      <c r="B17" s="0" t="s">
        <v>128</v>
      </c>
      <c r="C17" s="0" t="s">
        <v>452</v>
      </c>
      <c r="D17" s="0" t="s">
        <v>129</v>
      </c>
      <c r="E17" s="0" t="s">
        <v>89</v>
      </c>
      <c r="F17" s="0" t="s">
        <v>130</v>
      </c>
      <c r="G17" s="0" t="s">
        <v>468</v>
      </c>
      <c r="H17" s="7" t="s">
        <v>54</v>
      </c>
      <c r="I17" s="7" t="s">
        <v>66</v>
      </c>
      <c r="J17" s="9" t="n">
        <v>46227</v>
      </c>
      <c r="K17" s="0" t="s">
        <v>132</v>
      </c>
      <c r="L17" s="0" t="n">
        <v>1</v>
      </c>
      <c r="M17" s="0" t="n">
        <v>1</v>
      </c>
    </row>
    <row r="18" customFormat="false" ht="42" hidden="false" customHeight="true" outlineLevel="0" collapsed="false">
      <c r="A18" s="0" t="s">
        <v>469</v>
      </c>
      <c r="B18" s="0" t="s">
        <v>134</v>
      </c>
      <c r="C18" s="0" t="s">
        <v>452</v>
      </c>
      <c r="D18" s="0" t="s">
        <v>135</v>
      </c>
      <c r="E18" s="0" t="s">
        <v>89</v>
      </c>
      <c r="F18" s="0" t="s">
        <v>130</v>
      </c>
      <c r="G18" s="0" t="s">
        <v>468</v>
      </c>
      <c r="H18" s="7" t="s">
        <v>54</v>
      </c>
      <c r="I18" s="7" t="s">
        <v>66</v>
      </c>
      <c r="J18" s="9" t="n">
        <v>46227</v>
      </c>
      <c r="K18" s="0" t="s">
        <v>132</v>
      </c>
      <c r="L18" s="0" t="n">
        <v>1</v>
      </c>
      <c r="M18" s="0" t="n">
        <v>1</v>
      </c>
    </row>
    <row r="19" customFormat="false" ht="42" hidden="false" customHeight="true" outlineLevel="0" collapsed="false">
      <c r="A19" s="0" t="s">
        <v>470</v>
      </c>
      <c r="B19" s="0" t="s">
        <v>137</v>
      </c>
      <c r="C19" s="0" t="s">
        <v>452</v>
      </c>
      <c r="D19" s="0" t="s">
        <v>138</v>
      </c>
      <c r="E19" s="0" t="s">
        <v>89</v>
      </c>
      <c r="F19" s="0" t="s">
        <v>130</v>
      </c>
      <c r="G19" s="0" t="s">
        <v>471</v>
      </c>
      <c r="H19" s="7" t="s">
        <v>54</v>
      </c>
      <c r="I19" s="7" t="s">
        <v>66</v>
      </c>
      <c r="J19" s="9" t="n">
        <v>46227</v>
      </c>
      <c r="K19" s="0" t="s">
        <v>140</v>
      </c>
      <c r="L19" s="0" t="n">
        <v>1</v>
      </c>
      <c r="M19" s="0" t="n">
        <v>1</v>
      </c>
    </row>
    <row r="20" customFormat="false" ht="42" hidden="false" customHeight="true" outlineLevel="0" collapsed="false">
      <c r="A20" s="0" t="s">
        <v>472</v>
      </c>
      <c r="B20" s="0" t="s">
        <v>142</v>
      </c>
      <c r="C20" s="0" t="s">
        <v>452</v>
      </c>
      <c r="D20" s="0" t="s">
        <v>143</v>
      </c>
      <c r="E20" s="0" t="s">
        <v>89</v>
      </c>
      <c r="F20" s="0" t="s">
        <v>130</v>
      </c>
      <c r="G20" s="0" t="s">
        <v>468</v>
      </c>
      <c r="H20" s="7" t="s">
        <v>54</v>
      </c>
      <c r="I20" s="7" t="s">
        <v>66</v>
      </c>
      <c r="J20" s="9" t="n">
        <v>46227</v>
      </c>
      <c r="K20" s="0" t="s">
        <v>144</v>
      </c>
      <c r="L20" s="0" t="n">
        <v>1</v>
      </c>
      <c r="M20" s="0" t="n">
        <v>1</v>
      </c>
    </row>
    <row r="21" customFormat="false" ht="42" hidden="false" customHeight="true" outlineLevel="0" collapsed="false">
      <c r="A21" s="0" t="s">
        <v>473</v>
      </c>
      <c r="B21" s="0" t="s">
        <v>146</v>
      </c>
      <c r="C21" s="0" t="s">
        <v>452</v>
      </c>
      <c r="D21" s="0" t="s">
        <v>147</v>
      </c>
      <c r="E21" s="0" t="s">
        <v>89</v>
      </c>
      <c r="F21" s="0" t="s">
        <v>148</v>
      </c>
      <c r="G21" s="0" t="s">
        <v>474</v>
      </c>
      <c r="H21" s="7" t="s">
        <v>52</v>
      </c>
      <c r="I21" s="7" t="s">
        <v>67</v>
      </c>
      <c r="J21" s="9" t="n">
        <v>46227</v>
      </c>
      <c r="L21" s="0" t="n">
        <v>1</v>
      </c>
      <c r="M21" s="0" t="n">
        <v>1</v>
      </c>
    </row>
    <row r="22" customFormat="false" ht="42" hidden="false" customHeight="true" outlineLevel="0" collapsed="false">
      <c r="A22" s="0" t="s">
        <v>475</v>
      </c>
      <c r="B22" s="0" t="s">
        <v>151</v>
      </c>
      <c r="C22" s="0" t="s">
        <v>452</v>
      </c>
      <c r="D22" s="0" t="s">
        <v>152</v>
      </c>
      <c r="E22" s="0" t="s">
        <v>89</v>
      </c>
      <c r="F22" s="0" t="s">
        <v>148</v>
      </c>
      <c r="G22" s="0" t="s">
        <v>476</v>
      </c>
      <c r="H22" s="7" t="s">
        <v>52</v>
      </c>
      <c r="I22" s="7" t="s">
        <v>67</v>
      </c>
      <c r="J22" s="9" t="n">
        <v>46227</v>
      </c>
      <c r="L22" s="0" t="n">
        <v>1</v>
      </c>
      <c r="M22" s="0" t="n">
        <v>1</v>
      </c>
    </row>
    <row r="23" customFormat="false" ht="42" hidden="false" customHeight="true" outlineLevel="0" collapsed="false">
      <c r="A23" s="0" t="s">
        <v>477</v>
      </c>
      <c r="B23" s="0" t="s">
        <v>155</v>
      </c>
      <c r="C23" s="0" t="s">
        <v>452</v>
      </c>
      <c r="D23" s="0" t="s">
        <v>156</v>
      </c>
      <c r="E23" s="0" t="s">
        <v>157</v>
      </c>
      <c r="F23" s="0" t="s">
        <v>157</v>
      </c>
      <c r="G23" s="0" t="s">
        <v>158</v>
      </c>
      <c r="H23" s="7" t="s">
        <v>52</v>
      </c>
      <c r="I23" s="7" t="s">
        <v>67</v>
      </c>
      <c r="J23" s="9" t="n">
        <v>46227</v>
      </c>
      <c r="L23" s="0" t="n">
        <v>1</v>
      </c>
      <c r="M23" s="0" t="n">
        <v>1</v>
      </c>
    </row>
    <row r="24" customFormat="false" ht="42" hidden="false" customHeight="true" outlineLevel="0" collapsed="false">
      <c r="A24" s="0" t="s">
        <v>478</v>
      </c>
      <c r="B24" s="0" t="s">
        <v>160</v>
      </c>
      <c r="C24" s="0" t="s">
        <v>452</v>
      </c>
      <c r="D24" s="0" t="s">
        <v>161</v>
      </c>
      <c r="E24" s="0" t="s">
        <v>89</v>
      </c>
      <c r="F24" s="0" t="s">
        <v>89</v>
      </c>
      <c r="G24" s="0" t="s">
        <v>162</v>
      </c>
      <c r="H24" s="7" t="s">
        <v>52</v>
      </c>
      <c r="I24" s="7" t="s">
        <v>67</v>
      </c>
      <c r="J24" s="9" t="n">
        <v>46227</v>
      </c>
      <c r="L24" s="0" t="n">
        <v>1</v>
      </c>
      <c r="M24" s="0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.71"/>
    <col collapsed="false" customWidth="true" hidden="false" outlineLevel="0" max="2" min="2" style="0" width="15.71"/>
    <col collapsed="false" customWidth="true" hidden="false" outlineLevel="0" max="3" min="3" style="0" width="18.71"/>
    <col collapsed="false" customWidth="true" hidden="false" outlineLevel="0" max="4" min="4" style="0" width="58.71"/>
    <col collapsed="false" customWidth="true" hidden="false" outlineLevel="0" max="6" min="5" style="0" width="14.71"/>
    <col collapsed="false" customWidth="true" hidden="false" outlineLevel="0" max="7" min="7" style="0" width="50.71"/>
    <col collapsed="false" customWidth="true" hidden="false" outlineLevel="0" max="8" min="8" style="0" width="17.71"/>
    <col collapsed="false" customWidth="true" hidden="false" outlineLevel="0" max="9" min="9" style="0" width="14.71"/>
    <col collapsed="false" customWidth="true" hidden="false" outlineLevel="0" max="10" min="10" style="9" width="14.71"/>
    <col collapsed="false" customWidth="true" hidden="false" outlineLevel="0" max="11" min="11" style="0" width="42.71"/>
    <col collapsed="false" customWidth="true" hidden="false" outlineLevel="0" max="13" min="12" style="0" width="10.71"/>
  </cols>
  <sheetData>
    <row r="1" customFormat="false" ht="37.5" hidden="false" customHeight="true" outlineLevel="0" collapsed="false">
      <c r="A1" s="2" t="s">
        <v>479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27.75" hidden="false" customHeight="true" outlineLevel="0" collapsed="false">
      <c r="A2" s="3" t="s">
        <v>69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7.35" hidden="false" customHeight="false" outlineLevel="0" collapsed="false">
      <c r="A4" s="4" t="s">
        <v>7</v>
      </c>
      <c r="B4" s="5" t="n">
        <f aca="false">COUNTA(A9:A24)</f>
        <v>16</v>
      </c>
      <c r="D4" s="4" t="s">
        <v>70</v>
      </c>
      <c r="E4" s="5" t="n">
        <f aca="false">SUM(M9:M24)</f>
        <v>12</v>
      </c>
      <c r="G4" s="4" t="s">
        <v>14</v>
      </c>
      <c r="H4" s="6" t="n">
        <f aca="false">IF(B4=0,0,E4/B4)</f>
        <v>0.75</v>
      </c>
      <c r="J4" s="4" t="s">
        <v>15</v>
      </c>
      <c r="K4" s="5" t="str">
        <f aca="false">IF(COUNTIFS(E9:E24,"package",M9:M24,0)&gt;0,"open","complete")</f>
        <v>open</v>
      </c>
    </row>
    <row r="5" customFormat="false" ht="17.35" hidden="false" customHeight="false" outlineLevel="0" collapsed="false">
      <c r="A5" s="4" t="s">
        <v>72</v>
      </c>
      <c r="B5" s="5" t="str">
        <f aca="false">IF(COUNTIFS(I9:I24,"yes",M9:M24,0)&gt;0,"open","complete")</f>
        <v>open</v>
      </c>
      <c r="D5" s="4" t="s">
        <v>16</v>
      </c>
      <c r="E5" s="5" t="str">
        <f aca="false">IF(COUNTIFS(E9:E24,"consumer",M9:M24,0)&gt;0,"open","complete")</f>
        <v>complete</v>
      </c>
    </row>
    <row r="8" customFormat="false" ht="15" hidden="false" customHeight="false" outlineLevel="0" collapsed="false">
      <c r="A8" s="7" t="s">
        <v>73</v>
      </c>
      <c r="B8" s="7" t="s">
        <v>74</v>
      </c>
      <c r="C8" s="7" t="s">
        <v>75</v>
      </c>
      <c r="D8" s="7" t="s">
        <v>76</v>
      </c>
      <c r="E8" s="7" t="s">
        <v>77</v>
      </c>
      <c r="F8" s="7" t="s">
        <v>78</v>
      </c>
      <c r="G8" s="7" t="s">
        <v>79</v>
      </c>
      <c r="H8" s="7" t="s">
        <v>80</v>
      </c>
      <c r="I8" s="7" t="s">
        <v>81</v>
      </c>
      <c r="J8" s="10" t="s">
        <v>82</v>
      </c>
      <c r="K8" s="7" t="s">
        <v>83</v>
      </c>
      <c r="L8" s="7" t="s">
        <v>84</v>
      </c>
      <c r="M8" s="7" t="s">
        <v>70</v>
      </c>
    </row>
    <row r="9" customFormat="false" ht="54" hidden="false" customHeight="true" outlineLevel="0" collapsed="false">
      <c r="A9" s="11" t="s">
        <v>480</v>
      </c>
      <c r="B9" s="11" t="s">
        <v>86</v>
      </c>
      <c r="C9" s="11" t="s">
        <v>32</v>
      </c>
      <c r="D9" s="12" t="s">
        <v>481</v>
      </c>
      <c r="E9" s="11" t="s">
        <v>89</v>
      </c>
      <c r="F9" s="11" t="s">
        <v>90</v>
      </c>
      <c r="G9" s="12" t="s">
        <v>482</v>
      </c>
      <c r="H9" s="11" t="s">
        <v>52</v>
      </c>
      <c r="I9" s="11" t="s">
        <v>67</v>
      </c>
      <c r="J9" s="13" t="n">
        <v>46227</v>
      </c>
      <c r="K9" s="12"/>
      <c r="L9" s="11" t="n">
        <v>1</v>
      </c>
      <c r="M9" s="11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1" t="s">
        <v>483</v>
      </c>
      <c r="B10" s="11" t="s">
        <v>93</v>
      </c>
      <c r="C10" s="11" t="s">
        <v>32</v>
      </c>
      <c r="D10" s="12" t="s">
        <v>484</v>
      </c>
      <c r="E10" s="11" t="s">
        <v>89</v>
      </c>
      <c r="F10" s="11" t="s">
        <v>89</v>
      </c>
      <c r="G10" s="12" t="s">
        <v>95</v>
      </c>
      <c r="H10" s="11" t="s">
        <v>52</v>
      </c>
      <c r="I10" s="11" t="s">
        <v>67</v>
      </c>
      <c r="J10" s="13" t="n">
        <v>46227</v>
      </c>
      <c r="K10" s="12"/>
      <c r="L10" s="11" t="n">
        <v>1</v>
      </c>
      <c r="M10" s="11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1" t="s">
        <v>485</v>
      </c>
      <c r="B11" s="11" t="s">
        <v>97</v>
      </c>
      <c r="C11" s="11" t="s">
        <v>32</v>
      </c>
      <c r="D11" s="12" t="s">
        <v>486</v>
      </c>
      <c r="E11" s="11" t="s">
        <v>89</v>
      </c>
      <c r="F11" s="11" t="s">
        <v>99</v>
      </c>
      <c r="G11" s="12" t="s">
        <v>487</v>
      </c>
      <c r="H11" s="11" t="s">
        <v>52</v>
      </c>
      <c r="I11" s="11" t="s">
        <v>67</v>
      </c>
      <c r="J11" s="13" t="n">
        <v>46227</v>
      </c>
      <c r="K11" s="12"/>
      <c r="L11" s="11" t="n">
        <v>1</v>
      </c>
      <c r="M11" s="11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1" t="s">
        <v>488</v>
      </c>
      <c r="B12" s="11" t="s">
        <v>102</v>
      </c>
      <c r="C12" s="11" t="s">
        <v>32</v>
      </c>
      <c r="D12" s="12" t="s">
        <v>489</v>
      </c>
      <c r="E12" s="11" t="s">
        <v>89</v>
      </c>
      <c r="F12" s="11" t="s">
        <v>104</v>
      </c>
      <c r="G12" s="12" t="s">
        <v>490</v>
      </c>
      <c r="H12" s="11" t="s">
        <v>52</v>
      </c>
      <c r="I12" s="11" t="s">
        <v>67</v>
      </c>
      <c r="J12" s="13" t="n">
        <v>46227</v>
      </c>
      <c r="K12" s="12"/>
      <c r="L12" s="11" t="n">
        <v>1</v>
      </c>
      <c r="M12" s="11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1" t="s">
        <v>491</v>
      </c>
      <c r="B13" s="11" t="s">
        <v>107</v>
      </c>
      <c r="C13" s="11" t="s">
        <v>32</v>
      </c>
      <c r="D13" s="12" t="s">
        <v>492</v>
      </c>
      <c r="E13" s="11" t="s">
        <v>89</v>
      </c>
      <c r="F13" s="11" t="s">
        <v>109</v>
      </c>
      <c r="G13" s="12" t="s">
        <v>493</v>
      </c>
      <c r="H13" s="11" t="s">
        <v>52</v>
      </c>
      <c r="I13" s="11" t="s">
        <v>67</v>
      </c>
      <c r="J13" s="13" t="n">
        <v>46227</v>
      </c>
      <c r="K13" s="12"/>
      <c r="L13" s="11" t="n">
        <v>1</v>
      </c>
      <c r="M13" s="11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1" t="s">
        <v>494</v>
      </c>
      <c r="B14" s="11" t="s">
        <v>112</v>
      </c>
      <c r="C14" s="11" t="s">
        <v>32</v>
      </c>
      <c r="D14" s="12" t="s">
        <v>495</v>
      </c>
      <c r="E14" s="11" t="s">
        <v>89</v>
      </c>
      <c r="F14" s="11" t="s">
        <v>114</v>
      </c>
      <c r="G14" s="12" t="s">
        <v>496</v>
      </c>
      <c r="H14" s="11" t="s">
        <v>52</v>
      </c>
      <c r="I14" s="11" t="s">
        <v>67</v>
      </c>
      <c r="J14" s="13" t="n">
        <v>46227</v>
      </c>
      <c r="K14" s="12"/>
      <c r="L14" s="11" t="n">
        <v>1</v>
      </c>
      <c r="M14" s="11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1" t="s">
        <v>497</v>
      </c>
      <c r="B15" s="11" t="s">
        <v>117</v>
      </c>
      <c r="C15" s="11" t="s">
        <v>32</v>
      </c>
      <c r="D15" s="12" t="s">
        <v>498</v>
      </c>
      <c r="E15" s="11" t="s">
        <v>89</v>
      </c>
      <c r="F15" s="11" t="s">
        <v>119</v>
      </c>
      <c r="G15" s="12" t="s">
        <v>499</v>
      </c>
      <c r="H15" s="11" t="s">
        <v>52</v>
      </c>
      <c r="I15" s="11" t="s">
        <v>67</v>
      </c>
      <c r="J15" s="13" t="n">
        <v>46227</v>
      </c>
      <c r="K15" s="12"/>
      <c r="L15" s="11" t="n">
        <v>1</v>
      </c>
      <c r="M15" s="11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1" t="s">
        <v>500</v>
      </c>
      <c r="B16" s="11" t="s">
        <v>122</v>
      </c>
      <c r="C16" s="11" t="s">
        <v>32</v>
      </c>
      <c r="D16" s="12" t="s">
        <v>501</v>
      </c>
      <c r="E16" s="11" t="s">
        <v>89</v>
      </c>
      <c r="F16" s="11" t="s">
        <v>124</v>
      </c>
      <c r="G16" s="12" t="s">
        <v>502</v>
      </c>
      <c r="H16" s="11" t="s">
        <v>54</v>
      </c>
      <c r="I16" s="11" t="s">
        <v>66</v>
      </c>
      <c r="J16" s="13" t="n">
        <v>46227</v>
      </c>
      <c r="K16" s="12" t="s">
        <v>503</v>
      </c>
      <c r="L16" s="11" t="n">
        <v>1</v>
      </c>
      <c r="M16" s="11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1" t="s">
        <v>504</v>
      </c>
      <c r="B17" s="11" t="s">
        <v>128</v>
      </c>
      <c r="C17" s="11" t="s">
        <v>32</v>
      </c>
      <c r="D17" s="12" t="s">
        <v>505</v>
      </c>
      <c r="E17" s="11" t="s">
        <v>89</v>
      </c>
      <c r="F17" s="11" t="s">
        <v>130</v>
      </c>
      <c r="G17" s="12" t="s">
        <v>506</v>
      </c>
      <c r="H17" s="11" t="s">
        <v>50</v>
      </c>
      <c r="I17" s="11" t="s">
        <v>66</v>
      </c>
      <c r="J17" s="13"/>
      <c r="K17" s="12" t="s">
        <v>507</v>
      </c>
      <c r="L17" s="11" t="n">
        <v>1</v>
      </c>
      <c r="M17" s="11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1" t="s">
        <v>508</v>
      </c>
      <c r="B18" s="11" t="s">
        <v>134</v>
      </c>
      <c r="C18" s="11" t="s">
        <v>32</v>
      </c>
      <c r="D18" s="12" t="s">
        <v>509</v>
      </c>
      <c r="E18" s="11" t="s">
        <v>89</v>
      </c>
      <c r="F18" s="11" t="s">
        <v>130</v>
      </c>
      <c r="G18" s="12" t="s">
        <v>510</v>
      </c>
      <c r="H18" s="11" t="s">
        <v>50</v>
      </c>
      <c r="I18" s="11" t="s">
        <v>66</v>
      </c>
      <c r="J18" s="13"/>
      <c r="K18" s="12" t="s">
        <v>511</v>
      </c>
      <c r="L18" s="11" t="n">
        <v>1</v>
      </c>
      <c r="M18" s="11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1" t="s">
        <v>512</v>
      </c>
      <c r="B19" s="11" t="s">
        <v>137</v>
      </c>
      <c r="C19" s="11" t="s">
        <v>32</v>
      </c>
      <c r="D19" s="12" t="s">
        <v>513</v>
      </c>
      <c r="E19" s="11" t="s">
        <v>89</v>
      </c>
      <c r="F19" s="11" t="s">
        <v>130</v>
      </c>
      <c r="G19" s="12" t="s">
        <v>514</v>
      </c>
      <c r="H19" s="11" t="s">
        <v>50</v>
      </c>
      <c r="I19" s="11" t="s">
        <v>66</v>
      </c>
      <c r="J19" s="13"/>
      <c r="K19" s="12" t="s">
        <v>515</v>
      </c>
      <c r="L19" s="11" t="n">
        <v>1</v>
      </c>
      <c r="M19" s="11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1" t="s">
        <v>516</v>
      </c>
      <c r="B20" s="11" t="s">
        <v>142</v>
      </c>
      <c r="C20" s="11" t="s">
        <v>32</v>
      </c>
      <c r="D20" s="12" t="s">
        <v>517</v>
      </c>
      <c r="E20" s="11" t="s">
        <v>89</v>
      </c>
      <c r="F20" s="11" t="s">
        <v>130</v>
      </c>
      <c r="G20" s="12" t="s">
        <v>506</v>
      </c>
      <c r="H20" s="11" t="s">
        <v>50</v>
      </c>
      <c r="I20" s="11" t="s">
        <v>66</v>
      </c>
      <c r="J20" s="13"/>
      <c r="K20" s="12" t="s">
        <v>518</v>
      </c>
      <c r="L20" s="11" t="n">
        <v>1</v>
      </c>
      <c r="M20" s="11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1" t="s">
        <v>519</v>
      </c>
      <c r="B21" s="11" t="s">
        <v>146</v>
      </c>
      <c r="C21" s="11" t="s">
        <v>32</v>
      </c>
      <c r="D21" s="12" t="s">
        <v>520</v>
      </c>
      <c r="E21" s="11" t="s">
        <v>89</v>
      </c>
      <c r="F21" s="11" t="s">
        <v>148</v>
      </c>
      <c r="G21" s="12" t="s">
        <v>521</v>
      </c>
      <c r="H21" s="11" t="s">
        <v>52</v>
      </c>
      <c r="I21" s="11" t="s">
        <v>67</v>
      </c>
      <c r="J21" s="13" t="n">
        <v>46227</v>
      </c>
      <c r="K21" s="12"/>
      <c r="L21" s="11" t="n">
        <v>1</v>
      </c>
      <c r="M21" s="11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1" t="s">
        <v>522</v>
      </c>
      <c r="B22" s="11" t="s">
        <v>151</v>
      </c>
      <c r="C22" s="11" t="s">
        <v>32</v>
      </c>
      <c r="D22" s="12" t="s">
        <v>523</v>
      </c>
      <c r="E22" s="11" t="s">
        <v>89</v>
      </c>
      <c r="F22" s="11" t="s">
        <v>148</v>
      </c>
      <c r="G22" s="12" t="s">
        <v>524</v>
      </c>
      <c r="H22" s="11" t="s">
        <v>52</v>
      </c>
      <c r="I22" s="11" t="s">
        <v>67</v>
      </c>
      <c r="J22" s="13" t="n">
        <v>46227</v>
      </c>
      <c r="K22" s="12"/>
      <c r="L22" s="11" t="n">
        <v>1</v>
      </c>
      <c r="M22" s="11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1" t="s">
        <v>525</v>
      </c>
      <c r="B23" s="11" t="s">
        <v>155</v>
      </c>
      <c r="C23" s="11" t="s">
        <v>32</v>
      </c>
      <c r="D23" s="12" t="s">
        <v>526</v>
      </c>
      <c r="E23" s="11" t="s">
        <v>157</v>
      </c>
      <c r="F23" s="11" t="s">
        <v>157</v>
      </c>
      <c r="G23" s="12" t="s">
        <v>158</v>
      </c>
      <c r="H23" s="11" t="s">
        <v>52</v>
      </c>
      <c r="I23" s="11" t="s">
        <v>67</v>
      </c>
      <c r="J23" s="13" t="n">
        <v>46227</v>
      </c>
      <c r="K23" s="12"/>
      <c r="L23" s="11" t="n">
        <v>1</v>
      </c>
      <c r="M23" s="11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1" t="s">
        <v>527</v>
      </c>
      <c r="B24" s="11" t="s">
        <v>160</v>
      </c>
      <c r="C24" s="11" t="s">
        <v>32</v>
      </c>
      <c r="D24" s="12" t="s">
        <v>528</v>
      </c>
      <c r="E24" s="11" t="s">
        <v>89</v>
      </c>
      <c r="F24" s="11" t="s">
        <v>89</v>
      </c>
      <c r="G24" s="12" t="s">
        <v>529</v>
      </c>
      <c r="H24" s="11" t="s">
        <v>52</v>
      </c>
      <c r="I24" s="11" t="s">
        <v>67</v>
      </c>
      <c r="J24" s="13" t="n">
        <v>46227</v>
      </c>
      <c r="K24" s="12"/>
      <c r="L24" s="11" t="n">
        <v>1</v>
      </c>
      <c r="M24" s="11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.71"/>
    <col collapsed="false" customWidth="true" hidden="false" outlineLevel="0" max="2" min="2" style="0" width="15.71"/>
    <col collapsed="false" customWidth="true" hidden="false" outlineLevel="0" max="3" min="3" style="0" width="18.71"/>
    <col collapsed="false" customWidth="true" hidden="false" outlineLevel="0" max="4" min="4" style="0" width="58.71"/>
    <col collapsed="false" customWidth="true" hidden="false" outlineLevel="0" max="6" min="5" style="0" width="14.71"/>
    <col collapsed="false" customWidth="true" hidden="false" outlineLevel="0" max="7" min="7" style="0" width="50.71"/>
    <col collapsed="false" customWidth="true" hidden="false" outlineLevel="0" max="8" min="8" style="0" width="17.71"/>
    <col collapsed="false" customWidth="true" hidden="false" outlineLevel="0" max="9" min="9" style="0" width="14.71"/>
    <col collapsed="false" customWidth="true" hidden="false" outlineLevel="0" max="10" min="10" style="9" width="14.71"/>
    <col collapsed="false" customWidth="true" hidden="false" outlineLevel="0" max="11" min="11" style="0" width="42.71"/>
    <col collapsed="false" customWidth="true" hidden="false" outlineLevel="0" max="13" min="12" style="0" width="10.71"/>
  </cols>
  <sheetData>
    <row r="1" customFormat="false" ht="37.5" hidden="false" customHeight="true" outlineLevel="0" collapsed="false">
      <c r="A1" s="2" t="s">
        <v>530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27.75" hidden="false" customHeight="true" outlineLevel="0" collapsed="false">
      <c r="A2" s="3" t="s">
        <v>69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7.35" hidden="false" customHeight="false" outlineLevel="0" collapsed="false">
      <c r="A4" s="4" t="s">
        <v>7</v>
      </c>
      <c r="B4" s="5" t="n">
        <v>16</v>
      </c>
      <c r="D4" s="4" t="s">
        <v>70</v>
      </c>
      <c r="E4" s="5" t="n">
        <v>16</v>
      </c>
      <c r="G4" s="4" t="s">
        <v>14</v>
      </c>
      <c r="H4" s="6" t="n">
        <v>1</v>
      </c>
      <c r="J4" s="4" t="s">
        <v>15</v>
      </c>
      <c r="K4" s="5" t="s">
        <v>71</v>
      </c>
    </row>
    <row r="5" customFormat="false" ht="17.35" hidden="false" customHeight="false" outlineLevel="0" collapsed="false">
      <c r="A5" s="4" t="s">
        <v>72</v>
      </c>
      <c r="B5" s="5" t="s">
        <v>71</v>
      </c>
      <c r="D5" s="4" t="s">
        <v>16</v>
      </c>
      <c r="E5" s="5" t="s">
        <v>71</v>
      </c>
    </row>
    <row r="8" customFormat="false" ht="15" hidden="false" customHeight="false" outlineLevel="0" collapsed="false">
      <c r="A8" s="7" t="s">
        <v>73</v>
      </c>
      <c r="B8" s="7" t="s">
        <v>74</v>
      </c>
      <c r="C8" s="7" t="s">
        <v>75</v>
      </c>
      <c r="D8" s="7" t="s">
        <v>76</v>
      </c>
      <c r="E8" s="7" t="s">
        <v>77</v>
      </c>
      <c r="F8" s="7" t="s">
        <v>78</v>
      </c>
      <c r="G8" s="7" t="s">
        <v>79</v>
      </c>
      <c r="H8" s="7" t="s">
        <v>80</v>
      </c>
      <c r="I8" s="7" t="s">
        <v>81</v>
      </c>
      <c r="J8" s="10" t="s">
        <v>82</v>
      </c>
      <c r="K8" s="7" t="s">
        <v>83</v>
      </c>
      <c r="L8" s="7" t="s">
        <v>84</v>
      </c>
      <c r="M8" s="7" t="s">
        <v>70</v>
      </c>
    </row>
    <row r="9" customFormat="false" ht="42" hidden="false" customHeight="true" outlineLevel="0" collapsed="false">
      <c r="A9" s="0" t="s">
        <v>531</v>
      </c>
      <c r="B9" s="0" t="s">
        <v>86</v>
      </c>
      <c r="C9" s="0" t="s">
        <v>532</v>
      </c>
      <c r="D9" s="0" t="s">
        <v>88</v>
      </c>
      <c r="E9" s="0" t="s">
        <v>89</v>
      </c>
      <c r="F9" s="0" t="s">
        <v>90</v>
      </c>
      <c r="G9" s="0" t="s">
        <v>222</v>
      </c>
      <c r="H9" s="7" t="s">
        <v>52</v>
      </c>
      <c r="I9" s="7" t="s">
        <v>67</v>
      </c>
      <c r="J9" s="9" t="n">
        <v>46227</v>
      </c>
      <c r="L9" s="0" t="n">
        <v>1</v>
      </c>
      <c r="M9" s="0" t="n">
        <v>1</v>
      </c>
    </row>
    <row r="10" customFormat="false" ht="42" hidden="false" customHeight="true" outlineLevel="0" collapsed="false">
      <c r="A10" s="0" t="s">
        <v>533</v>
      </c>
      <c r="B10" s="0" t="s">
        <v>93</v>
      </c>
      <c r="C10" s="0" t="s">
        <v>532</v>
      </c>
      <c r="D10" s="0" t="s">
        <v>94</v>
      </c>
      <c r="E10" s="0" t="s">
        <v>89</v>
      </c>
      <c r="F10" s="0" t="s">
        <v>89</v>
      </c>
      <c r="G10" s="0" t="s">
        <v>95</v>
      </c>
      <c r="H10" s="7" t="s">
        <v>52</v>
      </c>
      <c r="I10" s="7" t="s">
        <v>67</v>
      </c>
      <c r="J10" s="9" t="n">
        <v>46227</v>
      </c>
      <c r="L10" s="0" t="n">
        <v>1</v>
      </c>
      <c r="M10" s="0" t="n">
        <v>1</v>
      </c>
    </row>
    <row r="11" customFormat="false" ht="42" hidden="false" customHeight="true" outlineLevel="0" collapsed="false">
      <c r="A11" s="0" t="s">
        <v>534</v>
      </c>
      <c r="B11" s="0" t="s">
        <v>97</v>
      </c>
      <c r="C11" s="0" t="s">
        <v>532</v>
      </c>
      <c r="D11" s="0" t="s">
        <v>98</v>
      </c>
      <c r="E11" s="0" t="s">
        <v>89</v>
      </c>
      <c r="F11" s="0" t="s">
        <v>99</v>
      </c>
      <c r="G11" s="0" t="s">
        <v>535</v>
      </c>
      <c r="H11" s="7" t="s">
        <v>52</v>
      </c>
      <c r="I11" s="7" t="s">
        <v>67</v>
      </c>
      <c r="J11" s="9" t="n">
        <v>46227</v>
      </c>
      <c r="L11" s="0" t="n">
        <v>1</v>
      </c>
      <c r="M11" s="0" t="n">
        <v>1</v>
      </c>
    </row>
    <row r="12" customFormat="false" ht="42" hidden="false" customHeight="true" outlineLevel="0" collapsed="false">
      <c r="A12" s="0" t="s">
        <v>536</v>
      </c>
      <c r="B12" s="0" t="s">
        <v>102</v>
      </c>
      <c r="C12" s="0" t="s">
        <v>532</v>
      </c>
      <c r="D12" s="0" t="s">
        <v>103</v>
      </c>
      <c r="E12" s="0" t="s">
        <v>89</v>
      </c>
      <c r="F12" s="0" t="s">
        <v>104</v>
      </c>
      <c r="G12" s="0" t="s">
        <v>227</v>
      </c>
      <c r="H12" s="7" t="s">
        <v>52</v>
      </c>
      <c r="I12" s="7" t="s">
        <v>67</v>
      </c>
      <c r="J12" s="9" t="n">
        <v>46227</v>
      </c>
      <c r="L12" s="0" t="n">
        <v>1</v>
      </c>
      <c r="M12" s="0" t="n">
        <v>1</v>
      </c>
    </row>
    <row r="13" customFormat="false" ht="42" hidden="false" customHeight="true" outlineLevel="0" collapsed="false">
      <c r="A13" s="0" t="s">
        <v>537</v>
      </c>
      <c r="B13" s="0" t="s">
        <v>107</v>
      </c>
      <c r="C13" s="0" t="s">
        <v>532</v>
      </c>
      <c r="D13" s="0" t="s">
        <v>108</v>
      </c>
      <c r="E13" s="0" t="s">
        <v>89</v>
      </c>
      <c r="F13" s="0" t="s">
        <v>109</v>
      </c>
      <c r="G13" s="0" t="s">
        <v>538</v>
      </c>
      <c r="H13" s="7" t="s">
        <v>52</v>
      </c>
      <c r="I13" s="7" t="s">
        <v>67</v>
      </c>
      <c r="J13" s="9" t="n">
        <v>46227</v>
      </c>
      <c r="L13" s="0" t="n">
        <v>1</v>
      </c>
      <c r="M13" s="0" t="n">
        <v>1</v>
      </c>
    </row>
    <row r="14" customFormat="false" ht="42" hidden="false" customHeight="true" outlineLevel="0" collapsed="false">
      <c r="A14" s="0" t="s">
        <v>539</v>
      </c>
      <c r="B14" s="0" t="s">
        <v>112</v>
      </c>
      <c r="C14" s="0" t="s">
        <v>532</v>
      </c>
      <c r="D14" s="0" t="s">
        <v>113</v>
      </c>
      <c r="E14" s="0" t="s">
        <v>89</v>
      </c>
      <c r="F14" s="0" t="s">
        <v>114</v>
      </c>
      <c r="G14" s="0" t="s">
        <v>540</v>
      </c>
      <c r="H14" s="7" t="s">
        <v>52</v>
      </c>
      <c r="I14" s="7" t="s">
        <v>67</v>
      </c>
      <c r="J14" s="9" t="n">
        <v>46227</v>
      </c>
      <c r="L14" s="0" t="n">
        <v>1</v>
      </c>
      <c r="M14" s="0" t="n">
        <v>1</v>
      </c>
    </row>
    <row r="15" customFormat="false" ht="42" hidden="false" customHeight="true" outlineLevel="0" collapsed="false">
      <c r="A15" s="0" t="s">
        <v>541</v>
      </c>
      <c r="B15" s="0" t="s">
        <v>117</v>
      </c>
      <c r="C15" s="0" t="s">
        <v>532</v>
      </c>
      <c r="D15" s="0" t="s">
        <v>118</v>
      </c>
      <c r="E15" s="0" t="s">
        <v>89</v>
      </c>
      <c r="F15" s="0" t="s">
        <v>119</v>
      </c>
      <c r="G15" s="0" t="s">
        <v>542</v>
      </c>
      <c r="H15" s="7" t="s">
        <v>52</v>
      </c>
      <c r="I15" s="7" t="s">
        <v>67</v>
      </c>
      <c r="J15" s="9" t="n">
        <v>46227</v>
      </c>
      <c r="L15" s="0" t="n">
        <v>1</v>
      </c>
      <c r="M15" s="0" t="n">
        <v>1</v>
      </c>
    </row>
    <row r="16" customFormat="false" ht="42" hidden="false" customHeight="true" outlineLevel="0" collapsed="false">
      <c r="A16" s="0" t="s">
        <v>543</v>
      </c>
      <c r="B16" s="0" t="s">
        <v>122</v>
      </c>
      <c r="C16" s="0" t="s">
        <v>532</v>
      </c>
      <c r="D16" s="0" t="s">
        <v>123</v>
      </c>
      <c r="E16" s="0" t="s">
        <v>89</v>
      </c>
      <c r="F16" s="0" t="s">
        <v>124</v>
      </c>
      <c r="G16" s="0" t="s">
        <v>544</v>
      </c>
      <c r="H16" s="7" t="s">
        <v>54</v>
      </c>
      <c r="I16" s="7" t="s">
        <v>66</v>
      </c>
      <c r="J16" s="9" t="n">
        <v>46227</v>
      </c>
      <c r="K16" s="0" t="s">
        <v>126</v>
      </c>
      <c r="L16" s="0" t="n">
        <v>1</v>
      </c>
      <c r="M16" s="0" t="n">
        <v>1</v>
      </c>
    </row>
    <row r="17" customFormat="false" ht="42" hidden="false" customHeight="true" outlineLevel="0" collapsed="false">
      <c r="A17" s="0" t="s">
        <v>545</v>
      </c>
      <c r="B17" s="0" t="s">
        <v>128</v>
      </c>
      <c r="C17" s="0" t="s">
        <v>532</v>
      </c>
      <c r="D17" s="0" t="s">
        <v>129</v>
      </c>
      <c r="E17" s="0" t="s">
        <v>89</v>
      </c>
      <c r="F17" s="0" t="s">
        <v>130</v>
      </c>
      <c r="G17" s="0" t="s">
        <v>546</v>
      </c>
      <c r="H17" s="7" t="s">
        <v>54</v>
      </c>
      <c r="I17" s="7" t="s">
        <v>66</v>
      </c>
      <c r="J17" s="9" t="n">
        <v>46227</v>
      </c>
      <c r="K17" s="0" t="s">
        <v>132</v>
      </c>
      <c r="L17" s="0" t="n">
        <v>1</v>
      </c>
      <c r="M17" s="0" t="n">
        <v>1</v>
      </c>
    </row>
    <row r="18" customFormat="false" ht="42" hidden="false" customHeight="true" outlineLevel="0" collapsed="false">
      <c r="A18" s="0" t="s">
        <v>547</v>
      </c>
      <c r="B18" s="0" t="s">
        <v>134</v>
      </c>
      <c r="C18" s="0" t="s">
        <v>532</v>
      </c>
      <c r="D18" s="0" t="s">
        <v>135</v>
      </c>
      <c r="E18" s="0" t="s">
        <v>89</v>
      </c>
      <c r="F18" s="0" t="s">
        <v>130</v>
      </c>
      <c r="G18" s="0" t="s">
        <v>546</v>
      </c>
      <c r="H18" s="7" t="s">
        <v>54</v>
      </c>
      <c r="I18" s="7" t="s">
        <v>66</v>
      </c>
      <c r="J18" s="9" t="n">
        <v>46227</v>
      </c>
      <c r="K18" s="0" t="s">
        <v>132</v>
      </c>
      <c r="L18" s="0" t="n">
        <v>1</v>
      </c>
      <c r="M18" s="0" t="n">
        <v>1</v>
      </c>
    </row>
    <row r="19" customFormat="false" ht="42" hidden="false" customHeight="true" outlineLevel="0" collapsed="false">
      <c r="A19" s="0" t="s">
        <v>548</v>
      </c>
      <c r="B19" s="0" t="s">
        <v>137</v>
      </c>
      <c r="C19" s="0" t="s">
        <v>532</v>
      </c>
      <c r="D19" s="0" t="s">
        <v>138</v>
      </c>
      <c r="E19" s="0" t="s">
        <v>89</v>
      </c>
      <c r="F19" s="0" t="s">
        <v>130</v>
      </c>
      <c r="G19" s="0" t="s">
        <v>549</v>
      </c>
      <c r="H19" s="7" t="s">
        <v>54</v>
      </c>
      <c r="I19" s="7" t="s">
        <v>66</v>
      </c>
      <c r="J19" s="9" t="n">
        <v>46227</v>
      </c>
      <c r="K19" s="0" t="s">
        <v>140</v>
      </c>
      <c r="L19" s="0" t="n">
        <v>1</v>
      </c>
      <c r="M19" s="0" t="n">
        <v>1</v>
      </c>
    </row>
    <row r="20" customFormat="false" ht="42" hidden="false" customHeight="true" outlineLevel="0" collapsed="false">
      <c r="A20" s="0" t="s">
        <v>550</v>
      </c>
      <c r="B20" s="0" t="s">
        <v>142</v>
      </c>
      <c r="C20" s="0" t="s">
        <v>532</v>
      </c>
      <c r="D20" s="0" t="s">
        <v>143</v>
      </c>
      <c r="E20" s="0" t="s">
        <v>89</v>
      </c>
      <c r="F20" s="0" t="s">
        <v>130</v>
      </c>
      <c r="G20" s="0" t="s">
        <v>546</v>
      </c>
      <c r="H20" s="7" t="s">
        <v>54</v>
      </c>
      <c r="I20" s="7" t="s">
        <v>66</v>
      </c>
      <c r="J20" s="9" t="n">
        <v>46227</v>
      </c>
      <c r="K20" s="0" t="s">
        <v>144</v>
      </c>
      <c r="L20" s="0" t="n">
        <v>1</v>
      </c>
      <c r="M20" s="0" t="n">
        <v>1</v>
      </c>
    </row>
    <row r="21" customFormat="false" ht="42" hidden="false" customHeight="true" outlineLevel="0" collapsed="false">
      <c r="A21" s="0" t="s">
        <v>551</v>
      </c>
      <c r="B21" s="0" t="s">
        <v>146</v>
      </c>
      <c r="C21" s="0" t="s">
        <v>532</v>
      </c>
      <c r="D21" s="0" t="s">
        <v>147</v>
      </c>
      <c r="E21" s="0" t="s">
        <v>89</v>
      </c>
      <c r="F21" s="0" t="s">
        <v>148</v>
      </c>
      <c r="G21" s="0" t="s">
        <v>552</v>
      </c>
      <c r="H21" s="7" t="s">
        <v>52</v>
      </c>
      <c r="I21" s="7" t="s">
        <v>67</v>
      </c>
      <c r="J21" s="9" t="n">
        <v>46227</v>
      </c>
      <c r="L21" s="0" t="n">
        <v>1</v>
      </c>
      <c r="M21" s="0" t="n">
        <v>1</v>
      </c>
    </row>
    <row r="22" customFormat="false" ht="42" hidden="false" customHeight="true" outlineLevel="0" collapsed="false">
      <c r="A22" s="0" t="s">
        <v>553</v>
      </c>
      <c r="B22" s="0" t="s">
        <v>151</v>
      </c>
      <c r="C22" s="0" t="s">
        <v>532</v>
      </c>
      <c r="D22" s="0" t="s">
        <v>152</v>
      </c>
      <c r="E22" s="0" t="s">
        <v>89</v>
      </c>
      <c r="F22" s="0" t="s">
        <v>148</v>
      </c>
      <c r="G22" s="0" t="s">
        <v>554</v>
      </c>
      <c r="H22" s="7" t="s">
        <v>52</v>
      </c>
      <c r="I22" s="7" t="s">
        <v>67</v>
      </c>
      <c r="J22" s="9" t="n">
        <v>46227</v>
      </c>
      <c r="L22" s="0" t="n">
        <v>1</v>
      </c>
      <c r="M22" s="0" t="n">
        <v>1</v>
      </c>
    </row>
    <row r="23" customFormat="false" ht="42" hidden="false" customHeight="true" outlineLevel="0" collapsed="false">
      <c r="A23" s="0" t="s">
        <v>555</v>
      </c>
      <c r="B23" s="0" t="s">
        <v>155</v>
      </c>
      <c r="C23" s="0" t="s">
        <v>532</v>
      </c>
      <c r="D23" s="0" t="s">
        <v>156</v>
      </c>
      <c r="E23" s="0" t="s">
        <v>157</v>
      </c>
      <c r="F23" s="0" t="s">
        <v>157</v>
      </c>
      <c r="G23" s="0" t="s">
        <v>158</v>
      </c>
      <c r="H23" s="7" t="s">
        <v>52</v>
      </c>
      <c r="I23" s="7" t="s">
        <v>67</v>
      </c>
      <c r="J23" s="9" t="n">
        <v>46227</v>
      </c>
      <c r="L23" s="0" t="n">
        <v>1</v>
      </c>
      <c r="M23" s="0" t="n">
        <v>1</v>
      </c>
    </row>
    <row r="24" customFormat="false" ht="42" hidden="false" customHeight="true" outlineLevel="0" collapsed="false">
      <c r="A24" s="0" t="s">
        <v>556</v>
      </c>
      <c r="B24" s="0" t="s">
        <v>160</v>
      </c>
      <c r="C24" s="0" t="s">
        <v>532</v>
      </c>
      <c r="D24" s="0" t="s">
        <v>161</v>
      </c>
      <c r="E24" s="0" t="s">
        <v>89</v>
      </c>
      <c r="F24" s="0" t="s">
        <v>89</v>
      </c>
      <c r="G24" s="0" t="s">
        <v>162</v>
      </c>
      <c r="H24" s="7" t="s">
        <v>52</v>
      </c>
      <c r="I24" s="7" t="s">
        <v>67</v>
      </c>
      <c r="J24" s="9" t="n">
        <v>46227</v>
      </c>
      <c r="L24" s="0" t="n">
        <v>1</v>
      </c>
      <c r="M24" s="0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.71"/>
    <col collapsed="false" customWidth="true" hidden="false" outlineLevel="0" max="2" min="2" style="0" width="15.71"/>
    <col collapsed="false" customWidth="true" hidden="false" outlineLevel="0" max="3" min="3" style="0" width="18.71"/>
    <col collapsed="false" customWidth="true" hidden="false" outlineLevel="0" max="4" min="4" style="0" width="58.71"/>
    <col collapsed="false" customWidth="true" hidden="false" outlineLevel="0" max="6" min="5" style="0" width="14.71"/>
    <col collapsed="false" customWidth="true" hidden="false" outlineLevel="0" max="7" min="7" style="0" width="50.71"/>
    <col collapsed="false" customWidth="true" hidden="false" outlineLevel="0" max="8" min="8" style="0" width="17.71"/>
    <col collapsed="false" customWidth="true" hidden="false" outlineLevel="0" max="9" min="9" style="0" width="14.71"/>
    <col collapsed="false" customWidth="true" hidden="false" outlineLevel="0" max="10" min="10" style="9" width="14.71"/>
    <col collapsed="false" customWidth="true" hidden="false" outlineLevel="0" max="11" min="11" style="0" width="42.71"/>
    <col collapsed="false" customWidth="true" hidden="false" outlineLevel="0" max="13" min="12" style="0" width="10.71"/>
  </cols>
  <sheetData>
    <row r="1" customFormat="false" ht="37.5" hidden="false" customHeight="true" outlineLevel="0" collapsed="false">
      <c r="A1" s="2" t="s">
        <v>557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27.75" hidden="false" customHeight="true" outlineLevel="0" collapsed="false">
      <c r="A2" s="3" t="s">
        <v>69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7.35" hidden="false" customHeight="false" outlineLevel="0" collapsed="false">
      <c r="A4" s="4" t="s">
        <v>7</v>
      </c>
      <c r="B4" s="5" t="n">
        <v>16</v>
      </c>
      <c r="D4" s="4" t="s">
        <v>70</v>
      </c>
      <c r="E4" s="5" t="n">
        <v>16</v>
      </c>
      <c r="G4" s="4" t="s">
        <v>14</v>
      </c>
      <c r="H4" s="6" t="n">
        <v>1</v>
      </c>
      <c r="J4" s="4" t="s">
        <v>15</v>
      </c>
      <c r="K4" s="5" t="s">
        <v>71</v>
      </c>
    </row>
    <row r="5" customFormat="false" ht="17.35" hidden="false" customHeight="false" outlineLevel="0" collapsed="false">
      <c r="A5" s="4" t="s">
        <v>72</v>
      </c>
      <c r="B5" s="5" t="s">
        <v>71</v>
      </c>
      <c r="D5" s="4" t="s">
        <v>16</v>
      </c>
      <c r="E5" s="5" t="s">
        <v>71</v>
      </c>
    </row>
    <row r="8" customFormat="false" ht="15" hidden="false" customHeight="false" outlineLevel="0" collapsed="false">
      <c r="A8" s="7" t="s">
        <v>73</v>
      </c>
      <c r="B8" s="7" t="s">
        <v>74</v>
      </c>
      <c r="C8" s="7" t="s">
        <v>75</v>
      </c>
      <c r="D8" s="7" t="s">
        <v>76</v>
      </c>
      <c r="E8" s="7" t="s">
        <v>77</v>
      </c>
      <c r="F8" s="7" t="s">
        <v>78</v>
      </c>
      <c r="G8" s="7" t="s">
        <v>79</v>
      </c>
      <c r="H8" s="7" t="s">
        <v>80</v>
      </c>
      <c r="I8" s="7" t="s">
        <v>81</v>
      </c>
      <c r="J8" s="10" t="s">
        <v>82</v>
      </c>
      <c r="K8" s="7" t="s">
        <v>83</v>
      </c>
      <c r="L8" s="7" t="s">
        <v>84</v>
      </c>
      <c r="M8" s="7" t="s">
        <v>70</v>
      </c>
    </row>
    <row r="9" customFormat="false" ht="42" hidden="false" customHeight="true" outlineLevel="0" collapsed="false">
      <c r="A9" s="0" t="s">
        <v>558</v>
      </c>
      <c r="B9" s="0" t="s">
        <v>86</v>
      </c>
      <c r="C9" s="0" t="s">
        <v>34</v>
      </c>
      <c r="D9" s="0" t="s">
        <v>88</v>
      </c>
      <c r="E9" s="0" t="s">
        <v>89</v>
      </c>
      <c r="F9" s="0" t="s">
        <v>90</v>
      </c>
      <c r="G9" s="0" t="s">
        <v>559</v>
      </c>
      <c r="H9" s="7" t="s">
        <v>52</v>
      </c>
      <c r="I9" s="7" t="s">
        <v>67</v>
      </c>
      <c r="J9" s="9" t="n">
        <v>46227</v>
      </c>
      <c r="L9" s="0" t="n">
        <v>1</v>
      </c>
      <c r="M9" s="0" t="n">
        <v>1</v>
      </c>
    </row>
    <row r="10" customFormat="false" ht="42" hidden="false" customHeight="true" outlineLevel="0" collapsed="false">
      <c r="A10" s="0" t="s">
        <v>560</v>
      </c>
      <c r="B10" s="0" t="s">
        <v>93</v>
      </c>
      <c r="C10" s="0" t="s">
        <v>34</v>
      </c>
      <c r="D10" s="0" t="s">
        <v>94</v>
      </c>
      <c r="E10" s="0" t="s">
        <v>89</v>
      </c>
      <c r="F10" s="0" t="s">
        <v>89</v>
      </c>
      <c r="G10" s="0" t="s">
        <v>95</v>
      </c>
      <c r="H10" s="7" t="s">
        <v>52</v>
      </c>
      <c r="I10" s="7" t="s">
        <v>67</v>
      </c>
      <c r="J10" s="9" t="n">
        <v>46227</v>
      </c>
      <c r="L10" s="0" t="n">
        <v>1</v>
      </c>
      <c r="M10" s="0" t="n">
        <v>1</v>
      </c>
    </row>
    <row r="11" customFormat="false" ht="42" hidden="false" customHeight="true" outlineLevel="0" collapsed="false">
      <c r="A11" s="0" t="s">
        <v>561</v>
      </c>
      <c r="B11" s="0" t="s">
        <v>97</v>
      </c>
      <c r="C11" s="0" t="s">
        <v>34</v>
      </c>
      <c r="D11" s="0" t="s">
        <v>98</v>
      </c>
      <c r="E11" s="0" t="s">
        <v>89</v>
      </c>
      <c r="F11" s="0" t="s">
        <v>99</v>
      </c>
      <c r="G11" s="0" t="s">
        <v>562</v>
      </c>
      <c r="H11" s="7" t="s">
        <v>52</v>
      </c>
      <c r="I11" s="7" t="s">
        <v>67</v>
      </c>
      <c r="J11" s="9" t="n">
        <v>46227</v>
      </c>
      <c r="L11" s="0" t="n">
        <v>1</v>
      </c>
      <c r="M11" s="0" t="n">
        <v>1</v>
      </c>
    </row>
    <row r="12" customFormat="false" ht="42" hidden="false" customHeight="true" outlineLevel="0" collapsed="false">
      <c r="A12" s="0" t="s">
        <v>563</v>
      </c>
      <c r="B12" s="0" t="s">
        <v>102</v>
      </c>
      <c r="C12" s="0" t="s">
        <v>34</v>
      </c>
      <c r="D12" s="0" t="s">
        <v>103</v>
      </c>
      <c r="E12" s="0" t="s">
        <v>89</v>
      </c>
      <c r="F12" s="0" t="s">
        <v>104</v>
      </c>
      <c r="G12" s="0" t="s">
        <v>564</v>
      </c>
      <c r="H12" s="7" t="s">
        <v>52</v>
      </c>
      <c r="I12" s="7" t="s">
        <v>67</v>
      </c>
      <c r="J12" s="9" t="n">
        <v>46227</v>
      </c>
      <c r="L12" s="0" t="n">
        <v>1</v>
      </c>
      <c r="M12" s="0" t="n">
        <v>1</v>
      </c>
    </row>
    <row r="13" customFormat="false" ht="42" hidden="false" customHeight="true" outlineLevel="0" collapsed="false">
      <c r="A13" s="0" t="s">
        <v>565</v>
      </c>
      <c r="B13" s="0" t="s">
        <v>107</v>
      </c>
      <c r="C13" s="0" t="s">
        <v>34</v>
      </c>
      <c r="D13" s="0" t="s">
        <v>108</v>
      </c>
      <c r="E13" s="0" t="s">
        <v>89</v>
      </c>
      <c r="F13" s="0" t="s">
        <v>109</v>
      </c>
      <c r="G13" s="0" t="s">
        <v>566</v>
      </c>
      <c r="H13" s="7" t="s">
        <v>52</v>
      </c>
      <c r="I13" s="7" t="s">
        <v>67</v>
      </c>
      <c r="J13" s="9" t="n">
        <v>46227</v>
      </c>
      <c r="L13" s="0" t="n">
        <v>1</v>
      </c>
      <c r="M13" s="0" t="n">
        <v>1</v>
      </c>
    </row>
    <row r="14" customFormat="false" ht="42" hidden="false" customHeight="true" outlineLevel="0" collapsed="false">
      <c r="A14" s="0" t="s">
        <v>567</v>
      </c>
      <c r="B14" s="0" t="s">
        <v>112</v>
      </c>
      <c r="C14" s="0" t="s">
        <v>34</v>
      </c>
      <c r="D14" s="0" t="s">
        <v>113</v>
      </c>
      <c r="E14" s="0" t="s">
        <v>89</v>
      </c>
      <c r="F14" s="0" t="s">
        <v>114</v>
      </c>
      <c r="G14" s="0" t="s">
        <v>568</v>
      </c>
      <c r="H14" s="7" t="s">
        <v>52</v>
      </c>
      <c r="I14" s="7" t="s">
        <v>67</v>
      </c>
      <c r="J14" s="9" t="n">
        <v>46227</v>
      </c>
      <c r="L14" s="0" t="n">
        <v>1</v>
      </c>
      <c r="M14" s="0" t="n">
        <v>1</v>
      </c>
    </row>
    <row r="15" customFormat="false" ht="42" hidden="false" customHeight="true" outlineLevel="0" collapsed="false">
      <c r="A15" s="0" t="s">
        <v>569</v>
      </c>
      <c r="B15" s="0" t="s">
        <v>117</v>
      </c>
      <c r="C15" s="0" t="s">
        <v>34</v>
      </c>
      <c r="D15" s="0" t="s">
        <v>118</v>
      </c>
      <c r="E15" s="0" t="s">
        <v>89</v>
      </c>
      <c r="F15" s="0" t="s">
        <v>119</v>
      </c>
      <c r="G15" s="0" t="s">
        <v>570</v>
      </c>
      <c r="H15" s="7" t="s">
        <v>52</v>
      </c>
      <c r="I15" s="7" t="s">
        <v>67</v>
      </c>
      <c r="J15" s="9" t="n">
        <v>46227</v>
      </c>
      <c r="L15" s="0" t="n">
        <v>1</v>
      </c>
      <c r="M15" s="0" t="n">
        <v>1</v>
      </c>
    </row>
    <row r="16" customFormat="false" ht="42" hidden="false" customHeight="true" outlineLevel="0" collapsed="false">
      <c r="A16" s="0" t="s">
        <v>571</v>
      </c>
      <c r="B16" s="0" t="s">
        <v>122</v>
      </c>
      <c r="C16" s="0" t="s">
        <v>34</v>
      </c>
      <c r="D16" s="0" t="s">
        <v>123</v>
      </c>
      <c r="E16" s="0" t="s">
        <v>89</v>
      </c>
      <c r="F16" s="0" t="s">
        <v>124</v>
      </c>
      <c r="G16" s="0" t="s">
        <v>572</v>
      </c>
      <c r="H16" s="7" t="s">
        <v>54</v>
      </c>
      <c r="I16" s="7" t="s">
        <v>66</v>
      </c>
      <c r="J16" s="9" t="n">
        <v>46227</v>
      </c>
      <c r="K16" s="0" t="s">
        <v>126</v>
      </c>
      <c r="L16" s="0" t="n">
        <v>1</v>
      </c>
      <c r="M16" s="0" t="n">
        <v>1</v>
      </c>
    </row>
    <row r="17" customFormat="false" ht="42" hidden="false" customHeight="true" outlineLevel="0" collapsed="false">
      <c r="A17" s="0" t="s">
        <v>573</v>
      </c>
      <c r="B17" s="0" t="s">
        <v>128</v>
      </c>
      <c r="C17" s="0" t="s">
        <v>34</v>
      </c>
      <c r="D17" s="0" t="s">
        <v>129</v>
      </c>
      <c r="E17" s="0" t="s">
        <v>89</v>
      </c>
      <c r="F17" s="0" t="s">
        <v>130</v>
      </c>
      <c r="G17" s="0" t="s">
        <v>574</v>
      </c>
      <c r="H17" s="7" t="s">
        <v>54</v>
      </c>
      <c r="I17" s="7" t="s">
        <v>66</v>
      </c>
      <c r="J17" s="9" t="n">
        <v>46227</v>
      </c>
      <c r="K17" s="0" t="s">
        <v>132</v>
      </c>
      <c r="L17" s="0" t="n">
        <v>1</v>
      </c>
      <c r="M17" s="0" t="n">
        <v>1</v>
      </c>
    </row>
    <row r="18" customFormat="false" ht="42" hidden="false" customHeight="true" outlineLevel="0" collapsed="false">
      <c r="A18" s="0" t="s">
        <v>575</v>
      </c>
      <c r="B18" s="0" t="s">
        <v>134</v>
      </c>
      <c r="C18" s="0" t="s">
        <v>34</v>
      </c>
      <c r="D18" s="0" t="s">
        <v>135</v>
      </c>
      <c r="E18" s="0" t="s">
        <v>89</v>
      </c>
      <c r="F18" s="0" t="s">
        <v>130</v>
      </c>
      <c r="G18" s="0" t="s">
        <v>574</v>
      </c>
      <c r="H18" s="7" t="s">
        <v>54</v>
      </c>
      <c r="I18" s="7" t="s">
        <v>66</v>
      </c>
      <c r="J18" s="9" t="n">
        <v>46227</v>
      </c>
      <c r="K18" s="0" t="s">
        <v>132</v>
      </c>
      <c r="L18" s="0" t="n">
        <v>1</v>
      </c>
      <c r="M18" s="0" t="n">
        <v>1</v>
      </c>
    </row>
    <row r="19" customFormat="false" ht="42" hidden="false" customHeight="true" outlineLevel="0" collapsed="false">
      <c r="A19" s="0" t="s">
        <v>576</v>
      </c>
      <c r="B19" s="0" t="s">
        <v>137</v>
      </c>
      <c r="C19" s="0" t="s">
        <v>34</v>
      </c>
      <c r="D19" s="0" t="s">
        <v>138</v>
      </c>
      <c r="E19" s="0" t="s">
        <v>89</v>
      </c>
      <c r="F19" s="0" t="s">
        <v>130</v>
      </c>
      <c r="G19" s="0" t="s">
        <v>577</v>
      </c>
      <c r="H19" s="7" t="s">
        <v>54</v>
      </c>
      <c r="I19" s="7" t="s">
        <v>66</v>
      </c>
      <c r="J19" s="9" t="n">
        <v>46227</v>
      </c>
      <c r="K19" s="0" t="s">
        <v>140</v>
      </c>
      <c r="L19" s="0" t="n">
        <v>1</v>
      </c>
      <c r="M19" s="0" t="n">
        <v>1</v>
      </c>
    </row>
    <row r="20" customFormat="false" ht="42" hidden="false" customHeight="true" outlineLevel="0" collapsed="false">
      <c r="A20" s="0" t="s">
        <v>578</v>
      </c>
      <c r="B20" s="0" t="s">
        <v>142</v>
      </c>
      <c r="C20" s="0" t="s">
        <v>34</v>
      </c>
      <c r="D20" s="0" t="s">
        <v>143</v>
      </c>
      <c r="E20" s="0" t="s">
        <v>89</v>
      </c>
      <c r="F20" s="0" t="s">
        <v>130</v>
      </c>
      <c r="G20" s="0" t="s">
        <v>574</v>
      </c>
      <c r="H20" s="7" t="s">
        <v>54</v>
      </c>
      <c r="I20" s="7" t="s">
        <v>66</v>
      </c>
      <c r="J20" s="9" t="n">
        <v>46227</v>
      </c>
      <c r="K20" s="0" t="s">
        <v>144</v>
      </c>
      <c r="L20" s="0" t="n">
        <v>1</v>
      </c>
      <c r="M20" s="0" t="n">
        <v>1</v>
      </c>
    </row>
    <row r="21" customFormat="false" ht="42" hidden="false" customHeight="true" outlineLevel="0" collapsed="false">
      <c r="A21" s="0" t="s">
        <v>579</v>
      </c>
      <c r="B21" s="0" t="s">
        <v>146</v>
      </c>
      <c r="C21" s="0" t="s">
        <v>34</v>
      </c>
      <c r="D21" s="0" t="s">
        <v>147</v>
      </c>
      <c r="E21" s="0" t="s">
        <v>89</v>
      </c>
      <c r="F21" s="0" t="s">
        <v>148</v>
      </c>
      <c r="G21" s="0" t="s">
        <v>580</v>
      </c>
      <c r="H21" s="7" t="s">
        <v>52</v>
      </c>
      <c r="I21" s="7" t="s">
        <v>67</v>
      </c>
      <c r="J21" s="9" t="n">
        <v>46227</v>
      </c>
      <c r="L21" s="0" t="n">
        <v>1</v>
      </c>
      <c r="M21" s="0" t="n">
        <v>1</v>
      </c>
    </row>
    <row r="22" customFormat="false" ht="42" hidden="false" customHeight="true" outlineLevel="0" collapsed="false">
      <c r="A22" s="0" t="s">
        <v>581</v>
      </c>
      <c r="B22" s="0" t="s">
        <v>151</v>
      </c>
      <c r="C22" s="0" t="s">
        <v>34</v>
      </c>
      <c r="D22" s="0" t="s">
        <v>152</v>
      </c>
      <c r="E22" s="0" t="s">
        <v>89</v>
      </c>
      <c r="F22" s="0" t="s">
        <v>148</v>
      </c>
      <c r="G22" s="0" t="s">
        <v>582</v>
      </c>
      <c r="H22" s="7" t="s">
        <v>52</v>
      </c>
      <c r="I22" s="7" t="s">
        <v>67</v>
      </c>
      <c r="J22" s="9" t="n">
        <v>46227</v>
      </c>
      <c r="L22" s="0" t="n">
        <v>1</v>
      </c>
      <c r="M22" s="0" t="n">
        <v>1</v>
      </c>
    </row>
    <row r="23" customFormat="false" ht="42" hidden="false" customHeight="true" outlineLevel="0" collapsed="false">
      <c r="A23" s="0" t="s">
        <v>583</v>
      </c>
      <c r="B23" s="0" t="s">
        <v>155</v>
      </c>
      <c r="C23" s="0" t="s">
        <v>34</v>
      </c>
      <c r="D23" s="0" t="s">
        <v>156</v>
      </c>
      <c r="E23" s="0" t="s">
        <v>157</v>
      </c>
      <c r="F23" s="0" t="s">
        <v>157</v>
      </c>
      <c r="G23" s="0" t="s">
        <v>158</v>
      </c>
      <c r="H23" s="7" t="s">
        <v>52</v>
      </c>
      <c r="I23" s="7" t="s">
        <v>67</v>
      </c>
      <c r="J23" s="9" t="n">
        <v>46227</v>
      </c>
      <c r="L23" s="0" t="n">
        <v>1</v>
      </c>
      <c r="M23" s="0" t="n">
        <v>1</v>
      </c>
    </row>
    <row r="24" customFormat="false" ht="42" hidden="false" customHeight="true" outlineLevel="0" collapsed="false">
      <c r="A24" s="0" t="s">
        <v>584</v>
      </c>
      <c r="B24" s="0" t="s">
        <v>160</v>
      </c>
      <c r="C24" s="0" t="s">
        <v>34</v>
      </c>
      <c r="D24" s="0" t="s">
        <v>161</v>
      </c>
      <c r="E24" s="0" t="s">
        <v>89</v>
      </c>
      <c r="F24" s="0" t="s">
        <v>89</v>
      </c>
      <c r="G24" s="0" t="s">
        <v>162</v>
      </c>
      <c r="H24" s="7" t="s">
        <v>52</v>
      </c>
      <c r="I24" s="7" t="s">
        <v>67</v>
      </c>
      <c r="J24" s="9" t="n">
        <v>46227</v>
      </c>
      <c r="L24" s="0" t="n">
        <v>1</v>
      </c>
      <c r="M24" s="0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.71"/>
    <col collapsed="false" customWidth="true" hidden="false" outlineLevel="0" max="2" min="2" style="0" width="15.71"/>
    <col collapsed="false" customWidth="true" hidden="false" outlineLevel="0" max="3" min="3" style="0" width="18.71"/>
    <col collapsed="false" customWidth="true" hidden="false" outlineLevel="0" max="4" min="4" style="0" width="58.71"/>
    <col collapsed="false" customWidth="true" hidden="false" outlineLevel="0" max="6" min="5" style="0" width="14.71"/>
    <col collapsed="false" customWidth="true" hidden="false" outlineLevel="0" max="7" min="7" style="0" width="50.71"/>
    <col collapsed="false" customWidth="true" hidden="false" outlineLevel="0" max="8" min="8" style="0" width="17.71"/>
    <col collapsed="false" customWidth="true" hidden="false" outlineLevel="0" max="9" min="9" style="0" width="14.71"/>
    <col collapsed="false" customWidth="true" hidden="false" outlineLevel="0" max="10" min="10" style="9" width="14.71"/>
    <col collapsed="false" customWidth="true" hidden="false" outlineLevel="0" max="11" min="11" style="0" width="42.71"/>
    <col collapsed="false" customWidth="true" hidden="false" outlineLevel="0" max="13" min="12" style="0" width="10.71"/>
  </cols>
  <sheetData>
    <row r="1" customFormat="false" ht="37.5" hidden="false" customHeight="true" outlineLevel="0" collapsed="false">
      <c r="A1" s="2" t="s">
        <v>585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27.75" hidden="false" customHeight="true" outlineLevel="0" collapsed="false">
      <c r="A2" s="3" t="s">
        <v>69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7.35" hidden="false" customHeight="false" outlineLevel="0" collapsed="false">
      <c r="A4" s="4" t="s">
        <v>7</v>
      </c>
      <c r="B4" s="5" t="n">
        <v>16</v>
      </c>
      <c r="D4" s="4" t="s">
        <v>70</v>
      </c>
      <c r="E4" s="5" t="n">
        <v>16</v>
      </c>
      <c r="G4" s="4" t="s">
        <v>14</v>
      </c>
      <c r="H4" s="6" t="n">
        <v>1</v>
      </c>
      <c r="J4" s="4" t="s">
        <v>15</v>
      </c>
      <c r="K4" s="5" t="s">
        <v>71</v>
      </c>
    </row>
    <row r="5" customFormat="false" ht="17.35" hidden="false" customHeight="false" outlineLevel="0" collapsed="false">
      <c r="A5" s="4" t="s">
        <v>72</v>
      </c>
      <c r="B5" s="5" t="s">
        <v>71</v>
      </c>
      <c r="D5" s="4" t="s">
        <v>16</v>
      </c>
      <c r="E5" s="5" t="s">
        <v>71</v>
      </c>
    </row>
    <row r="8" customFormat="false" ht="15" hidden="false" customHeight="false" outlineLevel="0" collapsed="false">
      <c r="A8" s="7" t="s">
        <v>73</v>
      </c>
      <c r="B8" s="7" t="s">
        <v>74</v>
      </c>
      <c r="C8" s="7" t="s">
        <v>75</v>
      </c>
      <c r="D8" s="7" t="s">
        <v>76</v>
      </c>
      <c r="E8" s="7" t="s">
        <v>77</v>
      </c>
      <c r="F8" s="7" t="s">
        <v>78</v>
      </c>
      <c r="G8" s="7" t="s">
        <v>79</v>
      </c>
      <c r="H8" s="7" t="s">
        <v>80</v>
      </c>
      <c r="I8" s="7" t="s">
        <v>81</v>
      </c>
      <c r="J8" s="10" t="s">
        <v>82</v>
      </c>
      <c r="K8" s="7" t="s">
        <v>83</v>
      </c>
      <c r="L8" s="7" t="s">
        <v>84</v>
      </c>
      <c r="M8" s="7" t="s">
        <v>70</v>
      </c>
    </row>
    <row r="9" customFormat="false" ht="42" hidden="false" customHeight="true" outlineLevel="0" collapsed="false">
      <c r="A9" s="0" t="s">
        <v>586</v>
      </c>
      <c r="B9" s="0" t="s">
        <v>86</v>
      </c>
      <c r="C9" s="0" t="s">
        <v>35</v>
      </c>
      <c r="D9" s="0" t="s">
        <v>88</v>
      </c>
      <c r="E9" s="0" t="s">
        <v>89</v>
      </c>
      <c r="F9" s="0" t="s">
        <v>90</v>
      </c>
      <c r="G9" s="0" t="s">
        <v>587</v>
      </c>
      <c r="H9" s="7" t="s">
        <v>52</v>
      </c>
      <c r="I9" s="7" t="s">
        <v>67</v>
      </c>
      <c r="J9" s="9" t="n">
        <v>46227</v>
      </c>
      <c r="L9" s="0" t="n">
        <v>1</v>
      </c>
      <c r="M9" s="0" t="n">
        <v>1</v>
      </c>
    </row>
    <row r="10" customFormat="false" ht="42" hidden="false" customHeight="true" outlineLevel="0" collapsed="false">
      <c r="A10" s="0" t="s">
        <v>588</v>
      </c>
      <c r="B10" s="0" t="s">
        <v>93</v>
      </c>
      <c r="C10" s="0" t="s">
        <v>35</v>
      </c>
      <c r="D10" s="0" t="s">
        <v>94</v>
      </c>
      <c r="E10" s="0" t="s">
        <v>89</v>
      </c>
      <c r="F10" s="0" t="s">
        <v>89</v>
      </c>
      <c r="G10" s="0" t="s">
        <v>95</v>
      </c>
      <c r="H10" s="7" t="s">
        <v>52</v>
      </c>
      <c r="I10" s="7" t="s">
        <v>67</v>
      </c>
      <c r="J10" s="9" t="n">
        <v>46227</v>
      </c>
      <c r="L10" s="0" t="n">
        <v>1</v>
      </c>
      <c r="M10" s="0" t="n">
        <v>1</v>
      </c>
    </row>
    <row r="11" customFormat="false" ht="42" hidden="false" customHeight="true" outlineLevel="0" collapsed="false">
      <c r="A11" s="0" t="s">
        <v>589</v>
      </c>
      <c r="B11" s="0" t="s">
        <v>97</v>
      </c>
      <c r="C11" s="0" t="s">
        <v>35</v>
      </c>
      <c r="D11" s="0" t="s">
        <v>98</v>
      </c>
      <c r="E11" s="0" t="s">
        <v>89</v>
      </c>
      <c r="F11" s="0" t="s">
        <v>99</v>
      </c>
      <c r="G11" s="0" t="s">
        <v>590</v>
      </c>
      <c r="H11" s="7" t="s">
        <v>52</v>
      </c>
      <c r="I11" s="7" t="s">
        <v>67</v>
      </c>
      <c r="J11" s="9" t="n">
        <v>46227</v>
      </c>
      <c r="L11" s="0" t="n">
        <v>1</v>
      </c>
      <c r="M11" s="0" t="n">
        <v>1</v>
      </c>
    </row>
    <row r="12" customFormat="false" ht="42" hidden="false" customHeight="true" outlineLevel="0" collapsed="false">
      <c r="A12" s="0" t="s">
        <v>591</v>
      </c>
      <c r="B12" s="0" t="s">
        <v>102</v>
      </c>
      <c r="C12" s="0" t="s">
        <v>35</v>
      </c>
      <c r="D12" s="0" t="s">
        <v>103</v>
      </c>
      <c r="E12" s="0" t="s">
        <v>89</v>
      </c>
      <c r="F12" s="0" t="s">
        <v>104</v>
      </c>
      <c r="G12" s="0" t="s">
        <v>592</v>
      </c>
      <c r="H12" s="7" t="s">
        <v>52</v>
      </c>
      <c r="I12" s="7" t="s">
        <v>67</v>
      </c>
      <c r="J12" s="9" t="n">
        <v>46227</v>
      </c>
      <c r="L12" s="0" t="n">
        <v>1</v>
      </c>
      <c r="M12" s="0" t="n">
        <v>1</v>
      </c>
    </row>
    <row r="13" customFormat="false" ht="42" hidden="false" customHeight="true" outlineLevel="0" collapsed="false">
      <c r="A13" s="0" t="s">
        <v>593</v>
      </c>
      <c r="B13" s="0" t="s">
        <v>107</v>
      </c>
      <c r="C13" s="0" t="s">
        <v>35</v>
      </c>
      <c r="D13" s="0" t="s">
        <v>108</v>
      </c>
      <c r="E13" s="0" t="s">
        <v>89</v>
      </c>
      <c r="F13" s="0" t="s">
        <v>109</v>
      </c>
      <c r="G13" s="0" t="s">
        <v>594</v>
      </c>
      <c r="H13" s="7" t="s">
        <v>52</v>
      </c>
      <c r="I13" s="7" t="s">
        <v>67</v>
      </c>
      <c r="J13" s="9" t="n">
        <v>46227</v>
      </c>
      <c r="L13" s="0" t="n">
        <v>1</v>
      </c>
      <c r="M13" s="0" t="n">
        <v>1</v>
      </c>
    </row>
    <row r="14" customFormat="false" ht="42" hidden="false" customHeight="true" outlineLevel="0" collapsed="false">
      <c r="A14" s="0" t="s">
        <v>595</v>
      </c>
      <c r="B14" s="0" t="s">
        <v>112</v>
      </c>
      <c r="C14" s="0" t="s">
        <v>35</v>
      </c>
      <c r="D14" s="0" t="s">
        <v>113</v>
      </c>
      <c r="E14" s="0" t="s">
        <v>89</v>
      </c>
      <c r="F14" s="0" t="s">
        <v>114</v>
      </c>
      <c r="G14" s="0" t="s">
        <v>596</v>
      </c>
      <c r="H14" s="7" t="s">
        <v>52</v>
      </c>
      <c r="I14" s="7" t="s">
        <v>67</v>
      </c>
      <c r="J14" s="9" t="n">
        <v>46227</v>
      </c>
      <c r="L14" s="0" t="n">
        <v>1</v>
      </c>
      <c r="M14" s="0" t="n">
        <v>1</v>
      </c>
    </row>
    <row r="15" customFormat="false" ht="42" hidden="false" customHeight="true" outlineLevel="0" collapsed="false">
      <c r="A15" s="0" t="s">
        <v>597</v>
      </c>
      <c r="B15" s="0" t="s">
        <v>117</v>
      </c>
      <c r="C15" s="0" t="s">
        <v>35</v>
      </c>
      <c r="D15" s="0" t="s">
        <v>118</v>
      </c>
      <c r="E15" s="0" t="s">
        <v>89</v>
      </c>
      <c r="F15" s="0" t="s">
        <v>119</v>
      </c>
      <c r="G15" s="0" t="s">
        <v>598</v>
      </c>
      <c r="H15" s="7" t="s">
        <v>52</v>
      </c>
      <c r="I15" s="7" t="s">
        <v>67</v>
      </c>
      <c r="J15" s="9" t="n">
        <v>46227</v>
      </c>
      <c r="L15" s="0" t="n">
        <v>1</v>
      </c>
      <c r="M15" s="0" t="n">
        <v>1</v>
      </c>
    </row>
    <row r="16" customFormat="false" ht="42" hidden="false" customHeight="true" outlineLevel="0" collapsed="false">
      <c r="A16" s="0" t="s">
        <v>599</v>
      </c>
      <c r="B16" s="0" t="s">
        <v>122</v>
      </c>
      <c r="C16" s="0" t="s">
        <v>35</v>
      </c>
      <c r="D16" s="0" t="s">
        <v>123</v>
      </c>
      <c r="E16" s="0" t="s">
        <v>89</v>
      </c>
      <c r="F16" s="0" t="s">
        <v>124</v>
      </c>
      <c r="G16" s="0" t="s">
        <v>600</v>
      </c>
      <c r="H16" s="7" t="s">
        <v>54</v>
      </c>
      <c r="I16" s="7" t="s">
        <v>66</v>
      </c>
      <c r="J16" s="9" t="n">
        <v>46227</v>
      </c>
      <c r="K16" s="0" t="s">
        <v>126</v>
      </c>
      <c r="L16" s="0" t="n">
        <v>1</v>
      </c>
      <c r="M16" s="0" t="n">
        <v>1</v>
      </c>
    </row>
    <row r="17" customFormat="false" ht="42" hidden="false" customHeight="true" outlineLevel="0" collapsed="false">
      <c r="A17" s="0" t="s">
        <v>601</v>
      </c>
      <c r="B17" s="0" t="s">
        <v>128</v>
      </c>
      <c r="C17" s="0" t="s">
        <v>35</v>
      </c>
      <c r="D17" s="0" t="s">
        <v>129</v>
      </c>
      <c r="E17" s="0" t="s">
        <v>89</v>
      </c>
      <c r="F17" s="0" t="s">
        <v>130</v>
      </c>
      <c r="G17" s="0" t="s">
        <v>602</v>
      </c>
      <c r="H17" s="7" t="s">
        <v>54</v>
      </c>
      <c r="I17" s="7" t="s">
        <v>66</v>
      </c>
      <c r="J17" s="9" t="n">
        <v>46227</v>
      </c>
      <c r="K17" s="0" t="s">
        <v>132</v>
      </c>
      <c r="L17" s="0" t="n">
        <v>1</v>
      </c>
      <c r="M17" s="0" t="n">
        <v>1</v>
      </c>
    </row>
    <row r="18" customFormat="false" ht="42" hidden="false" customHeight="true" outlineLevel="0" collapsed="false">
      <c r="A18" s="0" t="s">
        <v>603</v>
      </c>
      <c r="B18" s="0" t="s">
        <v>134</v>
      </c>
      <c r="C18" s="0" t="s">
        <v>35</v>
      </c>
      <c r="D18" s="0" t="s">
        <v>135</v>
      </c>
      <c r="E18" s="0" t="s">
        <v>89</v>
      </c>
      <c r="F18" s="0" t="s">
        <v>130</v>
      </c>
      <c r="G18" s="0" t="s">
        <v>602</v>
      </c>
      <c r="H18" s="7" t="s">
        <v>54</v>
      </c>
      <c r="I18" s="7" t="s">
        <v>66</v>
      </c>
      <c r="J18" s="9" t="n">
        <v>46227</v>
      </c>
      <c r="K18" s="0" t="s">
        <v>132</v>
      </c>
      <c r="L18" s="0" t="n">
        <v>1</v>
      </c>
      <c r="M18" s="0" t="n">
        <v>1</v>
      </c>
    </row>
    <row r="19" customFormat="false" ht="42" hidden="false" customHeight="true" outlineLevel="0" collapsed="false">
      <c r="A19" s="0" t="s">
        <v>604</v>
      </c>
      <c r="B19" s="0" t="s">
        <v>137</v>
      </c>
      <c r="C19" s="0" t="s">
        <v>35</v>
      </c>
      <c r="D19" s="0" t="s">
        <v>138</v>
      </c>
      <c r="E19" s="0" t="s">
        <v>89</v>
      </c>
      <c r="F19" s="0" t="s">
        <v>130</v>
      </c>
      <c r="G19" s="0" t="s">
        <v>605</v>
      </c>
      <c r="H19" s="7" t="s">
        <v>54</v>
      </c>
      <c r="I19" s="7" t="s">
        <v>66</v>
      </c>
      <c r="J19" s="9" t="n">
        <v>46227</v>
      </c>
      <c r="K19" s="0" t="s">
        <v>140</v>
      </c>
      <c r="L19" s="0" t="n">
        <v>1</v>
      </c>
      <c r="M19" s="0" t="n">
        <v>1</v>
      </c>
    </row>
    <row r="20" customFormat="false" ht="42" hidden="false" customHeight="true" outlineLevel="0" collapsed="false">
      <c r="A20" s="0" t="s">
        <v>606</v>
      </c>
      <c r="B20" s="0" t="s">
        <v>142</v>
      </c>
      <c r="C20" s="0" t="s">
        <v>35</v>
      </c>
      <c r="D20" s="0" t="s">
        <v>143</v>
      </c>
      <c r="E20" s="0" t="s">
        <v>89</v>
      </c>
      <c r="F20" s="0" t="s">
        <v>130</v>
      </c>
      <c r="G20" s="0" t="s">
        <v>602</v>
      </c>
      <c r="H20" s="7" t="s">
        <v>54</v>
      </c>
      <c r="I20" s="7" t="s">
        <v>66</v>
      </c>
      <c r="J20" s="9" t="n">
        <v>46227</v>
      </c>
      <c r="K20" s="0" t="s">
        <v>144</v>
      </c>
      <c r="L20" s="0" t="n">
        <v>1</v>
      </c>
      <c r="M20" s="0" t="n">
        <v>1</v>
      </c>
    </row>
    <row r="21" customFormat="false" ht="42" hidden="false" customHeight="true" outlineLevel="0" collapsed="false">
      <c r="A21" s="0" t="s">
        <v>607</v>
      </c>
      <c r="B21" s="0" t="s">
        <v>146</v>
      </c>
      <c r="C21" s="0" t="s">
        <v>35</v>
      </c>
      <c r="D21" s="0" t="s">
        <v>147</v>
      </c>
      <c r="E21" s="0" t="s">
        <v>89</v>
      </c>
      <c r="F21" s="0" t="s">
        <v>148</v>
      </c>
      <c r="G21" s="0" t="s">
        <v>608</v>
      </c>
      <c r="H21" s="7" t="s">
        <v>52</v>
      </c>
      <c r="I21" s="7" t="s">
        <v>67</v>
      </c>
      <c r="J21" s="9" t="n">
        <v>46227</v>
      </c>
      <c r="L21" s="0" t="n">
        <v>1</v>
      </c>
      <c r="M21" s="0" t="n">
        <v>1</v>
      </c>
    </row>
    <row r="22" customFormat="false" ht="42" hidden="false" customHeight="true" outlineLevel="0" collapsed="false">
      <c r="A22" s="0" t="s">
        <v>609</v>
      </c>
      <c r="B22" s="0" t="s">
        <v>151</v>
      </c>
      <c r="C22" s="0" t="s">
        <v>35</v>
      </c>
      <c r="D22" s="0" t="s">
        <v>152</v>
      </c>
      <c r="E22" s="0" t="s">
        <v>89</v>
      </c>
      <c r="F22" s="0" t="s">
        <v>148</v>
      </c>
      <c r="G22" s="0" t="s">
        <v>610</v>
      </c>
      <c r="H22" s="7" t="s">
        <v>52</v>
      </c>
      <c r="I22" s="7" t="s">
        <v>67</v>
      </c>
      <c r="J22" s="9" t="n">
        <v>46227</v>
      </c>
      <c r="L22" s="0" t="n">
        <v>1</v>
      </c>
      <c r="M22" s="0" t="n">
        <v>1</v>
      </c>
    </row>
    <row r="23" customFormat="false" ht="42" hidden="false" customHeight="true" outlineLevel="0" collapsed="false">
      <c r="A23" s="0" t="s">
        <v>611</v>
      </c>
      <c r="B23" s="0" t="s">
        <v>155</v>
      </c>
      <c r="C23" s="0" t="s">
        <v>35</v>
      </c>
      <c r="D23" s="0" t="s">
        <v>156</v>
      </c>
      <c r="E23" s="0" t="s">
        <v>157</v>
      </c>
      <c r="F23" s="0" t="s">
        <v>157</v>
      </c>
      <c r="G23" s="0" t="s">
        <v>158</v>
      </c>
      <c r="H23" s="7" t="s">
        <v>52</v>
      </c>
      <c r="I23" s="7" t="s">
        <v>67</v>
      </c>
      <c r="J23" s="9" t="n">
        <v>46227</v>
      </c>
      <c r="L23" s="0" t="n">
        <v>1</v>
      </c>
      <c r="M23" s="0" t="n">
        <v>1</v>
      </c>
    </row>
    <row r="24" customFormat="false" ht="42" hidden="false" customHeight="true" outlineLevel="0" collapsed="false">
      <c r="A24" s="0" t="s">
        <v>612</v>
      </c>
      <c r="B24" s="0" t="s">
        <v>160</v>
      </c>
      <c r="C24" s="0" t="s">
        <v>35</v>
      </c>
      <c r="D24" s="0" t="s">
        <v>161</v>
      </c>
      <c r="E24" s="0" t="s">
        <v>89</v>
      </c>
      <c r="F24" s="0" t="s">
        <v>89</v>
      </c>
      <c r="G24" s="0" t="s">
        <v>162</v>
      </c>
      <c r="H24" s="7" t="s">
        <v>52</v>
      </c>
      <c r="I24" s="7" t="s">
        <v>67</v>
      </c>
      <c r="J24" s="9" t="n">
        <v>46227</v>
      </c>
      <c r="L24" s="0" t="n">
        <v>1</v>
      </c>
      <c r="M24" s="0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.71"/>
    <col collapsed="false" customWidth="true" hidden="false" outlineLevel="0" max="2" min="2" style="0" width="15.71"/>
    <col collapsed="false" customWidth="true" hidden="false" outlineLevel="0" max="3" min="3" style="0" width="18.71"/>
    <col collapsed="false" customWidth="true" hidden="false" outlineLevel="0" max="4" min="4" style="0" width="58.71"/>
    <col collapsed="false" customWidth="true" hidden="false" outlineLevel="0" max="6" min="5" style="0" width="14.71"/>
    <col collapsed="false" customWidth="true" hidden="false" outlineLevel="0" max="7" min="7" style="0" width="50.71"/>
    <col collapsed="false" customWidth="true" hidden="false" outlineLevel="0" max="8" min="8" style="0" width="17.71"/>
    <col collapsed="false" customWidth="true" hidden="false" outlineLevel="0" max="9" min="9" style="0" width="14.71"/>
    <col collapsed="false" customWidth="true" hidden="false" outlineLevel="0" max="10" min="10" style="9" width="14.71"/>
    <col collapsed="false" customWidth="true" hidden="false" outlineLevel="0" max="11" min="11" style="0" width="42.71"/>
    <col collapsed="false" customWidth="true" hidden="false" outlineLevel="0" max="13" min="12" style="0" width="10.71"/>
  </cols>
  <sheetData>
    <row r="1" customFormat="false" ht="37.5" hidden="false" customHeight="true" outlineLevel="0" collapsed="false">
      <c r="A1" s="2" t="s">
        <v>613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27.75" hidden="false" customHeight="true" outlineLevel="0" collapsed="false">
      <c r="A2" s="3" t="s">
        <v>69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7.35" hidden="false" customHeight="false" outlineLevel="0" collapsed="false">
      <c r="A4" s="4" t="s">
        <v>7</v>
      </c>
      <c r="B4" s="5" t="n">
        <v>16</v>
      </c>
      <c r="D4" s="4" t="s">
        <v>70</v>
      </c>
      <c r="E4" s="5" t="n">
        <v>16</v>
      </c>
      <c r="G4" s="4" t="s">
        <v>14</v>
      </c>
      <c r="H4" s="6" t="n">
        <v>1</v>
      </c>
      <c r="J4" s="4" t="s">
        <v>15</v>
      </c>
      <c r="K4" s="5" t="s">
        <v>71</v>
      </c>
    </row>
    <row r="5" customFormat="false" ht="17.35" hidden="false" customHeight="false" outlineLevel="0" collapsed="false">
      <c r="A5" s="4" t="s">
        <v>72</v>
      </c>
      <c r="B5" s="5" t="s">
        <v>71</v>
      </c>
      <c r="D5" s="4" t="s">
        <v>16</v>
      </c>
      <c r="E5" s="5" t="s">
        <v>71</v>
      </c>
    </row>
    <row r="8" customFormat="false" ht="15" hidden="false" customHeight="false" outlineLevel="0" collapsed="false">
      <c r="A8" s="7" t="s">
        <v>73</v>
      </c>
      <c r="B8" s="7" t="s">
        <v>74</v>
      </c>
      <c r="C8" s="7" t="s">
        <v>75</v>
      </c>
      <c r="D8" s="7" t="s">
        <v>76</v>
      </c>
      <c r="E8" s="7" t="s">
        <v>77</v>
      </c>
      <c r="F8" s="7" t="s">
        <v>78</v>
      </c>
      <c r="G8" s="7" t="s">
        <v>79</v>
      </c>
      <c r="H8" s="7" t="s">
        <v>80</v>
      </c>
      <c r="I8" s="7" t="s">
        <v>81</v>
      </c>
      <c r="J8" s="10" t="s">
        <v>82</v>
      </c>
      <c r="K8" s="7" t="s">
        <v>83</v>
      </c>
      <c r="L8" s="7" t="s">
        <v>84</v>
      </c>
      <c r="M8" s="7" t="s">
        <v>70</v>
      </c>
    </row>
    <row r="9" customFormat="false" ht="42" hidden="false" customHeight="true" outlineLevel="0" collapsed="false">
      <c r="A9" s="0" t="s">
        <v>614</v>
      </c>
      <c r="B9" s="0" t="s">
        <v>86</v>
      </c>
      <c r="C9" s="0" t="s">
        <v>615</v>
      </c>
      <c r="D9" s="0" t="s">
        <v>88</v>
      </c>
      <c r="E9" s="0" t="s">
        <v>89</v>
      </c>
      <c r="F9" s="0" t="s">
        <v>90</v>
      </c>
      <c r="G9" s="0" t="s">
        <v>616</v>
      </c>
      <c r="H9" s="7" t="s">
        <v>52</v>
      </c>
      <c r="I9" s="7" t="s">
        <v>67</v>
      </c>
      <c r="J9" s="9" t="n">
        <v>46227</v>
      </c>
      <c r="L9" s="0" t="n">
        <v>1</v>
      </c>
      <c r="M9" s="0" t="n">
        <v>1</v>
      </c>
    </row>
    <row r="10" customFormat="false" ht="42" hidden="false" customHeight="true" outlineLevel="0" collapsed="false">
      <c r="A10" s="0" t="s">
        <v>617</v>
      </c>
      <c r="B10" s="0" t="s">
        <v>93</v>
      </c>
      <c r="C10" s="0" t="s">
        <v>615</v>
      </c>
      <c r="D10" s="0" t="s">
        <v>94</v>
      </c>
      <c r="E10" s="0" t="s">
        <v>89</v>
      </c>
      <c r="F10" s="0" t="s">
        <v>89</v>
      </c>
      <c r="G10" s="0" t="s">
        <v>95</v>
      </c>
      <c r="H10" s="7" t="s">
        <v>52</v>
      </c>
      <c r="I10" s="7" t="s">
        <v>67</v>
      </c>
      <c r="J10" s="9" t="n">
        <v>46227</v>
      </c>
      <c r="L10" s="0" t="n">
        <v>1</v>
      </c>
      <c r="M10" s="0" t="n">
        <v>1</v>
      </c>
    </row>
    <row r="11" customFormat="false" ht="42" hidden="false" customHeight="true" outlineLevel="0" collapsed="false">
      <c r="A11" s="0" t="s">
        <v>618</v>
      </c>
      <c r="B11" s="0" t="s">
        <v>97</v>
      </c>
      <c r="C11" s="0" t="s">
        <v>615</v>
      </c>
      <c r="D11" s="0" t="s">
        <v>98</v>
      </c>
      <c r="E11" s="0" t="s">
        <v>89</v>
      </c>
      <c r="F11" s="0" t="s">
        <v>99</v>
      </c>
      <c r="G11" s="0" t="s">
        <v>619</v>
      </c>
      <c r="H11" s="7" t="s">
        <v>52</v>
      </c>
      <c r="I11" s="7" t="s">
        <v>67</v>
      </c>
      <c r="J11" s="9" t="n">
        <v>46227</v>
      </c>
      <c r="L11" s="0" t="n">
        <v>1</v>
      </c>
      <c r="M11" s="0" t="n">
        <v>1</v>
      </c>
    </row>
    <row r="12" customFormat="false" ht="42" hidden="false" customHeight="true" outlineLevel="0" collapsed="false">
      <c r="A12" s="0" t="s">
        <v>620</v>
      </c>
      <c r="B12" s="0" t="s">
        <v>102</v>
      </c>
      <c r="C12" s="0" t="s">
        <v>615</v>
      </c>
      <c r="D12" s="0" t="s">
        <v>103</v>
      </c>
      <c r="E12" s="0" t="s">
        <v>89</v>
      </c>
      <c r="F12" s="0" t="s">
        <v>104</v>
      </c>
      <c r="G12" s="0" t="s">
        <v>621</v>
      </c>
      <c r="H12" s="7" t="s">
        <v>52</v>
      </c>
      <c r="I12" s="7" t="s">
        <v>67</v>
      </c>
      <c r="J12" s="9" t="n">
        <v>46227</v>
      </c>
      <c r="L12" s="0" t="n">
        <v>1</v>
      </c>
      <c r="M12" s="0" t="n">
        <v>1</v>
      </c>
    </row>
    <row r="13" customFormat="false" ht="42" hidden="false" customHeight="true" outlineLevel="0" collapsed="false">
      <c r="A13" s="0" t="s">
        <v>622</v>
      </c>
      <c r="B13" s="0" t="s">
        <v>107</v>
      </c>
      <c r="C13" s="0" t="s">
        <v>615</v>
      </c>
      <c r="D13" s="0" t="s">
        <v>108</v>
      </c>
      <c r="E13" s="0" t="s">
        <v>89</v>
      </c>
      <c r="F13" s="0" t="s">
        <v>109</v>
      </c>
      <c r="G13" s="0" t="s">
        <v>623</v>
      </c>
      <c r="H13" s="7" t="s">
        <v>52</v>
      </c>
      <c r="I13" s="7" t="s">
        <v>67</v>
      </c>
      <c r="J13" s="9" t="n">
        <v>46227</v>
      </c>
      <c r="L13" s="0" t="n">
        <v>1</v>
      </c>
      <c r="M13" s="0" t="n">
        <v>1</v>
      </c>
    </row>
    <row r="14" customFormat="false" ht="42" hidden="false" customHeight="true" outlineLevel="0" collapsed="false">
      <c r="A14" s="0" t="s">
        <v>624</v>
      </c>
      <c r="B14" s="0" t="s">
        <v>112</v>
      </c>
      <c r="C14" s="0" t="s">
        <v>615</v>
      </c>
      <c r="D14" s="0" t="s">
        <v>113</v>
      </c>
      <c r="E14" s="0" t="s">
        <v>89</v>
      </c>
      <c r="F14" s="0" t="s">
        <v>114</v>
      </c>
      <c r="G14" s="0" t="s">
        <v>625</v>
      </c>
      <c r="H14" s="7" t="s">
        <v>52</v>
      </c>
      <c r="I14" s="7" t="s">
        <v>67</v>
      </c>
      <c r="J14" s="9" t="n">
        <v>46227</v>
      </c>
      <c r="L14" s="0" t="n">
        <v>1</v>
      </c>
      <c r="M14" s="0" t="n">
        <v>1</v>
      </c>
    </row>
    <row r="15" customFormat="false" ht="42" hidden="false" customHeight="true" outlineLevel="0" collapsed="false">
      <c r="A15" s="0" t="s">
        <v>626</v>
      </c>
      <c r="B15" s="0" t="s">
        <v>117</v>
      </c>
      <c r="C15" s="0" t="s">
        <v>615</v>
      </c>
      <c r="D15" s="0" t="s">
        <v>118</v>
      </c>
      <c r="E15" s="0" t="s">
        <v>89</v>
      </c>
      <c r="F15" s="0" t="s">
        <v>119</v>
      </c>
      <c r="G15" s="0" t="s">
        <v>627</v>
      </c>
      <c r="H15" s="7" t="s">
        <v>52</v>
      </c>
      <c r="I15" s="7" t="s">
        <v>67</v>
      </c>
      <c r="J15" s="9" t="n">
        <v>46227</v>
      </c>
      <c r="L15" s="0" t="n">
        <v>1</v>
      </c>
      <c r="M15" s="0" t="n">
        <v>1</v>
      </c>
    </row>
    <row r="16" customFormat="false" ht="42" hidden="false" customHeight="true" outlineLevel="0" collapsed="false">
      <c r="A16" s="0" t="s">
        <v>628</v>
      </c>
      <c r="B16" s="0" t="s">
        <v>122</v>
      </c>
      <c r="C16" s="0" t="s">
        <v>615</v>
      </c>
      <c r="D16" s="0" t="s">
        <v>123</v>
      </c>
      <c r="E16" s="0" t="s">
        <v>89</v>
      </c>
      <c r="F16" s="0" t="s">
        <v>124</v>
      </c>
      <c r="G16" s="0" t="s">
        <v>629</v>
      </c>
      <c r="H16" s="7" t="s">
        <v>54</v>
      </c>
      <c r="I16" s="7" t="s">
        <v>66</v>
      </c>
      <c r="J16" s="9" t="n">
        <v>46227</v>
      </c>
      <c r="K16" s="0" t="s">
        <v>126</v>
      </c>
      <c r="L16" s="0" t="n">
        <v>1</v>
      </c>
      <c r="M16" s="0" t="n">
        <v>1</v>
      </c>
    </row>
    <row r="17" customFormat="false" ht="42" hidden="false" customHeight="true" outlineLevel="0" collapsed="false">
      <c r="A17" s="0" t="s">
        <v>630</v>
      </c>
      <c r="B17" s="0" t="s">
        <v>128</v>
      </c>
      <c r="C17" s="0" t="s">
        <v>615</v>
      </c>
      <c r="D17" s="0" t="s">
        <v>129</v>
      </c>
      <c r="E17" s="0" t="s">
        <v>89</v>
      </c>
      <c r="F17" s="0" t="s">
        <v>130</v>
      </c>
      <c r="G17" s="0" t="s">
        <v>631</v>
      </c>
      <c r="H17" s="7" t="s">
        <v>54</v>
      </c>
      <c r="I17" s="7" t="s">
        <v>66</v>
      </c>
      <c r="J17" s="9" t="n">
        <v>46227</v>
      </c>
      <c r="K17" s="0" t="s">
        <v>132</v>
      </c>
      <c r="L17" s="0" t="n">
        <v>1</v>
      </c>
      <c r="M17" s="0" t="n">
        <v>1</v>
      </c>
    </row>
    <row r="18" customFormat="false" ht="42" hidden="false" customHeight="true" outlineLevel="0" collapsed="false">
      <c r="A18" s="0" t="s">
        <v>632</v>
      </c>
      <c r="B18" s="0" t="s">
        <v>134</v>
      </c>
      <c r="C18" s="0" t="s">
        <v>615</v>
      </c>
      <c r="D18" s="0" t="s">
        <v>135</v>
      </c>
      <c r="E18" s="0" t="s">
        <v>89</v>
      </c>
      <c r="F18" s="0" t="s">
        <v>130</v>
      </c>
      <c r="G18" s="0" t="s">
        <v>631</v>
      </c>
      <c r="H18" s="7" t="s">
        <v>54</v>
      </c>
      <c r="I18" s="7" t="s">
        <v>66</v>
      </c>
      <c r="J18" s="9" t="n">
        <v>46227</v>
      </c>
      <c r="K18" s="0" t="s">
        <v>132</v>
      </c>
      <c r="L18" s="0" t="n">
        <v>1</v>
      </c>
      <c r="M18" s="0" t="n">
        <v>1</v>
      </c>
    </row>
    <row r="19" customFormat="false" ht="42" hidden="false" customHeight="true" outlineLevel="0" collapsed="false">
      <c r="A19" s="0" t="s">
        <v>633</v>
      </c>
      <c r="B19" s="0" t="s">
        <v>137</v>
      </c>
      <c r="C19" s="0" t="s">
        <v>615</v>
      </c>
      <c r="D19" s="0" t="s">
        <v>138</v>
      </c>
      <c r="E19" s="0" t="s">
        <v>89</v>
      </c>
      <c r="F19" s="0" t="s">
        <v>130</v>
      </c>
      <c r="G19" s="0" t="s">
        <v>634</v>
      </c>
      <c r="H19" s="7" t="s">
        <v>54</v>
      </c>
      <c r="I19" s="7" t="s">
        <v>66</v>
      </c>
      <c r="J19" s="9" t="n">
        <v>46227</v>
      </c>
      <c r="K19" s="0" t="s">
        <v>140</v>
      </c>
      <c r="L19" s="0" t="n">
        <v>1</v>
      </c>
      <c r="M19" s="0" t="n">
        <v>1</v>
      </c>
    </row>
    <row r="20" customFormat="false" ht="42" hidden="false" customHeight="true" outlineLevel="0" collapsed="false">
      <c r="A20" s="0" t="s">
        <v>635</v>
      </c>
      <c r="B20" s="0" t="s">
        <v>142</v>
      </c>
      <c r="C20" s="0" t="s">
        <v>615</v>
      </c>
      <c r="D20" s="0" t="s">
        <v>143</v>
      </c>
      <c r="E20" s="0" t="s">
        <v>89</v>
      </c>
      <c r="F20" s="0" t="s">
        <v>130</v>
      </c>
      <c r="G20" s="0" t="s">
        <v>631</v>
      </c>
      <c r="H20" s="7" t="s">
        <v>54</v>
      </c>
      <c r="I20" s="7" t="s">
        <v>66</v>
      </c>
      <c r="J20" s="9" t="n">
        <v>46227</v>
      </c>
      <c r="K20" s="0" t="s">
        <v>144</v>
      </c>
      <c r="L20" s="0" t="n">
        <v>1</v>
      </c>
      <c r="M20" s="0" t="n">
        <v>1</v>
      </c>
    </row>
    <row r="21" customFormat="false" ht="42" hidden="false" customHeight="true" outlineLevel="0" collapsed="false">
      <c r="A21" s="0" t="s">
        <v>636</v>
      </c>
      <c r="B21" s="0" t="s">
        <v>146</v>
      </c>
      <c r="C21" s="0" t="s">
        <v>615</v>
      </c>
      <c r="D21" s="0" t="s">
        <v>147</v>
      </c>
      <c r="E21" s="0" t="s">
        <v>89</v>
      </c>
      <c r="F21" s="0" t="s">
        <v>148</v>
      </c>
      <c r="G21" s="0" t="s">
        <v>637</v>
      </c>
      <c r="H21" s="7" t="s">
        <v>52</v>
      </c>
      <c r="I21" s="7" t="s">
        <v>67</v>
      </c>
      <c r="J21" s="9" t="n">
        <v>46227</v>
      </c>
      <c r="L21" s="0" t="n">
        <v>1</v>
      </c>
      <c r="M21" s="0" t="n">
        <v>1</v>
      </c>
    </row>
    <row r="22" customFormat="false" ht="42" hidden="false" customHeight="true" outlineLevel="0" collapsed="false">
      <c r="A22" s="0" t="s">
        <v>638</v>
      </c>
      <c r="B22" s="0" t="s">
        <v>151</v>
      </c>
      <c r="C22" s="0" t="s">
        <v>615</v>
      </c>
      <c r="D22" s="0" t="s">
        <v>152</v>
      </c>
      <c r="E22" s="0" t="s">
        <v>89</v>
      </c>
      <c r="F22" s="0" t="s">
        <v>148</v>
      </c>
      <c r="G22" s="0" t="s">
        <v>639</v>
      </c>
      <c r="H22" s="7" t="s">
        <v>52</v>
      </c>
      <c r="I22" s="7" t="s">
        <v>67</v>
      </c>
      <c r="J22" s="9" t="n">
        <v>46227</v>
      </c>
      <c r="L22" s="0" t="n">
        <v>1</v>
      </c>
      <c r="M22" s="0" t="n">
        <v>1</v>
      </c>
    </row>
    <row r="23" customFormat="false" ht="42" hidden="false" customHeight="true" outlineLevel="0" collapsed="false">
      <c r="A23" s="0" t="s">
        <v>640</v>
      </c>
      <c r="B23" s="0" t="s">
        <v>155</v>
      </c>
      <c r="C23" s="0" t="s">
        <v>615</v>
      </c>
      <c r="D23" s="0" t="s">
        <v>156</v>
      </c>
      <c r="E23" s="0" t="s">
        <v>157</v>
      </c>
      <c r="F23" s="0" t="s">
        <v>157</v>
      </c>
      <c r="G23" s="0" t="s">
        <v>158</v>
      </c>
      <c r="H23" s="7" t="s">
        <v>52</v>
      </c>
      <c r="I23" s="7" t="s">
        <v>67</v>
      </c>
      <c r="J23" s="9" t="n">
        <v>46227</v>
      </c>
      <c r="L23" s="0" t="n">
        <v>1</v>
      </c>
      <c r="M23" s="0" t="n">
        <v>1</v>
      </c>
    </row>
    <row r="24" customFormat="false" ht="42" hidden="false" customHeight="true" outlineLevel="0" collapsed="false">
      <c r="A24" s="0" t="s">
        <v>641</v>
      </c>
      <c r="B24" s="0" t="s">
        <v>160</v>
      </c>
      <c r="C24" s="0" t="s">
        <v>615</v>
      </c>
      <c r="D24" s="0" t="s">
        <v>161</v>
      </c>
      <c r="E24" s="0" t="s">
        <v>89</v>
      </c>
      <c r="F24" s="0" t="s">
        <v>89</v>
      </c>
      <c r="G24" s="0" t="s">
        <v>162</v>
      </c>
      <c r="H24" s="7" t="s">
        <v>52</v>
      </c>
      <c r="I24" s="7" t="s">
        <v>67</v>
      </c>
      <c r="J24" s="9" t="n">
        <v>46227</v>
      </c>
      <c r="L24" s="0" t="n">
        <v>1</v>
      </c>
      <c r="M24" s="0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.71"/>
    <col collapsed="false" customWidth="true" hidden="false" outlineLevel="0" max="2" min="2" style="0" width="15.71"/>
    <col collapsed="false" customWidth="true" hidden="false" outlineLevel="0" max="3" min="3" style="0" width="18.71"/>
    <col collapsed="false" customWidth="true" hidden="false" outlineLevel="0" max="4" min="4" style="0" width="58.71"/>
    <col collapsed="false" customWidth="true" hidden="false" outlineLevel="0" max="6" min="5" style="0" width="14.71"/>
    <col collapsed="false" customWidth="true" hidden="false" outlineLevel="0" max="7" min="7" style="0" width="50.71"/>
    <col collapsed="false" customWidth="true" hidden="false" outlineLevel="0" max="8" min="8" style="0" width="17.71"/>
    <col collapsed="false" customWidth="true" hidden="false" outlineLevel="0" max="9" min="9" style="0" width="14.71"/>
    <col collapsed="false" customWidth="true" hidden="false" outlineLevel="0" max="10" min="10" style="9" width="14.71"/>
    <col collapsed="false" customWidth="true" hidden="false" outlineLevel="0" max="11" min="11" style="0" width="42.71"/>
    <col collapsed="false" customWidth="true" hidden="false" outlineLevel="0" max="13" min="12" style="0" width="10.71"/>
  </cols>
  <sheetData>
    <row r="1" customFormat="false" ht="37.5" hidden="false" customHeight="true" outlineLevel="0" collapsed="false">
      <c r="A1" s="2" t="s">
        <v>642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27.75" hidden="false" customHeight="true" outlineLevel="0" collapsed="false">
      <c r="A2" s="3" t="s">
        <v>69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7.35" hidden="false" customHeight="false" outlineLevel="0" collapsed="false">
      <c r="A4" s="4" t="s">
        <v>7</v>
      </c>
      <c r="B4" s="5" t="n">
        <v>16</v>
      </c>
      <c r="D4" s="4" t="s">
        <v>70</v>
      </c>
      <c r="E4" s="5" t="n">
        <v>16</v>
      </c>
      <c r="G4" s="4" t="s">
        <v>14</v>
      </c>
      <c r="H4" s="6" t="n">
        <v>1</v>
      </c>
      <c r="J4" s="4" t="s">
        <v>15</v>
      </c>
      <c r="K4" s="5" t="s">
        <v>71</v>
      </c>
    </row>
    <row r="5" customFormat="false" ht="17.35" hidden="false" customHeight="false" outlineLevel="0" collapsed="false">
      <c r="A5" s="4" t="s">
        <v>72</v>
      </c>
      <c r="B5" s="5" t="s">
        <v>71</v>
      </c>
      <c r="D5" s="4" t="s">
        <v>16</v>
      </c>
      <c r="E5" s="5" t="s">
        <v>71</v>
      </c>
    </row>
    <row r="8" customFormat="false" ht="15" hidden="false" customHeight="false" outlineLevel="0" collapsed="false">
      <c r="A8" s="7" t="s">
        <v>73</v>
      </c>
      <c r="B8" s="7" t="s">
        <v>74</v>
      </c>
      <c r="C8" s="7" t="s">
        <v>75</v>
      </c>
      <c r="D8" s="7" t="s">
        <v>76</v>
      </c>
      <c r="E8" s="7" t="s">
        <v>77</v>
      </c>
      <c r="F8" s="7" t="s">
        <v>78</v>
      </c>
      <c r="G8" s="7" t="s">
        <v>79</v>
      </c>
      <c r="H8" s="7" t="s">
        <v>80</v>
      </c>
      <c r="I8" s="7" t="s">
        <v>81</v>
      </c>
      <c r="J8" s="10" t="s">
        <v>82</v>
      </c>
      <c r="K8" s="7" t="s">
        <v>83</v>
      </c>
      <c r="L8" s="7" t="s">
        <v>84</v>
      </c>
      <c r="M8" s="7" t="s">
        <v>70</v>
      </c>
    </row>
    <row r="9" customFormat="false" ht="42" hidden="false" customHeight="true" outlineLevel="0" collapsed="false">
      <c r="A9" s="0" t="s">
        <v>586</v>
      </c>
      <c r="B9" s="0" t="s">
        <v>86</v>
      </c>
      <c r="C9" s="0" t="s">
        <v>37</v>
      </c>
      <c r="D9" s="0" t="s">
        <v>88</v>
      </c>
      <c r="E9" s="0" t="s">
        <v>89</v>
      </c>
      <c r="F9" s="0" t="s">
        <v>90</v>
      </c>
      <c r="G9" s="0" t="s">
        <v>643</v>
      </c>
      <c r="H9" s="7" t="s">
        <v>52</v>
      </c>
      <c r="I9" s="7" t="s">
        <v>67</v>
      </c>
      <c r="J9" s="9" t="n">
        <v>46227</v>
      </c>
      <c r="L9" s="0" t="n">
        <v>1</v>
      </c>
      <c r="M9" s="0" t="n">
        <v>1</v>
      </c>
    </row>
    <row r="10" customFormat="false" ht="42" hidden="false" customHeight="true" outlineLevel="0" collapsed="false">
      <c r="A10" s="0" t="s">
        <v>588</v>
      </c>
      <c r="B10" s="0" t="s">
        <v>93</v>
      </c>
      <c r="C10" s="0" t="s">
        <v>37</v>
      </c>
      <c r="D10" s="0" t="s">
        <v>94</v>
      </c>
      <c r="E10" s="0" t="s">
        <v>89</v>
      </c>
      <c r="F10" s="0" t="s">
        <v>89</v>
      </c>
      <c r="G10" s="0" t="s">
        <v>95</v>
      </c>
      <c r="H10" s="7" t="s">
        <v>52</v>
      </c>
      <c r="I10" s="7" t="s">
        <v>67</v>
      </c>
      <c r="J10" s="9" t="n">
        <v>46227</v>
      </c>
      <c r="L10" s="0" t="n">
        <v>1</v>
      </c>
      <c r="M10" s="0" t="n">
        <v>1</v>
      </c>
    </row>
    <row r="11" customFormat="false" ht="42" hidden="false" customHeight="true" outlineLevel="0" collapsed="false">
      <c r="A11" s="0" t="s">
        <v>589</v>
      </c>
      <c r="B11" s="0" t="s">
        <v>97</v>
      </c>
      <c r="C11" s="0" t="s">
        <v>37</v>
      </c>
      <c r="D11" s="0" t="s">
        <v>98</v>
      </c>
      <c r="E11" s="0" t="s">
        <v>89</v>
      </c>
      <c r="F11" s="0" t="s">
        <v>99</v>
      </c>
      <c r="G11" s="0" t="s">
        <v>644</v>
      </c>
      <c r="H11" s="7" t="s">
        <v>52</v>
      </c>
      <c r="I11" s="7" t="s">
        <v>67</v>
      </c>
      <c r="J11" s="9" t="n">
        <v>46227</v>
      </c>
      <c r="L11" s="0" t="n">
        <v>1</v>
      </c>
      <c r="M11" s="0" t="n">
        <v>1</v>
      </c>
    </row>
    <row r="12" customFormat="false" ht="42" hidden="false" customHeight="true" outlineLevel="0" collapsed="false">
      <c r="A12" s="0" t="s">
        <v>591</v>
      </c>
      <c r="B12" s="0" t="s">
        <v>102</v>
      </c>
      <c r="C12" s="0" t="s">
        <v>37</v>
      </c>
      <c r="D12" s="0" t="s">
        <v>103</v>
      </c>
      <c r="E12" s="0" t="s">
        <v>89</v>
      </c>
      <c r="F12" s="0" t="s">
        <v>104</v>
      </c>
      <c r="G12" s="0" t="s">
        <v>645</v>
      </c>
      <c r="H12" s="7" t="s">
        <v>52</v>
      </c>
      <c r="I12" s="7" t="s">
        <v>67</v>
      </c>
      <c r="J12" s="9" t="n">
        <v>46227</v>
      </c>
      <c r="L12" s="0" t="n">
        <v>1</v>
      </c>
      <c r="M12" s="0" t="n">
        <v>1</v>
      </c>
    </row>
    <row r="13" customFormat="false" ht="42" hidden="false" customHeight="true" outlineLevel="0" collapsed="false">
      <c r="A13" s="0" t="s">
        <v>593</v>
      </c>
      <c r="B13" s="0" t="s">
        <v>107</v>
      </c>
      <c r="C13" s="0" t="s">
        <v>37</v>
      </c>
      <c r="D13" s="0" t="s">
        <v>108</v>
      </c>
      <c r="E13" s="0" t="s">
        <v>89</v>
      </c>
      <c r="F13" s="0" t="s">
        <v>109</v>
      </c>
      <c r="G13" s="0" t="s">
        <v>646</v>
      </c>
      <c r="H13" s="7" t="s">
        <v>52</v>
      </c>
      <c r="I13" s="7" t="s">
        <v>67</v>
      </c>
      <c r="J13" s="9" t="n">
        <v>46227</v>
      </c>
      <c r="L13" s="0" t="n">
        <v>1</v>
      </c>
      <c r="M13" s="0" t="n">
        <v>1</v>
      </c>
    </row>
    <row r="14" customFormat="false" ht="42" hidden="false" customHeight="true" outlineLevel="0" collapsed="false">
      <c r="A14" s="0" t="s">
        <v>595</v>
      </c>
      <c r="B14" s="0" t="s">
        <v>112</v>
      </c>
      <c r="C14" s="0" t="s">
        <v>37</v>
      </c>
      <c r="D14" s="0" t="s">
        <v>113</v>
      </c>
      <c r="E14" s="0" t="s">
        <v>89</v>
      </c>
      <c r="F14" s="0" t="s">
        <v>114</v>
      </c>
      <c r="G14" s="0" t="s">
        <v>647</v>
      </c>
      <c r="H14" s="7" t="s">
        <v>52</v>
      </c>
      <c r="I14" s="7" t="s">
        <v>67</v>
      </c>
      <c r="J14" s="9" t="n">
        <v>46227</v>
      </c>
      <c r="L14" s="0" t="n">
        <v>1</v>
      </c>
      <c r="M14" s="0" t="n">
        <v>1</v>
      </c>
    </row>
    <row r="15" customFormat="false" ht="42" hidden="false" customHeight="true" outlineLevel="0" collapsed="false">
      <c r="A15" s="0" t="s">
        <v>597</v>
      </c>
      <c r="B15" s="0" t="s">
        <v>117</v>
      </c>
      <c r="C15" s="0" t="s">
        <v>37</v>
      </c>
      <c r="D15" s="0" t="s">
        <v>118</v>
      </c>
      <c r="E15" s="0" t="s">
        <v>89</v>
      </c>
      <c r="F15" s="0" t="s">
        <v>119</v>
      </c>
      <c r="G15" s="0" t="s">
        <v>648</v>
      </c>
      <c r="H15" s="7" t="s">
        <v>52</v>
      </c>
      <c r="I15" s="7" t="s">
        <v>67</v>
      </c>
      <c r="J15" s="9" t="n">
        <v>46227</v>
      </c>
      <c r="L15" s="0" t="n">
        <v>1</v>
      </c>
      <c r="M15" s="0" t="n">
        <v>1</v>
      </c>
    </row>
    <row r="16" customFormat="false" ht="42" hidden="false" customHeight="true" outlineLevel="0" collapsed="false">
      <c r="A16" s="0" t="s">
        <v>599</v>
      </c>
      <c r="B16" s="0" t="s">
        <v>122</v>
      </c>
      <c r="C16" s="0" t="s">
        <v>37</v>
      </c>
      <c r="D16" s="0" t="s">
        <v>123</v>
      </c>
      <c r="E16" s="0" t="s">
        <v>89</v>
      </c>
      <c r="F16" s="0" t="s">
        <v>124</v>
      </c>
      <c r="G16" s="0" t="s">
        <v>649</v>
      </c>
      <c r="H16" s="7" t="s">
        <v>54</v>
      </c>
      <c r="I16" s="7" t="s">
        <v>66</v>
      </c>
      <c r="J16" s="9" t="n">
        <v>46227</v>
      </c>
      <c r="K16" s="0" t="s">
        <v>126</v>
      </c>
      <c r="L16" s="0" t="n">
        <v>1</v>
      </c>
      <c r="M16" s="0" t="n">
        <v>1</v>
      </c>
    </row>
    <row r="17" customFormat="false" ht="42" hidden="false" customHeight="true" outlineLevel="0" collapsed="false">
      <c r="A17" s="0" t="s">
        <v>601</v>
      </c>
      <c r="B17" s="0" t="s">
        <v>128</v>
      </c>
      <c r="C17" s="0" t="s">
        <v>37</v>
      </c>
      <c r="D17" s="0" t="s">
        <v>129</v>
      </c>
      <c r="E17" s="0" t="s">
        <v>89</v>
      </c>
      <c r="F17" s="0" t="s">
        <v>130</v>
      </c>
      <c r="G17" s="0" t="s">
        <v>650</v>
      </c>
      <c r="H17" s="7" t="s">
        <v>54</v>
      </c>
      <c r="I17" s="7" t="s">
        <v>66</v>
      </c>
      <c r="J17" s="9" t="n">
        <v>46227</v>
      </c>
      <c r="K17" s="0" t="s">
        <v>132</v>
      </c>
      <c r="L17" s="0" t="n">
        <v>1</v>
      </c>
      <c r="M17" s="0" t="n">
        <v>1</v>
      </c>
    </row>
    <row r="18" customFormat="false" ht="42" hidden="false" customHeight="true" outlineLevel="0" collapsed="false">
      <c r="A18" s="0" t="s">
        <v>603</v>
      </c>
      <c r="B18" s="0" t="s">
        <v>134</v>
      </c>
      <c r="C18" s="0" t="s">
        <v>37</v>
      </c>
      <c r="D18" s="0" t="s">
        <v>135</v>
      </c>
      <c r="E18" s="0" t="s">
        <v>89</v>
      </c>
      <c r="F18" s="0" t="s">
        <v>130</v>
      </c>
      <c r="G18" s="0" t="s">
        <v>650</v>
      </c>
      <c r="H18" s="7" t="s">
        <v>54</v>
      </c>
      <c r="I18" s="7" t="s">
        <v>66</v>
      </c>
      <c r="J18" s="9" t="n">
        <v>46227</v>
      </c>
      <c r="K18" s="0" t="s">
        <v>132</v>
      </c>
      <c r="L18" s="0" t="n">
        <v>1</v>
      </c>
      <c r="M18" s="0" t="n">
        <v>1</v>
      </c>
    </row>
    <row r="19" customFormat="false" ht="42" hidden="false" customHeight="true" outlineLevel="0" collapsed="false">
      <c r="A19" s="0" t="s">
        <v>604</v>
      </c>
      <c r="B19" s="0" t="s">
        <v>137</v>
      </c>
      <c r="C19" s="0" t="s">
        <v>37</v>
      </c>
      <c r="D19" s="0" t="s">
        <v>138</v>
      </c>
      <c r="E19" s="0" t="s">
        <v>89</v>
      </c>
      <c r="F19" s="0" t="s">
        <v>130</v>
      </c>
      <c r="G19" s="0" t="s">
        <v>651</v>
      </c>
      <c r="H19" s="7" t="s">
        <v>54</v>
      </c>
      <c r="I19" s="7" t="s">
        <v>66</v>
      </c>
      <c r="J19" s="9" t="n">
        <v>46227</v>
      </c>
      <c r="K19" s="0" t="s">
        <v>140</v>
      </c>
      <c r="L19" s="0" t="n">
        <v>1</v>
      </c>
      <c r="M19" s="0" t="n">
        <v>1</v>
      </c>
    </row>
    <row r="20" customFormat="false" ht="42" hidden="false" customHeight="true" outlineLevel="0" collapsed="false">
      <c r="A20" s="0" t="s">
        <v>606</v>
      </c>
      <c r="B20" s="0" t="s">
        <v>142</v>
      </c>
      <c r="C20" s="0" t="s">
        <v>37</v>
      </c>
      <c r="D20" s="0" t="s">
        <v>143</v>
      </c>
      <c r="E20" s="0" t="s">
        <v>89</v>
      </c>
      <c r="F20" s="0" t="s">
        <v>130</v>
      </c>
      <c r="G20" s="0" t="s">
        <v>650</v>
      </c>
      <c r="H20" s="7" t="s">
        <v>54</v>
      </c>
      <c r="I20" s="7" t="s">
        <v>66</v>
      </c>
      <c r="J20" s="9" t="n">
        <v>46227</v>
      </c>
      <c r="K20" s="0" t="s">
        <v>144</v>
      </c>
      <c r="L20" s="0" t="n">
        <v>1</v>
      </c>
      <c r="M20" s="0" t="n">
        <v>1</v>
      </c>
    </row>
    <row r="21" customFormat="false" ht="42" hidden="false" customHeight="true" outlineLevel="0" collapsed="false">
      <c r="A21" s="0" t="s">
        <v>607</v>
      </c>
      <c r="B21" s="0" t="s">
        <v>146</v>
      </c>
      <c r="C21" s="0" t="s">
        <v>37</v>
      </c>
      <c r="D21" s="0" t="s">
        <v>147</v>
      </c>
      <c r="E21" s="0" t="s">
        <v>89</v>
      </c>
      <c r="F21" s="0" t="s">
        <v>148</v>
      </c>
      <c r="G21" s="0" t="s">
        <v>652</v>
      </c>
      <c r="H21" s="7" t="s">
        <v>52</v>
      </c>
      <c r="I21" s="7" t="s">
        <v>67</v>
      </c>
      <c r="J21" s="9" t="n">
        <v>46227</v>
      </c>
      <c r="L21" s="0" t="n">
        <v>1</v>
      </c>
      <c r="M21" s="0" t="n">
        <v>1</v>
      </c>
    </row>
    <row r="22" customFormat="false" ht="42" hidden="false" customHeight="true" outlineLevel="0" collapsed="false">
      <c r="A22" s="0" t="s">
        <v>609</v>
      </c>
      <c r="B22" s="0" t="s">
        <v>151</v>
      </c>
      <c r="C22" s="0" t="s">
        <v>37</v>
      </c>
      <c r="D22" s="0" t="s">
        <v>152</v>
      </c>
      <c r="E22" s="0" t="s">
        <v>89</v>
      </c>
      <c r="F22" s="0" t="s">
        <v>148</v>
      </c>
      <c r="G22" s="0" t="s">
        <v>653</v>
      </c>
      <c r="H22" s="7" t="s">
        <v>52</v>
      </c>
      <c r="I22" s="7" t="s">
        <v>67</v>
      </c>
      <c r="J22" s="9" t="n">
        <v>46227</v>
      </c>
      <c r="L22" s="0" t="n">
        <v>1</v>
      </c>
      <c r="M22" s="0" t="n">
        <v>1</v>
      </c>
    </row>
    <row r="23" customFormat="false" ht="42" hidden="false" customHeight="true" outlineLevel="0" collapsed="false">
      <c r="A23" s="0" t="s">
        <v>611</v>
      </c>
      <c r="B23" s="0" t="s">
        <v>155</v>
      </c>
      <c r="C23" s="0" t="s">
        <v>37</v>
      </c>
      <c r="D23" s="0" t="s">
        <v>156</v>
      </c>
      <c r="E23" s="0" t="s">
        <v>157</v>
      </c>
      <c r="F23" s="0" t="s">
        <v>157</v>
      </c>
      <c r="G23" s="0" t="s">
        <v>158</v>
      </c>
      <c r="H23" s="7" t="s">
        <v>52</v>
      </c>
      <c r="I23" s="7" t="s">
        <v>67</v>
      </c>
      <c r="J23" s="9" t="n">
        <v>46227</v>
      </c>
      <c r="L23" s="0" t="n">
        <v>1</v>
      </c>
      <c r="M23" s="0" t="n">
        <v>1</v>
      </c>
    </row>
    <row r="24" customFormat="false" ht="42" hidden="false" customHeight="true" outlineLevel="0" collapsed="false">
      <c r="A24" s="0" t="s">
        <v>612</v>
      </c>
      <c r="B24" s="0" t="s">
        <v>160</v>
      </c>
      <c r="C24" s="0" t="s">
        <v>37</v>
      </c>
      <c r="D24" s="0" t="s">
        <v>161</v>
      </c>
      <c r="E24" s="0" t="s">
        <v>89</v>
      </c>
      <c r="F24" s="0" t="s">
        <v>89</v>
      </c>
      <c r="G24" s="0" t="s">
        <v>162</v>
      </c>
      <c r="H24" s="7" t="s">
        <v>52</v>
      </c>
      <c r="I24" s="7" t="s">
        <v>67</v>
      </c>
      <c r="J24" s="9" t="n">
        <v>46227</v>
      </c>
      <c r="L24" s="0" t="n">
        <v>1</v>
      </c>
      <c r="M24" s="0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2026-07-24T06:13:46Z</dcterms:created>
  <dc:creator>Flowstack</dc:creator>
  <dc:description/>
  <dc:language>en-US</dc:language>
  <cp:lastModifiedBy>Flowstack</cp:lastModifiedBy>
  <dcterms:modified xsi:type="dcterms:W3CDTF">2026-07-24T16:32:18Z</dcterms:modified>
  <cp:revision>0</cp:revision>
  <dc:subject>Component evidence and completion tracker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