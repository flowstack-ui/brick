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41.xml" ContentType="application/vnd.openxmlformats-officedocument.spreadsheetml.worksheet+xml"/>
  <Override PartName="/xl/worksheets/sheet6.xml" ContentType="application/vnd.openxmlformats-officedocument.spreadsheetml.worksheet+xml"/>
  <Override PartName="/xl/worksheets/sheet57.xml" ContentType="application/vnd.openxmlformats-officedocument.spreadsheetml.worksheet+xml"/>
  <Override PartName="/xl/worksheets/sheet1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3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4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8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55.xml" ContentType="application/vnd.openxmlformats-officedocument.spreadsheetml.worksheet+xml"/>
  <Override PartName="/xl/worksheets/sheet49.xml" ContentType="application/vnd.openxmlformats-officedocument.spreadsheetml.worksheet+xml"/>
  <Override PartName="/xl/worksheets/sheet47.xml" ContentType="application/vnd.openxmlformats-officedocument.spreadsheetml.worksheet+xml"/>
  <Override PartName="/xl/worksheets/sheet12.xml" ContentType="application/vnd.openxmlformats-officedocument.spreadsheetml.worksheet+xml"/>
  <Override PartName="/xl/worksheets/sheet50.xml" ContentType="application/vnd.openxmlformats-officedocument.spreadsheetml.worksheet+xml"/>
  <Override PartName="/xl/worksheets/sheet53.xml" ContentType="application/vnd.openxmlformats-officedocument.spreadsheetml.worksheet+xml"/>
  <Override PartName="/xl/worksheets/sheet3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</sheets>
  <definedNames>
    <definedName function="false" hidden="true" localSheetId="51" name="_xlnm._FilterDatabase" vbProcedure="false">'Bottom Navigation'!$A$8:$M$36</definedName>
    <definedName function="false" hidden="true" localSheetId="53" name="_xlnm._FilterDatabase" vbProcedure="false">Collapsible!$A$8:$M$33</definedName>
    <definedName function="false" hidden="false" localSheetId="0" name="_xlnm.Print_Area" vbProcedure="false">Index!$A$1:$M$60</definedName>
    <definedName function="false" hidden="true" localSheetId="0" name="_xlnm._FilterDatabase" vbProcedure="false">Index!$A$7:$M$61</definedName>
    <definedName function="false" hidden="true" localSheetId="42" name="_xlnm._FilterDatabase" vbProcedure="false">'Radio Group'!$A$8:$M$28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<sst xmlns="http://schemas.openxmlformats.org/spreadsheetml/2006/main" count="10620" uniqueCount="2531">
  <si>
    <t xml:space="preserve">Brick Component Coverage</t>
  </si>
  <si>
    <t xml:space="preserve">Components</t>
  </si>
  <si>
    <t xml:space="preserve">Complete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</si>
  <si>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</si>
  <si>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</si>
  <si>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</si>
  <si>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</si>
  <si>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</si>
  <si>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</si>
  <si>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</si>
  <si>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</si>
  <si>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Blocked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</si>
  <si>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</si>
  <si>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</si>
  <si>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</si>
  <si>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</si>
  <si>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</si>
  <si>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</si>
  <si>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</si>
  <si>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</si>
  <si>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</si>
  <si>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</si>
  <si>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</si>
  <si>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</si>
  <si>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</si>
  <si>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</si>
  <si>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</si>
  <si>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</si>
  <si>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</si>
  <si>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</si>
  <si>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</si>
  <si>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</si>
  <si>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</si>
  <si>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</si>
  <si>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</si>
  <si>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</si>
  <si>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</si>
  <si>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</si>
  <si>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</si>
  <si>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</si>
  <si>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</si>
  <si>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</si>
  <si>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</si>
  <si>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</si>
  <si>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</si>
  <si>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</si>
  <si>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</si>
  <si>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</si>
  <si>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</si>
  <si>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</si>
  <si>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</si>
  <si>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</si>
  <si>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</si>
  <si>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</si>
  <si>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</si>
  <si>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</si>
  <si>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</si>
  <si>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</si>
  <si>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</si>
  <si>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</si>
  <si>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</si>
  <si>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</si>
  <si>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</si>
  <si>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</si>
  <si>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</si>
  <si>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</si>
  <si>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</si>
  <si>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</si>
  <si>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</si>
  <si>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Table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</si>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</sst>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60" headerRowCount="1" totalsRowCount="0" totalsRowShown="0">
  <autoFilter ref="A7:M60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tr">
        <f aca="false">"Current package evidence across "&amp;B4&amp;" independently exported components."</f>
        <v>Current package evidence across 53 independently exported components.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1</v>
      </c>
      <c r="B4" s="6" t="n">
        <f aca="false">COUNTA(A8:A60)</f>
        <v>53</v>
      </c>
      <c r="D4" s="5" t="s">
        <v>2</v>
      </c>
      <c r="E4" s="6" t="n">
        <f aca="false">COUNTIF(M8:M60,"complete")</f>
        <v>1</v>
      </c>
      <c r="G4" s="5" t="n">
        <f aca="false">COUNTIF(M8:M60,"blocked")</f>
        <v>0</v>
      </c>
      <c r="H4" s="6" t="n">
        <f aca="false">COUNTIF(M8:M59,"blocked")</f>
        <v>0</v>
      </c>
      <c r="J4" s="5" t="s">
        <v>3</v>
      </c>
      <c r="K4" s="7" t="n">
        <f aca="false">IF(B4=0,0,E4/B4)</f>
        <v>0.0188679245283019</v>
      </c>
    </row>
    <row r="7" customFormat="false" ht="15" hidden="false" customHeight="true" outlineLevel="0" collapsed="false">
      <c r="A7" s="8" t="s">
        <v>4</v>
      </c>
      <c r="B7" s="8" t="s">
        <v>5</v>
      </c>
      <c r="C7" s="8" t="s">
        <v>6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9" t="s">
        <v>13</v>
      </c>
      <c r="K7" s="8" t="s">
        <v>14</v>
      </c>
      <c r="L7" s="8" t="s">
        <v>15</v>
      </c>
      <c r="M7" s="8" t="s">
        <v>3</v>
      </c>
    </row>
    <row r="8" customFormat="false" ht="24" hidden="false" customHeight="true" outlineLevel="0" collapsed="false">
      <c r="A8" s="1" t="s">
        <v>16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17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18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19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20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21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22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23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24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25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26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27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28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29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30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31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32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33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34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35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36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37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38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39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40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41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42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43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44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45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46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47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48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49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50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51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52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53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54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55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56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57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58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59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60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61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62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63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64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65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66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67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68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69</v>
      </c>
      <c r="B61" s="1" t="n">
        <f aca="true">INDIRECT("'"&amp;A61&amp;"'!B4")</f>
        <v>23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0</v>
      </c>
      <c r="F61" s="1" t="n">
        <f aca="true">COUNTIF(INDIRECT("'"&amp;A61&amp;"'!H9:H200"),"tested")</f>
        <v>19</v>
      </c>
      <c r="G61" s="1" t="n">
        <f aca="true">COUNTIF(INDIRECT("'"&amp;A61&amp;"'!H9:H200"),"verified")</f>
        <v>3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0.956521739130435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</sheetData>
  <autoFilter ref="A7:M61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70</v>
      </c>
      <c r="B1" s="3"/>
      <c r="C1" s="3"/>
      <c r="D1" s="3"/>
    </row>
    <row r="2" customFormat="false" ht="27.75" hidden="false" customHeight="true" outlineLevel="0" collapsed="false">
      <c r="A2" s="4" t="s">
        <v>71</v>
      </c>
      <c r="B2" s="4"/>
      <c r="C2" s="4"/>
      <c r="D2" s="4"/>
    </row>
    <row r="3" customFormat="false" ht="15" hidden="false" customHeight="true" outlineLevel="0" collapsed="false">
      <c r="A3" s="8" t="s">
        <v>72</v>
      </c>
      <c r="B3" s="8" t="s">
        <v>73</v>
      </c>
    </row>
    <row r="4" customFormat="false" ht="30" hidden="false" customHeight="true" outlineLevel="0" collapsed="false">
      <c r="A4" s="1" t="s">
        <v>74</v>
      </c>
      <c r="B4" s="1" t="s">
        <v>75</v>
      </c>
    </row>
    <row r="5" customFormat="false" ht="30" hidden="false" customHeight="true" outlineLevel="0" collapsed="false">
      <c r="A5" s="1" t="s">
        <v>76</v>
      </c>
      <c r="B5" s="1" t="s">
        <v>77</v>
      </c>
    </row>
    <row r="6" customFormat="false" ht="30" hidden="false" customHeight="true" outlineLevel="0" collapsed="false">
      <c r="A6" s="1" t="s">
        <v>78</v>
      </c>
      <c r="B6" s="1" t="s">
        <v>79</v>
      </c>
    </row>
    <row r="7" customFormat="false" ht="30" hidden="false" customHeight="true" outlineLevel="0" collapsed="false">
      <c r="A7" s="1" t="s">
        <v>80</v>
      </c>
      <c r="B7" s="1" t="s">
        <v>81</v>
      </c>
    </row>
    <row r="8" customFormat="false" ht="30" hidden="false" customHeight="true" outlineLevel="0" collapsed="false">
      <c r="A8" s="1" t="s">
        <v>82</v>
      </c>
      <c r="B8" s="1" t="s">
        <v>83</v>
      </c>
    </row>
    <row r="9" customFormat="false" ht="30" hidden="false" customHeight="true" outlineLevel="0" collapsed="false">
      <c r="A9" s="1" t="s">
        <v>84</v>
      </c>
      <c r="B9" s="1" t="s">
        <v>85</v>
      </c>
    </row>
    <row r="10" customFormat="false" ht="30" hidden="false" customHeight="true" outlineLevel="0" collapsed="false">
      <c r="A10" s="1" t="s">
        <v>86</v>
      </c>
      <c r="B10" s="1" t="s">
        <v>87</v>
      </c>
    </row>
    <row r="11" customFormat="false" ht="30" hidden="false" customHeight="true" outlineLevel="0" collapsed="false">
      <c r="A11" s="1" t="s">
        <v>88</v>
      </c>
      <c r="B11" s="1" t="s">
        <v>89</v>
      </c>
    </row>
    <row r="12" customFormat="false" ht="30" hidden="false" customHeight="true" outlineLevel="0" collapsed="false">
      <c r="A12" s="1" t="s">
        <v>90</v>
      </c>
      <c r="B12" s="1" t="s">
        <v>91</v>
      </c>
    </row>
    <row r="13" customFormat="false" ht="30" hidden="false" customHeight="true" outlineLevel="0" collapsed="false">
      <c r="A13" s="1" t="s">
        <v>92</v>
      </c>
      <c r="B13" s="1" t="s">
        <v>93</v>
      </c>
    </row>
    <row r="14" customFormat="false" ht="30" hidden="false" customHeight="true" outlineLevel="0" collapsed="false">
      <c r="A14" s="1" t="s">
        <v>94</v>
      </c>
      <c r="B14" s="1" t="s">
        <v>95</v>
      </c>
    </row>
    <row r="15" customFormat="false" ht="30" hidden="false" customHeight="true" outlineLevel="0" collapsed="false">
      <c r="A15" s="1" t="s">
        <v>96</v>
      </c>
      <c r="B15" s="1" t="s">
        <v>97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78</v>
      </c>
      <c r="B1" s="1" t="s">
        <v>98</v>
      </c>
    </row>
    <row r="2" customFormat="false" ht="15" hidden="false" customHeight="true" outlineLevel="0" collapsed="false">
      <c r="A2" s="1" t="s">
        <v>80</v>
      </c>
      <c r="B2" s="1" t="s">
        <v>99</v>
      </c>
    </row>
    <row r="3" customFormat="false" ht="15" hidden="false" customHeight="true" outlineLevel="0" collapsed="false">
      <c r="A3" s="1" t="s">
        <v>82</v>
      </c>
    </row>
    <row r="4" customFormat="false" ht="15" hidden="false" customHeight="true" outlineLevel="0" collapsed="false">
      <c r="A4" s="1" t="s">
        <v>84</v>
      </c>
    </row>
    <row r="5" customFormat="false" ht="15" hidden="false" customHeight="true" outlineLevel="0" collapsed="false">
      <c r="A5" s="1" t="s">
        <v>86</v>
      </c>
    </row>
    <row r="6" customFormat="false" ht="15" hidden="false" customHeight="true" outlineLevel="0" collapsed="false">
      <c r="A6" s="1" t="s">
        <v>88</v>
      </c>
    </row>
    <row r="7" customFormat="false" ht="15" hidden="false" customHeight="true" outlineLevel="0" collapsed="false">
      <c r="A7" s="1" t="s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116</v>
      </c>
      <c r="B9" s="1" t="s">
        <v>117</v>
      </c>
      <c r="C9" s="1" t="s">
        <v>118</v>
      </c>
      <c r="D9" s="1" t="s">
        <v>119</v>
      </c>
      <c r="E9" s="1" t="s">
        <v>120</v>
      </c>
      <c r="F9" s="1" t="s">
        <v>121</v>
      </c>
      <c r="G9" s="1" t="s">
        <v>122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123</v>
      </c>
      <c r="B10" s="1" t="s">
        <v>124</v>
      </c>
      <c r="C10" s="1" t="s">
        <v>118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127</v>
      </c>
      <c r="B11" s="1" t="s">
        <v>128</v>
      </c>
      <c r="C11" s="1" t="s">
        <v>118</v>
      </c>
      <c r="D11" s="1" t="s">
        <v>129</v>
      </c>
      <c r="E11" s="1" t="s">
        <v>120</v>
      </c>
      <c r="F11" s="1" t="s">
        <v>130</v>
      </c>
      <c r="G11" s="1" t="s">
        <v>131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132</v>
      </c>
      <c r="B12" s="1" t="s">
        <v>133</v>
      </c>
      <c r="C12" s="1" t="s">
        <v>118</v>
      </c>
      <c r="D12" s="1" t="s">
        <v>134</v>
      </c>
      <c r="E12" s="1" t="s">
        <v>120</v>
      </c>
      <c r="F12" s="1" t="s">
        <v>135</v>
      </c>
      <c r="G12" s="1" t="s">
        <v>136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137</v>
      </c>
      <c r="B13" s="1" t="s">
        <v>138</v>
      </c>
      <c r="C13" s="1" t="s">
        <v>118</v>
      </c>
      <c r="D13" s="1" t="s">
        <v>139</v>
      </c>
      <c r="E13" s="1" t="s">
        <v>120</v>
      </c>
      <c r="F13" s="1" t="s">
        <v>140</v>
      </c>
      <c r="G13" s="1" t="s">
        <v>141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142</v>
      </c>
      <c r="B14" s="1" t="s">
        <v>143</v>
      </c>
      <c r="C14" s="1" t="s">
        <v>118</v>
      </c>
      <c r="D14" s="1" t="s">
        <v>144</v>
      </c>
      <c r="E14" s="1" t="s">
        <v>120</v>
      </c>
      <c r="F14" s="1" t="s">
        <v>145</v>
      </c>
      <c r="G14" s="1" t="s">
        <v>146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147</v>
      </c>
      <c r="B15" s="1" t="s">
        <v>148</v>
      </c>
      <c r="C15" s="1" t="s">
        <v>118</v>
      </c>
      <c r="D15" s="1" t="s">
        <v>149</v>
      </c>
      <c r="E15" s="1" t="s">
        <v>120</v>
      </c>
      <c r="F15" s="1" t="s">
        <v>150</v>
      </c>
      <c r="G15" s="1" t="s">
        <v>151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152</v>
      </c>
      <c r="B16" s="1" t="s">
        <v>153</v>
      </c>
      <c r="C16" s="1" t="s">
        <v>118</v>
      </c>
      <c r="D16" s="1" t="s">
        <v>154</v>
      </c>
      <c r="E16" s="1" t="s">
        <v>120</v>
      </c>
      <c r="F16" s="1" t="s">
        <v>155</v>
      </c>
      <c r="G16" s="1" t="s">
        <v>156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158</v>
      </c>
      <c r="B17" s="1" t="s">
        <v>159</v>
      </c>
      <c r="C17" s="1" t="s">
        <v>118</v>
      </c>
      <c r="D17" s="1" t="s">
        <v>160</v>
      </c>
      <c r="E17" s="1" t="s">
        <v>120</v>
      </c>
      <c r="F17" s="1" t="s">
        <v>161</v>
      </c>
      <c r="G17" s="1" t="s">
        <v>162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164</v>
      </c>
      <c r="B18" s="1" t="s">
        <v>165</v>
      </c>
      <c r="C18" s="1" t="s">
        <v>118</v>
      </c>
      <c r="D18" s="1" t="s">
        <v>166</v>
      </c>
      <c r="E18" s="1" t="s">
        <v>120</v>
      </c>
      <c r="F18" s="1" t="s">
        <v>161</v>
      </c>
      <c r="G18" s="1" t="s">
        <v>162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167</v>
      </c>
      <c r="B19" s="1" t="s">
        <v>168</v>
      </c>
      <c r="C19" s="1" t="s">
        <v>118</v>
      </c>
      <c r="D19" s="1" t="s">
        <v>169</v>
      </c>
      <c r="E19" s="1" t="s">
        <v>120</v>
      </c>
      <c r="F19" s="1" t="s">
        <v>161</v>
      </c>
      <c r="G19" s="1" t="s">
        <v>170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172</v>
      </c>
      <c r="B20" s="1" t="s">
        <v>173</v>
      </c>
      <c r="C20" s="1" t="s">
        <v>118</v>
      </c>
      <c r="D20" s="1" t="s">
        <v>174</v>
      </c>
      <c r="E20" s="1" t="s">
        <v>120</v>
      </c>
      <c r="F20" s="1" t="s">
        <v>161</v>
      </c>
      <c r="G20" s="1" t="s">
        <v>162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176</v>
      </c>
      <c r="B21" s="1" t="s">
        <v>177</v>
      </c>
      <c r="C21" s="1" t="s">
        <v>118</v>
      </c>
      <c r="D21" s="1" t="s">
        <v>178</v>
      </c>
      <c r="E21" s="1" t="s">
        <v>120</v>
      </c>
      <c r="F21" s="1" t="s">
        <v>179</v>
      </c>
      <c r="G21" s="1" t="s">
        <v>180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181</v>
      </c>
      <c r="B22" s="1" t="s">
        <v>182</v>
      </c>
      <c r="C22" s="1" t="s">
        <v>118</v>
      </c>
      <c r="D22" s="1" t="s">
        <v>183</v>
      </c>
      <c r="E22" s="1" t="s">
        <v>120</v>
      </c>
      <c r="F22" s="1" t="s">
        <v>179</v>
      </c>
      <c r="G22" s="1" t="s">
        <v>184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185</v>
      </c>
      <c r="B23" s="1" t="s">
        <v>186</v>
      </c>
      <c r="C23" s="1" t="s">
        <v>118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190</v>
      </c>
      <c r="B24" s="1" t="s">
        <v>191</v>
      </c>
      <c r="C24" s="1" t="s">
        <v>118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195</v>
      </c>
      <c r="B9" s="1" t="s">
        <v>117</v>
      </c>
      <c r="C9" s="1" t="s">
        <v>196</v>
      </c>
      <c r="D9" s="1" t="s">
        <v>119</v>
      </c>
      <c r="E9" s="1" t="s">
        <v>120</v>
      </c>
      <c r="F9" s="1" t="s">
        <v>121</v>
      </c>
      <c r="G9" s="1" t="s">
        <v>197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198</v>
      </c>
      <c r="B10" s="1" t="s">
        <v>124</v>
      </c>
      <c r="C10" s="1" t="s">
        <v>196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199</v>
      </c>
      <c r="B11" s="1" t="s">
        <v>128</v>
      </c>
      <c r="C11" s="1" t="s">
        <v>196</v>
      </c>
      <c r="D11" s="1" t="s">
        <v>129</v>
      </c>
      <c r="E11" s="1" t="s">
        <v>120</v>
      </c>
      <c r="F11" s="1" t="s">
        <v>130</v>
      </c>
      <c r="G11" s="1" t="s">
        <v>200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201</v>
      </c>
      <c r="B12" s="1" t="s">
        <v>133</v>
      </c>
      <c r="C12" s="1" t="s">
        <v>196</v>
      </c>
      <c r="D12" s="1" t="s">
        <v>134</v>
      </c>
      <c r="E12" s="1" t="s">
        <v>120</v>
      </c>
      <c r="F12" s="1" t="s">
        <v>135</v>
      </c>
      <c r="G12" s="1" t="s">
        <v>202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203</v>
      </c>
      <c r="B13" s="1" t="s">
        <v>138</v>
      </c>
      <c r="C13" s="1" t="s">
        <v>196</v>
      </c>
      <c r="D13" s="1" t="s">
        <v>139</v>
      </c>
      <c r="E13" s="1" t="s">
        <v>120</v>
      </c>
      <c r="F13" s="1" t="s">
        <v>140</v>
      </c>
      <c r="G13" s="1" t="s">
        <v>204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205</v>
      </c>
      <c r="B14" s="1" t="s">
        <v>143</v>
      </c>
      <c r="C14" s="1" t="s">
        <v>196</v>
      </c>
      <c r="D14" s="1" t="s">
        <v>144</v>
      </c>
      <c r="E14" s="1" t="s">
        <v>120</v>
      </c>
      <c r="F14" s="1" t="s">
        <v>145</v>
      </c>
      <c r="G14" s="1" t="s">
        <v>206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207</v>
      </c>
      <c r="B15" s="1" t="s">
        <v>148</v>
      </c>
      <c r="C15" s="1" t="s">
        <v>196</v>
      </c>
      <c r="D15" s="1" t="s">
        <v>149</v>
      </c>
      <c r="E15" s="1" t="s">
        <v>120</v>
      </c>
      <c r="F15" s="1" t="s">
        <v>150</v>
      </c>
      <c r="G15" s="1" t="s">
        <v>208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209</v>
      </c>
      <c r="B16" s="1" t="s">
        <v>153</v>
      </c>
      <c r="C16" s="1" t="s">
        <v>196</v>
      </c>
      <c r="D16" s="1" t="s">
        <v>154</v>
      </c>
      <c r="E16" s="1" t="s">
        <v>120</v>
      </c>
      <c r="F16" s="1" t="s">
        <v>155</v>
      </c>
      <c r="G16" s="1" t="s">
        <v>210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211</v>
      </c>
      <c r="B17" s="1" t="s">
        <v>159</v>
      </c>
      <c r="C17" s="1" t="s">
        <v>196</v>
      </c>
      <c r="D17" s="1" t="s">
        <v>160</v>
      </c>
      <c r="E17" s="1" t="s">
        <v>120</v>
      </c>
      <c r="F17" s="1" t="s">
        <v>161</v>
      </c>
      <c r="G17" s="1" t="s">
        <v>212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213</v>
      </c>
      <c r="B18" s="1" t="s">
        <v>165</v>
      </c>
      <c r="C18" s="1" t="s">
        <v>196</v>
      </c>
      <c r="D18" s="1" t="s">
        <v>166</v>
      </c>
      <c r="E18" s="1" t="s">
        <v>120</v>
      </c>
      <c r="F18" s="1" t="s">
        <v>161</v>
      </c>
      <c r="G18" s="1" t="s">
        <v>212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214</v>
      </c>
      <c r="B19" s="1" t="s">
        <v>168</v>
      </c>
      <c r="C19" s="1" t="s">
        <v>196</v>
      </c>
      <c r="D19" s="1" t="s">
        <v>169</v>
      </c>
      <c r="E19" s="1" t="s">
        <v>120</v>
      </c>
      <c r="F19" s="1" t="s">
        <v>161</v>
      </c>
      <c r="G19" s="1" t="s">
        <v>215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216</v>
      </c>
      <c r="B20" s="1" t="s">
        <v>173</v>
      </c>
      <c r="C20" s="1" t="s">
        <v>196</v>
      </c>
      <c r="D20" s="1" t="s">
        <v>174</v>
      </c>
      <c r="E20" s="1" t="s">
        <v>120</v>
      </c>
      <c r="F20" s="1" t="s">
        <v>161</v>
      </c>
      <c r="G20" s="1" t="s">
        <v>212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217</v>
      </c>
      <c r="B21" s="1" t="s">
        <v>177</v>
      </c>
      <c r="C21" s="1" t="s">
        <v>196</v>
      </c>
      <c r="D21" s="1" t="s">
        <v>178</v>
      </c>
      <c r="E21" s="1" t="s">
        <v>120</v>
      </c>
      <c r="F21" s="1" t="s">
        <v>179</v>
      </c>
      <c r="G21" s="1" t="s">
        <v>218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219</v>
      </c>
      <c r="B22" s="1" t="s">
        <v>182</v>
      </c>
      <c r="C22" s="1" t="s">
        <v>196</v>
      </c>
      <c r="D22" s="1" t="s">
        <v>183</v>
      </c>
      <c r="E22" s="1" t="s">
        <v>120</v>
      </c>
      <c r="F22" s="1" t="s">
        <v>179</v>
      </c>
      <c r="G22" s="1" t="s">
        <v>220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221</v>
      </c>
      <c r="B23" s="1" t="s">
        <v>186</v>
      </c>
      <c r="C23" s="1" t="s">
        <v>196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222</v>
      </c>
      <c r="B24" s="1" t="s">
        <v>191</v>
      </c>
      <c r="C24" s="1" t="s">
        <v>196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224</v>
      </c>
      <c r="B9" s="1" t="s">
        <v>117</v>
      </c>
      <c r="C9" s="1" t="s">
        <v>18</v>
      </c>
      <c r="D9" s="1" t="s">
        <v>119</v>
      </c>
      <c r="E9" s="1" t="s">
        <v>120</v>
      </c>
      <c r="F9" s="1" t="s">
        <v>121</v>
      </c>
      <c r="G9" s="1" t="s">
        <v>225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226</v>
      </c>
      <c r="B10" s="1" t="s">
        <v>124</v>
      </c>
      <c r="C10" s="1" t="s">
        <v>18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227</v>
      </c>
      <c r="B11" s="1" t="s">
        <v>128</v>
      </c>
      <c r="C11" s="1" t="s">
        <v>18</v>
      </c>
      <c r="D11" s="1" t="s">
        <v>129</v>
      </c>
      <c r="E11" s="1" t="s">
        <v>120</v>
      </c>
      <c r="F11" s="1" t="s">
        <v>130</v>
      </c>
      <c r="G11" s="1" t="s">
        <v>228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229</v>
      </c>
      <c r="B12" s="1" t="s">
        <v>133</v>
      </c>
      <c r="C12" s="1" t="s">
        <v>18</v>
      </c>
      <c r="D12" s="1" t="s">
        <v>134</v>
      </c>
      <c r="E12" s="1" t="s">
        <v>120</v>
      </c>
      <c r="F12" s="1" t="s">
        <v>135</v>
      </c>
      <c r="G12" s="1" t="s">
        <v>230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231</v>
      </c>
      <c r="B13" s="1" t="s">
        <v>138</v>
      </c>
      <c r="C13" s="1" t="s">
        <v>18</v>
      </c>
      <c r="D13" s="1" t="s">
        <v>139</v>
      </c>
      <c r="E13" s="1" t="s">
        <v>120</v>
      </c>
      <c r="F13" s="1" t="s">
        <v>140</v>
      </c>
      <c r="G13" s="1" t="s">
        <v>232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233</v>
      </c>
      <c r="B14" s="1" t="s">
        <v>143</v>
      </c>
      <c r="C14" s="1" t="s">
        <v>18</v>
      </c>
      <c r="D14" s="1" t="s">
        <v>144</v>
      </c>
      <c r="E14" s="1" t="s">
        <v>120</v>
      </c>
      <c r="F14" s="1" t="s">
        <v>145</v>
      </c>
      <c r="G14" s="1" t="s">
        <v>234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235</v>
      </c>
      <c r="B15" s="1" t="s">
        <v>148</v>
      </c>
      <c r="C15" s="1" t="s">
        <v>18</v>
      </c>
      <c r="D15" s="1" t="s">
        <v>149</v>
      </c>
      <c r="E15" s="1" t="s">
        <v>120</v>
      </c>
      <c r="F15" s="1" t="s">
        <v>150</v>
      </c>
      <c r="G15" s="1" t="s">
        <v>236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237</v>
      </c>
      <c r="B16" s="1" t="s">
        <v>153</v>
      </c>
      <c r="C16" s="1" t="s">
        <v>18</v>
      </c>
      <c r="D16" s="1" t="s">
        <v>154</v>
      </c>
      <c r="E16" s="1" t="s">
        <v>120</v>
      </c>
      <c r="F16" s="1" t="s">
        <v>155</v>
      </c>
      <c r="G16" s="1" t="s">
        <v>238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239</v>
      </c>
      <c r="B17" s="1" t="s">
        <v>159</v>
      </c>
      <c r="C17" s="1" t="s">
        <v>18</v>
      </c>
      <c r="D17" s="1" t="s">
        <v>160</v>
      </c>
      <c r="E17" s="1" t="s">
        <v>120</v>
      </c>
      <c r="F17" s="1" t="s">
        <v>161</v>
      </c>
      <c r="G17" s="1" t="s">
        <v>240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241</v>
      </c>
      <c r="B18" s="1" t="s">
        <v>165</v>
      </c>
      <c r="C18" s="1" t="s">
        <v>18</v>
      </c>
      <c r="D18" s="1" t="s">
        <v>166</v>
      </c>
      <c r="E18" s="1" t="s">
        <v>120</v>
      </c>
      <c r="F18" s="1" t="s">
        <v>161</v>
      </c>
      <c r="G18" s="1" t="s">
        <v>240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242</v>
      </c>
      <c r="B19" s="1" t="s">
        <v>168</v>
      </c>
      <c r="C19" s="1" t="s">
        <v>18</v>
      </c>
      <c r="D19" s="1" t="s">
        <v>169</v>
      </c>
      <c r="E19" s="1" t="s">
        <v>120</v>
      </c>
      <c r="F19" s="1" t="s">
        <v>161</v>
      </c>
      <c r="G19" s="1" t="s">
        <v>243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244</v>
      </c>
      <c r="B20" s="1" t="s">
        <v>173</v>
      </c>
      <c r="C20" s="1" t="s">
        <v>18</v>
      </c>
      <c r="D20" s="1" t="s">
        <v>174</v>
      </c>
      <c r="E20" s="1" t="s">
        <v>120</v>
      </c>
      <c r="F20" s="1" t="s">
        <v>161</v>
      </c>
      <c r="G20" s="1" t="s">
        <v>240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245</v>
      </c>
      <c r="B21" s="1" t="s">
        <v>177</v>
      </c>
      <c r="C21" s="1" t="s">
        <v>18</v>
      </c>
      <c r="D21" s="1" t="s">
        <v>178</v>
      </c>
      <c r="E21" s="1" t="s">
        <v>120</v>
      </c>
      <c r="F21" s="1" t="s">
        <v>179</v>
      </c>
      <c r="G21" s="1" t="s">
        <v>246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247</v>
      </c>
      <c r="B22" s="1" t="s">
        <v>182</v>
      </c>
      <c r="C22" s="1" t="s">
        <v>18</v>
      </c>
      <c r="D22" s="1" t="s">
        <v>183</v>
      </c>
      <c r="E22" s="1" t="s">
        <v>120</v>
      </c>
      <c r="F22" s="1" t="s">
        <v>179</v>
      </c>
      <c r="G22" s="1" t="s">
        <v>248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249</v>
      </c>
      <c r="B23" s="1" t="s">
        <v>186</v>
      </c>
      <c r="C23" s="1" t="s">
        <v>18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250</v>
      </c>
      <c r="B24" s="1" t="s">
        <v>191</v>
      </c>
      <c r="C24" s="1" t="s">
        <v>18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252</v>
      </c>
      <c r="B9" s="1" t="s">
        <v>117</v>
      </c>
      <c r="C9" s="1" t="s">
        <v>19</v>
      </c>
      <c r="D9" s="1" t="s">
        <v>119</v>
      </c>
      <c r="E9" s="1" t="s">
        <v>120</v>
      </c>
      <c r="F9" s="1" t="s">
        <v>121</v>
      </c>
      <c r="G9" s="1" t="s">
        <v>253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254</v>
      </c>
      <c r="B10" s="1" t="s">
        <v>124</v>
      </c>
      <c r="C10" s="1" t="s">
        <v>19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255</v>
      </c>
      <c r="B11" s="1" t="s">
        <v>128</v>
      </c>
      <c r="C11" s="1" t="s">
        <v>19</v>
      </c>
      <c r="D11" s="1" t="s">
        <v>129</v>
      </c>
      <c r="E11" s="1" t="s">
        <v>120</v>
      </c>
      <c r="F11" s="1" t="s">
        <v>130</v>
      </c>
      <c r="G11" s="1" t="s">
        <v>256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257</v>
      </c>
      <c r="B12" s="1" t="s">
        <v>133</v>
      </c>
      <c r="C12" s="1" t="s">
        <v>19</v>
      </c>
      <c r="D12" s="1" t="s">
        <v>134</v>
      </c>
      <c r="E12" s="1" t="s">
        <v>120</v>
      </c>
      <c r="F12" s="1" t="s">
        <v>135</v>
      </c>
      <c r="G12" s="1" t="s">
        <v>258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259</v>
      </c>
      <c r="B13" s="1" t="s">
        <v>138</v>
      </c>
      <c r="C13" s="1" t="s">
        <v>19</v>
      </c>
      <c r="D13" s="1" t="s">
        <v>139</v>
      </c>
      <c r="E13" s="1" t="s">
        <v>120</v>
      </c>
      <c r="F13" s="1" t="s">
        <v>140</v>
      </c>
      <c r="G13" s="1" t="s">
        <v>260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261</v>
      </c>
      <c r="B14" s="1" t="s">
        <v>143</v>
      </c>
      <c r="C14" s="1" t="s">
        <v>19</v>
      </c>
      <c r="D14" s="1" t="s">
        <v>144</v>
      </c>
      <c r="E14" s="1" t="s">
        <v>120</v>
      </c>
      <c r="F14" s="1" t="s">
        <v>145</v>
      </c>
      <c r="G14" s="1" t="s">
        <v>262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263</v>
      </c>
      <c r="B15" s="1" t="s">
        <v>148</v>
      </c>
      <c r="C15" s="1" t="s">
        <v>19</v>
      </c>
      <c r="D15" s="1" t="s">
        <v>149</v>
      </c>
      <c r="E15" s="1" t="s">
        <v>120</v>
      </c>
      <c r="F15" s="1" t="s">
        <v>150</v>
      </c>
      <c r="G15" s="1" t="s">
        <v>264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265</v>
      </c>
      <c r="B16" s="1" t="s">
        <v>153</v>
      </c>
      <c r="C16" s="1" t="s">
        <v>19</v>
      </c>
      <c r="D16" s="1" t="s">
        <v>154</v>
      </c>
      <c r="E16" s="1" t="s">
        <v>120</v>
      </c>
      <c r="F16" s="1" t="s">
        <v>155</v>
      </c>
      <c r="G16" s="1" t="s">
        <v>266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267</v>
      </c>
      <c r="B17" s="1" t="s">
        <v>159</v>
      </c>
      <c r="C17" s="1" t="s">
        <v>19</v>
      </c>
      <c r="D17" s="1" t="s">
        <v>160</v>
      </c>
      <c r="E17" s="1" t="s">
        <v>120</v>
      </c>
      <c r="F17" s="1" t="s">
        <v>161</v>
      </c>
      <c r="G17" s="1" t="s">
        <v>268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269</v>
      </c>
      <c r="B18" s="1" t="s">
        <v>165</v>
      </c>
      <c r="C18" s="1" t="s">
        <v>19</v>
      </c>
      <c r="D18" s="1" t="s">
        <v>166</v>
      </c>
      <c r="E18" s="1" t="s">
        <v>120</v>
      </c>
      <c r="F18" s="1" t="s">
        <v>161</v>
      </c>
      <c r="G18" s="1" t="s">
        <v>268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270</v>
      </c>
      <c r="B19" s="1" t="s">
        <v>168</v>
      </c>
      <c r="C19" s="1" t="s">
        <v>19</v>
      </c>
      <c r="D19" s="1" t="s">
        <v>169</v>
      </c>
      <c r="E19" s="1" t="s">
        <v>120</v>
      </c>
      <c r="F19" s="1" t="s">
        <v>161</v>
      </c>
      <c r="G19" s="1" t="s">
        <v>271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272</v>
      </c>
      <c r="B20" s="1" t="s">
        <v>173</v>
      </c>
      <c r="C20" s="1" t="s">
        <v>19</v>
      </c>
      <c r="D20" s="1" t="s">
        <v>174</v>
      </c>
      <c r="E20" s="1" t="s">
        <v>120</v>
      </c>
      <c r="F20" s="1" t="s">
        <v>161</v>
      </c>
      <c r="G20" s="1" t="s">
        <v>268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273</v>
      </c>
      <c r="B21" s="1" t="s">
        <v>177</v>
      </c>
      <c r="C21" s="1" t="s">
        <v>19</v>
      </c>
      <c r="D21" s="1" t="s">
        <v>178</v>
      </c>
      <c r="E21" s="1" t="s">
        <v>120</v>
      </c>
      <c r="F21" s="1" t="s">
        <v>179</v>
      </c>
      <c r="G21" s="1" t="s">
        <v>274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275</v>
      </c>
      <c r="B22" s="1" t="s">
        <v>182</v>
      </c>
      <c r="C22" s="1" t="s">
        <v>19</v>
      </c>
      <c r="D22" s="1" t="s">
        <v>183</v>
      </c>
      <c r="E22" s="1" t="s">
        <v>120</v>
      </c>
      <c r="F22" s="1" t="s">
        <v>179</v>
      </c>
      <c r="G22" s="1" t="s">
        <v>276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277</v>
      </c>
      <c r="B23" s="1" t="s">
        <v>186</v>
      </c>
      <c r="C23" s="1" t="s">
        <v>19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278</v>
      </c>
      <c r="B24" s="1" t="s">
        <v>191</v>
      </c>
      <c r="C24" s="1" t="s">
        <v>19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252</v>
      </c>
      <c r="B9" s="1" t="s">
        <v>117</v>
      </c>
      <c r="C9" s="1" t="s">
        <v>20</v>
      </c>
      <c r="D9" s="1" t="s">
        <v>119</v>
      </c>
      <c r="E9" s="1" t="s">
        <v>120</v>
      </c>
      <c r="F9" s="1" t="s">
        <v>121</v>
      </c>
      <c r="G9" s="1" t="s">
        <v>280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254</v>
      </c>
      <c r="B10" s="1" t="s">
        <v>124</v>
      </c>
      <c r="C10" s="1" t="s">
        <v>20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255</v>
      </c>
      <c r="B11" s="1" t="s">
        <v>128</v>
      </c>
      <c r="C11" s="1" t="s">
        <v>20</v>
      </c>
      <c r="D11" s="1" t="s">
        <v>129</v>
      </c>
      <c r="E11" s="1" t="s">
        <v>120</v>
      </c>
      <c r="F11" s="1" t="s">
        <v>130</v>
      </c>
      <c r="G11" s="1" t="s">
        <v>281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257</v>
      </c>
      <c r="B12" s="1" t="s">
        <v>133</v>
      </c>
      <c r="C12" s="1" t="s">
        <v>20</v>
      </c>
      <c r="D12" s="1" t="s">
        <v>134</v>
      </c>
      <c r="E12" s="1" t="s">
        <v>120</v>
      </c>
      <c r="F12" s="1" t="s">
        <v>135</v>
      </c>
      <c r="G12" s="1" t="s">
        <v>282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259</v>
      </c>
      <c r="B13" s="1" t="s">
        <v>138</v>
      </c>
      <c r="C13" s="1" t="s">
        <v>20</v>
      </c>
      <c r="D13" s="1" t="s">
        <v>139</v>
      </c>
      <c r="E13" s="1" t="s">
        <v>120</v>
      </c>
      <c r="F13" s="1" t="s">
        <v>140</v>
      </c>
      <c r="G13" s="1" t="s">
        <v>283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261</v>
      </c>
      <c r="B14" s="1" t="s">
        <v>143</v>
      </c>
      <c r="C14" s="1" t="s">
        <v>20</v>
      </c>
      <c r="D14" s="1" t="s">
        <v>144</v>
      </c>
      <c r="E14" s="1" t="s">
        <v>120</v>
      </c>
      <c r="F14" s="1" t="s">
        <v>145</v>
      </c>
      <c r="G14" s="1" t="s">
        <v>284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263</v>
      </c>
      <c r="B15" s="1" t="s">
        <v>148</v>
      </c>
      <c r="C15" s="1" t="s">
        <v>20</v>
      </c>
      <c r="D15" s="1" t="s">
        <v>149</v>
      </c>
      <c r="E15" s="1" t="s">
        <v>120</v>
      </c>
      <c r="F15" s="1" t="s">
        <v>150</v>
      </c>
      <c r="G15" s="1" t="s">
        <v>285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265</v>
      </c>
      <c r="B16" s="1" t="s">
        <v>153</v>
      </c>
      <c r="C16" s="1" t="s">
        <v>20</v>
      </c>
      <c r="D16" s="1" t="s">
        <v>154</v>
      </c>
      <c r="E16" s="1" t="s">
        <v>120</v>
      </c>
      <c r="F16" s="1" t="s">
        <v>155</v>
      </c>
      <c r="G16" s="1" t="s">
        <v>286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267</v>
      </c>
      <c r="B17" s="1" t="s">
        <v>159</v>
      </c>
      <c r="C17" s="1" t="s">
        <v>20</v>
      </c>
      <c r="D17" s="1" t="s">
        <v>160</v>
      </c>
      <c r="E17" s="1" t="s">
        <v>120</v>
      </c>
      <c r="F17" s="1" t="s">
        <v>161</v>
      </c>
      <c r="G17" s="1" t="s">
        <v>287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269</v>
      </c>
      <c r="B18" s="1" t="s">
        <v>165</v>
      </c>
      <c r="C18" s="1" t="s">
        <v>20</v>
      </c>
      <c r="D18" s="1" t="s">
        <v>166</v>
      </c>
      <c r="E18" s="1" t="s">
        <v>120</v>
      </c>
      <c r="F18" s="1" t="s">
        <v>161</v>
      </c>
      <c r="G18" s="1" t="s">
        <v>287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270</v>
      </c>
      <c r="B19" s="1" t="s">
        <v>168</v>
      </c>
      <c r="C19" s="1" t="s">
        <v>20</v>
      </c>
      <c r="D19" s="1" t="s">
        <v>169</v>
      </c>
      <c r="E19" s="1" t="s">
        <v>120</v>
      </c>
      <c r="F19" s="1" t="s">
        <v>161</v>
      </c>
      <c r="G19" s="1" t="s">
        <v>288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272</v>
      </c>
      <c r="B20" s="1" t="s">
        <v>173</v>
      </c>
      <c r="C20" s="1" t="s">
        <v>20</v>
      </c>
      <c r="D20" s="1" t="s">
        <v>174</v>
      </c>
      <c r="E20" s="1" t="s">
        <v>120</v>
      </c>
      <c r="F20" s="1" t="s">
        <v>161</v>
      </c>
      <c r="G20" s="1" t="s">
        <v>287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273</v>
      </c>
      <c r="B21" s="1" t="s">
        <v>177</v>
      </c>
      <c r="C21" s="1" t="s">
        <v>20</v>
      </c>
      <c r="D21" s="1" t="s">
        <v>178</v>
      </c>
      <c r="E21" s="1" t="s">
        <v>120</v>
      </c>
      <c r="F21" s="1" t="s">
        <v>179</v>
      </c>
      <c r="G21" s="1" t="s">
        <v>289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275</v>
      </c>
      <c r="B22" s="1" t="s">
        <v>182</v>
      </c>
      <c r="C22" s="1" t="s">
        <v>20</v>
      </c>
      <c r="D22" s="1" t="s">
        <v>183</v>
      </c>
      <c r="E22" s="1" t="s">
        <v>120</v>
      </c>
      <c r="F22" s="1" t="s">
        <v>179</v>
      </c>
      <c r="G22" s="1" t="s">
        <v>290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277</v>
      </c>
      <c r="B23" s="1" t="s">
        <v>186</v>
      </c>
      <c r="C23" s="1" t="s">
        <v>20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278</v>
      </c>
      <c r="B24" s="1" t="s">
        <v>191</v>
      </c>
      <c r="C24" s="1" t="s">
        <v>20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292</v>
      </c>
      <c r="B9" s="1" t="s">
        <v>117</v>
      </c>
      <c r="C9" s="1" t="s">
        <v>21</v>
      </c>
      <c r="D9" s="1" t="s">
        <v>119</v>
      </c>
      <c r="E9" s="1" t="s">
        <v>120</v>
      </c>
      <c r="F9" s="1" t="s">
        <v>121</v>
      </c>
      <c r="G9" s="1" t="s">
        <v>293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294</v>
      </c>
      <c r="B10" s="1" t="s">
        <v>124</v>
      </c>
      <c r="C10" s="1" t="s">
        <v>21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295</v>
      </c>
      <c r="B11" s="1" t="s">
        <v>128</v>
      </c>
      <c r="C11" s="1" t="s">
        <v>21</v>
      </c>
      <c r="D11" s="1" t="s">
        <v>129</v>
      </c>
      <c r="E11" s="1" t="s">
        <v>120</v>
      </c>
      <c r="F11" s="1" t="s">
        <v>130</v>
      </c>
      <c r="G11" s="1" t="s">
        <v>296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297</v>
      </c>
      <c r="B12" s="1" t="s">
        <v>133</v>
      </c>
      <c r="C12" s="1" t="s">
        <v>21</v>
      </c>
      <c r="D12" s="1" t="s">
        <v>134</v>
      </c>
      <c r="E12" s="1" t="s">
        <v>120</v>
      </c>
      <c r="F12" s="1" t="s">
        <v>135</v>
      </c>
      <c r="G12" s="1" t="s">
        <v>298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299</v>
      </c>
      <c r="B13" s="1" t="s">
        <v>138</v>
      </c>
      <c r="C13" s="1" t="s">
        <v>21</v>
      </c>
      <c r="D13" s="1" t="s">
        <v>139</v>
      </c>
      <c r="E13" s="1" t="s">
        <v>120</v>
      </c>
      <c r="F13" s="1" t="s">
        <v>140</v>
      </c>
      <c r="G13" s="1" t="s">
        <v>300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301</v>
      </c>
      <c r="B14" s="1" t="s">
        <v>143</v>
      </c>
      <c r="C14" s="1" t="s">
        <v>21</v>
      </c>
      <c r="D14" s="1" t="s">
        <v>144</v>
      </c>
      <c r="E14" s="1" t="s">
        <v>120</v>
      </c>
      <c r="F14" s="1" t="s">
        <v>145</v>
      </c>
      <c r="G14" s="1" t="s">
        <v>302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303</v>
      </c>
      <c r="B15" s="1" t="s">
        <v>148</v>
      </c>
      <c r="C15" s="1" t="s">
        <v>21</v>
      </c>
      <c r="D15" s="1" t="s">
        <v>149</v>
      </c>
      <c r="E15" s="1" t="s">
        <v>120</v>
      </c>
      <c r="F15" s="1" t="s">
        <v>150</v>
      </c>
      <c r="G15" s="1" t="s">
        <v>304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305</v>
      </c>
      <c r="B16" s="1" t="s">
        <v>153</v>
      </c>
      <c r="C16" s="1" t="s">
        <v>21</v>
      </c>
      <c r="D16" s="1" t="s">
        <v>154</v>
      </c>
      <c r="E16" s="1" t="s">
        <v>120</v>
      </c>
      <c r="F16" s="1" t="s">
        <v>155</v>
      </c>
      <c r="G16" s="1" t="s">
        <v>306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307</v>
      </c>
      <c r="B17" s="1" t="s">
        <v>159</v>
      </c>
      <c r="C17" s="1" t="s">
        <v>21</v>
      </c>
      <c r="D17" s="1" t="s">
        <v>160</v>
      </c>
      <c r="E17" s="1" t="s">
        <v>120</v>
      </c>
      <c r="F17" s="1" t="s">
        <v>161</v>
      </c>
      <c r="G17" s="1" t="s">
        <v>308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309</v>
      </c>
      <c r="B18" s="1" t="s">
        <v>165</v>
      </c>
      <c r="C18" s="1" t="s">
        <v>21</v>
      </c>
      <c r="D18" s="1" t="s">
        <v>166</v>
      </c>
      <c r="E18" s="1" t="s">
        <v>120</v>
      </c>
      <c r="F18" s="1" t="s">
        <v>161</v>
      </c>
      <c r="G18" s="1" t="s">
        <v>308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310</v>
      </c>
      <c r="B19" s="1" t="s">
        <v>168</v>
      </c>
      <c r="C19" s="1" t="s">
        <v>21</v>
      </c>
      <c r="D19" s="1" t="s">
        <v>169</v>
      </c>
      <c r="E19" s="1" t="s">
        <v>120</v>
      </c>
      <c r="F19" s="1" t="s">
        <v>161</v>
      </c>
      <c r="G19" s="1" t="s">
        <v>311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312</v>
      </c>
      <c r="B20" s="1" t="s">
        <v>173</v>
      </c>
      <c r="C20" s="1" t="s">
        <v>21</v>
      </c>
      <c r="D20" s="1" t="s">
        <v>174</v>
      </c>
      <c r="E20" s="1" t="s">
        <v>120</v>
      </c>
      <c r="F20" s="1" t="s">
        <v>161</v>
      </c>
      <c r="G20" s="1" t="s">
        <v>308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313</v>
      </c>
      <c r="B21" s="1" t="s">
        <v>177</v>
      </c>
      <c r="C21" s="1" t="s">
        <v>21</v>
      </c>
      <c r="D21" s="1" t="s">
        <v>178</v>
      </c>
      <c r="E21" s="1" t="s">
        <v>120</v>
      </c>
      <c r="F21" s="1" t="s">
        <v>179</v>
      </c>
      <c r="G21" s="1" t="s">
        <v>314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315</v>
      </c>
      <c r="B22" s="1" t="s">
        <v>182</v>
      </c>
      <c r="C22" s="1" t="s">
        <v>21</v>
      </c>
      <c r="D22" s="1" t="s">
        <v>183</v>
      </c>
      <c r="E22" s="1" t="s">
        <v>120</v>
      </c>
      <c r="F22" s="1" t="s">
        <v>179</v>
      </c>
      <c r="G22" s="1" t="s">
        <v>316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317</v>
      </c>
      <c r="B23" s="1" t="s">
        <v>186</v>
      </c>
      <c r="C23" s="1" t="s">
        <v>21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318</v>
      </c>
      <c r="B24" s="1" t="s">
        <v>191</v>
      </c>
      <c r="C24" s="1" t="s">
        <v>21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292</v>
      </c>
      <c r="B9" s="1" t="s">
        <v>117</v>
      </c>
      <c r="C9" s="1" t="s">
        <v>22</v>
      </c>
      <c r="D9" s="1" t="s">
        <v>119</v>
      </c>
      <c r="E9" s="1" t="s">
        <v>120</v>
      </c>
      <c r="F9" s="1" t="s">
        <v>121</v>
      </c>
      <c r="G9" s="1" t="s">
        <v>320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294</v>
      </c>
      <c r="B10" s="1" t="s">
        <v>124</v>
      </c>
      <c r="C10" s="1" t="s">
        <v>22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295</v>
      </c>
      <c r="B11" s="1" t="s">
        <v>128</v>
      </c>
      <c r="C11" s="1" t="s">
        <v>22</v>
      </c>
      <c r="D11" s="1" t="s">
        <v>129</v>
      </c>
      <c r="E11" s="1" t="s">
        <v>120</v>
      </c>
      <c r="F11" s="1" t="s">
        <v>130</v>
      </c>
      <c r="G11" s="1" t="s">
        <v>321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297</v>
      </c>
      <c r="B12" s="1" t="s">
        <v>133</v>
      </c>
      <c r="C12" s="1" t="s">
        <v>22</v>
      </c>
      <c r="D12" s="1" t="s">
        <v>134</v>
      </c>
      <c r="E12" s="1" t="s">
        <v>120</v>
      </c>
      <c r="F12" s="1" t="s">
        <v>135</v>
      </c>
      <c r="G12" s="1" t="s">
        <v>322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299</v>
      </c>
      <c r="B13" s="1" t="s">
        <v>138</v>
      </c>
      <c r="C13" s="1" t="s">
        <v>22</v>
      </c>
      <c r="D13" s="1" t="s">
        <v>139</v>
      </c>
      <c r="E13" s="1" t="s">
        <v>120</v>
      </c>
      <c r="F13" s="1" t="s">
        <v>140</v>
      </c>
      <c r="G13" s="1" t="s">
        <v>323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301</v>
      </c>
      <c r="B14" s="1" t="s">
        <v>143</v>
      </c>
      <c r="C14" s="1" t="s">
        <v>22</v>
      </c>
      <c r="D14" s="1" t="s">
        <v>144</v>
      </c>
      <c r="E14" s="1" t="s">
        <v>120</v>
      </c>
      <c r="F14" s="1" t="s">
        <v>145</v>
      </c>
      <c r="G14" s="1" t="s">
        <v>324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303</v>
      </c>
      <c r="B15" s="1" t="s">
        <v>148</v>
      </c>
      <c r="C15" s="1" t="s">
        <v>22</v>
      </c>
      <c r="D15" s="1" t="s">
        <v>149</v>
      </c>
      <c r="E15" s="1" t="s">
        <v>120</v>
      </c>
      <c r="F15" s="1" t="s">
        <v>150</v>
      </c>
      <c r="G15" s="1" t="s">
        <v>325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305</v>
      </c>
      <c r="B16" s="1" t="s">
        <v>153</v>
      </c>
      <c r="C16" s="1" t="s">
        <v>22</v>
      </c>
      <c r="D16" s="1" t="s">
        <v>154</v>
      </c>
      <c r="E16" s="1" t="s">
        <v>120</v>
      </c>
      <c r="F16" s="1" t="s">
        <v>155</v>
      </c>
      <c r="G16" s="1" t="s">
        <v>326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307</v>
      </c>
      <c r="B17" s="1" t="s">
        <v>159</v>
      </c>
      <c r="C17" s="1" t="s">
        <v>22</v>
      </c>
      <c r="D17" s="1" t="s">
        <v>160</v>
      </c>
      <c r="E17" s="1" t="s">
        <v>120</v>
      </c>
      <c r="F17" s="1" t="s">
        <v>161</v>
      </c>
      <c r="G17" s="1" t="s">
        <v>327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309</v>
      </c>
      <c r="B18" s="1" t="s">
        <v>165</v>
      </c>
      <c r="C18" s="1" t="s">
        <v>22</v>
      </c>
      <c r="D18" s="1" t="s">
        <v>166</v>
      </c>
      <c r="E18" s="1" t="s">
        <v>120</v>
      </c>
      <c r="F18" s="1" t="s">
        <v>161</v>
      </c>
      <c r="G18" s="1" t="s">
        <v>327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310</v>
      </c>
      <c r="B19" s="1" t="s">
        <v>168</v>
      </c>
      <c r="C19" s="1" t="s">
        <v>22</v>
      </c>
      <c r="D19" s="1" t="s">
        <v>169</v>
      </c>
      <c r="E19" s="1" t="s">
        <v>120</v>
      </c>
      <c r="F19" s="1" t="s">
        <v>161</v>
      </c>
      <c r="G19" s="1" t="s">
        <v>328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312</v>
      </c>
      <c r="B20" s="1" t="s">
        <v>173</v>
      </c>
      <c r="C20" s="1" t="s">
        <v>22</v>
      </c>
      <c r="D20" s="1" t="s">
        <v>174</v>
      </c>
      <c r="E20" s="1" t="s">
        <v>120</v>
      </c>
      <c r="F20" s="1" t="s">
        <v>161</v>
      </c>
      <c r="G20" s="1" t="s">
        <v>327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313</v>
      </c>
      <c r="B21" s="1" t="s">
        <v>177</v>
      </c>
      <c r="C21" s="1" t="s">
        <v>22</v>
      </c>
      <c r="D21" s="1" t="s">
        <v>178</v>
      </c>
      <c r="E21" s="1" t="s">
        <v>120</v>
      </c>
      <c r="F21" s="1" t="s">
        <v>179</v>
      </c>
      <c r="G21" s="1" t="s">
        <v>329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315</v>
      </c>
      <c r="B22" s="1" t="s">
        <v>182</v>
      </c>
      <c r="C22" s="1" t="s">
        <v>22</v>
      </c>
      <c r="D22" s="1" t="s">
        <v>183</v>
      </c>
      <c r="E22" s="1" t="s">
        <v>120</v>
      </c>
      <c r="F22" s="1" t="s">
        <v>179</v>
      </c>
      <c r="G22" s="1" t="s">
        <v>330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317</v>
      </c>
      <c r="B23" s="1" t="s">
        <v>186</v>
      </c>
      <c r="C23" s="1" t="s">
        <v>22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318</v>
      </c>
      <c r="B24" s="1" t="s">
        <v>191</v>
      </c>
      <c r="C24" s="1" t="s">
        <v>22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332</v>
      </c>
      <c r="B9" s="1" t="s">
        <v>117</v>
      </c>
      <c r="C9" s="1" t="s">
        <v>333</v>
      </c>
      <c r="D9" s="1" t="s">
        <v>119</v>
      </c>
      <c r="E9" s="1" t="s">
        <v>120</v>
      </c>
      <c r="F9" s="1" t="s">
        <v>121</v>
      </c>
      <c r="G9" s="1" t="s">
        <v>334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335</v>
      </c>
      <c r="B10" s="1" t="s">
        <v>124</v>
      </c>
      <c r="C10" s="1" t="s">
        <v>333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336</v>
      </c>
      <c r="B11" s="1" t="s">
        <v>128</v>
      </c>
      <c r="C11" s="1" t="s">
        <v>333</v>
      </c>
      <c r="D11" s="1" t="s">
        <v>129</v>
      </c>
      <c r="E11" s="1" t="s">
        <v>120</v>
      </c>
      <c r="F11" s="1" t="s">
        <v>130</v>
      </c>
      <c r="G11" s="1" t="s">
        <v>337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338</v>
      </c>
      <c r="B12" s="1" t="s">
        <v>133</v>
      </c>
      <c r="C12" s="1" t="s">
        <v>333</v>
      </c>
      <c r="D12" s="1" t="s">
        <v>134</v>
      </c>
      <c r="E12" s="1" t="s">
        <v>120</v>
      </c>
      <c r="F12" s="1" t="s">
        <v>135</v>
      </c>
      <c r="G12" s="1" t="s">
        <v>339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340</v>
      </c>
      <c r="B13" s="1" t="s">
        <v>138</v>
      </c>
      <c r="C13" s="1" t="s">
        <v>333</v>
      </c>
      <c r="D13" s="1" t="s">
        <v>139</v>
      </c>
      <c r="E13" s="1" t="s">
        <v>120</v>
      </c>
      <c r="F13" s="1" t="s">
        <v>140</v>
      </c>
      <c r="G13" s="1" t="s">
        <v>341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342</v>
      </c>
      <c r="B14" s="1" t="s">
        <v>143</v>
      </c>
      <c r="C14" s="1" t="s">
        <v>333</v>
      </c>
      <c r="D14" s="1" t="s">
        <v>144</v>
      </c>
      <c r="E14" s="1" t="s">
        <v>120</v>
      </c>
      <c r="F14" s="1" t="s">
        <v>145</v>
      </c>
      <c r="G14" s="1" t="s">
        <v>343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344</v>
      </c>
      <c r="B15" s="1" t="s">
        <v>148</v>
      </c>
      <c r="C15" s="1" t="s">
        <v>333</v>
      </c>
      <c r="D15" s="1" t="s">
        <v>149</v>
      </c>
      <c r="E15" s="1" t="s">
        <v>120</v>
      </c>
      <c r="F15" s="1" t="s">
        <v>150</v>
      </c>
      <c r="G15" s="1" t="s">
        <v>345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346</v>
      </c>
      <c r="B16" s="1" t="s">
        <v>153</v>
      </c>
      <c r="C16" s="1" t="s">
        <v>333</v>
      </c>
      <c r="D16" s="1" t="s">
        <v>154</v>
      </c>
      <c r="E16" s="1" t="s">
        <v>120</v>
      </c>
      <c r="F16" s="1" t="s">
        <v>155</v>
      </c>
      <c r="G16" s="1" t="s">
        <v>347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348</v>
      </c>
      <c r="B17" s="1" t="s">
        <v>159</v>
      </c>
      <c r="C17" s="1" t="s">
        <v>333</v>
      </c>
      <c r="D17" s="1" t="s">
        <v>160</v>
      </c>
      <c r="E17" s="1" t="s">
        <v>120</v>
      </c>
      <c r="F17" s="1" t="s">
        <v>161</v>
      </c>
      <c r="G17" s="1" t="s">
        <v>349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350</v>
      </c>
      <c r="B18" s="1" t="s">
        <v>165</v>
      </c>
      <c r="C18" s="1" t="s">
        <v>333</v>
      </c>
      <c r="D18" s="1" t="s">
        <v>166</v>
      </c>
      <c r="E18" s="1" t="s">
        <v>120</v>
      </c>
      <c r="F18" s="1" t="s">
        <v>161</v>
      </c>
      <c r="G18" s="1" t="s">
        <v>349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351</v>
      </c>
      <c r="B19" s="1" t="s">
        <v>168</v>
      </c>
      <c r="C19" s="1" t="s">
        <v>333</v>
      </c>
      <c r="D19" s="1" t="s">
        <v>169</v>
      </c>
      <c r="E19" s="1" t="s">
        <v>120</v>
      </c>
      <c r="F19" s="1" t="s">
        <v>161</v>
      </c>
      <c r="G19" s="1" t="s">
        <v>352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353</v>
      </c>
      <c r="B20" s="1" t="s">
        <v>173</v>
      </c>
      <c r="C20" s="1" t="s">
        <v>333</v>
      </c>
      <c r="D20" s="1" t="s">
        <v>174</v>
      </c>
      <c r="E20" s="1" t="s">
        <v>120</v>
      </c>
      <c r="F20" s="1" t="s">
        <v>161</v>
      </c>
      <c r="G20" s="1" t="s">
        <v>349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354</v>
      </c>
      <c r="B21" s="1" t="s">
        <v>177</v>
      </c>
      <c r="C21" s="1" t="s">
        <v>333</v>
      </c>
      <c r="D21" s="1" t="s">
        <v>178</v>
      </c>
      <c r="E21" s="1" t="s">
        <v>120</v>
      </c>
      <c r="F21" s="1" t="s">
        <v>179</v>
      </c>
      <c r="G21" s="1" t="s">
        <v>355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356</v>
      </c>
      <c r="B22" s="1" t="s">
        <v>182</v>
      </c>
      <c r="C22" s="1" t="s">
        <v>333</v>
      </c>
      <c r="D22" s="1" t="s">
        <v>183</v>
      </c>
      <c r="E22" s="1" t="s">
        <v>120</v>
      </c>
      <c r="F22" s="1" t="s">
        <v>179</v>
      </c>
      <c r="G22" s="1" t="s">
        <v>357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358</v>
      </c>
      <c r="B23" s="1" t="s">
        <v>186</v>
      </c>
      <c r="C23" s="1" t="s">
        <v>333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359</v>
      </c>
      <c r="B24" s="1" t="s">
        <v>191</v>
      </c>
      <c r="C24" s="1" t="s">
        <v>333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361</v>
      </c>
      <c r="B9" s="1" t="s">
        <v>117</v>
      </c>
      <c r="C9" s="1" t="s">
        <v>24</v>
      </c>
      <c r="D9" s="1" t="s">
        <v>119</v>
      </c>
      <c r="E9" s="1" t="s">
        <v>120</v>
      </c>
      <c r="F9" s="1" t="s">
        <v>121</v>
      </c>
      <c r="G9" s="1" t="s">
        <v>362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363</v>
      </c>
      <c r="B10" s="1" t="s">
        <v>124</v>
      </c>
      <c r="C10" s="1" t="s">
        <v>24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364</v>
      </c>
      <c r="B11" s="1" t="s">
        <v>128</v>
      </c>
      <c r="C11" s="1" t="s">
        <v>24</v>
      </c>
      <c r="D11" s="1" t="s">
        <v>129</v>
      </c>
      <c r="E11" s="1" t="s">
        <v>120</v>
      </c>
      <c r="F11" s="1" t="s">
        <v>130</v>
      </c>
      <c r="G11" s="1" t="s">
        <v>365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366</v>
      </c>
      <c r="B12" s="1" t="s">
        <v>133</v>
      </c>
      <c r="C12" s="1" t="s">
        <v>24</v>
      </c>
      <c r="D12" s="1" t="s">
        <v>134</v>
      </c>
      <c r="E12" s="1" t="s">
        <v>120</v>
      </c>
      <c r="F12" s="1" t="s">
        <v>135</v>
      </c>
      <c r="G12" s="1" t="s">
        <v>367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368</v>
      </c>
      <c r="B13" s="1" t="s">
        <v>138</v>
      </c>
      <c r="C13" s="1" t="s">
        <v>24</v>
      </c>
      <c r="D13" s="1" t="s">
        <v>139</v>
      </c>
      <c r="E13" s="1" t="s">
        <v>120</v>
      </c>
      <c r="F13" s="1" t="s">
        <v>140</v>
      </c>
      <c r="G13" s="1" t="s">
        <v>369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370</v>
      </c>
      <c r="B14" s="1" t="s">
        <v>143</v>
      </c>
      <c r="C14" s="1" t="s">
        <v>24</v>
      </c>
      <c r="D14" s="1" t="s">
        <v>144</v>
      </c>
      <c r="E14" s="1" t="s">
        <v>120</v>
      </c>
      <c r="F14" s="1" t="s">
        <v>145</v>
      </c>
      <c r="G14" s="1" t="s">
        <v>371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372</v>
      </c>
      <c r="B15" s="1" t="s">
        <v>148</v>
      </c>
      <c r="C15" s="1" t="s">
        <v>24</v>
      </c>
      <c r="D15" s="1" t="s">
        <v>149</v>
      </c>
      <c r="E15" s="1" t="s">
        <v>120</v>
      </c>
      <c r="F15" s="1" t="s">
        <v>150</v>
      </c>
      <c r="G15" s="1" t="s">
        <v>373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374</v>
      </c>
      <c r="B16" s="1" t="s">
        <v>153</v>
      </c>
      <c r="C16" s="1" t="s">
        <v>24</v>
      </c>
      <c r="D16" s="1" t="s">
        <v>154</v>
      </c>
      <c r="E16" s="1" t="s">
        <v>120</v>
      </c>
      <c r="F16" s="1" t="s">
        <v>155</v>
      </c>
      <c r="G16" s="1" t="s">
        <v>375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376</v>
      </c>
      <c r="B17" s="1" t="s">
        <v>159</v>
      </c>
      <c r="C17" s="1" t="s">
        <v>24</v>
      </c>
      <c r="D17" s="1" t="s">
        <v>160</v>
      </c>
      <c r="E17" s="1" t="s">
        <v>120</v>
      </c>
      <c r="F17" s="1" t="s">
        <v>161</v>
      </c>
      <c r="G17" s="1" t="s">
        <v>377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378</v>
      </c>
      <c r="B18" s="1" t="s">
        <v>165</v>
      </c>
      <c r="C18" s="1" t="s">
        <v>24</v>
      </c>
      <c r="D18" s="1" t="s">
        <v>166</v>
      </c>
      <c r="E18" s="1" t="s">
        <v>120</v>
      </c>
      <c r="F18" s="1" t="s">
        <v>161</v>
      </c>
      <c r="G18" s="1" t="s">
        <v>377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379</v>
      </c>
      <c r="B19" s="1" t="s">
        <v>168</v>
      </c>
      <c r="C19" s="1" t="s">
        <v>24</v>
      </c>
      <c r="D19" s="1" t="s">
        <v>169</v>
      </c>
      <c r="E19" s="1" t="s">
        <v>120</v>
      </c>
      <c r="F19" s="1" t="s">
        <v>161</v>
      </c>
      <c r="G19" s="1" t="s">
        <v>380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381</v>
      </c>
      <c r="B20" s="1" t="s">
        <v>173</v>
      </c>
      <c r="C20" s="1" t="s">
        <v>24</v>
      </c>
      <c r="D20" s="1" t="s">
        <v>174</v>
      </c>
      <c r="E20" s="1" t="s">
        <v>120</v>
      </c>
      <c r="F20" s="1" t="s">
        <v>161</v>
      </c>
      <c r="G20" s="1" t="s">
        <v>377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382</v>
      </c>
      <c r="B21" s="1" t="s">
        <v>177</v>
      </c>
      <c r="C21" s="1" t="s">
        <v>24</v>
      </c>
      <c r="D21" s="1" t="s">
        <v>178</v>
      </c>
      <c r="E21" s="1" t="s">
        <v>120</v>
      </c>
      <c r="F21" s="1" t="s">
        <v>179</v>
      </c>
      <c r="G21" s="1" t="s">
        <v>383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384</v>
      </c>
      <c r="B22" s="1" t="s">
        <v>182</v>
      </c>
      <c r="C22" s="1" t="s">
        <v>24</v>
      </c>
      <c r="D22" s="1" t="s">
        <v>183</v>
      </c>
      <c r="E22" s="1" t="s">
        <v>120</v>
      </c>
      <c r="F22" s="1" t="s">
        <v>179</v>
      </c>
      <c r="G22" s="1" t="s">
        <v>385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386</v>
      </c>
      <c r="B23" s="1" t="s">
        <v>186</v>
      </c>
      <c r="C23" s="1" t="s">
        <v>24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387</v>
      </c>
      <c r="B24" s="1" t="s">
        <v>191</v>
      </c>
      <c r="C24" s="1" t="s">
        <v>24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361</v>
      </c>
      <c r="B9" s="1" t="s">
        <v>117</v>
      </c>
      <c r="C9" s="1" t="s">
        <v>25</v>
      </c>
      <c r="D9" s="1" t="s">
        <v>119</v>
      </c>
      <c r="E9" s="1" t="s">
        <v>120</v>
      </c>
      <c r="F9" s="1" t="s">
        <v>121</v>
      </c>
      <c r="G9" s="1" t="s">
        <v>389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363</v>
      </c>
      <c r="B10" s="1" t="s">
        <v>124</v>
      </c>
      <c r="C10" s="1" t="s">
        <v>25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364</v>
      </c>
      <c r="B11" s="1" t="s">
        <v>128</v>
      </c>
      <c r="C11" s="1" t="s">
        <v>25</v>
      </c>
      <c r="D11" s="1" t="s">
        <v>129</v>
      </c>
      <c r="E11" s="1" t="s">
        <v>120</v>
      </c>
      <c r="F11" s="1" t="s">
        <v>130</v>
      </c>
      <c r="G11" s="1" t="s">
        <v>390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366</v>
      </c>
      <c r="B12" s="1" t="s">
        <v>133</v>
      </c>
      <c r="C12" s="1" t="s">
        <v>25</v>
      </c>
      <c r="D12" s="1" t="s">
        <v>134</v>
      </c>
      <c r="E12" s="1" t="s">
        <v>120</v>
      </c>
      <c r="F12" s="1" t="s">
        <v>135</v>
      </c>
      <c r="G12" s="1" t="s">
        <v>391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368</v>
      </c>
      <c r="B13" s="1" t="s">
        <v>138</v>
      </c>
      <c r="C13" s="1" t="s">
        <v>25</v>
      </c>
      <c r="D13" s="1" t="s">
        <v>139</v>
      </c>
      <c r="E13" s="1" t="s">
        <v>120</v>
      </c>
      <c r="F13" s="1" t="s">
        <v>140</v>
      </c>
      <c r="G13" s="1" t="s">
        <v>392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370</v>
      </c>
      <c r="B14" s="1" t="s">
        <v>143</v>
      </c>
      <c r="C14" s="1" t="s">
        <v>25</v>
      </c>
      <c r="D14" s="1" t="s">
        <v>144</v>
      </c>
      <c r="E14" s="1" t="s">
        <v>120</v>
      </c>
      <c r="F14" s="1" t="s">
        <v>145</v>
      </c>
      <c r="G14" s="1" t="s">
        <v>393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372</v>
      </c>
      <c r="B15" s="1" t="s">
        <v>148</v>
      </c>
      <c r="C15" s="1" t="s">
        <v>25</v>
      </c>
      <c r="D15" s="1" t="s">
        <v>149</v>
      </c>
      <c r="E15" s="1" t="s">
        <v>120</v>
      </c>
      <c r="F15" s="1" t="s">
        <v>150</v>
      </c>
      <c r="G15" s="1" t="s">
        <v>394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374</v>
      </c>
      <c r="B16" s="1" t="s">
        <v>153</v>
      </c>
      <c r="C16" s="1" t="s">
        <v>25</v>
      </c>
      <c r="D16" s="1" t="s">
        <v>154</v>
      </c>
      <c r="E16" s="1" t="s">
        <v>120</v>
      </c>
      <c r="F16" s="1" t="s">
        <v>155</v>
      </c>
      <c r="G16" s="1" t="s">
        <v>395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376</v>
      </c>
      <c r="B17" s="1" t="s">
        <v>159</v>
      </c>
      <c r="C17" s="1" t="s">
        <v>25</v>
      </c>
      <c r="D17" s="1" t="s">
        <v>160</v>
      </c>
      <c r="E17" s="1" t="s">
        <v>120</v>
      </c>
      <c r="F17" s="1" t="s">
        <v>161</v>
      </c>
      <c r="G17" s="1" t="s">
        <v>396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378</v>
      </c>
      <c r="B18" s="1" t="s">
        <v>165</v>
      </c>
      <c r="C18" s="1" t="s">
        <v>25</v>
      </c>
      <c r="D18" s="1" t="s">
        <v>166</v>
      </c>
      <c r="E18" s="1" t="s">
        <v>120</v>
      </c>
      <c r="F18" s="1" t="s">
        <v>161</v>
      </c>
      <c r="G18" s="1" t="s">
        <v>396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379</v>
      </c>
      <c r="B19" s="1" t="s">
        <v>168</v>
      </c>
      <c r="C19" s="1" t="s">
        <v>25</v>
      </c>
      <c r="D19" s="1" t="s">
        <v>169</v>
      </c>
      <c r="E19" s="1" t="s">
        <v>120</v>
      </c>
      <c r="F19" s="1" t="s">
        <v>161</v>
      </c>
      <c r="G19" s="1" t="s">
        <v>397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381</v>
      </c>
      <c r="B20" s="1" t="s">
        <v>173</v>
      </c>
      <c r="C20" s="1" t="s">
        <v>25</v>
      </c>
      <c r="D20" s="1" t="s">
        <v>174</v>
      </c>
      <c r="E20" s="1" t="s">
        <v>120</v>
      </c>
      <c r="F20" s="1" t="s">
        <v>161</v>
      </c>
      <c r="G20" s="1" t="s">
        <v>396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382</v>
      </c>
      <c r="B21" s="1" t="s">
        <v>177</v>
      </c>
      <c r="C21" s="1" t="s">
        <v>25</v>
      </c>
      <c r="D21" s="1" t="s">
        <v>178</v>
      </c>
      <c r="E21" s="1" t="s">
        <v>120</v>
      </c>
      <c r="F21" s="1" t="s">
        <v>179</v>
      </c>
      <c r="G21" s="1" t="s">
        <v>398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384</v>
      </c>
      <c r="B22" s="1" t="s">
        <v>182</v>
      </c>
      <c r="C22" s="1" t="s">
        <v>25</v>
      </c>
      <c r="D22" s="1" t="s">
        <v>183</v>
      </c>
      <c r="E22" s="1" t="s">
        <v>120</v>
      </c>
      <c r="F22" s="1" t="s">
        <v>179</v>
      </c>
      <c r="G22" s="1" t="s">
        <v>399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386</v>
      </c>
      <c r="B23" s="1" t="s">
        <v>186</v>
      </c>
      <c r="C23" s="1" t="s">
        <v>25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387</v>
      </c>
      <c r="B24" s="1" t="s">
        <v>191</v>
      </c>
      <c r="C24" s="1" t="s">
        <v>25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26</v>
      </c>
      <c r="D9" s="1" t="s">
        <v>119</v>
      </c>
      <c r="E9" s="1" t="s">
        <v>120</v>
      </c>
      <c r="F9" s="1" t="s">
        <v>121</v>
      </c>
      <c r="G9" s="1" t="s">
        <v>402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26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26</v>
      </c>
      <c r="D11" s="1" t="s">
        <v>129</v>
      </c>
      <c r="E11" s="1" t="s">
        <v>120</v>
      </c>
      <c r="F11" s="1" t="s">
        <v>130</v>
      </c>
      <c r="G11" s="1" t="s">
        <v>405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26</v>
      </c>
      <c r="D12" s="1" t="s">
        <v>134</v>
      </c>
      <c r="E12" s="1" t="s">
        <v>120</v>
      </c>
      <c r="F12" s="1" t="s">
        <v>135</v>
      </c>
      <c r="G12" s="1" t="s">
        <v>407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26</v>
      </c>
      <c r="D13" s="1" t="s">
        <v>139</v>
      </c>
      <c r="E13" s="1" t="s">
        <v>120</v>
      </c>
      <c r="F13" s="1" t="s">
        <v>140</v>
      </c>
      <c r="G13" s="1" t="s">
        <v>409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26</v>
      </c>
      <c r="D14" s="1" t="s">
        <v>144</v>
      </c>
      <c r="E14" s="1" t="s">
        <v>120</v>
      </c>
      <c r="F14" s="1" t="s">
        <v>145</v>
      </c>
      <c r="G14" s="1" t="s">
        <v>411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26</v>
      </c>
      <c r="D15" s="1" t="s">
        <v>149</v>
      </c>
      <c r="E15" s="1" t="s">
        <v>120</v>
      </c>
      <c r="F15" s="1" t="s">
        <v>150</v>
      </c>
      <c r="G15" s="1" t="s">
        <v>413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26</v>
      </c>
      <c r="D16" s="1" t="s">
        <v>154</v>
      </c>
      <c r="E16" s="1" t="s">
        <v>120</v>
      </c>
      <c r="F16" s="1" t="s">
        <v>155</v>
      </c>
      <c r="G16" s="1" t="s">
        <v>415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26</v>
      </c>
      <c r="D17" s="1" t="s">
        <v>160</v>
      </c>
      <c r="E17" s="1" t="s">
        <v>120</v>
      </c>
      <c r="F17" s="1" t="s">
        <v>161</v>
      </c>
      <c r="G17" s="1" t="s">
        <v>417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26</v>
      </c>
      <c r="D18" s="1" t="s">
        <v>166</v>
      </c>
      <c r="E18" s="1" t="s">
        <v>120</v>
      </c>
      <c r="F18" s="1" t="s">
        <v>161</v>
      </c>
      <c r="G18" s="1" t="s">
        <v>417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26</v>
      </c>
      <c r="D19" s="1" t="s">
        <v>169</v>
      </c>
      <c r="E19" s="1" t="s">
        <v>120</v>
      </c>
      <c r="F19" s="1" t="s">
        <v>161</v>
      </c>
      <c r="G19" s="1" t="s">
        <v>420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26</v>
      </c>
      <c r="D20" s="1" t="s">
        <v>174</v>
      </c>
      <c r="E20" s="1" t="s">
        <v>120</v>
      </c>
      <c r="F20" s="1" t="s">
        <v>161</v>
      </c>
      <c r="G20" s="1" t="s">
        <v>417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26</v>
      </c>
      <c r="D21" s="1" t="s">
        <v>178</v>
      </c>
      <c r="E21" s="1" t="s">
        <v>120</v>
      </c>
      <c r="F21" s="1" t="s">
        <v>179</v>
      </c>
      <c r="G21" s="1" t="s">
        <v>423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26</v>
      </c>
      <c r="D22" s="1" t="s">
        <v>183</v>
      </c>
      <c r="E22" s="1" t="s">
        <v>120</v>
      </c>
      <c r="F22" s="1" t="s">
        <v>179</v>
      </c>
      <c r="G22" s="1" t="s">
        <v>425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26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26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27</v>
      </c>
      <c r="D9" s="1" t="s">
        <v>119</v>
      </c>
      <c r="E9" s="1" t="s">
        <v>120</v>
      </c>
      <c r="F9" s="1" t="s">
        <v>121</v>
      </c>
      <c r="G9" s="1" t="s">
        <v>429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27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27</v>
      </c>
      <c r="D11" s="1" t="s">
        <v>129</v>
      </c>
      <c r="E11" s="1" t="s">
        <v>120</v>
      </c>
      <c r="F11" s="1" t="s">
        <v>130</v>
      </c>
      <c r="G11" s="1" t="s">
        <v>430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27</v>
      </c>
      <c r="D12" s="1" t="s">
        <v>134</v>
      </c>
      <c r="E12" s="1" t="s">
        <v>120</v>
      </c>
      <c r="F12" s="1" t="s">
        <v>135</v>
      </c>
      <c r="G12" s="1" t="s">
        <v>431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27</v>
      </c>
      <c r="D13" s="1" t="s">
        <v>139</v>
      </c>
      <c r="E13" s="1" t="s">
        <v>120</v>
      </c>
      <c r="F13" s="1" t="s">
        <v>140</v>
      </c>
      <c r="G13" s="1" t="s">
        <v>432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27</v>
      </c>
      <c r="D14" s="1" t="s">
        <v>144</v>
      </c>
      <c r="E14" s="1" t="s">
        <v>120</v>
      </c>
      <c r="F14" s="1" t="s">
        <v>145</v>
      </c>
      <c r="G14" s="1" t="s">
        <v>433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27</v>
      </c>
      <c r="D15" s="1" t="s">
        <v>149</v>
      </c>
      <c r="E15" s="1" t="s">
        <v>120</v>
      </c>
      <c r="F15" s="1" t="s">
        <v>150</v>
      </c>
      <c r="G15" s="1" t="s">
        <v>434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27</v>
      </c>
      <c r="D16" s="1" t="s">
        <v>154</v>
      </c>
      <c r="E16" s="1" t="s">
        <v>120</v>
      </c>
      <c r="F16" s="1" t="s">
        <v>155</v>
      </c>
      <c r="G16" s="1" t="s">
        <v>435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27</v>
      </c>
      <c r="D17" s="1" t="s">
        <v>160</v>
      </c>
      <c r="E17" s="1" t="s">
        <v>120</v>
      </c>
      <c r="F17" s="1" t="s">
        <v>161</v>
      </c>
      <c r="G17" s="1" t="s">
        <v>436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27</v>
      </c>
      <c r="D18" s="1" t="s">
        <v>166</v>
      </c>
      <c r="E18" s="1" t="s">
        <v>120</v>
      </c>
      <c r="F18" s="1" t="s">
        <v>161</v>
      </c>
      <c r="G18" s="1" t="s">
        <v>436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27</v>
      </c>
      <c r="D19" s="1" t="s">
        <v>169</v>
      </c>
      <c r="E19" s="1" t="s">
        <v>120</v>
      </c>
      <c r="F19" s="1" t="s">
        <v>161</v>
      </c>
      <c r="G19" s="1" t="s">
        <v>437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27</v>
      </c>
      <c r="D20" s="1" t="s">
        <v>174</v>
      </c>
      <c r="E20" s="1" t="s">
        <v>120</v>
      </c>
      <c r="F20" s="1" t="s">
        <v>161</v>
      </c>
      <c r="G20" s="1" t="s">
        <v>436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27</v>
      </c>
      <c r="D21" s="1" t="s">
        <v>178</v>
      </c>
      <c r="E21" s="1" t="s">
        <v>120</v>
      </c>
      <c r="F21" s="1" t="s">
        <v>179</v>
      </c>
      <c r="G21" s="1" t="s">
        <v>438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27</v>
      </c>
      <c r="D22" s="1" t="s">
        <v>183</v>
      </c>
      <c r="E22" s="1" t="s">
        <v>120</v>
      </c>
      <c r="F22" s="1" t="s">
        <v>179</v>
      </c>
      <c r="G22" s="1" t="s">
        <v>439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27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27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401</v>
      </c>
      <c r="B9" s="1" t="s">
        <v>117</v>
      </c>
      <c r="C9" s="1" t="s">
        <v>28</v>
      </c>
      <c r="D9" s="1" t="s">
        <v>119</v>
      </c>
      <c r="E9" s="1" t="s">
        <v>120</v>
      </c>
      <c r="F9" s="1" t="s">
        <v>121</v>
      </c>
      <c r="G9" s="1" t="s">
        <v>441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403</v>
      </c>
      <c r="B10" s="1" t="s">
        <v>124</v>
      </c>
      <c r="C10" s="1" t="s">
        <v>28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404</v>
      </c>
      <c r="B11" s="1" t="s">
        <v>128</v>
      </c>
      <c r="C11" s="1" t="s">
        <v>28</v>
      </c>
      <c r="D11" s="1" t="s">
        <v>129</v>
      </c>
      <c r="E11" s="1" t="s">
        <v>120</v>
      </c>
      <c r="F11" s="1" t="s">
        <v>130</v>
      </c>
      <c r="G11" s="1" t="s">
        <v>442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406</v>
      </c>
      <c r="B12" s="1" t="s">
        <v>133</v>
      </c>
      <c r="C12" s="1" t="s">
        <v>28</v>
      </c>
      <c r="D12" s="1" t="s">
        <v>134</v>
      </c>
      <c r="E12" s="1" t="s">
        <v>120</v>
      </c>
      <c r="F12" s="1" t="s">
        <v>135</v>
      </c>
      <c r="G12" s="1" t="s">
        <v>443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408</v>
      </c>
      <c r="B13" s="1" t="s">
        <v>138</v>
      </c>
      <c r="C13" s="1" t="s">
        <v>28</v>
      </c>
      <c r="D13" s="1" t="s">
        <v>139</v>
      </c>
      <c r="E13" s="1" t="s">
        <v>120</v>
      </c>
      <c r="F13" s="1" t="s">
        <v>140</v>
      </c>
      <c r="G13" s="1" t="s">
        <v>444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410</v>
      </c>
      <c r="B14" s="1" t="s">
        <v>143</v>
      </c>
      <c r="C14" s="1" t="s">
        <v>28</v>
      </c>
      <c r="D14" s="1" t="s">
        <v>144</v>
      </c>
      <c r="E14" s="1" t="s">
        <v>120</v>
      </c>
      <c r="F14" s="1" t="s">
        <v>145</v>
      </c>
      <c r="G14" s="1" t="s">
        <v>445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412</v>
      </c>
      <c r="B15" s="1" t="s">
        <v>148</v>
      </c>
      <c r="C15" s="1" t="s">
        <v>28</v>
      </c>
      <c r="D15" s="1" t="s">
        <v>149</v>
      </c>
      <c r="E15" s="1" t="s">
        <v>120</v>
      </c>
      <c r="F15" s="1" t="s">
        <v>150</v>
      </c>
      <c r="G15" s="1" t="s">
        <v>446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414</v>
      </c>
      <c r="B16" s="1" t="s">
        <v>153</v>
      </c>
      <c r="C16" s="1" t="s">
        <v>28</v>
      </c>
      <c r="D16" s="1" t="s">
        <v>154</v>
      </c>
      <c r="E16" s="1" t="s">
        <v>120</v>
      </c>
      <c r="F16" s="1" t="s">
        <v>155</v>
      </c>
      <c r="G16" s="1" t="s">
        <v>447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416</v>
      </c>
      <c r="B17" s="1" t="s">
        <v>159</v>
      </c>
      <c r="C17" s="1" t="s">
        <v>28</v>
      </c>
      <c r="D17" s="1" t="s">
        <v>160</v>
      </c>
      <c r="E17" s="1" t="s">
        <v>120</v>
      </c>
      <c r="F17" s="1" t="s">
        <v>161</v>
      </c>
      <c r="G17" s="1" t="s">
        <v>448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418</v>
      </c>
      <c r="B18" s="1" t="s">
        <v>165</v>
      </c>
      <c r="C18" s="1" t="s">
        <v>28</v>
      </c>
      <c r="D18" s="1" t="s">
        <v>166</v>
      </c>
      <c r="E18" s="1" t="s">
        <v>120</v>
      </c>
      <c r="F18" s="1" t="s">
        <v>161</v>
      </c>
      <c r="G18" s="1" t="s">
        <v>448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419</v>
      </c>
      <c r="B19" s="1" t="s">
        <v>168</v>
      </c>
      <c r="C19" s="1" t="s">
        <v>28</v>
      </c>
      <c r="D19" s="1" t="s">
        <v>169</v>
      </c>
      <c r="E19" s="1" t="s">
        <v>120</v>
      </c>
      <c r="F19" s="1" t="s">
        <v>161</v>
      </c>
      <c r="G19" s="1" t="s">
        <v>449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421</v>
      </c>
      <c r="B20" s="1" t="s">
        <v>173</v>
      </c>
      <c r="C20" s="1" t="s">
        <v>28</v>
      </c>
      <c r="D20" s="1" t="s">
        <v>174</v>
      </c>
      <c r="E20" s="1" t="s">
        <v>120</v>
      </c>
      <c r="F20" s="1" t="s">
        <v>161</v>
      </c>
      <c r="G20" s="1" t="s">
        <v>448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422</v>
      </c>
      <c r="B21" s="1" t="s">
        <v>177</v>
      </c>
      <c r="C21" s="1" t="s">
        <v>28</v>
      </c>
      <c r="D21" s="1" t="s">
        <v>178</v>
      </c>
      <c r="E21" s="1" t="s">
        <v>120</v>
      </c>
      <c r="F21" s="1" t="s">
        <v>179</v>
      </c>
      <c r="G21" s="1" t="s">
        <v>450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424</v>
      </c>
      <c r="B22" s="1" t="s">
        <v>182</v>
      </c>
      <c r="C22" s="1" t="s">
        <v>28</v>
      </c>
      <c r="D22" s="1" t="s">
        <v>183</v>
      </c>
      <c r="E22" s="1" t="s">
        <v>120</v>
      </c>
      <c r="F22" s="1" t="s">
        <v>179</v>
      </c>
      <c r="G22" s="1" t="s">
        <v>451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426</v>
      </c>
      <c r="B23" s="1" t="s">
        <v>186</v>
      </c>
      <c r="C23" s="1" t="s">
        <v>28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427</v>
      </c>
      <c r="B24" s="1" t="s">
        <v>191</v>
      </c>
      <c r="C24" s="1" t="s">
        <v>28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453</v>
      </c>
      <c r="B9" s="1" t="s">
        <v>117</v>
      </c>
      <c r="C9" s="1" t="s">
        <v>454</v>
      </c>
      <c r="D9" s="1" t="s">
        <v>119</v>
      </c>
      <c r="E9" s="1" t="s">
        <v>120</v>
      </c>
      <c r="F9" s="1" t="s">
        <v>121</v>
      </c>
      <c r="G9" s="1" t="s">
        <v>455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456</v>
      </c>
      <c r="B10" s="1" t="s">
        <v>124</v>
      </c>
      <c r="C10" s="1" t="s">
        <v>454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457</v>
      </c>
      <c r="B11" s="1" t="s">
        <v>128</v>
      </c>
      <c r="C11" s="1" t="s">
        <v>454</v>
      </c>
      <c r="D11" s="1" t="s">
        <v>129</v>
      </c>
      <c r="E11" s="1" t="s">
        <v>120</v>
      </c>
      <c r="F11" s="1" t="s">
        <v>130</v>
      </c>
      <c r="G11" s="1" t="s">
        <v>458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459</v>
      </c>
      <c r="B12" s="1" t="s">
        <v>133</v>
      </c>
      <c r="C12" s="1" t="s">
        <v>454</v>
      </c>
      <c r="D12" s="1" t="s">
        <v>134</v>
      </c>
      <c r="E12" s="1" t="s">
        <v>120</v>
      </c>
      <c r="F12" s="1" t="s">
        <v>135</v>
      </c>
      <c r="G12" s="1" t="s">
        <v>460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461</v>
      </c>
      <c r="B13" s="1" t="s">
        <v>138</v>
      </c>
      <c r="C13" s="1" t="s">
        <v>454</v>
      </c>
      <c r="D13" s="1" t="s">
        <v>139</v>
      </c>
      <c r="E13" s="1" t="s">
        <v>120</v>
      </c>
      <c r="F13" s="1" t="s">
        <v>140</v>
      </c>
      <c r="G13" s="1" t="s">
        <v>462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463</v>
      </c>
      <c r="B14" s="1" t="s">
        <v>143</v>
      </c>
      <c r="C14" s="1" t="s">
        <v>454</v>
      </c>
      <c r="D14" s="1" t="s">
        <v>144</v>
      </c>
      <c r="E14" s="1" t="s">
        <v>120</v>
      </c>
      <c r="F14" s="1" t="s">
        <v>145</v>
      </c>
      <c r="G14" s="1" t="s">
        <v>464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465</v>
      </c>
      <c r="B15" s="1" t="s">
        <v>148</v>
      </c>
      <c r="C15" s="1" t="s">
        <v>454</v>
      </c>
      <c r="D15" s="1" t="s">
        <v>149</v>
      </c>
      <c r="E15" s="1" t="s">
        <v>120</v>
      </c>
      <c r="F15" s="1" t="s">
        <v>150</v>
      </c>
      <c r="G15" s="1" t="s">
        <v>466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467</v>
      </c>
      <c r="B16" s="1" t="s">
        <v>153</v>
      </c>
      <c r="C16" s="1" t="s">
        <v>454</v>
      </c>
      <c r="D16" s="1" t="s">
        <v>154</v>
      </c>
      <c r="E16" s="1" t="s">
        <v>120</v>
      </c>
      <c r="F16" s="1" t="s">
        <v>155</v>
      </c>
      <c r="G16" s="1" t="s">
        <v>468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469</v>
      </c>
      <c r="B17" s="1" t="s">
        <v>159</v>
      </c>
      <c r="C17" s="1" t="s">
        <v>454</v>
      </c>
      <c r="D17" s="1" t="s">
        <v>160</v>
      </c>
      <c r="E17" s="1" t="s">
        <v>120</v>
      </c>
      <c r="F17" s="1" t="s">
        <v>161</v>
      </c>
      <c r="G17" s="1" t="s">
        <v>470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471</v>
      </c>
      <c r="B18" s="1" t="s">
        <v>165</v>
      </c>
      <c r="C18" s="1" t="s">
        <v>454</v>
      </c>
      <c r="D18" s="1" t="s">
        <v>166</v>
      </c>
      <c r="E18" s="1" t="s">
        <v>120</v>
      </c>
      <c r="F18" s="1" t="s">
        <v>161</v>
      </c>
      <c r="G18" s="1" t="s">
        <v>470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472</v>
      </c>
      <c r="B19" s="1" t="s">
        <v>168</v>
      </c>
      <c r="C19" s="1" t="s">
        <v>454</v>
      </c>
      <c r="D19" s="1" t="s">
        <v>169</v>
      </c>
      <c r="E19" s="1" t="s">
        <v>120</v>
      </c>
      <c r="F19" s="1" t="s">
        <v>161</v>
      </c>
      <c r="G19" s="1" t="s">
        <v>473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474</v>
      </c>
      <c r="B20" s="1" t="s">
        <v>173</v>
      </c>
      <c r="C20" s="1" t="s">
        <v>454</v>
      </c>
      <c r="D20" s="1" t="s">
        <v>174</v>
      </c>
      <c r="E20" s="1" t="s">
        <v>120</v>
      </c>
      <c r="F20" s="1" t="s">
        <v>161</v>
      </c>
      <c r="G20" s="1" t="s">
        <v>470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475</v>
      </c>
      <c r="B21" s="1" t="s">
        <v>177</v>
      </c>
      <c r="C21" s="1" t="s">
        <v>454</v>
      </c>
      <c r="D21" s="1" t="s">
        <v>178</v>
      </c>
      <c r="E21" s="1" t="s">
        <v>120</v>
      </c>
      <c r="F21" s="1" t="s">
        <v>179</v>
      </c>
      <c r="G21" s="1" t="s">
        <v>476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477</v>
      </c>
      <c r="B22" s="1" t="s">
        <v>182</v>
      </c>
      <c r="C22" s="1" t="s">
        <v>454</v>
      </c>
      <c r="D22" s="1" t="s">
        <v>183</v>
      </c>
      <c r="E22" s="1" t="s">
        <v>120</v>
      </c>
      <c r="F22" s="1" t="s">
        <v>179</v>
      </c>
      <c r="G22" s="1" t="s">
        <v>478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479</v>
      </c>
      <c r="B23" s="1" t="s">
        <v>186</v>
      </c>
      <c r="C23" s="1" t="s">
        <v>454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480</v>
      </c>
      <c r="B24" s="1" t="s">
        <v>191</v>
      </c>
      <c r="C24" s="1" t="s">
        <v>454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482</v>
      </c>
      <c r="B9" s="1" t="s">
        <v>117</v>
      </c>
      <c r="C9" s="1" t="s">
        <v>483</v>
      </c>
      <c r="D9" s="1" t="s">
        <v>119</v>
      </c>
      <c r="E9" s="1" t="s">
        <v>120</v>
      </c>
      <c r="F9" s="1" t="s">
        <v>121</v>
      </c>
      <c r="G9" s="1" t="s">
        <v>484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485</v>
      </c>
      <c r="B10" s="1" t="s">
        <v>124</v>
      </c>
      <c r="C10" s="1" t="s">
        <v>483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486</v>
      </c>
      <c r="B11" s="1" t="s">
        <v>128</v>
      </c>
      <c r="C11" s="1" t="s">
        <v>483</v>
      </c>
      <c r="D11" s="1" t="s">
        <v>129</v>
      </c>
      <c r="E11" s="1" t="s">
        <v>120</v>
      </c>
      <c r="F11" s="1" t="s">
        <v>130</v>
      </c>
      <c r="G11" s="1" t="s">
        <v>487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488</v>
      </c>
      <c r="B12" s="1" t="s">
        <v>133</v>
      </c>
      <c r="C12" s="1" t="s">
        <v>483</v>
      </c>
      <c r="D12" s="1" t="s">
        <v>134</v>
      </c>
      <c r="E12" s="1" t="s">
        <v>120</v>
      </c>
      <c r="F12" s="1" t="s">
        <v>135</v>
      </c>
      <c r="G12" s="1" t="s">
        <v>489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490</v>
      </c>
      <c r="B13" s="1" t="s">
        <v>138</v>
      </c>
      <c r="C13" s="1" t="s">
        <v>483</v>
      </c>
      <c r="D13" s="1" t="s">
        <v>139</v>
      </c>
      <c r="E13" s="1" t="s">
        <v>120</v>
      </c>
      <c r="F13" s="1" t="s">
        <v>140</v>
      </c>
      <c r="G13" s="1" t="s">
        <v>491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492</v>
      </c>
      <c r="B14" s="1" t="s">
        <v>143</v>
      </c>
      <c r="C14" s="1" t="s">
        <v>483</v>
      </c>
      <c r="D14" s="1" t="s">
        <v>144</v>
      </c>
      <c r="E14" s="1" t="s">
        <v>120</v>
      </c>
      <c r="F14" s="1" t="s">
        <v>145</v>
      </c>
      <c r="G14" s="1" t="s">
        <v>493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494</v>
      </c>
      <c r="B15" s="1" t="s">
        <v>148</v>
      </c>
      <c r="C15" s="1" t="s">
        <v>483</v>
      </c>
      <c r="D15" s="1" t="s">
        <v>149</v>
      </c>
      <c r="E15" s="1" t="s">
        <v>120</v>
      </c>
      <c r="F15" s="1" t="s">
        <v>150</v>
      </c>
      <c r="G15" s="1" t="s">
        <v>495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496</v>
      </c>
      <c r="B16" s="1" t="s">
        <v>153</v>
      </c>
      <c r="C16" s="1" t="s">
        <v>483</v>
      </c>
      <c r="D16" s="1" t="s">
        <v>154</v>
      </c>
      <c r="E16" s="1" t="s">
        <v>120</v>
      </c>
      <c r="F16" s="1" t="s">
        <v>155</v>
      </c>
      <c r="G16" s="1" t="s">
        <v>497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498</v>
      </c>
      <c r="B17" s="1" t="s">
        <v>159</v>
      </c>
      <c r="C17" s="1" t="s">
        <v>483</v>
      </c>
      <c r="D17" s="1" t="s">
        <v>160</v>
      </c>
      <c r="E17" s="1" t="s">
        <v>120</v>
      </c>
      <c r="F17" s="1" t="s">
        <v>161</v>
      </c>
      <c r="G17" s="1" t="s">
        <v>499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500</v>
      </c>
      <c r="B18" s="1" t="s">
        <v>165</v>
      </c>
      <c r="C18" s="1" t="s">
        <v>483</v>
      </c>
      <c r="D18" s="1" t="s">
        <v>166</v>
      </c>
      <c r="E18" s="1" t="s">
        <v>120</v>
      </c>
      <c r="F18" s="1" t="s">
        <v>161</v>
      </c>
      <c r="G18" s="1" t="s">
        <v>499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501</v>
      </c>
      <c r="B19" s="1" t="s">
        <v>168</v>
      </c>
      <c r="C19" s="1" t="s">
        <v>483</v>
      </c>
      <c r="D19" s="1" t="s">
        <v>169</v>
      </c>
      <c r="E19" s="1" t="s">
        <v>120</v>
      </c>
      <c r="F19" s="1" t="s">
        <v>161</v>
      </c>
      <c r="G19" s="1" t="s">
        <v>502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503</v>
      </c>
      <c r="B20" s="1" t="s">
        <v>173</v>
      </c>
      <c r="C20" s="1" t="s">
        <v>483</v>
      </c>
      <c r="D20" s="1" t="s">
        <v>174</v>
      </c>
      <c r="E20" s="1" t="s">
        <v>120</v>
      </c>
      <c r="F20" s="1" t="s">
        <v>161</v>
      </c>
      <c r="G20" s="1" t="s">
        <v>499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504</v>
      </c>
      <c r="B21" s="1" t="s">
        <v>177</v>
      </c>
      <c r="C21" s="1" t="s">
        <v>483</v>
      </c>
      <c r="D21" s="1" t="s">
        <v>178</v>
      </c>
      <c r="E21" s="1" t="s">
        <v>120</v>
      </c>
      <c r="F21" s="1" t="s">
        <v>179</v>
      </c>
      <c r="G21" s="1" t="s">
        <v>505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506</v>
      </c>
      <c r="B22" s="1" t="s">
        <v>182</v>
      </c>
      <c r="C22" s="1" t="s">
        <v>483</v>
      </c>
      <c r="D22" s="1" t="s">
        <v>183</v>
      </c>
      <c r="E22" s="1" t="s">
        <v>120</v>
      </c>
      <c r="F22" s="1" t="s">
        <v>179</v>
      </c>
      <c r="G22" s="1" t="s">
        <v>507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508</v>
      </c>
      <c r="B23" s="1" t="s">
        <v>186</v>
      </c>
      <c r="C23" s="1" t="s">
        <v>483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509</v>
      </c>
      <c r="B24" s="1" t="s">
        <v>191</v>
      </c>
      <c r="C24" s="1" t="s">
        <v>483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511</v>
      </c>
      <c r="B9" s="12" t="s">
        <v>117</v>
      </c>
      <c r="C9" s="12" t="s">
        <v>31</v>
      </c>
      <c r="D9" s="13" t="s">
        <v>512</v>
      </c>
      <c r="E9" s="12" t="s">
        <v>120</v>
      </c>
      <c r="F9" s="12" t="s">
        <v>121</v>
      </c>
      <c r="G9" s="13" t="s">
        <v>513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514</v>
      </c>
      <c r="B10" s="12" t="s">
        <v>124</v>
      </c>
      <c r="C10" s="12" t="s">
        <v>31</v>
      </c>
      <c r="D10" s="13" t="s">
        <v>515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516</v>
      </c>
      <c r="B11" s="12" t="s">
        <v>128</v>
      </c>
      <c r="C11" s="12" t="s">
        <v>31</v>
      </c>
      <c r="D11" s="13" t="s">
        <v>517</v>
      </c>
      <c r="E11" s="12" t="s">
        <v>120</v>
      </c>
      <c r="F11" s="12" t="s">
        <v>130</v>
      </c>
      <c r="G11" s="13" t="s">
        <v>518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519</v>
      </c>
      <c r="B12" s="12" t="s">
        <v>133</v>
      </c>
      <c r="C12" s="12" t="s">
        <v>31</v>
      </c>
      <c r="D12" s="13" t="s">
        <v>520</v>
      </c>
      <c r="E12" s="12" t="s">
        <v>120</v>
      </c>
      <c r="F12" s="12" t="s">
        <v>135</v>
      </c>
      <c r="G12" s="13" t="s">
        <v>521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522</v>
      </c>
      <c r="B13" s="12" t="s">
        <v>138</v>
      </c>
      <c r="C13" s="12" t="s">
        <v>31</v>
      </c>
      <c r="D13" s="13" t="s">
        <v>523</v>
      </c>
      <c r="E13" s="12" t="s">
        <v>120</v>
      </c>
      <c r="F13" s="12" t="s">
        <v>140</v>
      </c>
      <c r="G13" s="13" t="s">
        <v>524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525</v>
      </c>
      <c r="B14" s="12" t="s">
        <v>143</v>
      </c>
      <c r="C14" s="12" t="s">
        <v>31</v>
      </c>
      <c r="D14" s="13" t="s">
        <v>526</v>
      </c>
      <c r="E14" s="12" t="s">
        <v>120</v>
      </c>
      <c r="F14" s="12" t="s">
        <v>145</v>
      </c>
      <c r="G14" s="13" t="s">
        <v>527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528</v>
      </c>
      <c r="B15" s="12" t="s">
        <v>148</v>
      </c>
      <c r="C15" s="12" t="s">
        <v>31</v>
      </c>
      <c r="D15" s="13" t="s">
        <v>529</v>
      </c>
      <c r="E15" s="12" t="s">
        <v>120</v>
      </c>
      <c r="F15" s="12" t="s">
        <v>150</v>
      </c>
      <c r="G15" s="13" t="s">
        <v>530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531</v>
      </c>
      <c r="B16" s="12" t="s">
        <v>153</v>
      </c>
      <c r="C16" s="12" t="s">
        <v>31</v>
      </c>
      <c r="D16" s="13" t="s">
        <v>532</v>
      </c>
      <c r="E16" s="12" t="s">
        <v>120</v>
      </c>
      <c r="F16" s="12" t="s">
        <v>155</v>
      </c>
      <c r="G16" s="13" t="s">
        <v>533</v>
      </c>
      <c r="H16" s="12" t="s">
        <v>86</v>
      </c>
      <c r="I16" s="12" t="s">
        <v>98</v>
      </c>
      <c r="J16" s="14" t="n">
        <v>46227</v>
      </c>
      <c r="K16" s="13" t="s">
        <v>534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535</v>
      </c>
      <c r="B17" s="12" t="s">
        <v>159</v>
      </c>
      <c r="C17" s="12" t="s">
        <v>31</v>
      </c>
      <c r="D17" s="13" t="s">
        <v>536</v>
      </c>
      <c r="E17" s="12" t="s">
        <v>120</v>
      </c>
      <c r="F17" s="12" t="s">
        <v>161</v>
      </c>
      <c r="G17" s="13" t="s">
        <v>537</v>
      </c>
      <c r="H17" s="12" t="s">
        <v>82</v>
      </c>
      <c r="I17" s="12" t="s">
        <v>98</v>
      </c>
      <c r="J17" s="14"/>
      <c r="K17" s="13" t="s">
        <v>538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539</v>
      </c>
      <c r="B18" s="12" t="s">
        <v>165</v>
      </c>
      <c r="C18" s="12" t="s">
        <v>31</v>
      </c>
      <c r="D18" s="13" t="s">
        <v>540</v>
      </c>
      <c r="E18" s="12" t="s">
        <v>120</v>
      </c>
      <c r="F18" s="12" t="s">
        <v>161</v>
      </c>
      <c r="G18" s="13" t="s">
        <v>541</v>
      </c>
      <c r="H18" s="12" t="s">
        <v>82</v>
      </c>
      <c r="I18" s="12" t="s">
        <v>98</v>
      </c>
      <c r="J18" s="14"/>
      <c r="K18" s="13" t="s">
        <v>542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543</v>
      </c>
      <c r="B19" s="12" t="s">
        <v>168</v>
      </c>
      <c r="C19" s="12" t="s">
        <v>31</v>
      </c>
      <c r="D19" s="13" t="s">
        <v>544</v>
      </c>
      <c r="E19" s="12" t="s">
        <v>120</v>
      </c>
      <c r="F19" s="12" t="s">
        <v>161</v>
      </c>
      <c r="G19" s="13" t="s">
        <v>545</v>
      </c>
      <c r="H19" s="12" t="s">
        <v>82</v>
      </c>
      <c r="I19" s="12" t="s">
        <v>98</v>
      </c>
      <c r="J19" s="14"/>
      <c r="K19" s="13" t="s">
        <v>546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547</v>
      </c>
      <c r="B20" s="12" t="s">
        <v>173</v>
      </c>
      <c r="C20" s="12" t="s">
        <v>31</v>
      </c>
      <c r="D20" s="13" t="s">
        <v>548</v>
      </c>
      <c r="E20" s="12" t="s">
        <v>120</v>
      </c>
      <c r="F20" s="12" t="s">
        <v>161</v>
      </c>
      <c r="G20" s="13" t="s">
        <v>537</v>
      </c>
      <c r="H20" s="12" t="s">
        <v>82</v>
      </c>
      <c r="I20" s="12" t="s">
        <v>98</v>
      </c>
      <c r="J20" s="14"/>
      <c r="K20" s="13" t="s">
        <v>549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550</v>
      </c>
      <c r="B21" s="12" t="s">
        <v>177</v>
      </c>
      <c r="C21" s="12" t="s">
        <v>31</v>
      </c>
      <c r="D21" s="13" t="s">
        <v>551</v>
      </c>
      <c r="E21" s="12" t="s">
        <v>120</v>
      </c>
      <c r="F21" s="12" t="s">
        <v>179</v>
      </c>
      <c r="G21" s="13" t="s">
        <v>552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553</v>
      </c>
      <c r="B22" s="12" t="s">
        <v>182</v>
      </c>
      <c r="C22" s="12" t="s">
        <v>31</v>
      </c>
      <c r="D22" s="13" t="s">
        <v>554</v>
      </c>
      <c r="E22" s="12" t="s">
        <v>120</v>
      </c>
      <c r="F22" s="12" t="s">
        <v>179</v>
      </c>
      <c r="G22" s="13" t="s">
        <v>555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556</v>
      </c>
      <c r="B23" s="12" t="s">
        <v>186</v>
      </c>
      <c r="C23" s="12" t="s">
        <v>31</v>
      </c>
      <c r="D23" s="13" t="s">
        <v>557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558</v>
      </c>
      <c r="B24" s="12" t="s">
        <v>191</v>
      </c>
      <c r="C24" s="12" t="s">
        <v>31</v>
      </c>
      <c r="D24" s="13" t="s">
        <v>559</v>
      </c>
      <c r="E24" s="12" t="s">
        <v>120</v>
      </c>
      <c r="F24" s="12" t="s">
        <v>120</v>
      </c>
      <c r="G24" s="13" t="s">
        <v>560</v>
      </c>
      <c r="H24" s="12" t="s">
        <v>84</v>
      </c>
      <c r="I24" s="12" t="s">
        <v>99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563</v>
      </c>
      <c r="B9" s="12" t="s">
        <v>117</v>
      </c>
      <c r="C9" s="12" t="s">
        <v>32</v>
      </c>
      <c r="D9" s="13" t="s">
        <v>564</v>
      </c>
      <c r="E9" s="12" t="s">
        <v>120</v>
      </c>
      <c r="F9" s="12" t="s">
        <v>121</v>
      </c>
      <c r="G9" s="13" t="s">
        <v>565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566</v>
      </c>
      <c r="B10" s="12" t="s">
        <v>124</v>
      </c>
      <c r="C10" s="12" t="s">
        <v>32</v>
      </c>
      <c r="D10" s="13" t="s">
        <v>567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569</v>
      </c>
      <c r="B11" s="12" t="s">
        <v>128</v>
      </c>
      <c r="C11" s="12" t="s">
        <v>32</v>
      </c>
      <c r="D11" s="13" t="s">
        <v>570</v>
      </c>
      <c r="E11" s="12" t="s">
        <v>120</v>
      </c>
      <c r="F11" s="12" t="s">
        <v>130</v>
      </c>
      <c r="G11" s="13" t="s">
        <v>571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572</v>
      </c>
      <c r="B12" s="12" t="s">
        <v>133</v>
      </c>
      <c r="C12" s="12" t="s">
        <v>32</v>
      </c>
      <c r="D12" s="13" t="s">
        <v>573</v>
      </c>
      <c r="E12" s="12" t="s">
        <v>120</v>
      </c>
      <c r="F12" s="12" t="s">
        <v>135</v>
      </c>
      <c r="G12" s="13" t="s">
        <v>574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575</v>
      </c>
      <c r="B13" s="12" t="s">
        <v>138</v>
      </c>
      <c r="C13" s="12" t="s">
        <v>32</v>
      </c>
      <c r="D13" s="13" t="s">
        <v>576</v>
      </c>
      <c r="E13" s="12" t="s">
        <v>120</v>
      </c>
      <c r="F13" s="12" t="s">
        <v>140</v>
      </c>
      <c r="G13" s="13" t="s">
        <v>577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578</v>
      </c>
      <c r="B14" s="12" t="s">
        <v>143</v>
      </c>
      <c r="C14" s="12" t="s">
        <v>32</v>
      </c>
      <c r="D14" s="13" t="s">
        <v>579</v>
      </c>
      <c r="E14" s="12" t="s">
        <v>120</v>
      </c>
      <c r="F14" s="12" t="s">
        <v>145</v>
      </c>
      <c r="G14" s="13" t="s">
        <v>580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581</v>
      </c>
      <c r="B15" s="12" t="s">
        <v>148</v>
      </c>
      <c r="C15" s="12" t="s">
        <v>32</v>
      </c>
      <c r="D15" s="13" t="s">
        <v>582</v>
      </c>
      <c r="E15" s="12" t="s">
        <v>120</v>
      </c>
      <c r="F15" s="12" t="s">
        <v>150</v>
      </c>
      <c r="G15" s="13" t="s">
        <v>580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583</v>
      </c>
      <c r="B16" s="12" t="s">
        <v>153</v>
      </c>
      <c r="C16" s="12" t="s">
        <v>32</v>
      </c>
      <c r="D16" s="13" t="s">
        <v>584</v>
      </c>
      <c r="E16" s="12" t="s">
        <v>120</v>
      </c>
      <c r="F16" s="12" t="s">
        <v>155</v>
      </c>
      <c r="G16" s="13" t="s">
        <v>585</v>
      </c>
      <c r="H16" s="12" t="s">
        <v>86</v>
      </c>
      <c r="I16" s="12" t="s">
        <v>98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586</v>
      </c>
      <c r="B17" s="12" t="s">
        <v>159</v>
      </c>
      <c r="C17" s="12" t="s">
        <v>32</v>
      </c>
      <c r="D17" s="13" t="s">
        <v>587</v>
      </c>
      <c r="E17" s="12" t="s">
        <v>120</v>
      </c>
      <c r="F17" s="12" t="s">
        <v>161</v>
      </c>
      <c r="G17" s="13" t="s">
        <v>588</v>
      </c>
      <c r="H17" s="12" t="s">
        <v>82</v>
      </c>
      <c r="I17" s="12" t="s">
        <v>98</v>
      </c>
      <c r="J17" s="14"/>
      <c r="K17" s="13" t="s">
        <v>589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590</v>
      </c>
      <c r="B18" s="12" t="s">
        <v>165</v>
      </c>
      <c r="C18" s="12" t="s">
        <v>32</v>
      </c>
      <c r="D18" s="13" t="s">
        <v>591</v>
      </c>
      <c r="E18" s="12" t="s">
        <v>120</v>
      </c>
      <c r="F18" s="12" t="s">
        <v>161</v>
      </c>
      <c r="G18" s="13" t="s">
        <v>592</v>
      </c>
      <c r="H18" s="12" t="s">
        <v>82</v>
      </c>
      <c r="I18" s="12" t="s">
        <v>98</v>
      </c>
      <c r="J18" s="14"/>
      <c r="K18" s="13" t="s">
        <v>593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594</v>
      </c>
      <c r="B19" s="12" t="s">
        <v>168</v>
      </c>
      <c r="C19" s="12" t="s">
        <v>32</v>
      </c>
      <c r="D19" s="13" t="s">
        <v>595</v>
      </c>
      <c r="E19" s="12" t="s">
        <v>120</v>
      </c>
      <c r="F19" s="12" t="s">
        <v>145</v>
      </c>
      <c r="G19" s="13" t="s">
        <v>580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596</v>
      </c>
      <c r="B20" s="12" t="s">
        <v>173</v>
      </c>
      <c r="C20" s="12" t="s">
        <v>32</v>
      </c>
      <c r="D20" s="13" t="s">
        <v>597</v>
      </c>
      <c r="E20" s="12" t="s">
        <v>120</v>
      </c>
      <c r="F20" s="12" t="s">
        <v>161</v>
      </c>
      <c r="G20" s="13" t="s">
        <v>588</v>
      </c>
      <c r="H20" s="12" t="s">
        <v>82</v>
      </c>
      <c r="I20" s="12" t="s">
        <v>98</v>
      </c>
      <c r="J20" s="14"/>
      <c r="K20" s="13" t="s">
        <v>598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599</v>
      </c>
      <c r="B21" s="12" t="s">
        <v>177</v>
      </c>
      <c r="C21" s="12" t="s">
        <v>32</v>
      </c>
      <c r="D21" s="13" t="s">
        <v>600</v>
      </c>
      <c r="E21" s="12" t="s">
        <v>120</v>
      </c>
      <c r="F21" s="12" t="s">
        <v>179</v>
      </c>
      <c r="G21" s="13" t="s">
        <v>601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602</v>
      </c>
      <c r="B22" s="12" t="s">
        <v>182</v>
      </c>
      <c r="C22" s="12" t="s">
        <v>32</v>
      </c>
      <c r="D22" s="13" t="s">
        <v>603</v>
      </c>
      <c r="E22" s="12" t="s">
        <v>120</v>
      </c>
      <c r="F22" s="12" t="s">
        <v>179</v>
      </c>
      <c r="G22" s="13" t="s">
        <v>604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605</v>
      </c>
      <c r="B23" s="12" t="s">
        <v>186</v>
      </c>
      <c r="C23" s="12" t="s">
        <v>32</v>
      </c>
      <c r="D23" s="13" t="s">
        <v>606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607</v>
      </c>
      <c r="B24" s="12" t="s">
        <v>608</v>
      </c>
      <c r="C24" s="12" t="s">
        <v>32</v>
      </c>
      <c r="D24" s="13" t="s">
        <v>609</v>
      </c>
      <c r="E24" s="12" t="s">
        <v>120</v>
      </c>
      <c r="F24" s="12" t="s">
        <v>610</v>
      </c>
      <c r="G24" s="13" t="s">
        <v>611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612</v>
      </c>
      <c r="B25" s="12" t="s">
        <v>191</v>
      </c>
      <c r="C25" s="12" t="s">
        <v>32</v>
      </c>
      <c r="D25" s="13" t="s">
        <v>613</v>
      </c>
      <c r="E25" s="12" t="s">
        <v>120</v>
      </c>
      <c r="F25" s="12" t="s">
        <v>120</v>
      </c>
      <c r="G25" s="13" t="s">
        <v>614</v>
      </c>
      <c r="H25" s="12" t="s">
        <v>84</v>
      </c>
      <c r="I25" s="12" t="s">
        <v>99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616</v>
      </c>
      <c r="B9" s="12" t="s">
        <v>117</v>
      </c>
      <c r="C9" s="12" t="s">
        <v>39</v>
      </c>
      <c r="D9" s="13" t="s">
        <v>617</v>
      </c>
      <c r="E9" s="12" t="s">
        <v>120</v>
      </c>
      <c r="F9" s="12" t="s">
        <v>121</v>
      </c>
      <c r="G9" s="13" t="s">
        <v>618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619</v>
      </c>
      <c r="B10" s="12" t="s">
        <v>124</v>
      </c>
      <c r="C10" s="12" t="s">
        <v>39</v>
      </c>
      <c r="D10" s="13" t="s">
        <v>620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621</v>
      </c>
      <c r="B11" s="12" t="s">
        <v>128</v>
      </c>
      <c r="C11" s="12" t="s">
        <v>39</v>
      </c>
      <c r="D11" s="13" t="s">
        <v>622</v>
      </c>
      <c r="E11" s="12" t="s">
        <v>120</v>
      </c>
      <c r="F11" s="12" t="s">
        <v>130</v>
      </c>
      <c r="G11" s="13" t="s">
        <v>623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624</v>
      </c>
      <c r="B12" s="12" t="s">
        <v>133</v>
      </c>
      <c r="C12" s="12" t="s">
        <v>39</v>
      </c>
      <c r="D12" s="13" t="s">
        <v>625</v>
      </c>
      <c r="E12" s="12" t="s">
        <v>120</v>
      </c>
      <c r="F12" s="12" t="s">
        <v>135</v>
      </c>
      <c r="G12" s="13" t="s">
        <v>626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627</v>
      </c>
      <c r="B13" s="12" t="s">
        <v>138</v>
      </c>
      <c r="C13" s="12" t="s">
        <v>39</v>
      </c>
      <c r="D13" s="13" t="s">
        <v>628</v>
      </c>
      <c r="E13" s="12" t="s">
        <v>120</v>
      </c>
      <c r="F13" s="12" t="s">
        <v>140</v>
      </c>
      <c r="G13" s="13" t="s">
        <v>629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630</v>
      </c>
      <c r="B14" s="12" t="s">
        <v>143</v>
      </c>
      <c r="C14" s="12" t="s">
        <v>39</v>
      </c>
      <c r="D14" s="13" t="s">
        <v>631</v>
      </c>
      <c r="E14" s="12" t="s">
        <v>120</v>
      </c>
      <c r="F14" s="12" t="s">
        <v>145</v>
      </c>
      <c r="G14" s="13" t="s">
        <v>632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633</v>
      </c>
      <c r="B15" s="12" t="s">
        <v>148</v>
      </c>
      <c r="C15" s="12" t="s">
        <v>39</v>
      </c>
      <c r="D15" s="13" t="s">
        <v>634</v>
      </c>
      <c r="E15" s="12" t="s">
        <v>120</v>
      </c>
      <c r="F15" s="12" t="s">
        <v>150</v>
      </c>
      <c r="G15" s="13" t="s">
        <v>632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635</v>
      </c>
      <c r="B16" s="12" t="s">
        <v>153</v>
      </c>
      <c r="C16" s="12" t="s">
        <v>39</v>
      </c>
      <c r="D16" s="13" t="s">
        <v>636</v>
      </c>
      <c r="E16" s="12" t="s">
        <v>120</v>
      </c>
      <c r="F16" s="12" t="s">
        <v>155</v>
      </c>
      <c r="G16" s="13" t="s">
        <v>637</v>
      </c>
      <c r="H16" s="12" t="s">
        <v>86</v>
      </c>
      <c r="I16" s="12" t="s">
        <v>98</v>
      </c>
      <c r="J16" s="14" t="n">
        <v>46227</v>
      </c>
      <c r="K16" s="13" t="s">
        <v>638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639</v>
      </c>
      <c r="B17" s="12" t="s">
        <v>159</v>
      </c>
      <c r="C17" s="12" t="s">
        <v>39</v>
      </c>
      <c r="D17" s="13" t="s">
        <v>640</v>
      </c>
      <c r="E17" s="12" t="s">
        <v>120</v>
      </c>
      <c r="F17" s="12" t="s">
        <v>161</v>
      </c>
      <c r="G17" s="13" t="s">
        <v>641</v>
      </c>
      <c r="H17" s="12" t="s">
        <v>82</v>
      </c>
      <c r="I17" s="12" t="s">
        <v>98</v>
      </c>
      <c r="J17" s="14"/>
      <c r="K17" s="13" t="s">
        <v>642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643</v>
      </c>
      <c r="B18" s="12" t="s">
        <v>165</v>
      </c>
      <c r="C18" s="12" t="s">
        <v>39</v>
      </c>
      <c r="D18" s="13" t="s">
        <v>644</v>
      </c>
      <c r="E18" s="12" t="s">
        <v>120</v>
      </c>
      <c r="F18" s="12" t="s">
        <v>161</v>
      </c>
      <c r="G18" s="13" t="s">
        <v>645</v>
      </c>
      <c r="H18" s="12" t="s">
        <v>82</v>
      </c>
      <c r="I18" s="12" t="s">
        <v>98</v>
      </c>
      <c r="J18" s="14"/>
      <c r="K18" s="13" t="s">
        <v>646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647</v>
      </c>
      <c r="B19" s="12" t="s">
        <v>648</v>
      </c>
      <c r="C19" s="12" t="s">
        <v>39</v>
      </c>
      <c r="D19" s="13" t="s">
        <v>649</v>
      </c>
      <c r="E19" s="12" t="s">
        <v>120</v>
      </c>
      <c r="F19" s="12" t="s">
        <v>145</v>
      </c>
      <c r="G19" s="13" t="s">
        <v>632</v>
      </c>
      <c r="H19" s="12" t="s">
        <v>84</v>
      </c>
      <c r="I19" s="12" t="s">
        <v>99</v>
      </c>
      <c r="J19" s="14" t="n">
        <v>46227</v>
      </c>
      <c r="K19" s="13" t="s">
        <v>546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650</v>
      </c>
      <c r="B20" s="12" t="s">
        <v>173</v>
      </c>
      <c r="C20" s="12" t="s">
        <v>39</v>
      </c>
      <c r="D20" s="13" t="s">
        <v>651</v>
      </c>
      <c r="E20" s="12" t="s">
        <v>120</v>
      </c>
      <c r="F20" s="12" t="s">
        <v>161</v>
      </c>
      <c r="G20" s="13" t="s">
        <v>641</v>
      </c>
      <c r="H20" s="12" t="s">
        <v>82</v>
      </c>
      <c r="I20" s="12" t="s">
        <v>98</v>
      </c>
      <c r="J20" s="14"/>
      <c r="K20" s="13" t="s">
        <v>549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652</v>
      </c>
      <c r="B21" s="12" t="s">
        <v>177</v>
      </c>
      <c r="C21" s="12" t="s">
        <v>39</v>
      </c>
      <c r="D21" s="13" t="s">
        <v>551</v>
      </c>
      <c r="E21" s="12" t="s">
        <v>120</v>
      </c>
      <c r="F21" s="12" t="s">
        <v>179</v>
      </c>
      <c r="G21" s="13" t="s">
        <v>653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654</v>
      </c>
      <c r="B22" s="12" t="s">
        <v>182</v>
      </c>
      <c r="C22" s="12" t="s">
        <v>39</v>
      </c>
      <c r="D22" s="13" t="s">
        <v>655</v>
      </c>
      <c r="E22" s="12" t="s">
        <v>120</v>
      </c>
      <c r="F22" s="12" t="s">
        <v>179</v>
      </c>
      <c r="G22" s="13" t="s">
        <v>656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657</v>
      </c>
      <c r="B23" s="12" t="s">
        <v>186</v>
      </c>
      <c r="C23" s="12" t="s">
        <v>39</v>
      </c>
      <c r="D23" s="13" t="s">
        <v>658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659</v>
      </c>
      <c r="B24" s="12" t="s">
        <v>191</v>
      </c>
      <c r="C24" s="12" t="s">
        <v>39</v>
      </c>
      <c r="D24" s="13" t="s">
        <v>559</v>
      </c>
      <c r="E24" s="12" t="s">
        <v>120</v>
      </c>
      <c r="F24" s="12" t="s">
        <v>120</v>
      </c>
      <c r="G24" s="13" t="s">
        <v>560</v>
      </c>
      <c r="H24" s="12" t="s">
        <v>82</v>
      </c>
      <c r="I24" s="12" t="s">
        <v>98</v>
      </c>
      <c r="J24" s="14" t="n">
        <v>46227</v>
      </c>
      <c r="K24" s="13" t="s">
        <v>660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662</v>
      </c>
      <c r="B9" s="1" t="s">
        <v>117</v>
      </c>
      <c r="C9" s="1" t="s">
        <v>663</v>
      </c>
      <c r="D9" s="1" t="s">
        <v>119</v>
      </c>
      <c r="E9" s="1" t="s">
        <v>120</v>
      </c>
      <c r="F9" s="1" t="s">
        <v>121</v>
      </c>
      <c r="G9" s="1" t="s">
        <v>253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664</v>
      </c>
      <c r="B10" s="1" t="s">
        <v>124</v>
      </c>
      <c r="C10" s="1" t="s">
        <v>663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665</v>
      </c>
      <c r="B11" s="1" t="s">
        <v>128</v>
      </c>
      <c r="C11" s="1" t="s">
        <v>663</v>
      </c>
      <c r="D11" s="1" t="s">
        <v>129</v>
      </c>
      <c r="E11" s="1" t="s">
        <v>120</v>
      </c>
      <c r="F11" s="1" t="s">
        <v>130</v>
      </c>
      <c r="G11" s="1" t="s">
        <v>666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667</v>
      </c>
      <c r="B12" s="1" t="s">
        <v>133</v>
      </c>
      <c r="C12" s="1" t="s">
        <v>663</v>
      </c>
      <c r="D12" s="1" t="s">
        <v>134</v>
      </c>
      <c r="E12" s="1" t="s">
        <v>120</v>
      </c>
      <c r="F12" s="1" t="s">
        <v>135</v>
      </c>
      <c r="G12" s="1" t="s">
        <v>258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668</v>
      </c>
      <c r="B13" s="1" t="s">
        <v>138</v>
      </c>
      <c r="C13" s="1" t="s">
        <v>663</v>
      </c>
      <c r="D13" s="1" t="s">
        <v>139</v>
      </c>
      <c r="E13" s="1" t="s">
        <v>120</v>
      </c>
      <c r="F13" s="1" t="s">
        <v>140</v>
      </c>
      <c r="G13" s="1" t="s">
        <v>669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670</v>
      </c>
      <c r="B14" s="1" t="s">
        <v>143</v>
      </c>
      <c r="C14" s="1" t="s">
        <v>663</v>
      </c>
      <c r="D14" s="1" t="s">
        <v>144</v>
      </c>
      <c r="E14" s="1" t="s">
        <v>120</v>
      </c>
      <c r="F14" s="1" t="s">
        <v>145</v>
      </c>
      <c r="G14" s="1" t="s">
        <v>671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672</v>
      </c>
      <c r="B15" s="1" t="s">
        <v>148</v>
      </c>
      <c r="C15" s="1" t="s">
        <v>663</v>
      </c>
      <c r="D15" s="1" t="s">
        <v>149</v>
      </c>
      <c r="E15" s="1" t="s">
        <v>120</v>
      </c>
      <c r="F15" s="1" t="s">
        <v>150</v>
      </c>
      <c r="G15" s="1" t="s">
        <v>673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674</v>
      </c>
      <c r="B16" s="1" t="s">
        <v>153</v>
      </c>
      <c r="C16" s="1" t="s">
        <v>663</v>
      </c>
      <c r="D16" s="1" t="s">
        <v>154</v>
      </c>
      <c r="E16" s="1" t="s">
        <v>120</v>
      </c>
      <c r="F16" s="1" t="s">
        <v>155</v>
      </c>
      <c r="G16" s="1" t="s">
        <v>675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676</v>
      </c>
      <c r="B17" s="1" t="s">
        <v>159</v>
      </c>
      <c r="C17" s="1" t="s">
        <v>663</v>
      </c>
      <c r="D17" s="1" t="s">
        <v>160</v>
      </c>
      <c r="E17" s="1" t="s">
        <v>120</v>
      </c>
      <c r="F17" s="1" t="s">
        <v>161</v>
      </c>
      <c r="G17" s="1" t="s">
        <v>677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678</v>
      </c>
      <c r="B18" s="1" t="s">
        <v>165</v>
      </c>
      <c r="C18" s="1" t="s">
        <v>663</v>
      </c>
      <c r="D18" s="1" t="s">
        <v>166</v>
      </c>
      <c r="E18" s="1" t="s">
        <v>120</v>
      </c>
      <c r="F18" s="1" t="s">
        <v>161</v>
      </c>
      <c r="G18" s="1" t="s">
        <v>677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679</v>
      </c>
      <c r="B19" s="1" t="s">
        <v>168</v>
      </c>
      <c r="C19" s="1" t="s">
        <v>663</v>
      </c>
      <c r="D19" s="1" t="s">
        <v>169</v>
      </c>
      <c r="E19" s="1" t="s">
        <v>120</v>
      </c>
      <c r="F19" s="1" t="s">
        <v>161</v>
      </c>
      <c r="G19" s="1" t="s">
        <v>680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681</v>
      </c>
      <c r="B20" s="1" t="s">
        <v>173</v>
      </c>
      <c r="C20" s="1" t="s">
        <v>663</v>
      </c>
      <c r="D20" s="1" t="s">
        <v>174</v>
      </c>
      <c r="E20" s="1" t="s">
        <v>120</v>
      </c>
      <c r="F20" s="1" t="s">
        <v>161</v>
      </c>
      <c r="G20" s="1" t="s">
        <v>677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682</v>
      </c>
      <c r="B21" s="1" t="s">
        <v>177</v>
      </c>
      <c r="C21" s="1" t="s">
        <v>663</v>
      </c>
      <c r="D21" s="1" t="s">
        <v>178</v>
      </c>
      <c r="E21" s="1" t="s">
        <v>120</v>
      </c>
      <c r="F21" s="1" t="s">
        <v>179</v>
      </c>
      <c r="G21" s="1" t="s">
        <v>683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684</v>
      </c>
      <c r="B22" s="1" t="s">
        <v>182</v>
      </c>
      <c r="C22" s="1" t="s">
        <v>663</v>
      </c>
      <c r="D22" s="1" t="s">
        <v>183</v>
      </c>
      <c r="E22" s="1" t="s">
        <v>120</v>
      </c>
      <c r="F22" s="1" t="s">
        <v>179</v>
      </c>
      <c r="G22" s="1" t="s">
        <v>685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686</v>
      </c>
      <c r="B23" s="1" t="s">
        <v>186</v>
      </c>
      <c r="C23" s="1" t="s">
        <v>663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687</v>
      </c>
      <c r="B24" s="1" t="s">
        <v>191</v>
      </c>
      <c r="C24" s="1" t="s">
        <v>663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689</v>
      </c>
      <c r="B9" s="1" t="s">
        <v>117</v>
      </c>
      <c r="C9" s="1" t="s">
        <v>34</v>
      </c>
      <c r="D9" s="1" t="s">
        <v>119</v>
      </c>
      <c r="E9" s="1" t="s">
        <v>120</v>
      </c>
      <c r="F9" s="1" t="s">
        <v>121</v>
      </c>
      <c r="G9" s="1" t="s">
        <v>690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691</v>
      </c>
      <c r="B10" s="1" t="s">
        <v>124</v>
      </c>
      <c r="C10" s="1" t="s">
        <v>34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692</v>
      </c>
      <c r="B11" s="1" t="s">
        <v>128</v>
      </c>
      <c r="C11" s="1" t="s">
        <v>34</v>
      </c>
      <c r="D11" s="1" t="s">
        <v>129</v>
      </c>
      <c r="E11" s="1" t="s">
        <v>120</v>
      </c>
      <c r="F11" s="1" t="s">
        <v>130</v>
      </c>
      <c r="G11" s="1" t="s">
        <v>693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694</v>
      </c>
      <c r="B12" s="1" t="s">
        <v>133</v>
      </c>
      <c r="C12" s="1" t="s">
        <v>34</v>
      </c>
      <c r="D12" s="1" t="s">
        <v>134</v>
      </c>
      <c r="E12" s="1" t="s">
        <v>120</v>
      </c>
      <c r="F12" s="1" t="s">
        <v>135</v>
      </c>
      <c r="G12" s="1" t="s">
        <v>695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696</v>
      </c>
      <c r="B13" s="1" t="s">
        <v>138</v>
      </c>
      <c r="C13" s="1" t="s">
        <v>34</v>
      </c>
      <c r="D13" s="1" t="s">
        <v>139</v>
      </c>
      <c r="E13" s="1" t="s">
        <v>120</v>
      </c>
      <c r="F13" s="1" t="s">
        <v>140</v>
      </c>
      <c r="G13" s="1" t="s">
        <v>697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698</v>
      </c>
      <c r="B14" s="1" t="s">
        <v>143</v>
      </c>
      <c r="C14" s="1" t="s">
        <v>34</v>
      </c>
      <c r="D14" s="1" t="s">
        <v>144</v>
      </c>
      <c r="E14" s="1" t="s">
        <v>120</v>
      </c>
      <c r="F14" s="1" t="s">
        <v>145</v>
      </c>
      <c r="G14" s="1" t="s">
        <v>699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700</v>
      </c>
      <c r="B15" s="1" t="s">
        <v>148</v>
      </c>
      <c r="C15" s="1" t="s">
        <v>34</v>
      </c>
      <c r="D15" s="1" t="s">
        <v>149</v>
      </c>
      <c r="E15" s="1" t="s">
        <v>120</v>
      </c>
      <c r="F15" s="1" t="s">
        <v>150</v>
      </c>
      <c r="G15" s="1" t="s">
        <v>701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702</v>
      </c>
      <c r="B16" s="1" t="s">
        <v>153</v>
      </c>
      <c r="C16" s="1" t="s">
        <v>34</v>
      </c>
      <c r="D16" s="1" t="s">
        <v>154</v>
      </c>
      <c r="E16" s="1" t="s">
        <v>120</v>
      </c>
      <c r="F16" s="1" t="s">
        <v>155</v>
      </c>
      <c r="G16" s="1" t="s">
        <v>703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704</v>
      </c>
      <c r="B17" s="1" t="s">
        <v>159</v>
      </c>
      <c r="C17" s="1" t="s">
        <v>34</v>
      </c>
      <c r="D17" s="1" t="s">
        <v>160</v>
      </c>
      <c r="E17" s="1" t="s">
        <v>120</v>
      </c>
      <c r="F17" s="1" t="s">
        <v>161</v>
      </c>
      <c r="G17" s="1" t="s">
        <v>705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706</v>
      </c>
      <c r="B18" s="1" t="s">
        <v>165</v>
      </c>
      <c r="C18" s="1" t="s">
        <v>34</v>
      </c>
      <c r="D18" s="1" t="s">
        <v>166</v>
      </c>
      <c r="E18" s="1" t="s">
        <v>120</v>
      </c>
      <c r="F18" s="1" t="s">
        <v>161</v>
      </c>
      <c r="G18" s="1" t="s">
        <v>705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707</v>
      </c>
      <c r="B19" s="1" t="s">
        <v>168</v>
      </c>
      <c r="C19" s="1" t="s">
        <v>34</v>
      </c>
      <c r="D19" s="1" t="s">
        <v>169</v>
      </c>
      <c r="E19" s="1" t="s">
        <v>120</v>
      </c>
      <c r="F19" s="1" t="s">
        <v>161</v>
      </c>
      <c r="G19" s="1" t="s">
        <v>708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709</v>
      </c>
      <c r="B20" s="1" t="s">
        <v>173</v>
      </c>
      <c r="C20" s="1" t="s">
        <v>34</v>
      </c>
      <c r="D20" s="1" t="s">
        <v>174</v>
      </c>
      <c r="E20" s="1" t="s">
        <v>120</v>
      </c>
      <c r="F20" s="1" t="s">
        <v>161</v>
      </c>
      <c r="G20" s="1" t="s">
        <v>705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710</v>
      </c>
      <c r="B21" s="1" t="s">
        <v>177</v>
      </c>
      <c r="C21" s="1" t="s">
        <v>34</v>
      </c>
      <c r="D21" s="1" t="s">
        <v>178</v>
      </c>
      <c r="E21" s="1" t="s">
        <v>120</v>
      </c>
      <c r="F21" s="1" t="s">
        <v>179</v>
      </c>
      <c r="G21" s="1" t="s">
        <v>711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712</v>
      </c>
      <c r="B22" s="1" t="s">
        <v>182</v>
      </c>
      <c r="C22" s="1" t="s">
        <v>34</v>
      </c>
      <c r="D22" s="1" t="s">
        <v>183</v>
      </c>
      <c r="E22" s="1" t="s">
        <v>120</v>
      </c>
      <c r="F22" s="1" t="s">
        <v>179</v>
      </c>
      <c r="G22" s="1" t="s">
        <v>713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714</v>
      </c>
      <c r="B23" s="1" t="s">
        <v>186</v>
      </c>
      <c r="C23" s="1" t="s">
        <v>34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715</v>
      </c>
      <c r="B24" s="1" t="s">
        <v>191</v>
      </c>
      <c r="C24" s="1" t="s">
        <v>34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616</v>
      </c>
      <c r="B9" s="1" t="s">
        <v>117</v>
      </c>
      <c r="C9" s="1" t="s">
        <v>35</v>
      </c>
      <c r="D9" s="1" t="s">
        <v>119</v>
      </c>
      <c r="E9" s="1" t="s">
        <v>120</v>
      </c>
      <c r="F9" s="1" t="s">
        <v>121</v>
      </c>
      <c r="G9" s="1" t="s">
        <v>717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619</v>
      </c>
      <c r="B10" s="1" t="s">
        <v>124</v>
      </c>
      <c r="C10" s="1" t="s">
        <v>35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621</v>
      </c>
      <c r="B11" s="1" t="s">
        <v>128</v>
      </c>
      <c r="C11" s="1" t="s">
        <v>35</v>
      </c>
      <c r="D11" s="1" t="s">
        <v>129</v>
      </c>
      <c r="E11" s="1" t="s">
        <v>120</v>
      </c>
      <c r="F11" s="1" t="s">
        <v>130</v>
      </c>
      <c r="G11" s="1" t="s">
        <v>718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624</v>
      </c>
      <c r="B12" s="1" t="s">
        <v>133</v>
      </c>
      <c r="C12" s="1" t="s">
        <v>35</v>
      </c>
      <c r="D12" s="1" t="s">
        <v>134</v>
      </c>
      <c r="E12" s="1" t="s">
        <v>120</v>
      </c>
      <c r="F12" s="1" t="s">
        <v>135</v>
      </c>
      <c r="G12" s="1" t="s">
        <v>719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627</v>
      </c>
      <c r="B13" s="1" t="s">
        <v>138</v>
      </c>
      <c r="C13" s="1" t="s">
        <v>35</v>
      </c>
      <c r="D13" s="1" t="s">
        <v>139</v>
      </c>
      <c r="E13" s="1" t="s">
        <v>120</v>
      </c>
      <c r="F13" s="1" t="s">
        <v>140</v>
      </c>
      <c r="G13" s="1" t="s">
        <v>720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630</v>
      </c>
      <c r="B14" s="1" t="s">
        <v>143</v>
      </c>
      <c r="C14" s="1" t="s">
        <v>35</v>
      </c>
      <c r="D14" s="1" t="s">
        <v>144</v>
      </c>
      <c r="E14" s="1" t="s">
        <v>120</v>
      </c>
      <c r="F14" s="1" t="s">
        <v>145</v>
      </c>
      <c r="G14" s="1" t="s">
        <v>721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633</v>
      </c>
      <c r="B15" s="1" t="s">
        <v>148</v>
      </c>
      <c r="C15" s="1" t="s">
        <v>35</v>
      </c>
      <c r="D15" s="1" t="s">
        <v>149</v>
      </c>
      <c r="E15" s="1" t="s">
        <v>120</v>
      </c>
      <c r="F15" s="1" t="s">
        <v>150</v>
      </c>
      <c r="G15" s="1" t="s">
        <v>722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635</v>
      </c>
      <c r="B16" s="1" t="s">
        <v>153</v>
      </c>
      <c r="C16" s="1" t="s">
        <v>35</v>
      </c>
      <c r="D16" s="1" t="s">
        <v>154</v>
      </c>
      <c r="E16" s="1" t="s">
        <v>120</v>
      </c>
      <c r="F16" s="1" t="s">
        <v>155</v>
      </c>
      <c r="G16" s="1" t="s">
        <v>723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639</v>
      </c>
      <c r="B17" s="1" t="s">
        <v>159</v>
      </c>
      <c r="C17" s="1" t="s">
        <v>35</v>
      </c>
      <c r="D17" s="1" t="s">
        <v>160</v>
      </c>
      <c r="E17" s="1" t="s">
        <v>120</v>
      </c>
      <c r="F17" s="1" t="s">
        <v>161</v>
      </c>
      <c r="G17" s="1" t="s">
        <v>724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643</v>
      </c>
      <c r="B18" s="1" t="s">
        <v>165</v>
      </c>
      <c r="C18" s="1" t="s">
        <v>35</v>
      </c>
      <c r="D18" s="1" t="s">
        <v>166</v>
      </c>
      <c r="E18" s="1" t="s">
        <v>120</v>
      </c>
      <c r="F18" s="1" t="s">
        <v>161</v>
      </c>
      <c r="G18" s="1" t="s">
        <v>724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647</v>
      </c>
      <c r="B19" s="1" t="s">
        <v>168</v>
      </c>
      <c r="C19" s="1" t="s">
        <v>35</v>
      </c>
      <c r="D19" s="1" t="s">
        <v>169</v>
      </c>
      <c r="E19" s="1" t="s">
        <v>120</v>
      </c>
      <c r="F19" s="1" t="s">
        <v>161</v>
      </c>
      <c r="G19" s="1" t="s">
        <v>725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650</v>
      </c>
      <c r="B20" s="1" t="s">
        <v>173</v>
      </c>
      <c r="C20" s="1" t="s">
        <v>35</v>
      </c>
      <c r="D20" s="1" t="s">
        <v>174</v>
      </c>
      <c r="E20" s="1" t="s">
        <v>120</v>
      </c>
      <c r="F20" s="1" t="s">
        <v>161</v>
      </c>
      <c r="G20" s="1" t="s">
        <v>724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652</v>
      </c>
      <c r="B21" s="1" t="s">
        <v>177</v>
      </c>
      <c r="C21" s="1" t="s">
        <v>35</v>
      </c>
      <c r="D21" s="1" t="s">
        <v>178</v>
      </c>
      <c r="E21" s="1" t="s">
        <v>120</v>
      </c>
      <c r="F21" s="1" t="s">
        <v>179</v>
      </c>
      <c r="G21" s="1" t="s">
        <v>726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654</v>
      </c>
      <c r="B22" s="1" t="s">
        <v>182</v>
      </c>
      <c r="C22" s="1" t="s">
        <v>35</v>
      </c>
      <c r="D22" s="1" t="s">
        <v>183</v>
      </c>
      <c r="E22" s="1" t="s">
        <v>120</v>
      </c>
      <c r="F22" s="1" t="s">
        <v>179</v>
      </c>
      <c r="G22" s="1" t="s">
        <v>727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657</v>
      </c>
      <c r="B23" s="1" t="s">
        <v>186</v>
      </c>
      <c r="C23" s="1" t="s">
        <v>35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659</v>
      </c>
      <c r="B24" s="1" t="s">
        <v>191</v>
      </c>
      <c r="C24" s="1" t="s">
        <v>35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729</v>
      </c>
      <c r="B9" s="1" t="s">
        <v>117</v>
      </c>
      <c r="C9" s="1" t="s">
        <v>730</v>
      </c>
      <c r="D9" s="1" t="s">
        <v>119</v>
      </c>
      <c r="E9" s="1" t="s">
        <v>120</v>
      </c>
      <c r="F9" s="1" t="s">
        <v>121</v>
      </c>
      <c r="G9" s="1" t="s">
        <v>731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732</v>
      </c>
      <c r="B10" s="1" t="s">
        <v>124</v>
      </c>
      <c r="C10" s="1" t="s">
        <v>730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733</v>
      </c>
      <c r="B11" s="1" t="s">
        <v>128</v>
      </c>
      <c r="C11" s="1" t="s">
        <v>730</v>
      </c>
      <c r="D11" s="1" t="s">
        <v>129</v>
      </c>
      <c r="E11" s="1" t="s">
        <v>120</v>
      </c>
      <c r="F11" s="1" t="s">
        <v>130</v>
      </c>
      <c r="G11" s="1" t="s">
        <v>734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735</v>
      </c>
      <c r="B12" s="1" t="s">
        <v>133</v>
      </c>
      <c r="C12" s="1" t="s">
        <v>730</v>
      </c>
      <c r="D12" s="1" t="s">
        <v>134</v>
      </c>
      <c r="E12" s="1" t="s">
        <v>120</v>
      </c>
      <c r="F12" s="1" t="s">
        <v>135</v>
      </c>
      <c r="G12" s="1" t="s">
        <v>736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737</v>
      </c>
      <c r="B13" s="1" t="s">
        <v>138</v>
      </c>
      <c r="C13" s="1" t="s">
        <v>730</v>
      </c>
      <c r="D13" s="1" t="s">
        <v>139</v>
      </c>
      <c r="E13" s="1" t="s">
        <v>120</v>
      </c>
      <c r="F13" s="1" t="s">
        <v>140</v>
      </c>
      <c r="G13" s="1" t="s">
        <v>738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739</v>
      </c>
      <c r="B14" s="1" t="s">
        <v>143</v>
      </c>
      <c r="C14" s="1" t="s">
        <v>730</v>
      </c>
      <c r="D14" s="1" t="s">
        <v>144</v>
      </c>
      <c r="E14" s="1" t="s">
        <v>120</v>
      </c>
      <c r="F14" s="1" t="s">
        <v>145</v>
      </c>
      <c r="G14" s="1" t="s">
        <v>740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741</v>
      </c>
      <c r="B15" s="1" t="s">
        <v>148</v>
      </c>
      <c r="C15" s="1" t="s">
        <v>730</v>
      </c>
      <c r="D15" s="1" t="s">
        <v>149</v>
      </c>
      <c r="E15" s="1" t="s">
        <v>120</v>
      </c>
      <c r="F15" s="1" t="s">
        <v>150</v>
      </c>
      <c r="G15" s="1" t="s">
        <v>742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743</v>
      </c>
      <c r="B16" s="1" t="s">
        <v>153</v>
      </c>
      <c r="C16" s="1" t="s">
        <v>730</v>
      </c>
      <c r="D16" s="1" t="s">
        <v>154</v>
      </c>
      <c r="E16" s="1" t="s">
        <v>120</v>
      </c>
      <c r="F16" s="1" t="s">
        <v>155</v>
      </c>
      <c r="G16" s="1" t="s">
        <v>744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745</v>
      </c>
      <c r="B17" s="1" t="s">
        <v>159</v>
      </c>
      <c r="C17" s="1" t="s">
        <v>730</v>
      </c>
      <c r="D17" s="1" t="s">
        <v>160</v>
      </c>
      <c r="E17" s="1" t="s">
        <v>120</v>
      </c>
      <c r="F17" s="1" t="s">
        <v>161</v>
      </c>
      <c r="G17" s="1" t="s">
        <v>746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747</v>
      </c>
      <c r="B18" s="1" t="s">
        <v>165</v>
      </c>
      <c r="C18" s="1" t="s">
        <v>730</v>
      </c>
      <c r="D18" s="1" t="s">
        <v>166</v>
      </c>
      <c r="E18" s="1" t="s">
        <v>120</v>
      </c>
      <c r="F18" s="1" t="s">
        <v>161</v>
      </c>
      <c r="G18" s="1" t="s">
        <v>746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748</v>
      </c>
      <c r="B19" s="1" t="s">
        <v>168</v>
      </c>
      <c r="C19" s="1" t="s">
        <v>730</v>
      </c>
      <c r="D19" s="1" t="s">
        <v>169</v>
      </c>
      <c r="E19" s="1" t="s">
        <v>120</v>
      </c>
      <c r="F19" s="1" t="s">
        <v>161</v>
      </c>
      <c r="G19" s="1" t="s">
        <v>749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750</v>
      </c>
      <c r="B20" s="1" t="s">
        <v>173</v>
      </c>
      <c r="C20" s="1" t="s">
        <v>730</v>
      </c>
      <c r="D20" s="1" t="s">
        <v>174</v>
      </c>
      <c r="E20" s="1" t="s">
        <v>120</v>
      </c>
      <c r="F20" s="1" t="s">
        <v>161</v>
      </c>
      <c r="G20" s="1" t="s">
        <v>746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751</v>
      </c>
      <c r="B21" s="1" t="s">
        <v>177</v>
      </c>
      <c r="C21" s="1" t="s">
        <v>730</v>
      </c>
      <c r="D21" s="1" t="s">
        <v>178</v>
      </c>
      <c r="E21" s="1" t="s">
        <v>120</v>
      </c>
      <c r="F21" s="1" t="s">
        <v>179</v>
      </c>
      <c r="G21" s="1" t="s">
        <v>752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753</v>
      </c>
      <c r="B22" s="1" t="s">
        <v>182</v>
      </c>
      <c r="C22" s="1" t="s">
        <v>730</v>
      </c>
      <c r="D22" s="1" t="s">
        <v>183</v>
      </c>
      <c r="E22" s="1" t="s">
        <v>120</v>
      </c>
      <c r="F22" s="1" t="s">
        <v>179</v>
      </c>
      <c r="G22" s="1" t="s">
        <v>754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755</v>
      </c>
      <c r="B23" s="1" t="s">
        <v>186</v>
      </c>
      <c r="C23" s="1" t="s">
        <v>730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756</v>
      </c>
      <c r="B24" s="1" t="s">
        <v>191</v>
      </c>
      <c r="C24" s="1" t="s">
        <v>730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COUNTA(A9:A24)</f>
        <v>16</v>
      </c>
      <c r="D4" s="5" t="s">
        <v>102</v>
      </c>
      <c r="E4" s="6" t="n">
        <f aca="false">SUM(M9:M24)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IF(COUNTIFS(I9:I24,"yes",M9:M24,0)&gt;0,"open","complete")</f>
        <v>open</v>
      </c>
      <c r="D5" s="5" t="s">
        <v>15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38</v>
      </c>
      <c r="D9" s="13" t="s">
        <v>759</v>
      </c>
      <c r="E9" s="12" t="s">
        <v>120</v>
      </c>
      <c r="F9" s="12" t="s">
        <v>121</v>
      </c>
      <c r="G9" s="13" t="s">
        <v>760</v>
      </c>
      <c r="H9" s="12" t="s">
        <v>84</v>
      </c>
      <c r="I9" s="12" t="s">
        <v>99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124</v>
      </c>
      <c r="C10" s="12" t="s">
        <v>762</v>
      </c>
      <c r="D10" s="13" t="s">
        <v>763</v>
      </c>
      <c r="E10" s="12" t="s">
        <v>120</v>
      </c>
      <c r="F10" s="12" t="s">
        <v>120</v>
      </c>
      <c r="G10" s="13" t="s">
        <v>126</v>
      </c>
      <c r="H10" s="12" t="s">
        <v>84</v>
      </c>
      <c r="I10" s="12" t="s">
        <v>99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128</v>
      </c>
      <c r="C11" s="12" t="s">
        <v>762</v>
      </c>
      <c r="D11" s="13" t="s">
        <v>765</v>
      </c>
      <c r="E11" s="12" t="s">
        <v>120</v>
      </c>
      <c r="F11" s="12" t="s">
        <v>130</v>
      </c>
      <c r="G11" s="13" t="s">
        <v>766</v>
      </c>
      <c r="H11" s="12" t="s">
        <v>84</v>
      </c>
      <c r="I11" s="12" t="s">
        <v>99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133</v>
      </c>
      <c r="C12" s="12" t="s">
        <v>768</v>
      </c>
      <c r="D12" s="13" t="s">
        <v>769</v>
      </c>
      <c r="E12" s="12" t="s">
        <v>120</v>
      </c>
      <c r="F12" s="12" t="s">
        <v>135</v>
      </c>
      <c r="G12" s="13" t="s">
        <v>770</v>
      </c>
      <c r="H12" s="12" t="s">
        <v>84</v>
      </c>
      <c r="I12" s="12" t="s">
        <v>99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138</v>
      </c>
      <c r="C13" s="12" t="s">
        <v>762</v>
      </c>
      <c r="D13" s="13" t="s">
        <v>772</v>
      </c>
      <c r="E13" s="12" t="s">
        <v>120</v>
      </c>
      <c r="F13" s="12" t="s">
        <v>140</v>
      </c>
      <c r="G13" s="13" t="s">
        <v>773</v>
      </c>
      <c r="H13" s="12" t="s">
        <v>84</v>
      </c>
      <c r="I13" s="12" t="s">
        <v>99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143</v>
      </c>
      <c r="C14" s="12" t="s">
        <v>762</v>
      </c>
      <c r="D14" s="13" t="s">
        <v>775</v>
      </c>
      <c r="E14" s="12" t="s">
        <v>120</v>
      </c>
      <c r="F14" s="12" t="s">
        <v>145</v>
      </c>
      <c r="G14" s="13" t="s">
        <v>776</v>
      </c>
      <c r="H14" s="12" t="s">
        <v>84</v>
      </c>
      <c r="I14" s="12" t="s">
        <v>99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148</v>
      </c>
      <c r="C15" s="12" t="s">
        <v>768</v>
      </c>
      <c r="D15" s="13" t="s">
        <v>778</v>
      </c>
      <c r="E15" s="12" t="s">
        <v>120</v>
      </c>
      <c r="F15" s="12" t="s">
        <v>150</v>
      </c>
      <c r="G15" s="13" t="s">
        <v>776</v>
      </c>
      <c r="H15" s="12" t="s">
        <v>84</v>
      </c>
      <c r="I15" s="12" t="s">
        <v>99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153</v>
      </c>
      <c r="C16" s="12" t="s">
        <v>762</v>
      </c>
      <c r="D16" s="13" t="s">
        <v>780</v>
      </c>
      <c r="E16" s="12" t="s">
        <v>120</v>
      </c>
      <c r="F16" s="12" t="s">
        <v>155</v>
      </c>
      <c r="G16" s="13" t="s">
        <v>781</v>
      </c>
      <c r="H16" s="12" t="s">
        <v>86</v>
      </c>
      <c r="I16" s="12" t="s">
        <v>98</v>
      </c>
      <c r="J16" s="14" t="n">
        <v>46227</v>
      </c>
      <c r="K16" s="13" t="s">
        <v>782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159</v>
      </c>
      <c r="C17" s="12" t="s">
        <v>762</v>
      </c>
      <c r="D17" s="13" t="s">
        <v>784</v>
      </c>
      <c r="E17" s="12" t="s">
        <v>120</v>
      </c>
      <c r="F17" s="12" t="s">
        <v>161</v>
      </c>
      <c r="G17" s="13" t="s">
        <v>785</v>
      </c>
      <c r="H17" s="12" t="s">
        <v>82</v>
      </c>
      <c r="I17" s="12" t="s">
        <v>98</v>
      </c>
      <c r="J17" s="14"/>
      <c r="K17" s="13" t="s">
        <v>786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787</v>
      </c>
      <c r="B18" s="12" t="s">
        <v>165</v>
      </c>
      <c r="C18" s="12" t="s">
        <v>768</v>
      </c>
      <c r="D18" s="13" t="s">
        <v>788</v>
      </c>
      <c r="E18" s="12" t="s">
        <v>120</v>
      </c>
      <c r="F18" s="12" t="s">
        <v>161</v>
      </c>
      <c r="G18" s="13" t="s">
        <v>789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791</v>
      </c>
      <c r="B19" s="12" t="s">
        <v>648</v>
      </c>
      <c r="C19" s="12" t="s">
        <v>768</v>
      </c>
      <c r="D19" s="13" t="s">
        <v>792</v>
      </c>
      <c r="E19" s="12" t="s">
        <v>120</v>
      </c>
      <c r="F19" s="12" t="s">
        <v>145</v>
      </c>
      <c r="G19" s="13" t="s">
        <v>776</v>
      </c>
      <c r="H19" s="12" t="s">
        <v>84</v>
      </c>
      <c r="I19" s="12" t="s">
        <v>99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173</v>
      </c>
      <c r="C20" s="12" t="s">
        <v>762</v>
      </c>
      <c r="D20" s="13" t="s">
        <v>794</v>
      </c>
      <c r="E20" s="12" t="s">
        <v>120</v>
      </c>
      <c r="F20" s="12" t="s">
        <v>161</v>
      </c>
      <c r="G20" s="13" t="s">
        <v>785</v>
      </c>
      <c r="H20" s="12" t="s">
        <v>82</v>
      </c>
      <c r="I20" s="12" t="s">
        <v>98</v>
      </c>
      <c r="J20" s="14"/>
      <c r="K20" s="13" t="s">
        <v>795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796</v>
      </c>
      <c r="B21" s="12" t="s">
        <v>177</v>
      </c>
      <c r="C21" s="12" t="s">
        <v>762</v>
      </c>
      <c r="D21" s="13" t="s">
        <v>797</v>
      </c>
      <c r="E21" s="12" t="s">
        <v>120</v>
      </c>
      <c r="F21" s="12" t="s">
        <v>179</v>
      </c>
      <c r="G21" s="13" t="s">
        <v>798</v>
      </c>
      <c r="H21" s="12" t="s">
        <v>84</v>
      </c>
      <c r="I21" s="12" t="s">
        <v>99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799</v>
      </c>
      <c r="B22" s="12" t="s">
        <v>182</v>
      </c>
      <c r="C22" s="12" t="s">
        <v>762</v>
      </c>
      <c r="D22" s="13" t="s">
        <v>800</v>
      </c>
      <c r="E22" s="12" t="s">
        <v>120</v>
      </c>
      <c r="F22" s="12" t="s">
        <v>179</v>
      </c>
      <c r="G22" s="13" t="s">
        <v>801</v>
      </c>
      <c r="H22" s="12" t="s">
        <v>84</v>
      </c>
      <c r="I22" s="12" t="s">
        <v>99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802</v>
      </c>
      <c r="B23" s="12" t="s">
        <v>186</v>
      </c>
      <c r="C23" s="12" t="s">
        <v>803</v>
      </c>
      <c r="D23" s="13" t="s">
        <v>804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805</v>
      </c>
      <c r="B24" s="12" t="s">
        <v>191</v>
      </c>
      <c r="C24" s="12" t="s">
        <v>762</v>
      </c>
      <c r="D24" s="13" t="s">
        <v>806</v>
      </c>
      <c r="E24" s="12" t="s">
        <v>120</v>
      </c>
      <c r="F24" s="12" t="s">
        <v>120</v>
      </c>
      <c r="G24" s="13" t="s">
        <v>807</v>
      </c>
      <c r="H24" s="12" t="s">
        <v>82</v>
      </c>
      <c r="I24" s="12" t="s">
        <v>98</v>
      </c>
      <c r="J24" s="14" t="n">
        <v>46227</v>
      </c>
      <c r="K24" s="13" t="s">
        <v>808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v>16</v>
      </c>
      <c r="D4" s="5" t="s">
        <v>102</v>
      </c>
      <c r="E4" s="6" t="n">
        <v>16</v>
      </c>
      <c r="G4" s="5" t="s">
        <v>13</v>
      </c>
      <c r="H4" s="7" t="n">
        <v>1</v>
      </c>
      <c r="J4" s="5" t="s">
        <v>14</v>
      </c>
      <c r="K4" s="6"/>
    </row>
    <row r="5" customFormat="false" ht="17.25" hidden="false" customHeight="true" outlineLevel="0" collapsed="false">
      <c r="A5" s="5" t="s">
        <v>103</v>
      </c>
      <c r="B5" s="6"/>
      <c r="D5" s="5" t="s">
        <v>15</v>
      </c>
      <c r="E5" s="6"/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616</v>
      </c>
      <c r="B9" s="1" t="s">
        <v>117</v>
      </c>
      <c r="C9" s="1" t="s">
        <v>37</v>
      </c>
      <c r="D9" s="1" t="s">
        <v>119</v>
      </c>
      <c r="E9" s="1" t="s">
        <v>120</v>
      </c>
      <c r="F9" s="1" t="s">
        <v>121</v>
      </c>
      <c r="G9" s="1" t="s">
        <v>810</v>
      </c>
      <c r="H9" s="8" t="s">
        <v>84</v>
      </c>
      <c r="I9" s="8" t="s">
        <v>99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619</v>
      </c>
      <c r="B10" s="1" t="s">
        <v>124</v>
      </c>
      <c r="C10" s="1" t="s">
        <v>37</v>
      </c>
      <c r="D10" s="1" t="s">
        <v>125</v>
      </c>
      <c r="E10" s="1" t="s">
        <v>120</v>
      </c>
      <c r="F10" s="1" t="s">
        <v>120</v>
      </c>
      <c r="G10" s="1" t="s">
        <v>126</v>
      </c>
      <c r="H10" s="8" t="s">
        <v>84</v>
      </c>
      <c r="I10" s="8" t="s">
        <v>99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621</v>
      </c>
      <c r="B11" s="1" t="s">
        <v>128</v>
      </c>
      <c r="C11" s="1" t="s">
        <v>37</v>
      </c>
      <c r="D11" s="1" t="s">
        <v>129</v>
      </c>
      <c r="E11" s="1" t="s">
        <v>120</v>
      </c>
      <c r="F11" s="1" t="s">
        <v>130</v>
      </c>
      <c r="G11" s="1" t="s">
        <v>811</v>
      </c>
      <c r="H11" s="8" t="s">
        <v>84</v>
      </c>
      <c r="I11" s="8" t="s">
        <v>99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624</v>
      </c>
      <c r="B12" s="1" t="s">
        <v>133</v>
      </c>
      <c r="C12" s="1" t="s">
        <v>37</v>
      </c>
      <c r="D12" s="1" t="s">
        <v>134</v>
      </c>
      <c r="E12" s="1" t="s">
        <v>120</v>
      </c>
      <c r="F12" s="1" t="s">
        <v>135</v>
      </c>
      <c r="G12" s="1" t="s">
        <v>812</v>
      </c>
      <c r="H12" s="8" t="s">
        <v>84</v>
      </c>
      <c r="I12" s="8" t="s">
        <v>99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627</v>
      </c>
      <c r="B13" s="1" t="s">
        <v>138</v>
      </c>
      <c r="C13" s="1" t="s">
        <v>37</v>
      </c>
      <c r="D13" s="1" t="s">
        <v>139</v>
      </c>
      <c r="E13" s="1" t="s">
        <v>120</v>
      </c>
      <c r="F13" s="1" t="s">
        <v>140</v>
      </c>
      <c r="G13" s="1" t="s">
        <v>813</v>
      </c>
      <c r="H13" s="8" t="s">
        <v>84</v>
      </c>
      <c r="I13" s="8" t="s">
        <v>99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630</v>
      </c>
      <c r="B14" s="1" t="s">
        <v>143</v>
      </c>
      <c r="C14" s="1" t="s">
        <v>37</v>
      </c>
      <c r="D14" s="1" t="s">
        <v>144</v>
      </c>
      <c r="E14" s="1" t="s">
        <v>120</v>
      </c>
      <c r="F14" s="1" t="s">
        <v>145</v>
      </c>
      <c r="G14" s="1" t="s">
        <v>814</v>
      </c>
      <c r="H14" s="8" t="s">
        <v>84</v>
      </c>
      <c r="I14" s="8" t="s">
        <v>99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633</v>
      </c>
      <c r="B15" s="1" t="s">
        <v>148</v>
      </c>
      <c r="C15" s="1" t="s">
        <v>37</v>
      </c>
      <c r="D15" s="1" t="s">
        <v>149</v>
      </c>
      <c r="E15" s="1" t="s">
        <v>120</v>
      </c>
      <c r="F15" s="1" t="s">
        <v>150</v>
      </c>
      <c r="G15" s="1" t="s">
        <v>815</v>
      </c>
      <c r="H15" s="8" t="s">
        <v>84</v>
      </c>
      <c r="I15" s="8" t="s">
        <v>99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635</v>
      </c>
      <c r="B16" s="1" t="s">
        <v>153</v>
      </c>
      <c r="C16" s="1" t="s">
        <v>37</v>
      </c>
      <c r="D16" s="1" t="s">
        <v>154</v>
      </c>
      <c r="E16" s="1" t="s">
        <v>120</v>
      </c>
      <c r="F16" s="1" t="s">
        <v>155</v>
      </c>
      <c r="G16" s="1" t="s">
        <v>816</v>
      </c>
      <c r="H16" s="8" t="s">
        <v>86</v>
      </c>
      <c r="I16" s="8" t="s">
        <v>98</v>
      </c>
      <c r="J16" s="10" t="n">
        <v>46227</v>
      </c>
      <c r="K16" s="1" t="s">
        <v>157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639</v>
      </c>
      <c r="B17" s="1" t="s">
        <v>159</v>
      </c>
      <c r="C17" s="1" t="s">
        <v>37</v>
      </c>
      <c r="D17" s="1" t="s">
        <v>160</v>
      </c>
      <c r="E17" s="1" t="s">
        <v>120</v>
      </c>
      <c r="F17" s="1" t="s">
        <v>161</v>
      </c>
      <c r="G17" s="1" t="s">
        <v>817</v>
      </c>
      <c r="H17" s="8" t="s">
        <v>86</v>
      </c>
      <c r="I17" s="8" t="s">
        <v>98</v>
      </c>
      <c r="J17" s="10" t="n">
        <v>46227</v>
      </c>
      <c r="K17" s="1" t="s">
        <v>163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643</v>
      </c>
      <c r="B18" s="1" t="s">
        <v>165</v>
      </c>
      <c r="C18" s="1" t="s">
        <v>37</v>
      </c>
      <c r="D18" s="1" t="s">
        <v>166</v>
      </c>
      <c r="E18" s="1" t="s">
        <v>120</v>
      </c>
      <c r="F18" s="1" t="s">
        <v>161</v>
      </c>
      <c r="G18" s="1" t="s">
        <v>817</v>
      </c>
      <c r="H18" s="8" t="s">
        <v>86</v>
      </c>
      <c r="I18" s="8" t="s">
        <v>98</v>
      </c>
      <c r="J18" s="10" t="n">
        <v>46227</v>
      </c>
      <c r="K18" s="1" t="s">
        <v>163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647</v>
      </c>
      <c r="B19" s="1" t="s">
        <v>168</v>
      </c>
      <c r="C19" s="1" t="s">
        <v>37</v>
      </c>
      <c r="D19" s="1" t="s">
        <v>169</v>
      </c>
      <c r="E19" s="1" t="s">
        <v>120</v>
      </c>
      <c r="F19" s="1" t="s">
        <v>161</v>
      </c>
      <c r="G19" s="1" t="s">
        <v>818</v>
      </c>
      <c r="H19" s="8" t="s">
        <v>86</v>
      </c>
      <c r="I19" s="8" t="s">
        <v>98</v>
      </c>
      <c r="J19" s="10" t="n">
        <v>46227</v>
      </c>
      <c r="K19" s="1" t="s">
        <v>171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650</v>
      </c>
      <c r="B20" s="1" t="s">
        <v>173</v>
      </c>
      <c r="C20" s="1" t="s">
        <v>37</v>
      </c>
      <c r="D20" s="1" t="s">
        <v>174</v>
      </c>
      <c r="E20" s="1" t="s">
        <v>120</v>
      </c>
      <c r="F20" s="1" t="s">
        <v>161</v>
      </c>
      <c r="G20" s="1" t="s">
        <v>817</v>
      </c>
      <c r="H20" s="8" t="s">
        <v>86</v>
      </c>
      <c r="I20" s="8" t="s">
        <v>98</v>
      </c>
      <c r="J20" s="10" t="n">
        <v>46227</v>
      </c>
      <c r="K20" s="1" t="s">
        <v>175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652</v>
      </c>
      <c r="B21" s="1" t="s">
        <v>177</v>
      </c>
      <c r="C21" s="1" t="s">
        <v>37</v>
      </c>
      <c r="D21" s="1" t="s">
        <v>178</v>
      </c>
      <c r="E21" s="1" t="s">
        <v>120</v>
      </c>
      <c r="F21" s="1" t="s">
        <v>179</v>
      </c>
      <c r="G21" s="1" t="s">
        <v>819</v>
      </c>
      <c r="H21" s="8" t="s">
        <v>84</v>
      </c>
      <c r="I21" s="8" t="s">
        <v>99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654</v>
      </c>
      <c r="B22" s="1" t="s">
        <v>182</v>
      </c>
      <c r="C22" s="1" t="s">
        <v>37</v>
      </c>
      <c r="D22" s="1" t="s">
        <v>183</v>
      </c>
      <c r="E22" s="1" t="s">
        <v>120</v>
      </c>
      <c r="F22" s="1" t="s">
        <v>179</v>
      </c>
      <c r="G22" s="1" t="s">
        <v>820</v>
      </c>
      <c r="H22" s="8" t="s">
        <v>84</v>
      </c>
      <c r="I22" s="8" t="s">
        <v>99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657</v>
      </c>
      <c r="B23" s="1" t="s">
        <v>186</v>
      </c>
      <c r="C23" s="1" t="s">
        <v>37</v>
      </c>
      <c r="D23" s="1" t="s">
        <v>187</v>
      </c>
      <c r="E23" s="1" t="s">
        <v>188</v>
      </c>
      <c r="F23" s="1" t="s">
        <v>188</v>
      </c>
      <c r="G23" s="1" t="s">
        <v>189</v>
      </c>
      <c r="H23" s="8" t="s">
        <v>84</v>
      </c>
      <c r="I23" s="8" t="s">
        <v>99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659</v>
      </c>
      <c r="B24" s="1" t="s">
        <v>191</v>
      </c>
      <c r="C24" s="1" t="s">
        <v>37</v>
      </c>
      <c r="D24" s="1" t="s">
        <v>192</v>
      </c>
      <c r="E24" s="1" t="s">
        <v>120</v>
      </c>
      <c r="F24" s="1" t="s">
        <v>120</v>
      </c>
      <c r="G24" s="1" t="s">
        <v>193</v>
      </c>
      <c r="H24" s="8" t="s">
        <v>84</v>
      </c>
      <c r="I24" s="8" t="s">
        <v>99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822</v>
      </c>
      <c r="B9" s="12" t="s">
        <v>117</v>
      </c>
      <c r="C9" s="12" t="s">
        <v>823</v>
      </c>
      <c r="D9" s="13" t="s">
        <v>824</v>
      </c>
      <c r="E9" s="12" t="s">
        <v>120</v>
      </c>
      <c r="F9" s="12" t="s">
        <v>121</v>
      </c>
      <c r="G9" s="13" t="s">
        <v>825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826</v>
      </c>
      <c r="B10" s="12" t="s">
        <v>124</v>
      </c>
      <c r="C10" s="12" t="s">
        <v>40</v>
      </c>
      <c r="D10" s="13" t="s">
        <v>827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828</v>
      </c>
      <c r="B11" s="12" t="s">
        <v>128</v>
      </c>
      <c r="C11" s="12" t="s">
        <v>823</v>
      </c>
      <c r="D11" s="13" t="s">
        <v>829</v>
      </c>
      <c r="E11" s="12" t="s">
        <v>120</v>
      </c>
      <c r="F11" s="12" t="s">
        <v>130</v>
      </c>
      <c r="G11" s="13" t="s">
        <v>830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831</v>
      </c>
      <c r="B12" s="12" t="s">
        <v>133</v>
      </c>
      <c r="C12" s="12" t="s">
        <v>823</v>
      </c>
      <c r="D12" s="13" t="s">
        <v>832</v>
      </c>
      <c r="E12" s="12" t="s">
        <v>120</v>
      </c>
      <c r="F12" s="12" t="s">
        <v>135</v>
      </c>
      <c r="G12" s="13" t="s">
        <v>833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834</v>
      </c>
      <c r="B13" s="12" t="s">
        <v>138</v>
      </c>
      <c r="C13" s="12" t="s">
        <v>823</v>
      </c>
      <c r="D13" s="13" t="s">
        <v>835</v>
      </c>
      <c r="E13" s="12" t="s">
        <v>120</v>
      </c>
      <c r="F13" s="12" t="s">
        <v>140</v>
      </c>
      <c r="G13" s="13" t="s">
        <v>836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837</v>
      </c>
      <c r="B14" s="12" t="s">
        <v>143</v>
      </c>
      <c r="C14" s="12" t="s">
        <v>768</v>
      </c>
      <c r="D14" s="13" t="s">
        <v>838</v>
      </c>
      <c r="E14" s="12" t="s">
        <v>120</v>
      </c>
      <c r="F14" s="12" t="s">
        <v>145</v>
      </c>
      <c r="G14" s="13" t="s">
        <v>839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840</v>
      </c>
      <c r="B15" s="12" t="s">
        <v>143</v>
      </c>
      <c r="C15" s="12" t="s">
        <v>841</v>
      </c>
      <c r="D15" s="13" t="s">
        <v>842</v>
      </c>
      <c r="E15" s="12" t="s">
        <v>120</v>
      </c>
      <c r="F15" s="12" t="s">
        <v>145</v>
      </c>
      <c r="G15" s="13" t="s">
        <v>839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843</v>
      </c>
      <c r="B16" s="12" t="s">
        <v>148</v>
      </c>
      <c r="C16" s="12" t="s">
        <v>823</v>
      </c>
      <c r="D16" s="13" t="s">
        <v>844</v>
      </c>
      <c r="E16" s="12" t="s">
        <v>120</v>
      </c>
      <c r="F16" s="12" t="s">
        <v>150</v>
      </c>
      <c r="G16" s="13" t="s">
        <v>839</v>
      </c>
      <c r="H16" s="12" t="s">
        <v>84</v>
      </c>
      <c r="I16" s="12" t="s">
        <v>99</v>
      </c>
      <c r="J16" s="14" t="n">
        <v>46228</v>
      </c>
      <c r="K16" s="13" t="s">
        <v>782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845</v>
      </c>
      <c r="B17" s="12" t="s">
        <v>153</v>
      </c>
      <c r="C17" s="12" t="s">
        <v>823</v>
      </c>
      <c r="D17" s="13" t="s">
        <v>846</v>
      </c>
      <c r="E17" s="12" t="s">
        <v>120</v>
      </c>
      <c r="F17" s="12" t="s">
        <v>155</v>
      </c>
      <c r="G17" s="13" t="s">
        <v>847</v>
      </c>
      <c r="H17" s="12" t="s">
        <v>86</v>
      </c>
      <c r="I17" s="12" t="s">
        <v>98</v>
      </c>
      <c r="J17" s="14" t="n">
        <v>46228</v>
      </c>
      <c r="K17" s="13" t="s">
        <v>848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849</v>
      </c>
      <c r="B18" s="12" t="s">
        <v>159</v>
      </c>
      <c r="C18" s="12" t="s">
        <v>823</v>
      </c>
      <c r="D18" s="13" t="s">
        <v>850</v>
      </c>
      <c r="E18" s="12" t="s">
        <v>120</v>
      </c>
      <c r="F18" s="12" t="s">
        <v>161</v>
      </c>
      <c r="G18" s="13" t="s">
        <v>851</v>
      </c>
      <c r="H18" s="12" t="s">
        <v>82</v>
      </c>
      <c r="I18" s="12" t="s">
        <v>98</v>
      </c>
      <c r="J18" s="14"/>
      <c r="K18" s="13" t="s">
        <v>786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852</v>
      </c>
      <c r="B19" s="12" t="s">
        <v>165</v>
      </c>
      <c r="C19" s="12" t="s">
        <v>823</v>
      </c>
      <c r="D19" s="13" t="s">
        <v>853</v>
      </c>
      <c r="E19" s="12" t="s">
        <v>120</v>
      </c>
      <c r="F19" s="12" t="s">
        <v>161</v>
      </c>
      <c r="G19" s="13" t="s">
        <v>854</v>
      </c>
      <c r="H19" s="12" t="s">
        <v>82</v>
      </c>
      <c r="I19" s="12" t="s">
        <v>98</v>
      </c>
      <c r="J19" s="14" t="n">
        <v>46227</v>
      </c>
      <c r="K19" s="13" t="s">
        <v>790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855</v>
      </c>
      <c r="B20" s="12" t="s">
        <v>648</v>
      </c>
      <c r="C20" s="12" t="s">
        <v>823</v>
      </c>
      <c r="D20" s="13" t="s">
        <v>856</v>
      </c>
      <c r="E20" s="12" t="s">
        <v>120</v>
      </c>
      <c r="F20" s="12" t="s">
        <v>145</v>
      </c>
      <c r="G20" s="13" t="s">
        <v>839</v>
      </c>
      <c r="H20" s="12" t="s">
        <v>84</v>
      </c>
      <c r="I20" s="12" t="s">
        <v>99</v>
      </c>
      <c r="J20" s="14" t="n">
        <v>46228</v>
      </c>
      <c r="K20" s="13" t="s">
        <v>795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857</v>
      </c>
      <c r="B21" s="12" t="s">
        <v>173</v>
      </c>
      <c r="C21" s="12" t="s">
        <v>823</v>
      </c>
      <c r="D21" s="13" t="s">
        <v>858</v>
      </c>
      <c r="E21" s="12" t="s">
        <v>120</v>
      </c>
      <c r="F21" s="12" t="s">
        <v>161</v>
      </c>
      <c r="G21" s="13" t="s">
        <v>851</v>
      </c>
      <c r="H21" s="12" t="s">
        <v>82</v>
      </c>
      <c r="I21" s="12" t="s">
        <v>98</v>
      </c>
      <c r="J21" s="14" t="n">
        <v>46227</v>
      </c>
      <c r="K21" s="13" t="s">
        <v>795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859</v>
      </c>
      <c r="B22" s="12" t="s">
        <v>177</v>
      </c>
      <c r="C22" s="12" t="s">
        <v>40</v>
      </c>
      <c r="D22" s="13" t="s">
        <v>860</v>
      </c>
      <c r="E22" s="12" t="s">
        <v>120</v>
      </c>
      <c r="F22" s="12" t="s">
        <v>179</v>
      </c>
      <c r="G22" s="13" t="s">
        <v>861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862</v>
      </c>
      <c r="B23" s="12" t="s">
        <v>182</v>
      </c>
      <c r="C23" s="12" t="s">
        <v>40</v>
      </c>
      <c r="D23" s="13" t="s">
        <v>863</v>
      </c>
      <c r="E23" s="12" t="s">
        <v>120</v>
      </c>
      <c r="F23" s="12" t="s">
        <v>179</v>
      </c>
      <c r="G23" s="13" t="s">
        <v>864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865</v>
      </c>
      <c r="B24" s="12" t="s">
        <v>186</v>
      </c>
      <c r="C24" s="12" t="s">
        <v>823</v>
      </c>
      <c r="D24" s="13" t="s">
        <v>866</v>
      </c>
      <c r="E24" s="12" t="s">
        <v>188</v>
      </c>
      <c r="F24" s="12" t="s">
        <v>188</v>
      </c>
      <c r="G24" s="13" t="s">
        <v>189</v>
      </c>
      <c r="H24" s="12" t="s">
        <v>84</v>
      </c>
      <c r="I24" s="12" t="s">
        <v>99</v>
      </c>
      <c r="J24" s="14" t="n">
        <v>46228</v>
      </c>
      <c r="K24" s="13" t="s">
        <v>808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867</v>
      </c>
      <c r="B25" s="12" t="s">
        <v>191</v>
      </c>
      <c r="C25" s="12" t="s">
        <v>40</v>
      </c>
      <c r="D25" s="13" t="s">
        <v>868</v>
      </c>
      <c r="E25" s="12" t="s">
        <v>120</v>
      </c>
      <c r="F25" s="12" t="s">
        <v>120</v>
      </c>
      <c r="G25" s="13" t="s">
        <v>869</v>
      </c>
      <c r="H25" s="12" t="s">
        <v>82</v>
      </c>
      <c r="I25" s="12" t="s">
        <v>98</v>
      </c>
      <c r="J25" s="14" t="n">
        <v>46228</v>
      </c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292</v>
      </c>
      <c r="B9" s="12" t="s">
        <v>117</v>
      </c>
      <c r="C9" s="12" t="s">
        <v>41</v>
      </c>
      <c r="D9" s="13" t="s">
        <v>872</v>
      </c>
      <c r="E9" s="12" t="s">
        <v>120</v>
      </c>
      <c r="F9" s="12" t="s">
        <v>121</v>
      </c>
      <c r="G9" s="13" t="s">
        <v>873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294</v>
      </c>
      <c r="B10" s="12" t="s">
        <v>124</v>
      </c>
      <c r="C10" s="12" t="s">
        <v>41</v>
      </c>
      <c r="D10" s="13" t="s">
        <v>874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295</v>
      </c>
      <c r="B11" s="12" t="s">
        <v>128</v>
      </c>
      <c r="C11" s="12" t="s">
        <v>41</v>
      </c>
      <c r="D11" s="13" t="s">
        <v>875</v>
      </c>
      <c r="E11" s="12" t="s">
        <v>120</v>
      </c>
      <c r="F11" s="12" t="s">
        <v>130</v>
      </c>
      <c r="G11" s="13" t="s">
        <v>876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297</v>
      </c>
      <c r="B12" s="12" t="s">
        <v>133</v>
      </c>
      <c r="C12" s="12" t="s">
        <v>41</v>
      </c>
      <c r="D12" s="13" t="s">
        <v>877</v>
      </c>
      <c r="E12" s="12" t="s">
        <v>120</v>
      </c>
      <c r="F12" s="12" t="s">
        <v>135</v>
      </c>
      <c r="G12" s="13" t="s">
        <v>878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299</v>
      </c>
      <c r="B13" s="12" t="s">
        <v>138</v>
      </c>
      <c r="C13" s="12" t="s">
        <v>41</v>
      </c>
      <c r="D13" s="13" t="s">
        <v>879</v>
      </c>
      <c r="E13" s="12" t="s">
        <v>120</v>
      </c>
      <c r="F13" s="12" t="s">
        <v>140</v>
      </c>
      <c r="G13" s="13" t="s">
        <v>880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301</v>
      </c>
      <c r="B14" s="12" t="s">
        <v>143</v>
      </c>
      <c r="C14" s="12" t="s">
        <v>41</v>
      </c>
      <c r="D14" s="13" t="s">
        <v>881</v>
      </c>
      <c r="E14" s="12" t="s">
        <v>120</v>
      </c>
      <c r="F14" s="12" t="s">
        <v>145</v>
      </c>
      <c r="G14" s="13" t="s">
        <v>882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303</v>
      </c>
      <c r="B15" s="12" t="s">
        <v>148</v>
      </c>
      <c r="C15" s="12" t="s">
        <v>41</v>
      </c>
      <c r="D15" s="13" t="s">
        <v>883</v>
      </c>
      <c r="E15" s="12" t="s">
        <v>120</v>
      </c>
      <c r="F15" s="12" t="s">
        <v>150</v>
      </c>
      <c r="G15" s="13" t="s">
        <v>882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</v>
      </c>
      <c r="B16" s="12" t="s">
        <v>153</v>
      </c>
      <c r="C16" s="12" t="s">
        <v>41</v>
      </c>
      <c r="D16" s="13" t="s">
        <v>884</v>
      </c>
      <c r="E16" s="12" t="s">
        <v>120</v>
      </c>
      <c r="F16" s="12" t="s">
        <v>155</v>
      </c>
      <c r="G16" s="13" t="s">
        <v>885</v>
      </c>
      <c r="H16" s="12" t="s">
        <v>86</v>
      </c>
      <c r="I16" s="12" t="s">
        <v>98</v>
      </c>
      <c r="J16" s="14" t="n">
        <v>46228</v>
      </c>
      <c r="K16" s="13" t="s">
        <v>886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307</v>
      </c>
      <c r="B17" s="12" t="s">
        <v>159</v>
      </c>
      <c r="C17" s="12" t="s">
        <v>41</v>
      </c>
      <c r="D17" s="13" t="s">
        <v>887</v>
      </c>
      <c r="E17" s="12" t="s">
        <v>120</v>
      </c>
      <c r="F17" s="12" t="s">
        <v>161</v>
      </c>
      <c r="G17" s="13" t="s">
        <v>888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309</v>
      </c>
      <c r="B18" s="12" t="s">
        <v>165</v>
      </c>
      <c r="C18" s="12" t="s">
        <v>41</v>
      </c>
      <c r="D18" s="13" t="s">
        <v>890</v>
      </c>
      <c r="E18" s="12" t="s">
        <v>120</v>
      </c>
      <c r="F18" s="12" t="s">
        <v>161</v>
      </c>
      <c r="G18" s="13" t="s">
        <v>891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310</v>
      </c>
      <c r="B19" s="12" t="s">
        <v>648</v>
      </c>
      <c r="C19" s="12" t="s">
        <v>41</v>
      </c>
      <c r="D19" s="13" t="s">
        <v>892</v>
      </c>
      <c r="E19" s="12" t="s">
        <v>120</v>
      </c>
      <c r="F19" s="12" t="s">
        <v>145</v>
      </c>
      <c r="G19" s="13" t="s">
        <v>882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312</v>
      </c>
      <c r="B20" s="12" t="s">
        <v>173</v>
      </c>
      <c r="C20" s="12" t="s">
        <v>41</v>
      </c>
      <c r="D20" s="13" t="s">
        <v>893</v>
      </c>
      <c r="E20" s="12" t="s">
        <v>120</v>
      </c>
      <c r="F20" s="12" t="s">
        <v>161</v>
      </c>
      <c r="G20" s="13" t="s">
        <v>888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313</v>
      </c>
      <c r="B21" s="12" t="s">
        <v>177</v>
      </c>
      <c r="C21" s="12" t="s">
        <v>41</v>
      </c>
      <c r="D21" s="13" t="s">
        <v>895</v>
      </c>
      <c r="E21" s="12" t="s">
        <v>120</v>
      </c>
      <c r="F21" s="12" t="s">
        <v>179</v>
      </c>
      <c r="G21" s="13" t="s">
        <v>896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315</v>
      </c>
      <c r="B22" s="12" t="s">
        <v>182</v>
      </c>
      <c r="C22" s="12" t="s">
        <v>41</v>
      </c>
      <c r="D22" s="13" t="s">
        <v>897</v>
      </c>
      <c r="E22" s="12" t="s">
        <v>120</v>
      </c>
      <c r="F22" s="12" t="s">
        <v>179</v>
      </c>
      <c r="G22" s="13" t="s">
        <v>898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317</v>
      </c>
      <c r="B23" s="12" t="s">
        <v>186</v>
      </c>
      <c r="C23" s="12" t="s">
        <v>41</v>
      </c>
      <c r="D23" s="13" t="s">
        <v>899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318</v>
      </c>
      <c r="B24" s="12" t="s">
        <v>608</v>
      </c>
      <c r="C24" s="12" t="s">
        <v>41</v>
      </c>
      <c r="D24" s="13" t="s">
        <v>900</v>
      </c>
      <c r="E24" s="12" t="s">
        <v>120</v>
      </c>
      <c r="F24" s="12" t="s">
        <v>120</v>
      </c>
      <c r="G24" s="13" t="s">
        <v>901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902</v>
      </c>
      <c r="B25" s="12" t="s">
        <v>191</v>
      </c>
      <c r="C25" s="12" t="s">
        <v>41</v>
      </c>
      <c r="D25" s="13" t="s">
        <v>903</v>
      </c>
      <c r="E25" s="12" t="s">
        <v>120</v>
      </c>
      <c r="F25" s="12" t="s">
        <v>120</v>
      </c>
      <c r="G25" s="13" t="s">
        <v>904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42</v>
      </c>
      <c r="D9" s="13" t="s">
        <v>907</v>
      </c>
      <c r="E9" s="12" t="s">
        <v>120</v>
      </c>
      <c r="F9" s="12" t="s">
        <v>121</v>
      </c>
      <c r="G9" s="13" t="s">
        <v>908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124</v>
      </c>
      <c r="C10" s="12" t="s">
        <v>42</v>
      </c>
      <c r="D10" s="13" t="s">
        <v>909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128</v>
      </c>
      <c r="C11" s="12" t="s">
        <v>42</v>
      </c>
      <c r="D11" s="13" t="s">
        <v>910</v>
      </c>
      <c r="E11" s="12" t="s">
        <v>120</v>
      </c>
      <c r="F11" s="12" t="s">
        <v>130</v>
      </c>
      <c r="G11" s="13" t="s">
        <v>911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133</v>
      </c>
      <c r="C12" s="12" t="s">
        <v>42</v>
      </c>
      <c r="D12" s="13" t="s">
        <v>912</v>
      </c>
      <c r="E12" s="12" t="s">
        <v>120</v>
      </c>
      <c r="F12" s="12" t="s">
        <v>135</v>
      </c>
      <c r="G12" s="13" t="s">
        <v>913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138</v>
      </c>
      <c r="C13" s="12" t="s">
        <v>42</v>
      </c>
      <c r="D13" s="13" t="s">
        <v>914</v>
      </c>
      <c r="E13" s="12" t="s">
        <v>120</v>
      </c>
      <c r="F13" s="12" t="s">
        <v>140</v>
      </c>
      <c r="G13" s="13" t="s">
        <v>915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143</v>
      </c>
      <c r="C14" s="12" t="s">
        <v>42</v>
      </c>
      <c r="D14" s="13" t="s">
        <v>916</v>
      </c>
      <c r="E14" s="12" t="s">
        <v>120</v>
      </c>
      <c r="F14" s="12" t="s">
        <v>145</v>
      </c>
      <c r="G14" s="13" t="s">
        <v>917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148</v>
      </c>
      <c r="C15" s="12" t="s">
        <v>42</v>
      </c>
      <c r="D15" s="13" t="s">
        <v>918</v>
      </c>
      <c r="E15" s="12" t="s">
        <v>120</v>
      </c>
      <c r="F15" s="12" t="s">
        <v>150</v>
      </c>
      <c r="G15" s="13" t="s">
        <v>917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153</v>
      </c>
      <c r="C16" s="12" t="s">
        <v>42</v>
      </c>
      <c r="D16" s="13" t="s">
        <v>919</v>
      </c>
      <c r="E16" s="12" t="s">
        <v>120</v>
      </c>
      <c r="F16" s="12" t="s">
        <v>155</v>
      </c>
      <c r="G16" s="13" t="s">
        <v>920</v>
      </c>
      <c r="H16" s="12" t="s">
        <v>86</v>
      </c>
      <c r="I16" s="12" t="s">
        <v>98</v>
      </c>
      <c r="J16" s="14" t="n">
        <v>46228</v>
      </c>
      <c r="K16" s="13" t="s">
        <v>921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159</v>
      </c>
      <c r="C17" s="12" t="s">
        <v>42</v>
      </c>
      <c r="D17" s="13" t="s">
        <v>922</v>
      </c>
      <c r="E17" s="12" t="s">
        <v>120</v>
      </c>
      <c r="F17" s="12" t="s">
        <v>161</v>
      </c>
      <c r="G17" s="13" t="s">
        <v>923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787</v>
      </c>
      <c r="B18" s="12" t="s">
        <v>165</v>
      </c>
      <c r="C18" s="12" t="s">
        <v>42</v>
      </c>
      <c r="D18" s="13" t="s">
        <v>924</v>
      </c>
      <c r="E18" s="12" t="s">
        <v>120</v>
      </c>
      <c r="F18" s="12" t="s">
        <v>161</v>
      </c>
      <c r="G18" s="13" t="s">
        <v>925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791</v>
      </c>
      <c r="B19" s="12" t="s">
        <v>648</v>
      </c>
      <c r="C19" s="12" t="s">
        <v>42</v>
      </c>
      <c r="D19" s="13" t="s">
        <v>926</v>
      </c>
      <c r="E19" s="12" t="s">
        <v>120</v>
      </c>
      <c r="F19" s="12" t="s">
        <v>145</v>
      </c>
      <c r="G19" s="13" t="s">
        <v>917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173</v>
      </c>
      <c r="C20" s="12" t="s">
        <v>42</v>
      </c>
      <c r="D20" s="13" t="s">
        <v>927</v>
      </c>
      <c r="E20" s="12" t="s">
        <v>120</v>
      </c>
      <c r="F20" s="12" t="s">
        <v>161</v>
      </c>
      <c r="G20" s="13" t="s">
        <v>923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796</v>
      </c>
      <c r="B21" s="12" t="s">
        <v>177</v>
      </c>
      <c r="C21" s="12" t="s">
        <v>42</v>
      </c>
      <c r="D21" s="13" t="s">
        <v>928</v>
      </c>
      <c r="E21" s="12" t="s">
        <v>120</v>
      </c>
      <c r="F21" s="12" t="s">
        <v>179</v>
      </c>
      <c r="G21" s="13" t="s">
        <v>929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799</v>
      </c>
      <c r="B22" s="12" t="s">
        <v>182</v>
      </c>
      <c r="C22" s="12" t="s">
        <v>42</v>
      </c>
      <c r="D22" s="13" t="s">
        <v>930</v>
      </c>
      <c r="E22" s="12" t="s">
        <v>120</v>
      </c>
      <c r="F22" s="12" t="s">
        <v>179</v>
      </c>
      <c r="G22" s="13" t="s">
        <v>931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802</v>
      </c>
      <c r="B23" s="12" t="s">
        <v>186</v>
      </c>
      <c r="C23" s="12" t="s">
        <v>42</v>
      </c>
      <c r="D23" s="13" t="s">
        <v>932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805</v>
      </c>
      <c r="B24" s="12" t="s">
        <v>608</v>
      </c>
      <c r="C24" s="12" t="s">
        <v>42</v>
      </c>
      <c r="D24" s="13" t="s">
        <v>933</v>
      </c>
      <c r="E24" s="12" t="s">
        <v>120</v>
      </c>
      <c r="F24" s="12" t="s">
        <v>120</v>
      </c>
      <c r="G24" s="13" t="s">
        <v>934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935</v>
      </c>
      <c r="B25" s="12" t="s">
        <v>191</v>
      </c>
      <c r="C25" s="12" t="s">
        <v>42</v>
      </c>
      <c r="D25" s="13" t="s">
        <v>936</v>
      </c>
      <c r="E25" s="12" t="s">
        <v>120</v>
      </c>
      <c r="F25" s="12" t="s">
        <v>120</v>
      </c>
      <c r="G25" s="13" t="s">
        <v>937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361</v>
      </c>
      <c r="B9" s="12" t="s">
        <v>117</v>
      </c>
      <c r="C9" s="12" t="s">
        <v>43</v>
      </c>
      <c r="D9" s="13" t="s">
        <v>940</v>
      </c>
      <c r="E9" s="12" t="s">
        <v>120</v>
      </c>
      <c r="F9" s="12" t="s">
        <v>121</v>
      </c>
      <c r="G9" s="13" t="s">
        <v>941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363</v>
      </c>
      <c r="B10" s="12" t="s">
        <v>124</v>
      </c>
      <c r="C10" s="12" t="s">
        <v>43</v>
      </c>
      <c r="D10" s="13" t="s">
        <v>942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364</v>
      </c>
      <c r="B11" s="12" t="s">
        <v>128</v>
      </c>
      <c r="C11" s="12" t="s">
        <v>43</v>
      </c>
      <c r="D11" s="13" t="s">
        <v>943</v>
      </c>
      <c r="E11" s="12" t="s">
        <v>120</v>
      </c>
      <c r="F11" s="12" t="s">
        <v>130</v>
      </c>
      <c r="G11" s="13" t="s">
        <v>944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366</v>
      </c>
      <c r="B12" s="12" t="s">
        <v>133</v>
      </c>
      <c r="C12" s="12" t="s">
        <v>43</v>
      </c>
      <c r="D12" s="13" t="s">
        <v>945</v>
      </c>
      <c r="E12" s="12" t="s">
        <v>120</v>
      </c>
      <c r="F12" s="12" t="s">
        <v>135</v>
      </c>
      <c r="G12" s="13" t="s">
        <v>946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368</v>
      </c>
      <c r="B13" s="12" t="s">
        <v>138</v>
      </c>
      <c r="C13" s="12" t="s">
        <v>43</v>
      </c>
      <c r="D13" s="13" t="s">
        <v>947</v>
      </c>
      <c r="E13" s="12" t="s">
        <v>120</v>
      </c>
      <c r="F13" s="12" t="s">
        <v>140</v>
      </c>
      <c r="G13" s="13" t="s">
        <v>948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370</v>
      </c>
      <c r="B14" s="12" t="s">
        <v>143</v>
      </c>
      <c r="C14" s="12" t="s">
        <v>43</v>
      </c>
      <c r="D14" s="13" t="s">
        <v>949</v>
      </c>
      <c r="E14" s="12" t="s">
        <v>120</v>
      </c>
      <c r="F14" s="12" t="s">
        <v>145</v>
      </c>
      <c r="G14" s="13" t="s">
        <v>950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372</v>
      </c>
      <c r="B15" s="12" t="s">
        <v>148</v>
      </c>
      <c r="C15" s="12" t="s">
        <v>43</v>
      </c>
      <c r="D15" s="13" t="s">
        <v>951</v>
      </c>
      <c r="E15" s="12" t="s">
        <v>120</v>
      </c>
      <c r="F15" s="12" t="s">
        <v>150</v>
      </c>
      <c r="G15" s="13" t="s">
        <v>950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374</v>
      </c>
      <c r="B16" s="12" t="s">
        <v>153</v>
      </c>
      <c r="C16" s="12" t="s">
        <v>43</v>
      </c>
      <c r="D16" s="13" t="s">
        <v>952</v>
      </c>
      <c r="E16" s="12" t="s">
        <v>120</v>
      </c>
      <c r="F16" s="12" t="s">
        <v>155</v>
      </c>
      <c r="G16" s="13" t="s">
        <v>953</v>
      </c>
      <c r="H16" s="12" t="s">
        <v>86</v>
      </c>
      <c r="I16" s="12" t="s">
        <v>98</v>
      </c>
      <c r="J16" s="14" t="n">
        <v>46228</v>
      </c>
      <c r="K16" s="13" t="s">
        <v>954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376</v>
      </c>
      <c r="B17" s="12" t="s">
        <v>159</v>
      </c>
      <c r="C17" s="12" t="s">
        <v>43</v>
      </c>
      <c r="D17" s="13" t="s">
        <v>955</v>
      </c>
      <c r="E17" s="12" t="s">
        <v>120</v>
      </c>
      <c r="F17" s="12" t="s">
        <v>161</v>
      </c>
      <c r="G17" s="13" t="s">
        <v>956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378</v>
      </c>
      <c r="B18" s="12" t="s">
        <v>165</v>
      </c>
      <c r="C18" s="12" t="s">
        <v>43</v>
      </c>
      <c r="D18" s="13" t="s">
        <v>957</v>
      </c>
      <c r="E18" s="12" t="s">
        <v>120</v>
      </c>
      <c r="F18" s="12" t="s">
        <v>161</v>
      </c>
      <c r="G18" s="13" t="s">
        <v>958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379</v>
      </c>
      <c r="B19" s="12" t="s">
        <v>648</v>
      </c>
      <c r="C19" s="12" t="s">
        <v>43</v>
      </c>
      <c r="D19" s="13" t="s">
        <v>959</v>
      </c>
      <c r="E19" s="12" t="s">
        <v>120</v>
      </c>
      <c r="F19" s="12" t="s">
        <v>145</v>
      </c>
      <c r="G19" s="13" t="s">
        <v>950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381</v>
      </c>
      <c r="B20" s="12" t="s">
        <v>173</v>
      </c>
      <c r="C20" s="12" t="s">
        <v>43</v>
      </c>
      <c r="D20" s="13" t="s">
        <v>960</v>
      </c>
      <c r="E20" s="12" t="s">
        <v>120</v>
      </c>
      <c r="F20" s="12" t="s">
        <v>161</v>
      </c>
      <c r="G20" s="13" t="s">
        <v>956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382</v>
      </c>
      <c r="B21" s="12" t="s">
        <v>177</v>
      </c>
      <c r="C21" s="12" t="s">
        <v>43</v>
      </c>
      <c r="D21" s="13" t="s">
        <v>961</v>
      </c>
      <c r="E21" s="12" t="s">
        <v>120</v>
      </c>
      <c r="F21" s="12" t="s">
        <v>179</v>
      </c>
      <c r="G21" s="13" t="s">
        <v>962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384</v>
      </c>
      <c r="B22" s="12" t="s">
        <v>182</v>
      </c>
      <c r="C22" s="12" t="s">
        <v>43</v>
      </c>
      <c r="D22" s="13" t="s">
        <v>963</v>
      </c>
      <c r="E22" s="12" t="s">
        <v>120</v>
      </c>
      <c r="F22" s="12" t="s">
        <v>179</v>
      </c>
      <c r="G22" s="13" t="s">
        <v>964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386</v>
      </c>
      <c r="B23" s="12" t="s">
        <v>186</v>
      </c>
      <c r="C23" s="12" t="s">
        <v>43</v>
      </c>
      <c r="D23" s="13" t="s">
        <v>965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387</v>
      </c>
      <c r="B24" s="12" t="s">
        <v>608</v>
      </c>
      <c r="C24" s="12" t="s">
        <v>43</v>
      </c>
      <c r="D24" s="13" t="s">
        <v>966</v>
      </c>
      <c r="E24" s="12" t="s">
        <v>120</v>
      </c>
      <c r="F24" s="12" t="s">
        <v>120</v>
      </c>
      <c r="G24" s="13" t="s">
        <v>967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968</v>
      </c>
      <c r="B25" s="12" t="s">
        <v>191</v>
      </c>
      <c r="C25" s="12" t="s">
        <v>43</v>
      </c>
      <c r="D25" s="13" t="s">
        <v>969</v>
      </c>
      <c r="E25" s="12" t="s">
        <v>120</v>
      </c>
      <c r="F25" s="12" t="s">
        <v>120</v>
      </c>
      <c r="G25" s="13" t="s">
        <v>970</v>
      </c>
      <c r="H25" s="12" t="s">
        <v>82</v>
      </c>
      <c r="I25" s="12" t="s">
        <v>98</v>
      </c>
      <c r="J25" s="14"/>
      <c r="K25" s="13" t="s">
        <v>808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0.764705882352941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973</v>
      </c>
      <c r="B9" s="12" t="s">
        <v>117</v>
      </c>
      <c r="C9" s="12" t="s">
        <v>44</v>
      </c>
      <c r="D9" s="13" t="s">
        <v>974</v>
      </c>
      <c r="E9" s="12" t="s">
        <v>120</v>
      </c>
      <c r="F9" s="12" t="s">
        <v>121</v>
      </c>
      <c r="G9" s="13" t="s">
        <v>975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976</v>
      </c>
      <c r="B10" s="12" t="s">
        <v>124</v>
      </c>
      <c r="C10" s="12" t="s">
        <v>44</v>
      </c>
      <c r="D10" s="13" t="s">
        <v>977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978</v>
      </c>
      <c r="B11" s="12" t="s">
        <v>128</v>
      </c>
      <c r="C11" s="12" t="s">
        <v>44</v>
      </c>
      <c r="D11" s="13" t="s">
        <v>979</v>
      </c>
      <c r="E11" s="12" t="s">
        <v>120</v>
      </c>
      <c r="F11" s="12" t="s">
        <v>130</v>
      </c>
      <c r="G11" s="13" t="s">
        <v>980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981</v>
      </c>
      <c r="B12" s="12" t="s">
        <v>133</v>
      </c>
      <c r="C12" s="12" t="s">
        <v>44</v>
      </c>
      <c r="D12" s="13" t="s">
        <v>982</v>
      </c>
      <c r="E12" s="12" t="s">
        <v>120</v>
      </c>
      <c r="F12" s="12" t="s">
        <v>135</v>
      </c>
      <c r="G12" s="13" t="s">
        <v>983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984</v>
      </c>
      <c r="B13" s="12" t="s">
        <v>138</v>
      </c>
      <c r="C13" s="12" t="s">
        <v>44</v>
      </c>
      <c r="D13" s="13" t="s">
        <v>985</v>
      </c>
      <c r="E13" s="12" t="s">
        <v>120</v>
      </c>
      <c r="F13" s="12" t="s">
        <v>140</v>
      </c>
      <c r="G13" s="13" t="s">
        <v>986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987</v>
      </c>
      <c r="B14" s="12" t="s">
        <v>143</v>
      </c>
      <c r="C14" s="12" t="s">
        <v>44</v>
      </c>
      <c r="D14" s="13" t="s">
        <v>988</v>
      </c>
      <c r="E14" s="12" t="s">
        <v>120</v>
      </c>
      <c r="F14" s="12" t="s">
        <v>145</v>
      </c>
      <c r="G14" s="13" t="s">
        <v>989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990</v>
      </c>
      <c r="B15" s="12" t="s">
        <v>148</v>
      </c>
      <c r="C15" s="12" t="s">
        <v>44</v>
      </c>
      <c r="D15" s="13" t="s">
        <v>991</v>
      </c>
      <c r="E15" s="12" t="s">
        <v>120</v>
      </c>
      <c r="F15" s="12" t="s">
        <v>150</v>
      </c>
      <c r="G15" s="13" t="s">
        <v>989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992</v>
      </c>
      <c r="B16" s="12" t="s">
        <v>153</v>
      </c>
      <c r="C16" s="12" t="s">
        <v>44</v>
      </c>
      <c r="D16" s="13" t="s">
        <v>993</v>
      </c>
      <c r="E16" s="12" t="s">
        <v>120</v>
      </c>
      <c r="F16" s="12" t="s">
        <v>155</v>
      </c>
      <c r="G16" s="13" t="s">
        <v>994</v>
      </c>
      <c r="H16" s="12" t="s">
        <v>86</v>
      </c>
      <c r="I16" s="12" t="s">
        <v>98</v>
      </c>
      <c r="J16" s="14" t="n">
        <v>46228</v>
      </c>
      <c r="K16" s="13" t="s">
        <v>995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996</v>
      </c>
      <c r="B17" s="12" t="s">
        <v>159</v>
      </c>
      <c r="C17" s="12" t="s">
        <v>44</v>
      </c>
      <c r="D17" s="13" t="s">
        <v>997</v>
      </c>
      <c r="E17" s="12" t="s">
        <v>120</v>
      </c>
      <c r="F17" s="12" t="s">
        <v>161</v>
      </c>
      <c r="G17" s="13" t="s">
        <v>998</v>
      </c>
      <c r="H17" s="12" t="s">
        <v>82</v>
      </c>
      <c r="I17" s="12" t="s">
        <v>98</v>
      </c>
      <c r="J17" s="14"/>
      <c r="K17" s="13" t="s">
        <v>889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999</v>
      </c>
      <c r="B18" s="12" t="s">
        <v>165</v>
      </c>
      <c r="C18" s="12" t="s">
        <v>44</v>
      </c>
      <c r="D18" s="13" t="s">
        <v>1000</v>
      </c>
      <c r="E18" s="12" t="s">
        <v>120</v>
      </c>
      <c r="F18" s="12" t="s">
        <v>161</v>
      </c>
      <c r="G18" s="13" t="s">
        <v>1001</v>
      </c>
      <c r="H18" s="12" t="s">
        <v>82</v>
      </c>
      <c r="I18" s="12" t="s">
        <v>98</v>
      </c>
      <c r="J18" s="14"/>
      <c r="K18" s="13" t="s">
        <v>790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1002</v>
      </c>
      <c r="B19" s="12" t="s">
        <v>648</v>
      </c>
      <c r="C19" s="12" t="s">
        <v>44</v>
      </c>
      <c r="D19" s="13" t="s">
        <v>1003</v>
      </c>
      <c r="E19" s="12" t="s">
        <v>120</v>
      </c>
      <c r="F19" s="12" t="s">
        <v>145</v>
      </c>
      <c r="G19" s="13" t="s">
        <v>989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1004</v>
      </c>
      <c r="B20" s="12" t="s">
        <v>173</v>
      </c>
      <c r="C20" s="12" t="s">
        <v>44</v>
      </c>
      <c r="D20" s="13" t="s">
        <v>1005</v>
      </c>
      <c r="E20" s="12" t="s">
        <v>120</v>
      </c>
      <c r="F20" s="12" t="s">
        <v>161</v>
      </c>
      <c r="G20" s="13" t="s">
        <v>998</v>
      </c>
      <c r="H20" s="12" t="s">
        <v>82</v>
      </c>
      <c r="I20" s="12" t="s">
        <v>98</v>
      </c>
      <c r="J20" s="14"/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1006</v>
      </c>
      <c r="B21" s="12" t="s">
        <v>177</v>
      </c>
      <c r="C21" s="12" t="s">
        <v>44</v>
      </c>
      <c r="D21" s="13" t="s">
        <v>1007</v>
      </c>
      <c r="E21" s="12" t="s">
        <v>120</v>
      </c>
      <c r="F21" s="12" t="s">
        <v>179</v>
      </c>
      <c r="G21" s="13" t="s">
        <v>1008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1009</v>
      </c>
      <c r="B22" s="12" t="s">
        <v>182</v>
      </c>
      <c r="C22" s="12" t="s">
        <v>44</v>
      </c>
      <c r="D22" s="13" t="s">
        <v>1010</v>
      </c>
      <c r="E22" s="12" t="s">
        <v>120</v>
      </c>
      <c r="F22" s="12" t="s">
        <v>179</v>
      </c>
      <c r="G22" s="13" t="s">
        <v>1011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1012</v>
      </c>
      <c r="B23" s="12" t="s">
        <v>186</v>
      </c>
      <c r="C23" s="12" t="s">
        <v>44</v>
      </c>
      <c r="D23" s="13" t="s">
        <v>1013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1014</v>
      </c>
      <c r="B24" s="12" t="s">
        <v>608</v>
      </c>
      <c r="C24" s="12" t="s">
        <v>44</v>
      </c>
      <c r="D24" s="13" t="s">
        <v>1015</v>
      </c>
      <c r="E24" s="12" t="s">
        <v>120</v>
      </c>
      <c r="F24" s="12" t="s">
        <v>120</v>
      </c>
      <c r="G24" s="13" t="s">
        <v>1016</v>
      </c>
      <c r="H24" s="12" t="s">
        <v>84</v>
      </c>
      <c r="I24" s="12" t="s">
        <v>99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1017</v>
      </c>
      <c r="B25" s="12" t="s">
        <v>191</v>
      </c>
      <c r="C25" s="12" t="s">
        <v>44</v>
      </c>
      <c r="D25" s="13" t="s">
        <v>1018</v>
      </c>
      <c r="E25" s="12" t="s">
        <v>120</v>
      </c>
      <c r="F25" s="12" t="s">
        <v>120</v>
      </c>
      <c r="G25" s="13" t="s">
        <v>1019</v>
      </c>
      <c r="H25" s="12" t="s">
        <v>82</v>
      </c>
      <c r="I25" s="12" t="s">
        <v>98</v>
      </c>
      <c r="J25" s="14"/>
      <c r="K25" s="13" t="s">
        <v>1020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15</v>
      </c>
      <c r="D4" s="5" t="s">
        <v>102</v>
      </c>
      <c r="E4" s="6" t="n">
        <f aca="false">SUM(M9:M25)</f>
        <v>11</v>
      </c>
      <c r="G4" s="5" t="s">
        <v>13</v>
      </c>
      <c r="H4" s="7" t="n">
        <f aca="false">IF(B4=0,0,E4/B4)</f>
        <v>0.733333333333333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1023</v>
      </c>
      <c r="B9" s="12" t="s">
        <v>117</v>
      </c>
      <c r="C9" s="12" t="s">
        <v>45</v>
      </c>
      <c r="D9" s="13" t="s">
        <v>1024</v>
      </c>
      <c r="E9" s="12" t="s">
        <v>120</v>
      </c>
      <c r="F9" s="12" t="s">
        <v>121</v>
      </c>
      <c r="G9" s="13" t="s">
        <v>1025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1026</v>
      </c>
      <c r="B10" s="12" t="s">
        <v>124</v>
      </c>
      <c r="C10" s="12" t="s">
        <v>45</v>
      </c>
      <c r="D10" s="13" t="s">
        <v>1027</v>
      </c>
      <c r="E10" s="12" t="s">
        <v>120</v>
      </c>
      <c r="F10" s="12" t="s">
        <v>120</v>
      </c>
      <c r="G10" s="13" t="s">
        <v>568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1028</v>
      </c>
      <c r="B11" s="12" t="s">
        <v>128</v>
      </c>
      <c r="C11" s="12" t="s">
        <v>45</v>
      </c>
      <c r="D11" s="13" t="s">
        <v>1029</v>
      </c>
      <c r="E11" s="12" t="s">
        <v>120</v>
      </c>
      <c r="F11" s="12" t="s">
        <v>130</v>
      </c>
      <c r="G11" s="13" t="s">
        <v>1030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1031</v>
      </c>
      <c r="B12" s="12" t="s">
        <v>133</v>
      </c>
      <c r="C12" s="12" t="s">
        <v>45</v>
      </c>
      <c r="D12" s="13" t="s">
        <v>1032</v>
      </c>
      <c r="E12" s="12" t="s">
        <v>120</v>
      </c>
      <c r="F12" s="12" t="s">
        <v>135</v>
      </c>
      <c r="G12" s="13" t="s">
        <v>1033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1034</v>
      </c>
      <c r="B13" s="12" t="s">
        <v>138</v>
      </c>
      <c r="C13" s="12" t="s">
        <v>45</v>
      </c>
      <c r="D13" s="13" t="s">
        <v>1035</v>
      </c>
      <c r="E13" s="12" t="s">
        <v>120</v>
      </c>
      <c r="F13" s="12" t="s">
        <v>140</v>
      </c>
      <c r="G13" s="13" t="s">
        <v>1036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1037</v>
      </c>
      <c r="B14" s="12" t="s">
        <v>143</v>
      </c>
      <c r="C14" s="12" t="s">
        <v>45</v>
      </c>
      <c r="D14" s="13" t="s">
        <v>1038</v>
      </c>
      <c r="E14" s="12" t="s">
        <v>120</v>
      </c>
      <c r="F14" s="12" t="s">
        <v>145</v>
      </c>
      <c r="G14" s="13" t="s">
        <v>1039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1040</v>
      </c>
      <c r="B15" s="12" t="s">
        <v>148</v>
      </c>
      <c r="C15" s="12" t="s">
        <v>45</v>
      </c>
      <c r="D15" s="13" t="s">
        <v>1041</v>
      </c>
      <c r="E15" s="12" t="s">
        <v>120</v>
      </c>
      <c r="F15" s="12" t="s">
        <v>150</v>
      </c>
      <c r="G15" s="13" t="s">
        <v>1039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1042</v>
      </c>
      <c r="B16" s="12" t="s">
        <v>153</v>
      </c>
      <c r="C16" s="12" t="s">
        <v>45</v>
      </c>
      <c r="D16" s="13" t="s">
        <v>1043</v>
      </c>
      <c r="E16" s="12" t="s">
        <v>120</v>
      </c>
      <c r="F16" s="12" t="s">
        <v>155</v>
      </c>
      <c r="G16" s="13" t="s">
        <v>1044</v>
      </c>
      <c r="H16" s="12" t="s">
        <v>82</v>
      </c>
      <c r="I16" s="12" t="s">
        <v>98</v>
      </c>
      <c r="J16" s="14" t="n">
        <v>46228</v>
      </c>
      <c r="K16" s="13" t="s">
        <v>1045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1046</v>
      </c>
      <c r="B17" s="12" t="s">
        <v>159</v>
      </c>
      <c r="C17" s="12" t="s">
        <v>45</v>
      </c>
      <c r="D17" s="13" t="s">
        <v>1047</v>
      </c>
      <c r="E17" s="12" t="s">
        <v>120</v>
      </c>
      <c r="F17" s="12" t="s">
        <v>161</v>
      </c>
      <c r="G17" s="13" t="s">
        <v>1048</v>
      </c>
      <c r="H17" s="12" t="s">
        <v>82</v>
      </c>
      <c r="I17" s="12" t="s">
        <v>98</v>
      </c>
      <c r="J17" s="14"/>
      <c r="K17" s="13" t="s">
        <v>1049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1050</v>
      </c>
      <c r="B18" s="12" t="s">
        <v>173</v>
      </c>
      <c r="C18" s="12" t="s">
        <v>45</v>
      </c>
      <c r="D18" s="13" t="s">
        <v>1051</v>
      </c>
      <c r="E18" s="12" t="s">
        <v>120</v>
      </c>
      <c r="F18" s="12" t="s">
        <v>161</v>
      </c>
      <c r="G18" s="13" t="s">
        <v>1048</v>
      </c>
      <c r="H18" s="12" t="s">
        <v>82</v>
      </c>
      <c r="I18" s="12" t="s">
        <v>98</v>
      </c>
      <c r="J18" s="14"/>
      <c r="K18" s="13" t="s">
        <v>1049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1052</v>
      </c>
      <c r="B19" s="12" t="s">
        <v>177</v>
      </c>
      <c r="C19" s="12" t="s">
        <v>45</v>
      </c>
      <c r="D19" s="13" t="s">
        <v>1053</v>
      </c>
      <c r="E19" s="12" t="s">
        <v>120</v>
      </c>
      <c r="F19" s="12" t="s">
        <v>179</v>
      </c>
      <c r="G19" s="13" t="s">
        <v>1054</v>
      </c>
      <c r="H19" s="12" t="s">
        <v>84</v>
      </c>
      <c r="I19" s="12" t="s">
        <v>99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1055</v>
      </c>
      <c r="B20" s="12" t="s">
        <v>182</v>
      </c>
      <c r="C20" s="12" t="s">
        <v>45</v>
      </c>
      <c r="D20" s="13" t="s">
        <v>1056</v>
      </c>
      <c r="E20" s="12" t="s">
        <v>120</v>
      </c>
      <c r="F20" s="12" t="s">
        <v>179</v>
      </c>
      <c r="G20" s="13" t="s">
        <v>1057</v>
      </c>
      <c r="H20" s="12" t="s">
        <v>84</v>
      </c>
      <c r="I20" s="12" t="s">
        <v>99</v>
      </c>
      <c r="J20" s="14" t="n">
        <v>46228</v>
      </c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1058</v>
      </c>
      <c r="B21" s="12" t="s">
        <v>186</v>
      </c>
      <c r="C21" s="12" t="s">
        <v>45</v>
      </c>
      <c r="D21" s="13" t="s">
        <v>1059</v>
      </c>
      <c r="E21" s="12" t="s">
        <v>188</v>
      </c>
      <c r="F21" s="12" t="s">
        <v>188</v>
      </c>
      <c r="G21" s="13" t="s">
        <v>189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1060</v>
      </c>
      <c r="B22" s="12" t="s">
        <v>608</v>
      </c>
      <c r="C22" s="12" t="s">
        <v>45</v>
      </c>
      <c r="D22" s="13" t="s">
        <v>1061</v>
      </c>
      <c r="E22" s="12" t="s">
        <v>120</v>
      </c>
      <c r="F22" s="12" t="s">
        <v>120</v>
      </c>
      <c r="G22" s="13" t="s">
        <v>1062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1063</v>
      </c>
      <c r="B23" s="12" t="s">
        <v>191</v>
      </c>
      <c r="C23" s="12" t="s">
        <v>45</v>
      </c>
      <c r="D23" s="13" t="s">
        <v>1018</v>
      </c>
      <c r="E23" s="12" t="s">
        <v>120</v>
      </c>
      <c r="F23" s="12" t="s">
        <v>120</v>
      </c>
      <c r="G23" s="13" t="s">
        <v>614</v>
      </c>
      <c r="H23" s="12" t="s">
        <v>82</v>
      </c>
      <c r="I23" s="12" t="s">
        <v>98</v>
      </c>
      <c r="J23" s="14" t="n">
        <v>46228</v>
      </c>
      <c r="K23" s="13" t="s">
        <v>1064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12</v>
      </c>
      <c r="G4" s="5" t="s">
        <v>13</v>
      </c>
      <c r="H4" s="7" t="n">
        <f aca="false">IF(B4=0,0,E4/B4)</f>
        <v>0.75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1067</v>
      </c>
      <c r="B9" s="12" t="s">
        <v>117</v>
      </c>
      <c r="C9" s="12" t="s">
        <v>1068</v>
      </c>
      <c r="D9" s="13" t="s">
        <v>1069</v>
      </c>
      <c r="E9" s="12" t="s">
        <v>120</v>
      </c>
      <c r="F9" s="12" t="s">
        <v>121</v>
      </c>
      <c r="G9" s="13" t="s">
        <v>1070</v>
      </c>
      <c r="H9" s="12" t="s">
        <v>84</v>
      </c>
      <c r="I9" s="12" t="s">
        <v>99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1071</v>
      </c>
      <c r="B10" s="12" t="s">
        <v>168</v>
      </c>
      <c r="C10" s="12" t="s">
        <v>1072</v>
      </c>
      <c r="D10" s="13" t="s">
        <v>1073</v>
      </c>
      <c r="E10" s="12" t="s">
        <v>120</v>
      </c>
      <c r="F10" s="12" t="s">
        <v>140</v>
      </c>
      <c r="G10" s="13" t="s">
        <v>1074</v>
      </c>
      <c r="H10" s="12" t="s">
        <v>84</v>
      </c>
      <c r="I10" s="12" t="s">
        <v>99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1075</v>
      </c>
      <c r="B11" s="12" t="s">
        <v>1076</v>
      </c>
      <c r="C11" s="12" t="s">
        <v>1077</v>
      </c>
      <c r="D11" s="13" t="s">
        <v>1078</v>
      </c>
      <c r="E11" s="12" t="s">
        <v>120</v>
      </c>
      <c r="F11" s="12" t="s">
        <v>140</v>
      </c>
      <c r="G11" s="13" t="s">
        <v>1074</v>
      </c>
      <c r="H11" s="12" t="s">
        <v>84</v>
      </c>
      <c r="I11" s="12" t="s">
        <v>99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1079</v>
      </c>
      <c r="B12" s="12" t="s">
        <v>124</v>
      </c>
      <c r="C12" s="12" t="s">
        <v>46</v>
      </c>
      <c r="D12" s="13" t="s">
        <v>1080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1081</v>
      </c>
      <c r="B13" s="12" t="s">
        <v>128</v>
      </c>
      <c r="C13" s="12" t="s">
        <v>46</v>
      </c>
      <c r="D13" s="13" t="s">
        <v>1082</v>
      </c>
      <c r="E13" s="12" t="s">
        <v>120</v>
      </c>
      <c r="F13" s="12" t="s">
        <v>130</v>
      </c>
      <c r="G13" s="13" t="s">
        <v>1083</v>
      </c>
      <c r="H13" s="12" t="s">
        <v>84</v>
      </c>
      <c r="I13" s="12" t="s">
        <v>99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1084</v>
      </c>
      <c r="B14" s="12" t="s">
        <v>133</v>
      </c>
      <c r="C14" s="12" t="s">
        <v>46</v>
      </c>
      <c r="D14" s="13" t="s">
        <v>1085</v>
      </c>
      <c r="E14" s="12" t="s">
        <v>120</v>
      </c>
      <c r="F14" s="12" t="s">
        <v>135</v>
      </c>
      <c r="G14" s="13" t="s">
        <v>1086</v>
      </c>
      <c r="H14" s="12" t="s">
        <v>84</v>
      </c>
      <c r="I14" s="12" t="s">
        <v>99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1087</v>
      </c>
      <c r="B15" s="12" t="s">
        <v>143</v>
      </c>
      <c r="C15" s="12" t="s">
        <v>46</v>
      </c>
      <c r="D15" s="13" t="s">
        <v>1088</v>
      </c>
      <c r="E15" s="12" t="s">
        <v>120</v>
      </c>
      <c r="F15" s="12" t="s">
        <v>145</v>
      </c>
      <c r="G15" s="13" t="s">
        <v>1089</v>
      </c>
      <c r="H15" s="12" t="s">
        <v>84</v>
      </c>
      <c r="I15" s="12" t="s">
        <v>99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1090</v>
      </c>
      <c r="B16" s="12" t="s">
        <v>148</v>
      </c>
      <c r="C16" s="12" t="s">
        <v>1091</v>
      </c>
      <c r="D16" s="13" t="s">
        <v>1092</v>
      </c>
      <c r="E16" s="12" t="s">
        <v>120</v>
      </c>
      <c r="F16" s="12" t="s">
        <v>150</v>
      </c>
      <c r="G16" s="13" t="s">
        <v>1089</v>
      </c>
      <c r="H16" s="12" t="s">
        <v>84</v>
      </c>
      <c r="I16" s="12" t="s">
        <v>99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1093</v>
      </c>
      <c r="B17" s="12" t="s">
        <v>153</v>
      </c>
      <c r="C17" s="12" t="s">
        <v>46</v>
      </c>
      <c r="D17" s="13" t="s">
        <v>1094</v>
      </c>
      <c r="E17" s="12" t="s">
        <v>120</v>
      </c>
      <c r="F17" s="12" t="s">
        <v>155</v>
      </c>
      <c r="G17" s="13" t="s">
        <v>1095</v>
      </c>
      <c r="H17" s="12" t="s">
        <v>82</v>
      </c>
      <c r="I17" s="12" t="s">
        <v>98</v>
      </c>
      <c r="J17" s="14"/>
      <c r="K17" s="13" t="s">
        <v>1045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1096</v>
      </c>
      <c r="B18" s="12" t="s">
        <v>159</v>
      </c>
      <c r="C18" s="12" t="s">
        <v>46</v>
      </c>
      <c r="D18" s="13" t="s">
        <v>1097</v>
      </c>
      <c r="E18" s="12" t="s">
        <v>120</v>
      </c>
      <c r="F18" s="12" t="s">
        <v>161</v>
      </c>
      <c r="G18" s="13" t="s">
        <v>1098</v>
      </c>
      <c r="H18" s="12" t="s">
        <v>82</v>
      </c>
      <c r="I18" s="12" t="s">
        <v>98</v>
      </c>
      <c r="J18" s="14"/>
      <c r="K18" s="13" t="s">
        <v>1049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1099</v>
      </c>
      <c r="B19" s="12" t="s">
        <v>173</v>
      </c>
      <c r="C19" s="12" t="s">
        <v>46</v>
      </c>
      <c r="D19" s="13" t="s">
        <v>1100</v>
      </c>
      <c r="E19" s="12" t="s">
        <v>120</v>
      </c>
      <c r="F19" s="12" t="s">
        <v>161</v>
      </c>
      <c r="G19" s="13" t="s">
        <v>1098</v>
      </c>
      <c r="H19" s="12" t="s">
        <v>82</v>
      </c>
      <c r="I19" s="12" t="s">
        <v>98</v>
      </c>
      <c r="J19" s="14" t="n">
        <v>46228</v>
      </c>
      <c r="K19" s="13" t="s">
        <v>1049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1101</v>
      </c>
      <c r="B20" s="12" t="s">
        <v>177</v>
      </c>
      <c r="C20" s="12" t="s">
        <v>46</v>
      </c>
      <c r="D20" s="13" t="s">
        <v>1102</v>
      </c>
      <c r="E20" s="12" t="s">
        <v>120</v>
      </c>
      <c r="F20" s="12" t="s">
        <v>179</v>
      </c>
      <c r="G20" s="13" t="s">
        <v>1103</v>
      </c>
      <c r="H20" s="12" t="s">
        <v>84</v>
      </c>
      <c r="I20" s="12" t="s">
        <v>99</v>
      </c>
      <c r="J20" s="14" t="n">
        <v>46228</v>
      </c>
      <c r="K20" s="13" t="s">
        <v>894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1104</v>
      </c>
      <c r="B21" s="12" t="s">
        <v>182</v>
      </c>
      <c r="C21" s="12" t="s">
        <v>46</v>
      </c>
      <c r="D21" s="13" t="s">
        <v>1105</v>
      </c>
      <c r="E21" s="12" t="s">
        <v>120</v>
      </c>
      <c r="F21" s="12" t="s">
        <v>179</v>
      </c>
      <c r="G21" s="13" t="s">
        <v>1106</v>
      </c>
      <c r="H21" s="12" t="s">
        <v>84</v>
      </c>
      <c r="I21" s="12" t="s">
        <v>99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1107</v>
      </c>
      <c r="B22" s="12" t="s">
        <v>186</v>
      </c>
      <c r="C22" s="12" t="s">
        <v>46</v>
      </c>
      <c r="D22" s="13" t="s">
        <v>1108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1109</v>
      </c>
      <c r="B23" s="12" t="s">
        <v>608</v>
      </c>
      <c r="C23" s="12" t="s">
        <v>46</v>
      </c>
      <c r="D23" s="13" t="s">
        <v>1110</v>
      </c>
      <c r="E23" s="12" t="s">
        <v>120</v>
      </c>
      <c r="F23" s="12" t="s">
        <v>120</v>
      </c>
      <c r="G23" s="13" t="s">
        <v>1062</v>
      </c>
      <c r="H23" s="12" t="s">
        <v>84</v>
      </c>
      <c r="I23" s="12" t="s">
        <v>99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1111</v>
      </c>
      <c r="B24" s="12" t="s">
        <v>191</v>
      </c>
      <c r="C24" s="12" t="s">
        <v>46</v>
      </c>
      <c r="D24" s="13" t="s">
        <v>1112</v>
      </c>
      <c r="E24" s="12" t="s">
        <v>120</v>
      </c>
      <c r="F24" s="12" t="s">
        <v>120</v>
      </c>
      <c r="G24" s="13" t="s">
        <v>614</v>
      </c>
      <c r="H24" s="12" t="s">
        <v>82</v>
      </c>
      <c r="I24" s="12" t="s">
        <v>98</v>
      </c>
      <c r="J24" s="14" t="n">
        <v>46228</v>
      </c>
      <c r="K24" s="13" t="s">
        <v>1064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16</v>
      </c>
      <c r="G4" s="5" t="s">
        <v>13</v>
      </c>
      <c r="H4" s="7" t="n">
        <f aca="false">IF(B4=0,0,E4/B4)</f>
        <v>1</v>
      </c>
      <c r="J4" s="5" t="s">
        <v>14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complete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1115</v>
      </c>
      <c r="B9" s="12" t="s">
        <v>117</v>
      </c>
      <c r="C9" s="12" t="s">
        <v>1068</v>
      </c>
      <c r="D9" s="13" t="s">
        <v>1116</v>
      </c>
      <c r="E9" s="12" t="s">
        <v>120</v>
      </c>
      <c r="F9" s="12" t="s">
        <v>121</v>
      </c>
      <c r="G9" s="13" t="s">
        <v>1070</v>
      </c>
      <c r="H9" s="12" t="s">
        <v>84</v>
      </c>
      <c r="I9" s="12" t="s">
        <v>99</v>
      </c>
      <c r="J9" s="14" t="s">
        <v>120</v>
      </c>
      <c r="K9" s="13" t="s">
        <v>1117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1118</v>
      </c>
      <c r="B10" s="12" t="s">
        <v>1119</v>
      </c>
      <c r="C10" s="12" t="s">
        <v>768</v>
      </c>
      <c r="D10" s="13" t="s">
        <v>1120</v>
      </c>
      <c r="E10" s="12" t="s">
        <v>120</v>
      </c>
      <c r="F10" s="12" t="s">
        <v>140</v>
      </c>
      <c r="G10" s="13" t="s">
        <v>1074</v>
      </c>
      <c r="H10" s="12" t="s">
        <v>84</v>
      </c>
      <c r="I10" s="12" t="s">
        <v>99</v>
      </c>
      <c r="J10" s="14" t="s">
        <v>120</v>
      </c>
      <c r="K10" s="13" t="s">
        <v>1117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1121</v>
      </c>
      <c r="B11" s="12" t="s">
        <v>1072</v>
      </c>
      <c r="C11" s="12" t="s">
        <v>32</v>
      </c>
      <c r="D11" s="13" t="s">
        <v>1122</v>
      </c>
      <c r="E11" s="12" t="s">
        <v>120</v>
      </c>
      <c r="F11" s="12" t="s">
        <v>140</v>
      </c>
      <c r="G11" s="13" t="s">
        <v>1074</v>
      </c>
      <c r="H11" s="12" t="s">
        <v>84</v>
      </c>
      <c r="I11" s="12" t="s">
        <v>99</v>
      </c>
      <c r="J11" s="14" t="s">
        <v>120</v>
      </c>
      <c r="K11" s="13" t="s">
        <v>1117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1123</v>
      </c>
      <c r="B12" s="12" t="s">
        <v>1124</v>
      </c>
      <c r="C12" s="12" t="s">
        <v>1125</v>
      </c>
      <c r="D12" s="13" t="s">
        <v>1126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s">
        <v>120</v>
      </c>
      <c r="K12" s="13" t="s">
        <v>1117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1127</v>
      </c>
      <c r="B13" s="12" t="s">
        <v>124</v>
      </c>
      <c r="C13" s="12" t="s">
        <v>47</v>
      </c>
      <c r="D13" s="13" t="s">
        <v>1128</v>
      </c>
      <c r="E13" s="12" t="s">
        <v>120</v>
      </c>
      <c r="F13" s="12" t="s">
        <v>130</v>
      </c>
      <c r="G13" s="13" t="s">
        <v>1083</v>
      </c>
      <c r="H13" s="12" t="s">
        <v>84</v>
      </c>
      <c r="I13" s="12" t="s">
        <v>99</v>
      </c>
      <c r="J13" s="14" t="s">
        <v>120</v>
      </c>
      <c r="K13" s="13" t="s">
        <v>1117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1129</v>
      </c>
      <c r="B14" s="12" t="s">
        <v>128</v>
      </c>
      <c r="C14" s="12" t="s">
        <v>47</v>
      </c>
      <c r="D14" s="13" t="s">
        <v>1130</v>
      </c>
      <c r="E14" s="12" t="s">
        <v>120</v>
      </c>
      <c r="F14" s="12" t="s">
        <v>135</v>
      </c>
      <c r="G14" s="13" t="s">
        <v>1086</v>
      </c>
      <c r="H14" s="12" t="s">
        <v>84</v>
      </c>
      <c r="I14" s="12" t="s">
        <v>99</v>
      </c>
      <c r="J14" s="14" t="s">
        <v>120</v>
      </c>
      <c r="K14" s="13" t="s">
        <v>1117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1131</v>
      </c>
      <c r="B15" s="12" t="s">
        <v>133</v>
      </c>
      <c r="C15" s="12" t="s">
        <v>47</v>
      </c>
      <c r="D15" s="13" t="s">
        <v>1132</v>
      </c>
      <c r="E15" s="12" t="s">
        <v>120</v>
      </c>
      <c r="F15" s="12" t="s">
        <v>145</v>
      </c>
      <c r="G15" s="13" t="s">
        <v>1089</v>
      </c>
      <c r="H15" s="12" t="s">
        <v>84</v>
      </c>
      <c r="I15" s="12" t="s">
        <v>99</v>
      </c>
      <c r="J15" s="14" t="s">
        <v>120</v>
      </c>
      <c r="K15" s="13" t="s">
        <v>1117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1133</v>
      </c>
      <c r="B16" s="12" t="s">
        <v>143</v>
      </c>
      <c r="C16" s="12" t="s">
        <v>47</v>
      </c>
      <c r="D16" s="13" t="s">
        <v>1134</v>
      </c>
      <c r="E16" s="12" t="s">
        <v>120</v>
      </c>
      <c r="F16" s="12" t="s">
        <v>150</v>
      </c>
      <c r="G16" s="13" t="s">
        <v>1089</v>
      </c>
      <c r="H16" s="12" t="s">
        <v>84</v>
      </c>
      <c r="I16" s="12" t="s">
        <v>99</v>
      </c>
      <c r="J16" s="14" t="s">
        <v>120</v>
      </c>
      <c r="K16" s="13" t="s">
        <v>1117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1135</v>
      </c>
      <c r="B17" s="12" t="s">
        <v>148</v>
      </c>
      <c r="C17" s="12" t="s">
        <v>1136</v>
      </c>
      <c r="D17" s="13" t="s">
        <v>1137</v>
      </c>
      <c r="E17" s="12" t="s">
        <v>120</v>
      </c>
      <c r="F17" s="12" t="s">
        <v>155</v>
      </c>
      <c r="G17" s="13" t="s">
        <v>1095</v>
      </c>
      <c r="H17" s="12" t="s">
        <v>84</v>
      </c>
      <c r="I17" s="12" t="s">
        <v>98</v>
      </c>
      <c r="J17" s="14" t="s">
        <v>120</v>
      </c>
      <c r="K17" s="13" t="s">
        <v>1117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1138</v>
      </c>
      <c r="B18" s="12" t="s">
        <v>153</v>
      </c>
      <c r="C18" s="12" t="s">
        <v>47</v>
      </c>
      <c r="D18" s="13" t="s">
        <v>1139</v>
      </c>
      <c r="E18" s="12" t="s">
        <v>120</v>
      </c>
      <c r="F18" s="12" t="s">
        <v>161</v>
      </c>
      <c r="G18" s="13" t="s">
        <v>1098</v>
      </c>
      <c r="H18" s="12" t="s">
        <v>84</v>
      </c>
      <c r="I18" s="12" t="s">
        <v>98</v>
      </c>
      <c r="J18" s="14" t="s">
        <v>120</v>
      </c>
      <c r="K18" s="13" t="s">
        <v>1117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1140</v>
      </c>
      <c r="B19" s="12" t="s">
        <v>173</v>
      </c>
      <c r="C19" s="12" t="s">
        <v>47</v>
      </c>
      <c r="D19" s="13" t="s">
        <v>1141</v>
      </c>
      <c r="E19" s="12" t="s">
        <v>120</v>
      </c>
      <c r="F19" s="12" t="s">
        <v>161</v>
      </c>
      <c r="G19" s="13" t="s">
        <v>1098</v>
      </c>
      <c r="H19" s="12" t="s">
        <v>84</v>
      </c>
      <c r="I19" s="12" t="s">
        <v>98</v>
      </c>
      <c r="J19" s="14" t="s">
        <v>120</v>
      </c>
      <c r="K19" s="13" t="s">
        <v>1142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1143</v>
      </c>
      <c r="B20" s="12" t="s">
        <v>177</v>
      </c>
      <c r="C20" s="12" t="s">
        <v>47</v>
      </c>
      <c r="D20" s="13" t="s">
        <v>1144</v>
      </c>
      <c r="E20" s="12" t="s">
        <v>120</v>
      </c>
      <c r="F20" s="12" t="s">
        <v>179</v>
      </c>
      <c r="G20" s="13" t="s">
        <v>1103</v>
      </c>
      <c r="H20" s="12" t="s">
        <v>84</v>
      </c>
      <c r="I20" s="12" t="s">
        <v>99</v>
      </c>
      <c r="J20" s="14" t="s">
        <v>120</v>
      </c>
      <c r="K20" s="13" t="s">
        <v>1117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1145</v>
      </c>
      <c r="B21" s="12" t="s">
        <v>182</v>
      </c>
      <c r="C21" s="12" t="s">
        <v>47</v>
      </c>
      <c r="D21" s="13" t="s">
        <v>1146</v>
      </c>
      <c r="E21" s="12" t="s">
        <v>120</v>
      </c>
      <c r="F21" s="12" t="s">
        <v>179</v>
      </c>
      <c r="G21" s="13" t="s">
        <v>1106</v>
      </c>
      <c r="H21" s="12" t="s">
        <v>84</v>
      </c>
      <c r="I21" s="12" t="s">
        <v>99</v>
      </c>
      <c r="J21" s="14" t="s">
        <v>120</v>
      </c>
      <c r="K21" s="13" t="s">
        <v>1117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1147</v>
      </c>
      <c r="B22" s="12" t="s">
        <v>186</v>
      </c>
      <c r="C22" s="12" t="s">
        <v>47</v>
      </c>
      <c r="D22" s="13" t="s">
        <v>1148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 t="s">
        <v>120</v>
      </c>
      <c r="K22" s="13" t="s">
        <v>1117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1149</v>
      </c>
      <c r="B23" s="12" t="s">
        <v>608</v>
      </c>
      <c r="C23" s="12" t="s">
        <v>47</v>
      </c>
      <c r="D23" s="13" t="s">
        <v>1150</v>
      </c>
      <c r="E23" s="12" t="s">
        <v>120</v>
      </c>
      <c r="F23" s="12" t="s">
        <v>120</v>
      </c>
      <c r="G23" s="13" t="s">
        <v>1062</v>
      </c>
      <c r="H23" s="12" t="s">
        <v>84</v>
      </c>
      <c r="I23" s="12" t="s">
        <v>99</v>
      </c>
      <c r="J23" s="14" t="s">
        <v>120</v>
      </c>
      <c r="K23" s="13" t="s">
        <v>1117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1151</v>
      </c>
      <c r="B24" s="12" t="s">
        <v>191</v>
      </c>
      <c r="C24" s="12" t="s">
        <v>47</v>
      </c>
      <c r="D24" s="13" t="s">
        <v>1112</v>
      </c>
      <c r="E24" s="12" t="s">
        <v>120</v>
      </c>
      <c r="F24" s="12" t="s">
        <v>120</v>
      </c>
      <c r="G24" s="13" t="s">
        <v>614</v>
      </c>
      <c r="H24" s="12" t="s">
        <v>84</v>
      </c>
      <c r="I24" s="12" t="s">
        <v>99</v>
      </c>
      <c r="J24" s="14" t="s">
        <v>120</v>
      </c>
      <c r="K24" s="13" t="s">
        <v>1117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16</v>
      </c>
      <c r="D4" s="5" t="s">
        <v>102</v>
      </c>
      <c r="E4" s="6" t="n">
        <f aca="false">SUM(M9:M25)</f>
        <v>13</v>
      </c>
      <c r="G4" s="5" t="s">
        <v>13</v>
      </c>
      <c r="H4" s="7" t="n">
        <f aca="false">IF(B4=0,0,E4/B4)</f>
        <v>0.8125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1154</v>
      </c>
      <c r="B9" s="12" t="s">
        <v>117</v>
      </c>
      <c r="C9" s="12" t="s">
        <v>1155</v>
      </c>
      <c r="D9" s="13" t="s">
        <v>1156</v>
      </c>
      <c r="E9" s="12" t="s">
        <v>120</v>
      </c>
      <c r="F9" s="12" t="s">
        <v>121</v>
      </c>
      <c r="G9" s="13" t="s">
        <v>1157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1158</v>
      </c>
      <c r="B10" s="12" t="s">
        <v>1159</v>
      </c>
      <c r="C10" s="12" t="s">
        <v>768</v>
      </c>
      <c r="D10" s="13" t="s">
        <v>1160</v>
      </c>
      <c r="E10" s="12" t="s">
        <v>120</v>
      </c>
      <c r="F10" s="12" t="s">
        <v>140</v>
      </c>
      <c r="G10" s="13" t="s">
        <v>1161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1162</v>
      </c>
      <c r="B11" s="12" t="s">
        <v>1119</v>
      </c>
      <c r="C11" s="12" t="s">
        <v>1163</v>
      </c>
      <c r="D11" s="13" t="s">
        <v>1164</v>
      </c>
      <c r="E11" s="12" t="s">
        <v>120</v>
      </c>
      <c r="F11" s="12" t="s">
        <v>145</v>
      </c>
      <c r="G11" s="13" t="s">
        <v>1165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1166</v>
      </c>
      <c r="B12" s="12" t="s">
        <v>148</v>
      </c>
      <c r="C12" s="12" t="s">
        <v>1167</v>
      </c>
      <c r="D12" s="13" t="s">
        <v>1168</v>
      </c>
      <c r="E12" s="12" t="s">
        <v>120</v>
      </c>
      <c r="F12" s="12" t="s">
        <v>145</v>
      </c>
      <c r="G12" s="13" t="s">
        <v>1165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1169</v>
      </c>
      <c r="B13" s="12" t="s">
        <v>168</v>
      </c>
      <c r="C13" s="12" t="s">
        <v>1170</v>
      </c>
      <c r="D13" s="13" t="s">
        <v>1171</v>
      </c>
      <c r="E13" s="12" t="s">
        <v>120</v>
      </c>
      <c r="F13" s="12" t="s">
        <v>140</v>
      </c>
      <c r="G13" s="13" t="s">
        <v>1161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1172</v>
      </c>
      <c r="B14" s="12" t="s">
        <v>124</v>
      </c>
      <c r="C14" s="12" t="s">
        <v>48</v>
      </c>
      <c r="D14" s="13" t="s">
        <v>1173</v>
      </c>
      <c r="E14" s="12" t="s">
        <v>120</v>
      </c>
      <c r="F14" s="12" t="s">
        <v>120</v>
      </c>
      <c r="G14" s="13" t="s">
        <v>126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1174</v>
      </c>
      <c r="B15" s="12" t="s">
        <v>128</v>
      </c>
      <c r="C15" s="12" t="s">
        <v>48</v>
      </c>
      <c r="D15" s="13" t="s">
        <v>1175</v>
      </c>
      <c r="E15" s="12" t="s">
        <v>120</v>
      </c>
      <c r="F15" s="12" t="s">
        <v>130</v>
      </c>
      <c r="G15" s="13" t="s">
        <v>1176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1177</v>
      </c>
      <c r="B16" s="12" t="s">
        <v>133</v>
      </c>
      <c r="C16" s="12" t="s">
        <v>48</v>
      </c>
      <c r="D16" s="13" t="s">
        <v>1178</v>
      </c>
      <c r="E16" s="12" t="s">
        <v>120</v>
      </c>
      <c r="F16" s="12" t="s">
        <v>135</v>
      </c>
      <c r="G16" s="13" t="s">
        <v>1179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1180</v>
      </c>
      <c r="B17" s="12" t="s">
        <v>153</v>
      </c>
      <c r="C17" s="12" t="s">
        <v>48</v>
      </c>
      <c r="D17" s="13" t="s">
        <v>1181</v>
      </c>
      <c r="E17" s="12" t="s">
        <v>120</v>
      </c>
      <c r="F17" s="12" t="s">
        <v>155</v>
      </c>
      <c r="G17" s="13" t="s">
        <v>1182</v>
      </c>
      <c r="H17" s="12" t="s">
        <v>82</v>
      </c>
      <c r="I17" s="12" t="s">
        <v>98</v>
      </c>
      <c r="J17" s="14"/>
      <c r="K17" s="13" t="s">
        <v>1183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1184</v>
      </c>
      <c r="B18" s="12" t="s">
        <v>159</v>
      </c>
      <c r="C18" s="12" t="s">
        <v>48</v>
      </c>
      <c r="D18" s="13" t="s">
        <v>1185</v>
      </c>
      <c r="E18" s="12" t="s">
        <v>120</v>
      </c>
      <c r="F18" s="12" t="s">
        <v>161</v>
      </c>
      <c r="G18" s="13" t="s">
        <v>1186</v>
      </c>
      <c r="H18" s="12" t="s">
        <v>82</v>
      </c>
      <c r="I18" s="12" t="s">
        <v>98</v>
      </c>
      <c r="J18" s="14"/>
      <c r="K18" s="13" t="s">
        <v>1183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1187</v>
      </c>
      <c r="B19" s="12" t="s">
        <v>173</v>
      </c>
      <c r="C19" s="12" t="s">
        <v>48</v>
      </c>
      <c r="D19" s="13" t="s">
        <v>1188</v>
      </c>
      <c r="E19" s="12" t="s">
        <v>120</v>
      </c>
      <c r="F19" s="12" t="s">
        <v>161</v>
      </c>
      <c r="G19" s="13" t="s">
        <v>1186</v>
      </c>
      <c r="H19" s="12" t="s">
        <v>82</v>
      </c>
      <c r="I19" s="12" t="s">
        <v>98</v>
      </c>
      <c r="J19" s="14"/>
      <c r="K19" s="13" t="s">
        <v>1183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1189</v>
      </c>
      <c r="B20" s="12" t="s">
        <v>177</v>
      </c>
      <c r="C20" s="12" t="s">
        <v>48</v>
      </c>
      <c r="D20" s="13" t="s">
        <v>1190</v>
      </c>
      <c r="E20" s="12" t="s">
        <v>120</v>
      </c>
      <c r="F20" s="12" t="s">
        <v>179</v>
      </c>
      <c r="G20" s="13" t="s">
        <v>1191</v>
      </c>
      <c r="H20" s="12" t="s">
        <v>84</v>
      </c>
      <c r="I20" s="12" t="s">
        <v>99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1192</v>
      </c>
      <c r="B21" s="12" t="s">
        <v>182</v>
      </c>
      <c r="C21" s="12" t="s">
        <v>48</v>
      </c>
      <c r="D21" s="13" t="s">
        <v>1193</v>
      </c>
      <c r="E21" s="12" t="s">
        <v>120</v>
      </c>
      <c r="F21" s="12" t="s">
        <v>179</v>
      </c>
      <c r="G21" s="13" t="s">
        <v>1194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1195</v>
      </c>
      <c r="B22" s="12" t="s">
        <v>186</v>
      </c>
      <c r="C22" s="12" t="s">
        <v>48</v>
      </c>
      <c r="D22" s="13" t="s">
        <v>1196</v>
      </c>
      <c r="E22" s="12" t="s">
        <v>188</v>
      </c>
      <c r="F22" s="12" t="s">
        <v>188</v>
      </c>
      <c r="G22" s="13" t="s">
        <v>189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1197</v>
      </c>
      <c r="B23" s="12" t="s">
        <v>608</v>
      </c>
      <c r="C23" s="12" t="s">
        <v>1198</v>
      </c>
      <c r="D23" s="13" t="s">
        <v>1199</v>
      </c>
      <c r="E23" s="12" t="s">
        <v>120</v>
      </c>
      <c r="F23" s="12" t="s">
        <v>1200</v>
      </c>
      <c r="G23" s="13" t="s">
        <v>1201</v>
      </c>
      <c r="H23" s="12" t="s">
        <v>84</v>
      </c>
      <c r="I23" s="12" t="s">
        <v>99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1202</v>
      </c>
      <c r="B24" s="12" t="s">
        <v>191</v>
      </c>
      <c r="C24" s="12" t="s">
        <v>48</v>
      </c>
      <c r="D24" s="13" t="s">
        <v>1112</v>
      </c>
      <c r="E24" s="12" t="s">
        <v>120</v>
      </c>
      <c r="F24" s="12" t="s">
        <v>120</v>
      </c>
      <c r="G24" s="13" t="s">
        <v>568</v>
      </c>
      <c r="H24" s="12" t="s">
        <v>84</v>
      </c>
      <c r="I24" s="12" t="s">
        <v>99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COUNTA(A9:A25)</f>
        <v>17</v>
      </c>
      <c r="D4" s="5" t="s">
        <v>102</v>
      </c>
      <c r="E4" s="6" t="n">
        <f aca="false">SUM(M9:M25)</f>
        <v>14</v>
      </c>
      <c r="G4" s="5" t="s">
        <v>13</v>
      </c>
      <c r="H4" s="7" t="n">
        <f aca="false">IF(B4=0,0,E4/B4)</f>
        <v>0.823529411764706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IF(COUNTIFS(I9:I25,"yes",M9:M25,0)&gt;0,"open","complete")</f>
        <v>open</v>
      </c>
      <c r="D5" s="5" t="s">
        <v>15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1205</v>
      </c>
      <c r="B9" s="12" t="s">
        <v>117</v>
      </c>
      <c r="C9" s="12" t="s">
        <v>49</v>
      </c>
      <c r="D9" s="13" t="s">
        <v>1206</v>
      </c>
      <c r="E9" s="12" t="s">
        <v>120</v>
      </c>
      <c r="F9" s="12" t="s">
        <v>121</v>
      </c>
      <c r="G9" s="13" t="s">
        <v>1207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1208</v>
      </c>
      <c r="B10" s="12" t="s">
        <v>148</v>
      </c>
      <c r="C10" s="12" t="s">
        <v>49</v>
      </c>
      <c r="D10" s="13" t="s">
        <v>1209</v>
      </c>
      <c r="E10" s="12" t="s">
        <v>120</v>
      </c>
      <c r="F10" s="12" t="s">
        <v>140</v>
      </c>
      <c r="G10" s="13" t="s">
        <v>1210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1211</v>
      </c>
      <c r="B11" s="12" t="s">
        <v>1119</v>
      </c>
      <c r="C11" s="12" t="s">
        <v>49</v>
      </c>
      <c r="D11" s="13" t="s">
        <v>1212</v>
      </c>
      <c r="E11" s="12" t="s">
        <v>120</v>
      </c>
      <c r="F11" s="12" t="s">
        <v>145</v>
      </c>
      <c r="G11" s="13" t="s">
        <v>1213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1214</v>
      </c>
      <c r="B12" s="12" t="s">
        <v>1215</v>
      </c>
      <c r="C12" s="12" t="s">
        <v>49</v>
      </c>
      <c r="D12" s="13" t="s">
        <v>1216</v>
      </c>
      <c r="E12" s="12" t="s">
        <v>120</v>
      </c>
      <c r="F12" s="12" t="s">
        <v>145</v>
      </c>
      <c r="G12" s="13" t="s">
        <v>1213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1217</v>
      </c>
      <c r="B13" s="12" t="s">
        <v>1218</v>
      </c>
      <c r="C13" s="12" t="s">
        <v>1219</v>
      </c>
      <c r="D13" s="13" t="s">
        <v>1220</v>
      </c>
      <c r="E13" s="12" t="s">
        <v>120</v>
      </c>
      <c r="F13" s="12" t="s">
        <v>145</v>
      </c>
      <c r="G13" s="13" t="s">
        <v>1221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1222</v>
      </c>
      <c r="B14" s="12" t="s">
        <v>168</v>
      </c>
      <c r="C14" s="12" t="s">
        <v>49</v>
      </c>
      <c r="D14" s="13" t="s">
        <v>1223</v>
      </c>
      <c r="E14" s="12" t="s">
        <v>120</v>
      </c>
      <c r="F14" s="12" t="s">
        <v>140</v>
      </c>
      <c r="G14" s="13" t="s">
        <v>1210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1224</v>
      </c>
      <c r="B15" s="12" t="s">
        <v>124</v>
      </c>
      <c r="C15" s="12" t="s">
        <v>49</v>
      </c>
      <c r="D15" s="13" t="s">
        <v>1225</v>
      </c>
      <c r="E15" s="12" t="s">
        <v>120</v>
      </c>
      <c r="F15" s="12" t="s">
        <v>120</v>
      </c>
      <c r="G15" s="13" t="s">
        <v>126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1226</v>
      </c>
      <c r="B16" s="12" t="s">
        <v>128</v>
      </c>
      <c r="C16" s="12" t="s">
        <v>49</v>
      </c>
      <c r="D16" s="13" t="s">
        <v>1227</v>
      </c>
      <c r="E16" s="12" t="s">
        <v>120</v>
      </c>
      <c r="F16" s="12" t="s">
        <v>130</v>
      </c>
      <c r="G16" s="13" t="s">
        <v>1228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1229</v>
      </c>
      <c r="B17" s="12" t="s">
        <v>133</v>
      </c>
      <c r="C17" s="12" t="s">
        <v>49</v>
      </c>
      <c r="D17" s="13" t="s">
        <v>1230</v>
      </c>
      <c r="E17" s="12" t="s">
        <v>120</v>
      </c>
      <c r="F17" s="12" t="s">
        <v>135</v>
      </c>
      <c r="G17" s="13" t="s">
        <v>1231</v>
      </c>
      <c r="H17" s="12" t="s">
        <v>84</v>
      </c>
      <c r="I17" s="12" t="s">
        <v>99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1232</v>
      </c>
      <c r="B18" s="12" t="s">
        <v>153</v>
      </c>
      <c r="C18" s="12" t="s">
        <v>49</v>
      </c>
      <c r="D18" s="13" t="s">
        <v>1233</v>
      </c>
      <c r="E18" s="12" t="s">
        <v>120</v>
      </c>
      <c r="F18" s="12" t="s">
        <v>155</v>
      </c>
      <c r="G18" s="13" t="s">
        <v>1234</v>
      </c>
      <c r="H18" s="12" t="s">
        <v>82</v>
      </c>
      <c r="I18" s="12" t="s">
        <v>98</v>
      </c>
      <c r="J18" s="14"/>
      <c r="K18" s="13" t="s">
        <v>1183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1235</v>
      </c>
      <c r="B19" s="12" t="s">
        <v>159</v>
      </c>
      <c r="C19" s="12" t="s">
        <v>49</v>
      </c>
      <c r="D19" s="13" t="s">
        <v>1236</v>
      </c>
      <c r="E19" s="12" t="s">
        <v>120</v>
      </c>
      <c r="F19" s="12" t="s">
        <v>161</v>
      </c>
      <c r="G19" s="13" t="s">
        <v>1237</v>
      </c>
      <c r="H19" s="12" t="s">
        <v>82</v>
      </c>
      <c r="I19" s="12" t="s">
        <v>98</v>
      </c>
      <c r="J19" s="14"/>
      <c r="K19" s="13" t="s">
        <v>1183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1238</v>
      </c>
      <c r="B20" s="12" t="s">
        <v>173</v>
      </c>
      <c r="C20" s="12" t="s">
        <v>49</v>
      </c>
      <c r="D20" s="13" t="s">
        <v>1239</v>
      </c>
      <c r="E20" s="12" t="s">
        <v>120</v>
      </c>
      <c r="F20" s="12" t="s">
        <v>161</v>
      </c>
      <c r="G20" s="13" t="s">
        <v>1237</v>
      </c>
      <c r="H20" s="12" t="s">
        <v>82</v>
      </c>
      <c r="I20" s="12" t="s">
        <v>98</v>
      </c>
      <c r="J20" s="14"/>
      <c r="K20" s="13" t="s">
        <v>1183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1240</v>
      </c>
      <c r="B21" s="12" t="s">
        <v>177</v>
      </c>
      <c r="C21" s="12" t="s">
        <v>49</v>
      </c>
      <c r="D21" s="13" t="s">
        <v>1241</v>
      </c>
      <c r="E21" s="12" t="s">
        <v>120</v>
      </c>
      <c r="F21" s="12" t="s">
        <v>179</v>
      </c>
      <c r="G21" s="13" t="s">
        <v>1242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1243</v>
      </c>
      <c r="B22" s="12" t="s">
        <v>182</v>
      </c>
      <c r="C22" s="12" t="s">
        <v>49</v>
      </c>
      <c r="D22" s="13" t="s">
        <v>1244</v>
      </c>
      <c r="E22" s="12" t="s">
        <v>120</v>
      </c>
      <c r="F22" s="12" t="s">
        <v>179</v>
      </c>
      <c r="G22" s="13" t="s">
        <v>1245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1246</v>
      </c>
      <c r="B23" s="12" t="s">
        <v>186</v>
      </c>
      <c r="C23" s="12" t="s">
        <v>49</v>
      </c>
      <c r="D23" s="13" t="s">
        <v>1247</v>
      </c>
      <c r="E23" s="12" t="s">
        <v>188</v>
      </c>
      <c r="F23" s="12" t="s">
        <v>188</v>
      </c>
      <c r="G23" s="13" t="s">
        <v>189</v>
      </c>
      <c r="H23" s="12" t="s">
        <v>84</v>
      </c>
      <c r="I23" s="12" t="s">
        <v>99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1248</v>
      </c>
      <c r="B24" s="12" t="s">
        <v>608</v>
      </c>
      <c r="C24" s="12" t="s">
        <v>1198</v>
      </c>
      <c r="D24" s="13" t="s">
        <v>1249</v>
      </c>
      <c r="E24" s="12" t="s">
        <v>120</v>
      </c>
      <c r="F24" s="12" t="s">
        <v>1200</v>
      </c>
      <c r="G24" s="13" t="s">
        <v>1250</v>
      </c>
      <c r="H24" s="12" t="s">
        <v>84</v>
      </c>
      <c r="I24" s="12" t="s">
        <v>99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1251</v>
      </c>
      <c r="B25" s="12" t="s">
        <v>191</v>
      </c>
      <c r="C25" s="12" t="s">
        <v>49</v>
      </c>
      <c r="D25" s="13" t="s">
        <v>1252</v>
      </c>
      <c r="E25" s="12" t="s">
        <v>120</v>
      </c>
      <c r="F25" s="12" t="s">
        <v>120</v>
      </c>
      <c r="G25" s="13" t="s">
        <v>126</v>
      </c>
      <c r="H25" s="12" t="s">
        <v>84</v>
      </c>
      <c r="I25" s="12" t="s">
        <v>99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19</v>
      </c>
      <c r="G4" s="5" t="s">
        <v>13</v>
      </c>
      <c r="H4" s="7" t="n">
        <f aca="false">IF(B4=0,0,E4/B4)</f>
        <v>0.863636363636364</v>
      </c>
      <c r="J4" s="5" t="s">
        <v>14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1255</v>
      </c>
      <c r="B9" s="12" t="s">
        <v>117</v>
      </c>
      <c r="C9" s="12" t="s">
        <v>1256</v>
      </c>
      <c r="D9" s="13" t="s">
        <v>1257</v>
      </c>
      <c r="E9" s="12" t="s">
        <v>120</v>
      </c>
      <c r="F9" s="12" t="s">
        <v>121</v>
      </c>
      <c r="G9" s="13" t="s">
        <v>1258</v>
      </c>
      <c r="H9" s="12" t="s">
        <v>84</v>
      </c>
      <c r="I9" s="12" t="s">
        <v>99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1259</v>
      </c>
      <c r="B10" s="12" t="s">
        <v>1260</v>
      </c>
      <c r="C10" s="12" t="s">
        <v>768</v>
      </c>
      <c r="D10" s="13" t="s">
        <v>1261</v>
      </c>
      <c r="E10" s="12" t="s">
        <v>120</v>
      </c>
      <c r="F10" s="12" t="s">
        <v>1262</v>
      </c>
      <c r="G10" s="13" t="s">
        <v>1263</v>
      </c>
      <c r="H10" s="12" t="s">
        <v>84</v>
      </c>
      <c r="I10" s="12" t="s">
        <v>99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1264</v>
      </c>
      <c r="B11" s="12" t="s">
        <v>1265</v>
      </c>
      <c r="C11" s="12" t="s">
        <v>1072</v>
      </c>
      <c r="D11" s="13" t="s">
        <v>1266</v>
      </c>
      <c r="E11" s="12" t="s">
        <v>120</v>
      </c>
      <c r="F11" s="12" t="s">
        <v>140</v>
      </c>
      <c r="G11" s="13" t="s">
        <v>1267</v>
      </c>
      <c r="H11" s="12" t="s">
        <v>84</v>
      </c>
      <c r="I11" s="12" t="s">
        <v>99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1268</v>
      </c>
      <c r="B12" s="12" t="s">
        <v>1269</v>
      </c>
      <c r="C12" s="12" t="s">
        <v>1269</v>
      </c>
      <c r="D12" s="13" t="s">
        <v>1270</v>
      </c>
      <c r="E12" s="12" t="s">
        <v>120</v>
      </c>
      <c r="F12" s="12" t="s">
        <v>145</v>
      </c>
      <c r="G12" s="13" t="s">
        <v>1271</v>
      </c>
      <c r="H12" s="12" t="s">
        <v>84</v>
      </c>
      <c r="I12" s="12" t="s">
        <v>99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1272</v>
      </c>
      <c r="B13" s="12" t="s">
        <v>1273</v>
      </c>
      <c r="C13" s="12" t="s">
        <v>1072</v>
      </c>
      <c r="D13" s="13" t="s">
        <v>1274</v>
      </c>
      <c r="E13" s="12" t="s">
        <v>120</v>
      </c>
      <c r="F13" s="12" t="s">
        <v>145</v>
      </c>
      <c r="G13" s="13" t="s">
        <v>1271</v>
      </c>
      <c r="H13" s="12" t="s">
        <v>84</v>
      </c>
      <c r="I13" s="12" t="s">
        <v>99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1275</v>
      </c>
      <c r="B14" s="12" t="s">
        <v>1276</v>
      </c>
      <c r="C14" s="12" t="s">
        <v>1072</v>
      </c>
      <c r="D14" s="13" t="s">
        <v>1277</v>
      </c>
      <c r="E14" s="12" t="s">
        <v>120</v>
      </c>
      <c r="F14" s="12" t="s">
        <v>145</v>
      </c>
      <c r="G14" s="13" t="s">
        <v>1271</v>
      </c>
      <c r="H14" s="12" t="s">
        <v>84</v>
      </c>
      <c r="I14" s="12" t="s">
        <v>99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1278</v>
      </c>
      <c r="B15" s="12" t="s">
        <v>1279</v>
      </c>
      <c r="C15" s="12" t="s">
        <v>768</v>
      </c>
      <c r="D15" s="13" t="s">
        <v>1280</v>
      </c>
      <c r="E15" s="12" t="s">
        <v>120</v>
      </c>
      <c r="F15" s="12" t="s">
        <v>145</v>
      </c>
      <c r="G15" s="13" t="s">
        <v>1271</v>
      </c>
      <c r="H15" s="12" t="s">
        <v>84</v>
      </c>
      <c r="I15" s="12" t="s">
        <v>99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1281</v>
      </c>
      <c r="B16" s="12" t="s">
        <v>148</v>
      </c>
      <c r="C16" s="12" t="s">
        <v>1282</v>
      </c>
      <c r="D16" s="13" t="s">
        <v>1283</v>
      </c>
      <c r="E16" s="12" t="s">
        <v>120</v>
      </c>
      <c r="F16" s="12" t="s">
        <v>145</v>
      </c>
      <c r="G16" s="13" t="s">
        <v>1271</v>
      </c>
      <c r="H16" s="12" t="s">
        <v>84</v>
      </c>
      <c r="I16" s="12" t="s">
        <v>99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1284</v>
      </c>
      <c r="B17" s="12" t="s">
        <v>168</v>
      </c>
      <c r="C17" s="12" t="s">
        <v>1170</v>
      </c>
      <c r="D17" s="13" t="s">
        <v>1285</v>
      </c>
      <c r="E17" s="12" t="s">
        <v>120</v>
      </c>
      <c r="F17" s="12" t="s">
        <v>140</v>
      </c>
      <c r="G17" s="13" t="s">
        <v>1286</v>
      </c>
      <c r="H17" s="12" t="s">
        <v>84</v>
      </c>
      <c r="I17" s="12" t="s">
        <v>99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1287</v>
      </c>
      <c r="B18" s="12" t="s">
        <v>124</v>
      </c>
      <c r="C18" s="12" t="s">
        <v>50</v>
      </c>
      <c r="D18" s="13" t="s">
        <v>1288</v>
      </c>
      <c r="E18" s="12" t="s">
        <v>120</v>
      </c>
      <c r="F18" s="12" t="s">
        <v>120</v>
      </c>
      <c r="G18" s="13" t="s">
        <v>126</v>
      </c>
      <c r="H18" s="12" t="s">
        <v>84</v>
      </c>
      <c r="I18" s="12" t="s">
        <v>99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1289</v>
      </c>
      <c r="B19" s="12" t="s">
        <v>128</v>
      </c>
      <c r="C19" s="12" t="s">
        <v>50</v>
      </c>
      <c r="D19" s="13" t="s">
        <v>1290</v>
      </c>
      <c r="E19" s="12" t="s">
        <v>120</v>
      </c>
      <c r="F19" s="12" t="s">
        <v>130</v>
      </c>
      <c r="G19" s="13" t="s">
        <v>1291</v>
      </c>
      <c r="H19" s="12" t="s">
        <v>84</v>
      </c>
      <c r="I19" s="12" t="s">
        <v>99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1292</v>
      </c>
      <c r="B20" s="12" t="s">
        <v>133</v>
      </c>
      <c r="C20" s="12" t="s">
        <v>50</v>
      </c>
      <c r="D20" s="13" t="s">
        <v>1293</v>
      </c>
      <c r="E20" s="12" t="s">
        <v>120</v>
      </c>
      <c r="F20" s="12" t="s">
        <v>135</v>
      </c>
      <c r="G20" s="13" t="s">
        <v>1294</v>
      </c>
      <c r="H20" s="12" t="s">
        <v>84</v>
      </c>
      <c r="I20" s="12" t="s">
        <v>99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1295</v>
      </c>
      <c r="B21" s="12" t="s">
        <v>1296</v>
      </c>
      <c r="C21" s="12" t="s">
        <v>50</v>
      </c>
      <c r="D21" s="13" t="s">
        <v>1297</v>
      </c>
      <c r="E21" s="12" t="s">
        <v>120</v>
      </c>
      <c r="F21" s="12" t="s">
        <v>120</v>
      </c>
      <c r="G21" s="13" t="s">
        <v>1298</v>
      </c>
      <c r="H21" s="12" t="s">
        <v>84</v>
      </c>
      <c r="I21" s="12" t="s">
        <v>99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1299</v>
      </c>
      <c r="B22" s="12" t="s">
        <v>608</v>
      </c>
      <c r="C22" s="12" t="s">
        <v>50</v>
      </c>
      <c r="D22" s="13" t="s">
        <v>1300</v>
      </c>
      <c r="E22" s="12" t="s">
        <v>120</v>
      </c>
      <c r="F22" s="12" t="s">
        <v>145</v>
      </c>
      <c r="G22" s="13" t="s">
        <v>1301</v>
      </c>
      <c r="H22" s="12" t="s">
        <v>84</v>
      </c>
      <c r="I22" s="12" t="s">
        <v>99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1302</v>
      </c>
      <c r="B23" s="12" t="s">
        <v>153</v>
      </c>
      <c r="C23" s="12" t="s">
        <v>50</v>
      </c>
      <c r="D23" s="13" t="s">
        <v>1303</v>
      </c>
      <c r="E23" s="12" t="s">
        <v>120</v>
      </c>
      <c r="F23" s="12" t="s">
        <v>155</v>
      </c>
      <c r="G23" s="13" t="s">
        <v>1304</v>
      </c>
      <c r="H23" s="12" t="s">
        <v>82</v>
      </c>
      <c r="I23" s="12" t="s">
        <v>98</v>
      </c>
      <c r="J23" s="14"/>
      <c r="K23" s="13" t="s">
        <v>1305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1306</v>
      </c>
      <c r="B24" s="12" t="s">
        <v>159</v>
      </c>
      <c r="C24" s="12" t="s">
        <v>50</v>
      </c>
      <c r="D24" s="13" t="s">
        <v>1307</v>
      </c>
      <c r="E24" s="12" t="s">
        <v>120</v>
      </c>
      <c r="F24" s="12" t="s">
        <v>161</v>
      </c>
      <c r="G24" s="13" t="s">
        <v>1308</v>
      </c>
      <c r="H24" s="12" t="s">
        <v>82</v>
      </c>
      <c r="I24" s="12" t="s">
        <v>98</v>
      </c>
      <c r="J24" s="14"/>
      <c r="K24" s="13" t="s">
        <v>1305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1309</v>
      </c>
      <c r="B25" s="12" t="s">
        <v>173</v>
      </c>
      <c r="C25" s="12" t="s">
        <v>50</v>
      </c>
      <c r="D25" s="13" t="s">
        <v>1310</v>
      </c>
      <c r="E25" s="12" t="s">
        <v>120</v>
      </c>
      <c r="F25" s="12" t="s">
        <v>161</v>
      </c>
      <c r="G25" s="13" t="s">
        <v>1308</v>
      </c>
      <c r="H25" s="12" t="s">
        <v>82</v>
      </c>
      <c r="I25" s="12" t="s">
        <v>98</v>
      </c>
      <c r="J25" s="14"/>
      <c r="K25" s="13" t="s">
        <v>1305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1311</v>
      </c>
      <c r="B26" s="12" t="s">
        <v>177</v>
      </c>
      <c r="C26" s="12" t="s">
        <v>50</v>
      </c>
      <c r="D26" s="13" t="s">
        <v>1312</v>
      </c>
      <c r="E26" s="12" t="s">
        <v>120</v>
      </c>
      <c r="F26" s="12" t="s">
        <v>179</v>
      </c>
      <c r="G26" s="13" t="s">
        <v>1313</v>
      </c>
      <c r="H26" s="12" t="s">
        <v>84</v>
      </c>
      <c r="I26" s="12" t="s">
        <v>99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1314</v>
      </c>
      <c r="B27" s="12" t="s">
        <v>182</v>
      </c>
      <c r="C27" s="12" t="s">
        <v>50</v>
      </c>
      <c r="D27" s="13" t="s">
        <v>1315</v>
      </c>
      <c r="E27" s="12" t="s">
        <v>120</v>
      </c>
      <c r="F27" s="12" t="s">
        <v>179</v>
      </c>
      <c r="G27" s="13" t="s">
        <v>1316</v>
      </c>
      <c r="H27" s="12" t="s">
        <v>84</v>
      </c>
      <c r="I27" s="12" t="s">
        <v>99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1317</v>
      </c>
      <c r="B28" s="12" t="s">
        <v>186</v>
      </c>
      <c r="C28" s="12" t="s">
        <v>50</v>
      </c>
      <c r="D28" s="13" t="s">
        <v>1318</v>
      </c>
      <c r="E28" s="12" t="s">
        <v>188</v>
      </c>
      <c r="F28" s="12" t="s">
        <v>188</v>
      </c>
      <c r="G28" s="13" t="s">
        <v>189</v>
      </c>
      <c r="H28" s="12" t="s">
        <v>84</v>
      </c>
      <c r="I28" s="12" t="s">
        <v>99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1319</v>
      </c>
      <c r="B29" s="12" t="s">
        <v>1198</v>
      </c>
      <c r="C29" s="12" t="s">
        <v>50</v>
      </c>
      <c r="D29" s="13" t="s">
        <v>1320</v>
      </c>
      <c r="E29" s="12" t="s">
        <v>120</v>
      </c>
      <c r="F29" s="12" t="s">
        <v>1200</v>
      </c>
      <c r="G29" s="13" t="s">
        <v>1321</v>
      </c>
      <c r="H29" s="12" t="s">
        <v>84</v>
      </c>
      <c r="I29" s="12" t="s">
        <v>99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1322</v>
      </c>
      <c r="B30" s="12" t="s">
        <v>191</v>
      </c>
      <c r="C30" s="12" t="s">
        <v>50</v>
      </c>
      <c r="D30" s="13" t="s">
        <v>1323</v>
      </c>
      <c r="E30" s="12" t="s">
        <v>120</v>
      </c>
      <c r="F30" s="12" t="s">
        <v>120</v>
      </c>
      <c r="G30" s="13" t="s">
        <v>126</v>
      </c>
      <c r="H30" s="12" t="s">
        <v>84</v>
      </c>
      <c r="I30" s="12" t="s">
        <v>99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102</v>
      </c>
      <c r="E4" s="6" t="n">
        <f aca="false">SUM(M9:M27)</f>
        <v>15</v>
      </c>
      <c r="G4" s="5" t="s">
        <v>13</v>
      </c>
      <c r="H4" s="7" t="n">
        <f aca="false">IF(B4=0,0,E4/B4)</f>
        <v>0.789473684210526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563</v>
      </c>
      <c r="B9" s="12" t="s">
        <v>117</v>
      </c>
      <c r="C9" s="12" t="s">
        <v>1326</v>
      </c>
      <c r="D9" s="13" t="s">
        <v>1327</v>
      </c>
      <c r="E9" s="12" t="s">
        <v>120</v>
      </c>
      <c r="F9" s="12" t="s">
        <v>121</v>
      </c>
      <c r="G9" s="13" t="s">
        <v>1328</v>
      </c>
      <c r="H9" s="12" t="s">
        <v>84</v>
      </c>
      <c r="I9" s="12" t="s">
        <v>99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566</v>
      </c>
      <c r="B10" s="12" t="s">
        <v>1329</v>
      </c>
      <c r="C10" s="12" t="s">
        <v>1330</v>
      </c>
      <c r="D10" s="13" t="s">
        <v>1331</v>
      </c>
      <c r="E10" s="12" t="s">
        <v>120</v>
      </c>
      <c r="F10" s="12" t="s">
        <v>140</v>
      </c>
      <c r="G10" s="13" t="s">
        <v>1332</v>
      </c>
      <c r="H10" s="12" t="s">
        <v>84</v>
      </c>
      <c r="I10" s="12" t="s">
        <v>99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569</v>
      </c>
      <c r="B11" s="12" t="s">
        <v>124</v>
      </c>
      <c r="C11" s="12" t="s">
        <v>51</v>
      </c>
      <c r="D11" s="13" t="s">
        <v>1333</v>
      </c>
      <c r="E11" s="12" t="s">
        <v>120</v>
      </c>
      <c r="F11" s="12" t="s">
        <v>120</v>
      </c>
      <c r="G11" s="13" t="s">
        <v>568</v>
      </c>
      <c r="H11" s="12" t="s">
        <v>84</v>
      </c>
      <c r="I11" s="12" t="s">
        <v>99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572</v>
      </c>
      <c r="B12" s="12" t="s">
        <v>128</v>
      </c>
      <c r="C12" s="12" t="s">
        <v>51</v>
      </c>
      <c r="D12" s="13" t="s">
        <v>1334</v>
      </c>
      <c r="E12" s="12" t="s">
        <v>120</v>
      </c>
      <c r="F12" s="12" t="s">
        <v>130</v>
      </c>
      <c r="G12" s="13" t="s">
        <v>1335</v>
      </c>
      <c r="H12" s="12" t="s">
        <v>84</v>
      </c>
      <c r="I12" s="12" t="s">
        <v>99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575</v>
      </c>
      <c r="B13" s="12" t="s">
        <v>133</v>
      </c>
      <c r="C13" s="12" t="s">
        <v>51</v>
      </c>
      <c r="D13" s="13" t="s">
        <v>1336</v>
      </c>
      <c r="E13" s="12" t="s">
        <v>120</v>
      </c>
      <c r="F13" s="12" t="s">
        <v>135</v>
      </c>
      <c r="G13" s="13" t="s">
        <v>1337</v>
      </c>
      <c r="H13" s="12" t="s">
        <v>84</v>
      </c>
      <c r="I13" s="12" t="s">
        <v>99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578</v>
      </c>
      <c r="B14" s="12" t="s">
        <v>138</v>
      </c>
      <c r="C14" s="12" t="s">
        <v>51</v>
      </c>
      <c r="D14" s="13" t="s">
        <v>1338</v>
      </c>
      <c r="E14" s="12" t="s">
        <v>120</v>
      </c>
      <c r="F14" s="12" t="s">
        <v>140</v>
      </c>
      <c r="G14" s="13" t="s">
        <v>1332</v>
      </c>
      <c r="H14" s="12" t="s">
        <v>84</v>
      </c>
      <c r="I14" s="12" t="s">
        <v>99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581</v>
      </c>
      <c r="B15" s="12" t="s">
        <v>143</v>
      </c>
      <c r="C15" s="12" t="s">
        <v>1339</v>
      </c>
      <c r="D15" s="13" t="s">
        <v>1340</v>
      </c>
      <c r="E15" s="12" t="s">
        <v>120</v>
      </c>
      <c r="F15" s="12" t="s">
        <v>145</v>
      </c>
      <c r="G15" s="13" t="s">
        <v>1341</v>
      </c>
      <c r="H15" s="12" t="s">
        <v>84</v>
      </c>
      <c r="I15" s="12" t="s">
        <v>99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583</v>
      </c>
      <c r="B16" s="12" t="s">
        <v>1279</v>
      </c>
      <c r="C16" s="12" t="s">
        <v>1342</v>
      </c>
      <c r="D16" s="13" t="s">
        <v>1343</v>
      </c>
      <c r="E16" s="12" t="s">
        <v>120</v>
      </c>
      <c r="F16" s="12" t="s">
        <v>145</v>
      </c>
      <c r="G16" s="13" t="s">
        <v>1341</v>
      </c>
      <c r="H16" s="12" t="s">
        <v>84</v>
      </c>
      <c r="I16" s="12" t="s">
        <v>99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586</v>
      </c>
      <c r="B17" s="12" t="s">
        <v>148</v>
      </c>
      <c r="C17" s="12" t="s">
        <v>1344</v>
      </c>
      <c r="D17" s="13" t="s">
        <v>1345</v>
      </c>
      <c r="E17" s="12" t="s">
        <v>120</v>
      </c>
      <c r="F17" s="12" t="s">
        <v>150</v>
      </c>
      <c r="G17" s="13" t="s">
        <v>1341</v>
      </c>
      <c r="H17" s="12" t="s">
        <v>84</v>
      </c>
      <c r="I17" s="12" t="s">
        <v>99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590</v>
      </c>
      <c r="B18" s="12" t="s">
        <v>153</v>
      </c>
      <c r="C18" s="12" t="s">
        <v>51</v>
      </c>
      <c r="D18" s="13" t="s">
        <v>1346</v>
      </c>
      <c r="E18" s="12" t="s">
        <v>120</v>
      </c>
      <c r="F18" s="12" t="s">
        <v>155</v>
      </c>
      <c r="G18" s="13" t="s">
        <v>1347</v>
      </c>
      <c r="H18" s="12" t="s">
        <v>86</v>
      </c>
      <c r="I18" s="12" t="s">
        <v>98</v>
      </c>
      <c r="J18" s="14" t="n">
        <v>46229</v>
      </c>
      <c r="K18" s="13" t="s">
        <v>1348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594</v>
      </c>
      <c r="B19" s="12" t="s">
        <v>159</v>
      </c>
      <c r="C19" s="12" t="s">
        <v>51</v>
      </c>
      <c r="D19" s="13" t="s">
        <v>1349</v>
      </c>
      <c r="E19" s="12" t="s">
        <v>120</v>
      </c>
      <c r="F19" s="12" t="s">
        <v>161</v>
      </c>
      <c r="G19" s="13" t="s">
        <v>1350</v>
      </c>
      <c r="H19" s="12" t="s">
        <v>82</v>
      </c>
      <c r="I19" s="12" t="s">
        <v>98</v>
      </c>
      <c r="J19" s="14"/>
      <c r="K19" s="13" t="s">
        <v>889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596</v>
      </c>
      <c r="B20" s="12" t="s">
        <v>165</v>
      </c>
      <c r="C20" s="12" t="s">
        <v>51</v>
      </c>
      <c r="D20" s="13" t="s">
        <v>1351</v>
      </c>
      <c r="E20" s="12" t="s">
        <v>120</v>
      </c>
      <c r="F20" s="12" t="s">
        <v>161</v>
      </c>
      <c r="G20" s="13" t="s">
        <v>1352</v>
      </c>
      <c r="H20" s="12" t="s">
        <v>82</v>
      </c>
      <c r="I20" s="12" t="s">
        <v>98</v>
      </c>
      <c r="J20" s="14"/>
      <c r="K20" s="13" t="s">
        <v>790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599</v>
      </c>
      <c r="B21" s="12" t="s">
        <v>1265</v>
      </c>
      <c r="C21" s="12" t="s">
        <v>1326</v>
      </c>
      <c r="D21" s="13" t="s">
        <v>1353</v>
      </c>
      <c r="E21" s="12" t="s">
        <v>120</v>
      </c>
      <c r="F21" s="12" t="s">
        <v>145</v>
      </c>
      <c r="G21" s="13" t="s">
        <v>1354</v>
      </c>
      <c r="H21" s="12" t="s">
        <v>84</v>
      </c>
      <c r="I21" s="12" t="s">
        <v>99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602</v>
      </c>
      <c r="B22" s="12" t="s">
        <v>173</v>
      </c>
      <c r="C22" s="12" t="s">
        <v>51</v>
      </c>
      <c r="D22" s="13" t="s">
        <v>1355</v>
      </c>
      <c r="E22" s="12" t="s">
        <v>120</v>
      </c>
      <c r="F22" s="12" t="s">
        <v>161</v>
      </c>
      <c r="G22" s="13" t="s">
        <v>1350</v>
      </c>
      <c r="H22" s="12" t="s">
        <v>82</v>
      </c>
      <c r="I22" s="12" t="s">
        <v>98</v>
      </c>
      <c r="J22" s="14"/>
      <c r="K22" s="13" t="s">
        <v>894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605</v>
      </c>
      <c r="B23" s="12" t="s">
        <v>177</v>
      </c>
      <c r="C23" s="12" t="s">
        <v>51</v>
      </c>
      <c r="D23" s="13" t="s">
        <v>1356</v>
      </c>
      <c r="E23" s="12" t="s">
        <v>120</v>
      </c>
      <c r="F23" s="12" t="s">
        <v>179</v>
      </c>
      <c r="G23" s="13" t="s">
        <v>1357</v>
      </c>
      <c r="H23" s="12" t="s">
        <v>84</v>
      </c>
      <c r="I23" s="12" t="s">
        <v>99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607</v>
      </c>
      <c r="B24" s="12" t="s">
        <v>182</v>
      </c>
      <c r="C24" s="12" t="s">
        <v>51</v>
      </c>
      <c r="D24" s="13" t="s">
        <v>1358</v>
      </c>
      <c r="E24" s="12" t="s">
        <v>120</v>
      </c>
      <c r="F24" s="12" t="s">
        <v>179</v>
      </c>
      <c r="G24" s="13" t="s">
        <v>1359</v>
      </c>
      <c r="H24" s="12" t="s">
        <v>84</v>
      </c>
      <c r="I24" s="12" t="s">
        <v>99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612</v>
      </c>
      <c r="B25" s="12" t="s">
        <v>186</v>
      </c>
      <c r="C25" s="12" t="s">
        <v>51</v>
      </c>
      <c r="D25" s="13" t="s">
        <v>1360</v>
      </c>
      <c r="E25" s="12" t="s">
        <v>188</v>
      </c>
      <c r="F25" s="12" t="s">
        <v>188</v>
      </c>
      <c r="G25" s="13" t="s">
        <v>189</v>
      </c>
      <c r="H25" s="12" t="s">
        <v>84</v>
      </c>
      <c r="I25" s="12" t="s">
        <v>99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1361</v>
      </c>
      <c r="B26" s="12" t="s">
        <v>608</v>
      </c>
      <c r="C26" s="12" t="s">
        <v>51</v>
      </c>
      <c r="D26" s="13" t="s">
        <v>1362</v>
      </c>
      <c r="E26" s="12" t="s">
        <v>120</v>
      </c>
      <c r="F26" s="12" t="s">
        <v>120</v>
      </c>
      <c r="G26" s="13" t="s">
        <v>1363</v>
      </c>
      <c r="H26" s="12" t="s">
        <v>84</v>
      </c>
      <c r="I26" s="12" t="s">
        <v>99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1364</v>
      </c>
      <c r="B27" s="12" t="s">
        <v>191</v>
      </c>
      <c r="C27" s="12" t="s">
        <v>51</v>
      </c>
      <c r="D27" s="13" t="s">
        <v>1365</v>
      </c>
      <c r="E27" s="12" t="s">
        <v>120</v>
      </c>
      <c r="F27" s="12" t="s">
        <v>120</v>
      </c>
      <c r="G27" s="13" t="s">
        <v>1366</v>
      </c>
      <c r="H27" s="12" t="s">
        <v>82</v>
      </c>
      <c r="I27" s="12" t="s">
        <v>98</v>
      </c>
      <c r="J27" s="14"/>
      <c r="K27" s="13" t="s">
        <v>1367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758</v>
      </c>
      <c r="B9" s="12" t="s">
        <v>117</v>
      </c>
      <c r="C9" s="12" t="s">
        <v>1370</v>
      </c>
      <c r="D9" s="13" t="s">
        <v>1371</v>
      </c>
      <c r="E9" s="12" t="s">
        <v>120</v>
      </c>
      <c r="F9" s="12" t="s">
        <v>121</v>
      </c>
      <c r="G9" s="13" t="s">
        <v>1372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1329</v>
      </c>
      <c r="C10" s="12" t="s">
        <v>1170</v>
      </c>
      <c r="D10" s="13" t="s">
        <v>1373</v>
      </c>
      <c r="E10" s="12" t="s">
        <v>120</v>
      </c>
      <c r="F10" s="12" t="s">
        <v>140</v>
      </c>
      <c r="G10" s="13" t="s">
        <v>1374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764</v>
      </c>
      <c r="B11" s="12" t="s">
        <v>124</v>
      </c>
      <c r="C11" s="12" t="s">
        <v>52</v>
      </c>
      <c r="D11" s="13" t="s">
        <v>1375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767</v>
      </c>
      <c r="B12" s="12" t="s">
        <v>128</v>
      </c>
      <c r="C12" s="12" t="s">
        <v>1376</v>
      </c>
      <c r="D12" s="13" t="s">
        <v>1377</v>
      </c>
      <c r="E12" s="12" t="s">
        <v>120</v>
      </c>
      <c r="F12" s="12" t="s">
        <v>130</v>
      </c>
      <c r="G12" s="13" t="s">
        <v>1378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133</v>
      </c>
      <c r="C13" s="12" t="s">
        <v>1379</v>
      </c>
      <c r="D13" s="13" t="s">
        <v>1380</v>
      </c>
      <c r="E13" s="12" t="s">
        <v>120</v>
      </c>
      <c r="F13" s="12" t="s">
        <v>135</v>
      </c>
      <c r="G13" s="13" t="s">
        <v>1381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774</v>
      </c>
      <c r="B14" s="12" t="s">
        <v>1382</v>
      </c>
      <c r="C14" s="12" t="s">
        <v>1383</v>
      </c>
      <c r="D14" s="13" t="s">
        <v>1384</v>
      </c>
      <c r="E14" s="12" t="s">
        <v>120</v>
      </c>
      <c r="F14" s="12" t="s">
        <v>140</v>
      </c>
      <c r="G14" s="13" t="s">
        <v>1385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777</v>
      </c>
      <c r="B15" s="12" t="s">
        <v>1119</v>
      </c>
      <c r="C15" s="12" t="s">
        <v>1370</v>
      </c>
      <c r="D15" s="13" t="s">
        <v>1386</v>
      </c>
      <c r="E15" s="12" t="s">
        <v>120</v>
      </c>
      <c r="F15" s="12" t="s">
        <v>145</v>
      </c>
      <c r="G15" s="13" t="s">
        <v>1387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779</v>
      </c>
      <c r="B16" s="12" t="s">
        <v>1388</v>
      </c>
      <c r="C16" s="12" t="s">
        <v>1389</v>
      </c>
      <c r="D16" s="13" t="s">
        <v>1390</v>
      </c>
      <c r="E16" s="12" t="s">
        <v>120</v>
      </c>
      <c r="F16" s="12" t="s">
        <v>145</v>
      </c>
      <c r="G16" s="13" t="s">
        <v>1391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783</v>
      </c>
      <c r="B17" s="12" t="s">
        <v>1392</v>
      </c>
      <c r="C17" s="12" t="s">
        <v>1393</v>
      </c>
      <c r="D17" s="13" t="s">
        <v>1394</v>
      </c>
      <c r="E17" s="12" t="s">
        <v>120</v>
      </c>
      <c r="F17" s="12" t="s">
        <v>145</v>
      </c>
      <c r="G17" s="13" t="s">
        <v>1387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787</v>
      </c>
      <c r="B18" s="12" t="s">
        <v>1395</v>
      </c>
      <c r="C18" s="12" t="s">
        <v>1370</v>
      </c>
      <c r="D18" s="13" t="s">
        <v>1396</v>
      </c>
      <c r="E18" s="12" t="s">
        <v>120</v>
      </c>
      <c r="F18" s="12" t="s">
        <v>145</v>
      </c>
      <c r="G18" s="13" t="s">
        <v>1391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791</v>
      </c>
      <c r="B19" s="12" t="s">
        <v>168</v>
      </c>
      <c r="C19" s="12" t="s">
        <v>1397</v>
      </c>
      <c r="D19" s="13" t="s">
        <v>1398</v>
      </c>
      <c r="E19" s="12" t="s">
        <v>120</v>
      </c>
      <c r="F19" s="12" t="s">
        <v>140</v>
      </c>
      <c r="G19" s="13" t="s">
        <v>1385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793</v>
      </c>
      <c r="B20" s="12" t="s">
        <v>148</v>
      </c>
      <c r="C20" s="12" t="s">
        <v>52</v>
      </c>
      <c r="D20" s="13" t="s">
        <v>1399</v>
      </c>
      <c r="E20" s="12" t="s">
        <v>120</v>
      </c>
      <c r="F20" s="12" t="s">
        <v>150</v>
      </c>
      <c r="G20" s="13" t="s">
        <v>1387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796</v>
      </c>
      <c r="B21" s="12" t="s">
        <v>153</v>
      </c>
      <c r="C21" s="12" t="s">
        <v>52</v>
      </c>
      <c r="D21" s="13" t="s">
        <v>1400</v>
      </c>
      <c r="E21" s="12" t="s">
        <v>120</v>
      </c>
      <c r="F21" s="12" t="s">
        <v>155</v>
      </c>
      <c r="G21" s="13" t="s">
        <v>1401</v>
      </c>
      <c r="H21" s="12" t="s">
        <v>82</v>
      </c>
      <c r="I21" s="12" t="s">
        <v>98</v>
      </c>
      <c r="J21" s="14"/>
      <c r="K21" s="13" t="s">
        <v>1402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799</v>
      </c>
      <c r="B22" s="12" t="s">
        <v>159</v>
      </c>
      <c r="C22" s="12" t="s">
        <v>1403</v>
      </c>
      <c r="D22" s="13" t="s">
        <v>1404</v>
      </c>
      <c r="E22" s="12" t="s">
        <v>120</v>
      </c>
      <c r="F22" s="12" t="s">
        <v>161</v>
      </c>
      <c r="G22" s="13" t="s">
        <v>1405</v>
      </c>
      <c r="H22" s="12" t="s">
        <v>82</v>
      </c>
      <c r="I22" s="12" t="s">
        <v>98</v>
      </c>
      <c r="J22" s="14"/>
      <c r="K22" s="13" t="s">
        <v>1406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802</v>
      </c>
      <c r="B23" s="12" t="s">
        <v>1407</v>
      </c>
      <c r="C23" s="12" t="s">
        <v>1072</v>
      </c>
      <c r="D23" s="13" t="s">
        <v>1408</v>
      </c>
      <c r="E23" s="12" t="s">
        <v>120</v>
      </c>
      <c r="F23" s="12" t="s">
        <v>161</v>
      </c>
      <c r="G23" s="13" t="s">
        <v>1409</v>
      </c>
      <c r="H23" s="12" t="s">
        <v>82</v>
      </c>
      <c r="I23" s="12" t="s">
        <v>98</v>
      </c>
      <c r="J23" s="14"/>
      <c r="K23" s="13" t="s">
        <v>1410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805</v>
      </c>
      <c r="B24" s="12" t="s">
        <v>1411</v>
      </c>
      <c r="C24" s="12" t="s">
        <v>52</v>
      </c>
      <c r="D24" s="13" t="s">
        <v>1412</v>
      </c>
      <c r="E24" s="12" t="s">
        <v>120</v>
      </c>
      <c r="F24" s="12" t="s">
        <v>161</v>
      </c>
      <c r="G24" s="13" t="s">
        <v>1405</v>
      </c>
      <c r="H24" s="12" t="s">
        <v>82</v>
      </c>
      <c r="I24" s="12" t="s">
        <v>98</v>
      </c>
      <c r="J24" s="14"/>
      <c r="K24" s="13" t="s">
        <v>1413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935</v>
      </c>
      <c r="B25" s="12" t="s">
        <v>165</v>
      </c>
      <c r="C25" s="12" t="s">
        <v>52</v>
      </c>
      <c r="D25" s="13" t="s">
        <v>540</v>
      </c>
      <c r="E25" s="12" t="s">
        <v>120</v>
      </c>
      <c r="F25" s="12" t="s">
        <v>161</v>
      </c>
      <c r="G25" s="13" t="s">
        <v>1414</v>
      </c>
      <c r="H25" s="12" t="s">
        <v>82</v>
      </c>
      <c r="I25" s="12" t="s">
        <v>98</v>
      </c>
      <c r="J25" s="14"/>
      <c r="K25" s="13" t="s">
        <v>1415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1416</v>
      </c>
      <c r="B26" s="12" t="s">
        <v>173</v>
      </c>
      <c r="C26" s="12" t="s">
        <v>52</v>
      </c>
      <c r="D26" s="13" t="s">
        <v>1417</v>
      </c>
      <c r="E26" s="12" t="s">
        <v>120</v>
      </c>
      <c r="F26" s="12" t="s">
        <v>161</v>
      </c>
      <c r="G26" s="13" t="s">
        <v>1405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1418</v>
      </c>
      <c r="B27" s="12" t="s">
        <v>177</v>
      </c>
      <c r="C27" s="12" t="s">
        <v>52</v>
      </c>
      <c r="D27" s="13" t="s">
        <v>1419</v>
      </c>
      <c r="E27" s="12" t="s">
        <v>120</v>
      </c>
      <c r="F27" s="12" t="s">
        <v>179</v>
      </c>
      <c r="G27" s="13" t="s">
        <v>1420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1421</v>
      </c>
      <c r="B28" s="12" t="s">
        <v>182</v>
      </c>
      <c r="C28" s="12" t="s">
        <v>52</v>
      </c>
      <c r="D28" s="13" t="s">
        <v>1422</v>
      </c>
      <c r="E28" s="12" t="s">
        <v>120</v>
      </c>
      <c r="F28" s="12" t="s">
        <v>179</v>
      </c>
      <c r="G28" s="13" t="s">
        <v>1423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1424</v>
      </c>
      <c r="B29" s="12" t="s">
        <v>186</v>
      </c>
      <c r="C29" s="12" t="s">
        <v>52</v>
      </c>
      <c r="D29" s="13" t="s">
        <v>1425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s">
        <v>1426</v>
      </c>
      <c r="K29" s="13" t="s">
        <v>1427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1428</v>
      </c>
      <c r="B30" s="12" t="s">
        <v>191</v>
      </c>
      <c r="C30" s="12" t="s">
        <v>52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s">
        <v>1426</v>
      </c>
      <c r="K30" s="13" t="s">
        <v>1430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16</v>
      </c>
      <c r="G4" s="5" t="s">
        <v>13</v>
      </c>
      <c r="H4" s="7" t="n">
        <f aca="false">IF(B4=0,0,E4/B4)</f>
        <v>0.727272727272727</v>
      </c>
      <c r="J4" s="5" t="s">
        <v>14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1433</v>
      </c>
      <c r="B9" s="12" t="s">
        <v>117</v>
      </c>
      <c r="C9" s="12" t="s">
        <v>1370</v>
      </c>
      <c r="D9" s="13" t="s">
        <v>1434</v>
      </c>
      <c r="E9" s="12" t="s">
        <v>120</v>
      </c>
      <c r="F9" s="12" t="s">
        <v>121</v>
      </c>
      <c r="G9" s="13" t="s">
        <v>1435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1436</v>
      </c>
      <c r="B10" s="12" t="s">
        <v>1329</v>
      </c>
      <c r="C10" s="12" t="s">
        <v>1170</v>
      </c>
      <c r="D10" s="13" t="s">
        <v>1373</v>
      </c>
      <c r="E10" s="12" t="s">
        <v>120</v>
      </c>
      <c r="F10" s="12" t="s">
        <v>140</v>
      </c>
      <c r="G10" s="13" t="s">
        <v>1437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1438</v>
      </c>
      <c r="B11" s="12" t="s">
        <v>124</v>
      </c>
      <c r="C11" s="12" t="s">
        <v>53</v>
      </c>
      <c r="D11" s="13" t="s">
        <v>1439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1440</v>
      </c>
      <c r="B12" s="12" t="s">
        <v>128</v>
      </c>
      <c r="C12" s="12" t="s">
        <v>1376</v>
      </c>
      <c r="D12" s="13" t="s">
        <v>1441</v>
      </c>
      <c r="E12" s="12" t="s">
        <v>120</v>
      </c>
      <c r="F12" s="12" t="s">
        <v>130</v>
      </c>
      <c r="G12" s="13" t="s">
        <v>1442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1443</v>
      </c>
      <c r="B13" s="12" t="s">
        <v>133</v>
      </c>
      <c r="C13" s="12" t="s">
        <v>1379</v>
      </c>
      <c r="D13" s="13" t="s">
        <v>1380</v>
      </c>
      <c r="E13" s="12" t="s">
        <v>120</v>
      </c>
      <c r="F13" s="12" t="s">
        <v>135</v>
      </c>
      <c r="G13" s="13" t="s">
        <v>1444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1445</v>
      </c>
      <c r="B14" s="12" t="s">
        <v>1382</v>
      </c>
      <c r="C14" s="12" t="s">
        <v>1383</v>
      </c>
      <c r="D14" s="13" t="s">
        <v>1446</v>
      </c>
      <c r="E14" s="12" t="s">
        <v>120</v>
      </c>
      <c r="F14" s="12" t="s">
        <v>140</v>
      </c>
      <c r="G14" s="13" t="s">
        <v>1447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1448</v>
      </c>
      <c r="B15" s="12" t="s">
        <v>1119</v>
      </c>
      <c r="C15" s="12" t="s">
        <v>1370</v>
      </c>
      <c r="D15" s="13" t="s">
        <v>1386</v>
      </c>
      <c r="E15" s="12" t="s">
        <v>120</v>
      </c>
      <c r="F15" s="12" t="s">
        <v>145</v>
      </c>
      <c r="G15" s="13" t="s">
        <v>1449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1450</v>
      </c>
      <c r="B16" s="12" t="s">
        <v>1388</v>
      </c>
      <c r="C16" s="12" t="s">
        <v>1389</v>
      </c>
      <c r="D16" s="13" t="s">
        <v>1451</v>
      </c>
      <c r="E16" s="12" t="s">
        <v>120</v>
      </c>
      <c r="F16" s="12" t="s">
        <v>145</v>
      </c>
      <c r="G16" s="13" t="s">
        <v>1452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1453</v>
      </c>
      <c r="B17" s="12" t="s">
        <v>1392</v>
      </c>
      <c r="C17" s="12" t="s">
        <v>1393</v>
      </c>
      <c r="D17" s="13" t="s">
        <v>1394</v>
      </c>
      <c r="E17" s="12" t="s">
        <v>120</v>
      </c>
      <c r="F17" s="12" t="s">
        <v>145</v>
      </c>
      <c r="G17" s="13" t="s">
        <v>1449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1454</v>
      </c>
      <c r="B18" s="12" t="s">
        <v>1395</v>
      </c>
      <c r="C18" s="12" t="s">
        <v>1370</v>
      </c>
      <c r="D18" s="13" t="s">
        <v>1455</v>
      </c>
      <c r="E18" s="12" t="s">
        <v>120</v>
      </c>
      <c r="F18" s="12" t="s">
        <v>145</v>
      </c>
      <c r="G18" s="13" t="s">
        <v>1452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1456</v>
      </c>
      <c r="B19" s="12" t="s">
        <v>168</v>
      </c>
      <c r="C19" s="12" t="s">
        <v>1397</v>
      </c>
      <c r="D19" s="13" t="s">
        <v>1398</v>
      </c>
      <c r="E19" s="12" t="s">
        <v>120</v>
      </c>
      <c r="F19" s="12" t="s">
        <v>140</v>
      </c>
      <c r="G19" s="13" t="s">
        <v>1447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1457</v>
      </c>
      <c r="B20" s="12" t="s">
        <v>148</v>
      </c>
      <c r="C20" s="12" t="s">
        <v>53</v>
      </c>
      <c r="D20" s="13" t="s">
        <v>1458</v>
      </c>
      <c r="E20" s="12" t="s">
        <v>120</v>
      </c>
      <c r="F20" s="12" t="s">
        <v>150</v>
      </c>
      <c r="G20" s="13" t="s">
        <v>1449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1459</v>
      </c>
      <c r="B21" s="12" t="s">
        <v>153</v>
      </c>
      <c r="C21" s="12" t="s">
        <v>53</v>
      </c>
      <c r="D21" s="13" t="s">
        <v>1400</v>
      </c>
      <c r="E21" s="12" t="s">
        <v>120</v>
      </c>
      <c r="F21" s="12" t="s">
        <v>155</v>
      </c>
      <c r="G21" s="13" t="s">
        <v>1460</v>
      </c>
      <c r="H21" s="12" t="s">
        <v>82</v>
      </c>
      <c r="I21" s="12" t="s">
        <v>98</v>
      </c>
      <c r="J21" s="14"/>
      <c r="K21" s="13" t="s">
        <v>1402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1461</v>
      </c>
      <c r="B22" s="12" t="s">
        <v>159</v>
      </c>
      <c r="C22" s="12" t="s">
        <v>1403</v>
      </c>
      <c r="D22" s="13" t="s">
        <v>1404</v>
      </c>
      <c r="E22" s="12" t="s">
        <v>120</v>
      </c>
      <c r="F22" s="12" t="s">
        <v>161</v>
      </c>
      <c r="G22" s="13" t="s">
        <v>1462</v>
      </c>
      <c r="H22" s="12" t="s">
        <v>82</v>
      </c>
      <c r="I22" s="12" t="s">
        <v>98</v>
      </c>
      <c r="J22" s="14"/>
      <c r="K22" s="13" t="s">
        <v>1406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1463</v>
      </c>
      <c r="B23" s="12" t="s">
        <v>1407</v>
      </c>
      <c r="C23" s="12" t="s">
        <v>1072</v>
      </c>
      <c r="D23" s="13" t="s">
        <v>1464</v>
      </c>
      <c r="E23" s="12" t="s">
        <v>120</v>
      </c>
      <c r="F23" s="12" t="s">
        <v>161</v>
      </c>
      <c r="G23" s="13" t="s">
        <v>1465</v>
      </c>
      <c r="H23" s="12" t="s">
        <v>82</v>
      </c>
      <c r="I23" s="12" t="s">
        <v>98</v>
      </c>
      <c r="J23" s="14"/>
      <c r="K23" s="13" t="s">
        <v>1410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1466</v>
      </c>
      <c r="B24" s="12" t="s">
        <v>1411</v>
      </c>
      <c r="C24" s="12" t="s">
        <v>53</v>
      </c>
      <c r="D24" s="13" t="s">
        <v>1412</v>
      </c>
      <c r="E24" s="12" t="s">
        <v>120</v>
      </c>
      <c r="F24" s="12" t="s">
        <v>161</v>
      </c>
      <c r="G24" s="13" t="s">
        <v>1462</v>
      </c>
      <c r="H24" s="12" t="s">
        <v>82</v>
      </c>
      <c r="I24" s="12" t="s">
        <v>98</v>
      </c>
      <c r="J24" s="14"/>
      <c r="K24" s="13" t="s">
        <v>1413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1467</v>
      </c>
      <c r="B25" s="12" t="s">
        <v>165</v>
      </c>
      <c r="C25" s="12" t="s">
        <v>53</v>
      </c>
      <c r="D25" s="13" t="s">
        <v>540</v>
      </c>
      <c r="E25" s="12" t="s">
        <v>120</v>
      </c>
      <c r="F25" s="12" t="s">
        <v>161</v>
      </c>
      <c r="G25" s="13" t="s">
        <v>1468</v>
      </c>
      <c r="H25" s="12" t="s">
        <v>82</v>
      </c>
      <c r="I25" s="12" t="s">
        <v>98</v>
      </c>
      <c r="J25" s="14"/>
      <c r="K25" s="13" t="s">
        <v>1415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1469</v>
      </c>
      <c r="B26" s="12" t="s">
        <v>173</v>
      </c>
      <c r="C26" s="12" t="s">
        <v>53</v>
      </c>
      <c r="D26" s="13" t="s">
        <v>1470</v>
      </c>
      <c r="E26" s="12" t="s">
        <v>120</v>
      </c>
      <c r="F26" s="12" t="s">
        <v>161</v>
      </c>
      <c r="G26" s="13" t="s">
        <v>1462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1471</v>
      </c>
      <c r="B27" s="12" t="s">
        <v>177</v>
      </c>
      <c r="C27" s="12" t="s">
        <v>53</v>
      </c>
      <c r="D27" s="13" t="s">
        <v>1419</v>
      </c>
      <c r="E27" s="12" t="s">
        <v>120</v>
      </c>
      <c r="F27" s="12" t="s">
        <v>179</v>
      </c>
      <c r="G27" s="13" t="s">
        <v>1472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1473</v>
      </c>
      <c r="B28" s="12" t="s">
        <v>182</v>
      </c>
      <c r="C28" s="12" t="s">
        <v>53</v>
      </c>
      <c r="D28" s="13" t="s">
        <v>1474</v>
      </c>
      <c r="E28" s="12" t="s">
        <v>120</v>
      </c>
      <c r="F28" s="12" t="s">
        <v>179</v>
      </c>
      <c r="G28" s="13" t="s">
        <v>1475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1476</v>
      </c>
      <c r="B29" s="12" t="s">
        <v>186</v>
      </c>
      <c r="C29" s="12" t="s">
        <v>53</v>
      </c>
      <c r="D29" s="13" t="s">
        <v>1477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 t="s">
        <v>1427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1478</v>
      </c>
      <c r="B30" s="12" t="s">
        <v>191</v>
      </c>
      <c r="C30" s="12" t="s">
        <v>53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n">
        <v>46229</v>
      </c>
      <c r="K30" s="13" t="s">
        <v>1430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17</v>
      </c>
      <c r="G4" s="5" t="s">
        <v>13</v>
      </c>
      <c r="H4" s="7" t="n">
        <f aca="false">IF(B4=0,0,E4/B4)</f>
        <v>0.772727272727273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1481</v>
      </c>
      <c r="B9" s="12" t="s">
        <v>117</v>
      </c>
      <c r="C9" s="12" t="s">
        <v>768</v>
      </c>
      <c r="D9" s="13" t="s">
        <v>1482</v>
      </c>
      <c r="E9" s="12" t="s">
        <v>120</v>
      </c>
      <c r="F9" s="12" t="s">
        <v>121</v>
      </c>
      <c r="G9" s="13" t="s">
        <v>1483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1484</v>
      </c>
      <c r="B10" s="12" t="s">
        <v>1329</v>
      </c>
      <c r="C10" s="12" t="s">
        <v>1485</v>
      </c>
      <c r="D10" s="13" t="s">
        <v>1486</v>
      </c>
      <c r="E10" s="12" t="s">
        <v>120</v>
      </c>
      <c r="F10" s="12" t="s">
        <v>140</v>
      </c>
      <c r="G10" s="13" t="s">
        <v>1487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1488</v>
      </c>
      <c r="B11" s="12" t="s">
        <v>124</v>
      </c>
      <c r="C11" s="12" t="s">
        <v>54</v>
      </c>
      <c r="D11" s="13" t="s">
        <v>1489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1490</v>
      </c>
      <c r="B12" s="12" t="s">
        <v>128</v>
      </c>
      <c r="C12" s="12" t="s">
        <v>1485</v>
      </c>
      <c r="D12" s="13" t="s">
        <v>1491</v>
      </c>
      <c r="E12" s="12" t="s">
        <v>120</v>
      </c>
      <c r="F12" s="12" t="s">
        <v>130</v>
      </c>
      <c r="G12" s="13" t="s">
        <v>1492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1493</v>
      </c>
      <c r="B13" s="12" t="s">
        <v>133</v>
      </c>
      <c r="C13" s="12" t="s">
        <v>1485</v>
      </c>
      <c r="D13" s="13" t="s">
        <v>1494</v>
      </c>
      <c r="E13" s="12" t="s">
        <v>120</v>
      </c>
      <c r="F13" s="12" t="s">
        <v>135</v>
      </c>
      <c r="G13" s="13" t="s">
        <v>1495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1496</v>
      </c>
      <c r="B14" s="12" t="s">
        <v>1119</v>
      </c>
      <c r="C14" s="12" t="s">
        <v>768</v>
      </c>
      <c r="D14" s="13" t="s">
        <v>1497</v>
      </c>
      <c r="E14" s="12" t="s">
        <v>120</v>
      </c>
      <c r="F14" s="12" t="s">
        <v>145</v>
      </c>
      <c r="G14" s="13" t="s">
        <v>1498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1499</v>
      </c>
      <c r="B15" s="12" t="s">
        <v>1500</v>
      </c>
      <c r="C15" s="12" t="s">
        <v>768</v>
      </c>
      <c r="D15" s="13" t="s">
        <v>1501</v>
      </c>
      <c r="E15" s="12" t="s">
        <v>120</v>
      </c>
      <c r="F15" s="12" t="s">
        <v>145</v>
      </c>
      <c r="G15" s="13" t="s">
        <v>1498</v>
      </c>
      <c r="H15" s="12" t="s">
        <v>84</v>
      </c>
      <c r="I15" s="12" t="s">
        <v>99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1502</v>
      </c>
      <c r="B16" s="12" t="s">
        <v>1503</v>
      </c>
      <c r="C16" s="12" t="s">
        <v>768</v>
      </c>
      <c r="D16" s="13" t="s">
        <v>1504</v>
      </c>
      <c r="E16" s="12" t="s">
        <v>120</v>
      </c>
      <c r="F16" s="12" t="s">
        <v>145</v>
      </c>
      <c r="G16" s="13" t="s">
        <v>1505</v>
      </c>
      <c r="H16" s="12" t="s">
        <v>84</v>
      </c>
      <c r="I16" s="12" t="s">
        <v>99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1506</v>
      </c>
      <c r="B17" s="12" t="s">
        <v>1507</v>
      </c>
      <c r="C17" s="12" t="s">
        <v>1485</v>
      </c>
      <c r="D17" s="13" t="s">
        <v>1508</v>
      </c>
      <c r="E17" s="12" t="s">
        <v>120</v>
      </c>
      <c r="F17" s="12" t="s">
        <v>145</v>
      </c>
      <c r="G17" s="13" t="s">
        <v>1498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1509</v>
      </c>
      <c r="B18" s="12" t="s">
        <v>1395</v>
      </c>
      <c r="C18" s="12" t="s">
        <v>768</v>
      </c>
      <c r="D18" s="13" t="s">
        <v>1510</v>
      </c>
      <c r="E18" s="12" t="s">
        <v>120</v>
      </c>
      <c r="F18" s="12" t="s">
        <v>145</v>
      </c>
      <c r="G18" s="13" t="s">
        <v>1505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1511</v>
      </c>
      <c r="B19" s="12" t="s">
        <v>168</v>
      </c>
      <c r="C19" s="12" t="s">
        <v>768</v>
      </c>
      <c r="D19" s="13" t="s">
        <v>1512</v>
      </c>
      <c r="E19" s="12" t="s">
        <v>120</v>
      </c>
      <c r="F19" s="12" t="s">
        <v>140</v>
      </c>
      <c r="G19" s="13" t="s">
        <v>1513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1514</v>
      </c>
      <c r="B20" s="12" t="s">
        <v>148</v>
      </c>
      <c r="C20" s="12" t="s">
        <v>54</v>
      </c>
      <c r="D20" s="13" t="s">
        <v>1515</v>
      </c>
      <c r="E20" s="12" t="s">
        <v>120</v>
      </c>
      <c r="F20" s="12" t="s">
        <v>150</v>
      </c>
      <c r="G20" s="13" t="s">
        <v>1498</v>
      </c>
      <c r="H20" s="12" t="s">
        <v>84</v>
      </c>
      <c r="I20" s="12" t="s">
        <v>99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1516</v>
      </c>
      <c r="B21" s="12" t="s">
        <v>1517</v>
      </c>
      <c r="C21" s="12" t="s">
        <v>768</v>
      </c>
      <c r="D21" s="13" t="s">
        <v>1518</v>
      </c>
      <c r="E21" s="12" t="s">
        <v>120</v>
      </c>
      <c r="F21" s="12" t="s">
        <v>145</v>
      </c>
      <c r="G21" s="13" t="s">
        <v>1519</v>
      </c>
      <c r="H21" s="12" t="s">
        <v>84</v>
      </c>
      <c r="I21" s="12" t="s">
        <v>99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1520</v>
      </c>
      <c r="B22" s="12" t="s">
        <v>153</v>
      </c>
      <c r="C22" s="12" t="s">
        <v>54</v>
      </c>
      <c r="D22" s="13" t="s">
        <v>1521</v>
      </c>
      <c r="E22" s="12" t="s">
        <v>120</v>
      </c>
      <c r="F22" s="12" t="s">
        <v>155</v>
      </c>
      <c r="G22" s="13" t="s">
        <v>1522</v>
      </c>
      <c r="H22" s="12" t="s">
        <v>82</v>
      </c>
      <c r="I22" s="12" t="s">
        <v>98</v>
      </c>
      <c r="J22" s="14"/>
      <c r="K22" s="13" t="s">
        <v>1402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1523</v>
      </c>
      <c r="B23" s="12" t="s">
        <v>159</v>
      </c>
      <c r="C23" s="12" t="s">
        <v>768</v>
      </c>
      <c r="D23" s="13" t="s">
        <v>1524</v>
      </c>
      <c r="E23" s="12" t="s">
        <v>120</v>
      </c>
      <c r="F23" s="12" t="s">
        <v>161</v>
      </c>
      <c r="G23" s="13" t="s">
        <v>1525</v>
      </c>
      <c r="H23" s="12" t="s">
        <v>82</v>
      </c>
      <c r="I23" s="12" t="s">
        <v>98</v>
      </c>
      <c r="J23" s="14"/>
      <c r="K23" s="13" t="s">
        <v>1526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1527</v>
      </c>
      <c r="B24" s="12" t="s">
        <v>165</v>
      </c>
      <c r="C24" s="12" t="s">
        <v>1485</v>
      </c>
      <c r="D24" s="13" t="s">
        <v>540</v>
      </c>
      <c r="E24" s="12" t="s">
        <v>120</v>
      </c>
      <c r="F24" s="12" t="s">
        <v>161</v>
      </c>
      <c r="G24" s="13" t="s">
        <v>1528</v>
      </c>
      <c r="H24" s="12" t="s">
        <v>82</v>
      </c>
      <c r="I24" s="12" t="s">
        <v>98</v>
      </c>
      <c r="J24" s="14"/>
      <c r="K24" s="13" t="s">
        <v>1529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1530</v>
      </c>
      <c r="B25" s="12" t="s">
        <v>1411</v>
      </c>
      <c r="C25" s="12" t="s">
        <v>54</v>
      </c>
      <c r="D25" s="13" t="s">
        <v>1531</v>
      </c>
      <c r="E25" s="12" t="s">
        <v>120</v>
      </c>
      <c r="F25" s="12" t="s">
        <v>161</v>
      </c>
      <c r="G25" s="13" t="s">
        <v>1525</v>
      </c>
      <c r="H25" s="12" t="s">
        <v>82</v>
      </c>
      <c r="I25" s="12" t="s">
        <v>98</v>
      </c>
      <c r="J25" s="14"/>
      <c r="K25" s="13" t="s">
        <v>1413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1532</v>
      </c>
      <c r="B26" s="12" t="s">
        <v>173</v>
      </c>
      <c r="C26" s="12" t="s">
        <v>54</v>
      </c>
      <c r="D26" s="13" t="s">
        <v>1533</v>
      </c>
      <c r="E26" s="12" t="s">
        <v>120</v>
      </c>
      <c r="F26" s="12" t="s">
        <v>161</v>
      </c>
      <c r="G26" s="13" t="s">
        <v>1525</v>
      </c>
      <c r="H26" s="12" t="s">
        <v>82</v>
      </c>
      <c r="I26" s="12" t="s">
        <v>98</v>
      </c>
      <c r="J26" s="14"/>
      <c r="K26" s="13" t="s">
        <v>549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1534</v>
      </c>
      <c r="B27" s="12" t="s">
        <v>177</v>
      </c>
      <c r="C27" s="12" t="s">
        <v>54</v>
      </c>
      <c r="D27" s="13" t="s">
        <v>1535</v>
      </c>
      <c r="E27" s="12" t="s">
        <v>120</v>
      </c>
      <c r="F27" s="12" t="s">
        <v>179</v>
      </c>
      <c r="G27" s="13" t="s">
        <v>1536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1537</v>
      </c>
      <c r="B28" s="12" t="s">
        <v>182</v>
      </c>
      <c r="C28" s="12" t="s">
        <v>54</v>
      </c>
      <c r="D28" s="13" t="s">
        <v>1538</v>
      </c>
      <c r="E28" s="12" t="s">
        <v>120</v>
      </c>
      <c r="F28" s="12" t="s">
        <v>179</v>
      </c>
      <c r="G28" s="13" t="s">
        <v>1539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1540</v>
      </c>
      <c r="B29" s="12" t="s">
        <v>186</v>
      </c>
      <c r="C29" s="12" t="s">
        <v>54</v>
      </c>
      <c r="D29" s="13" t="s">
        <v>1541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1542</v>
      </c>
      <c r="B30" s="12" t="s">
        <v>191</v>
      </c>
      <c r="C30" s="12" t="s">
        <v>54</v>
      </c>
      <c r="D30" s="13" t="s">
        <v>1429</v>
      </c>
      <c r="E30" s="12" t="s">
        <v>120</v>
      </c>
      <c r="F30" s="12" t="s">
        <v>120</v>
      </c>
      <c r="G30" s="13" t="s">
        <v>560</v>
      </c>
      <c r="H30" s="12" t="s">
        <v>84</v>
      </c>
      <c r="I30" s="12" t="s">
        <v>99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102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1545</v>
      </c>
      <c r="B9" s="1" t="s">
        <v>117</v>
      </c>
      <c r="C9" s="1" t="s">
        <v>1546</v>
      </c>
      <c r="D9" s="1" t="s">
        <v>1547</v>
      </c>
      <c r="E9" s="1" t="s">
        <v>120</v>
      </c>
      <c r="F9" s="1" t="s">
        <v>121</v>
      </c>
      <c r="G9" s="1" t="s">
        <v>1548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1549</v>
      </c>
      <c r="B10" s="1" t="s">
        <v>1329</v>
      </c>
      <c r="C10" s="1" t="s">
        <v>1546</v>
      </c>
      <c r="D10" s="1" t="s">
        <v>1550</v>
      </c>
      <c r="E10" s="1" t="s">
        <v>120</v>
      </c>
      <c r="F10" s="1" t="s">
        <v>140</v>
      </c>
      <c r="G10" s="1" t="s">
        <v>1551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1552</v>
      </c>
      <c r="B11" s="1" t="s">
        <v>124</v>
      </c>
      <c r="C11" s="1" t="s">
        <v>1553</v>
      </c>
      <c r="D11" s="1" t="s">
        <v>1554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1555</v>
      </c>
      <c r="B12" s="1" t="s">
        <v>128</v>
      </c>
      <c r="C12" s="1" t="s">
        <v>1546</v>
      </c>
      <c r="D12" s="1" t="s">
        <v>1556</v>
      </c>
      <c r="E12" s="1" t="s">
        <v>120</v>
      </c>
      <c r="F12" s="1" t="s">
        <v>130</v>
      </c>
      <c r="G12" s="1" t="s">
        <v>1557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1558</v>
      </c>
      <c r="B13" s="1" t="s">
        <v>133</v>
      </c>
      <c r="C13" s="1" t="s">
        <v>1546</v>
      </c>
      <c r="D13" s="1" t="s">
        <v>1559</v>
      </c>
      <c r="E13" s="1" t="s">
        <v>120</v>
      </c>
      <c r="F13" s="1" t="s">
        <v>135</v>
      </c>
      <c r="G13" s="1" t="s">
        <v>1560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1561</v>
      </c>
      <c r="B14" s="1" t="s">
        <v>1562</v>
      </c>
      <c r="C14" s="1" t="s">
        <v>1546</v>
      </c>
      <c r="D14" s="1" t="s">
        <v>1563</v>
      </c>
      <c r="E14" s="1" t="s">
        <v>120</v>
      </c>
      <c r="F14" s="1" t="s">
        <v>145</v>
      </c>
      <c r="G14" s="1" t="s">
        <v>1564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1565</v>
      </c>
      <c r="B15" s="1" t="s">
        <v>1566</v>
      </c>
      <c r="C15" s="1" t="s">
        <v>768</v>
      </c>
      <c r="D15" s="1" t="s">
        <v>1567</v>
      </c>
      <c r="E15" s="1" t="s">
        <v>120</v>
      </c>
      <c r="F15" s="1" t="s">
        <v>145</v>
      </c>
      <c r="G15" s="1" t="s">
        <v>1564</v>
      </c>
      <c r="H15" s="1" t="s">
        <v>84</v>
      </c>
      <c r="I15" s="1" t="s">
        <v>99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1568</v>
      </c>
      <c r="B16" s="1" t="s">
        <v>1569</v>
      </c>
      <c r="C16" s="1" t="s">
        <v>1546</v>
      </c>
      <c r="D16" s="1" t="s">
        <v>1570</v>
      </c>
      <c r="E16" s="1" t="s">
        <v>120</v>
      </c>
      <c r="F16" s="1" t="s">
        <v>145</v>
      </c>
      <c r="G16" s="1" t="s">
        <v>1564</v>
      </c>
      <c r="H16" s="1" t="s">
        <v>84</v>
      </c>
      <c r="I16" s="1" t="s">
        <v>99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1571</v>
      </c>
      <c r="B17" s="1" t="s">
        <v>76</v>
      </c>
      <c r="C17" s="1" t="s">
        <v>768</v>
      </c>
      <c r="D17" s="1" t="s">
        <v>1572</v>
      </c>
      <c r="E17" s="1" t="s">
        <v>120</v>
      </c>
      <c r="F17" s="1" t="s">
        <v>140</v>
      </c>
      <c r="G17" s="1" t="s">
        <v>1573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1574</v>
      </c>
      <c r="B18" s="1" t="s">
        <v>1575</v>
      </c>
      <c r="C18" s="1" t="s">
        <v>1546</v>
      </c>
      <c r="D18" s="1" t="s">
        <v>1576</v>
      </c>
      <c r="E18" s="1" t="s">
        <v>120</v>
      </c>
      <c r="F18" s="1" t="s">
        <v>145</v>
      </c>
      <c r="G18" s="1" t="s">
        <v>1564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1577</v>
      </c>
      <c r="B19" s="1" t="s">
        <v>1578</v>
      </c>
      <c r="C19" s="1" t="s">
        <v>1546</v>
      </c>
      <c r="D19" s="1" t="s">
        <v>1579</v>
      </c>
      <c r="E19" s="1" t="s">
        <v>120</v>
      </c>
      <c r="F19" s="1" t="s">
        <v>145</v>
      </c>
      <c r="G19" s="1" t="s">
        <v>1573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1580</v>
      </c>
      <c r="B20" s="1" t="s">
        <v>1395</v>
      </c>
      <c r="C20" s="1" t="s">
        <v>768</v>
      </c>
      <c r="D20" s="1" t="s">
        <v>1581</v>
      </c>
      <c r="E20" s="1" t="s">
        <v>120</v>
      </c>
      <c r="F20" s="1" t="s">
        <v>145</v>
      </c>
      <c r="G20" s="1" t="s">
        <v>1564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1582</v>
      </c>
      <c r="B21" s="1" t="s">
        <v>168</v>
      </c>
      <c r="C21" s="1" t="s">
        <v>1546</v>
      </c>
      <c r="D21" s="1" t="s">
        <v>1583</v>
      </c>
      <c r="E21" s="1" t="s">
        <v>120</v>
      </c>
      <c r="F21" s="1" t="s">
        <v>145</v>
      </c>
      <c r="G21" s="1" t="s">
        <v>1564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1584</v>
      </c>
      <c r="B22" s="1" t="s">
        <v>148</v>
      </c>
      <c r="C22" s="1" t="s">
        <v>1546</v>
      </c>
      <c r="D22" s="1" t="s">
        <v>1585</v>
      </c>
      <c r="E22" s="1" t="s">
        <v>120</v>
      </c>
      <c r="F22" s="1" t="s">
        <v>150</v>
      </c>
      <c r="G22" s="1" t="s">
        <v>1564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1586</v>
      </c>
      <c r="B23" s="1" t="s">
        <v>153</v>
      </c>
      <c r="C23" s="1" t="s">
        <v>1553</v>
      </c>
      <c r="D23" s="1" t="s">
        <v>1587</v>
      </c>
      <c r="E23" s="1" t="s">
        <v>120</v>
      </c>
      <c r="F23" s="1" t="s">
        <v>155</v>
      </c>
      <c r="G23" s="1" t="s">
        <v>1588</v>
      </c>
      <c r="H23" s="1" t="s">
        <v>78</v>
      </c>
      <c r="I23" s="1" t="s">
        <v>98</v>
      </c>
      <c r="J23" s="10" t="n">
        <v>46229</v>
      </c>
      <c r="K23" s="1" t="s">
        <v>1589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1590</v>
      </c>
      <c r="B24" s="1" t="s">
        <v>173</v>
      </c>
      <c r="C24" s="1" t="s">
        <v>1553</v>
      </c>
      <c r="D24" s="1" t="s">
        <v>1591</v>
      </c>
      <c r="E24" s="1" t="s">
        <v>120</v>
      </c>
      <c r="F24" s="1" t="s">
        <v>161</v>
      </c>
      <c r="G24" s="1" t="s">
        <v>1592</v>
      </c>
      <c r="H24" s="1" t="s">
        <v>78</v>
      </c>
      <c r="I24" s="1" t="s">
        <v>98</v>
      </c>
      <c r="J24" s="10" t="n">
        <v>46229</v>
      </c>
      <c r="K24" s="1" t="s">
        <v>1593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1594</v>
      </c>
      <c r="B25" s="1" t="s">
        <v>177</v>
      </c>
      <c r="C25" s="1" t="s">
        <v>1553</v>
      </c>
      <c r="D25" s="1" t="s">
        <v>1595</v>
      </c>
      <c r="E25" s="1" t="s">
        <v>120</v>
      </c>
      <c r="F25" s="1" t="s">
        <v>179</v>
      </c>
      <c r="G25" s="1" t="s">
        <v>1596</v>
      </c>
      <c r="H25" s="1" t="s">
        <v>84</v>
      </c>
      <c r="I25" s="1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1597</v>
      </c>
      <c r="B26" s="1" t="s">
        <v>182</v>
      </c>
      <c r="C26" s="1" t="s">
        <v>1553</v>
      </c>
      <c r="D26" s="1" t="s">
        <v>1598</v>
      </c>
      <c r="E26" s="1" t="s">
        <v>120</v>
      </c>
      <c r="F26" s="1" t="s">
        <v>179</v>
      </c>
      <c r="G26" s="1" t="s">
        <v>1599</v>
      </c>
      <c r="H26" s="1" t="s">
        <v>84</v>
      </c>
      <c r="I26" s="1" t="s">
        <v>99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1600</v>
      </c>
      <c r="B27" s="1" t="s">
        <v>186</v>
      </c>
      <c r="C27" s="1" t="s">
        <v>1553</v>
      </c>
      <c r="D27" s="1" t="s">
        <v>1601</v>
      </c>
      <c r="E27" s="1" t="s">
        <v>188</v>
      </c>
      <c r="F27" s="1" t="s">
        <v>188</v>
      </c>
      <c r="G27" s="1" t="s">
        <v>189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1602</v>
      </c>
      <c r="B28" s="1" t="s">
        <v>191</v>
      </c>
      <c r="C28" s="1" t="s">
        <v>1553</v>
      </c>
      <c r="D28" s="1" t="s">
        <v>1603</v>
      </c>
      <c r="E28" s="1" t="s">
        <v>120</v>
      </c>
      <c r="F28" s="1" t="s">
        <v>120</v>
      </c>
      <c r="G28" s="1" t="s">
        <v>193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COUNTA(A9:A28)</f>
        <v>20</v>
      </c>
      <c r="D4" s="5" t="s">
        <v>102</v>
      </c>
      <c r="E4" s="6" t="n">
        <f aca="false">SUM(M9:M28)</f>
        <v>18</v>
      </c>
      <c r="G4" s="5" t="s">
        <v>13</v>
      </c>
      <c r="H4" s="7" t="n">
        <f aca="false">IF(B4=0,0,E4/B4)</f>
        <v>0.9</v>
      </c>
      <c r="J4" s="5" t="s">
        <v>14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IF(COUNTIFS(I9:I28,"yes",M9:M28,0)&gt;0,"open","complete")</f>
        <v>open</v>
      </c>
      <c r="D5" s="5" t="s">
        <v>15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1606</v>
      </c>
      <c r="B9" s="1" t="s">
        <v>117</v>
      </c>
      <c r="C9" s="1" t="s">
        <v>1607</v>
      </c>
      <c r="D9" s="1" t="s">
        <v>1608</v>
      </c>
      <c r="E9" s="1" t="s">
        <v>120</v>
      </c>
      <c r="F9" s="1" t="s">
        <v>121</v>
      </c>
      <c r="G9" s="1" t="s">
        <v>1609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1610</v>
      </c>
      <c r="B10" s="1" t="s">
        <v>1329</v>
      </c>
      <c r="C10" s="1" t="s">
        <v>1607</v>
      </c>
      <c r="D10" s="1" t="s">
        <v>1611</v>
      </c>
      <c r="E10" s="1" t="s">
        <v>120</v>
      </c>
      <c r="F10" s="1" t="s">
        <v>140</v>
      </c>
      <c r="G10" s="1" t="s">
        <v>1612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1613</v>
      </c>
      <c r="B11" s="1" t="s">
        <v>124</v>
      </c>
      <c r="C11" s="1" t="s">
        <v>56</v>
      </c>
      <c r="D11" s="1" t="s">
        <v>1614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1615</v>
      </c>
      <c r="B12" s="1" t="s">
        <v>128</v>
      </c>
      <c r="C12" s="1" t="s">
        <v>1607</v>
      </c>
      <c r="D12" s="1" t="s">
        <v>1616</v>
      </c>
      <c r="E12" s="1" t="s">
        <v>120</v>
      </c>
      <c r="F12" s="1" t="s">
        <v>130</v>
      </c>
      <c r="G12" s="1" t="s">
        <v>1617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1618</v>
      </c>
      <c r="B13" s="1" t="s">
        <v>133</v>
      </c>
      <c r="C13" s="1" t="s">
        <v>1607</v>
      </c>
      <c r="D13" s="1" t="s">
        <v>1619</v>
      </c>
      <c r="E13" s="1" t="s">
        <v>120</v>
      </c>
      <c r="F13" s="1" t="s">
        <v>135</v>
      </c>
      <c r="G13" s="1" t="s">
        <v>1620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1621</v>
      </c>
      <c r="B14" s="1" t="s">
        <v>1562</v>
      </c>
      <c r="C14" s="1" t="s">
        <v>1607</v>
      </c>
      <c r="D14" s="1" t="s">
        <v>1622</v>
      </c>
      <c r="E14" s="1" t="s">
        <v>120</v>
      </c>
      <c r="F14" s="1" t="s">
        <v>145</v>
      </c>
      <c r="G14" s="1" t="s">
        <v>1623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1624</v>
      </c>
      <c r="B15" s="1" t="s">
        <v>1566</v>
      </c>
      <c r="C15" s="1" t="s">
        <v>768</v>
      </c>
      <c r="D15" s="1" t="s">
        <v>1625</v>
      </c>
      <c r="E15" s="1" t="s">
        <v>120</v>
      </c>
      <c r="F15" s="1" t="s">
        <v>145</v>
      </c>
      <c r="G15" s="1" t="s">
        <v>1623</v>
      </c>
      <c r="H15" s="1" t="s">
        <v>84</v>
      </c>
      <c r="I15" s="1" t="s">
        <v>99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1626</v>
      </c>
      <c r="B16" s="1" t="s">
        <v>1569</v>
      </c>
      <c r="C16" s="1" t="s">
        <v>768</v>
      </c>
      <c r="D16" s="1" t="s">
        <v>1627</v>
      </c>
      <c r="E16" s="1" t="s">
        <v>120</v>
      </c>
      <c r="F16" s="1" t="s">
        <v>145</v>
      </c>
      <c r="G16" s="1" t="s">
        <v>1623</v>
      </c>
      <c r="H16" s="1" t="s">
        <v>84</v>
      </c>
      <c r="I16" s="1" t="s">
        <v>99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1628</v>
      </c>
      <c r="B17" s="1" t="s">
        <v>76</v>
      </c>
      <c r="C17" s="1" t="s">
        <v>768</v>
      </c>
      <c r="D17" s="1" t="s">
        <v>1629</v>
      </c>
      <c r="E17" s="1" t="s">
        <v>120</v>
      </c>
      <c r="F17" s="1" t="s">
        <v>140</v>
      </c>
      <c r="G17" s="1" t="s">
        <v>1630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1631</v>
      </c>
      <c r="B18" s="1" t="s">
        <v>1575</v>
      </c>
      <c r="C18" s="1" t="s">
        <v>1607</v>
      </c>
      <c r="D18" s="1" t="s">
        <v>1632</v>
      </c>
      <c r="E18" s="1" t="s">
        <v>120</v>
      </c>
      <c r="F18" s="1" t="s">
        <v>145</v>
      </c>
      <c r="G18" s="1" t="s">
        <v>1630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1633</v>
      </c>
      <c r="B19" s="1" t="s">
        <v>1578</v>
      </c>
      <c r="C19" s="1" t="s">
        <v>1607</v>
      </c>
      <c r="D19" s="1" t="s">
        <v>1634</v>
      </c>
      <c r="E19" s="1" t="s">
        <v>120</v>
      </c>
      <c r="F19" s="1" t="s">
        <v>140</v>
      </c>
      <c r="G19" s="1" t="s">
        <v>1612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1635</v>
      </c>
      <c r="B20" s="1" t="s">
        <v>1395</v>
      </c>
      <c r="C20" s="1" t="s">
        <v>768</v>
      </c>
      <c r="D20" s="1" t="s">
        <v>1636</v>
      </c>
      <c r="E20" s="1" t="s">
        <v>120</v>
      </c>
      <c r="F20" s="1" t="s">
        <v>145</v>
      </c>
      <c r="G20" s="1" t="s">
        <v>1623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1637</v>
      </c>
      <c r="B21" s="1" t="s">
        <v>168</v>
      </c>
      <c r="C21" s="1" t="s">
        <v>1607</v>
      </c>
      <c r="D21" s="1" t="s">
        <v>1638</v>
      </c>
      <c r="E21" s="1" t="s">
        <v>120</v>
      </c>
      <c r="F21" s="1" t="s">
        <v>145</v>
      </c>
      <c r="G21" s="1" t="s">
        <v>1623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1639</v>
      </c>
      <c r="B22" s="1" t="s">
        <v>148</v>
      </c>
      <c r="C22" s="1" t="s">
        <v>1607</v>
      </c>
      <c r="D22" s="1" t="s">
        <v>1640</v>
      </c>
      <c r="E22" s="1" t="s">
        <v>120</v>
      </c>
      <c r="F22" s="1" t="s">
        <v>150</v>
      </c>
      <c r="G22" s="1" t="s">
        <v>1623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1641</v>
      </c>
      <c r="B23" s="1" t="s">
        <v>153</v>
      </c>
      <c r="C23" s="1" t="s">
        <v>56</v>
      </c>
      <c r="D23" s="1" t="s">
        <v>1642</v>
      </c>
      <c r="E23" s="1" t="s">
        <v>120</v>
      </c>
      <c r="F23" s="1" t="s">
        <v>155</v>
      </c>
      <c r="G23" s="1" t="s">
        <v>1643</v>
      </c>
      <c r="H23" s="1" t="s">
        <v>78</v>
      </c>
      <c r="I23" s="1" t="s">
        <v>98</v>
      </c>
      <c r="J23" s="10" t="n">
        <v>46229</v>
      </c>
      <c r="K23" s="1" t="s">
        <v>1644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1645</v>
      </c>
      <c r="B24" s="1" t="s">
        <v>173</v>
      </c>
      <c r="C24" s="1" t="s">
        <v>56</v>
      </c>
      <c r="D24" s="1" t="s">
        <v>1646</v>
      </c>
      <c r="E24" s="1" t="s">
        <v>120</v>
      </c>
      <c r="F24" s="1" t="s">
        <v>161</v>
      </c>
      <c r="G24" s="1" t="s">
        <v>1647</v>
      </c>
      <c r="H24" s="1" t="s">
        <v>78</v>
      </c>
      <c r="I24" s="1" t="s">
        <v>98</v>
      </c>
      <c r="J24" s="10" t="n">
        <v>46229</v>
      </c>
      <c r="K24" s="1" t="s">
        <v>1648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1649</v>
      </c>
      <c r="B25" s="1" t="s">
        <v>177</v>
      </c>
      <c r="C25" s="1" t="s">
        <v>56</v>
      </c>
      <c r="D25" s="1" t="s">
        <v>1595</v>
      </c>
      <c r="E25" s="1" t="s">
        <v>120</v>
      </c>
      <c r="F25" s="1" t="s">
        <v>179</v>
      </c>
      <c r="G25" s="1" t="s">
        <v>1650</v>
      </c>
      <c r="H25" s="1" t="s">
        <v>84</v>
      </c>
      <c r="I25" s="1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1651</v>
      </c>
      <c r="B26" s="1" t="s">
        <v>182</v>
      </c>
      <c r="C26" s="1" t="s">
        <v>56</v>
      </c>
      <c r="D26" s="1" t="s">
        <v>1598</v>
      </c>
      <c r="E26" s="1" t="s">
        <v>120</v>
      </c>
      <c r="F26" s="1" t="s">
        <v>179</v>
      </c>
      <c r="G26" s="1" t="s">
        <v>1652</v>
      </c>
      <c r="H26" s="1" t="s">
        <v>84</v>
      </c>
      <c r="I26" s="1" t="s">
        <v>99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1653</v>
      </c>
      <c r="B27" s="1" t="s">
        <v>186</v>
      </c>
      <c r="C27" s="1" t="s">
        <v>56</v>
      </c>
      <c r="D27" s="1" t="s">
        <v>1654</v>
      </c>
      <c r="E27" s="1" t="s">
        <v>188</v>
      </c>
      <c r="F27" s="1" t="s">
        <v>188</v>
      </c>
      <c r="G27" s="1" t="s">
        <v>189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1655</v>
      </c>
      <c r="B28" s="1" t="s">
        <v>191</v>
      </c>
      <c r="C28" s="1" t="s">
        <v>56</v>
      </c>
      <c r="D28" s="1" t="s">
        <v>1656</v>
      </c>
      <c r="E28" s="1" t="s">
        <v>120</v>
      </c>
      <c r="F28" s="1" t="s">
        <v>120</v>
      </c>
      <c r="G28" s="1" t="s">
        <v>193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1659</v>
      </c>
      <c r="B9" s="1" t="s">
        <v>76</v>
      </c>
      <c r="C9" s="1" t="s">
        <v>1660</v>
      </c>
      <c r="D9" s="1" t="s">
        <v>1661</v>
      </c>
      <c r="E9" s="1" t="s">
        <v>120</v>
      </c>
      <c r="F9" s="1" t="s">
        <v>121</v>
      </c>
      <c r="G9" s="1" t="s">
        <v>1662</v>
      </c>
      <c r="H9" s="1" t="s">
        <v>84</v>
      </c>
      <c r="I9" s="1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1663</v>
      </c>
      <c r="B10" s="1" t="s">
        <v>1329</v>
      </c>
      <c r="C10" s="1" t="s">
        <v>1170</v>
      </c>
      <c r="D10" s="1" t="s">
        <v>1664</v>
      </c>
      <c r="E10" s="1" t="s">
        <v>120</v>
      </c>
      <c r="F10" s="1" t="s">
        <v>140</v>
      </c>
      <c r="G10" s="1" t="s">
        <v>1665</v>
      </c>
      <c r="H10" s="1" t="s">
        <v>84</v>
      </c>
      <c r="I10" s="1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1666</v>
      </c>
      <c r="B11" s="1" t="s">
        <v>124</v>
      </c>
      <c r="C11" s="1" t="s">
        <v>57</v>
      </c>
      <c r="D11" s="1" t="s">
        <v>1667</v>
      </c>
      <c r="E11" s="1" t="s">
        <v>120</v>
      </c>
      <c r="F11" s="1" t="s">
        <v>120</v>
      </c>
      <c r="G11" s="1" t="s">
        <v>126</v>
      </c>
      <c r="H11" s="1" t="s">
        <v>84</v>
      </c>
      <c r="I11" s="1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1668</v>
      </c>
      <c r="B12" s="1" t="s">
        <v>128</v>
      </c>
      <c r="C12" s="1" t="s">
        <v>1170</v>
      </c>
      <c r="D12" s="1" t="s">
        <v>1669</v>
      </c>
      <c r="E12" s="1" t="s">
        <v>120</v>
      </c>
      <c r="F12" s="1" t="s">
        <v>130</v>
      </c>
      <c r="G12" s="1" t="s">
        <v>1670</v>
      </c>
      <c r="H12" s="1" t="s">
        <v>84</v>
      </c>
      <c r="I12" s="1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1671</v>
      </c>
      <c r="B13" s="1" t="s">
        <v>133</v>
      </c>
      <c r="C13" s="1" t="s">
        <v>1170</v>
      </c>
      <c r="D13" s="1" t="s">
        <v>1672</v>
      </c>
      <c r="E13" s="1" t="s">
        <v>120</v>
      </c>
      <c r="F13" s="1" t="s">
        <v>135</v>
      </c>
      <c r="G13" s="1" t="s">
        <v>1673</v>
      </c>
      <c r="H13" s="1" t="s">
        <v>84</v>
      </c>
      <c r="I13" s="1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1674</v>
      </c>
      <c r="B14" s="1" t="s">
        <v>1562</v>
      </c>
      <c r="C14" s="1" t="s">
        <v>1675</v>
      </c>
      <c r="D14" s="1" t="s">
        <v>1676</v>
      </c>
      <c r="E14" s="1" t="s">
        <v>120</v>
      </c>
      <c r="F14" s="1" t="s">
        <v>145</v>
      </c>
      <c r="G14" s="1" t="s">
        <v>1677</v>
      </c>
      <c r="H14" s="1" t="s">
        <v>84</v>
      </c>
      <c r="I14" s="1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1678</v>
      </c>
      <c r="B15" s="1" t="s">
        <v>1679</v>
      </c>
      <c r="C15" s="1" t="s">
        <v>1680</v>
      </c>
      <c r="D15" s="1" t="s">
        <v>1681</v>
      </c>
      <c r="E15" s="1" t="s">
        <v>120</v>
      </c>
      <c r="F15" s="1" t="s">
        <v>155</v>
      </c>
      <c r="G15" s="1" t="s">
        <v>1682</v>
      </c>
      <c r="H15" s="1" t="s">
        <v>86</v>
      </c>
      <c r="I15" s="1" t="s">
        <v>98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1683</v>
      </c>
      <c r="B16" s="1" t="s">
        <v>1684</v>
      </c>
      <c r="C16" s="1" t="s">
        <v>768</v>
      </c>
      <c r="D16" s="1" t="s">
        <v>1685</v>
      </c>
      <c r="E16" s="1" t="s">
        <v>120</v>
      </c>
      <c r="F16" s="1" t="s">
        <v>155</v>
      </c>
      <c r="G16" s="1" t="s">
        <v>1682</v>
      </c>
      <c r="H16" s="1" t="s">
        <v>86</v>
      </c>
      <c r="I16" s="1" t="s">
        <v>98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1686</v>
      </c>
      <c r="B17" s="1" t="s">
        <v>1072</v>
      </c>
      <c r="C17" s="1" t="s">
        <v>1687</v>
      </c>
      <c r="D17" s="1" t="s">
        <v>1688</v>
      </c>
      <c r="E17" s="1" t="s">
        <v>120</v>
      </c>
      <c r="F17" s="1" t="s">
        <v>145</v>
      </c>
      <c r="G17" s="1" t="s">
        <v>1689</v>
      </c>
      <c r="H17" s="1" t="s">
        <v>84</v>
      </c>
      <c r="I17" s="1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1690</v>
      </c>
      <c r="B18" s="1" t="s">
        <v>1691</v>
      </c>
      <c r="C18" s="1" t="s">
        <v>1692</v>
      </c>
      <c r="D18" s="1" t="s">
        <v>1693</v>
      </c>
      <c r="E18" s="1" t="s">
        <v>120</v>
      </c>
      <c r="F18" s="1" t="s">
        <v>150</v>
      </c>
      <c r="G18" s="1" t="s">
        <v>1694</v>
      </c>
      <c r="H18" s="1" t="s">
        <v>84</v>
      </c>
      <c r="I18" s="1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1695</v>
      </c>
      <c r="B19" s="1" t="s">
        <v>1696</v>
      </c>
      <c r="C19" s="1" t="s">
        <v>1697</v>
      </c>
      <c r="D19" s="1" t="s">
        <v>1698</v>
      </c>
      <c r="E19" s="1" t="s">
        <v>120</v>
      </c>
      <c r="F19" s="1" t="s">
        <v>140</v>
      </c>
      <c r="G19" s="1" t="s">
        <v>1694</v>
      </c>
      <c r="H19" s="1" t="s">
        <v>84</v>
      </c>
      <c r="I19" s="1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1699</v>
      </c>
      <c r="B20" s="1" t="s">
        <v>1700</v>
      </c>
      <c r="C20" s="1" t="s">
        <v>1697</v>
      </c>
      <c r="D20" s="1" t="s">
        <v>1701</v>
      </c>
      <c r="E20" s="1" t="s">
        <v>120</v>
      </c>
      <c r="F20" s="1" t="s">
        <v>145</v>
      </c>
      <c r="G20" s="1" t="s">
        <v>1677</v>
      </c>
      <c r="H20" s="1" t="s">
        <v>84</v>
      </c>
      <c r="I20" s="1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1702</v>
      </c>
      <c r="B21" s="1" t="s">
        <v>1703</v>
      </c>
      <c r="C21" s="1" t="s">
        <v>32</v>
      </c>
      <c r="D21" s="1" t="s">
        <v>1704</v>
      </c>
      <c r="E21" s="1" t="s">
        <v>120</v>
      </c>
      <c r="F21" s="1" t="s">
        <v>145</v>
      </c>
      <c r="G21" s="1" t="s">
        <v>1677</v>
      </c>
      <c r="H21" s="1" t="s">
        <v>84</v>
      </c>
      <c r="I21" s="1" t="s">
        <v>99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1705</v>
      </c>
      <c r="B22" s="1" t="s">
        <v>168</v>
      </c>
      <c r="C22" s="1" t="s">
        <v>1170</v>
      </c>
      <c r="D22" s="1" t="s">
        <v>1706</v>
      </c>
      <c r="E22" s="1" t="s">
        <v>120</v>
      </c>
      <c r="F22" s="1" t="s">
        <v>145</v>
      </c>
      <c r="G22" s="1" t="s">
        <v>1694</v>
      </c>
      <c r="H22" s="1" t="s">
        <v>84</v>
      </c>
      <c r="I22" s="1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1707</v>
      </c>
      <c r="B23" s="1" t="s">
        <v>159</v>
      </c>
      <c r="C23" s="1" t="s">
        <v>1708</v>
      </c>
      <c r="D23" s="1" t="s">
        <v>1709</v>
      </c>
      <c r="E23" s="1" t="s">
        <v>120</v>
      </c>
      <c r="F23" s="1" t="s">
        <v>145</v>
      </c>
      <c r="G23" s="1" t="s">
        <v>1689</v>
      </c>
      <c r="H23" s="1" t="s">
        <v>84</v>
      </c>
      <c r="I23" s="1" t="s">
        <v>99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1710</v>
      </c>
      <c r="B24" s="1" t="s">
        <v>148</v>
      </c>
      <c r="C24" s="1" t="s">
        <v>1170</v>
      </c>
      <c r="D24" s="1" t="s">
        <v>1711</v>
      </c>
      <c r="E24" s="1" t="s">
        <v>120</v>
      </c>
      <c r="F24" s="1" t="s">
        <v>150</v>
      </c>
      <c r="G24" s="1" t="s">
        <v>1677</v>
      </c>
      <c r="H24" s="1" t="s">
        <v>84</v>
      </c>
      <c r="I24" s="1" t="s">
        <v>99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1712</v>
      </c>
      <c r="B25" s="1" t="s">
        <v>153</v>
      </c>
      <c r="C25" s="1" t="s">
        <v>57</v>
      </c>
      <c r="D25" s="1" t="s">
        <v>1713</v>
      </c>
      <c r="E25" s="1" t="s">
        <v>120</v>
      </c>
      <c r="F25" s="1" t="s">
        <v>155</v>
      </c>
      <c r="G25" s="1" t="s">
        <v>1682</v>
      </c>
      <c r="H25" s="1" t="s">
        <v>86</v>
      </c>
      <c r="I25" s="1" t="s">
        <v>98</v>
      </c>
      <c r="J25" s="10" t="n">
        <v>46229</v>
      </c>
      <c r="K25" s="1" t="s">
        <v>1714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1715</v>
      </c>
      <c r="B26" s="1" t="s">
        <v>173</v>
      </c>
      <c r="C26" s="1" t="s">
        <v>57</v>
      </c>
      <c r="D26" s="1" t="s">
        <v>1716</v>
      </c>
      <c r="E26" s="1" t="s">
        <v>120</v>
      </c>
      <c r="F26" s="1" t="s">
        <v>161</v>
      </c>
      <c r="G26" s="1" t="s">
        <v>1717</v>
      </c>
      <c r="H26" s="1" t="s">
        <v>78</v>
      </c>
      <c r="I26" s="1" t="s">
        <v>98</v>
      </c>
      <c r="J26" s="10" t="n">
        <v>46229</v>
      </c>
      <c r="K26" s="1" t="s">
        <v>1648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1718</v>
      </c>
      <c r="B27" s="1" t="s">
        <v>177</v>
      </c>
      <c r="C27" s="1" t="s">
        <v>57</v>
      </c>
      <c r="D27" s="1" t="s">
        <v>1719</v>
      </c>
      <c r="E27" s="1" t="s">
        <v>120</v>
      </c>
      <c r="F27" s="1" t="s">
        <v>179</v>
      </c>
      <c r="G27" s="1" t="s">
        <v>1720</v>
      </c>
      <c r="H27" s="1" t="s">
        <v>84</v>
      </c>
      <c r="I27" s="1" t="s">
        <v>99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1721</v>
      </c>
      <c r="B28" s="1" t="s">
        <v>182</v>
      </c>
      <c r="C28" s="1" t="s">
        <v>57</v>
      </c>
      <c r="D28" s="1" t="s">
        <v>1722</v>
      </c>
      <c r="E28" s="1" t="s">
        <v>120</v>
      </c>
      <c r="F28" s="1" t="s">
        <v>179</v>
      </c>
      <c r="G28" s="1" t="s">
        <v>1723</v>
      </c>
      <c r="H28" s="1" t="s">
        <v>84</v>
      </c>
      <c r="I28" s="1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1724</v>
      </c>
      <c r="B29" s="1" t="s">
        <v>608</v>
      </c>
      <c r="C29" s="1" t="s">
        <v>57</v>
      </c>
      <c r="D29" s="1" t="s">
        <v>1725</v>
      </c>
      <c r="E29" s="1" t="s">
        <v>120</v>
      </c>
      <c r="F29" s="1" t="s">
        <v>610</v>
      </c>
      <c r="G29" s="1" t="s">
        <v>1726</v>
      </c>
      <c r="H29" s="1" t="s">
        <v>84</v>
      </c>
      <c r="I29" s="1" t="s">
        <v>99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1727</v>
      </c>
      <c r="B30" s="1" t="s">
        <v>186</v>
      </c>
      <c r="C30" s="1" t="s">
        <v>57</v>
      </c>
      <c r="D30" s="1" t="s">
        <v>1728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1729</v>
      </c>
      <c r="B31" s="1" t="s">
        <v>191</v>
      </c>
      <c r="C31" s="1" t="s">
        <v>57</v>
      </c>
      <c r="D31" s="1" t="s">
        <v>1730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42" hidden="false" customHeight="true" outlineLevel="0" collapsed="false">
      <c r="A9" s="1" t="s">
        <v>1733</v>
      </c>
      <c r="B9" s="1" t="s">
        <v>76</v>
      </c>
      <c r="C9" s="1" t="s">
        <v>1170</v>
      </c>
      <c r="D9" s="1" t="s">
        <v>1734</v>
      </c>
      <c r="E9" s="1" t="s">
        <v>120</v>
      </c>
      <c r="F9" s="1" t="s">
        <v>121</v>
      </c>
      <c r="G9" s="1" t="s">
        <v>1735</v>
      </c>
      <c r="H9" s="8" t="s">
        <v>84</v>
      </c>
      <c r="I9" s="8" t="s">
        <v>99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1736</v>
      </c>
      <c r="B10" s="1" t="s">
        <v>1329</v>
      </c>
      <c r="C10" s="1" t="s">
        <v>1737</v>
      </c>
      <c r="D10" s="1" t="s">
        <v>1738</v>
      </c>
      <c r="E10" s="1" t="s">
        <v>120</v>
      </c>
      <c r="F10" s="1" t="s">
        <v>140</v>
      </c>
      <c r="G10" s="1" t="s">
        <v>1739</v>
      </c>
      <c r="H10" s="8" t="s">
        <v>84</v>
      </c>
      <c r="I10" s="8" t="s">
        <v>99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1740</v>
      </c>
      <c r="B11" s="1" t="s">
        <v>124</v>
      </c>
      <c r="C11" s="1" t="s">
        <v>58</v>
      </c>
      <c r="D11" s="1" t="s">
        <v>1741</v>
      </c>
      <c r="E11" s="1" t="s">
        <v>120</v>
      </c>
      <c r="F11" s="1" t="s">
        <v>120</v>
      </c>
      <c r="G11" s="1" t="s">
        <v>126</v>
      </c>
      <c r="H11" s="8" t="s">
        <v>84</v>
      </c>
      <c r="I11" s="8" t="s">
        <v>99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1742</v>
      </c>
      <c r="B12" s="1" t="s">
        <v>128</v>
      </c>
      <c r="C12" s="1" t="s">
        <v>1170</v>
      </c>
      <c r="D12" s="1" t="s">
        <v>1743</v>
      </c>
      <c r="E12" s="1" t="s">
        <v>120</v>
      </c>
      <c r="F12" s="1" t="s">
        <v>130</v>
      </c>
      <c r="G12" s="1" t="s">
        <v>1744</v>
      </c>
      <c r="H12" s="8" t="s">
        <v>84</v>
      </c>
      <c r="I12" s="8" t="s">
        <v>99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1745</v>
      </c>
      <c r="B13" s="1" t="s">
        <v>133</v>
      </c>
      <c r="C13" s="1" t="s">
        <v>1170</v>
      </c>
      <c r="D13" s="1" t="s">
        <v>1746</v>
      </c>
      <c r="E13" s="1" t="s">
        <v>120</v>
      </c>
      <c r="F13" s="1" t="s">
        <v>135</v>
      </c>
      <c r="G13" s="1" t="s">
        <v>1747</v>
      </c>
      <c r="H13" s="8" t="s">
        <v>84</v>
      </c>
      <c r="I13" s="8" t="s">
        <v>99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1748</v>
      </c>
      <c r="B14" s="1" t="s">
        <v>1562</v>
      </c>
      <c r="C14" s="1" t="s">
        <v>1749</v>
      </c>
      <c r="D14" s="1" t="s">
        <v>1750</v>
      </c>
      <c r="E14" s="1" t="s">
        <v>120</v>
      </c>
      <c r="F14" s="1" t="s">
        <v>145</v>
      </c>
      <c r="G14" s="1" t="s">
        <v>1751</v>
      </c>
      <c r="H14" s="8" t="s">
        <v>84</v>
      </c>
      <c r="I14" s="8" t="s">
        <v>99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1752</v>
      </c>
      <c r="B15" s="1" t="s">
        <v>1679</v>
      </c>
      <c r="C15" s="1" t="s">
        <v>1170</v>
      </c>
      <c r="D15" s="1" t="s">
        <v>1753</v>
      </c>
      <c r="E15" s="1" t="s">
        <v>120</v>
      </c>
      <c r="F15" s="1" t="s">
        <v>155</v>
      </c>
      <c r="G15" s="1" t="s">
        <v>1754</v>
      </c>
      <c r="H15" s="8" t="s">
        <v>86</v>
      </c>
      <c r="I15" s="8" t="s">
        <v>98</v>
      </c>
      <c r="J15" s="10" t="n">
        <v>46229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1756</v>
      </c>
      <c r="B16" s="1" t="s">
        <v>1684</v>
      </c>
      <c r="C16" s="1" t="s">
        <v>1757</v>
      </c>
      <c r="D16" s="1" t="s">
        <v>1758</v>
      </c>
      <c r="E16" s="1" t="s">
        <v>120</v>
      </c>
      <c r="F16" s="1" t="s">
        <v>155</v>
      </c>
      <c r="G16" s="1" t="s">
        <v>1754</v>
      </c>
      <c r="H16" s="8" t="s">
        <v>86</v>
      </c>
      <c r="I16" s="8" t="s">
        <v>98</v>
      </c>
      <c r="J16" s="10" t="n">
        <v>46229</v>
      </c>
      <c r="K16" s="1" t="s">
        <v>1759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1760</v>
      </c>
      <c r="B17" s="1" t="s">
        <v>1761</v>
      </c>
      <c r="C17" s="1" t="s">
        <v>1762</v>
      </c>
      <c r="D17" s="1" t="s">
        <v>1763</v>
      </c>
      <c r="E17" s="1" t="s">
        <v>120</v>
      </c>
      <c r="F17" s="1" t="s">
        <v>145</v>
      </c>
      <c r="G17" s="1" t="s">
        <v>1764</v>
      </c>
      <c r="H17" s="8" t="s">
        <v>84</v>
      </c>
      <c r="I17" s="8" t="s">
        <v>99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1765</v>
      </c>
      <c r="B18" s="1" t="s">
        <v>1575</v>
      </c>
      <c r="C18" s="1" t="s">
        <v>1766</v>
      </c>
      <c r="D18" s="1" t="s">
        <v>1767</v>
      </c>
      <c r="E18" s="1" t="s">
        <v>120</v>
      </c>
      <c r="F18" s="1" t="s">
        <v>145</v>
      </c>
      <c r="G18" s="1" t="s">
        <v>1764</v>
      </c>
      <c r="H18" s="8" t="s">
        <v>84</v>
      </c>
      <c r="I18" s="8" t="s">
        <v>99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1768</v>
      </c>
      <c r="B19" s="1" t="s">
        <v>1769</v>
      </c>
      <c r="C19" s="1" t="s">
        <v>1762</v>
      </c>
      <c r="D19" s="1" t="s">
        <v>1770</v>
      </c>
      <c r="E19" s="1" t="s">
        <v>120</v>
      </c>
      <c r="F19" s="1" t="s">
        <v>145</v>
      </c>
      <c r="G19" s="1" t="s">
        <v>1751</v>
      </c>
      <c r="H19" s="8" t="s">
        <v>84</v>
      </c>
      <c r="I19" s="8" t="s">
        <v>99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1771</v>
      </c>
      <c r="B20" s="1" t="s">
        <v>1772</v>
      </c>
      <c r="C20" s="1" t="s">
        <v>1072</v>
      </c>
      <c r="D20" s="1" t="s">
        <v>1773</v>
      </c>
      <c r="E20" s="1" t="s">
        <v>120</v>
      </c>
      <c r="F20" s="1" t="s">
        <v>140</v>
      </c>
      <c r="G20" s="1" t="s">
        <v>1774</v>
      </c>
      <c r="H20" s="8" t="s">
        <v>84</v>
      </c>
      <c r="I20" s="8" t="s">
        <v>99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1775</v>
      </c>
      <c r="B21" s="1" t="s">
        <v>1776</v>
      </c>
      <c r="C21" s="1" t="s">
        <v>1776</v>
      </c>
      <c r="D21" s="1" t="s">
        <v>1777</v>
      </c>
      <c r="E21" s="1" t="s">
        <v>120</v>
      </c>
      <c r="F21" s="1" t="s">
        <v>155</v>
      </c>
      <c r="G21" s="1" t="s">
        <v>1754</v>
      </c>
      <c r="H21" s="8" t="s">
        <v>86</v>
      </c>
      <c r="I21" s="8" t="s">
        <v>98</v>
      </c>
      <c r="J21" s="10" t="n">
        <v>46229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1779</v>
      </c>
      <c r="B22" s="1" t="s">
        <v>168</v>
      </c>
      <c r="C22" s="1" t="s">
        <v>1749</v>
      </c>
      <c r="D22" s="1" t="s">
        <v>1780</v>
      </c>
      <c r="E22" s="1" t="s">
        <v>120</v>
      </c>
      <c r="F22" s="1" t="s">
        <v>145</v>
      </c>
      <c r="G22" s="1" t="s">
        <v>1774</v>
      </c>
      <c r="H22" s="8" t="s">
        <v>84</v>
      </c>
      <c r="I22" s="8" t="s">
        <v>99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1781</v>
      </c>
      <c r="B23" s="1" t="s">
        <v>159</v>
      </c>
      <c r="C23" s="1" t="s">
        <v>1708</v>
      </c>
      <c r="D23" s="1" t="s">
        <v>1782</v>
      </c>
      <c r="E23" s="1" t="s">
        <v>120</v>
      </c>
      <c r="F23" s="1" t="s">
        <v>145</v>
      </c>
      <c r="G23" s="1" t="s">
        <v>1764</v>
      </c>
      <c r="H23" s="8" t="s">
        <v>84</v>
      </c>
      <c r="I23" s="8" t="s">
        <v>99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1783</v>
      </c>
      <c r="B24" s="1" t="s">
        <v>1215</v>
      </c>
      <c r="C24" s="1" t="s">
        <v>1708</v>
      </c>
      <c r="D24" s="1" t="s">
        <v>1784</v>
      </c>
      <c r="E24" s="1" t="s">
        <v>120</v>
      </c>
      <c r="F24" s="1" t="s">
        <v>145</v>
      </c>
      <c r="G24" s="1" t="s">
        <v>1751</v>
      </c>
      <c r="H24" s="8" t="s">
        <v>84</v>
      </c>
      <c r="I24" s="8" t="s">
        <v>99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1785</v>
      </c>
      <c r="B25" s="1" t="s">
        <v>148</v>
      </c>
      <c r="C25" s="1" t="s">
        <v>1170</v>
      </c>
      <c r="D25" s="1" t="s">
        <v>1786</v>
      </c>
      <c r="E25" s="1" t="s">
        <v>120</v>
      </c>
      <c r="F25" s="1" t="s">
        <v>150</v>
      </c>
      <c r="G25" s="1" t="s">
        <v>1751</v>
      </c>
      <c r="H25" s="8" t="s">
        <v>84</v>
      </c>
      <c r="I25" s="8" t="s">
        <v>99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1787</v>
      </c>
      <c r="B26" s="1" t="s">
        <v>153</v>
      </c>
      <c r="C26" s="1" t="s">
        <v>58</v>
      </c>
      <c r="D26" s="1" t="s">
        <v>1788</v>
      </c>
      <c r="E26" s="1" t="s">
        <v>120</v>
      </c>
      <c r="F26" s="1" t="s">
        <v>155</v>
      </c>
      <c r="G26" s="1" t="s">
        <v>1754</v>
      </c>
      <c r="H26" s="8" t="s">
        <v>86</v>
      </c>
      <c r="I26" s="8" t="s">
        <v>98</v>
      </c>
      <c r="J26" s="10" t="n">
        <v>46229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1790</v>
      </c>
      <c r="B27" s="1" t="s">
        <v>173</v>
      </c>
      <c r="C27" s="1" t="s">
        <v>58</v>
      </c>
      <c r="D27" s="1" t="s">
        <v>1791</v>
      </c>
      <c r="E27" s="1" t="s">
        <v>120</v>
      </c>
      <c r="F27" s="1" t="s">
        <v>161</v>
      </c>
      <c r="G27" s="1" t="s">
        <v>1792</v>
      </c>
      <c r="H27" s="8" t="s">
        <v>78</v>
      </c>
      <c r="I27" s="8" t="s">
        <v>98</v>
      </c>
      <c r="J27" s="10" t="n">
        <v>46229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1794</v>
      </c>
      <c r="B28" s="1" t="s">
        <v>177</v>
      </c>
      <c r="C28" s="1" t="s">
        <v>58</v>
      </c>
      <c r="D28" s="1" t="s">
        <v>1795</v>
      </c>
      <c r="E28" s="1" t="s">
        <v>120</v>
      </c>
      <c r="F28" s="1" t="s">
        <v>179</v>
      </c>
      <c r="G28" s="1" t="s">
        <v>1796</v>
      </c>
      <c r="H28" s="8" t="s">
        <v>84</v>
      </c>
      <c r="I28" s="8" t="s">
        <v>99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1797</v>
      </c>
      <c r="B29" s="1" t="s">
        <v>608</v>
      </c>
      <c r="C29" s="1" t="s">
        <v>58</v>
      </c>
      <c r="D29" s="1" t="s">
        <v>1798</v>
      </c>
      <c r="E29" s="1" t="s">
        <v>120</v>
      </c>
      <c r="F29" s="1" t="s">
        <v>610</v>
      </c>
      <c r="G29" s="1" t="s">
        <v>1799</v>
      </c>
      <c r="H29" s="8" t="s">
        <v>84</v>
      </c>
      <c r="I29" s="8" t="s">
        <v>99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1800</v>
      </c>
      <c r="B30" s="1" t="s">
        <v>186</v>
      </c>
      <c r="C30" s="1" t="s">
        <v>58</v>
      </c>
      <c r="D30" s="1" t="s">
        <v>1801</v>
      </c>
      <c r="E30" s="1" t="s">
        <v>188</v>
      </c>
      <c r="F30" s="1" t="s">
        <v>188</v>
      </c>
      <c r="G30" s="1" t="s">
        <v>189</v>
      </c>
      <c r="H30" s="8" t="s">
        <v>84</v>
      </c>
      <c r="I30" s="8" t="s">
        <v>99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1802</v>
      </c>
      <c r="B31" s="1" t="s">
        <v>191</v>
      </c>
      <c r="C31" s="1" t="s">
        <v>58</v>
      </c>
      <c r="D31" s="1" t="s">
        <v>1803</v>
      </c>
      <c r="E31" s="1" t="s">
        <v>120</v>
      </c>
      <c r="F31" s="1" t="s">
        <v>120</v>
      </c>
      <c r="G31" s="1" t="s">
        <v>193</v>
      </c>
      <c r="H31" s="8" t="s">
        <v>84</v>
      </c>
      <c r="I31" s="8" t="s">
        <v>99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COUNTA(A9:A30)</f>
        <v>22</v>
      </c>
      <c r="D4" s="5" t="s">
        <v>102</v>
      </c>
      <c r="E4" s="6" t="n">
        <f aca="false">SUM(M9:M30)</f>
        <v>21</v>
      </c>
      <c r="G4" s="5" t="s">
        <v>13</v>
      </c>
      <c r="H4" s="7" t="n">
        <f aca="false">IF(B4=0,0,E4/B4)</f>
        <v>0.954545454545455</v>
      </c>
      <c r="J4" s="5" t="s">
        <v>14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IF(COUNTIFS(I9:I30,"yes",M9:M30,0)&gt;0,"open","complete")</f>
        <v>open</v>
      </c>
      <c r="D5" s="5" t="s">
        <v>15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1806</v>
      </c>
      <c r="B9" s="12" t="s">
        <v>76</v>
      </c>
      <c r="C9" s="12" t="s">
        <v>59</v>
      </c>
      <c r="D9" s="13" t="s">
        <v>1807</v>
      </c>
      <c r="E9" s="12" t="s">
        <v>120</v>
      </c>
      <c r="F9" s="12" t="s">
        <v>121</v>
      </c>
      <c r="G9" s="13" t="s">
        <v>1808</v>
      </c>
      <c r="H9" s="12" t="s">
        <v>84</v>
      </c>
      <c r="I9" s="12" t="s">
        <v>99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1809</v>
      </c>
      <c r="B10" s="12" t="s">
        <v>1329</v>
      </c>
      <c r="C10" s="12" t="s">
        <v>59</v>
      </c>
      <c r="D10" s="13" t="s">
        <v>1810</v>
      </c>
      <c r="E10" s="12" t="s">
        <v>120</v>
      </c>
      <c r="F10" s="12" t="s">
        <v>140</v>
      </c>
      <c r="G10" s="13" t="s">
        <v>1811</v>
      </c>
      <c r="H10" s="12" t="s">
        <v>84</v>
      </c>
      <c r="I10" s="12" t="s">
        <v>99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1812</v>
      </c>
      <c r="B11" s="12" t="s">
        <v>124</v>
      </c>
      <c r="C11" s="12" t="s">
        <v>59</v>
      </c>
      <c r="D11" s="13" t="s">
        <v>1813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1814</v>
      </c>
      <c r="B12" s="12" t="s">
        <v>128</v>
      </c>
      <c r="C12" s="12" t="s">
        <v>59</v>
      </c>
      <c r="D12" s="13" t="s">
        <v>1815</v>
      </c>
      <c r="E12" s="12" t="s">
        <v>120</v>
      </c>
      <c r="F12" s="12" t="s">
        <v>130</v>
      </c>
      <c r="G12" s="13" t="s">
        <v>1816</v>
      </c>
      <c r="H12" s="12" t="s">
        <v>84</v>
      </c>
      <c r="I12" s="12" t="s">
        <v>99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1817</v>
      </c>
      <c r="B13" s="12" t="s">
        <v>133</v>
      </c>
      <c r="C13" s="12" t="s">
        <v>59</v>
      </c>
      <c r="D13" s="13" t="s">
        <v>1818</v>
      </c>
      <c r="E13" s="12" t="s">
        <v>120</v>
      </c>
      <c r="F13" s="12" t="s">
        <v>135</v>
      </c>
      <c r="G13" s="13" t="s">
        <v>1819</v>
      </c>
      <c r="H13" s="12" t="s">
        <v>84</v>
      </c>
      <c r="I13" s="12" t="s">
        <v>99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1820</v>
      </c>
      <c r="B14" s="12" t="s">
        <v>1562</v>
      </c>
      <c r="C14" s="12" t="s">
        <v>59</v>
      </c>
      <c r="D14" s="13" t="s">
        <v>1821</v>
      </c>
      <c r="E14" s="12" t="s">
        <v>120</v>
      </c>
      <c r="F14" s="12" t="s">
        <v>145</v>
      </c>
      <c r="G14" s="13" t="s">
        <v>1822</v>
      </c>
      <c r="H14" s="12" t="s">
        <v>84</v>
      </c>
      <c r="I14" s="12" t="s">
        <v>99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1823</v>
      </c>
      <c r="B15" s="12" t="s">
        <v>1679</v>
      </c>
      <c r="C15" s="12" t="s">
        <v>59</v>
      </c>
      <c r="D15" s="13" t="s">
        <v>1824</v>
      </c>
      <c r="E15" s="12" t="s">
        <v>120</v>
      </c>
      <c r="F15" s="12" t="s">
        <v>155</v>
      </c>
      <c r="G15" s="13" t="s">
        <v>1825</v>
      </c>
      <c r="H15" s="12" t="s">
        <v>86</v>
      </c>
      <c r="I15" s="12" t="s">
        <v>98</v>
      </c>
      <c r="J15" s="14" t="n">
        <v>46229</v>
      </c>
      <c r="K15" s="13" t="s">
        <v>1755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1826</v>
      </c>
      <c r="B16" s="12" t="s">
        <v>1827</v>
      </c>
      <c r="C16" s="12" t="s">
        <v>59</v>
      </c>
      <c r="D16" s="13" t="s">
        <v>1828</v>
      </c>
      <c r="E16" s="12" t="s">
        <v>120</v>
      </c>
      <c r="F16" s="12" t="s">
        <v>155</v>
      </c>
      <c r="G16" s="13" t="s">
        <v>1825</v>
      </c>
      <c r="H16" s="12" t="s">
        <v>86</v>
      </c>
      <c r="I16" s="12" t="s">
        <v>98</v>
      </c>
      <c r="J16" s="14" t="n">
        <v>46229</v>
      </c>
      <c r="K16" s="13" t="s">
        <v>1829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1830</v>
      </c>
      <c r="B17" s="12" t="s">
        <v>1831</v>
      </c>
      <c r="C17" s="12" t="s">
        <v>59</v>
      </c>
      <c r="D17" s="13" t="s">
        <v>1832</v>
      </c>
      <c r="E17" s="12" t="s">
        <v>120</v>
      </c>
      <c r="F17" s="12" t="s">
        <v>145</v>
      </c>
      <c r="G17" s="13" t="s">
        <v>1833</v>
      </c>
      <c r="H17" s="12" t="s">
        <v>84</v>
      </c>
      <c r="I17" s="12" t="s">
        <v>99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1834</v>
      </c>
      <c r="B18" s="12" t="s">
        <v>1835</v>
      </c>
      <c r="C18" s="12" t="s">
        <v>59</v>
      </c>
      <c r="D18" s="13" t="s">
        <v>1836</v>
      </c>
      <c r="E18" s="12" t="s">
        <v>120</v>
      </c>
      <c r="F18" s="12" t="s">
        <v>145</v>
      </c>
      <c r="G18" s="13" t="s">
        <v>1822</v>
      </c>
      <c r="H18" s="12" t="s">
        <v>84</v>
      </c>
      <c r="I18" s="12" t="s">
        <v>99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1837</v>
      </c>
      <c r="B19" s="12" t="s">
        <v>1838</v>
      </c>
      <c r="C19" s="12" t="s">
        <v>59</v>
      </c>
      <c r="D19" s="13" t="s">
        <v>1839</v>
      </c>
      <c r="E19" s="12" t="s">
        <v>120</v>
      </c>
      <c r="F19" s="12" t="s">
        <v>145</v>
      </c>
      <c r="G19" s="13" t="s">
        <v>1840</v>
      </c>
      <c r="H19" s="12" t="s">
        <v>84</v>
      </c>
      <c r="I19" s="12" t="s">
        <v>99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1841</v>
      </c>
      <c r="B20" s="12" t="s">
        <v>168</v>
      </c>
      <c r="C20" s="12" t="s">
        <v>59</v>
      </c>
      <c r="D20" s="13" t="s">
        <v>1842</v>
      </c>
      <c r="E20" s="12" t="s">
        <v>120</v>
      </c>
      <c r="F20" s="12" t="s">
        <v>155</v>
      </c>
      <c r="G20" s="13" t="s">
        <v>1825</v>
      </c>
      <c r="H20" s="12" t="s">
        <v>86</v>
      </c>
      <c r="I20" s="12" t="s">
        <v>98</v>
      </c>
      <c r="J20" s="14" t="n">
        <v>46229</v>
      </c>
      <c r="K20" s="13" t="s">
        <v>1843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1844</v>
      </c>
      <c r="B21" s="12" t="s">
        <v>148</v>
      </c>
      <c r="C21" s="12" t="s">
        <v>59</v>
      </c>
      <c r="D21" s="13" t="s">
        <v>1845</v>
      </c>
      <c r="E21" s="12" t="s">
        <v>120</v>
      </c>
      <c r="F21" s="12" t="s">
        <v>150</v>
      </c>
      <c r="G21" s="13" t="s">
        <v>1822</v>
      </c>
      <c r="H21" s="12" t="s">
        <v>84</v>
      </c>
      <c r="I21" s="12" t="s">
        <v>99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1846</v>
      </c>
      <c r="B22" s="12" t="s">
        <v>159</v>
      </c>
      <c r="C22" s="12" t="s">
        <v>59</v>
      </c>
      <c r="D22" s="13" t="s">
        <v>1847</v>
      </c>
      <c r="E22" s="12" t="s">
        <v>120</v>
      </c>
      <c r="F22" s="12" t="s">
        <v>145</v>
      </c>
      <c r="G22" s="13" t="s">
        <v>1833</v>
      </c>
      <c r="H22" s="12" t="s">
        <v>84</v>
      </c>
      <c r="I22" s="12" t="s">
        <v>99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1848</v>
      </c>
      <c r="B23" s="12" t="s">
        <v>1849</v>
      </c>
      <c r="C23" s="12" t="s">
        <v>59</v>
      </c>
      <c r="D23" s="13" t="s">
        <v>1850</v>
      </c>
      <c r="E23" s="12" t="s">
        <v>120</v>
      </c>
      <c r="F23" s="12" t="s">
        <v>155</v>
      </c>
      <c r="G23" s="13" t="s">
        <v>1825</v>
      </c>
      <c r="H23" s="12" t="s">
        <v>86</v>
      </c>
      <c r="I23" s="12" t="s">
        <v>98</v>
      </c>
      <c r="J23" s="14" t="n">
        <v>46229</v>
      </c>
      <c r="K23" s="13" t="s">
        <v>1851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1852</v>
      </c>
      <c r="B24" s="12" t="s">
        <v>153</v>
      </c>
      <c r="C24" s="12" t="s">
        <v>59</v>
      </c>
      <c r="D24" s="13" t="s">
        <v>1853</v>
      </c>
      <c r="E24" s="12" t="s">
        <v>120</v>
      </c>
      <c r="F24" s="12" t="s">
        <v>155</v>
      </c>
      <c r="G24" s="13" t="s">
        <v>1825</v>
      </c>
      <c r="H24" s="12" t="s">
        <v>86</v>
      </c>
      <c r="I24" s="12" t="s">
        <v>98</v>
      </c>
      <c r="J24" s="14" t="n">
        <v>46229</v>
      </c>
      <c r="K24" s="13" t="s">
        <v>1854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1855</v>
      </c>
      <c r="B25" s="12" t="s">
        <v>173</v>
      </c>
      <c r="C25" s="12" t="s">
        <v>59</v>
      </c>
      <c r="D25" s="13" t="s">
        <v>1856</v>
      </c>
      <c r="E25" s="12" t="s">
        <v>120</v>
      </c>
      <c r="F25" s="12" t="s">
        <v>161</v>
      </c>
      <c r="G25" s="13" t="s">
        <v>1857</v>
      </c>
      <c r="H25" s="12" t="s">
        <v>78</v>
      </c>
      <c r="I25" s="12" t="s">
        <v>98</v>
      </c>
      <c r="J25" s="14" t="n">
        <v>46229</v>
      </c>
      <c r="K25" s="13" t="s">
        <v>1793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1858</v>
      </c>
      <c r="B26" s="12" t="s">
        <v>177</v>
      </c>
      <c r="C26" s="12" t="s">
        <v>59</v>
      </c>
      <c r="D26" s="13" t="s">
        <v>1859</v>
      </c>
      <c r="E26" s="12" t="s">
        <v>120</v>
      </c>
      <c r="F26" s="12" t="s">
        <v>179</v>
      </c>
      <c r="G26" s="13" t="s">
        <v>1860</v>
      </c>
      <c r="H26" s="12" t="s">
        <v>84</v>
      </c>
      <c r="I26" s="12" t="s">
        <v>99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1861</v>
      </c>
      <c r="B27" s="12" t="s">
        <v>182</v>
      </c>
      <c r="C27" s="12" t="s">
        <v>59</v>
      </c>
      <c r="D27" s="13" t="s">
        <v>1862</v>
      </c>
      <c r="E27" s="12" t="s">
        <v>120</v>
      </c>
      <c r="F27" s="12" t="s">
        <v>179</v>
      </c>
      <c r="G27" s="13" t="s">
        <v>1863</v>
      </c>
      <c r="H27" s="12" t="s">
        <v>84</v>
      </c>
      <c r="I27" s="12" t="s">
        <v>99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1864</v>
      </c>
      <c r="B28" s="12" t="s">
        <v>608</v>
      </c>
      <c r="C28" s="12" t="s">
        <v>59</v>
      </c>
      <c r="D28" s="13" t="s">
        <v>1865</v>
      </c>
      <c r="E28" s="12" t="s">
        <v>120</v>
      </c>
      <c r="F28" s="12" t="s">
        <v>610</v>
      </c>
      <c r="G28" s="13" t="s">
        <v>1866</v>
      </c>
      <c r="H28" s="12" t="s">
        <v>84</v>
      </c>
      <c r="I28" s="12" t="s">
        <v>99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1867</v>
      </c>
      <c r="B29" s="12" t="s">
        <v>186</v>
      </c>
      <c r="C29" s="12" t="s">
        <v>59</v>
      </c>
      <c r="D29" s="13" t="s">
        <v>1868</v>
      </c>
      <c r="E29" s="12" t="s">
        <v>188</v>
      </c>
      <c r="F29" s="12" t="s">
        <v>188</v>
      </c>
      <c r="G29" s="13" t="s">
        <v>189</v>
      </c>
      <c r="H29" s="12" t="s">
        <v>84</v>
      </c>
      <c r="I29" s="12" t="s">
        <v>99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1869</v>
      </c>
      <c r="B30" s="12" t="s">
        <v>191</v>
      </c>
      <c r="C30" s="12" t="s">
        <v>59</v>
      </c>
      <c r="D30" s="13" t="s">
        <v>1870</v>
      </c>
      <c r="E30" s="12" t="s">
        <v>120</v>
      </c>
      <c r="F30" s="12" t="s">
        <v>120</v>
      </c>
      <c r="G30" s="13" t="s">
        <v>193</v>
      </c>
      <c r="H30" s="12" t="s">
        <v>84</v>
      </c>
      <c r="I30" s="12" t="s">
        <v>99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1872</v>
      </c>
      <c r="B9" s="1" t="s">
        <v>76</v>
      </c>
      <c r="C9" s="1" t="s">
        <v>1170</v>
      </c>
      <c r="D9" s="1" t="s">
        <v>1873</v>
      </c>
      <c r="E9" s="1" t="s">
        <v>120</v>
      </c>
      <c r="F9" s="1" t="s">
        <v>121</v>
      </c>
      <c r="G9" s="1" t="s">
        <v>1874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1875</v>
      </c>
      <c r="B10" s="1" t="s">
        <v>1329</v>
      </c>
      <c r="C10" s="1" t="s">
        <v>1170</v>
      </c>
      <c r="D10" s="1" t="s">
        <v>1876</v>
      </c>
      <c r="E10" s="1" t="s">
        <v>120</v>
      </c>
      <c r="F10" s="1" t="s">
        <v>140</v>
      </c>
      <c r="G10" s="1" t="s">
        <v>1877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1878</v>
      </c>
      <c r="B11" s="1" t="s">
        <v>124</v>
      </c>
      <c r="C11" s="1" t="s">
        <v>1879</v>
      </c>
      <c r="D11" s="1" t="s">
        <v>1880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1882</v>
      </c>
      <c r="B12" s="1" t="s">
        <v>128</v>
      </c>
      <c r="C12" s="1" t="s">
        <v>1170</v>
      </c>
      <c r="D12" s="1" t="s">
        <v>1883</v>
      </c>
      <c r="E12" s="1" t="s">
        <v>120</v>
      </c>
      <c r="F12" s="1" t="s">
        <v>130</v>
      </c>
      <c r="G12" s="1" t="s">
        <v>1884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1885</v>
      </c>
      <c r="B13" s="1" t="s">
        <v>133</v>
      </c>
      <c r="C13" s="1" t="s">
        <v>1170</v>
      </c>
      <c r="D13" s="1" t="s">
        <v>1886</v>
      </c>
      <c r="E13" s="1" t="s">
        <v>120</v>
      </c>
      <c r="F13" s="1" t="s">
        <v>135</v>
      </c>
      <c r="G13" s="1" t="s">
        <v>1887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1888</v>
      </c>
      <c r="B14" s="1" t="s">
        <v>1562</v>
      </c>
      <c r="C14" s="1" t="s">
        <v>1889</v>
      </c>
      <c r="D14" s="1" t="s">
        <v>1890</v>
      </c>
      <c r="E14" s="1" t="s">
        <v>120</v>
      </c>
      <c r="F14" s="1" t="s">
        <v>145</v>
      </c>
      <c r="G14" s="1" t="s">
        <v>1891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1892</v>
      </c>
      <c r="B15" s="1" t="s">
        <v>1684</v>
      </c>
      <c r="C15" s="1" t="s">
        <v>1893</v>
      </c>
      <c r="D15" s="1" t="s">
        <v>1894</v>
      </c>
      <c r="E15" s="1" t="s">
        <v>120</v>
      </c>
      <c r="F15" s="1" t="s">
        <v>155</v>
      </c>
      <c r="G15" s="1" t="s">
        <v>1895</v>
      </c>
      <c r="H15" s="1" t="s">
        <v>86</v>
      </c>
      <c r="I15" s="1" t="s">
        <v>98</v>
      </c>
      <c r="J15" s="10" t="n">
        <v>46230</v>
      </c>
      <c r="K15" s="1" t="s">
        <v>1896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1897</v>
      </c>
      <c r="B16" s="1" t="s">
        <v>1329</v>
      </c>
      <c r="C16" s="1" t="s">
        <v>1898</v>
      </c>
      <c r="D16" s="1" t="s">
        <v>1899</v>
      </c>
      <c r="E16" s="1" t="s">
        <v>120</v>
      </c>
      <c r="F16" s="1" t="s">
        <v>155</v>
      </c>
      <c r="G16" s="1" t="s">
        <v>1895</v>
      </c>
      <c r="H16" s="1" t="s">
        <v>86</v>
      </c>
      <c r="I16" s="1" t="s">
        <v>98</v>
      </c>
      <c r="J16" s="10" t="n">
        <v>46230</v>
      </c>
      <c r="K16" s="1" t="s">
        <v>1900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1901</v>
      </c>
      <c r="B17" s="1" t="s">
        <v>1902</v>
      </c>
      <c r="C17" s="1" t="s">
        <v>1903</v>
      </c>
      <c r="D17" s="1" t="s">
        <v>1904</v>
      </c>
      <c r="E17" s="1" t="s">
        <v>120</v>
      </c>
      <c r="F17" s="1" t="s">
        <v>145</v>
      </c>
      <c r="G17" s="1" t="s">
        <v>1891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1905</v>
      </c>
      <c r="B18" s="1" t="s">
        <v>1575</v>
      </c>
      <c r="C18" s="1" t="s">
        <v>1906</v>
      </c>
      <c r="D18" s="1" t="s">
        <v>1907</v>
      </c>
      <c r="E18" s="1" t="s">
        <v>120</v>
      </c>
      <c r="F18" s="1" t="s">
        <v>145</v>
      </c>
      <c r="G18" s="1" t="s">
        <v>1908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1909</v>
      </c>
      <c r="B19" s="1" t="s">
        <v>1910</v>
      </c>
      <c r="C19" s="1" t="s">
        <v>1911</v>
      </c>
      <c r="D19" s="1" t="s">
        <v>1912</v>
      </c>
      <c r="E19" s="1" t="s">
        <v>120</v>
      </c>
      <c r="F19" s="1" t="s">
        <v>145</v>
      </c>
      <c r="G19" s="1" t="s">
        <v>1891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1913</v>
      </c>
      <c r="B20" s="1" t="s">
        <v>1569</v>
      </c>
      <c r="C20" s="1" t="s">
        <v>1403</v>
      </c>
      <c r="D20" s="1" t="s">
        <v>1914</v>
      </c>
      <c r="E20" s="1" t="s">
        <v>120</v>
      </c>
      <c r="F20" s="1" t="s">
        <v>145</v>
      </c>
      <c r="G20" s="1" t="s">
        <v>1891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1915</v>
      </c>
      <c r="B21" s="1" t="s">
        <v>168</v>
      </c>
      <c r="C21" s="1" t="s">
        <v>1916</v>
      </c>
      <c r="D21" s="1" t="s">
        <v>1917</v>
      </c>
      <c r="E21" s="1" t="s">
        <v>120</v>
      </c>
      <c r="F21" s="1" t="s">
        <v>145</v>
      </c>
      <c r="G21" s="1" t="s">
        <v>1918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1919</v>
      </c>
      <c r="B22" s="1" t="s">
        <v>159</v>
      </c>
      <c r="C22" s="1" t="s">
        <v>1893</v>
      </c>
      <c r="D22" s="1" t="s">
        <v>1920</v>
      </c>
      <c r="E22" s="1" t="s">
        <v>120</v>
      </c>
      <c r="F22" s="1" t="s">
        <v>145</v>
      </c>
      <c r="G22" s="1" t="s">
        <v>1908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1921</v>
      </c>
      <c r="B23" s="1" t="s">
        <v>1215</v>
      </c>
      <c r="C23" s="1" t="s">
        <v>1893</v>
      </c>
      <c r="D23" s="1" t="s">
        <v>1922</v>
      </c>
      <c r="E23" s="1" t="s">
        <v>120</v>
      </c>
      <c r="F23" s="1" t="s">
        <v>145</v>
      </c>
      <c r="G23" s="1" t="s">
        <v>1891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1923</v>
      </c>
      <c r="B24" s="1" t="s">
        <v>148</v>
      </c>
      <c r="C24" s="1" t="s">
        <v>1170</v>
      </c>
      <c r="D24" s="1" t="s">
        <v>1924</v>
      </c>
      <c r="E24" s="1" t="s">
        <v>120</v>
      </c>
      <c r="F24" s="1" t="s">
        <v>150</v>
      </c>
      <c r="G24" s="1" t="s">
        <v>1891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1925</v>
      </c>
      <c r="B25" s="1" t="s">
        <v>153</v>
      </c>
      <c r="C25" s="1" t="s">
        <v>1879</v>
      </c>
      <c r="D25" s="1" t="s">
        <v>1926</v>
      </c>
      <c r="E25" s="1" t="s">
        <v>120</v>
      </c>
      <c r="F25" s="1" t="s">
        <v>155</v>
      </c>
      <c r="G25" s="1" t="s">
        <v>1895</v>
      </c>
      <c r="H25" s="1" t="s">
        <v>86</v>
      </c>
      <c r="I25" s="1" t="s">
        <v>98</v>
      </c>
      <c r="J25" s="10" t="n">
        <v>46230</v>
      </c>
      <c r="K25" s="1" t="s">
        <v>1927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1928</v>
      </c>
      <c r="B26" s="1" t="s">
        <v>1569</v>
      </c>
      <c r="C26" s="1" t="s">
        <v>1929</v>
      </c>
      <c r="D26" s="1" t="s">
        <v>1930</v>
      </c>
      <c r="E26" s="1" t="s">
        <v>120</v>
      </c>
      <c r="F26" s="1" t="s">
        <v>145</v>
      </c>
      <c r="G26" s="1" t="s">
        <v>1891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1931</v>
      </c>
      <c r="B27" s="1" t="s">
        <v>173</v>
      </c>
      <c r="C27" s="1" t="s">
        <v>60</v>
      </c>
      <c r="D27" s="1" t="s">
        <v>1932</v>
      </c>
      <c r="E27" s="1" t="s">
        <v>120</v>
      </c>
      <c r="F27" s="1" t="s">
        <v>161</v>
      </c>
      <c r="G27" s="1" t="s">
        <v>1933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1934</v>
      </c>
      <c r="B28" s="1" t="s">
        <v>177</v>
      </c>
      <c r="C28" s="1" t="s">
        <v>60</v>
      </c>
      <c r="D28" s="1" t="s">
        <v>1795</v>
      </c>
      <c r="E28" s="1" t="s">
        <v>120</v>
      </c>
      <c r="F28" s="1" t="s">
        <v>179</v>
      </c>
      <c r="G28" s="1" t="s">
        <v>1935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1936</v>
      </c>
      <c r="B29" s="1" t="s">
        <v>608</v>
      </c>
      <c r="C29" s="1" t="s">
        <v>60</v>
      </c>
      <c r="D29" s="1" t="s">
        <v>1937</v>
      </c>
      <c r="E29" s="1" t="s">
        <v>120</v>
      </c>
      <c r="F29" s="1" t="s">
        <v>610</v>
      </c>
      <c r="G29" s="1" t="s">
        <v>1938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1939</v>
      </c>
      <c r="B30" s="1" t="s">
        <v>186</v>
      </c>
      <c r="C30" s="1" t="s">
        <v>60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1941</v>
      </c>
      <c r="B31" s="1" t="s">
        <v>191</v>
      </c>
      <c r="C31" s="1" t="s">
        <v>60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1943</v>
      </c>
      <c r="B9" s="1" t="s">
        <v>76</v>
      </c>
      <c r="C9" s="1" t="s">
        <v>1170</v>
      </c>
      <c r="D9" s="1" t="s">
        <v>1944</v>
      </c>
      <c r="E9" s="1" t="s">
        <v>120</v>
      </c>
      <c r="F9" s="1" t="s">
        <v>121</v>
      </c>
      <c r="G9" s="1" t="s">
        <v>1945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1946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1948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1949</v>
      </c>
      <c r="B11" s="1" t="s">
        <v>124</v>
      </c>
      <c r="C11" s="1" t="s">
        <v>1950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1952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1954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1955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1957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1958</v>
      </c>
      <c r="B14" s="1" t="s">
        <v>1959</v>
      </c>
      <c r="C14" s="1" t="s">
        <v>1403</v>
      </c>
      <c r="D14" s="1" t="s">
        <v>1960</v>
      </c>
      <c r="E14" s="1" t="s">
        <v>120</v>
      </c>
      <c r="F14" s="1" t="s">
        <v>145</v>
      </c>
      <c r="G14" s="1" t="s">
        <v>1961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1962</v>
      </c>
      <c r="B15" s="1" t="s">
        <v>1684</v>
      </c>
      <c r="C15" s="1" t="s">
        <v>1893</v>
      </c>
      <c r="D15" s="1" t="s">
        <v>1963</v>
      </c>
      <c r="E15" s="1" t="s">
        <v>120</v>
      </c>
      <c r="F15" s="1" t="s">
        <v>155</v>
      </c>
      <c r="G15" s="1" t="s">
        <v>1964</v>
      </c>
      <c r="H15" s="1" t="s">
        <v>86</v>
      </c>
      <c r="I15" s="1" t="s">
        <v>98</v>
      </c>
      <c r="J15" s="10" t="n">
        <v>46230</v>
      </c>
      <c r="K15" s="1" t="s">
        <v>1965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1966</v>
      </c>
      <c r="B16" s="1" t="s">
        <v>1329</v>
      </c>
      <c r="C16" s="1" t="s">
        <v>1967</v>
      </c>
      <c r="D16" s="1" t="s">
        <v>1968</v>
      </c>
      <c r="E16" s="1" t="s">
        <v>120</v>
      </c>
      <c r="F16" s="1" t="s">
        <v>155</v>
      </c>
      <c r="G16" s="1" t="s">
        <v>1964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1969</v>
      </c>
      <c r="B17" s="1" t="s">
        <v>1902</v>
      </c>
      <c r="C17" s="1" t="s">
        <v>1903</v>
      </c>
      <c r="D17" s="1" t="s">
        <v>1970</v>
      </c>
      <c r="E17" s="1" t="s">
        <v>120</v>
      </c>
      <c r="F17" s="1" t="s">
        <v>145</v>
      </c>
      <c r="G17" s="1" t="s">
        <v>1961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1971</v>
      </c>
      <c r="B18" s="1" t="s">
        <v>1575</v>
      </c>
      <c r="C18" s="1" t="s">
        <v>1906</v>
      </c>
      <c r="D18" s="1" t="s">
        <v>1972</v>
      </c>
      <c r="E18" s="1" t="s">
        <v>120</v>
      </c>
      <c r="F18" s="1" t="s">
        <v>145</v>
      </c>
      <c r="G18" s="1" t="s">
        <v>1961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1973</v>
      </c>
      <c r="B19" s="1" t="s">
        <v>1910</v>
      </c>
      <c r="C19" s="1" t="s">
        <v>1911</v>
      </c>
      <c r="D19" s="1" t="s">
        <v>1974</v>
      </c>
      <c r="E19" s="1" t="s">
        <v>120</v>
      </c>
      <c r="F19" s="1" t="s">
        <v>145</v>
      </c>
      <c r="G19" s="1" t="s">
        <v>1961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1975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1961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1976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1961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1979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1961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1981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1961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1983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1961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1985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1964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1988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1961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1991</v>
      </c>
      <c r="B27" s="1" t="s">
        <v>173</v>
      </c>
      <c r="C27" s="1" t="s">
        <v>61</v>
      </c>
      <c r="D27" s="1" t="s">
        <v>1932</v>
      </c>
      <c r="E27" s="1" t="s">
        <v>120</v>
      </c>
      <c r="F27" s="1" t="s">
        <v>161</v>
      </c>
      <c r="G27" s="1" t="s">
        <v>1992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1993</v>
      </c>
      <c r="B28" s="1" t="s">
        <v>177</v>
      </c>
      <c r="C28" s="1" t="s">
        <v>61</v>
      </c>
      <c r="D28" s="1" t="s">
        <v>1795</v>
      </c>
      <c r="E28" s="1" t="s">
        <v>120</v>
      </c>
      <c r="F28" s="1" t="s">
        <v>179</v>
      </c>
      <c r="G28" s="1" t="s">
        <v>1994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1995</v>
      </c>
      <c r="B29" s="1" t="s">
        <v>608</v>
      </c>
      <c r="C29" s="1" t="s">
        <v>61</v>
      </c>
      <c r="D29" s="1" t="s">
        <v>1937</v>
      </c>
      <c r="E29" s="1" t="s">
        <v>120</v>
      </c>
      <c r="F29" s="1" t="s">
        <v>610</v>
      </c>
      <c r="G29" s="1" t="s">
        <v>1996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1997</v>
      </c>
      <c r="B30" s="1" t="s">
        <v>186</v>
      </c>
      <c r="C30" s="1" t="s">
        <v>61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1998</v>
      </c>
      <c r="B31" s="1" t="s">
        <v>191</v>
      </c>
      <c r="C31" s="1" t="s">
        <v>61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2000</v>
      </c>
      <c r="B9" s="1" t="s">
        <v>76</v>
      </c>
      <c r="C9" s="1" t="s">
        <v>1170</v>
      </c>
      <c r="D9" s="1" t="s">
        <v>2001</v>
      </c>
      <c r="E9" s="1" t="s">
        <v>120</v>
      </c>
      <c r="F9" s="1" t="s">
        <v>121</v>
      </c>
      <c r="G9" s="1" t="s">
        <v>2002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2003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2004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2005</v>
      </c>
      <c r="B11" s="1" t="s">
        <v>124</v>
      </c>
      <c r="C11" s="1" t="s">
        <v>62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2006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2007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2008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2009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2010</v>
      </c>
      <c r="B14" s="1" t="s">
        <v>1562</v>
      </c>
      <c r="C14" s="1" t="s">
        <v>2011</v>
      </c>
      <c r="D14" s="1" t="s">
        <v>2012</v>
      </c>
      <c r="E14" s="1" t="s">
        <v>120</v>
      </c>
      <c r="F14" s="1" t="s">
        <v>145</v>
      </c>
      <c r="G14" s="1" t="s">
        <v>2013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2014</v>
      </c>
      <c r="B15" s="1" t="s">
        <v>2015</v>
      </c>
      <c r="C15" s="1" t="s">
        <v>1370</v>
      </c>
      <c r="D15" s="1" t="s">
        <v>2016</v>
      </c>
      <c r="E15" s="1" t="s">
        <v>120</v>
      </c>
      <c r="F15" s="1" t="s">
        <v>145</v>
      </c>
      <c r="G15" s="1" t="s">
        <v>2013</v>
      </c>
      <c r="H15" s="1" t="s">
        <v>84</v>
      </c>
      <c r="I15" s="1" t="s">
        <v>99</v>
      </c>
      <c r="J15" s="10" t="n">
        <v>46230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2017</v>
      </c>
      <c r="B16" s="1" t="s">
        <v>1684</v>
      </c>
      <c r="C16" s="1" t="s">
        <v>2018</v>
      </c>
      <c r="D16" s="1" t="s">
        <v>2019</v>
      </c>
      <c r="E16" s="1" t="s">
        <v>120</v>
      </c>
      <c r="F16" s="1" t="s">
        <v>155</v>
      </c>
      <c r="G16" s="1" t="s">
        <v>2020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2021</v>
      </c>
      <c r="B17" s="1" t="s">
        <v>1575</v>
      </c>
      <c r="C17" s="1" t="s">
        <v>2022</v>
      </c>
      <c r="D17" s="1" t="s">
        <v>2023</v>
      </c>
      <c r="E17" s="1" t="s">
        <v>120</v>
      </c>
      <c r="F17" s="1" t="s">
        <v>145</v>
      </c>
      <c r="G17" s="1" t="s">
        <v>2013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2024</v>
      </c>
      <c r="B18" s="1" t="s">
        <v>1902</v>
      </c>
      <c r="C18" s="1" t="s">
        <v>1903</v>
      </c>
      <c r="D18" s="1" t="s">
        <v>2025</v>
      </c>
      <c r="E18" s="1" t="s">
        <v>120</v>
      </c>
      <c r="F18" s="1" t="s">
        <v>145</v>
      </c>
      <c r="G18" s="1" t="s">
        <v>2013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2026</v>
      </c>
      <c r="B19" s="1" t="s">
        <v>1910</v>
      </c>
      <c r="C19" s="1" t="s">
        <v>1911</v>
      </c>
      <c r="D19" s="1" t="s">
        <v>2027</v>
      </c>
      <c r="E19" s="1" t="s">
        <v>120</v>
      </c>
      <c r="F19" s="1" t="s">
        <v>145</v>
      </c>
      <c r="G19" s="1" t="s">
        <v>2013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2028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2013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2029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2013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2030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2013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2031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2013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2032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2013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2033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2020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2034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2013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2035</v>
      </c>
      <c r="B27" s="1" t="s">
        <v>173</v>
      </c>
      <c r="C27" s="1" t="s">
        <v>62</v>
      </c>
      <c r="D27" s="1" t="s">
        <v>1932</v>
      </c>
      <c r="E27" s="1" t="s">
        <v>120</v>
      </c>
      <c r="F27" s="1" t="s">
        <v>161</v>
      </c>
      <c r="G27" s="1" t="s">
        <v>2036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2037</v>
      </c>
      <c r="B28" s="1" t="s">
        <v>177</v>
      </c>
      <c r="C28" s="1" t="s">
        <v>62</v>
      </c>
      <c r="D28" s="1" t="s">
        <v>1795</v>
      </c>
      <c r="E28" s="1" t="s">
        <v>120</v>
      </c>
      <c r="F28" s="1" t="s">
        <v>179</v>
      </c>
      <c r="G28" s="1" t="s">
        <v>2038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2039</v>
      </c>
      <c r="B29" s="1" t="s">
        <v>608</v>
      </c>
      <c r="C29" s="1" t="s">
        <v>62</v>
      </c>
      <c r="D29" s="1" t="s">
        <v>1937</v>
      </c>
      <c r="E29" s="1" t="s">
        <v>120</v>
      </c>
      <c r="F29" s="1" t="s">
        <v>610</v>
      </c>
      <c r="G29" s="1" t="s">
        <v>2040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2041</v>
      </c>
      <c r="B30" s="1" t="s">
        <v>186</v>
      </c>
      <c r="C30" s="1" t="s">
        <v>62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2042</v>
      </c>
      <c r="B31" s="1" t="s">
        <v>191</v>
      </c>
      <c r="C31" s="1" t="s">
        <v>62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42" hidden="false" customHeight="true" outlineLevel="0" collapsed="false">
      <c r="A9" s="1" t="s">
        <v>2044</v>
      </c>
      <c r="B9" s="1" t="s">
        <v>76</v>
      </c>
      <c r="C9" s="1" t="s">
        <v>1170</v>
      </c>
      <c r="D9" s="1" t="s">
        <v>2045</v>
      </c>
      <c r="E9" s="1" t="s">
        <v>120</v>
      </c>
      <c r="F9" s="1" t="s">
        <v>121</v>
      </c>
      <c r="G9" s="1" t="s">
        <v>2046</v>
      </c>
      <c r="H9" s="1" t="s">
        <v>84</v>
      </c>
      <c r="I9" s="1" t="s">
        <v>99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2047</v>
      </c>
      <c r="B10" s="1" t="s">
        <v>1329</v>
      </c>
      <c r="C10" s="1" t="s">
        <v>1170</v>
      </c>
      <c r="D10" s="1" t="s">
        <v>1947</v>
      </c>
      <c r="E10" s="1" t="s">
        <v>120</v>
      </c>
      <c r="F10" s="1" t="s">
        <v>140</v>
      </c>
      <c r="G10" s="1" t="s">
        <v>2048</v>
      </c>
      <c r="H10" s="1" t="s">
        <v>84</v>
      </c>
      <c r="I10" s="1" t="s">
        <v>99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2049</v>
      </c>
      <c r="B11" s="1" t="s">
        <v>124</v>
      </c>
      <c r="C11" s="1" t="s">
        <v>2050</v>
      </c>
      <c r="D11" s="1" t="s">
        <v>1951</v>
      </c>
      <c r="E11" s="1" t="s">
        <v>120</v>
      </c>
      <c r="F11" s="1" t="s">
        <v>120</v>
      </c>
      <c r="G11" s="1" t="s">
        <v>1881</v>
      </c>
      <c r="H11" s="1" t="s">
        <v>84</v>
      </c>
      <c r="I11" s="1" t="s">
        <v>99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2051</v>
      </c>
      <c r="B12" s="1" t="s">
        <v>128</v>
      </c>
      <c r="C12" s="1" t="s">
        <v>1170</v>
      </c>
      <c r="D12" s="1" t="s">
        <v>1953</v>
      </c>
      <c r="E12" s="1" t="s">
        <v>120</v>
      </c>
      <c r="F12" s="1" t="s">
        <v>130</v>
      </c>
      <c r="G12" s="1" t="s">
        <v>2052</v>
      </c>
      <c r="H12" s="1" t="s">
        <v>84</v>
      </c>
      <c r="I12" s="1" t="s">
        <v>99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2053</v>
      </c>
      <c r="B13" s="1" t="s">
        <v>133</v>
      </c>
      <c r="C13" s="1" t="s">
        <v>1170</v>
      </c>
      <c r="D13" s="1" t="s">
        <v>1956</v>
      </c>
      <c r="E13" s="1" t="s">
        <v>120</v>
      </c>
      <c r="F13" s="1" t="s">
        <v>135</v>
      </c>
      <c r="G13" s="1" t="s">
        <v>2054</v>
      </c>
      <c r="H13" s="1" t="s">
        <v>84</v>
      </c>
      <c r="I13" s="1" t="s">
        <v>99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2055</v>
      </c>
      <c r="B14" s="1" t="s">
        <v>1562</v>
      </c>
      <c r="C14" s="1" t="s">
        <v>2056</v>
      </c>
      <c r="D14" s="1" t="s">
        <v>2057</v>
      </c>
      <c r="E14" s="1" t="s">
        <v>120</v>
      </c>
      <c r="F14" s="1" t="s">
        <v>145</v>
      </c>
      <c r="G14" s="1" t="s">
        <v>2058</v>
      </c>
      <c r="H14" s="1" t="s">
        <v>84</v>
      </c>
      <c r="I14" s="1" t="s">
        <v>99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2059</v>
      </c>
      <c r="B15" s="1" t="s">
        <v>2060</v>
      </c>
      <c r="C15" s="1" t="s">
        <v>2061</v>
      </c>
      <c r="D15" s="1" t="s">
        <v>2062</v>
      </c>
      <c r="E15" s="1" t="s">
        <v>120</v>
      </c>
      <c r="F15" s="1" t="s">
        <v>145</v>
      </c>
      <c r="G15" s="1" t="s">
        <v>2058</v>
      </c>
      <c r="H15" s="1" t="s">
        <v>84</v>
      </c>
      <c r="I15" s="1" t="s">
        <v>99</v>
      </c>
      <c r="J15" s="10" t="n">
        <v>46230</v>
      </c>
      <c r="K15" s="1" t="s">
        <v>1755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2063</v>
      </c>
      <c r="B16" s="1" t="s">
        <v>1684</v>
      </c>
      <c r="C16" s="1" t="s">
        <v>2064</v>
      </c>
      <c r="D16" s="1" t="s">
        <v>2065</v>
      </c>
      <c r="E16" s="1" t="s">
        <v>120</v>
      </c>
      <c r="F16" s="1" t="s">
        <v>155</v>
      </c>
      <c r="G16" s="1" t="s">
        <v>2066</v>
      </c>
      <c r="H16" s="1" t="s">
        <v>86</v>
      </c>
      <c r="I16" s="1" t="s">
        <v>98</v>
      </c>
      <c r="J16" s="10" t="n">
        <v>46230</v>
      </c>
      <c r="K16" s="1" t="s">
        <v>1965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2067</v>
      </c>
      <c r="B17" s="1" t="s">
        <v>2015</v>
      </c>
      <c r="C17" s="1" t="s">
        <v>1708</v>
      </c>
      <c r="D17" s="1" t="s">
        <v>2068</v>
      </c>
      <c r="E17" s="1" t="s">
        <v>120</v>
      </c>
      <c r="F17" s="1" t="s">
        <v>145</v>
      </c>
      <c r="G17" s="1" t="s">
        <v>2058</v>
      </c>
      <c r="H17" s="1" t="s">
        <v>84</v>
      </c>
      <c r="I17" s="1" t="s">
        <v>99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2069</v>
      </c>
      <c r="B18" s="1" t="s">
        <v>2070</v>
      </c>
      <c r="C18" s="1" t="s">
        <v>2071</v>
      </c>
      <c r="D18" s="1" t="s">
        <v>2072</v>
      </c>
      <c r="E18" s="1" t="s">
        <v>120</v>
      </c>
      <c r="F18" s="1" t="s">
        <v>145</v>
      </c>
      <c r="G18" s="1" t="s">
        <v>2058</v>
      </c>
      <c r="H18" s="1" t="s">
        <v>84</v>
      </c>
      <c r="I18" s="1" t="s">
        <v>99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2073</v>
      </c>
      <c r="B19" s="1" t="s">
        <v>1575</v>
      </c>
      <c r="C19" s="1" t="s">
        <v>2074</v>
      </c>
      <c r="D19" s="1" t="s">
        <v>2075</v>
      </c>
      <c r="E19" s="1" t="s">
        <v>120</v>
      </c>
      <c r="F19" s="1" t="s">
        <v>145</v>
      </c>
      <c r="G19" s="1" t="s">
        <v>2058</v>
      </c>
      <c r="H19" s="1" t="s">
        <v>84</v>
      </c>
      <c r="I19" s="1" t="s">
        <v>99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2076</v>
      </c>
      <c r="B20" s="1" t="s">
        <v>1569</v>
      </c>
      <c r="C20" s="1" t="s">
        <v>1929</v>
      </c>
      <c r="D20" s="1" t="s">
        <v>1930</v>
      </c>
      <c r="E20" s="1" t="s">
        <v>120</v>
      </c>
      <c r="F20" s="1" t="s">
        <v>145</v>
      </c>
      <c r="G20" s="1" t="s">
        <v>2058</v>
      </c>
      <c r="H20" s="1" t="s">
        <v>84</v>
      </c>
      <c r="I20" s="1" t="s">
        <v>99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2077</v>
      </c>
      <c r="B21" s="1" t="s">
        <v>168</v>
      </c>
      <c r="C21" s="1" t="s">
        <v>1977</v>
      </c>
      <c r="D21" s="1" t="s">
        <v>1978</v>
      </c>
      <c r="E21" s="1" t="s">
        <v>120</v>
      </c>
      <c r="F21" s="1" t="s">
        <v>145</v>
      </c>
      <c r="G21" s="1" t="s">
        <v>2058</v>
      </c>
      <c r="H21" s="1" t="s">
        <v>84</v>
      </c>
      <c r="I21" s="1" t="s">
        <v>99</v>
      </c>
      <c r="J21" s="10" t="n">
        <v>46230</v>
      </c>
      <c r="K21" s="1" t="s">
        <v>1778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2078</v>
      </c>
      <c r="B22" s="1" t="s">
        <v>159</v>
      </c>
      <c r="C22" s="1" t="s">
        <v>1170</v>
      </c>
      <c r="D22" s="1" t="s">
        <v>1980</v>
      </c>
      <c r="E22" s="1" t="s">
        <v>120</v>
      </c>
      <c r="F22" s="1" t="s">
        <v>145</v>
      </c>
      <c r="G22" s="1" t="s">
        <v>2058</v>
      </c>
      <c r="H22" s="1" t="s">
        <v>84</v>
      </c>
      <c r="I22" s="1" t="s">
        <v>99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2079</v>
      </c>
      <c r="B23" s="1" t="s">
        <v>1215</v>
      </c>
      <c r="C23" s="1" t="s">
        <v>1170</v>
      </c>
      <c r="D23" s="1" t="s">
        <v>1982</v>
      </c>
      <c r="E23" s="1" t="s">
        <v>120</v>
      </c>
      <c r="F23" s="1" t="s">
        <v>145</v>
      </c>
      <c r="G23" s="1" t="s">
        <v>2058</v>
      </c>
      <c r="H23" s="1" t="s">
        <v>84</v>
      </c>
      <c r="I23" s="1" t="s">
        <v>99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2080</v>
      </c>
      <c r="B24" s="1" t="s">
        <v>148</v>
      </c>
      <c r="C24" s="1" t="s">
        <v>1170</v>
      </c>
      <c r="D24" s="1" t="s">
        <v>1984</v>
      </c>
      <c r="E24" s="1" t="s">
        <v>120</v>
      </c>
      <c r="F24" s="1" t="s">
        <v>150</v>
      </c>
      <c r="G24" s="1" t="s">
        <v>2058</v>
      </c>
      <c r="H24" s="1" t="s">
        <v>84</v>
      </c>
      <c r="I24" s="1" t="s">
        <v>99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2081</v>
      </c>
      <c r="B25" s="1" t="s">
        <v>153</v>
      </c>
      <c r="C25" s="1" t="s">
        <v>1170</v>
      </c>
      <c r="D25" s="1" t="s">
        <v>1986</v>
      </c>
      <c r="E25" s="1" t="s">
        <v>120</v>
      </c>
      <c r="F25" s="1" t="s">
        <v>155</v>
      </c>
      <c r="G25" s="1" t="s">
        <v>2066</v>
      </c>
      <c r="H25" s="1" t="s">
        <v>86</v>
      </c>
      <c r="I25" s="1" t="s">
        <v>98</v>
      </c>
      <c r="J25" s="10" t="n">
        <v>46230</v>
      </c>
      <c r="K25" s="1" t="s">
        <v>1987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2082</v>
      </c>
      <c r="B26" s="1" t="s">
        <v>1989</v>
      </c>
      <c r="C26" s="1" t="s">
        <v>1170</v>
      </c>
      <c r="D26" s="1" t="s">
        <v>1990</v>
      </c>
      <c r="E26" s="1" t="s">
        <v>120</v>
      </c>
      <c r="F26" s="1" t="s">
        <v>145</v>
      </c>
      <c r="G26" s="1" t="s">
        <v>2058</v>
      </c>
      <c r="H26" s="1" t="s">
        <v>84</v>
      </c>
      <c r="I26" s="1" t="s">
        <v>99</v>
      </c>
      <c r="J26" s="10" t="n">
        <v>46230</v>
      </c>
      <c r="K26" s="1" t="s">
        <v>1789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2083</v>
      </c>
      <c r="B27" s="1" t="s">
        <v>173</v>
      </c>
      <c r="C27" s="1" t="s">
        <v>63</v>
      </c>
      <c r="D27" s="1" t="s">
        <v>1932</v>
      </c>
      <c r="E27" s="1" t="s">
        <v>120</v>
      </c>
      <c r="F27" s="1" t="s">
        <v>161</v>
      </c>
      <c r="G27" s="1" t="s">
        <v>2084</v>
      </c>
      <c r="H27" s="1" t="s">
        <v>78</v>
      </c>
      <c r="I27" s="1" t="s">
        <v>98</v>
      </c>
      <c r="J27" s="10" t="n">
        <v>46230</v>
      </c>
      <c r="K27" s="1" t="s">
        <v>1793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2085</v>
      </c>
      <c r="B28" s="1" t="s">
        <v>177</v>
      </c>
      <c r="C28" s="1" t="s">
        <v>63</v>
      </c>
      <c r="D28" s="1" t="s">
        <v>1795</v>
      </c>
      <c r="E28" s="1" t="s">
        <v>120</v>
      </c>
      <c r="F28" s="1" t="s">
        <v>179</v>
      </c>
      <c r="G28" s="1" t="s">
        <v>2086</v>
      </c>
      <c r="H28" s="1" t="s">
        <v>84</v>
      </c>
      <c r="I28" s="1" t="s">
        <v>99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2087</v>
      </c>
      <c r="B29" s="1" t="s">
        <v>608</v>
      </c>
      <c r="C29" s="1" t="s">
        <v>63</v>
      </c>
      <c r="D29" s="1" t="s">
        <v>1937</v>
      </c>
      <c r="E29" s="1" t="s">
        <v>120</v>
      </c>
      <c r="F29" s="1" t="s">
        <v>610</v>
      </c>
      <c r="G29" s="1" t="s">
        <v>2088</v>
      </c>
      <c r="H29" s="1" t="s">
        <v>84</v>
      </c>
      <c r="I29" s="1" t="s">
        <v>99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2089</v>
      </c>
      <c r="B30" s="1" t="s">
        <v>186</v>
      </c>
      <c r="C30" s="1" t="s">
        <v>63</v>
      </c>
      <c r="D30" s="1" t="s">
        <v>1940</v>
      </c>
      <c r="E30" s="1" t="s">
        <v>188</v>
      </c>
      <c r="F30" s="1" t="s">
        <v>188</v>
      </c>
      <c r="G30" s="1" t="s">
        <v>189</v>
      </c>
      <c r="H30" s="1" t="s">
        <v>84</v>
      </c>
      <c r="I30" s="1" t="s">
        <v>99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2090</v>
      </c>
      <c r="B31" s="1" t="s">
        <v>191</v>
      </c>
      <c r="C31" s="1" t="s">
        <v>63</v>
      </c>
      <c r="D31" s="1" t="s">
        <v>1803</v>
      </c>
      <c r="E31" s="1" t="s">
        <v>120</v>
      </c>
      <c r="F31" s="1" t="s">
        <v>120</v>
      </c>
      <c r="G31" s="1" t="s">
        <v>193</v>
      </c>
      <c r="H31" s="1" t="s">
        <v>84</v>
      </c>
      <c r="I31" s="1" t="s">
        <v>99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2092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COUNTA(A9:A36)</f>
        <v>28</v>
      </c>
      <c r="D4" s="5" t="s">
        <v>102</v>
      </c>
      <c r="E4" s="6" t="n">
        <f aca="false">SUM(M9:M36)</f>
        <v>27</v>
      </c>
      <c r="G4" s="5" t="s">
        <v>13</v>
      </c>
      <c r="H4" s="7" t="n">
        <f aca="false">IF(B4=0,0,E4/B4)</f>
        <v>0.964285714285714</v>
      </c>
      <c r="J4" s="5" t="s">
        <v>14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IF(COUNTIFS(I9:I36,"yes",M9:M36,0)&gt;0,"open","complete")</f>
        <v>open</v>
      </c>
      <c r="D5" s="5" t="s">
        <v>15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2093</v>
      </c>
      <c r="B9" s="12" t="s">
        <v>76</v>
      </c>
      <c r="C9" s="12" t="s">
        <v>1170</v>
      </c>
      <c r="D9" s="13" t="s">
        <v>2094</v>
      </c>
      <c r="E9" s="12" t="s">
        <v>120</v>
      </c>
      <c r="F9" s="12" t="s">
        <v>121</v>
      </c>
      <c r="G9" s="13" t="s">
        <v>2095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2096</v>
      </c>
      <c r="B10" s="12" t="s">
        <v>1329</v>
      </c>
      <c r="C10" s="12" t="s">
        <v>2097</v>
      </c>
      <c r="D10" s="13" t="s">
        <v>2098</v>
      </c>
      <c r="E10" s="12" t="s">
        <v>120</v>
      </c>
      <c r="F10" s="12" t="s">
        <v>140</v>
      </c>
      <c r="G10" s="13" t="s">
        <v>2099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2100</v>
      </c>
      <c r="B11" s="12" t="s">
        <v>124</v>
      </c>
      <c r="C11" s="12" t="s">
        <v>2101</v>
      </c>
      <c r="D11" s="13" t="s">
        <v>2102</v>
      </c>
      <c r="E11" s="12" t="s">
        <v>120</v>
      </c>
      <c r="F11" s="12" t="s">
        <v>120</v>
      </c>
      <c r="G11" s="13" t="s">
        <v>1881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2103</v>
      </c>
      <c r="B12" s="12" t="s">
        <v>128</v>
      </c>
      <c r="C12" s="12" t="s">
        <v>1170</v>
      </c>
      <c r="D12" s="13" t="s">
        <v>2104</v>
      </c>
      <c r="E12" s="12" t="s">
        <v>120</v>
      </c>
      <c r="F12" s="12" t="s">
        <v>130</v>
      </c>
      <c r="G12" s="13" t="s">
        <v>2105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2106</v>
      </c>
      <c r="B13" s="12" t="s">
        <v>133</v>
      </c>
      <c r="C13" s="12" t="s">
        <v>1170</v>
      </c>
      <c r="D13" s="13" t="s">
        <v>2107</v>
      </c>
      <c r="E13" s="12" t="s">
        <v>120</v>
      </c>
      <c r="F13" s="12" t="s">
        <v>135</v>
      </c>
      <c r="G13" s="13" t="s">
        <v>2108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2109</v>
      </c>
      <c r="B14" s="12" t="s">
        <v>1562</v>
      </c>
      <c r="C14" s="12" t="s">
        <v>2097</v>
      </c>
      <c r="D14" s="13" t="s">
        <v>2110</v>
      </c>
      <c r="E14" s="12" t="s">
        <v>120</v>
      </c>
      <c r="F14" s="12" t="s">
        <v>145</v>
      </c>
      <c r="G14" s="13" t="s">
        <v>2111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2112</v>
      </c>
      <c r="B15" s="12" t="s">
        <v>1119</v>
      </c>
      <c r="C15" s="12" t="s">
        <v>768</v>
      </c>
      <c r="D15" s="13" t="s">
        <v>2113</v>
      </c>
      <c r="E15" s="12" t="s">
        <v>120</v>
      </c>
      <c r="F15" s="12" t="s">
        <v>145</v>
      </c>
      <c r="G15" s="13" t="s">
        <v>2114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2115</v>
      </c>
      <c r="B16" s="12" t="s">
        <v>1761</v>
      </c>
      <c r="C16" s="12" t="s">
        <v>1546</v>
      </c>
      <c r="D16" s="13" t="s">
        <v>2116</v>
      </c>
      <c r="E16" s="12" t="s">
        <v>120</v>
      </c>
      <c r="F16" s="12" t="s">
        <v>145</v>
      </c>
      <c r="G16" s="13" t="s">
        <v>2114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2117</v>
      </c>
      <c r="B17" s="12" t="s">
        <v>1684</v>
      </c>
      <c r="C17" s="12" t="s">
        <v>1170</v>
      </c>
      <c r="D17" s="13" t="s">
        <v>2118</v>
      </c>
      <c r="E17" s="12" t="s">
        <v>120</v>
      </c>
      <c r="F17" s="12" t="s">
        <v>145</v>
      </c>
      <c r="G17" s="13" t="s">
        <v>2111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2119</v>
      </c>
      <c r="B18" s="12" t="s">
        <v>1276</v>
      </c>
      <c r="C18" s="12" t="s">
        <v>768</v>
      </c>
      <c r="D18" s="13" t="s">
        <v>2120</v>
      </c>
      <c r="E18" s="12" t="s">
        <v>120</v>
      </c>
      <c r="F18" s="12" t="s">
        <v>145</v>
      </c>
      <c r="G18" s="13" t="s">
        <v>2121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2122</v>
      </c>
      <c r="B19" s="12" t="s">
        <v>1902</v>
      </c>
      <c r="C19" s="12" t="s">
        <v>2123</v>
      </c>
      <c r="D19" s="13" t="s">
        <v>2124</v>
      </c>
      <c r="E19" s="12" t="s">
        <v>120</v>
      </c>
      <c r="F19" s="12" t="s">
        <v>145</v>
      </c>
      <c r="G19" s="13" t="s">
        <v>2114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2125</v>
      </c>
      <c r="B20" s="12" t="s">
        <v>1382</v>
      </c>
      <c r="C20" s="12" t="s">
        <v>2126</v>
      </c>
      <c r="D20" s="13" t="s">
        <v>2127</v>
      </c>
      <c r="E20" s="12" t="s">
        <v>120</v>
      </c>
      <c r="F20" s="12" t="s">
        <v>145</v>
      </c>
      <c r="G20" s="13" t="s">
        <v>2111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2128</v>
      </c>
      <c r="B21" s="12" t="s">
        <v>2129</v>
      </c>
      <c r="C21" s="12" t="s">
        <v>1546</v>
      </c>
      <c r="D21" s="13" t="s">
        <v>2130</v>
      </c>
      <c r="E21" s="12" t="s">
        <v>120</v>
      </c>
      <c r="F21" s="12" t="s">
        <v>140</v>
      </c>
      <c r="G21" s="13" t="s">
        <v>2131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2132</v>
      </c>
      <c r="B22" s="12" t="s">
        <v>2133</v>
      </c>
      <c r="C22" s="12" t="s">
        <v>841</v>
      </c>
      <c r="D22" s="13" t="s">
        <v>2134</v>
      </c>
      <c r="E22" s="12" t="s">
        <v>120</v>
      </c>
      <c r="F22" s="12" t="s">
        <v>145</v>
      </c>
      <c r="G22" s="13" t="s">
        <v>2121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2135</v>
      </c>
      <c r="B23" s="12" t="s">
        <v>1072</v>
      </c>
      <c r="C23" s="12" t="s">
        <v>2136</v>
      </c>
      <c r="D23" s="13" t="s">
        <v>2137</v>
      </c>
      <c r="E23" s="12" t="s">
        <v>120</v>
      </c>
      <c r="F23" s="12" t="s">
        <v>145</v>
      </c>
      <c r="G23" s="13" t="s">
        <v>2111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2138</v>
      </c>
      <c r="B24" s="12" t="s">
        <v>168</v>
      </c>
      <c r="C24" s="12" t="s">
        <v>1170</v>
      </c>
      <c r="D24" s="13" t="s">
        <v>2139</v>
      </c>
      <c r="E24" s="12" t="s">
        <v>120</v>
      </c>
      <c r="F24" s="12" t="s">
        <v>145</v>
      </c>
      <c r="G24" s="13" t="s">
        <v>2131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2140</v>
      </c>
      <c r="B25" s="12" t="s">
        <v>2141</v>
      </c>
      <c r="C25" s="12" t="s">
        <v>768</v>
      </c>
      <c r="D25" s="13" t="s">
        <v>2142</v>
      </c>
      <c r="E25" s="12" t="s">
        <v>120</v>
      </c>
      <c r="F25" s="12" t="s">
        <v>145</v>
      </c>
      <c r="G25" s="13" t="s">
        <v>2114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2143</v>
      </c>
      <c r="B26" s="12" t="s">
        <v>1517</v>
      </c>
      <c r="C26" s="12" t="s">
        <v>768</v>
      </c>
      <c r="D26" s="13" t="s">
        <v>2144</v>
      </c>
      <c r="E26" s="12" t="s">
        <v>120</v>
      </c>
      <c r="F26" s="12" t="s">
        <v>155</v>
      </c>
      <c r="G26" s="13" t="s">
        <v>2145</v>
      </c>
      <c r="H26" s="12" t="s">
        <v>86</v>
      </c>
      <c r="I26" s="12" t="s">
        <v>98</v>
      </c>
      <c r="J26" s="14" t="n">
        <v>46230</v>
      </c>
      <c r="K26" s="13" t="s">
        <v>2146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2147</v>
      </c>
      <c r="B27" s="12" t="s">
        <v>159</v>
      </c>
      <c r="C27" s="12" t="s">
        <v>1170</v>
      </c>
      <c r="D27" s="13" t="s">
        <v>2148</v>
      </c>
      <c r="E27" s="12" t="s">
        <v>120</v>
      </c>
      <c r="F27" s="12" t="s">
        <v>145</v>
      </c>
      <c r="G27" s="13" t="s">
        <v>2114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2149</v>
      </c>
      <c r="B28" s="12" t="s">
        <v>2150</v>
      </c>
      <c r="C28" s="12" t="s">
        <v>1170</v>
      </c>
      <c r="D28" s="13" t="s">
        <v>2151</v>
      </c>
      <c r="E28" s="12" t="s">
        <v>120</v>
      </c>
      <c r="F28" s="12" t="s">
        <v>145</v>
      </c>
      <c r="G28" s="13" t="s">
        <v>2114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2152</v>
      </c>
      <c r="B29" s="12" t="s">
        <v>148</v>
      </c>
      <c r="C29" s="12" t="s">
        <v>1170</v>
      </c>
      <c r="D29" s="13" t="s">
        <v>2153</v>
      </c>
      <c r="E29" s="12" t="s">
        <v>120</v>
      </c>
      <c r="F29" s="12" t="s">
        <v>150</v>
      </c>
      <c r="G29" s="13" t="s">
        <v>2111</v>
      </c>
      <c r="H29" s="12" t="s">
        <v>84</v>
      </c>
      <c r="I29" s="12" t="s">
        <v>99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2154</v>
      </c>
      <c r="B30" s="12" t="s">
        <v>153</v>
      </c>
      <c r="C30" s="12" t="s">
        <v>1170</v>
      </c>
      <c r="D30" s="13" t="s">
        <v>2155</v>
      </c>
      <c r="E30" s="12" t="s">
        <v>120</v>
      </c>
      <c r="F30" s="12" t="s">
        <v>155</v>
      </c>
      <c r="G30" s="13" t="s">
        <v>2156</v>
      </c>
      <c r="H30" s="12" t="s">
        <v>86</v>
      </c>
      <c r="I30" s="12" t="s">
        <v>98</v>
      </c>
      <c r="J30" s="14" t="n">
        <v>46230</v>
      </c>
      <c r="K30" s="13" t="s">
        <v>2157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2158</v>
      </c>
      <c r="B31" s="12" t="s">
        <v>173</v>
      </c>
      <c r="C31" s="12" t="s">
        <v>64</v>
      </c>
      <c r="D31" s="13" t="s">
        <v>2159</v>
      </c>
      <c r="E31" s="12" t="s">
        <v>120</v>
      </c>
      <c r="F31" s="12" t="s">
        <v>161</v>
      </c>
      <c r="G31" s="13" t="s">
        <v>2160</v>
      </c>
      <c r="H31" s="12" t="s">
        <v>78</v>
      </c>
      <c r="I31" s="12" t="s">
        <v>98</v>
      </c>
      <c r="J31" s="14" t="n">
        <v>46230</v>
      </c>
      <c r="K31" s="13" t="s">
        <v>1793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2161</v>
      </c>
      <c r="B32" s="12" t="s">
        <v>177</v>
      </c>
      <c r="C32" s="12" t="s">
        <v>64</v>
      </c>
      <c r="D32" s="13" t="s">
        <v>2162</v>
      </c>
      <c r="E32" s="12" t="s">
        <v>120</v>
      </c>
      <c r="F32" s="12" t="s">
        <v>179</v>
      </c>
      <c r="G32" s="13" t="s">
        <v>2163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2164</v>
      </c>
      <c r="B33" s="12" t="s">
        <v>182</v>
      </c>
      <c r="C33" s="12" t="s">
        <v>64</v>
      </c>
      <c r="D33" s="13" t="s">
        <v>2165</v>
      </c>
      <c r="E33" s="12" t="s">
        <v>120</v>
      </c>
      <c r="F33" s="12" t="s">
        <v>179</v>
      </c>
      <c r="G33" s="13" t="s">
        <v>2166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2167</v>
      </c>
      <c r="B34" s="12" t="s">
        <v>608</v>
      </c>
      <c r="C34" s="12" t="s">
        <v>64</v>
      </c>
      <c r="D34" s="13" t="s">
        <v>2168</v>
      </c>
      <c r="E34" s="12" t="s">
        <v>120</v>
      </c>
      <c r="F34" s="12" t="s">
        <v>610</v>
      </c>
      <c r="G34" s="13" t="s">
        <v>2169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2170</v>
      </c>
      <c r="B35" s="12" t="s">
        <v>186</v>
      </c>
      <c r="C35" s="12" t="s">
        <v>64</v>
      </c>
      <c r="D35" s="13" t="s">
        <v>2171</v>
      </c>
      <c r="E35" s="12" t="s">
        <v>188</v>
      </c>
      <c r="F35" s="12" t="s">
        <v>188</v>
      </c>
      <c r="G35" s="13" t="s">
        <v>189</v>
      </c>
      <c r="H35" s="12" t="s">
        <v>84</v>
      </c>
      <c r="I35" s="12" t="s">
        <v>99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2172</v>
      </c>
      <c r="B36" s="12" t="s">
        <v>191</v>
      </c>
      <c r="C36" s="12" t="s">
        <v>64</v>
      </c>
      <c r="D36" s="13" t="s">
        <v>2173</v>
      </c>
      <c r="E36" s="12" t="s">
        <v>120</v>
      </c>
      <c r="F36" s="12" t="s">
        <v>120</v>
      </c>
      <c r="G36" s="13" t="s">
        <v>193</v>
      </c>
      <c r="H36" s="12" t="s">
        <v>84</v>
      </c>
      <c r="I36" s="12" t="s">
        <v>99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COUNTA(A9:A27)</f>
        <v>19</v>
      </c>
      <c r="D4" s="5" t="s">
        <v>102</v>
      </c>
      <c r="E4" s="6" t="n">
        <f aca="false">SUM(M9:M27)</f>
        <v>18</v>
      </c>
      <c r="G4" s="5" t="s">
        <v>13</v>
      </c>
      <c r="H4" s="7" t="n">
        <f aca="false">IF(B4=0,0,E4/B4)</f>
        <v>0.947368421052632</v>
      </c>
      <c r="J4" s="5" t="s">
        <v>14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IF(COUNTIFS(I9:I27,"yes",M9:M27,0)&gt;0,"open","complete")</f>
        <v>open</v>
      </c>
      <c r="D5" s="5" t="s">
        <v>15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2176</v>
      </c>
      <c r="B9" s="12" t="s">
        <v>76</v>
      </c>
      <c r="C9" s="12" t="s">
        <v>768</v>
      </c>
      <c r="D9" s="13" t="s">
        <v>2177</v>
      </c>
      <c r="E9" s="12" t="s">
        <v>120</v>
      </c>
      <c r="F9" s="12" t="s">
        <v>121</v>
      </c>
      <c r="G9" s="13" t="s">
        <v>2178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2179</v>
      </c>
      <c r="B10" s="12" t="s">
        <v>1329</v>
      </c>
      <c r="C10" s="12" t="s">
        <v>768</v>
      </c>
      <c r="D10" s="13" t="s">
        <v>2180</v>
      </c>
      <c r="E10" s="12" t="s">
        <v>120</v>
      </c>
      <c r="F10" s="12" t="s">
        <v>140</v>
      </c>
      <c r="G10" s="13" t="s">
        <v>2181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2182</v>
      </c>
      <c r="B11" s="12" t="s">
        <v>124</v>
      </c>
      <c r="C11" s="12" t="s">
        <v>2183</v>
      </c>
      <c r="D11" s="13" t="s">
        <v>2184</v>
      </c>
      <c r="E11" s="12" t="s">
        <v>120</v>
      </c>
      <c r="F11" s="12" t="s">
        <v>120</v>
      </c>
      <c r="G11" s="13" t="s">
        <v>1881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2185</v>
      </c>
      <c r="B12" s="12" t="s">
        <v>128</v>
      </c>
      <c r="C12" s="12" t="s">
        <v>768</v>
      </c>
      <c r="D12" s="13" t="s">
        <v>2186</v>
      </c>
      <c r="E12" s="12" t="s">
        <v>120</v>
      </c>
      <c r="F12" s="12" t="s">
        <v>130</v>
      </c>
      <c r="G12" s="13" t="s">
        <v>2187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2188</v>
      </c>
      <c r="B13" s="12" t="s">
        <v>2189</v>
      </c>
      <c r="C13" s="12" t="s">
        <v>768</v>
      </c>
      <c r="D13" s="13" t="s">
        <v>2190</v>
      </c>
      <c r="E13" s="12" t="s">
        <v>120</v>
      </c>
      <c r="F13" s="12" t="s">
        <v>140</v>
      </c>
      <c r="G13" s="13" t="s">
        <v>2181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2191</v>
      </c>
      <c r="B14" s="12" t="s">
        <v>1279</v>
      </c>
      <c r="C14" s="12" t="s">
        <v>768</v>
      </c>
      <c r="D14" s="13" t="s">
        <v>2192</v>
      </c>
      <c r="E14" s="12" t="s">
        <v>120</v>
      </c>
      <c r="F14" s="12" t="s">
        <v>145</v>
      </c>
      <c r="G14" s="13" t="s">
        <v>2193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2194</v>
      </c>
      <c r="B15" s="12" t="s">
        <v>2195</v>
      </c>
      <c r="C15" s="12" t="s">
        <v>768</v>
      </c>
      <c r="D15" s="13" t="s">
        <v>2196</v>
      </c>
      <c r="E15" s="12" t="s">
        <v>120</v>
      </c>
      <c r="F15" s="12" t="s">
        <v>145</v>
      </c>
      <c r="G15" s="13" t="s">
        <v>2193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2197</v>
      </c>
      <c r="B16" s="12" t="s">
        <v>2198</v>
      </c>
      <c r="C16" s="12" t="s">
        <v>768</v>
      </c>
      <c r="D16" s="13" t="s">
        <v>2199</v>
      </c>
      <c r="E16" s="12" t="s">
        <v>120</v>
      </c>
      <c r="F16" s="12" t="s">
        <v>145</v>
      </c>
      <c r="G16" s="13" t="s">
        <v>2193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2200</v>
      </c>
      <c r="B17" s="12" t="s">
        <v>168</v>
      </c>
      <c r="C17" s="12" t="s">
        <v>768</v>
      </c>
      <c r="D17" s="13" t="s">
        <v>2201</v>
      </c>
      <c r="E17" s="12" t="s">
        <v>120</v>
      </c>
      <c r="F17" s="12" t="s">
        <v>145</v>
      </c>
      <c r="G17" s="13" t="s">
        <v>2202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2203</v>
      </c>
      <c r="B18" s="12" t="s">
        <v>2204</v>
      </c>
      <c r="C18" s="12" t="s">
        <v>768</v>
      </c>
      <c r="D18" s="13" t="s">
        <v>2205</v>
      </c>
      <c r="E18" s="12" t="s">
        <v>120</v>
      </c>
      <c r="F18" s="12" t="s">
        <v>145</v>
      </c>
      <c r="G18" s="13" t="s">
        <v>2193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2206</v>
      </c>
      <c r="B19" s="12" t="s">
        <v>159</v>
      </c>
      <c r="C19" s="12" t="s">
        <v>768</v>
      </c>
      <c r="D19" s="13" t="s">
        <v>2207</v>
      </c>
      <c r="E19" s="12" t="s">
        <v>120</v>
      </c>
      <c r="F19" s="12" t="s">
        <v>145</v>
      </c>
      <c r="G19" s="13" t="s">
        <v>2208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2209</v>
      </c>
      <c r="B20" s="12" t="s">
        <v>148</v>
      </c>
      <c r="C20" s="12" t="s">
        <v>768</v>
      </c>
      <c r="D20" s="13" t="s">
        <v>2210</v>
      </c>
      <c r="E20" s="12" t="s">
        <v>120</v>
      </c>
      <c r="F20" s="12" t="s">
        <v>150</v>
      </c>
      <c r="G20" s="13" t="s">
        <v>2193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2211</v>
      </c>
      <c r="B21" s="12" t="s">
        <v>153</v>
      </c>
      <c r="C21" s="12" t="s">
        <v>768</v>
      </c>
      <c r="D21" s="13" t="s">
        <v>2212</v>
      </c>
      <c r="E21" s="12" t="s">
        <v>120</v>
      </c>
      <c r="F21" s="12" t="s">
        <v>155</v>
      </c>
      <c r="G21" s="13" t="s">
        <v>2213</v>
      </c>
      <c r="H21" s="12" t="s">
        <v>86</v>
      </c>
      <c r="I21" s="12" t="s">
        <v>98</v>
      </c>
      <c r="J21" s="14" t="n">
        <v>46230</v>
      </c>
      <c r="K21" s="13" t="s">
        <v>2214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2215</v>
      </c>
      <c r="B22" s="12" t="s">
        <v>173</v>
      </c>
      <c r="C22" s="12" t="s">
        <v>65</v>
      </c>
      <c r="D22" s="13" t="s">
        <v>2216</v>
      </c>
      <c r="E22" s="12" t="s">
        <v>120</v>
      </c>
      <c r="F22" s="12" t="s">
        <v>161</v>
      </c>
      <c r="G22" s="13" t="s">
        <v>2217</v>
      </c>
      <c r="H22" s="12" t="s">
        <v>78</v>
      </c>
      <c r="I22" s="12" t="s">
        <v>98</v>
      </c>
      <c r="J22" s="14" t="n">
        <v>46230</v>
      </c>
      <c r="K22" s="13" t="s">
        <v>1793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2218</v>
      </c>
      <c r="B23" s="12" t="s">
        <v>177</v>
      </c>
      <c r="C23" s="12" t="s">
        <v>65</v>
      </c>
      <c r="D23" s="13" t="s">
        <v>2219</v>
      </c>
      <c r="E23" s="12" t="s">
        <v>120</v>
      </c>
      <c r="F23" s="12" t="s">
        <v>179</v>
      </c>
      <c r="G23" s="13" t="s">
        <v>2220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2221</v>
      </c>
      <c r="B24" s="12" t="s">
        <v>182</v>
      </c>
      <c r="C24" s="12" t="s">
        <v>65</v>
      </c>
      <c r="D24" s="13" t="s">
        <v>2222</v>
      </c>
      <c r="E24" s="12" t="s">
        <v>120</v>
      </c>
      <c r="F24" s="12" t="s">
        <v>179</v>
      </c>
      <c r="G24" s="13" t="s">
        <v>2223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2224</v>
      </c>
      <c r="B25" s="12" t="s">
        <v>608</v>
      </c>
      <c r="C25" s="12" t="s">
        <v>65</v>
      </c>
      <c r="D25" s="13" t="s">
        <v>2225</v>
      </c>
      <c r="E25" s="12" t="s">
        <v>120</v>
      </c>
      <c r="F25" s="12" t="s">
        <v>610</v>
      </c>
      <c r="G25" s="13" t="s">
        <v>2226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2227</v>
      </c>
      <c r="B26" s="12" t="s">
        <v>186</v>
      </c>
      <c r="C26" s="12" t="s">
        <v>65</v>
      </c>
      <c r="D26" s="13" t="s">
        <v>2228</v>
      </c>
      <c r="E26" s="12" t="s">
        <v>188</v>
      </c>
      <c r="F26" s="12" t="s">
        <v>188</v>
      </c>
      <c r="G26" s="13" t="s">
        <v>189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2229</v>
      </c>
      <c r="B27" s="12" t="s">
        <v>191</v>
      </c>
      <c r="C27" s="12" t="s">
        <v>65</v>
      </c>
      <c r="D27" s="13" t="s">
        <v>2230</v>
      </c>
      <c r="E27" s="12" t="s">
        <v>120</v>
      </c>
      <c r="F27" s="12" t="s">
        <v>120</v>
      </c>
      <c r="G27" s="13" t="s">
        <v>193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COUNTA(A9:A33)</f>
        <v>25</v>
      </c>
      <c r="D4" s="5" t="s">
        <v>102</v>
      </c>
      <c r="E4" s="6" t="n">
        <f aca="false">SUM(M9:M33)</f>
        <v>24</v>
      </c>
      <c r="G4" s="5" t="s">
        <v>13</v>
      </c>
      <c r="H4" s="7" t="n">
        <f aca="false">IF(B4=0,0,E4/B4)</f>
        <v>0.96</v>
      </c>
      <c r="J4" s="5" t="s">
        <v>14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IF(COUNTIFS(I9:I33,"yes",M9:M33,0)&gt;0,"open","complete")</f>
        <v>open</v>
      </c>
      <c r="D5" s="5" t="s">
        <v>15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1023</v>
      </c>
      <c r="B9" s="12" t="s">
        <v>76</v>
      </c>
      <c r="C9" s="12" t="s">
        <v>768</v>
      </c>
      <c r="D9" s="13" t="s">
        <v>2233</v>
      </c>
      <c r="E9" s="12" t="s">
        <v>120</v>
      </c>
      <c r="F9" s="12" t="s">
        <v>121</v>
      </c>
      <c r="G9" s="13" t="s">
        <v>2234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1026</v>
      </c>
      <c r="B10" s="12" t="s">
        <v>1329</v>
      </c>
      <c r="C10" s="12" t="s">
        <v>1170</v>
      </c>
      <c r="D10" s="13" t="s">
        <v>2235</v>
      </c>
      <c r="E10" s="12" t="s">
        <v>120</v>
      </c>
      <c r="F10" s="12" t="s">
        <v>140</v>
      </c>
      <c r="G10" s="13" t="s">
        <v>2236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1028</v>
      </c>
      <c r="B11" s="12" t="s">
        <v>124</v>
      </c>
      <c r="C11" s="12" t="s">
        <v>1170</v>
      </c>
      <c r="D11" s="13" t="s">
        <v>2237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1031</v>
      </c>
      <c r="B12" s="12" t="s">
        <v>128</v>
      </c>
      <c r="C12" s="12" t="s">
        <v>1170</v>
      </c>
      <c r="D12" s="13" t="s">
        <v>2238</v>
      </c>
      <c r="E12" s="12" t="s">
        <v>120</v>
      </c>
      <c r="F12" s="12" t="s">
        <v>130</v>
      </c>
      <c r="G12" s="13" t="s">
        <v>2239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1034</v>
      </c>
      <c r="B13" s="12" t="s">
        <v>133</v>
      </c>
      <c r="C13" s="12" t="s">
        <v>1170</v>
      </c>
      <c r="D13" s="13" t="s">
        <v>2240</v>
      </c>
      <c r="E13" s="12" t="s">
        <v>120</v>
      </c>
      <c r="F13" s="12" t="s">
        <v>135</v>
      </c>
      <c r="G13" s="13" t="s">
        <v>2241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1037</v>
      </c>
      <c r="B14" s="12" t="s">
        <v>1562</v>
      </c>
      <c r="C14" s="12" t="s">
        <v>768</v>
      </c>
      <c r="D14" s="13" t="s">
        <v>2242</v>
      </c>
      <c r="E14" s="12" t="s">
        <v>120</v>
      </c>
      <c r="F14" s="12" t="s">
        <v>145</v>
      </c>
      <c r="G14" s="13" t="s">
        <v>2243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1040</v>
      </c>
      <c r="B15" s="12" t="s">
        <v>1679</v>
      </c>
      <c r="C15" s="12" t="s">
        <v>768</v>
      </c>
      <c r="D15" s="13" t="s">
        <v>2244</v>
      </c>
      <c r="E15" s="12" t="s">
        <v>120</v>
      </c>
      <c r="F15" s="12" t="s">
        <v>155</v>
      </c>
      <c r="G15" s="13" t="s">
        <v>2245</v>
      </c>
      <c r="H15" s="12" t="s">
        <v>86</v>
      </c>
      <c r="I15" s="12" t="s">
        <v>98</v>
      </c>
      <c r="J15" s="14" t="n">
        <v>46230</v>
      </c>
      <c r="K15" s="13" t="s">
        <v>2246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1042</v>
      </c>
      <c r="B16" s="12" t="s">
        <v>1684</v>
      </c>
      <c r="C16" s="12" t="s">
        <v>768</v>
      </c>
      <c r="D16" s="13" t="s">
        <v>2247</v>
      </c>
      <c r="E16" s="12" t="s">
        <v>120</v>
      </c>
      <c r="F16" s="12" t="s">
        <v>155</v>
      </c>
      <c r="G16" s="13" t="s">
        <v>2245</v>
      </c>
      <c r="H16" s="12" t="s">
        <v>86</v>
      </c>
      <c r="I16" s="12" t="s">
        <v>98</v>
      </c>
      <c r="J16" s="14" t="n">
        <v>46230</v>
      </c>
      <c r="K16" s="13" t="s">
        <v>2248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1046</v>
      </c>
      <c r="B17" s="12" t="s">
        <v>1159</v>
      </c>
      <c r="C17" s="12" t="s">
        <v>768</v>
      </c>
      <c r="D17" s="13" t="s">
        <v>2249</v>
      </c>
      <c r="E17" s="12" t="s">
        <v>120</v>
      </c>
      <c r="F17" s="12" t="s">
        <v>140</v>
      </c>
      <c r="G17" s="13" t="s">
        <v>2250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1050</v>
      </c>
      <c r="B18" s="12" t="s">
        <v>2251</v>
      </c>
      <c r="C18" s="12" t="s">
        <v>2252</v>
      </c>
      <c r="D18" s="13" t="s">
        <v>2253</v>
      </c>
      <c r="E18" s="12" t="s">
        <v>120</v>
      </c>
      <c r="F18" s="12" t="s">
        <v>145</v>
      </c>
      <c r="G18" s="13" t="s">
        <v>2250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1052</v>
      </c>
      <c r="B19" s="12" t="s">
        <v>2254</v>
      </c>
      <c r="C19" s="12" t="s">
        <v>1072</v>
      </c>
      <c r="D19" s="13" t="s">
        <v>2255</v>
      </c>
      <c r="E19" s="12" t="s">
        <v>120</v>
      </c>
      <c r="F19" s="12" t="s">
        <v>145</v>
      </c>
      <c r="G19" s="13" t="s">
        <v>2250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1055</v>
      </c>
      <c r="B20" s="12" t="s">
        <v>2256</v>
      </c>
      <c r="C20" s="12" t="s">
        <v>2257</v>
      </c>
      <c r="D20" s="13" t="s">
        <v>2258</v>
      </c>
      <c r="E20" s="12" t="s">
        <v>120</v>
      </c>
      <c r="F20" s="12" t="s">
        <v>145</v>
      </c>
      <c r="G20" s="13" t="s">
        <v>2259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1058</v>
      </c>
      <c r="B21" s="12" t="s">
        <v>1776</v>
      </c>
      <c r="C21" s="12" t="s">
        <v>1776</v>
      </c>
      <c r="D21" s="13" t="s">
        <v>2260</v>
      </c>
      <c r="E21" s="12" t="s">
        <v>120</v>
      </c>
      <c r="F21" s="12" t="s">
        <v>155</v>
      </c>
      <c r="G21" s="13" t="s">
        <v>2245</v>
      </c>
      <c r="H21" s="12" t="s">
        <v>86</v>
      </c>
      <c r="I21" s="12" t="s">
        <v>98</v>
      </c>
      <c r="J21" s="14" t="n">
        <v>46230</v>
      </c>
      <c r="K21" s="13" t="s">
        <v>2261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1060</v>
      </c>
      <c r="B22" s="12" t="s">
        <v>168</v>
      </c>
      <c r="C22" s="12" t="s">
        <v>2262</v>
      </c>
      <c r="D22" s="13" t="s">
        <v>2263</v>
      </c>
      <c r="E22" s="12" t="s">
        <v>120</v>
      </c>
      <c r="F22" s="12" t="s">
        <v>140</v>
      </c>
      <c r="G22" s="13" t="s">
        <v>2250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1063</v>
      </c>
      <c r="B23" s="12" t="s">
        <v>2264</v>
      </c>
      <c r="C23" s="12" t="s">
        <v>1072</v>
      </c>
      <c r="D23" s="13" t="s">
        <v>2265</v>
      </c>
      <c r="E23" s="12" t="s">
        <v>120</v>
      </c>
      <c r="F23" s="12" t="s">
        <v>145</v>
      </c>
      <c r="G23" s="13" t="s">
        <v>2266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2267</v>
      </c>
      <c r="B24" s="12" t="s">
        <v>148</v>
      </c>
      <c r="C24" s="12" t="s">
        <v>1170</v>
      </c>
      <c r="D24" s="13" t="s">
        <v>2268</v>
      </c>
      <c r="E24" s="12" t="s">
        <v>120</v>
      </c>
      <c r="F24" s="12" t="s">
        <v>150</v>
      </c>
      <c r="G24" s="13" t="s">
        <v>2243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2269</v>
      </c>
      <c r="B25" s="12" t="s">
        <v>159</v>
      </c>
      <c r="C25" s="12" t="s">
        <v>1170</v>
      </c>
      <c r="D25" s="13" t="s">
        <v>2270</v>
      </c>
      <c r="E25" s="12" t="s">
        <v>120</v>
      </c>
      <c r="F25" s="12" t="s">
        <v>145</v>
      </c>
      <c r="G25" s="13" t="s">
        <v>2271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2272</v>
      </c>
      <c r="B26" s="12" t="s">
        <v>1849</v>
      </c>
      <c r="C26" s="12" t="s">
        <v>1170</v>
      </c>
      <c r="D26" s="13" t="s">
        <v>2273</v>
      </c>
      <c r="E26" s="12" t="s">
        <v>120</v>
      </c>
      <c r="F26" s="12" t="s">
        <v>155</v>
      </c>
      <c r="G26" s="13" t="s">
        <v>2245</v>
      </c>
      <c r="H26" s="12" t="s">
        <v>86</v>
      </c>
      <c r="I26" s="12" t="s">
        <v>98</v>
      </c>
      <c r="J26" s="14" t="n">
        <v>46230</v>
      </c>
      <c r="K26" s="13" t="s">
        <v>2274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2275</v>
      </c>
      <c r="B27" s="12" t="s">
        <v>153</v>
      </c>
      <c r="C27" s="12" t="s">
        <v>1170</v>
      </c>
      <c r="D27" s="13" t="s">
        <v>2276</v>
      </c>
      <c r="E27" s="12" t="s">
        <v>120</v>
      </c>
      <c r="F27" s="12" t="s">
        <v>155</v>
      </c>
      <c r="G27" s="13" t="s">
        <v>2245</v>
      </c>
      <c r="H27" s="12" t="s">
        <v>86</v>
      </c>
      <c r="I27" s="12" t="s">
        <v>98</v>
      </c>
      <c r="J27" s="14" t="n">
        <v>46230</v>
      </c>
      <c r="K27" s="13" t="s">
        <v>2277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2278</v>
      </c>
      <c r="B28" s="12" t="s">
        <v>608</v>
      </c>
      <c r="C28" s="12" t="s">
        <v>1170</v>
      </c>
      <c r="D28" s="13" t="s">
        <v>2279</v>
      </c>
      <c r="E28" s="12" t="s">
        <v>120</v>
      </c>
      <c r="F28" s="12" t="s">
        <v>610</v>
      </c>
      <c r="G28" s="13" t="s">
        <v>2280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2281</v>
      </c>
      <c r="B29" s="12" t="s">
        <v>173</v>
      </c>
      <c r="C29" s="12" t="s">
        <v>1170</v>
      </c>
      <c r="D29" s="13" t="s">
        <v>2282</v>
      </c>
      <c r="E29" s="12" t="s">
        <v>120</v>
      </c>
      <c r="F29" s="12" t="s">
        <v>161</v>
      </c>
      <c r="G29" s="13" t="s">
        <v>2283</v>
      </c>
      <c r="H29" s="12" t="s">
        <v>78</v>
      </c>
      <c r="I29" s="12" t="s">
        <v>98</v>
      </c>
      <c r="J29" s="14" t="n">
        <v>46230</v>
      </c>
      <c r="K29" s="13" t="s">
        <v>1793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2284</v>
      </c>
      <c r="B30" s="12" t="s">
        <v>177</v>
      </c>
      <c r="C30" s="12" t="s">
        <v>1170</v>
      </c>
      <c r="D30" s="13" t="s">
        <v>2285</v>
      </c>
      <c r="E30" s="12" t="s">
        <v>120</v>
      </c>
      <c r="F30" s="12" t="s">
        <v>179</v>
      </c>
      <c r="G30" s="13" t="s">
        <v>2286</v>
      </c>
      <c r="H30" s="12" t="s">
        <v>84</v>
      </c>
      <c r="I30" s="12" t="s">
        <v>99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2287</v>
      </c>
      <c r="B31" s="12" t="s">
        <v>182</v>
      </c>
      <c r="C31" s="12" t="s">
        <v>66</v>
      </c>
      <c r="D31" s="13" t="s">
        <v>2288</v>
      </c>
      <c r="E31" s="12" t="s">
        <v>120</v>
      </c>
      <c r="F31" s="12" t="s">
        <v>179</v>
      </c>
      <c r="G31" s="13" t="s">
        <v>2289</v>
      </c>
      <c r="H31" s="12" t="s">
        <v>84</v>
      </c>
      <c r="I31" s="12" t="s">
        <v>99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2290</v>
      </c>
      <c r="B32" s="12" t="s">
        <v>186</v>
      </c>
      <c r="C32" s="12" t="s">
        <v>66</v>
      </c>
      <c r="D32" s="13" t="s">
        <v>2291</v>
      </c>
      <c r="E32" s="12" t="s">
        <v>188</v>
      </c>
      <c r="F32" s="12" t="s">
        <v>188</v>
      </c>
      <c r="G32" s="13" t="s">
        <v>189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2292</v>
      </c>
      <c r="B33" s="12" t="s">
        <v>191</v>
      </c>
      <c r="C33" s="12" t="s">
        <v>66</v>
      </c>
      <c r="D33" s="13" t="s">
        <v>2293</v>
      </c>
      <c r="E33" s="12" t="s">
        <v>120</v>
      </c>
      <c r="F33" s="12" t="s">
        <v>120</v>
      </c>
      <c r="G33" s="13" t="s">
        <v>2294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COUNTA(A9:A34)</f>
        <v>26</v>
      </c>
      <c r="D4" s="5" t="s">
        <v>102</v>
      </c>
      <c r="E4" s="6" t="n">
        <f aca="false">SUM(M9:M34)</f>
        <v>25</v>
      </c>
      <c r="G4" s="5" t="s">
        <v>13</v>
      </c>
      <c r="H4" s="7" t="n">
        <f aca="false">IF(B4=0,0,E4/B4)</f>
        <v>0.961538461538462</v>
      </c>
      <c r="J4" s="5" t="s">
        <v>14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IF(COUNTIFS(I9:I34,"yes",M9:M34,0)&gt;0,"open","complete")</f>
        <v>open</v>
      </c>
      <c r="D5" s="5" t="s">
        <v>15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104</v>
      </c>
      <c r="B8" s="1" t="s">
        <v>105</v>
      </c>
      <c r="C8" s="1" t="s">
        <v>106</v>
      </c>
      <c r="D8" s="1" t="s">
        <v>107</v>
      </c>
      <c r="E8" s="1" t="s">
        <v>108</v>
      </c>
      <c r="F8" s="1" t="s">
        <v>109</v>
      </c>
      <c r="G8" s="1" t="s">
        <v>110</v>
      </c>
      <c r="H8" s="1" t="s">
        <v>111</v>
      </c>
      <c r="I8" s="1" t="s">
        <v>112</v>
      </c>
      <c r="J8" s="10" t="s">
        <v>113</v>
      </c>
      <c r="K8" s="1" t="s">
        <v>114</v>
      </c>
      <c r="L8" s="1" t="s">
        <v>115</v>
      </c>
      <c r="M8" s="1" t="s">
        <v>102</v>
      </c>
    </row>
    <row r="9" customFormat="false" ht="54" hidden="false" customHeight="true" outlineLevel="0" collapsed="false">
      <c r="A9" s="12" t="s">
        <v>2297</v>
      </c>
      <c r="B9" s="12" t="s">
        <v>76</v>
      </c>
      <c r="C9" s="12" t="s">
        <v>768</v>
      </c>
      <c r="D9" s="13" t="s">
        <v>2298</v>
      </c>
      <c r="E9" s="12" t="s">
        <v>120</v>
      </c>
      <c r="F9" s="12" t="s">
        <v>121</v>
      </c>
      <c r="G9" s="13" t="s">
        <v>2299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2300</v>
      </c>
      <c r="B10" s="12" t="s">
        <v>1329</v>
      </c>
      <c r="C10" s="12" t="s">
        <v>1170</v>
      </c>
      <c r="D10" s="13" t="s">
        <v>2301</v>
      </c>
      <c r="E10" s="12" t="s">
        <v>120</v>
      </c>
      <c r="F10" s="12" t="s">
        <v>140</v>
      </c>
      <c r="G10" s="13" t="s">
        <v>2302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2303</v>
      </c>
      <c r="B11" s="12" t="s">
        <v>124</v>
      </c>
      <c r="C11" s="12" t="s">
        <v>1170</v>
      </c>
      <c r="D11" s="13" t="s">
        <v>2304</v>
      </c>
      <c r="E11" s="12" t="s">
        <v>120</v>
      </c>
      <c r="F11" s="12" t="s">
        <v>120</v>
      </c>
      <c r="G11" s="13" t="s">
        <v>126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2305</v>
      </c>
      <c r="B12" s="12" t="s">
        <v>128</v>
      </c>
      <c r="C12" s="12" t="s">
        <v>1170</v>
      </c>
      <c r="D12" s="13" t="s">
        <v>2306</v>
      </c>
      <c r="E12" s="12" t="s">
        <v>120</v>
      </c>
      <c r="F12" s="12" t="s">
        <v>130</v>
      </c>
      <c r="G12" s="13" t="s">
        <v>2307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2308</v>
      </c>
      <c r="B13" s="12" t="s">
        <v>133</v>
      </c>
      <c r="C13" s="12" t="s">
        <v>1170</v>
      </c>
      <c r="D13" s="13" t="s">
        <v>2309</v>
      </c>
      <c r="E13" s="12" t="s">
        <v>120</v>
      </c>
      <c r="F13" s="12" t="s">
        <v>135</v>
      </c>
      <c r="G13" s="13" t="s">
        <v>2310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2311</v>
      </c>
      <c r="B14" s="12" t="s">
        <v>1562</v>
      </c>
      <c r="C14" s="12" t="s">
        <v>768</v>
      </c>
      <c r="D14" s="13" t="s">
        <v>2312</v>
      </c>
      <c r="E14" s="12" t="s">
        <v>120</v>
      </c>
      <c r="F14" s="12" t="s">
        <v>145</v>
      </c>
      <c r="G14" s="13" t="s">
        <v>2313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2314</v>
      </c>
      <c r="B15" s="12" t="s">
        <v>1679</v>
      </c>
      <c r="C15" s="12" t="s">
        <v>768</v>
      </c>
      <c r="D15" s="13" t="s">
        <v>2315</v>
      </c>
      <c r="E15" s="12" t="s">
        <v>120</v>
      </c>
      <c r="F15" s="12" t="s">
        <v>155</v>
      </c>
      <c r="G15" s="13" t="s">
        <v>2316</v>
      </c>
      <c r="H15" s="12" t="s">
        <v>86</v>
      </c>
      <c r="I15" s="12" t="s">
        <v>98</v>
      </c>
      <c r="J15" s="14" t="n">
        <v>46230</v>
      </c>
      <c r="K15" s="13" t="s">
        <v>2246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2317</v>
      </c>
      <c r="B16" s="12" t="s">
        <v>1684</v>
      </c>
      <c r="C16" s="12" t="s">
        <v>768</v>
      </c>
      <c r="D16" s="13" t="s">
        <v>2318</v>
      </c>
      <c r="E16" s="12" t="s">
        <v>120</v>
      </c>
      <c r="F16" s="12" t="s">
        <v>155</v>
      </c>
      <c r="G16" s="13" t="s">
        <v>2316</v>
      </c>
      <c r="H16" s="12" t="s">
        <v>86</v>
      </c>
      <c r="I16" s="12" t="s">
        <v>98</v>
      </c>
      <c r="J16" s="14" t="n">
        <v>46230</v>
      </c>
      <c r="K16" s="13" t="s">
        <v>2248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2319</v>
      </c>
      <c r="B17" s="12" t="s">
        <v>2320</v>
      </c>
      <c r="C17" s="12" t="s">
        <v>823</v>
      </c>
      <c r="D17" s="13" t="s">
        <v>2321</v>
      </c>
      <c r="E17" s="12" t="s">
        <v>120</v>
      </c>
      <c r="F17" s="12" t="s">
        <v>140</v>
      </c>
      <c r="G17" s="13" t="s">
        <v>2322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2323</v>
      </c>
      <c r="B18" s="12" t="s">
        <v>2324</v>
      </c>
      <c r="C18" s="12" t="s">
        <v>823</v>
      </c>
      <c r="D18" s="13" t="s">
        <v>2325</v>
      </c>
      <c r="E18" s="12" t="s">
        <v>120</v>
      </c>
      <c r="F18" s="12" t="s">
        <v>140</v>
      </c>
      <c r="G18" s="13" t="s">
        <v>2322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2326</v>
      </c>
      <c r="B19" s="12" t="s">
        <v>2327</v>
      </c>
      <c r="C19" s="12" t="s">
        <v>768</v>
      </c>
      <c r="D19" s="13" t="s">
        <v>2328</v>
      </c>
      <c r="E19" s="12" t="s">
        <v>120</v>
      </c>
      <c r="F19" s="12" t="s">
        <v>140</v>
      </c>
      <c r="G19" s="13" t="s">
        <v>2302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2329</v>
      </c>
      <c r="B20" s="12" t="s">
        <v>2330</v>
      </c>
      <c r="C20" s="12" t="s">
        <v>1766</v>
      </c>
      <c r="D20" s="13" t="s">
        <v>2331</v>
      </c>
      <c r="E20" s="12" t="s">
        <v>120</v>
      </c>
      <c r="F20" s="12" t="s">
        <v>145</v>
      </c>
      <c r="G20" s="13" t="s">
        <v>2322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2332</v>
      </c>
      <c r="B21" s="12" t="s">
        <v>2251</v>
      </c>
      <c r="C21" s="12" t="s">
        <v>2333</v>
      </c>
      <c r="D21" s="13" t="s">
        <v>2334</v>
      </c>
      <c r="E21" s="12" t="s">
        <v>120</v>
      </c>
      <c r="F21" s="12" t="s">
        <v>145</v>
      </c>
      <c r="G21" s="13" t="s">
        <v>2322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2335</v>
      </c>
      <c r="B22" s="12" t="s">
        <v>2254</v>
      </c>
      <c r="C22" s="12" t="s">
        <v>1072</v>
      </c>
      <c r="D22" s="13" t="s">
        <v>2336</v>
      </c>
      <c r="E22" s="12" t="s">
        <v>120</v>
      </c>
      <c r="F22" s="12" t="s">
        <v>145</v>
      </c>
      <c r="G22" s="13" t="s">
        <v>2322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2337</v>
      </c>
      <c r="B23" s="12" t="s">
        <v>2256</v>
      </c>
      <c r="C23" s="12" t="s">
        <v>2338</v>
      </c>
      <c r="D23" s="13" t="s">
        <v>2339</v>
      </c>
      <c r="E23" s="12" t="s">
        <v>120</v>
      </c>
      <c r="F23" s="12" t="s">
        <v>145</v>
      </c>
      <c r="G23" s="13" t="s">
        <v>2340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2341</v>
      </c>
      <c r="B24" s="12" t="s">
        <v>1569</v>
      </c>
      <c r="C24" s="12" t="s">
        <v>1766</v>
      </c>
      <c r="D24" s="13" t="s">
        <v>2342</v>
      </c>
      <c r="E24" s="12" t="s">
        <v>120</v>
      </c>
      <c r="F24" s="12" t="s">
        <v>145</v>
      </c>
      <c r="G24" s="13" t="s">
        <v>2313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2343</v>
      </c>
      <c r="B25" s="12" t="s">
        <v>2015</v>
      </c>
      <c r="C25" s="12" t="s">
        <v>1170</v>
      </c>
      <c r="D25" s="13" t="s">
        <v>2344</v>
      </c>
      <c r="E25" s="12" t="s">
        <v>120</v>
      </c>
      <c r="F25" s="12" t="s">
        <v>155</v>
      </c>
      <c r="G25" s="13" t="s">
        <v>2345</v>
      </c>
      <c r="H25" s="12" t="s">
        <v>86</v>
      </c>
      <c r="I25" s="12" t="s">
        <v>98</v>
      </c>
      <c r="J25" s="14" t="n">
        <v>46230</v>
      </c>
      <c r="K25" s="13" t="s">
        <v>2346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2347</v>
      </c>
      <c r="B26" s="12" t="s">
        <v>168</v>
      </c>
      <c r="C26" s="12" t="s">
        <v>2348</v>
      </c>
      <c r="D26" s="13" t="s">
        <v>2349</v>
      </c>
      <c r="E26" s="12" t="s">
        <v>120</v>
      </c>
      <c r="F26" s="12" t="s">
        <v>140</v>
      </c>
      <c r="G26" s="13" t="s">
        <v>2302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2350</v>
      </c>
      <c r="B27" s="12" t="s">
        <v>2351</v>
      </c>
      <c r="C27" s="12" t="s">
        <v>1170</v>
      </c>
      <c r="D27" s="13" t="s">
        <v>2352</v>
      </c>
      <c r="E27" s="12" t="s">
        <v>120</v>
      </c>
      <c r="F27" s="12" t="s">
        <v>150</v>
      </c>
      <c r="G27" s="13" t="s">
        <v>2313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2353</v>
      </c>
      <c r="B28" s="12" t="s">
        <v>1849</v>
      </c>
      <c r="C28" s="12" t="s">
        <v>1170</v>
      </c>
      <c r="D28" s="13" t="s">
        <v>2273</v>
      </c>
      <c r="E28" s="12" t="s">
        <v>120</v>
      </c>
      <c r="F28" s="12" t="s">
        <v>155</v>
      </c>
      <c r="G28" s="13" t="s">
        <v>2316</v>
      </c>
      <c r="H28" s="12" t="s">
        <v>86</v>
      </c>
      <c r="I28" s="12" t="s">
        <v>98</v>
      </c>
      <c r="J28" s="14" t="n">
        <v>46230</v>
      </c>
      <c r="K28" s="13" t="s">
        <v>2274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2354</v>
      </c>
      <c r="B29" s="12" t="s">
        <v>153</v>
      </c>
      <c r="C29" s="12" t="s">
        <v>1170</v>
      </c>
      <c r="D29" s="13" t="s">
        <v>2355</v>
      </c>
      <c r="E29" s="12" t="s">
        <v>120</v>
      </c>
      <c r="F29" s="12" t="s">
        <v>155</v>
      </c>
      <c r="G29" s="13" t="s">
        <v>2316</v>
      </c>
      <c r="H29" s="12" t="s">
        <v>86</v>
      </c>
      <c r="I29" s="12" t="s">
        <v>98</v>
      </c>
      <c r="J29" s="14" t="n">
        <v>46230</v>
      </c>
      <c r="K29" s="13" t="s">
        <v>2356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2357</v>
      </c>
      <c r="B30" s="12" t="s">
        <v>608</v>
      </c>
      <c r="C30" s="12" t="s">
        <v>1170</v>
      </c>
      <c r="D30" s="13" t="s">
        <v>2358</v>
      </c>
      <c r="E30" s="12" t="s">
        <v>120</v>
      </c>
      <c r="F30" s="12" t="s">
        <v>610</v>
      </c>
      <c r="G30" s="13" t="s">
        <v>2359</v>
      </c>
      <c r="H30" s="12" t="s">
        <v>84</v>
      </c>
      <c r="I30" s="12" t="s">
        <v>99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2360</v>
      </c>
      <c r="B31" s="12" t="s">
        <v>173</v>
      </c>
      <c r="C31" s="12" t="s">
        <v>1170</v>
      </c>
      <c r="D31" s="13" t="s">
        <v>2282</v>
      </c>
      <c r="E31" s="12" t="s">
        <v>120</v>
      </c>
      <c r="F31" s="12" t="s">
        <v>161</v>
      </c>
      <c r="G31" s="13" t="s">
        <v>2361</v>
      </c>
      <c r="H31" s="12" t="s">
        <v>78</v>
      </c>
      <c r="I31" s="12" t="s">
        <v>98</v>
      </c>
      <c r="J31" s="14" t="n">
        <v>46230</v>
      </c>
      <c r="K31" s="13" t="s">
        <v>1793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2362</v>
      </c>
      <c r="B32" s="12" t="s">
        <v>2363</v>
      </c>
      <c r="C32" s="12" t="s">
        <v>1170</v>
      </c>
      <c r="D32" s="13" t="s">
        <v>2364</v>
      </c>
      <c r="E32" s="12" t="s">
        <v>120</v>
      </c>
      <c r="F32" s="12" t="s">
        <v>179</v>
      </c>
      <c r="G32" s="13" t="s">
        <v>2365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2366</v>
      </c>
      <c r="B33" s="12" t="s">
        <v>186</v>
      </c>
      <c r="C33" s="12" t="s">
        <v>67</v>
      </c>
      <c r="D33" s="13" t="s">
        <v>2367</v>
      </c>
      <c r="E33" s="12" t="s">
        <v>188</v>
      </c>
      <c r="F33" s="12" t="s">
        <v>188</v>
      </c>
      <c r="G33" s="13" t="s">
        <v>189</v>
      </c>
      <c r="H33" s="12" t="s">
        <v>84</v>
      </c>
      <c r="I33" s="12" t="s">
        <v>99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2368</v>
      </c>
      <c r="B34" s="12" t="s">
        <v>191</v>
      </c>
      <c r="C34" s="12" t="s">
        <v>67</v>
      </c>
      <c r="D34" s="13" t="s">
        <v>2369</v>
      </c>
      <c r="E34" s="12" t="s">
        <v>120</v>
      </c>
      <c r="F34" s="12" t="s">
        <v>120</v>
      </c>
      <c r="G34" s="13" t="s">
        <v>2294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COUNTA(A9:A39)</f>
        <v>31</v>
      </c>
      <c r="D4" s="5" t="s">
        <v>102</v>
      </c>
      <c r="E4" s="6" t="n">
        <f aca="false">SUM(M9:M39)</f>
        <v>30</v>
      </c>
      <c r="G4" s="5" t="s">
        <v>13</v>
      </c>
      <c r="H4" s="7" t="n">
        <f aca="false">IF(B4=0,0,E4/B4)</f>
        <v>0.967741935483871</v>
      </c>
      <c r="J4" s="5" t="s">
        <v>14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IF(COUNTIFS(I9:I39,"yes",M9:M39,0)&gt;0,"open","complete")</f>
        <v>open</v>
      </c>
      <c r="D5" s="5" t="s">
        <v>15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2372</v>
      </c>
      <c r="B9" s="12" t="s">
        <v>76</v>
      </c>
      <c r="C9" s="12" t="s">
        <v>1170</v>
      </c>
      <c r="D9" s="13" t="s">
        <v>2373</v>
      </c>
      <c r="E9" s="12" t="s">
        <v>120</v>
      </c>
      <c r="F9" s="12" t="s">
        <v>121</v>
      </c>
      <c r="G9" s="13" t="s">
        <v>2374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2375</v>
      </c>
      <c r="B10" s="12" t="s">
        <v>2376</v>
      </c>
      <c r="C10" s="12" t="s">
        <v>2377</v>
      </c>
      <c r="D10" s="13" t="s">
        <v>2378</v>
      </c>
      <c r="E10" s="12" t="s">
        <v>120</v>
      </c>
      <c r="F10" s="12" t="s">
        <v>140</v>
      </c>
      <c r="G10" s="13" t="s">
        <v>2379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2380</v>
      </c>
      <c r="B11" s="12" t="s">
        <v>1329</v>
      </c>
      <c r="C11" s="12" t="s">
        <v>1170</v>
      </c>
      <c r="D11" s="13" t="s">
        <v>2381</v>
      </c>
      <c r="E11" s="12" t="s">
        <v>120</v>
      </c>
      <c r="F11" s="12" t="s">
        <v>140</v>
      </c>
      <c r="G11" s="13" t="s">
        <v>2379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2382</v>
      </c>
      <c r="B12" s="12" t="s">
        <v>124</v>
      </c>
      <c r="C12" s="12" t="s">
        <v>1170</v>
      </c>
      <c r="D12" s="13" t="s">
        <v>2383</v>
      </c>
      <c r="E12" s="12" t="s">
        <v>120</v>
      </c>
      <c r="F12" s="12" t="s">
        <v>120</v>
      </c>
      <c r="G12" s="13" t="s">
        <v>568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2384</v>
      </c>
      <c r="B13" s="12" t="s">
        <v>128</v>
      </c>
      <c r="C13" s="12" t="s">
        <v>2385</v>
      </c>
      <c r="D13" s="13" t="s">
        <v>2386</v>
      </c>
      <c r="E13" s="12" t="s">
        <v>120</v>
      </c>
      <c r="F13" s="12" t="s">
        <v>130</v>
      </c>
      <c r="G13" s="13" t="s">
        <v>2387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2388</v>
      </c>
      <c r="B14" s="12" t="s">
        <v>133</v>
      </c>
      <c r="C14" s="12" t="s">
        <v>1170</v>
      </c>
      <c r="D14" s="13" t="s">
        <v>2389</v>
      </c>
      <c r="E14" s="12" t="s">
        <v>120</v>
      </c>
      <c r="F14" s="12" t="s">
        <v>135</v>
      </c>
      <c r="G14" s="13" t="s">
        <v>2390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2391</v>
      </c>
      <c r="B15" s="12" t="s">
        <v>1562</v>
      </c>
      <c r="C15" s="12" t="s">
        <v>2392</v>
      </c>
      <c r="D15" s="13" t="s">
        <v>2393</v>
      </c>
      <c r="E15" s="12" t="s">
        <v>120</v>
      </c>
      <c r="F15" s="12" t="s">
        <v>145</v>
      </c>
      <c r="G15" s="13" t="s">
        <v>2394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2395</v>
      </c>
      <c r="B16" s="12" t="s">
        <v>128</v>
      </c>
      <c r="C16" s="12" t="s">
        <v>2396</v>
      </c>
      <c r="D16" s="13" t="s">
        <v>2397</v>
      </c>
      <c r="E16" s="12" t="s">
        <v>120</v>
      </c>
      <c r="F16" s="12" t="s">
        <v>155</v>
      </c>
      <c r="G16" s="13" t="s">
        <v>2398</v>
      </c>
      <c r="H16" s="12" t="s">
        <v>86</v>
      </c>
      <c r="I16" s="12" t="s">
        <v>98</v>
      </c>
      <c r="J16" s="14" t="n">
        <v>46230</v>
      </c>
      <c r="K16" s="13" t="s">
        <v>2399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2400</v>
      </c>
      <c r="B17" s="12" t="s">
        <v>1072</v>
      </c>
      <c r="C17" s="12" t="s">
        <v>2401</v>
      </c>
      <c r="D17" s="13" t="s">
        <v>2402</v>
      </c>
      <c r="E17" s="12" t="s">
        <v>120</v>
      </c>
      <c r="F17" s="12" t="s">
        <v>155</v>
      </c>
      <c r="G17" s="13" t="s">
        <v>2403</v>
      </c>
      <c r="H17" s="12" t="s">
        <v>86</v>
      </c>
      <c r="I17" s="12" t="s">
        <v>98</v>
      </c>
      <c r="J17" s="14" t="n">
        <v>46230</v>
      </c>
      <c r="K17" s="13" t="s">
        <v>2404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2405</v>
      </c>
      <c r="B18" s="12" t="s">
        <v>2406</v>
      </c>
      <c r="C18" s="12" t="s">
        <v>2407</v>
      </c>
      <c r="D18" s="13" t="s">
        <v>2408</v>
      </c>
      <c r="E18" s="12" t="s">
        <v>120</v>
      </c>
      <c r="F18" s="12" t="s">
        <v>145</v>
      </c>
      <c r="G18" s="13" t="s">
        <v>2394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2409</v>
      </c>
      <c r="B19" s="12" t="s">
        <v>2410</v>
      </c>
      <c r="C19" s="12" t="s">
        <v>2411</v>
      </c>
      <c r="D19" s="13" t="s">
        <v>2412</v>
      </c>
      <c r="E19" s="12" t="s">
        <v>120</v>
      </c>
      <c r="F19" s="12" t="s">
        <v>145</v>
      </c>
      <c r="G19" s="13" t="s">
        <v>2413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2414</v>
      </c>
      <c r="B20" s="12" t="s">
        <v>2415</v>
      </c>
      <c r="C20" s="12" t="s">
        <v>2070</v>
      </c>
      <c r="D20" s="13" t="s">
        <v>2416</v>
      </c>
      <c r="E20" s="12" t="s">
        <v>120</v>
      </c>
      <c r="F20" s="12" t="s">
        <v>155</v>
      </c>
      <c r="G20" s="13" t="s">
        <v>2413</v>
      </c>
      <c r="H20" s="12" t="s">
        <v>86</v>
      </c>
      <c r="I20" s="12" t="s">
        <v>98</v>
      </c>
      <c r="J20" s="14" t="n">
        <v>46230</v>
      </c>
      <c r="K20" s="13" t="s">
        <v>2417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2418</v>
      </c>
      <c r="B21" s="12" t="s">
        <v>2419</v>
      </c>
      <c r="C21" s="12" t="s">
        <v>2411</v>
      </c>
      <c r="D21" s="13" t="s">
        <v>2420</v>
      </c>
      <c r="E21" s="12" t="s">
        <v>120</v>
      </c>
      <c r="F21" s="12" t="s">
        <v>145</v>
      </c>
      <c r="G21" s="13" t="s">
        <v>2413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2421</v>
      </c>
      <c r="B22" s="12" t="s">
        <v>2422</v>
      </c>
      <c r="C22" s="12" t="s">
        <v>2423</v>
      </c>
      <c r="D22" s="13" t="s">
        <v>2424</v>
      </c>
      <c r="E22" s="12" t="s">
        <v>120</v>
      </c>
      <c r="F22" s="12" t="s">
        <v>145</v>
      </c>
      <c r="G22" s="13" t="s">
        <v>2425</v>
      </c>
      <c r="H22" s="12" t="s">
        <v>84</v>
      </c>
      <c r="I22" s="12" t="s">
        <v>99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2426</v>
      </c>
      <c r="B23" s="12" t="s">
        <v>2427</v>
      </c>
      <c r="C23" s="12" t="s">
        <v>2428</v>
      </c>
      <c r="D23" s="13" t="s">
        <v>2429</v>
      </c>
      <c r="E23" s="12" t="s">
        <v>120</v>
      </c>
      <c r="F23" s="12" t="s">
        <v>140</v>
      </c>
      <c r="G23" s="13" t="s">
        <v>2430</v>
      </c>
      <c r="H23" s="12" t="s">
        <v>84</v>
      </c>
      <c r="I23" s="12" t="s">
        <v>99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2431</v>
      </c>
      <c r="B24" s="12" t="s">
        <v>2432</v>
      </c>
      <c r="C24" s="12" t="s">
        <v>2423</v>
      </c>
      <c r="D24" s="13" t="s">
        <v>2433</v>
      </c>
      <c r="E24" s="12" t="s">
        <v>120</v>
      </c>
      <c r="F24" s="12" t="s">
        <v>150</v>
      </c>
      <c r="G24" s="13" t="s">
        <v>2394</v>
      </c>
      <c r="H24" s="12" t="s">
        <v>84</v>
      </c>
      <c r="I24" s="12" t="s">
        <v>99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2434</v>
      </c>
      <c r="B25" s="12" t="s">
        <v>1569</v>
      </c>
      <c r="C25" s="12" t="s">
        <v>2435</v>
      </c>
      <c r="D25" s="13" t="s">
        <v>2436</v>
      </c>
      <c r="E25" s="12" t="s">
        <v>120</v>
      </c>
      <c r="F25" s="12" t="s">
        <v>145</v>
      </c>
      <c r="G25" s="13" t="s">
        <v>2425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2437</v>
      </c>
      <c r="B26" s="12" t="s">
        <v>2438</v>
      </c>
      <c r="C26" s="12" t="s">
        <v>768</v>
      </c>
      <c r="D26" s="13" t="s">
        <v>2439</v>
      </c>
      <c r="E26" s="12" t="s">
        <v>120</v>
      </c>
      <c r="F26" s="12" t="s">
        <v>121</v>
      </c>
      <c r="G26" s="13" t="s">
        <v>2440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2441</v>
      </c>
      <c r="B27" s="12" t="s">
        <v>2442</v>
      </c>
      <c r="C27" s="12" t="s">
        <v>2443</v>
      </c>
      <c r="D27" s="13" t="s">
        <v>2444</v>
      </c>
      <c r="E27" s="12" t="s">
        <v>120</v>
      </c>
      <c r="F27" s="12" t="s">
        <v>140</v>
      </c>
      <c r="G27" s="13" t="s">
        <v>2445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2446</v>
      </c>
      <c r="B28" s="12" t="s">
        <v>1517</v>
      </c>
      <c r="C28" s="12" t="s">
        <v>1170</v>
      </c>
      <c r="D28" s="13" t="s">
        <v>2447</v>
      </c>
      <c r="E28" s="12" t="s">
        <v>120</v>
      </c>
      <c r="F28" s="12" t="s">
        <v>140</v>
      </c>
      <c r="G28" s="13" t="s">
        <v>2448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2449</v>
      </c>
      <c r="B29" s="12" t="s">
        <v>2450</v>
      </c>
      <c r="C29" s="12" t="s">
        <v>1170</v>
      </c>
      <c r="D29" s="13" t="s">
        <v>2451</v>
      </c>
      <c r="E29" s="12" t="s">
        <v>120</v>
      </c>
      <c r="F29" s="12" t="s">
        <v>155</v>
      </c>
      <c r="G29" s="13" t="s">
        <v>2413</v>
      </c>
      <c r="H29" s="12" t="s">
        <v>86</v>
      </c>
      <c r="I29" s="12" t="s">
        <v>98</v>
      </c>
      <c r="J29" s="14" t="n">
        <v>46230</v>
      </c>
      <c r="K29" s="13" t="s">
        <v>2452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2453</v>
      </c>
      <c r="B30" s="12" t="s">
        <v>1849</v>
      </c>
      <c r="C30" s="12" t="s">
        <v>1170</v>
      </c>
      <c r="D30" s="13" t="s">
        <v>2454</v>
      </c>
      <c r="E30" s="12" t="s">
        <v>120</v>
      </c>
      <c r="F30" s="12" t="s">
        <v>155</v>
      </c>
      <c r="G30" s="13" t="s">
        <v>2398</v>
      </c>
      <c r="H30" s="12" t="s">
        <v>86</v>
      </c>
      <c r="I30" s="12" t="s">
        <v>98</v>
      </c>
      <c r="J30" s="14" t="n">
        <v>46230</v>
      </c>
      <c r="K30" s="13" t="s">
        <v>2455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2456</v>
      </c>
      <c r="B31" s="12" t="s">
        <v>2457</v>
      </c>
      <c r="C31" s="12" t="s">
        <v>2396</v>
      </c>
      <c r="D31" s="13" t="s">
        <v>2458</v>
      </c>
      <c r="E31" s="12" t="s">
        <v>120</v>
      </c>
      <c r="F31" s="12" t="s">
        <v>155</v>
      </c>
      <c r="G31" s="13" t="s">
        <v>2398</v>
      </c>
      <c r="H31" s="12" t="s">
        <v>86</v>
      </c>
      <c r="I31" s="12" t="s">
        <v>98</v>
      </c>
      <c r="J31" s="14" t="n">
        <v>46230</v>
      </c>
      <c r="K31" s="13" t="s">
        <v>2459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2460</v>
      </c>
      <c r="B32" s="12" t="s">
        <v>148</v>
      </c>
      <c r="C32" s="12" t="s">
        <v>1170</v>
      </c>
      <c r="D32" s="13" t="s">
        <v>2461</v>
      </c>
      <c r="E32" s="12" t="s">
        <v>120</v>
      </c>
      <c r="F32" s="12" t="s">
        <v>150</v>
      </c>
      <c r="G32" s="13" t="s">
        <v>2425</v>
      </c>
      <c r="H32" s="12" t="s">
        <v>84</v>
      </c>
      <c r="I32" s="12" t="s">
        <v>99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2462</v>
      </c>
      <c r="B33" s="12" t="s">
        <v>153</v>
      </c>
      <c r="C33" s="12" t="s">
        <v>1170</v>
      </c>
      <c r="D33" s="13" t="s">
        <v>2463</v>
      </c>
      <c r="E33" s="12" t="s">
        <v>120</v>
      </c>
      <c r="F33" s="12" t="s">
        <v>155</v>
      </c>
      <c r="G33" s="13" t="s">
        <v>2398</v>
      </c>
      <c r="H33" s="12" t="s">
        <v>86</v>
      </c>
      <c r="I33" s="12" t="s">
        <v>98</v>
      </c>
      <c r="J33" s="14" t="n">
        <v>46230</v>
      </c>
      <c r="K33" s="13" t="s">
        <v>2464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2465</v>
      </c>
      <c r="B34" s="12" t="s">
        <v>608</v>
      </c>
      <c r="C34" s="12" t="s">
        <v>1170</v>
      </c>
      <c r="D34" s="13" t="s">
        <v>2466</v>
      </c>
      <c r="E34" s="12" t="s">
        <v>120</v>
      </c>
      <c r="F34" s="12" t="s">
        <v>610</v>
      </c>
      <c r="G34" s="13" t="s">
        <v>2467</v>
      </c>
      <c r="H34" s="12" t="s">
        <v>84</v>
      </c>
      <c r="I34" s="12" t="s">
        <v>99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2468</v>
      </c>
      <c r="B35" s="12" t="s">
        <v>173</v>
      </c>
      <c r="C35" s="12" t="s">
        <v>1170</v>
      </c>
      <c r="D35" s="13" t="s">
        <v>2469</v>
      </c>
      <c r="E35" s="12" t="s">
        <v>120</v>
      </c>
      <c r="F35" s="12" t="s">
        <v>161</v>
      </c>
      <c r="G35" s="13" t="s">
        <v>2470</v>
      </c>
      <c r="H35" s="12" t="s">
        <v>78</v>
      </c>
      <c r="I35" s="12" t="s">
        <v>98</v>
      </c>
      <c r="J35" s="14" t="n">
        <v>46230</v>
      </c>
      <c r="K35" s="13" t="s">
        <v>1793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2471</v>
      </c>
      <c r="B36" s="12" t="s">
        <v>2363</v>
      </c>
      <c r="C36" s="12" t="s">
        <v>68</v>
      </c>
      <c r="D36" s="13" t="s">
        <v>2472</v>
      </c>
      <c r="E36" s="12" t="s">
        <v>120</v>
      </c>
      <c r="F36" s="12" t="s">
        <v>179</v>
      </c>
      <c r="G36" s="13" t="s">
        <v>2473</v>
      </c>
      <c r="H36" s="12" t="s">
        <v>84</v>
      </c>
      <c r="I36" s="12" t="s">
        <v>99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2474</v>
      </c>
      <c r="B37" s="12" t="s">
        <v>182</v>
      </c>
      <c r="C37" s="12" t="s">
        <v>68</v>
      </c>
      <c r="D37" s="13" t="s">
        <v>2475</v>
      </c>
      <c r="E37" s="12" t="s">
        <v>120</v>
      </c>
      <c r="F37" s="12" t="s">
        <v>179</v>
      </c>
      <c r="G37" s="13" t="s">
        <v>2476</v>
      </c>
      <c r="H37" s="12" t="s">
        <v>84</v>
      </c>
      <c r="I37" s="12" t="s">
        <v>99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2477</v>
      </c>
      <c r="B38" s="12" t="s">
        <v>186</v>
      </c>
      <c r="C38" s="12" t="s">
        <v>2377</v>
      </c>
      <c r="D38" s="13" t="s">
        <v>2478</v>
      </c>
      <c r="E38" s="12" t="s">
        <v>188</v>
      </c>
      <c r="F38" s="12" t="s">
        <v>188</v>
      </c>
      <c r="G38" s="13" t="s">
        <v>189</v>
      </c>
      <c r="H38" s="12" t="s">
        <v>84</v>
      </c>
      <c r="I38" s="12" t="s">
        <v>99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2479</v>
      </c>
      <c r="B39" s="12" t="s">
        <v>191</v>
      </c>
      <c r="C39" s="12" t="s">
        <v>68</v>
      </c>
      <c r="D39" s="13" t="s">
        <v>2480</v>
      </c>
      <c r="E39" s="12" t="s">
        <v>120</v>
      </c>
      <c r="F39" s="12" t="s">
        <v>120</v>
      </c>
      <c r="G39" s="13" t="s">
        <v>2481</v>
      </c>
      <c r="H39" s="12" t="s">
        <v>84</v>
      </c>
      <c r="I39" s="12" t="s">
        <v>99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5</v>
      </c>
      <c r="B4" s="6" t="n">
        <f aca="false">COUNTA(A9:A31)</f>
        <v>23</v>
      </c>
      <c r="D4" s="5" t="s">
        <v>102</v>
      </c>
      <c r="E4" s="6" t="n">
        <f aca="false">SUM(M9:M31)</f>
        <v>22</v>
      </c>
      <c r="G4" s="5" t="s">
        <v>13</v>
      </c>
      <c r="H4" s="7" t="n">
        <f aca="false">IF(B4=0,0,E4/B4)</f>
        <v>0.956521739130435</v>
      </c>
      <c r="J4" s="5" t="s">
        <v>14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103</v>
      </c>
      <c r="B5" s="6" t="str">
        <f aca="false">IF(COUNTIFS(I9:I31,"yes",M9:M31,0)&gt;0,"open","complete")</f>
        <v>open</v>
      </c>
      <c r="D5" s="5" t="s">
        <v>15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104</v>
      </c>
      <c r="B8" s="8" t="s">
        <v>105</v>
      </c>
      <c r="C8" s="8" t="s">
        <v>106</v>
      </c>
      <c r="D8" s="8" t="s">
        <v>107</v>
      </c>
      <c r="E8" s="8" t="s">
        <v>108</v>
      </c>
      <c r="F8" s="8" t="s">
        <v>109</v>
      </c>
      <c r="G8" s="8" t="s">
        <v>110</v>
      </c>
      <c r="H8" s="8" t="s">
        <v>111</v>
      </c>
      <c r="I8" s="8" t="s">
        <v>112</v>
      </c>
      <c r="J8" s="11" t="s">
        <v>113</v>
      </c>
      <c r="K8" s="8" t="s">
        <v>114</v>
      </c>
      <c r="L8" s="8" t="s">
        <v>115</v>
      </c>
      <c r="M8" s="8" t="s">
        <v>102</v>
      </c>
    </row>
    <row r="9" customFormat="false" ht="54" hidden="false" customHeight="true" outlineLevel="0" collapsed="false">
      <c r="A9" s="12" t="s">
        <v>1481</v>
      </c>
      <c r="B9" s="12" t="s">
        <v>76</v>
      </c>
      <c r="C9" s="12" t="s">
        <v>1170</v>
      </c>
      <c r="D9" s="13" t="s">
        <v>2484</v>
      </c>
      <c r="E9" s="12" t="s">
        <v>120</v>
      </c>
      <c r="F9" s="12" t="s">
        <v>121</v>
      </c>
      <c r="G9" s="13" t="s">
        <v>2485</v>
      </c>
      <c r="H9" s="12" t="s">
        <v>84</v>
      </c>
      <c r="I9" s="12" t="s">
        <v>99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1484</v>
      </c>
      <c r="B10" s="12" t="s">
        <v>2376</v>
      </c>
      <c r="C10" s="12" t="s">
        <v>1170</v>
      </c>
      <c r="D10" s="13" t="s">
        <v>2486</v>
      </c>
      <c r="E10" s="12" t="s">
        <v>120</v>
      </c>
      <c r="F10" s="12" t="s">
        <v>140</v>
      </c>
      <c r="G10" s="13" t="s">
        <v>2487</v>
      </c>
      <c r="H10" s="12" t="s">
        <v>84</v>
      </c>
      <c r="I10" s="12" t="s">
        <v>99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1488</v>
      </c>
      <c r="B11" s="12" t="s">
        <v>1329</v>
      </c>
      <c r="C11" s="12" t="s">
        <v>2488</v>
      </c>
      <c r="D11" s="13" t="s">
        <v>2489</v>
      </c>
      <c r="E11" s="12" t="s">
        <v>120</v>
      </c>
      <c r="F11" s="12" t="s">
        <v>140</v>
      </c>
      <c r="G11" s="13" t="s">
        <v>2487</v>
      </c>
      <c r="H11" s="12" t="s">
        <v>84</v>
      </c>
      <c r="I11" s="12" t="s">
        <v>99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1490</v>
      </c>
      <c r="B12" s="12" t="s">
        <v>128</v>
      </c>
      <c r="C12" s="12" t="s">
        <v>2385</v>
      </c>
      <c r="D12" s="13" t="s">
        <v>2490</v>
      </c>
      <c r="E12" s="12" t="s">
        <v>120</v>
      </c>
      <c r="F12" s="12" t="s">
        <v>130</v>
      </c>
      <c r="G12" s="13" t="s">
        <v>2491</v>
      </c>
      <c r="H12" s="12" t="s">
        <v>84</v>
      </c>
      <c r="I12" s="12" t="s">
        <v>99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1493</v>
      </c>
      <c r="B13" s="12" t="s">
        <v>124</v>
      </c>
      <c r="C13" s="12" t="s">
        <v>1170</v>
      </c>
      <c r="D13" s="13" t="s">
        <v>2492</v>
      </c>
      <c r="E13" s="12" t="s">
        <v>120</v>
      </c>
      <c r="F13" s="12" t="s">
        <v>120</v>
      </c>
      <c r="G13" s="13" t="s">
        <v>126</v>
      </c>
      <c r="H13" s="12" t="s">
        <v>84</v>
      </c>
      <c r="I13" s="12" t="s">
        <v>99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1496</v>
      </c>
      <c r="B14" s="12" t="s">
        <v>1296</v>
      </c>
      <c r="C14" s="12" t="s">
        <v>768</v>
      </c>
      <c r="D14" s="13" t="s">
        <v>2493</v>
      </c>
      <c r="E14" s="12" t="s">
        <v>120</v>
      </c>
      <c r="F14" s="12" t="s">
        <v>120</v>
      </c>
      <c r="G14" s="13" t="s">
        <v>1298</v>
      </c>
      <c r="H14" s="12" t="s">
        <v>84</v>
      </c>
      <c r="I14" s="12" t="s">
        <v>99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1499</v>
      </c>
      <c r="B15" s="12" t="s">
        <v>1562</v>
      </c>
      <c r="C15" s="12" t="s">
        <v>768</v>
      </c>
      <c r="D15" s="13" t="s">
        <v>2494</v>
      </c>
      <c r="E15" s="12" t="s">
        <v>120</v>
      </c>
      <c r="F15" s="12" t="s">
        <v>140</v>
      </c>
      <c r="G15" s="13" t="s">
        <v>2487</v>
      </c>
      <c r="H15" s="12" t="s">
        <v>84</v>
      </c>
      <c r="I15" s="12" t="s">
        <v>99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1502</v>
      </c>
      <c r="B16" s="12" t="s">
        <v>1119</v>
      </c>
      <c r="C16" s="12" t="s">
        <v>768</v>
      </c>
      <c r="D16" s="13" t="s">
        <v>2495</v>
      </c>
      <c r="E16" s="12" t="s">
        <v>120</v>
      </c>
      <c r="F16" s="12" t="s">
        <v>145</v>
      </c>
      <c r="G16" s="13" t="s">
        <v>2496</v>
      </c>
      <c r="H16" s="12" t="s">
        <v>84</v>
      </c>
      <c r="I16" s="12" t="s">
        <v>99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1506</v>
      </c>
      <c r="B17" s="12" t="s">
        <v>648</v>
      </c>
      <c r="C17" s="12" t="s">
        <v>2497</v>
      </c>
      <c r="D17" s="13" t="s">
        <v>2498</v>
      </c>
      <c r="E17" s="12" t="s">
        <v>120</v>
      </c>
      <c r="F17" s="12" t="s">
        <v>140</v>
      </c>
      <c r="G17" s="13" t="s">
        <v>2487</v>
      </c>
      <c r="H17" s="12" t="s">
        <v>84</v>
      </c>
      <c r="I17" s="12" t="s">
        <v>99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1509</v>
      </c>
      <c r="B18" s="12" t="s">
        <v>2499</v>
      </c>
      <c r="C18" s="12" t="s">
        <v>2497</v>
      </c>
      <c r="D18" s="13" t="s">
        <v>2500</v>
      </c>
      <c r="E18" s="12" t="s">
        <v>120</v>
      </c>
      <c r="F18" s="12" t="s">
        <v>145</v>
      </c>
      <c r="G18" s="13" t="s">
        <v>2496</v>
      </c>
      <c r="H18" s="12" t="s">
        <v>84</v>
      </c>
      <c r="I18" s="12" t="s">
        <v>99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1511</v>
      </c>
      <c r="B19" s="12" t="s">
        <v>2501</v>
      </c>
      <c r="C19" s="12" t="s">
        <v>2502</v>
      </c>
      <c r="D19" s="13" t="s">
        <v>2503</v>
      </c>
      <c r="E19" s="12" t="s">
        <v>120</v>
      </c>
      <c r="F19" s="12" t="s">
        <v>145</v>
      </c>
      <c r="G19" s="13" t="s">
        <v>2496</v>
      </c>
      <c r="H19" s="12" t="s">
        <v>84</v>
      </c>
      <c r="I19" s="12" t="s">
        <v>99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1514</v>
      </c>
      <c r="B20" s="12" t="s">
        <v>159</v>
      </c>
      <c r="C20" s="12" t="s">
        <v>41</v>
      </c>
      <c r="D20" s="13" t="s">
        <v>2504</v>
      </c>
      <c r="E20" s="12" t="s">
        <v>120</v>
      </c>
      <c r="F20" s="12" t="s">
        <v>145</v>
      </c>
      <c r="G20" s="13" t="s">
        <v>2496</v>
      </c>
      <c r="H20" s="12" t="s">
        <v>84</v>
      </c>
      <c r="I20" s="12" t="s">
        <v>99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1516</v>
      </c>
      <c r="B21" s="12" t="s">
        <v>2505</v>
      </c>
      <c r="C21" s="12" t="s">
        <v>2506</v>
      </c>
      <c r="D21" s="13" t="s">
        <v>2507</v>
      </c>
      <c r="E21" s="12" t="s">
        <v>120</v>
      </c>
      <c r="F21" s="12" t="s">
        <v>145</v>
      </c>
      <c r="G21" s="13" t="s">
        <v>2496</v>
      </c>
      <c r="H21" s="12" t="s">
        <v>84</v>
      </c>
      <c r="I21" s="12" t="s">
        <v>99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1520</v>
      </c>
      <c r="B22" s="12" t="s">
        <v>2508</v>
      </c>
      <c r="C22" s="12" t="s">
        <v>1170</v>
      </c>
      <c r="D22" s="13" t="s">
        <v>2509</v>
      </c>
      <c r="E22" s="12" t="s">
        <v>120</v>
      </c>
      <c r="F22" s="12" t="s">
        <v>155</v>
      </c>
      <c r="G22" s="13" t="s">
        <v>2510</v>
      </c>
      <c r="H22" s="12" t="s">
        <v>86</v>
      </c>
      <c r="I22" s="12" t="s">
        <v>98</v>
      </c>
      <c r="J22" s="14" t="n">
        <v>46230</v>
      </c>
      <c r="K22" s="13" t="s">
        <v>2511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1523</v>
      </c>
      <c r="B23" s="12" t="s">
        <v>1849</v>
      </c>
      <c r="C23" s="12" t="s">
        <v>1170</v>
      </c>
      <c r="D23" s="13" t="s">
        <v>2512</v>
      </c>
      <c r="E23" s="12" t="s">
        <v>120</v>
      </c>
      <c r="F23" s="12" t="s">
        <v>155</v>
      </c>
      <c r="G23" s="13" t="s">
        <v>2510</v>
      </c>
      <c r="H23" s="12" t="s">
        <v>86</v>
      </c>
      <c r="I23" s="12" t="s">
        <v>98</v>
      </c>
      <c r="J23" s="14" t="n">
        <v>46230</v>
      </c>
      <c r="K23" s="13" t="s">
        <v>2513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1527</v>
      </c>
      <c r="B24" s="12" t="s">
        <v>153</v>
      </c>
      <c r="C24" s="12" t="s">
        <v>1170</v>
      </c>
      <c r="D24" s="13" t="s">
        <v>2514</v>
      </c>
      <c r="E24" s="12" t="s">
        <v>120</v>
      </c>
      <c r="F24" s="12" t="s">
        <v>155</v>
      </c>
      <c r="G24" s="13" t="s">
        <v>2510</v>
      </c>
      <c r="H24" s="12" t="s">
        <v>86</v>
      </c>
      <c r="I24" s="12" t="s">
        <v>98</v>
      </c>
      <c r="J24" s="14" t="n">
        <v>46231</v>
      </c>
      <c r="K24" s="13" t="s">
        <v>2515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1530</v>
      </c>
      <c r="B25" s="12" t="s">
        <v>148</v>
      </c>
      <c r="C25" s="12" t="s">
        <v>1170</v>
      </c>
      <c r="D25" s="13" t="s">
        <v>2516</v>
      </c>
      <c r="E25" s="12" t="s">
        <v>120</v>
      </c>
      <c r="F25" s="12" t="s">
        <v>150</v>
      </c>
      <c r="G25" s="13" t="s">
        <v>2496</v>
      </c>
      <c r="H25" s="12" t="s">
        <v>84</v>
      </c>
      <c r="I25" s="12" t="s">
        <v>99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1532</v>
      </c>
      <c r="B26" s="12" t="s">
        <v>608</v>
      </c>
      <c r="C26" s="12" t="s">
        <v>1170</v>
      </c>
      <c r="D26" s="13" t="s">
        <v>2517</v>
      </c>
      <c r="E26" s="12" t="s">
        <v>120</v>
      </c>
      <c r="F26" s="12" t="s">
        <v>610</v>
      </c>
      <c r="G26" s="13" t="s">
        <v>2518</v>
      </c>
      <c r="H26" s="12" t="s">
        <v>84</v>
      </c>
      <c r="I26" s="12" t="s">
        <v>99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1534</v>
      </c>
      <c r="B27" s="12" t="s">
        <v>2363</v>
      </c>
      <c r="C27" s="12" t="s">
        <v>69</v>
      </c>
      <c r="D27" s="13" t="s">
        <v>2519</v>
      </c>
      <c r="E27" s="12" t="s">
        <v>120</v>
      </c>
      <c r="F27" s="12" t="s">
        <v>179</v>
      </c>
      <c r="G27" s="13" t="s">
        <v>2520</v>
      </c>
      <c r="H27" s="12" t="s">
        <v>84</v>
      </c>
      <c r="I27" s="12" t="s">
        <v>99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1537</v>
      </c>
      <c r="B28" s="12" t="s">
        <v>182</v>
      </c>
      <c r="C28" s="12" t="s">
        <v>69</v>
      </c>
      <c r="D28" s="13" t="s">
        <v>2521</v>
      </c>
      <c r="E28" s="12" t="s">
        <v>120</v>
      </c>
      <c r="F28" s="12" t="s">
        <v>179</v>
      </c>
      <c r="G28" s="13" t="s">
        <v>2522</v>
      </c>
      <c r="H28" s="12" t="s">
        <v>84</v>
      </c>
      <c r="I28" s="12" t="s">
        <v>99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1540</v>
      </c>
      <c r="B29" s="12" t="s">
        <v>186</v>
      </c>
      <c r="C29" s="12" t="s">
        <v>69</v>
      </c>
      <c r="D29" s="13" t="s">
        <v>2523</v>
      </c>
      <c r="E29" s="12" t="s">
        <v>188</v>
      </c>
      <c r="F29" s="12" t="s">
        <v>188</v>
      </c>
      <c r="G29" s="13" t="s">
        <v>2524</v>
      </c>
      <c r="H29" s="12" t="s">
        <v>84</v>
      </c>
      <c r="I29" s="12" t="s">
        <v>99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1542</v>
      </c>
      <c r="B30" s="12" t="s">
        <v>173</v>
      </c>
      <c r="C30" s="12" t="s">
        <v>1170</v>
      </c>
      <c r="D30" s="13" t="s">
        <v>2525</v>
      </c>
      <c r="E30" s="12" t="s">
        <v>120</v>
      </c>
      <c r="F30" s="12" t="s">
        <v>161</v>
      </c>
      <c r="G30" s="13" t="s">
        <v>2526</v>
      </c>
      <c r="H30" s="12" t="s">
        <v>78</v>
      </c>
      <c r="I30" s="12" t="s">
        <v>98</v>
      </c>
      <c r="J30" s="14" t="n">
        <v>46230</v>
      </c>
      <c r="K30" s="13" t="s">
        <v>1793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2527</v>
      </c>
      <c r="B31" s="12" t="s">
        <v>191</v>
      </c>
      <c r="C31" s="12" t="s">
        <v>69</v>
      </c>
      <c r="D31" s="13" t="s">
        <v>2528</v>
      </c>
      <c r="E31" s="12" t="s">
        <v>120</v>
      </c>
      <c r="F31" s="12" t="s">
        <v>120</v>
      </c>
      <c r="G31" s="13" t="s">
        <v>2529</v>
      </c>
      <c r="H31" s="12" t="s">
        <v>84</v>
      </c>
      <c r="I31" s="12" t="s">
        <v>99</v>
      </c>
      <c r="J31" s="14" t="n">
        <v>46231</v>
      </c>
      <c r="K31" s="13" t="s">
        <v>2530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2026-07-28T02:43:38Z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