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</sheets>
  <definedNames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Dialog!$A$1:$M$34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Dialog!$A$8:$M$34</definedName>
    <definedName function="false" hidden="false" localSheetId="0" name="_xlnm.Print_Area" vbProcedure="false">Index!$A$1:$N$10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<sst xmlns="http://schemas.openxmlformats.org/spreadsheetml/2006/main" count="869" uniqueCount="285">
  <si>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</si>
  <si>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</si>
  <si>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</si>
  <si>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</si>
  <si>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</si>
  <si>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</si>
  <si>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</si>
  <si>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</si>
  <si>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</si>
  <si>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</si>
  <si>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</si>
  <si>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</si>
  <si>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</si>
  <si>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</si>
  <si>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</si>
  <si>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</si>
  <si>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</si>
  <si>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</si>
  <si>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</si>
  <si>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</si>
  <si>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</si>
  <si>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</si>
  <si>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</si>
  <si>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</si>
  <si>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</si>
  <si>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</si>
  <si>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</si>
  <si>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</si>
  <si>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</si>
  <si>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</si>
  <si>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</si>
  <si>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</si>
  <si>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</si>
  <si>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</si>
  <si>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</si>
  <si>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</si>
  <si>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</si>
  <si>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</si>
  <si>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</si>
  <si>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</si>
  <si>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</si>
  <si>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</si>
  <si>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values, keep evidence links short, record blocker and not-applicable reasons, recalculate,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</si>
  <si>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</si>
  <si>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</si>
  <si>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</si>
  <si>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</si>
  <si>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</si>
  <si>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</si>
  <si>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</si>
  <si>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</si>
  <si>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</si>
  <si>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</si>
  <si>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</si>
  <si>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</si>
  <si>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</si>
  <si>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</si>
  <si>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</si>
  <si>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</si>
  <si>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</si>
  <si>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</si>
  <si>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</si>
  <si>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</si>
  <si>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</si>
  <si>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</si>
  <si>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</si>
  <si>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</si>
  <si>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</si>
  <si>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</si>
  <si>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</si>
  <si>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</si>
  <si>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</si>
  <si>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</si>
  <si>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</si>
  <si>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</si>
  <si>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</si>
  <si>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</si>
  <si>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</si>
  <si>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</si>
  <si>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</si>
  <si>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</si>
  <si>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</si>
  <si>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</si>
  <si>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</si>
  <si>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</si>
  <si>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</si>
  <si>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</si>
  <si>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</si>
  <si>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</si>
  <si>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</si>
  <si>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</si>
  <si>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</si>
  <si>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</si>
  <si>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</si>
  <si>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</si>
  <si>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</si>
  <si>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</si>
  <si>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</si>
  <si>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</si>
  <si>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</si>
  <si>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</si>
  <si>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</si>
  <si>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</si>
  <si>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</si>
  <si>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</si>
  <si>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</si>
  <si>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</si>
  <si>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</si>
  <si>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</si>
  <si>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</si>
  <si>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</si>
  <si>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</si>
  <si>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</si>
  <si>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</si>
  <si>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</si>
  <si>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</si>
  <si>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</si>
  <si>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</si>
  <si>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</si>
  <si>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</si>
  <si>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</si>
  <si>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</si>
  <si>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</si>
  <si>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</si>
  <si>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</si>
  <si>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</si>
  <si>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</si>
  <si>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</si>
  <si>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</si>
  <si>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</si>
  <si>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</si>
  <si>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</si>
  <si>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</si>
  <si>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</si>
  <si>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</si>
  <si>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</si>
  <si>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</si>
  <si>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</si>
  <si>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</si>
  <si>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</si>
  <si>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</si>
  <si>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</si>
  <si>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</si>
  <si>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</si>
  <si>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</si>
  <si>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</si>
  <si>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</si>
  <si>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</si>
  <si>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</si>
  <si>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</si>
  <si>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</si>
  <si>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</si>
  <si>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</si>
  <si>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</si>
  <si>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</si>
  <si>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</si>
  <si>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</si>
  <si>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</si>
  <si>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</si>
  <si>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</si>
  <si>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</si>
  <si>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</si>
  <si>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</si>
  <si>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</si>
  <si>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</si>
  <si>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</si>
  <si>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</si>
  <si>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</si>
  <si>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</si>
  <si>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</si>
  <si>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</si>
  <si>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</si>
  <si>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</si>
  <si>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</si>
  <si>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</si>
  <si>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</si>
  <si>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</si>
  <si>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</si>
  <si>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</si>
  <si>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</si>
  <si>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</si>
  <si>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</si>
  <si>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</si>
  <si>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</si>
  <si>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</si>
  <si>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</si>
  <si>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</si>
  <si>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</si>
  <si>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</si>
  <si>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</si>
  <si>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</si>
  <si>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</si>
  <si>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</si>
  <si>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</si>
  <si>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</si>
  <si>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</si>
  <si>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</si>
  <si>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</si>
  <si>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</si>
  <si>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</si>
  <si>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</si>
  <si>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</si>
  <si>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</si>
  <si>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</si>
  <si>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</si>
  <si>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</si>
  <si>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</si>
  <si>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</si>
  <si>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</si>
  <si>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</si>
  <si>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</si>
  <si>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</si>
  <si>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</si>
  <si>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</si>
  <si>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</si>
  <si>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</si>
  <si>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</si>
  <si>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</si>
  <si>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</si>
  <si>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</si>
  <si>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</si>
  <si>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</si>
  <si>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</si>
  <si>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</si>
  <si>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</si>
  <si>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</si>
  <si>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</si>
  <si>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</si>
  <si>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</si>
  <si>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</si>
  <si>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</si>
  <si>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</si>
  <si>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</si>
  <si>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</si>
  <si>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</si>
  <si>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</si>
  <si>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</si>
  <si>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</si>
  <si>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</si>
  <si>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</si>
  <si>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</si>
  <si>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</si>
  <si>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</si>
  <si>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</si>
  <si>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</si>
  <si>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Common requirements from Brick's adopted quality contract. Add approved anatomy and component-specific rows after the component brief lands.</t>
  </si>
  <si>
    <t xml:space="preserve">DIA-01</t>
  </si>
  <si>
    <t xml:space="preserve">Implementation uses public Atom behavior without Core or local headless wrappers</t>
  </si>
  <si>
    <t xml:space="preserve">DIA-02</t>
  </si>
  <si>
    <t xml:space="preserve">Atom capability audit covers mobile behavior and every Atom-owned gap is resolved through a released dependency</t>
  </si>
  <si>
    <t xml:space="preserve">DIA-03</t>
  </si>
  <si>
    <t xml:space="preserve">Public export and declaration surface match the approved brief</t>
  </si>
  <si>
    <t xml:space="preserve">DIA-04</t>
  </si>
  <si>
    <t xml:space="preserve">Native props, refs, composition, and public slots follow the adopted API contract</t>
  </si>
  <si>
    <t xml:space="preserve">DIA-05</t>
  </si>
  <si>
    <t xml:space="preserve">DIA-06</t>
  </si>
  <si>
    <t xml:space="preserve">Default recipe and every approved visual option are implemented</t>
  </si>
  <si>
    <t xml:space="preserve">DIA-07</t>
  </si>
  <si>
    <t xml:space="preserve">DIA-08</t>
  </si>
  <si>
    <t xml:space="preserve">Every public recipe, size, and important state</t>
  </si>
  <si>
    <t xml:space="preserve">DIA-09</t>
  </si>
  <si>
    <t xml:space="preserve">DIA-10</t>
  </si>
  <si>
    <t xml:space="preserve">Light, dark, and relevant preference modes</t>
  </si>
  <si>
    <t xml:space="preserve">DIA-11</t>
  </si>
  <si>
    <t xml:space="preserve">DIA-12</t>
  </si>
  <si>
    <t xml:space="preserve">Token, className, style, slot, and documented part customization</t>
  </si>
  <si>
    <t xml:space="preserve">DIA-13</t>
  </si>
  <si>
    <t xml:space="preserve">DIA-14</t>
  </si>
  <si>
    <t xml:space="preserve">DIA-15</t>
  </si>
  <si>
    <t xml:space="preserve">Public type and declaration fixtures</t>
  </si>
  <si>
    <t xml:space="preserve">DIA-16</t>
  </si>
  <si>
    <t xml:space="preserve">DIA-17</t>
  </si>
  <si>
    <t xml:space="preserve">DIA-18</t>
  </si>
  <si>
    <t xml:space="preserve">DIA-19</t>
  </si>
  <si>
    <t xml:space="preserve">DIA-20</t>
  </si>
  <si>
    <t xml:space="preserve">SSR or server-safe consumer behavior where applicable</t>
  </si>
  <si>
    <t xml:space="preserve">DIA-21</t>
  </si>
  <si>
    <t xml:space="preserve">DIA-22</t>
  </si>
  <si>
    <t xml:space="preserve">DIA-23</t>
  </si>
  <si>
    <t xml:space="preserve">DIA-24</t>
  </si>
  <si>
    <t xml:space="preserve">DIA-25</t>
  </si>
  <si>
    <t xml:space="preserve">DIA-26</t>
  </si>
  <si>
    <t xml:space="preserve">partial</t>
  </si>
  <si>
    <t xml:space="preserve">implemented</t>
  </si>
  <si>
    <t xml:space="preserve">not applicable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</si>
</sst>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6D28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0" headerRowCount="1" totalsRowCount="0" totalsRowShown="0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Library/Mobile%20Documents/com~apple~CloudDocs/DEVELOPER/FLOWSTACK/templateflow/packages/brick-ui/package/playground/component-coverag" TargetMode="External"/><Relationship Id="rId2" Type="http://schemas.openxmlformats.org/officeDocument/2006/relationships/hyperlink" Target="../../../Users/willdonin/Library/Mobile%20Documents/com~apple~CloudDocs/DEVELOPER/FLOWSTACK/templateflow/packages/brick-ui/package/playground/component-coverag" TargetMode="External"/><Relationship Id="rId3" Type="http://schemas.openxmlformats.org/officeDocument/2006/relationships/hyperlink" Target="../../../Users/willdonin/Library/Mobile%20Documents/com~apple~CloudDocs/DEVELOPER/FLOWSTACK/templateflow/packages/brick-ui/package/playground/component-coverag" TargetMode="External"/><Relationship Id="rId4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src/components/button/Button.tsx" TargetMode="External"/><Relationship Id="rId2" Type="http://schemas.openxmlformats.org/officeDocument/2006/relationships/hyperlink" Target="../../docs/button-component-brief.md" TargetMode="External"/><Relationship Id="rId3" Type="http://schemas.openxmlformats.org/officeDocument/2006/relationships/hyperlink" Target="../src/button.ts" TargetMode="External"/><Relationship Id="rId4" Type="http://schemas.openxmlformats.org/officeDocument/2006/relationships/hyperlink" Target="../test/components/button.test.tsx" TargetMode="External"/><Relationship Id="rId5" Type="http://schemas.openxmlformats.org/officeDocument/2006/relationships/hyperlink" Target="../src/components/button/button.css" TargetMode="External"/><Relationship Id="rId6" Type="http://schemas.openxmlformats.org/officeDocument/2006/relationships/hyperlink" Target="manual-tests/button.md" TargetMode="External"/><Relationship Id="rId7" Type="http://schemas.openxmlformats.org/officeDocument/2006/relationships/hyperlink" Target="manual-tests/button.md" TargetMode="External"/><Relationship Id="rId8" Type="http://schemas.openxmlformats.org/officeDocument/2006/relationships/hyperlink" Target="manual-tests/button.md" TargetMode="External"/><Relationship Id="rId9" Type="http://schemas.openxmlformats.org/officeDocument/2006/relationships/hyperlink" Target="manual-tests/button.md" TargetMode="External"/><Relationship Id="rId10" Type="http://schemas.openxmlformats.org/officeDocument/2006/relationships/hyperlink" Target="tests/preferences.spec.ts" TargetMode="External"/><Relationship Id="rId11" Type="http://schemas.openxmlformats.org/officeDocument/2006/relationships/hyperlink" Target="manual-tests/button.md" TargetMode="External"/><Relationship Id="rId12" Type="http://schemas.openxmlformats.org/officeDocument/2006/relationships/hyperlink" Target="manual-tests/button.md" TargetMode="External"/><Relationship Id="rId13" Type="http://schemas.openxmlformats.org/officeDocument/2006/relationships/hyperlink" Target="tests/button.spec.ts" TargetMode="External"/><Relationship Id="rId14" Type="http://schemas.openxmlformats.org/officeDocument/2006/relationships/hyperlink" Target="../test/components/button.test.tsx" TargetMode="External"/><Relationship Id="rId15" Type="http://schemas.openxmlformats.org/officeDocument/2006/relationships/hyperlink" Target="../test/types/public-api.test.ts" TargetMode="External"/><Relationship Id="rId16" Type="http://schemas.openxmlformats.org/officeDocument/2006/relationships/hyperlink" Target="tests/button.spec.ts" TargetMode="External"/><Relationship Id="rId17" Type="http://schemas.openxmlformats.org/officeDocument/2006/relationships/hyperlink" Target="tests/foundation.spec.ts" TargetMode="External"/><Relationship Id="rId18" Type="http://schemas.openxmlformats.org/officeDocument/2006/relationships/hyperlink" Target="tests/visual.spec.ts" TargetMode="External"/><Relationship Id="rId19" Type="http://schemas.openxmlformats.org/officeDocument/2006/relationships/hyperlink" Target="../../playwright.config.ts" TargetMode="External"/><Relationship Id="rId20" Type="http://schemas.openxmlformats.org/officeDocument/2006/relationships/hyperlink" Target="../scripts/verify-consumers.mjs" TargetMode="External"/><Relationship Id="rId21" Type="http://schemas.openxmlformats.org/officeDocument/2006/relationships/hyperlink" Target="manual-tests/button.md" TargetMode="External"/><Relationship Id="rId22" Type="http://schemas.openxmlformats.org/officeDocument/2006/relationships/hyperlink" Target="manual-tests/button.md" TargetMode="External"/><Relationship Id="rId23" Type="http://schemas.openxmlformats.org/officeDocument/2006/relationships/hyperlink" Target="../docs/components/button/README.md" TargetMode="External"/><Relationship Id="rId24" Type="http://schemas.openxmlformats.org/officeDocument/2006/relationships/hyperlink" Target="../docs/components/button/CHANGELOG.md" TargetMode="External"/><Relationship Id="rId25" Type="http://schemas.openxmlformats.org/officeDocument/2006/relationships/hyperlink" Target="../../../../apps/brick-consumer/tests/consumer.spec.ts" TargetMode="External"/><Relationship Id="rId26" Type="http://schemas.openxmlformats.org/officeDocument/2006/relationships/drawing" Target="../drawings/drawing2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src/components/card/Card.tsx" TargetMode="External"/><Relationship Id="rId2" Type="http://schemas.openxmlformats.org/officeDocument/2006/relationships/hyperlink" Target="../../docs/card-component-brief.md" TargetMode="External"/><Relationship Id="rId3" Type="http://schemas.openxmlformats.org/officeDocument/2006/relationships/hyperlink" Target="../src/card.ts" TargetMode="External"/><Relationship Id="rId4" Type="http://schemas.openxmlformats.org/officeDocument/2006/relationships/hyperlink" Target="../test/components/card.test.tsx" TargetMode="External"/><Relationship Id="rId5" Type="http://schemas.openxmlformats.org/officeDocument/2006/relationships/hyperlink" Target="../test/components/card.test.tsx" TargetMode="External"/><Relationship Id="rId6" Type="http://schemas.openxmlformats.org/officeDocument/2006/relationships/hyperlink" Target="manual-tests/card.md" TargetMode="External"/><Relationship Id="rId7" Type="http://schemas.openxmlformats.org/officeDocument/2006/relationships/hyperlink" Target="../test/components/card.test.tsx" TargetMode="External"/><Relationship Id="rId8" Type="http://schemas.openxmlformats.org/officeDocument/2006/relationships/hyperlink" Target="../test/components/card.test.tsx" TargetMode="External"/><Relationship Id="rId9" Type="http://schemas.openxmlformats.org/officeDocument/2006/relationships/hyperlink" Target="tests/card.spec.ts" TargetMode="External"/><Relationship Id="rId10" Type="http://schemas.openxmlformats.org/officeDocument/2006/relationships/hyperlink" Target="../test/components/card.test.tsx" TargetMode="External"/><Relationship Id="rId11" Type="http://schemas.openxmlformats.org/officeDocument/2006/relationships/hyperlink" Target="manual-tests/card.md" TargetMode="External"/><Relationship Id="rId12" Type="http://schemas.openxmlformats.org/officeDocument/2006/relationships/hyperlink" Target="../src/components/card/card.css" TargetMode="External"/><Relationship Id="rId13" Type="http://schemas.openxmlformats.org/officeDocument/2006/relationships/hyperlink" Target="manual-tests/card.md" TargetMode="External"/><Relationship Id="rId14" Type="http://schemas.openxmlformats.org/officeDocument/2006/relationships/hyperlink" Target="manual-tests/card.md" TargetMode="External"/><Relationship Id="rId15" Type="http://schemas.openxmlformats.org/officeDocument/2006/relationships/hyperlink" Target="tests/card.spec.ts" TargetMode="External"/><Relationship Id="rId16" Type="http://schemas.openxmlformats.org/officeDocument/2006/relationships/hyperlink" Target="manual-tests/card.md" TargetMode="External"/><Relationship Id="rId17" Type="http://schemas.openxmlformats.org/officeDocument/2006/relationships/hyperlink" Target="tests/preferences.spec.ts" TargetMode="External"/><Relationship Id="rId18" Type="http://schemas.openxmlformats.org/officeDocument/2006/relationships/hyperlink" Target="manual-tests/card.md" TargetMode="External"/><Relationship Id="rId19" Type="http://schemas.openxmlformats.org/officeDocument/2006/relationships/hyperlink" Target="manual-tests/card.md" TargetMode="External"/><Relationship Id="rId20" Type="http://schemas.openxmlformats.org/officeDocument/2006/relationships/hyperlink" Target="tests/card.spec.ts" TargetMode="External"/><Relationship Id="rId21" Type="http://schemas.openxmlformats.org/officeDocument/2006/relationships/hyperlink" Target="../test/components/card.test.tsx" TargetMode="External"/><Relationship Id="rId22" Type="http://schemas.openxmlformats.org/officeDocument/2006/relationships/hyperlink" Target="../test/types/public-api.test.ts" TargetMode="External"/><Relationship Id="rId23" Type="http://schemas.openxmlformats.org/officeDocument/2006/relationships/hyperlink" Target="tests/card.spec.ts" TargetMode="External"/><Relationship Id="rId24" Type="http://schemas.openxmlformats.org/officeDocument/2006/relationships/hyperlink" Target="tests/foundation.spec.ts" TargetMode="External"/><Relationship Id="rId25" Type="http://schemas.openxmlformats.org/officeDocument/2006/relationships/hyperlink" Target="tests/visual.spec.ts" TargetMode="External"/><Relationship Id="rId26" Type="http://schemas.openxmlformats.org/officeDocument/2006/relationships/hyperlink" Target="../playwright.config.ts" TargetMode="External"/><Relationship Id="rId27" Type="http://schemas.openxmlformats.org/officeDocument/2006/relationships/hyperlink" Target="../test/package/ssr.test.mjs" TargetMode="External"/><Relationship Id="rId28" Type="http://schemas.openxmlformats.org/officeDocument/2006/relationships/hyperlink" Target="manual-tests/card.md" TargetMode="External"/><Relationship Id="rId29" Type="http://schemas.openxmlformats.org/officeDocument/2006/relationships/hyperlink" Target="manual-tests/card.md" TargetMode="External"/><Relationship Id="rId30" Type="http://schemas.openxmlformats.org/officeDocument/2006/relationships/hyperlink" Target="../docs/components/card/README.md" TargetMode="External"/><Relationship Id="rId31" Type="http://schemas.openxmlformats.org/officeDocument/2006/relationships/hyperlink" Target="../docs/components/card/CHANGELOG.md" TargetMode="External"/><Relationship Id="rId32" Type="http://schemas.openxmlformats.org/officeDocument/2006/relationships/hyperlink" Target="../../../../apps/brick-consumer/tests/consumer.spec.ts" TargetMode="External"/><Relationship Id="rId33" Type="http://schemas.openxmlformats.org/officeDocument/2006/relationships/hyperlink" Target="../../docs/core-dependency-ledger.md" TargetMode="External"/><Relationship Id="rId34" Type="http://schemas.openxmlformats.org/officeDocument/2006/relationships/drawing" Target="../drawings/drawing3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COUNTA(A8:A10)</f>
        <v>3</v>
      </c>
      <c r="C4" s="4" t="s">
        <v>3</v>
      </c>
      <c r="D4" s="5" t="n">
        <f aca="false">COUNTIF(M8:M10,"complete")</f>
        <v>0</v>
      </c>
      <c r="E4" s="4" t="s">
        <v>4</v>
      </c>
      <c r="F4" s="5" t="n">
        <f aca="false">SUM(H8:H10)</f>
        <v>1</v>
      </c>
      <c r="G4" s="4" t="s">
        <v>5</v>
      </c>
      <c r="H4" s="6" t="n">
        <f aca="false">IFERROR(SUMPRODUCT(B8:B10,J8:J10)/SUM(B8:B10),0)</f>
        <v>0.670588235294118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COUNTA(Dialog!A9:A34)</f>
        <v>26</v>
      </c>
      <c r="C10" s="8" t="n">
        <f aca="false">COUNTIF(Dialog!H9:H34,"not started")</f>
        <v>26</v>
      </c>
      <c r="D10" s="8" t="n">
        <f aca="false">COUNTIF(Dialog!H9:H34,"partial")</f>
        <v>0</v>
      </c>
      <c r="E10" s="8" t="n">
        <f aca="false">COUNTIF(Dialog!H9:H34,"implemented")</f>
        <v>0</v>
      </c>
      <c r="F10" s="8" t="n">
        <f aca="false">COUNTIF(Dialog!H9:H34,"tested")</f>
        <v>0</v>
      </c>
      <c r="G10" s="8" t="n">
        <f aca="false">COUNTIF(Dialog!H9:H34,"verified")</f>
        <v>0</v>
      </c>
      <c r="H10" s="8" t="n">
        <f aca="false">COUNTIF(Dialog!H9:H34,"blocked")</f>
        <v>0</v>
      </c>
      <c r="I10" s="8" t="n">
        <f aca="false">COUNTIF(Dialog!H9:H34,"not applicable")</f>
        <v>0</v>
      </c>
      <c r="J10" s="9" t="n">
        <f aca="false">IFERROR(SUM(Dialog!M9:M34)/SUM(Dialog!L9:L34),0)</f>
        <v>0</v>
      </c>
      <c r="K10" s="8" t="str">
        <f aca="false">IF(COUNTIFS(Dialog!E9:E34,"package",Dialog!M9:M34,"&lt;1")=0,"complete","open")</f>
        <v>open</v>
      </c>
      <c r="L10" s="8" t="str">
        <f aca="false">IF(COUNTIFS(Dialog!E9:E34,"consumer",Dialog!M9:M34,"&lt;1")=0,"complete","open")</f>
        <v>open</v>
      </c>
      <c r="M10" s="8" t="str">
        <f aca="false">IF(COUNTIFS(Dialog!E9:E34,"retirement",Dialog!M9:M34,"&lt;1")=0,"complete","open")</f>
        <v>open</v>
      </c>
      <c r="N10" s="8" t="str">
        <f aca="false">IF(H10&gt;0,"blocked",IF(AND(J10=1,K10="complete",L10="complete",M10="complete"),"complete",IF(J10=0,"not started","in progress")))</f>
        <v>not started</v>
      </c>
    </row>
  </sheetData>
  <mergeCells count="2">
    <mergeCell ref="A1:N1"/>
    <mergeCell ref="A2:N2"/>
  </mergeCells>
  <conditionalFormatting sqref="N8:N10">
    <cfRule type="expression" priority="2" aboveAverage="0" equalAverage="0" bottom="0" percent="0" rank="0" text="" dxfId="8">
      <formula>$N8="not started"</formula>
    </cfRule>
    <cfRule type="expression" priority="3" aboveAverage="0" equalAverage="0" bottom="0" percent="0" rank="0" text="" dxfId="9">
      <formula>$N8="partial"</formula>
    </cfRule>
    <cfRule type="expression" priority="4" aboveAverage="0" equalAverage="0" bottom="0" percent="0" rank="0" text="" dxfId="10">
      <formula>$N8="implemented"</formula>
    </cfRule>
    <cfRule type="expression" priority="5" aboveAverage="0" equalAverage="0" bottom="0" percent="0" rank="0" text="" dxfId="11">
      <formula>$N8="tested"</formula>
    </cfRule>
    <cfRule type="expression" priority="6" aboveAverage="0" equalAverage="0" bottom="0" percent="0" rank="0" text="" dxfId="12">
      <formula>$N8="verified"</formula>
    </cfRule>
    <cfRule type="expression" priority="7" aboveAverage="0" equalAverage="0" bottom="0" percent="0" rank="0" text="" dxfId="13">
      <formula>$N8="blocked"</formula>
    </cfRule>
    <cfRule type="expression" priority="8" aboveAverage="0" equalAverage="0" bottom="0" percent="0" rank="0" text="" dxfId="14">
      <formula>$N8="not applicable"</formula>
    </cfRule>
  </conditionalFormatting>
  <hyperlinks>
    <hyperlink ref="A8" r:id="rId1" location="'Button'!A1" display="Button"/>
    <hyperlink ref="A9" r:id="rId2" location="'Card'!A1" display="Card"/>
    <hyperlink ref="A10" r:id="rId3" location="'Dialog'!A1" display="Dia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22</v>
      </c>
      <c r="B1" s="2"/>
      <c r="C1" s="2"/>
      <c r="D1" s="2"/>
    </row>
    <row r="2" customFormat="false" ht="33.75" hidden="false" customHeight="true" outlineLevel="0" collapsed="false">
      <c r="A2" s="3" t="s">
        <v>23</v>
      </c>
      <c r="B2" s="3"/>
      <c r="C2" s="3"/>
      <c r="D2" s="3"/>
    </row>
    <row r="4" customFormat="false" ht="15" hidden="false" customHeight="true" outlineLevel="0" collapsed="false">
      <c r="A4" s="7" t="s">
        <v>24</v>
      </c>
      <c r="B4" s="7" t="s">
        <v>25</v>
      </c>
    </row>
    <row r="5" customFormat="false" ht="30" hidden="false" customHeight="true" outlineLevel="0" collapsed="false">
      <c r="A5" s="10" t="s">
        <v>26</v>
      </c>
      <c r="B5" s="11" t="s">
        <v>27</v>
      </c>
    </row>
    <row r="6" customFormat="false" ht="30" hidden="false" customHeight="true" outlineLevel="0" collapsed="false">
      <c r="A6" s="12" t="s">
        <v>18</v>
      </c>
      <c r="B6" s="13" t="s">
        <v>28</v>
      </c>
    </row>
    <row r="7" customFormat="false" ht="30" hidden="false" customHeight="true" outlineLevel="0" collapsed="false">
      <c r="A7" s="10" t="s">
        <v>18</v>
      </c>
      <c r="B7" s="11" t="s">
        <v>29</v>
      </c>
    </row>
    <row r="8" customFormat="false" ht="30" hidden="false" customHeight="true" outlineLevel="0" collapsed="false">
      <c r="A8" s="12" t="s">
        <v>18</v>
      </c>
      <c r="B8" s="13" t="s">
        <v>30</v>
      </c>
    </row>
    <row r="9" customFormat="false" ht="30" hidden="false" customHeight="true" outlineLevel="0" collapsed="false">
      <c r="A9" s="10" t="s">
        <v>18</v>
      </c>
      <c r="B9" s="11" t="s">
        <v>31</v>
      </c>
    </row>
    <row r="10" customFormat="false" ht="30" hidden="false" customHeight="true" outlineLevel="0" collapsed="false">
      <c r="A10" s="12" t="s">
        <v>18</v>
      </c>
      <c r="B10" s="13" t="s">
        <v>32</v>
      </c>
    </row>
    <row r="11" customFormat="false" ht="30" hidden="false" customHeight="true" outlineLevel="0" collapsed="false">
      <c r="A11" s="10" t="s">
        <v>18</v>
      </c>
      <c r="B11" s="11" t="s">
        <v>33</v>
      </c>
    </row>
    <row r="12" customFormat="false" ht="30" hidden="false" customHeight="true" outlineLevel="0" collapsed="false">
      <c r="A12" s="12" t="s">
        <v>18</v>
      </c>
      <c r="B12" s="13" t="s">
        <v>34</v>
      </c>
    </row>
    <row r="13" customFormat="false" ht="30" hidden="false" customHeight="true" outlineLevel="0" collapsed="false">
      <c r="A13" s="10" t="s">
        <v>14</v>
      </c>
      <c r="B13" s="11" t="s">
        <v>35</v>
      </c>
    </row>
    <row r="14" customFormat="false" ht="30" hidden="false" customHeight="true" outlineLevel="0" collapsed="false">
      <c r="A14" s="12" t="s">
        <v>15</v>
      </c>
      <c r="B14" s="13" t="s">
        <v>36</v>
      </c>
    </row>
    <row r="15" customFormat="false" ht="30" hidden="false" customHeight="true" outlineLevel="0" collapsed="false">
      <c r="A15" s="10" t="s">
        <v>16</v>
      </c>
      <c r="B15" s="11" t="s">
        <v>37</v>
      </c>
    </row>
    <row r="16" customFormat="false" ht="30" hidden="false" customHeight="true" outlineLevel="0" collapsed="false">
      <c r="A16" s="12" t="s">
        <v>17</v>
      </c>
      <c r="B16" s="13" t="s">
        <v>38</v>
      </c>
    </row>
    <row r="17" customFormat="false" ht="30" hidden="false" customHeight="true" outlineLevel="0" collapsed="false">
      <c r="A17" s="10" t="s">
        <v>39</v>
      </c>
      <c r="B17" s="11" t="s">
        <v>40</v>
      </c>
    </row>
    <row r="18" customFormat="false" ht="30" hidden="false" customHeight="true" outlineLevel="0" collapsed="false">
      <c r="A18" s="12" t="s">
        <v>41</v>
      </c>
      <c r="B18" s="13" t="s">
        <v>42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58</v>
      </c>
      <c r="B9" s="15" t="s">
        <v>59</v>
      </c>
      <c r="C9" s="15" t="s">
        <v>6</v>
      </c>
      <c r="D9" s="15" t="s">
        <v>60</v>
      </c>
      <c r="E9" s="15" t="s">
        <v>61</v>
      </c>
      <c r="F9" s="15" t="s">
        <v>62</v>
      </c>
      <c r="G9" s="16" t="s">
        <v>63</v>
      </c>
      <c r="H9" s="15" t="s">
        <v>64</v>
      </c>
      <c r="I9" s="15" t="s">
        <v>65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66</v>
      </c>
      <c r="B10" s="15" t="s">
        <v>67</v>
      </c>
      <c r="C10" s="15" t="s">
        <v>6</v>
      </c>
      <c r="D10" s="15" t="s">
        <v>68</v>
      </c>
      <c r="E10" s="15" t="s">
        <v>61</v>
      </c>
      <c r="F10" s="15" t="s">
        <v>69</v>
      </c>
      <c r="G10" s="16" t="s">
        <v>70</v>
      </c>
      <c r="H10" s="15" t="s">
        <v>71</v>
      </c>
      <c r="I10" s="15" t="s">
        <v>72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73</v>
      </c>
      <c r="B11" s="15" t="s">
        <v>59</v>
      </c>
      <c r="C11" s="15" t="s">
        <v>6</v>
      </c>
      <c r="D11" s="15" t="s">
        <v>74</v>
      </c>
      <c r="E11" s="15" t="s">
        <v>61</v>
      </c>
      <c r="F11" s="15" t="s">
        <v>75</v>
      </c>
      <c r="G11" s="16" t="s">
        <v>76</v>
      </c>
      <c r="H11" s="15" t="s">
        <v>64</v>
      </c>
      <c r="I11" s="15" t="s">
        <v>65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77</v>
      </c>
      <c r="B12" s="15" t="s">
        <v>59</v>
      </c>
      <c r="C12" s="15" t="s">
        <v>6</v>
      </c>
      <c r="D12" s="15" t="s">
        <v>78</v>
      </c>
      <c r="E12" s="15" t="s">
        <v>61</v>
      </c>
      <c r="F12" s="15" t="s">
        <v>75</v>
      </c>
      <c r="G12" s="16" t="s">
        <v>79</v>
      </c>
      <c r="H12" s="15" t="s">
        <v>64</v>
      </c>
      <c r="I12" s="15" t="s">
        <v>65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80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6" t="s">
        <v>83</v>
      </c>
      <c r="H13" s="15" t="s">
        <v>64</v>
      </c>
      <c r="I13" s="15" t="s">
        <v>65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84</v>
      </c>
      <c r="B14" s="15" t="s">
        <v>81</v>
      </c>
      <c r="C14" s="15" t="s">
        <v>6</v>
      </c>
      <c r="D14" s="15" t="s">
        <v>85</v>
      </c>
      <c r="E14" s="15" t="s">
        <v>61</v>
      </c>
      <c r="F14" s="15" t="s">
        <v>62</v>
      </c>
      <c r="G14" s="16" t="s">
        <v>86</v>
      </c>
      <c r="H14" s="15" t="s">
        <v>71</v>
      </c>
      <c r="I14" s="15" t="s">
        <v>72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87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6" t="s">
        <v>91</v>
      </c>
      <c r="H15" s="15" t="s">
        <v>71</v>
      </c>
      <c r="I15" s="15" t="s">
        <v>72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92</v>
      </c>
      <c r="B16" s="15" t="s">
        <v>88</v>
      </c>
      <c r="C16" s="15" t="s">
        <v>6</v>
      </c>
      <c r="D16" s="15" t="s">
        <v>93</v>
      </c>
      <c r="E16" s="15" t="s">
        <v>61</v>
      </c>
      <c r="F16" s="15" t="s">
        <v>90</v>
      </c>
      <c r="G16" s="16" t="s">
        <v>91</v>
      </c>
      <c r="H16" s="15" t="s">
        <v>71</v>
      </c>
      <c r="I16" s="15" t="s">
        <v>72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94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6" t="s">
        <v>91</v>
      </c>
      <c r="H17" s="15" t="s">
        <v>71</v>
      </c>
      <c r="I17" s="15" t="s">
        <v>72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96</v>
      </c>
      <c r="B18" s="15" t="s">
        <v>88</v>
      </c>
      <c r="C18" s="15" t="s">
        <v>6</v>
      </c>
      <c r="D18" s="15" t="s">
        <v>97</v>
      </c>
      <c r="E18" s="15" t="s">
        <v>61</v>
      </c>
      <c r="F18" s="15" t="s">
        <v>90</v>
      </c>
      <c r="G18" s="16" t="s">
        <v>98</v>
      </c>
      <c r="H18" s="15" t="s">
        <v>71</v>
      </c>
      <c r="I18" s="15" t="s">
        <v>72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99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6" t="s">
        <v>91</v>
      </c>
      <c r="H19" s="15" t="s">
        <v>71</v>
      </c>
      <c r="I19" s="15" t="s">
        <v>72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101</v>
      </c>
      <c r="B20" s="15" t="s">
        <v>88</v>
      </c>
      <c r="C20" s="15" t="s">
        <v>6</v>
      </c>
      <c r="D20" s="15" t="s">
        <v>102</v>
      </c>
      <c r="E20" s="15" t="s">
        <v>61</v>
      </c>
      <c r="F20" s="15" t="s">
        <v>90</v>
      </c>
      <c r="G20" s="16" t="s">
        <v>91</v>
      </c>
      <c r="H20" s="15" t="s">
        <v>71</v>
      </c>
      <c r="I20" s="15" t="s">
        <v>72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103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6" t="s">
        <v>105</v>
      </c>
      <c r="H21" s="15" t="s">
        <v>64</v>
      </c>
      <c r="I21" s="15" t="s">
        <v>65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106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6" t="s">
        <v>79</v>
      </c>
      <c r="H22" s="15" t="s">
        <v>64</v>
      </c>
      <c r="I22" s="15" t="s">
        <v>65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110</v>
      </c>
      <c r="B23" s="15" t="s">
        <v>107</v>
      </c>
      <c r="C23" s="15" t="s">
        <v>6</v>
      </c>
      <c r="D23" s="15" t="s">
        <v>111</v>
      </c>
      <c r="E23" s="15" t="s">
        <v>61</v>
      </c>
      <c r="F23" s="15" t="s">
        <v>109</v>
      </c>
      <c r="G23" s="16" t="s">
        <v>112</v>
      </c>
      <c r="H23" s="15" t="s">
        <v>64</v>
      </c>
      <c r="I23" s="15" t="s">
        <v>65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113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6" t="s">
        <v>105</v>
      </c>
      <c r="H24" s="15" t="s">
        <v>64</v>
      </c>
      <c r="I24" s="15" t="s">
        <v>65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115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6" t="s">
        <v>117</v>
      </c>
      <c r="H25" s="15" t="s">
        <v>64</v>
      </c>
      <c r="I25" s="15" t="s">
        <v>65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118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 t="s">
        <v>120</v>
      </c>
      <c r="H26" s="15" t="s">
        <v>71</v>
      </c>
      <c r="I26" s="15" t="s">
        <v>72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121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6" t="s">
        <v>123</v>
      </c>
      <c r="H27" s="15" t="s">
        <v>64</v>
      </c>
      <c r="I27" s="15" t="s">
        <v>65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124</v>
      </c>
      <c r="B28" s="15" t="s">
        <v>107</v>
      </c>
      <c r="C28" s="15" t="s">
        <v>6</v>
      </c>
      <c r="D28" s="15" t="s">
        <v>125</v>
      </c>
      <c r="E28" s="15" t="s">
        <v>61</v>
      </c>
      <c r="F28" s="15" t="s">
        <v>109</v>
      </c>
      <c r="G28" s="16" t="s">
        <v>126</v>
      </c>
      <c r="H28" s="15" t="s">
        <v>64</v>
      </c>
      <c r="I28" s="15" t="s">
        <v>65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127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6" t="s">
        <v>91</v>
      </c>
      <c r="H29" s="15" t="s">
        <v>64</v>
      </c>
      <c r="I29" s="15" t="s">
        <v>65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131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 t="s">
        <v>91</v>
      </c>
      <c r="H30" s="15" t="s">
        <v>71</v>
      </c>
      <c r="I30" s="15" t="s">
        <v>72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133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6" t="s">
        <v>137</v>
      </c>
      <c r="H31" s="15" t="s">
        <v>71</v>
      </c>
      <c r="I31" s="15" t="s">
        <v>72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138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6" t="s">
        <v>140</v>
      </c>
      <c r="H32" s="15" t="s">
        <v>64</v>
      </c>
      <c r="I32" s="15" t="s">
        <v>65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141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 t="s">
        <v>145</v>
      </c>
      <c r="H33" s="15" t="s">
        <v>71</v>
      </c>
      <c r="I33" s="15" t="s">
        <v>72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146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8">
      <formula>$H9="not started"</formula>
    </cfRule>
    <cfRule type="expression" priority="3" aboveAverage="0" equalAverage="0" bottom="0" percent="0" rank="0" text="" dxfId="9">
      <formula>$H9="partial"</formula>
    </cfRule>
    <cfRule type="expression" priority="4" aboveAverage="0" equalAverage="0" bottom="0" percent="0" rank="0" text="" dxfId="10">
      <formula>$H9="implemented"</formula>
    </cfRule>
    <cfRule type="expression" priority="5" aboveAverage="0" equalAverage="0" bottom="0" percent="0" rank="0" text="" dxfId="11">
      <formula>$H9="tested"</formula>
    </cfRule>
    <cfRule type="expression" priority="6" aboveAverage="0" equalAverage="0" bottom="0" percent="0" rank="0" text="" dxfId="12">
      <formula>$H9="verified"</formula>
    </cfRule>
    <cfRule type="expression" priority="7" aboveAverage="0" equalAverage="0" bottom="0" percent="0" rank="0" text="" dxfId="13">
      <formula>$H9="blocked"</formula>
    </cfRule>
    <cfRule type="expression" priority="8" aboveAverage="0" equalAverage="0" bottom="0" percent="0" rank="0" text="" dxfId="14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45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154</v>
      </c>
      <c r="B9" s="15" t="s">
        <v>59</v>
      </c>
      <c r="C9" s="15" t="s">
        <v>155</v>
      </c>
      <c r="D9" s="15" t="s">
        <v>156</v>
      </c>
      <c r="E9" s="15" t="s">
        <v>61</v>
      </c>
      <c r="F9" s="15" t="s">
        <v>62</v>
      </c>
      <c r="G9" s="15" t="s">
        <v>157</v>
      </c>
      <c r="H9" s="15" t="s">
        <v>64</v>
      </c>
      <c r="I9" s="15" t="s">
        <v>65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158</v>
      </c>
      <c r="B10" s="15" t="s">
        <v>67</v>
      </c>
      <c r="C10" s="15" t="s">
        <v>6</v>
      </c>
      <c r="D10" s="15" t="s">
        <v>159</v>
      </c>
      <c r="E10" s="15" t="s">
        <v>61</v>
      </c>
      <c r="F10" s="15" t="s">
        <v>69</v>
      </c>
      <c r="G10" s="15" t="s">
        <v>160</v>
      </c>
      <c r="H10" s="15" t="s">
        <v>71</v>
      </c>
      <c r="I10" s="15" t="s">
        <v>72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161</v>
      </c>
      <c r="B11" s="15" t="s">
        <v>59</v>
      </c>
      <c r="C11" s="15" t="s">
        <v>155</v>
      </c>
      <c r="D11" s="15" t="s">
        <v>162</v>
      </c>
      <c r="E11" s="15" t="s">
        <v>61</v>
      </c>
      <c r="F11" s="15" t="s">
        <v>75</v>
      </c>
      <c r="G11" s="15" t="s">
        <v>163</v>
      </c>
      <c r="H11" s="15" t="s">
        <v>64</v>
      </c>
      <c r="I11" s="15" t="s">
        <v>65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164</v>
      </c>
      <c r="B12" s="15" t="s">
        <v>59</v>
      </c>
      <c r="C12" s="15" t="s">
        <v>165</v>
      </c>
      <c r="D12" s="15" t="s">
        <v>166</v>
      </c>
      <c r="E12" s="15" t="s">
        <v>61</v>
      </c>
      <c r="F12" s="15" t="s">
        <v>109</v>
      </c>
      <c r="G12" s="15" t="s">
        <v>167</v>
      </c>
      <c r="H12" s="15" t="s">
        <v>64</v>
      </c>
      <c r="I12" s="15" t="s">
        <v>65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168</v>
      </c>
      <c r="B13" s="15" t="s">
        <v>39</v>
      </c>
      <c r="C13" s="15" t="s">
        <v>169</v>
      </c>
      <c r="D13" s="15" t="s">
        <v>170</v>
      </c>
      <c r="E13" s="15" t="s">
        <v>61</v>
      </c>
      <c r="F13" s="15" t="s">
        <v>109</v>
      </c>
      <c r="G13" s="15" t="s">
        <v>167</v>
      </c>
      <c r="H13" s="15" t="s">
        <v>64</v>
      </c>
      <c r="I13" s="15" t="s">
        <v>65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171</v>
      </c>
      <c r="B14" s="15" t="s">
        <v>39</v>
      </c>
      <c r="C14" s="15" t="s">
        <v>172</v>
      </c>
      <c r="D14" s="15" t="s">
        <v>173</v>
      </c>
      <c r="E14" s="15" t="s">
        <v>61</v>
      </c>
      <c r="F14" s="15" t="s">
        <v>130</v>
      </c>
      <c r="G14" s="15" t="s">
        <v>174</v>
      </c>
      <c r="H14" s="15" t="s">
        <v>71</v>
      </c>
      <c r="I14" s="15" t="s">
        <v>72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175</v>
      </c>
      <c r="B15" s="15" t="s">
        <v>39</v>
      </c>
      <c r="C15" s="15" t="s">
        <v>176</v>
      </c>
      <c r="D15" s="15" t="s">
        <v>177</v>
      </c>
      <c r="E15" s="15" t="s">
        <v>61</v>
      </c>
      <c r="F15" s="15" t="s">
        <v>109</v>
      </c>
      <c r="G15" s="15" t="s">
        <v>167</v>
      </c>
      <c r="H15" s="15" t="s">
        <v>64</v>
      </c>
      <c r="I15" s="15" t="s">
        <v>65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178</v>
      </c>
      <c r="B16" s="15" t="s">
        <v>39</v>
      </c>
      <c r="C16" s="15" t="s">
        <v>179</v>
      </c>
      <c r="D16" s="15" t="s">
        <v>180</v>
      </c>
      <c r="E16" s="15" t="s">
        <v>61</v>
      </c>
      <c r="F16" s="15" t="s">
        <v>109</v>
      </c>
      <c r="G16" s="15" t="s">
        <v>167</v>
      </c>
      <c r="H16" s="15" t="s">
        <v>64</v>
      </c>
      <c r="I16" s="15" t="s">
        <v>65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181</v>
      </c>
      <c r="B17" s="15" t="s">
        <v>39</v>
      </c>
      <c r="C17" s="15" t="s">
        <v>182</v>
      </c>
      <c r="D17" s="15" t="s">
        <v>183</v>
      </c>
      <c r="E17" s="15" t="s">
        <v>61</v>
      </c>
      <c r="F17" s="15" t="s">
        <v>109</v>
      </c>
      <c r="G17" s="15" t="s">
        <v>184</v>
      </c>
      <c r="H17" s="15" t="s">
        <v>64</v>
      </c>
      <c r="I17" s="15" t="s">
        <v>65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185</v>
      </c>
      <c r="B18" s="15" t="s">
        <v>39</v>
      </c>
      <c r="C18" s="15" t="s">
        <v>186</v>
      </c>
      <c r="D18" s="15" t="s">
        <v>187</v>
      </c>
      <c r="E18" s="15" t="s">
        <v>61</v>
      </c>
      <c r="F18" s="15" t="s">
        <v>109</v>
      </c>
      <c r="G18" s="15" t="s">
        <v>167</v>
      </c>
      <c r="H18" s="15" t="s">
        <v>64</v>
      </c>
      <c r="I18" s="15" t="s">
        <v>65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188</v>
      </c>
      <c r="B19" s="15" t="s">
        <v>39</v>
      </c>
      <c r="C19" s="15" t="s">
        <v>189</v>
      </c>
      <c r="D19" s="15" t="s">
        <v>190</v>
      </c>
      <c r="E19" s="15" t="s">
        <v>61</v>
      </c>
      <c r="F19" s="15" t="s">
        <v>130</v>
      </c>
      <c r="G19" s="15" t="s">
        <v>174</v>
      </c>
      <c r="H19" s="15" t="s">
        <v>71</v>
      </c>
      <c r="I19" s="15" t="s">
        <v>72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191</v>
      </c>
      <c r="B20" s="15" t="s">
        <v>81</v>
      </c>
      <c r="C20" s="15" t="s">
        <v>165</v>
      </c>
      <c r="D20" s="15" t="s">
        <v>192</v>
      </c>
      <c r="E20" s="15" t="s">
        <v>61</v>
      </c>
      <c r="F20" s="15" t="s">
        <v>62</v>
      </c>
      <c r="G20" s="15" t="s">
        <v>193</v>
      </c>
      <c r="H20" s="15" t="s">
        <v>64</v>
      </c>
      <c r="I20" s="15" t="s">
        <v>65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194</v>
      </c>
      <c r="B21" s="15" t="s">
        <v>81</v>
      </c>
      <c r="C21" s="15" t="s">
        <v>169</v>
      </c>
      <c r="D21" s="15" t="s">
        <v>195</v>
      </c>
      <c r="E21" s="15" t="s">
        <v>61</v>
      </c>
      <c r="F21" s="15" t="s">
        <v>130</v>
      </c>
      <c r="G21" s="15" t="s">
        <v>174</v>
      </c>
      <c r="H21" s="15" t="s">
        <v>71</v>
      </c>
      <c r="I21" s="15" t="s">
        <v>72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196</v>
      </c>
      <c r="B22" s="15" t="s">
        <v>88</v>
      </c>
      <c r="C22" s="15" t="s">
        <v>165</v>
      </c>
      <c r="D22" s="15" t="s">
        <v>197</v>
      </c>
      <c r="E22" s="15" t="s">
        <v>61</v>
      </c>
      <c r="F22" s="15" t="s">
        <v>90</v>
      </c>
      <c r="G22" s="15" t="s">
        <v>174</v>
      </c>
      <c r="H22" s="15" t="s">
        <v>71</v>
      </c>
      <c r="I22" s="15" t="s">
        <v>72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198</v>
      </c>
      <c r="B23" s="15" t="s">
        <v>88</v>
      </c>
      <c r="C23" s="15" t="s">
        <v>169</v>
      </c>
      <c r="D23" s="15" t="s">
        <v>199</v>
      </c>
      <c r="E23" s="15" t="s">
        <v>61</v>
      </c>
      <c r="F23" s="15" t="s">
        <v>90</v>
      </c>
      <c r="G23" s="15" t="s">
        <v>184</v>
      </c>
      <c r="H23" s="15" t="s">
        <v>71</v>
      </c>
      <c r="I23" s="15" t="s">
        <v>72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200</v>
      </c>
      <c r="B24" s="15" t="s">
        <v>88</v>
      </c>
      <c r="C24" s="15" t="s">
        <v>165</v>
      </c>
      <c r="D24" s="15" t="s">
        <v>201</v>
      </c>
      <c r="E24" s="15" t="s">
        <v>61</v>
      </c>
      <c r="F24" s="15" t="s">
        <v>130</v>
      </c>
      <c r="G24" s="15" t="s">
        <v>174</v>
      </c>
      <c r="H24" s="15" t="s">
        <v>71</v>
      </c>
      <c r="I24" s="15" t="s">
        <v>72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202</v>
      </c>
      <c r="B25" s="15" t="s">
        <v>88</v>
      </c>
      <c r="C25" s="15" t="s">
        <v>169</v>
      </c>
      <c r="D25" s="15" t="s">
        <v>203</v>
      </c>
      <c r="E25" s="15" t="s">
        <v>61</v>
      </c>
      <c r="F25" s="15" t="s">
        <v>109</v>
      </c>
      <c r="G25" s="15" t="s">
        <v>98</v>
      </c>
      <c r="H25" s="15" t="s">
        <v>71</v>
      </c>
      <c r="I25" s="15" t="s">
        <v>72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204</v>
      </c>
      <c r="B26" s="15" t="s">
        <v>88</v>
      </c>
      <c r="C26" s="15" t="s">
        <v>165</v>
      </c>
      <c r="D26" s="15" t="s">
        <v>205</v>
      </c>
      <c r="E26" s="15" t="s">
        <v>61</v>
      </c>
      <c r="F26" s="15" t="s">
        <v>130</v>
      </c>
      <c r="G26" s="15" t="s">
        <v>174</v>
      </c>
      <c r="H26" s="15" t="s">
        <v>71</v>
      </c>
      <c r="I26" s="15" t="s">
        <v>72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206</v>
      </c>
      <c r="B27" s="15" t="s">
        <v>88</v>
      </c>
      <c r="C27" s="15" t="s">
        <v>165</v>
      </c>
      <c r="D27" s="15" t="s">
        <v>207</v>
      </c>
      <c r="E27" s="15" t="s">
        <v>61</v>
      </c>
      <c r="F27" s="15" t="s">
        <v>130</v>
      </c>
      <c r="G27" s="15" t="s">
        <v>174</v>
      </c>
      <c r="H27" s="15" t="s">
        <v>71</v>
      </c>
      <c r="I27" s="15" t="s">
        <v>72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208</v>
      </c>
      <c r="B28" s="15" t="s">
        <v>88</v>
      </c>
      <c r="C28" s="15" t="s">
        <v>6</v>
      </c>
      <c r="D28" s="15" t="s">
        <v>209</v>
      </c>
      <c r="E28" s="15" t="s">
        <v>61</v>
      </c>
      <c r="F28" s="15" t="s">
        <v>90</v>
      </c>
      <c r="G28" s="15" t="s">
        <v>184</v>
      </c>
      <c r="H28" s="15" t="s">
        <v>64</v>
      </c>
      <c r="I28" s="15" t="s">
        <v>65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210</v>
      </c>
      <c r="B29" s="15" t="s">
        <v>107</v>
      </c>
      <c r="C29" s="15" t="s">
        <v>165</v>
      </c>
      <c r="D29" s="15" t="s">
        <v>211</v>
      </c>
      <c r="E29" s="15" t="s">
        <v>61</v>
      </c>
      <c r="F29" s="15" t="s">
        <v>109</v>
      </c>
      <c r="G29" s="15" t="s">
        <v>167</v>
      </c>
      <c r="H29" s="15" t="s">
        <v>64</v>
      </c>
      <c r="I29" s="15" t="s">
        <v>65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212</v>
      </c>
      <c r="B30" s="15" t="s">
        <v>107</v>
      </c>
      <c r="C30" s="15" t="s">
        <v>155</v>
      </c>
      <c r="D30" s="15" t="s">
        <v>213</v>
      </c>
      <c r="E30" s="15" t="s">
        <v>61</v>
      </c>
      <c r="F30" s="15" t="s">
        <v>109</v>
      </c>
      <c r="G30" s="15" t="s">
        <v>112</v>
      </c>
      <c r="H30" s="15" t="s">
        <v>64</v>
      </c>
      <c r="I30" s="15" t="s">
        <v>65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214</v>
      </c>
      <c r="B31" s="15" t="s">
        <v>107</v>
      </c>
      <c r="C31" s="15" t="s">
        <v>169</v>
      </c>
      <c r="D31" s="15" t="s">
        <v>215</v>
      </c>
      <c r="E31" s="15" t="s">
        <v>61</v>
      </c>
      <c r="F31" s="15" t="s">
        <v>109</v>
      </c>
      <c r="G31" s="15" t="s">
        <v>184</v>
      </c>
      <c r="H31" s="15" t="s">
        <v>64</v>
      </c>
      <c r="I31" s="15" t="s">
        <v>65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216</v>
      </c>
      <c r="B32" s="15" t="s">
        <v>107</v>
      </c>
      <c r="C32" s="15" t="s">
        <v>169</v>
      </c>
      <c r="D32" s="15" t="s">
        <v>217</v>
      </c>
      <c r="E32" s="15" t="s">
        <v>61</v>
      </c>
      <c r="F32" s="15" t="s">
        <v>109</v>
      </c>
      <c r="G32" s="15" t="s">
        <v>117</v>
      </c>
      <c r="H32" s="15" t="s">
        <v>64</v>
      </c>
      <c r="I32" s="15" t="s">
        <v>65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218</v>
      </c>
      <c r="B33" s="15" t="s">
        <v>107</v>
      </c>
      <c r="C33" s="15" t="s">
        <v>169</v>
      </c>
      <c r="D33" s="15" t="s">
        <v>219</v>
      </c>
      <c r="E33" s="15" t="s">
        <v>61</v>
      </c>
      <c r="F33" s="15" t="s">
        <v>109</v>
      </c>
      <c r="G33" s="15" t="s">
        <v>120</v>
      </c>
      <c r="H33" s="15" t="s">
        <v>71</v>
      </c>
      <c r="I33" s="15" t="s">
        <v>72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220</v>
      </c>
      <c r="B34" s="15" t="s">
        <v>107</v>
      </c>
      <c r="C34" s="15" t="s">
        <v>165</v>
      </c>
      <c r="D34" s="15" t="s">
        <v>221</v>
      </c>
      <c r="E34" s="15" t="s">
        <v>61</v>
      </c>
      <c r="F34" s="15" t="s">
        <v>109</v>
      </c>
      <c r="G34" s="15" t="s">
        <v>222</v>
      </c>
      <c r="H34" s="15" t="s">
        <v>64</v>
      </c>
      <c r="I34" s="15" t="s">
        <v>65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75" hidden="false" customHeight="false" outlineLevel="0" collapsed="false">
      <c r="A35" s="15" t="s">
        <v>223</v>
      </c>
      <c r="B35" s="15" t="s">
        <v>107</v>
      </c>
      <c r="C35" s="15" t="s">
        <v>6</v>
      </c>
      <c r="D35" s="15" t="s">
        <v>224</v>
      </c>
      <c r="E35" s="15" t="s">
        <v>61</v>
      </c>
      <c r="F35" s="15" t="s">
        <v>109</v>
      </c>
      <c r="G35" s="15" t="s">
        <v>225</v>
      </c>
      <c r="H35" s="15" t="s">
        <v>64</v>
      </c>
      <c r="I35" s="15" t="s">
        <v>65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false" outlineLevel="0" collapsed="false">
      <c r="A36" s="15" t="s">
        <v>226</v>
      </c>
      <c r="B36" s="15" t="s">
        <v>128</v>
      </c>
      <c r="C36" s="15" t="s">
        <v>6</v>
      </c>
      <c r="D36" s="15" t="s">
        <v>227</v>
      </c>
      <c r="E36" s="15" t="s">
        <v>61</v>
      </c>
      <c r="F36" s="15" t="s">
        <v>130</v>
      </c>
      <c r="G36" s="15" t="s">
        <v>174</v>
      </c>
      <c r="H36" s="15" t="s">
        <v>64</v>
      </c>
      <c r="I36" s="15" t="s">
        <v>65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75" hidden="false" customHeight="false" outlineLevel="0" collapsed="false">
      <c r="A37" s="15" t="s">
        <v>228</v>
      </c>
      <c r="B37" s="15" t="s">
        <v>128</v>
      </c>
      <c r="C37" s="15" t="s">
        <v>165</v>
      </c>
      <c r="D37" s="15" t="s">
        <v>229</v>
      </c>
      <c r="E37" s="15" t="s">
        <v>61</v>
      </c>
      <c r="F37" s="15" t="s">
        <v>130</v>
      </c>
      <c r="G37" s="15" t="s">
        <v>174</v>
      </c>
      <c r="H37" s="15" t="s">
        <v>71</v>
      </c>
      <c r="I37" s="15" t="s">
        <v>72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75" hidden="false" customHeight="false" outlineLevel="0" collapsed="false">
      <c r="A38" s="15" t="s">
        <v>230</v>
      </c>
      <c r="B38" s="15" t="s">
        <v>134</v>
      </c>
      <c r="C38" s="15" t="s">
        <v>6</v>
      </c>
      <c r="D38" s="15" t="s">
        <v>231</v>
      </c>
      <c r="E38" s="15" t="s">
        <v>61</v>
      </c>
      <c r="F38" s="15" t="s">
        <v>136</v>
      </c>
      <c r="G38" s="15" t="s">
        <v>232</v>
      </c>
      <c r="H38" s="15" t="s">
        <v>71</v>
      </c>
      <c r="I38" s="15" t="s">
        <v>72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75" hidden="false" customHeight="false" outlineLevel="0" collapsed="false">
      <c r="A39" s="15" t="s">
        <v>233</v>
      </c>
      <c r="B39" s="15" t="s">
        <v>134</v>
      </c>
      <c r="C39" s="15" t="s">
        <v>6</v>
      </c>
      <c r="D39" s="15" t="s">
        <v>234</v>
      </c>
      <c r="E39" s="15" t="s">
        <v>61</v>
      </c>
      <c r="F39" s="15" t="s">
        <v>136</v>
      </c>
      <c r="G39" s="15" t="s">
        <v>235</v>
      </c>
      <c r="H39" s="15" t="s">
        <v>64</v>
      </c>
      <c r="I39" s="15" t="s">
        <v>65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75" hidden="false" customHeight="false" outlineLevel="0" collapsed="false">
      <c r="A40" s="15" t="s">
        <v>236</v>
      </c>
      <c r="B40" s="15" t="s">
        <v>142</v>
      </c>
      <c r="C40" s="15" t="s">
        <v>6</v>
      </c>
      <c r="D40" s="15" t="s">
        <v>237</v>
      </c>
      <c r="E40" s="15" t="s">
        <v>144</v>
      </c>
      <c r="F40" s="15" t="s">
        <v>144</v>
      </c>
      <c r="G40" s="15" t="s">
        <v>145</v>
      </c>
      <c r="H40" s="15" t="s">
        <v>71</v>
      </c>
      <c r="I40" s="15" t="s">
        <v>72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75" hidden="false" customHeight="false" outlineLevel="0" collapsed="false">
      <c r="A41" s="15" t="s">
        <v>238</v>
      </c>
      <c r="B41" s="15" t="s">
        <v>147</v>
      </c>
      <c r="C41" s="15" t="s">
        <v>239</v>
      </c>
      <c r="D41" s="15" t="s">
        <v>240</v>
      </c>
      <c r="E41" s="15" t="s">
        <v>149</v>
      </c>
      <c r="F41" s="15" t="s">
        <v>150</v>
      </c>
      <c r="G41" s="15" t="s">
        <v>241</v>
      </c>
      <c r="H41" s="15" t="s">
        <v>242</v>
      </c>
      <c r="I41" s="15" t="s">
        <v>72</v>
      </c>
      <c r="J41" s="17" t="n">
        <v>46220</v>
      </c>
      <c r="K41" s="15" t="s">
        <v>243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8">
      <formula>$H9="not started"</formula>
    </cfRule>
    <cfRule type="expression" priority="3" aboveAverage="0" equalAverage="0" bottom="0" percent="0" rank="0" text="" dxfId="9">
      <formula>$H9="partial"</formula>
    </cfRule>
    <cfRule type="expression" priority="4" aboveAverage="0" equalAverage="0" bottom="0" percent="0" rank="0" text="" dxfId="10">
      <formula>$H9="implemented"</formula>
    </cfRule>
    <cfRule type="expression" priority="5" aboveAverage="0" equalAverage="0" bottom="0" percent="0" rank="0" text="" dxfId="11">
      <formula>$H9="tested"</formula>
    </cfRule>
    <cfRule type="expression" priority="6" aboveAverage="0" equalAverage="0" bottom="0" percent="0" rank="0" text="" dxfId="12">
      <formula>$H9="verified"</formula>
    </cfRule>
    <cfRule type="expression" priority="7" aboveAverage="0" equalAverage="0" bottom="0" percent="0" rank="0" text="" dxfId="13">
      <formula>$H9="blocked"</formula>
    </cfRule>
    <cfRule type="expression" priority="8" aboveAverage="0" equalAverage="0" bottom="0" percent="0" rank="0" text="" dxfId="14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0</v>
      </c>
      <c r="E4" s="4" t="s">
        <v>14</v>
      </c>
      <c r="F4" s="6" t="n">
        <f aca="false">IFERROR(D4/SUM(L9:L34),0)</f>
        <v>0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open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246</v>
      </c>
      <c r="B9" s="15" t="s">
        <v>59</v>
      </c>
      <c r="C9" s="15" t="s">
        <v>6</v>
      </c>
      <c r="D9" s="15" t="s">
        <v>247</v>
      </c>
      <c r="E9" s="15" t="s">
        <v>61</v>
      </c>
      <c r="F9" s="15" t="s">
        <v>62</v>
      </c>
      <c r="G9" s="15"/>
      <c r="H9" s="15" t="s">
        <v>151</v>
      </c>
      <c r="I9" s="15" t="s">
        <v>65</v>
      </c>
      <c r="J9" s="15"/>
      <c r="K9" s="15"/>
      <c r="L9" s="18" t="n">
        <v>1</v>
      </c>
      <c r="M9" s="18" t="n">
        <f aca="false">IF(H9="not applicable",IF(K9&lt;&gt;"",1,0),IF(I9="yes",IF(H9="verified",1,0),IF(OR(H9="tested",H9="verified"),1,0)))</f>
        <v>0</v>
      </c>
    </row>
    <row r="10" customFormat="false" ht="42.75" hidden="false" customHeight="true" outlineLevel="0" collapsed="false">
      <c r="A10" s="15" t="s">
        <v>248</v>
      </c>
      <c r="B10" s="15" t="s">
        <v>67</v>
      </c>
      <c r="C10" s="15" t="s">
        <v>6</v>
      </c>
      <c r="D10" s="15" t="s">
        <v>249</v>
      </c>
      <c r="E10" s="15" t="s">
        <v>61</v>
      </c>
      <c r="F10" s="15" t="s">
        <v>69</v>
      </c>
      <c r="G10" s="15"/>
      <c r="H10" s="15" t="s">
        <v>151</v>
      </c>
      <c r="I10" s="15" t="s">
        <v>72</v>
      </c>
      <c r="J10" s="15"/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0</v>
      </c>
    </row>
    <row r="11" customFormat="false" ht="42.75" hidden="false" customHeight="true" outlineLevel="0" collapsed="false">
      <c r="A11" s="15" t="s">
        <v>250</v>
      </c>
      <c r="B11" s="15" t="s">
        <v>59</v>
      </c>
      <c r="C11" s="15" t="s">
        <v>6</v>
      </c>
      <c r="D11" s="15" t="s">
        <v>251</v>
      </c>
      <c r="E11" s="15" t="s">
        <v>61</v>
      </c>
      <c r="F11" s="15" t="s">
        <v>75</v>
      </c>
      <c r="G11" s="15"/>
      <c r="H11" s="15" t="s">
        <v>151</v>
      </c>
      <c r="I11" s="15" t="s">
        <v>65</v>
      </c>
      <c r="J11" s="15"/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0</v>
      </c>
    </row>
    <row r="12" customFormat="false" ht="42.75" hidden="false" customHeight="true" outlineLevel="0" collapsed="false">
      <c r="A12" s="15" t="s">
        <v>252</v>
      </c>
      <c r="B12" s="15" t="s">
        <v>59</v>
      </c>
      <c r="C12" s="15" t="s">
        <v>6</v>
      </c>
      <c r="D12" s="15" t="s">
        <v>253</v>
      </c>
      <c r="E12" s="15" t="s">
        <v>61</v>
      </c>
      <c r="F12" s="15" t="s">
        <v>75</v>
      </c>
      <c r="G12" s="15"/>
      <c r="H12" s="15" t="s">
        <v>151</v>
      </c>
      <c r="I12" s="15" t="s">
        <v>65</v>
      </c>
      <c r="J12" s="15"/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0</v>
      </c>
    </row>
    <row r="13" customFormat="false" ht="42.75" hidden="false" customHeight="true" outlineLevel="0" collapsed="false">
      <c r="A13" s="15" t="s">
        <v>254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5"/>
      <c r="H13" s="15" t="s">
        <v>151</v>
      </c>
      <c r="I13" s="15" t="s">
        <v>65</v>
      </c>
      <c r="J13" s="15"/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0</v>
      </c>
    </row>
    <row r="14" customFormat="false" ht="42.75" hidden="false" customHeight="true" outlineLevel="0" collapsed="false">
      <c r="A14" s="15" t="s">
        <v>255</v>
      </c>
      <c r="B14" s="15" t="s">
        <v>81</v>
      </c>
      <c r="C14" s="15" t="s">
        <v>6</v>
      </c>
      <c r="D14" s="15" t="s">
        <v>256</v>
      </c>
      <c r="E14" s="15" t="s">
        <v>61</v>
      </c>
      <c r="F14" s="15" t="s">
        <v>62</v>
      </c>
      <c r="G14" s="15"/>
      <c r="H14" s="15" t="s">
        <v>151</v>
      </c>
      <c r="I14" s="15" t="s">
        <v>72</v>
      </c>
      <c r="J14" s="15"/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0</v>
      </c>
    </row>
    <row r="15" customFormat="false" ht="42.75" hidden="false" customHeight="true" outlineLevel="0" collapsed="false">
      <c r="A15" s="15" t="s">
        <v>257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5"/>
      <c r="H15" s="15" t="s">
        <v>151</v>
      </c>
      <c r="I15" s="15" t="s">
        <v>72</v>
      </c>
      <c r="J15" s="15"/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0</v>
      </c>
    </row>
    <row r="16" customFormat="false" ht="42.75" hidden="false" customHeight="true" outlineLevel="0" collapsed="false">
      <c r="A16" s="15" t="s">
        <v>258</v>
      </c>
      <c r="B16" s="15" t="s">
        <v>88</v>
      </c>
      <c r="C16" s="15" t="s">
        <v>6</v>
      </c>
      <c r="D16" s="15" t="s">
        <v>259</v>
      </c>
      <c r="E16" s="15" t="s">
        <v>61</v>
      </c>
      <c r="F16" s="15" t="s">
        <v>90</v>
      </c>
      <c r="G16" s="15"/>
      <c r="H16" s="15" t="s">
        <v>151</v>
      </c>
      <c r="I16" s="15" t="s">
        <v>72</v>
      </c>
      <c r="J16" s="15"/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0</v>
      </c>
    </row>
    <row r="17" customFormat="false" ht="42.75" hidden="false" customHeight="true" outlineLevel="0" collapsed="false">
      <c r="A17" s="15" t="s">
        <v>260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5"/>
      <c r="H17" s="15" t="s">
        <v>151</v>
      </c>
      <c r="I17" s="15" t="s">
        <v>72</v>
      </c>
      <c r="J17" s="15"/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0</v>
      </c>
    </row>
    <row r="18" customFormat="false" ht="42.75" hidden="false" customHeight="true" outlineLevel="0" collapsed="false">
      <c r="A18" s="15" t="s">
        <v>261</v>
      </c>
      <c r="B18" s="15" t="s">
        <v>88</v>
      </c>
      <c r="C18" s="15" t="s">
        <v>6</v>
      </c>
      <c r="D18" s="15" t="s">
        <v>262</v>
      </c>
      <c r="E18" s="15" t="s">
        <v>61</v>
      </c>
      <c r="F18" s="15" t="s">
        <v>90</v>
      </c>
      <c r="G18" s="15"/>
      <c r="H18" s="15" t="s">
        <v>151</v>
      </c>
      <c r="I18" s="15" t="s">
        <v>72</v>
      </c>
      <c r="J18" s="15"/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0</v>
      </c>
    </row>
    <row r="19" customFormat="false" ht="42.75" hidden="false" customHeight="true" outlineLevel="0" collapsed="false">
      <c r="A19" s="15" t="s">
        <v>263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5"/>
      <c r="H19" s="15" t="s">
        <v>151</v>
      </c>
      <c r="I19" s="15" t="s">
        <v>72</v>
      </c>
      <c r="J19" s="15"/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0</v>
      </c>
    </row>
    <row r="20" customFormat="false" ht="42.75" hidden="false" customHeight="true" outlineLevel="0" collapsed="false">
      <c r="A20" s="15" t="s">
        <v>264</v>
      </c>
      <c r="B20" s="15" t="s">
        <v>88</v>
      </c>
      <c r="C20" s="15" t="s">
        <v>6</v>
      </c>
      <c r="D20" s="15" t="s">
        <v>265</v>
      </c>
      <c r="E20" s="15" t="s">
        <v>61</v>
      </c>
      <c r="F20" s="15" t="s">
        <v>90</v>
      </c>
      <c r="G20" s="15"/>
      <c r="H20" s="15" t="s">
        <v>151</v>
      </c>
      <c r="I20" s="15" t="s">
        <v>72</v>
      </c>
      <c r="J20" s="15"/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.75" hidden="false" customHeight="true" outlineLevel="0" collapsed="false">
      <c r="A21" s="15" t="s">
        <v>266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5"/>
      <c r="H21" s="15" t="s">
        <v>151</v>
      </c>
      <c r="I21" s="15" t="s">
        <v>65</v>
      </c>
      <c r="J21" s="15"/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.75" hidden="false" customHeight="true" outlineLevel="0" collapsed="false">
      <c r="A22" s="15" t="s">
        <v>267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5"/>
      <c r="H22" s="15" t="s">
        <v>151</v>
      </c>
      <c r="I22" s="15" t="s">
        <v>65</v>
      </c>
      <c r="J22" s="15"/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0</v>
      </c>
    </row>
    <row r="23" customFormat="false" ht="42.75" hidden="false" customHeight="true" outlineLevel="0" collapsed="false">
      <c r="A23" s="15" t="s">
        <v>268</v>
      </c>
      <c r="B23" s="15" t="s">
        <v>107</v>
      </c>
      <c r="C23" s="15" t="s">
        <v>6</v>
      </c>
      <c r="D23" s="15" t="s">
        <v>269</v>
      </c>
      <c r="E23" s="15" t="s">
        <v>61</v>
      </c>
      <c r="F23" s="15" t="s">
        <v>109</v>
      </c>
      <c r="G23" s="15"/>
      <c r="H23" s="15" t="s">
        <v>151</v>
      </c>
      <c r="I23" s="15" t="s">
        <v>65</v>
      </c>
      <c r="J23" s="15"/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0</v>
      </c>
    </row>
    <row r="24" customFormat="false" ht="42.75" hidden="false" customHeight="true" outlineLevel="0" collapsed="false">
      <c r="A24" s="15" t="s">
        <v>270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5"/>
      <c r="H24" s="15" t="s">
        <v>151</v>
      </c>
      <c r="I24" s="15" t="s">
        <v>65</v>
      </c>
      <c r="J24" s="15"/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.75" hidden="false" customHeight="true" outlineLevel="0" collapsed="false">
      <c r="A25" s="15" t="s">
        <v>271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5"/>
      <c r="H25" s="15" t="s">
        <v>151</v>
      </c>
      <c r="I25" s="15" t="s">
        <v>65</v>
      </c>
      <c r="J25" s="15"/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.75" hidden="false" customHeight="true" outlineLevel="0" collapsed="false">
      <c r="A26" s="15" t="s">
        <v>272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/>
      <c r="H26" s="15" t="s">
        <v>151</v>
      </c>
      <c r="I26" s="15" t="s">
        <v>72</v>
      </c>
      <c r="J26" s="15"/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.75" hidden="false" customHeight="true" outlineLevel="0" collapsed="false">
      <c r="A27" s="15" t="s">
        <v>273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5"/>
      <c r="H27" s="15" t="s">
        <v>151</v>
      </c>
      <c r="I27" s="15" t="s">
        <v>65</v>
      </c>
      <c r="J27" s="15"/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.75" hidden="false" customHeight="true" outlineLevel="0" collapsed="false">
      <c r="A28" s="15" t="s">
        <v>274</v>
      </c>
      <c r="B28" s="15" t="s">
        <v>107</v>
      </c>
      <c r="C28" s="15" t="s">
        <v>6</v>
      </c>
      <c r="D28" s="15" t="s">
        <v>275</v>
      </c>
      <c r="E28" s="15" t="s">
        <v>61</v>
      </c>
      <c r="F28" s="15" t="s">
        <v>109</v>
      </c>
      <c r="G28" s="15"/>
      <c r="H28" s="15" t="s">
        <v>151</v>
      </c>
      <c r="I28" s="15" t="s">
        <v>65</v>
      </c>
      <c r="J28" s="15"/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.75" hidden="false" customHeight="true" outlineLevel="0" collapsed="false">
      <c r="A29" s="15" t="s">
        <v>276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5"/>
      <c r="H29" s="15" t="s">
        <v>151</v>
      </c>
      <c r="I29" s="15" t="s">
        <v>65</v>
      </c>
      <c r="J29" s="15"/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.75" hidden="false" customHeight="true" outlineLevel="0" collapsed="false">
      <c r="A30" s="15" t="s">
        <v>277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/>
      <c r="H30" s="15" t="s">
        <v>151</v>
      </c>
      <c r="I30" s="15" t="s">
        <v>72</v>
      </c>
      <c r="J30" s="15"/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.75" hidden="false" customHeight="true" outlineLevel="0" collapsed="false">
      <c r="A31" s="15" t="s">
        <v>278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5"/>
      <c r="H31" s="15" t="s">
        <v>151</v>
      </c>
      <c r="I31" s="15" t="s">
        <v>72</v>
      </c>
      <c r="J31" s="15"/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.75" hidden="false" customHeight="true" outlineLevel="0" collapsed="false">
      <c r="A32" s="15" t="s">
        <v>279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5"/>
      <c r="H32" s="15" t="s">
        <v>151</v>
      </c>
      <c r="I32" s="15" t="s">
        <v>65</v>
      </c>
      <c r="J32" s="15"/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.75" hidden="false" customHeight="true" outlineLevel="0" collapsed="false">
      <c r="A33" s="15" t="s">
        <v>280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/>
      <c r="H33" s="15" t="s">
        <v>151</v>
      </c>
      <c r="I33" s="15" t="s">
        <v>72</v>
      </c>
      <c r="J33" s="15"/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.75" hidden="false" customHeight="true" outlineLevel="0" collapsed="false">
      <c r="A34" s="15" t="s">
        <v>281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8">
      <formula>$H9="not started"</formula>
    </cfRule>
    <cfRule type="expression" priority="3" aboveAverage="0" equalAverage="0" bottom="0" percent="0" rank="0" text="" dxfId="9">
      <formula>$H9="partial"</formula>
    </cfRule>
    <cfRule type="expression" priority="4" aboveAverage="0" equalAverage="0" bottom="0" percent="0" rank="0" text="" dxfId="10">
      <formula>$H9="implemented"</formula>
    </cfRule>
    <cfRule type="expression" priority="5" aboveAverage="0" equalAverage="0" bottom="0" percent="0" rank="0" text="" dxfId="11">
      <formula>$H9="tested"</formula>
    </cfRule>
    <cfRule type="expression" priority="6" aboveAverage="0" equalAverage="0" bottom="0" percent="0" rank="0" text="" dxfId="12">
      <formula>$H9="verified"</formula>
    </cfRule>
    <cfRule type="expression" priority="7" aboveAverage="0" equalAverage="0" bottom="0" percent="0" rank="0" text="" dxfId="13">
      <formula>$H9="blocked"</formula>
    </cfRule>
    <cfRule type="expression" priority="8" aboveAverage="0" equalAverage="0" bottom="0" percent="0" rank="0" text="" dxfId="14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151</v>
      </c>
      <c r="B1" s="1" t="s">
        <v>72</v>
      </c>
    </row>
    <row r="2" customFormat="false" ht="15" hidden="false" customHeight="true" outlineLevel="0" collapsed="false">
      <c r="A2" s="1" t="s">
        <v>282</v>
      </c>
      <c r="B2" s="1" t="s">
        <v>65</v>
      </c>
    </row>
    <row r="3" customFormat="false" ht="15" hidden="false" customHeight="true" outlineLevel="0" collapsed="false">
      <c r="A3" s="1" t="s">
        <v>283</v>
      </c>
    </row>
    <row r="4" customFormat="false" ht="15" hidden="false" customHeight="true" outlineLevel="0" collapsed="false">
      <c r="A4" s="1" t="s">
        <v>64</v>
      </c>
    </row>
    <row r="5" customFormat="false" ht="15" hidden="false" customHeight="true" outlineLevel="0" collapsed="false">
      <c r="A5" s="1" t="s">
        <v>71</v>
      </c>
    </row>
    <row r="6" customFormat="false" ht="15" hidden="false" customHeight="true" outlineLevel="0" collapsed="false">
      <c r="A6" s="1" t="s">
        <v>242</v>
      </c>
    </row>
    <row r="7" customFormat="false" ht="15" hidden="false" customHeight="true" outlineLevel="0" collapsed="false">
      <c r="A7" s="1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2026-07-17T04:14:52Z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