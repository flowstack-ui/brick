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5.xml" ContentType="application/vnd.openxmlformats-officedocument.spreadsheetml.worksheet+xml"/>
  <Override PartName="/xl/worksheets/sheet90.xml" ContentType="application/vnd.openxmlformats-officedocument.spreadsheetml.worksheet+xml"/>
  <Override PartName="/xl/worksheets/sheet68.xml" ContentType="application/vnd.openxmlformats-officedocument.spreadsheetml.worksheet+xml"/>
  <Override PartName="/xl/worksheets/sheet9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5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97.xml" ContentType="application/vnd.openxmlformats-officedocument.spreadsheetml.worksheet+xml"/>
  <Override PartName="/xl/worksheets/sheet74.xml" ContentType="application/vnd.openxmlformats-officedocument.spreadsheetml.worksheet+xml"/>
  <Override PartName="/xl/worksheets/sheet4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1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7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36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72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91.xml" ContentType="application/vnd.openxmlformats-officedocument.spreadsheetml.worksheet+xml"/>
  <Override PartName="/xl/worksheets/sheet62.xml" ContentType="application/vnd.openxmlformats-officedocument.spreadsheetml.worksheet+xml"/>
  <Override PartName="/xl/worksheets/sheet57.xml" ContentType="application/vnd.openxmlformats-officedocument.spreadsheetml.worksheet+xml"/>
  <Override PartName="/xl/worksheets/sheet94.xml" ContentType="application/vnd.openxmlformats-officedocument.spreadsheetml.worksheet+xml"/>
  <Override PartName="/xl/worksheets/sheet58.xml" ContentType="application/vnd.openxmlformats-officedocument.spreadsheetml.worksheet+xml"/>
  <Override PartName="/xl/worksheets/sheet63.xml" ContentType="application/vnd.openxmlformats-officedocument.spreadsheetml.worksheet+xml"/>
  <Override PartName="/xl/worksheets/sheet7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32.xml" ContentType="application/vnd.openxmlformats-officedocument.spreadsheetml.worksheet+xml"/>
  <Override PartName="/xl/worksheets/sheet67.xml" ContentType="application/vnd.openxmlformats-officedocument.spreadsheetml.worksheet+xml"/>
  <Override PartName="/xl/worksheets/sheet73.xml" ContentType="application/vnd.openxmlformats-officedocument.spreadsheetml.worksheet+xml"/>
  <Override PartName="/xl/worksheets/sheet66.xml" ContentType="application/vnd.openxmlformats-officedocument.spreadsheetml.worksheet+xml"/>
  <Override PartName="/xl/worksheets/sheet71.xml" ContentType="application/vnd.openxmlformats-officedocument.spreadsheetml.worksheet+xml"/>
  <Override PartName="/xl/worksheets/sheet12.xml" ContentType="application/vnd.openxmlformats-officedocument.spreadsheetml.worksheet+xml"/>
  <Override PartName="/xl/worksheets/sheet89.xml" ContentType="application/vnd.openxmlformats-officedocument.spreadsheetml.worksheet+xml"/>
  <Override PartName="/xl/worksheets/sheet76.xml" ContentType="application/vnd.openxmlformats-officedocument.spreadsheetml.worksheet+xml"/>
  <Override PartName="/xl/worksheets/sheet40.xml" ContentType="application/vnd.openxmlformats-officedocument.spreadsheetml.worksheet+xml"/>
  <Override PartName="/xl/worksheets/sheet77.xml" ContentType="application/vnd.openxmlformats-officedocument.spreadsheetml.worksheet+xml"/>
  <Override PartName="/xl/worksheets/sheet44.xml" ContentType="application/vnd.openxmlformats-officedocument.spreadsheetml.worksheet+xml"/>
  <Override PartName="/xl/worksheets/sheet80.xml" ContentType="application/vnd.openxmlformats-officedocument.spreadsheetml.worksheet+xml"/>
  <Override PartName="/xl/worksheets/sheet78.xml" ContentType="application/vnd.openxmlformats-officedocument.spreadsheetml.worksheet+xml"/>
  <Override PartName="/xl/worksheets/sheet45.xml" ContentType="application/vnd.openxmlformats-officedocument.spreadsheetml.worksheet+xml"/>
  <Override PartName="/xl/worksheets/sheet93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84.xml" ContentType="application/vnd.openxmlformats-officedocument.spreadsheetml.worksheet+xml"/>
  <Override PartName="/xl/worksheets/sheet83.xml" ContentType="application/vnd.openxmlformats-officedocument.spreadsheetml.worksheet+xml"/>
  <Override PartName="/xl/worksheets/sheet87.xml" ContentType="application/vnd.openxmlformats-officedocument.spreadsheetml.worksheet+xml"/>
  <Override PartName="/xl/worksheets/sheet82.xml" ContentType="application/vnd.openxmlformats-officedocument.spreadsheetml.worksheet+xml"/>
  <Override PartName="/xl/worksheets/sheet96.xml" ContentType="application/vnd.openxmlformats-officedocument.spreadsheetml.worksheet+xml"/>
  <Override PartName="/xl/worksheets/sheet52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92.xml" ContentType="application/vnd.openxmlformats-officedocument.spreadsheetml.worksheet+xml"/>
  <Override PartName="/xl/worksheets/sheet49.xml" ContentType="application/vnd.openxmlformats-officedocument.spreadsheetml.worksheet+xml"/>
  <Override PartName="/xl/worksheets/sheet43.xml" ContentType="application/vnd.openxmlformats-officedocument.spreadsheetml.worksheet+xml"/>
  <Override PartName="/xl/worksheets/sheet88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visible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Color Swatch" sheetId="86" state="visible" r:id="rId88"/>
    <sheet name="Bleed" sheetId="87" state="visible" r:id="rId89"/>
    <sheet name="Data List" sheetId="88" state="visible" r:id="rId90"/>
    <sheet name="Link Box" sheetId="89" state="visible" r:id="rId91"/>
    <sheet name="Segment Group" sheetId="90" state="visible" r:id="rId92"/>
    <sheet name="Status" sheetId="91" state="visible" r:id="rId93"/>
    <sheet name="Color Picker" sheetId="92" state="visible" r:id="rId94"/>
    <sheet name="Em" sheetId="93" state="visible" r:id="rId95"/>
    <sheet name="Mark" sheetId="94" state="visible" r:id="rId96"/>
    <sheet name="Kbd" sheetId="95" state="visible" r:id="rId97"/>
    <sheet name="Blockquote" sheetId="96" state="visible" r:id="rId98"/>
    <sheet name="Highlight" sheetId="97" state="visible" r:id="rId99"/>
    <sheet name="Prose" sheetId="98" state="visible" r:id="rId10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<sst xmlns="http://schemas.openxmlformats.org/spreadsheetml/2006/main" count="19851" uniqueCount="5179">
  <si>
    <t xml:space="preserve">Brick Component Coverage</t>
  </si>
  <si>
    <t xml:space="preserve">95 independently documented public component owners across 94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</si>
  <si>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</si>
  <si>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</si>
  <si>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</si>
  <si>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</si>
  <si>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</si>
  <si>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</si>
  <si>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</si>
  <si>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</si>
  <si>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</si>
  <si>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</si>
  <si>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</si>
  <si>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</si>
  <si>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</si>
  <si>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</si>
  <si>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</si>
  <si>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</si>
  <si>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</si>
  <si>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</si>
  <si>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</si>
  <si>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</si>
  <si>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</si>
  <si>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</si>
  <si>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</si>
  <si>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</si>
  <si>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</si>
  <si>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</si>
  <si>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</si>
  <si>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</si>
  <si>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</si>
  <si>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</si>
  <si>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</si>
  <si>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</si>
  <si>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</si>
  <si>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</si>
  <si>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</si>
  <si>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</si>
  <si>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</si>
  <si>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</si>
  <si>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</si>
  <si>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</si>
  <si>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</si>
  <si>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</si>
  <si>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</si>
  <si>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</si>
  <si>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</si>
  <si>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</si>
  <si>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</si>
  <si>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</si>
  <si>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</si>
  <si>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</si>
  <si>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</si>
  <si>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</si>
  <si>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</si>
  <si>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</si>
  <si>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</si>
  <si>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</si>
  <si>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</si>
  <si>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</si>
  <si>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</si>
  <si>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</si>
  <si>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</si>
  <si>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</si>
  <si>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</si>
  <si>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</si>
  <si>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</si>
  <si>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</si>
  <si>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</si>
  <si>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</si>
  <si>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</si>
  <si>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</si>
  <si>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</si>
  <si>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</si>
  <si>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</si>
  <si>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</si>
  <si>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</si>
  <si>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</si>
  <si>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</si>
  <si>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</si>
  <si>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</si>
  <si>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</si>
  <si>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</si>
  <si>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</si>
  <si>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</si>
  <si>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</si>
  <si>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</si>
  <si>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</si>
  <si>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</si>
  <si>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</si>
  <si>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</si>
  <si>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</si>
  <si>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</si>
  <si>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</si>
  <si>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</si>
  <si>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</si>
  <si>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</si>
  <si>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</si>
  <si>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</si>
  <si>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Color Swatch</t>
  </si>
  <si>
    <t xml:space="preserve">Bleed</t>
  </si>
  <si>
    <t xml:space="preserve">Data List</t>
  </si>
  <si>
    <t xml:space="preserve">Link Box</t>
  </si>
  <si>
    <t xml:space="preserve">Segment Group</t>
  </si>
  <si>
    <t xml:space="preserve">Status</t>
  </si>
  <si>
    <t xml:space="preserve">Color Picker</t>
  </si>
  <si>
    <t xml:space="preserve">Em</t>
  </si>
  <si>
    <t xml:space="preserve">Mark</t>
  </si>
  <si>
    <t xml:space="preserve">Kbd</t>
  </si>
  <si>
    <t xml:space="preserve">Blockquote</t>
  </si>
  <si>
    <t xml:space="preserve">Highlight</t>
  </si>
  <si>
    <t xml:space="preserve">Prose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</si>
  <si>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</si>
  <si>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</si>
  <si>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</si>
  <si>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</si>
  <si>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</si>
  <si>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</si>
  <si>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</si>
  <si>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</si>
  <si>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</si>
  <si>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</si>
  <si>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</si>
  <si>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</si>
  <si>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</si>
  <si>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</si>
  <si>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</si>
  <si>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</si>
  <si>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</si>
  <si>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</si>
  <si>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</si>
  <si>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</si>
  <si>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</si>
  <si>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</si>
  <si>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</si>
  <si>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</si>
  <si>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</si>
  <si>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</si>
  <si>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</si>
  <si>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</si>
  <si>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</si>
  <si>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</si>
  <si>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</si>
  <si>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</si>
  <si>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</si>
  <si>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</si>
  <si>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</si>
  <si>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</si>
  <si>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</si>
  <si>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</si>
  <si>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</si>
  <si>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</si>
  <si>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</si>
  <si>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</si>
  <si>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</si>
  <si>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</si>
  <si>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</si>
  <si>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</si>
  <si>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</si>
  <si>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</si>
  <si>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</si>
  <si>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</si>
  <si>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</si>
  <si>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</si>
  <si>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</si>
  <si>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</si>
  <si>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</si>
  <si>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</si>
  <si>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</si>
  <si>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</si>
  <si>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</si>
  <si>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</si>
  <si>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</si>
  <si>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</si>
  <si>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</si>
  <si>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</si>
  <si>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</si>
  <si>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</si>
  <si>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</si>
  <si>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</si>
  <si>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</si>
  <si>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</si>
  <si>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</si>
  <si>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</si>
  <si>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</si>
  <si>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</si>
  <si>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</si>
  <si>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</si>
  <si>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</si>
  <si>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</si>
  <si>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</si>
  <si>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</si>
  <si>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</si>
  <si>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</si>
  <si>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</si>
  <si>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</si>
  <si>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</si>
  <si>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</si>
  <si>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</si>
  <si>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</si>
  <si>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</si>
  <si>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</si>
  <si>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</si>
  <si>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</si>
  <si>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</si>
  <si>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</si>
  <si>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</si>
  <si>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</si>
  <si>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</si>
  <si>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</si>
  <si>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</si>
  <si>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</si>
  <si>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</si>
  <si>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</si>
  <si>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</si>
  <si>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</si>
  <si>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</si>
  <si>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</si>
  <si>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</si>
  <si>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</si>
  <si>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</si>
  <si>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</si>
  <si>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</si>
  <si>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</si>
  <si>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</si>
  <si>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</si>
  <si>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</si>
  <si>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</si>
  <si>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</si>
  <si>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</si>
  <si>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</si>
  <si>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</si>
  <si>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</si>
  <si>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</si>
  <si>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</si>
  <si>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</si>
  <si>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</si>
  <si>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</si>
  <si>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</si>
  <si>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</si>
  <si>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</si>
  <si>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</si>
  <si>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</si>
  <si>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</si>
  <si>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</si>
  <si>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</si>
  <si>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</si>
  <si>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</si>
  <si>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</si>
  <si>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</si>
  <si>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</si>
  <si>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</si>
  <si>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</si>
  <si>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</si>
  <si>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</si>
  <si>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</si>
  <si>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</si>
  <si>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</si>
  <si>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</si>
  <si>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</si>
  <si>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</si>
  <si>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</si>
  <si>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</si>
  <si>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</si>
  <si>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</si>
  <si>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</si>
  <si>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</si>
  <si>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</si>
  <si>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</si>
  <si>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</si>
  <si>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</si>
  <si>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</si>
  <si>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</si>
  <si>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</si>
  <si>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</si>
  <si>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</si>
  <si>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</si>
  <si>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</si>
  <si>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</si>
  <si>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</si>
  <si>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</si>
  <si>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</si>
  <si>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</si>
  <si>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</si>
  <si>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</si>
  <si>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</si>
  <si>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</si>
  <si>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</si>
  <si>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</si>
  <si>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</si>
  <si>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</si>
  <si>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</si>
  <si>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</si>
  <si>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</si>
  <si>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</si>
  <si>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</si>
  <si>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</si>
  <si>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</si>
  <si>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</si>
  <si>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</si>
  <si>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</si>
  <si>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</si>
  <si>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</si>
  <si>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</si>
  <si>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</si>
  <si>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</si>
  <si>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</si>
  <si>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</si>
  <si>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</si>
  <si>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</si>
  <si>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</si>
  <si>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</si>
  <si>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</si>
  <si>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</si>
  <si>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</si>
  <si>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</si>
  <si>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</si>
  <si>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</si>
  <si>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</si>
  <si>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</si>
  <si>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</si>
  <si>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</si>
  <si>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</si>
  <si>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</si>
  <si>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</si>
  <si>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</si>
  <si>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</si>
  <si>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</si>
  <si>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</si>
  <si>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</si>
  <si>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</si>
  <si>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</si>
  <si>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</si>
  <si>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</si>
  <si>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</si>
  <si>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</si>
  <si>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</si>
  <si>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</si>
  <si>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</si>
  <si>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</si>
  <si>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</si>
  <si>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</si>
  <si>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</si>
  <si>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</si>
  <si>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</si>
  <si>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</si>
  <si>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</si>
  <si>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</si>
  <si>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</si>
  <si>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</si>
  <si>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</si>
  <si>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</si>
  <si>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</si>
  <si>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</si>
  <si>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</si>
  <si>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</si>
  <si>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</si>
  <si>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</si>
  <si>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</si>
  <si>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</si>
  <si>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</si>
  <si>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</si>
  <si>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</si>
  <si>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</si>
  <si>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</si>
  <si>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</si>
  <si>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</si>
  <si>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</si>
  <si>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</si>
  <si>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</si>
  <si>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</si>
  <si>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</si>
  <si>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</si>
  <si>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</si>
  <si>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</si>
  <si>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</si>
  <si>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</si>
  <si>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</si>
  <si>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</si>
  <si>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</si>
  <si>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</si>
  <si>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</si>
  <si>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</si>
  <si>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</si>
  <si>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</si>
  <si>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</si>
  <si>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</si>
  <si>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</si>
  <si>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</si>
  <si>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</si>
  <si>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</si>
  <si>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</si>
  <si>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</si>
  <si>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</si>
  <si>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</si>
  <si>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</si>
  <si>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</si>
  <si>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</si>
  <si>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</si>
  <si>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</si>
  <si>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</si>
  <si>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</si>
  <si>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</si>
  <si>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</si>
  <si>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</si>
  <si>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</si>
  <si>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</si>
  <si>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</si>
  <si>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</si>
  <si>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</si>
  <si>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</si>
  <si>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</si>
  <si>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</si>
  <si>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</si>
  <si>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</si>
  <si>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</si>
  <si>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</si>
  <si>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</si>
  <si>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</si>
  <si>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</si>
  <si>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</si>
  <si>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</si>
  <si>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</si>
  <si>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</si>
  <si>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</si>
  <si>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</si>
  <si>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</si>
  <si>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</si>
  <si>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</si>
  <si>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</si>
  <si>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</si>
  <si>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</si>
  <si>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</si>
  <si>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</si>
  <si>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</si>
  <si>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</si>
  <si>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</si>
  <si>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</si>
  <si>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</si>
  <si>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</si>
  <si>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</si>
  <si>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</si>
  <si>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</si>
  <si>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</si>
  <si>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</si>
  <si>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</si>
  <si>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</si>
  <si>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</si>
  <si>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</si>
  <si>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</si>
  <si>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</si>
  <si>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</si>
  <si>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</si>
  <si>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</si>
  <si>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</si>
  <si>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</si>
  <si>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</si>
  <si>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</si>
  <si>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</si>
  <si>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</si>
  <si>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</si>
  <si>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</si>
  <si>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</si>
  <si>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</si>
  <si>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</si>
  <si>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</si>
  <si>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</si>
  <si>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</si>
  <si>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</si>
  <si>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</si>
  <si>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</si>
  <si>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</si>
  <si>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</si>
  <si>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</si>
  <si>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</si>
  <si>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</si>
  <si>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</si>
  <si>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</si>
  <si>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</si>
  <si>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</si>
  <si>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</si>
  <si>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</si>
  <si>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</si>
  <si>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</si>
  <si>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</si>
  <si>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</si>
  <si>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</si>
  <si>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</si>
  <si>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</si>
  <si>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</si>
  <si>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</si>
  <si>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</si>
  <si>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</si>
  <si>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</si>
  <si>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</si>
  <si>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</si>
  <si>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</si>
  <si>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</si>
  <si>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</si>
  <si>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</si>
  <si>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</si>
  <si>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</si>
  <si>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</si>
  <si>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</si>
  <si>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</si>
  <si>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</si>
  <si>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</si>
  <si>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</si>
  <si>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</si>
  <si>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</si>
  <si>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</si>
  <si>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</si>
  <si>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</si>
  <si>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</si>
  <si>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</si>
  <si>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</si>
  <si>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</si>
  <si>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</si>
  <si>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</si>
  <si>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</si>
  <si>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</si>
  <si>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</si>
  <si>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</si>
  <si>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</si>
  <si>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</si>
  <si>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</si>
  <si>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</si>
  <si>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</si>
  <si>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</si>
  <si>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</si>
  <si>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</si>
  <si>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</si>
  <si>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</si>
  <si>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</si>
  <si>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</si>
  <si>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</si>
  <si>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</si>
  <si>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</si>
  <si>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</si>
  <si>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</si>
  <si>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</si>
  <si>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</si>
  <si>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</si>
  <si>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</si>
  <si>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</si>
  <si>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</si>
  <si>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</si>
  <si>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</si>
  <si>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</si>
  <si>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</si>
  <si>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</si>
  <si>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</si>
  <si>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</si>
  <si>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</si>
  <si>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</si>
  <si>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</si>
  <si>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</si>
  <si>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</si>
  <si>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</si>
  <si>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</si>
  <si>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</si>
  <si>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</si>
  <si>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</si>
  <si>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</si>
  <si>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</si>
  <si>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</si>
  <si>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</si>
  <si>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</si>
  <si>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</si>
  <si>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</si>
  <si>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</si>
  <si>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</si>
  <si>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</si>
  <si>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</si>
  <si>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</si>
  <si>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</si>
  <si>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</si>
  <si>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</si>
  <si>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</si>
  <si>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</si>
  <si>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</si>
  <si>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</si>
  <si>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</si>
  <si>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</si>
  <si>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</si>
  <si>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</si>
  <si>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</si>
  <si>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</si>
  <si>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</si>
  <si>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</si>
  <si>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</si>
  <si>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</si>
  <si>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</si>
  <si>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</si>
  <si>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</si>
  <si>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</si>
  <si>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</si>
  <si>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</si>
  <si>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</si>
  <si>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</si>
  <si>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</si>
  <si>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</si>
  <si>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</si>
  <si>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</si>
  <si>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</si>
  <si>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</si>
  <si>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</si>
  <si>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</si>
  <si>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</si>
  <si>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</si>
  <si>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</si>
  <si>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</si>
  <si>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</si>
  <si>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</si>
  <si>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</si>
  <si>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</si>
  <si>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</si>
  <si>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</si>
  <si>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</si>
  <si>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</si>
  <si>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</si>
  <si>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</si>
  <si>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</si>
  <si>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</si>
  <si>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</si>
  <si>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</si>
  <si>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</si>
  <si>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</si>
  <si>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</si>
  <si>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</si>
  <si>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</si>
  <si>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</si>
  <si>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</si>
  <si>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</si>
  <si>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</si>
  <si>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</si>
  <si>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</si>
  <si>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</si>
  <si>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</si>
  <si>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</si>
  <si>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</si>
  <si>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</si>
  <si>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</si>
  <si>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</si>
  <si>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</si>
  <si>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</si>
  <si>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</si>
  <si>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</si>
  <si>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</si>
  <si>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</si>
  <si>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</si>
  <si>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</si>
  <si>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</si>
  <si>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</si>
  <si>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</si>
  <si>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</si>
  <si>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</si>
  <si>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</si>
  <si>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</si>
  <si>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</si>
  <si>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</si>
  <si>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</si>
  <si>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</si>
  <si>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</si>
  <si>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</si>
  <si>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</si>
  <si>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</si>
  <si>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</si>
  <si>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</si>
  <si>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</si>
  <si>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</si>
  <si>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</si>
  <si>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</si>
  <si>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</si>
  <si>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</si>
  <si>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</si>
  <si>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</si>
  <si>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</si>
  <si>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</si>
  <si>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</si>
  <si>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</si>
  <si>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</si>
  <si>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</si>
  <si>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</si>
  <si>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</si>
  <si>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</si>
  <si>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</si>
  <si>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</si>
  <si>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</si>
  <si>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</si>
  <si>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</si>
  <si>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</si>
  <si>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</si>
  <si>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</si>
  <si>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</si>
  <si>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</si>
  <si>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</si>
  <si>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</si>
  <si>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</si>
  <si>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</si>
  <si>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</si>
  <si>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</si>
  <si>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</si>
  <si>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</si>
  <si>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</si>
  <si>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</si>
  <si>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</si>
  <si>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</si>
  <si>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</si>
  <si>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</si>
  <si>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</si>
  <si>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</si>
  <si>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</si>
  <si>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</si>
  <si>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</si>
  <si>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</si>
  <si>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</si>
  <si>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</si>
  <si>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</si>
  <si>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</si>
  <si>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</si>
  <si>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</si>
  <si>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</si>
  <si>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</si>
  <si>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</si>
  <si>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</si>
  <si>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</si>
  <si>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</si>
  <si>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</si>
  <si>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</si>
  <si>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</si>
  <si>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</si>
  <si>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</si>
  <si>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</si>
  <si>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</si>
  <si>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</si>
  <si>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</si>
  <si>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</si>
  <si>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</si>
  <si>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</si>
  <si>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</si>
  <si>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</si>
  <si>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</si>
  <si>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</si>
  <si>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</si>
  <si>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</si>
  <si>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</si>
  <si>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</si>
  <si>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</si>
  <si>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</si>
  <si>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</si>
  <si>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</si>
  <si>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</si>
  <si>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</si>
  <si>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</si>
  <si>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</si>
  <si>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</si>
  <si>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</si>
  <si>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</si>
  <si>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</si>
  <si>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</si>
  <si>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</si>
  <si>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</si>
  <si>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</si>
  <si>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</si>
  <si>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</si>
  <si>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</si>
  <si>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</si>
  <si>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</si>
  <si>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</si>
  <si>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</si>
  <si>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</si>
  <si>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</si>
  <si>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</si>
  <si>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</si>
  <si>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</si>
  <si>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</si>
  <si>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</si>
  <si>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</si>
  <si>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</si>
  <si>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</si>
  <si>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</si>
  <si>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</si>
  <si>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</si>
  <si>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</si>
  <si>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</si>
  <si>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</si>
  <si>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</si>
  <si>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</si>
  <si>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</si>
  <si>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</si>
  <si>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</si>
  <si>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</si>
  <si>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</si>
  <si>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</si>
  <si>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</si>
  <si>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</si>
  <si>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</si>
  <si>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</si>
  <si>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</si>
  <si>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</si>
  <si>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</si>
  <si>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</si>
  <si>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</si>
  <si>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</si>
  <si>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</si>
  <si>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</si>
  <si>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</si>
  <si>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</si>
  <si>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</si>
  <si>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</si>
  <si>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</si>
  <si>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</si>
  <si>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</si>
  <si>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</si>
  <si>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</si>
  <si>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</si>
  <si>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</si>
  <si>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</si>
  <si>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</si>
  <si>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</si>
  <si>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</si>
  <si>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</si>
  <si>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</si>
  <si>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</si>
  <si>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</si>
  <si>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</si>
  <si>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</si>
  <si>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</si>
  <si>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</si>
  <si>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</si>
  <si>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</si>
  <si>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</si>
  <si>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</si>
  <si>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</si>
  <si>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</si>
  <si>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</si>
  <si>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</si>
  <si>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</si>
  <si>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</si>
  <si>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</si>
  <si>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</si>
  <si>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</si>
  <si>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</si>
  <si>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</si>
  <si>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</si>
  <si>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</si>
  <si>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</si>
  <si>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</si>
  <si>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</si>
  <si>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</si>
  <si>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</si>
  <si>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</si>
  <si>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</si>
  <si>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</si>
  <si>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</si>
  <si>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</si>
  <si>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</si>
  <si>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</si>
  <si>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</si>
  <si>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</si>
  <si>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</si>
  <si>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</si>
  <si>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</si>
  <si>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</si>
  <si>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</si>
  <si>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</si>
  <si>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</si>
  <si>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</si>
  <si>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</si>
  <si>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</si>
  <si>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</si>
  <si>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</si>
  <si>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</si>
  <si>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</si>
  <si>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</si>
  <si>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</si>
  <si>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</si>
  <si>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</si>
  <si>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</si>
  <si>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</si>
  <si>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</si>
  <si>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</si>
  <si>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</si>
  <si>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</si>
  <si>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</si>
  <si>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</si>
  <si>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</si>
  <si>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</si>
  <si>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</si>
  <si>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</si>
  <si>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</si>
  <si>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</si>
  <si>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</si>
  <si>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</si>
  <si>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</si>
  <si>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</si>
  <si>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</si>
  <si>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</si>
  <si>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</si>
  <si>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</si>
  <si>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</si>
  <si>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</si>
  <si>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</si>
  <si>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</si>
  <si>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</si>
  <si>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</si>
  <si>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</si>
  <si>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</si>
  <si>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</si>
  <si>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</si>
  <si>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</si>
  <si>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</si>
  <si>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</si>
  <si>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</si>
  <si>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</si>
  <si>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</si>
  <si>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</si>
  <si>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</si>
  <si>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</si>
  <si>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</si>
  <si>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</si>
  <si>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</si>
  <si>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</si>
  <si>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</si>
  <si>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</si>
  <si>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</si>
  <si>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</si>
  <si>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</si>
  <si>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</si>
  <si>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</si>
  <si>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</si>
  <si>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</si>
  <si>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</si>
  <si>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</si>
  <si>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</si>
  <si>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</si>
  <si>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</si>
  <si>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</si>
  <si>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</si>
  <si>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</si>
  <si>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</si>
  <si>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</si>
  <si>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</si>
  <si>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</si>
  <si>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</si>
  <si>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</si>
  <si>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</si>
  <si>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</si>
  <si>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</si>
  <si>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</si>
  <si>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</si>
  <si>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</si>
  <si>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</si>
  <si>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</si>
  <si>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</si>
  <si>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</si>
  <si>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</si>
  <si>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</si>
  <si>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</si>
  <si>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</si>
  <si>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</si>
  <si>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</si>
  <si>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</si>
  <si>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</si>
  <si>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</si>
  <si>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</si>
  <si>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</si>
  <si>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</si>
  <si>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</si>
  <si>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</si>
  <si>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</si>
  <si>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</si>
  <si>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</si>
  <si>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</si>
  <si>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</si>
  <si>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</si>
  <si>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</si>
  <si>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</si>
  <si>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</si>
  <si>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</si>
  <si>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</si>
  <si>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</si>
  <si>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</si>
  <si>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</si>
  <si>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</si>
  <si>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</si>
  <si>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</si>
  <si>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</si>
  <si>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</si>
  <si>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</si>
  <si>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</si>
  <si>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</si>
  <si>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</si>
  <si>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</si>
  <si>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</si>
  <si>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</si>
  <si>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</si>
  <si>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</si>
  <si>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</si>
  <si>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</si>
  <si>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</si>
  <si>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</si>
  <si>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</si>
  <si>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</si>
  <si>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</si>
  <si>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</si>
  <si>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</si>
  <si>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</si>
  <si>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</si>
  <si>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</si>
  <si>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</si>
  <si>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</si>
  <si>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</si>
  <si>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</si>
  <si>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</si>
  <si>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</si>
  <si>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</si>
  <si>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</si>
  <si>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</si>
  <si>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</si>
  <si>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</si>
  <si>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</si>
  <si>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</si>
  <si>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</si>
  <si>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</si>
  <si>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</si>
  <si>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</si>
  <si>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</si>
  <si>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</si>
  <si>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</si>
  <si>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</si>
  <si>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</si>
  <si>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</si>
  <si>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</si>
  <si>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</si>
  <si>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</si>
  <si>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</si>
  <si>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</si>
  <si>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</si>
  <si>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</si>
  <si>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</si>
  <si>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</si>
  <si>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</si>
  <si>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</si>
  <si>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</si>
  <si>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</si>
  <si>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</si>
  <si>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</si>
  <si>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</si>
  <si>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</si>
  <si>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</si>
  <si>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</si>
  <si>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</si>
  <si>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</si>
  <si>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</si>
  <si>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</si>
  <si>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</si>
  <si>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</si>
  <si>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</si>
  <si>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</si>
  <si>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</si>
  <si>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</si>
  <si>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</si>
  <si>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</si>
  <si>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</si>
  <si>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</si>
  <si>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</si>
  <si>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</si>
  <si>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</si>
  <si>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</si>
  <si>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</si>
  <si>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</si>
  <si>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</si>
  <si>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</si>
  <si>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</si>
  <si>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</si>
  <si>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</si>
  <si>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</si>
  <si>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</si>
  <si>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</si>
  <si>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</si>
  <si>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</si>
  <si>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</si>
  <si>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</si>
  <si>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</si>
  <si>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</si>
  <si>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</si>
  <si>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</si>
  <si>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</si>
  <si>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</si>
  <si>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</si>
  <si>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</si>
  <si>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</si>
  <si>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</si>
  <si>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</si>
  <si>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</si>
  <si>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</si>
  <si>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</si>
  <si>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</si>
  <si>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</si>
  <si>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</si>
  <si>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</si>
  <si>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</si>
  <si>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</si>
  <si>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</si>
  <si>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</si>
  <si>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</si>
  <si>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</si>
  <si>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</si>
  <si>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</si>
  <si>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</si>
  <si>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</si>
  <si>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</si>
  <si>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</si>
  <si>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</si>
  <si>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</si>
  <si>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</si>
  <si>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</si>
  <si>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</si>
  <si>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</si>
  <si>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</si>
  <si>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</si>
  <si>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</si>
  <si>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</si>
  <si>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</si>
  <si>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</si>
  <si>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</si>
  <si>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</si>
  <si>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</si>
  <si>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</si>
  <si>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</si>
  <si>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</si>
  <si>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</si>
  <si>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</si>
  <si>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</si>
  <si>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</si>
  <si>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</si>
  <si>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</si>
  <si>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</si>
  <si>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</si>
  <si>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</si>
  <si>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</si>
  <si>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</si>
  <si>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</si>
  <si>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</si>
  <si>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</si>
  <si>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</si>
  <si>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</si>
  <si>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source, adapter, line metadata, collapse, Clipboard, browser, documentation, Consumer, and release evidence.</t>
  </si>
  <si>
    <t xml:space="preserve">CB-01</t>
  </si>
  <si>
    <t xml:space="preserve">Root and anatomy</t>
  </si>
  <si>
    <t xml:space="preserve">Atom Clipboard Root plus Header, Title, Language, Actions, Content, line,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</si>
  <si>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</si>
  <si>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</si>
  <si>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</si>
  <si>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</si>
  <si>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</si>
  <si>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</si>
  <si>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Adapter</t>
  </si>
  <si>
    <t xml:space="preserve">Root and Content</t>
  </si>
  <si>
    <t xml:space="preserve">The optional synchronous adapter is lazy, memoized per source identity, React-safe, and shared by preview and full content.</t>
  </si>
  <si>
    <t xml:space="preserve">CB-04</t>
  </si>
  <si>
    <t xml:space="preserve">Line metadata</t>
  </si>
  <si>
    <t xml:space="preserve">Line</t>
  </si>
  <si>
    <t xml:space="preserve">Numbers, highlighted and focused lines, additions, removals, combinations, and public data hooks render from explicit metadata.</t>
  </si>
  <si>
    <t xml:space="preserve">CB-05</t>
  </si>
  <si>
    <t xml:space="preserve">Collapse</t>
  </si>
  <si>
    <t xml:space="preserve">Collapse parts</t>
  </si>
  <si>
    <t xml:space="preserve">Bounded content and the preview/expanded path compose exact Brick Collapsible anatomy with truthful hidden and trigger relationships.</t>
  </si>
  <si>
    <t xml:space="preserve">tests/components/code-block/behavior.spec.ts</t>
  </si>
  <si>
    <t xml:space="preserve">CB-06</t>
  </si>
  <si>
    <t xml:space="preserve">Clipboard</t>
  </si>
  <si>
    <t xml:space="preserve">Copy parts</t>
  </si>
  <si>
    <t xml:space="preserve">CopyTrigger, indicators, status, pending, success, failure, timeout, and disabled state copy canonical plain source through Atom Clipboard.</t>
  </si>
  <si>
    <t xml:space="preserve">CB-07</t>
  </si>
  <si>
    <t xml:space="preserve">Root, Code Block, adapter, line, and collapse subpath exports expose every public runtime and type.</t>
  </si>
  <si>
    <t xml:space="preserve">CB-08</t>
  </si>
  <si>
    <t xml:space="preserve">Anatomy, recipes, adapter, line metadata, maximum lines, collapse parts, native props, and refs type-check.</t>
  </si>
  <si>
    <t xml:space="preserve">../test/types/components/code-block.test.ts</t>
  </si>
  <si>
    <t xml:space="preserve">CB-09</t>
  </si>
  <si>
    <t xml:space="preserve">Static CSS ships surfaces, overflow, wrapping, line states, bounded height, collapse, selection, focus, forced colors, and public variables.</t>
  </si>
  <si>
    <t xml:space="preserve">../src/components/code-block/code-block.css</t>
  </si>
  <si>
    <t xml:space="preserve">CB-10</t>
  </si>
  <si>
    <t xml:space="preserve">Defaults, adapter lifecycle, explicit children, line metadata, copy authority, bounded height, and collapse composition pass.</t>
  </si>
  <si>
    <t xml:space="preserve">CB-11</t>
  </si>
  <si>
    <t xml:space="preserve">Scrolling, maximum lines, expansion, keyboard control, copy outcomes, focus retention, disabled state, RTL, and reflow pass.</t>
  </si>
  <si>
    <t xml:space="preserve">CB-12</t>
  </si>
  <si>
    <t xml:space="preserve">Content and controls</t>
  </si>
  <si>
    <t xml:space="preserve">Named scroll regions, hidden lifecycle, trigger relationships, truthful live feedback, keyboard reachability, and axe pass.</t>
  </si>
  <si>
    <t xml:space="preserve">CB-13</t>
  </si>
  <si>
    <t xml:space="preserve">Defaults, line metadata, bounded and expanded presentations, copy, appearances, mobile, and RTL own baselines.</t>
  </si>
  <si>
    <t xml:space="preserve">tests/components/code-block/visual.spec.ts</t>
  </si>
  <si>
    <t xml:space="preserve">Automated baselines pass; owner snapshot acceptance remains pending.</t>
  </si>
  <si>
    <t xml:space="preserve">CB-14</t>
  </si>
  <si>
    <t xml:space="preserve">Mobile, zoom, long lines, many lines, bounded height, RTL chrome, LTR source, and selection remain usable.</t>
  </si>
  <si>
    <t xml:space="preserve">manual-tests/code-block.md</t>
  </si>
  <si>
    <t xml:space="preserve">Automated evidence passes; the complete human responsive protocol remains pending.</t>
  </si>
  <si>
    <t xml:space="preserve">CB-15</t>
  </si>
  <si>
    <t xml:space="preserve">Line states, diff colors, focus, surfaces, selection, and controls remain legible in light, dark, and forced colors.</t>
  </si>
  <si>
    <t xml:space="preserve">manual-tests/code-block.md; tests/components/code-block/visual.spec.ts</t>
  </si>
  <si>
    <t xml:space="preserve">Automated appearance evidence passes; complete human appearance review remains pending.</t>
  </si>
  <si>
    <t xml:space="preserve">CB-16</t>
  </si>
  <si>
    <t xml:space="preserve">The component-owned protocol covers every Code Block playground scenario, including line metadata and collapse.</t>
  </si>
  <si>
    <t xml:space="preserve">Protocol exists and contains no claimed human result.</t>
  </si>
  <si>
    <t xml:space="preserve">CB-17</t>
  </si>
  <si>
    <t xml:space="preserve">Source-backed anatomy, adapter boundary, line metadata, collapse, copy ownership, accessibility, API, and tokens pass.</t>
  </si>
  <si>
    <t xml:space="preserve">../docs/components/code-block/README.md</t>
  </si>
  <si>
    <t xml:space="preserve">CB-18</t>
  </si>
  <si>
    <t xml:space="preserve">Code Block owns a public changelog and the package changelog records the extension.</t>
  </si>
  <si>
    <t xml:space="preserve">../docs/components/code-block/CHANGELOG.md; ../CHANGELOG.md</t>
  </si>
  <si>
    <t xml:space="preserve">CB-19</t>
  </si>
  <si>
    <t xml:space="preserve">The packed Consumer proves public anatomy, native source, adapter-safe output, line metadata, and copy action.</t>
  </si>
  <si>
    <t xml:space="preserve">CB-20</t>
  </si>
  <si>
    <t xml:space="preserve">Build, SSR, exports, CSS, Agent Knowledge, tarball, consumers, React matrix, browser matrix, and adoption pass.</t>
  </si>
  <si>
    <t xml:space="preserve">Automated release qualification is pending on the final stacked candidate.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</si>
  <si>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</si>
  <si>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</si>
  <si>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</si>
  <si>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</si>
  <si>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</si>
  <si>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</si>
  <si>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</si>
  <si>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</si>
  <si>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</si>
  <si>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</si>
  <si>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</si>
  <si>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</si>
  <si>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</si>
  <si>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</si>
  <si>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</si>
  <si>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</si>
  <si>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</si>
  <si>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</si>
  <si>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</si>
  <si>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</si>
  <si>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</si>
  <si>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</si>
  <si>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</si>
  <si>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</si>
  <si>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</si>
  <si>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</si>
  <si>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</si>
  <si>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</si>
  <si>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</si>
  <si>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</si>
  <si>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</si>
  <si>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</si>
  <si>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</si>
  <si>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</si>
  <si>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</si>
  <si>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</si>
  <si>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</si>
  <si>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</si>
  <si>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</si>
  <si>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Build, SSR, exports, CSS, Atom dependency, tarball, consumers, browser matrix, and adoption pass.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</si>
  <si>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</si>
  <si>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</si>
  <si>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</si>
  <si>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</si>
  <si>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</si>
  <si>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</si>
  <si>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</si>
  <si>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</si>
  <si>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</si>
  <si>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</si>
  <si>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</si>
  <si>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</si>
  <si>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</si>
  <si>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</si>
  <si>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</si>
  <si>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</si>
  <si>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</si>
  <si>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</si>
  <si>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</si>
  <si>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</si>
  <si>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</si>
  <si>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</si>
  <si>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</si>
  <si>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</si>
  <si>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</si>
  <si>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</si>
  <si>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</si>
  <si>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</si>
  <si>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</si>
  <si>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</si>
  <si>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</si>
  <si>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</si>
  <si>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</si>
  <si>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</si>
  <si>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</si>
  <si>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</si>
  <si>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</si>
  <si>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</si>
  <si>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</si>
  <si>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</si>
  <si>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</si>
  <si>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</si>
  <si>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</si>
  <si>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</si>
  <si>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</si>
  <si>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</si>
  <si>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</si>
  <si>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</si>
  <si>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</si>
  <si>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</si>
  <si>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</si>
  <si>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</si>
  <si>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</si>
  <si>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</si>
  <si>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</si>
  <si>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</si>
  <si>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</si>
  <si>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</si>
  <si>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</si>
  <si>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</si>
  <si>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</si>
  <si>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</si>
  <si>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</si>
  <si>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</si>
  <si>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</si>
  <si>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</si>
  <si>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</si>
  <si>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</si>
  <si>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</si>
  <si>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</si>
  <si>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</si>
  <si>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</si>
  <si>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</si>
  <si>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</si>
  <si>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</si>
  <si>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</si>
  <si>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</si>
  <si>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</si>
  <si>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</si>
  <si>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</si>
  <si>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</si>
  <si>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</si>
  <si>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</si>
  <si>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</si>
  <si>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</si>
  <si>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</si>
  <si>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</si>
  <si>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</si>
  <si>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</si>
  <si>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</si>
  <si>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</si>
  <si>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</si>
  <si>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</si>
  <si>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</si>
  <si>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</si>
  <si>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</si>
  <si>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</si>
  <si>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</si>
  <si>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</si>
  <si>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</si>
  <si>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</si>
  <si>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</si>
  <si>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</si>
  <si>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</si>
  <si>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</si>
  <si>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</si>
  <si>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</si>
  <si>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</si>
  <si>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</si>
  <si>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</si>
  <si>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</si>
  <si>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</si>
  <si>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</si>
  <si>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</si>
  <si>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</si>
  <si>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</si>
  <si>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</si>
  <si>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</si>
  <si>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</si>
  <si>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</si>
  <si>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</si>
  <si>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</si>
  <si>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</si>
  <si>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</si>
  <si>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</si>
  <si>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</si>
  <si>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</si>
  <si>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</si>
  <si>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</si>
  <si>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</si>
  <si>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</si>
  <si>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</si>
  <si>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</si>
  <si>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</si>
  <si>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</si>
  <si>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</si>
  <si>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</si>
  <si>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</si>
  <si>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</si>
  <si>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</si>
  <si>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</si>
  <si>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</si>
  <si>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</si>
  <si>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</si>
  <si>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</si>
  <si>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</si>
  <si>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</si>
  <si>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</si>
  <si>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</si>
  <si>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</si>
  <si>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</si>
  <si>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</si>
  <si>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</si>
  <si>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</si>
  <si>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</si>
  <si>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</si>
  <si>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</si>
  <si>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</si>
  <si>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</si>
  <si>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</si>
  <si>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</si>
  <si>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</si>
  <si>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</si>
  <si>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</si>
  <si>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</si>
  <si>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</si>
  <si>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</si>
  <si>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</si>
  <si>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</si>
  <si>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</si>
  <si>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</si>
  <si>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</si>
  <si>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</si>
  <si>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</si>
  <si>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</si>
  <si>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</si>
  <si>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</si>
  <si>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</si>
  <si>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</si>
  <si>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</si>
  <si>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</si>
  <si>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</si>
  <si>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</si>
  <si>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</si>
  <si>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</si>
  <si>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</si>
  <si>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</si>
  <si>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</si>
  <si>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</si>
  <si>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</si>
  <si>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</si>
  <si>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</si>
  <si>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</si>
  <si>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</si>
  <si>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</si>
  <si>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</si>
  <si>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</si>
  <si>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</si>
  <si>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</si>
  <si>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</si>
  <si>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</si>
  <si>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</si>
  <si>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</si>
  <si>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</si>
  <si>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</si>
  <si>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</si>
  <si>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</si>
  <si>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</si>
  <si>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</si>
  <si>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</si>
  <si>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</si>
  <si>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</si>
  <si>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</si>
  <si>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</si>
  <si>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</si>
  <si>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</si>
  <si>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</si>
  <si>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</si>
  <si>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</si>
  <si>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</si>
  <si>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</si>
  <si>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</si>
  <si>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</si>
  <si>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</si>
  <si>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</si>
  <si>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</si>
  <si>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</si>
  <si>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</si>
  <si>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</si>
  <si>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</si>
  <si>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</si>
  <si>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</si>
  <si>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</si>
  <si>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</si>
  <si>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</si>
  <si>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</si>
  <si>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</si>
  <si>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</si>
  <si>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</si>
  <si>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</si>
  <si>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</si>
  <si>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</si>
  <si>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</si>
  <si>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</si>
  <si>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</si>
  <si>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</si>
  <si>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</si>
  <si>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</si>
  <si>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</si>
  <si>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</si>
  <si>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</si>
  <si>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</si>
  <si>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</si>
  <si>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</si>
  <si>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</si>
  <si>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</si>
  <si>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</si>
  <si>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</si>
  <si>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</si>
  <si>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</si>
  <si>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</si>
  <si>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</si>
  <si>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</si>
  <si>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</si>
  <si>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</si>
  <si>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</si>
  <si>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</si>
  <si>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</si>
  <si>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</si>
  <si>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</si>
  <si>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</si>
  <si>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</si>
  <si>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</si>
  <si>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</si>
  <si>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</si>
  <si>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</si>
  <si>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</si>
  <si>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</si>
  <si>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</si>
  <si>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</si>
  <si>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</si>
  <si>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</si>
  <si>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</si>
  <si>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</si>
  <si>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</si>
  <si>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</si>
  <si>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</si>
  <si>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</si>
  <si>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</si>
  <si>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</si>
  <si>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</si>
  <si>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</si>
  <si>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</si>
  <si>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</si>
  <si>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</si>
  <si>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</si>
  <si>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</si>
  <si>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</si>
  <si>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</si>
  <si>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</si>
  <si>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</si>
  <si>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</si>
  <si>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</si>
  <si>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</si>
  <si>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</si>
  <si>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</si>
  <si>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</si>
  <si>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</si>
  <si>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</si>
  <si>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</si>
  <si>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</si>
  <si>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</si>
  <si>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</si>
  <si>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</si>
  <si>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</si>
  <si>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</si>
  <si>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</si>
  <si>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</si>
  <si>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</si>
  <si>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</si>
  <si>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</si>
  <si>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</si>
  <si>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</si>
  <si>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</si>
  <si>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</si>
  <si>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</si>
  <si>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</si>
  <si>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</si>
  <si>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</si>
  <si>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</si>
  <si>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</si>
  <si>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</si>
  <si>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</si>
  <si>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</si>
  <si>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</si>
  <si>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</si>
  <si>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</si>
  <si>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</si>
  <si>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</si>
  <si>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</si>
  <si>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</si>
  <si>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</si>
  <si>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</si>
  <si>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</si>
  <si>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</si>
  <si>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</si>
  <si>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</si>
  <si>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</si>
  <si>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</si>
  <si>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</si>
  <si>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</si>
  <si>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</si>
  <si>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</si>
  <si>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</si>
  <si>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</si>
  <si>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</si>
  <si>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</si>
  <si>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</si>
  <si>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</si>
  <si>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</si>
  <si>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</si>
  <si>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</si>
  <si>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</si>
  <si>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</si>
  <si>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</si>
  <si>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</si>
  <si>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</si>
  <si>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</si>
  <si>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</si>
  <si>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</si>
  <si>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</si>
  <si>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</si>
  <si>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</si>
  <si>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</si>
  <si>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</si>
  <si>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</si>
  <si>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</si>
  <si>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</si>
  <si>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</si>
  <si>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</si>
  <si>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</si>
  <si>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</si>
  <si>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</si>
  <si>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</si>
  <si>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</si>
  <si>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</si>
  <si>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</si>
  <si>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</si>
  <si>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</si>
  <si>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</si>
  <si>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</si>
  <si>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</si>
  <si>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</si>
  <si>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</si>
  <si>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</si>
  <si>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</si>
  <si>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</si>
  <si>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</si>
  <si>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</si>
  <si>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</si>
  <si>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</si>
  <si>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</si>
  <si>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</si>
  <si>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</si>
  <si>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</si>
  <si>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</si>
  <si>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</si>
  <si>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</si>
  <si>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</si>
  <si>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</si>
  <si>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</si>
  <si>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</si>
  <si>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</si>
  <si>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</si>
  <si>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</si>
  <si>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</si>
  <si>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</si>
  <si>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</si>
  <si>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</si>
  <si>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</si>
  <si>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</si>
  <si>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</si>
  <si>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</si>
  <si>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</si>
  <si>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</si>
  <si>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</si>
  <si>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</si>
  <si>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</si>
  <si>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</si>
  <si>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</si>
  <si>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</si>
  <si>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</si>
  <si>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</si>
  <si>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</si>
  <si>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</si>
  <si>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</si>
  <si>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</si>
  <si>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</si>
  <si>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</si>
  <si>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</si>
  <si>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</si>
  <si>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</si>
  <si>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</si>
  <si>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</si>
  <si>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</si>
  <si>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</si>
  <si>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</si>
  <si>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</si>
  <si>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</si>
  <si>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</si>
  <si>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</si>
  <si>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</si>
  <si>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</si>
  <si>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</si>
  <si>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</si>
  <si>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</si>
  <si>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</si>
  <si>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</si>
  <si>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</si>
  <si>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</si>
  <si>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</si>
  <si>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</si>
  <si>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</si>
  <si>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</si>
  <si>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</si>
  <si>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</si>
  <si>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</si>
  <si>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</si>
  <si>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</si>
  <si>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</si>
  <si>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</si>
  <si>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</si>
  <si>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</si>
  <si>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</si>
  <si>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</si>
  <si>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</si>
  <si>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</si>
  <si>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</si>
  <si>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</si>
  <si>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</si>
  <si>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</si>
  <si>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</si>
  <si>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</si>
  <si>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</si>
  <si>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</si>
  <si>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</si>
  <si>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</si>
  <si>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</si>
  <si>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</si>
  <si>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</si>
  <si>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</si>
  <si>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</si>
  <si>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</si>
  <si>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</si>
  <si>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</si>
  <si>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</si>
  <si>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</si>
  <si>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</si>
  <si>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</si>
  <si>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</si>
  <si>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</si>
  <si>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</si>
  <si>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</si>
  <si>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</si>
  <si>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</si>
  <si>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</si>
  <si>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</si>
  <si>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</si>
  <si>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</si>
  <si>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</si>
  <si>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</si>
  <si>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</si>
  <si>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</si>
  <si>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</si>
  <si>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</si>
  <si>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</si>
  <si>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</si>
  <si>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</si>
  <si>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</si>
  <si>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</si>
  <si>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</si>
  <si>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</si>
  <si>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</si>
  <si>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</si>
  <si>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</si>
  <si>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</si>
  <si>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</si>
  <si>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</si>
  <si>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</si>
  <si>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</si>
  <si>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</si>
  <si>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</si>
  <si>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</si>
  <si>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</si>
  <si>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</si>
  <si>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</si>
  <si>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</si>
  <si>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</si>
  <si>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</si>
  <si>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</si>
  <si>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</si>
  <si>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</si>
  <si>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</si>
  <si>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</si>
  <si>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</si>
  <si>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</si>
  <si>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</si>
  <si>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</si>
  <si>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</si>
  <si>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</si>
  <si>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</si>
  <si>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</si>
  <si>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</si>
  <si>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</si>
  <si>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</si>
  <si>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</si>
  <si>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</si>
  <si>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</si>
  <si>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</si>
  <si>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</si>
  <si>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</si>
  <si>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</si>
  <si>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</si>
  <si>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</si>
  <si>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</si>
  <si>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</si>
  <si>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</si>
  <si>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</si>
  <si>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</si>
  <si>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</si>
  <si>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</si>
  <si>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</si>
  <si>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</si>
  <si>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</si>
  <si>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</si>
  <si>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</si>
  <si>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</si>
  <si>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</si>
  <si>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</si>
  <si>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</si>
  <si>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</si>
  <si>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</si>
  <si>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</si>
  <si>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</si>
  <si>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</si>
  <si>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</si>
  <si>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</si>
  <si>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</si>
  <si>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</si>
  <si>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</si>
  <si>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</si>
  <si>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</si>
  <si>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</si>
  <si>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</si>
  <si>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</si>
  <si>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</si>
  <si>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</si>
  <si>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</si>
  <si>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</si>
  <si>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</si>
  <si>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</si>
  <si>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</si>
  <si>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</si>
  <si>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</si>
  <si>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</si>
  <si>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</si>
  <si>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</si>
  <si>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</si>
  <si>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</si>
  <si>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</si>
  <si>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</si>
  <si>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</si>
  <si>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</si>
  <si>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</si>
  <si>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</si>
  <si>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</si>
  <si>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</si>
  <si>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</si>
  <si>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</si>
  <si>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</si>
  <si>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</si>
  <si>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</si>
  <si>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</si>
  <si>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</si>
  <si>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</si>
  <si>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</si>
  <si>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</si>
  <si>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</si>
  <si>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</si>
  <si>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</si>
  <si>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</si>
  <si>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</si>
  <si>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</si>
  <si>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</si>
  <si>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</si>
  <si>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</si>
  <si>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</si>
  <si>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</si>
  <si>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</si>
  <si>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</si>
  <si>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</si>
  <si>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</si>
  <si>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</si>
  <si>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</si>
  <si>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</si>
  <si>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</si>
  <si>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</si>
  <si>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</si>
  <si>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</si>
  <si>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</si>
  <si>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</si>
  <si>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</si>
  <si>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</si>
  <si>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</si>
  <si>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</si>
  <si>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</si>
  <si>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</si>
  <si>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</si>
  <si>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</si>
  <si>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</si>
  <si>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</si>
  <si>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</si>
  <si>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</si>
  <si>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</si>
  <si>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</si>
  <si>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</si>
  <si>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</si>
  <si>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</si>
  <si>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</si>
  <si>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</si>
  <si>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</si>
  <si>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</si>
  <si>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</si>
  <si>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</si>
  <si>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</si>
  <si>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</si>
  <si>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</si>
  <si>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</si>
  <si>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</si>
  <si>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</si>
  <si>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</si>
  <si>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</si>
  <si>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</si>
  <si>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</si>
  <si>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</si>
  <si>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</si>
  <si>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</si>
  <si>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</si>
  <si>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</si>
  <si>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</si>
  <si>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</si>
  <si>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</si>
  <si>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</si>
  <si>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</si>
  <si>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</si>
  <si>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</si>
  <si>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</si>
  <si>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</si>
  <si>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</si>
  <si>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</si>
  <si>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</si>
  <si>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</si>
  <si>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</si>
  <si>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</si>
  <si>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</si>
  <si>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</si>
  <si>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</si>
  <si>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</si>
  <si>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</si>
  <si>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</si>
  <si>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</si>
  <si>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</si>
  <si>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</si>
  <si>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</si>
  <si>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</si>
  <si>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</si>
  <si>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</si>
  <si>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</si>
  <si>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</si>
  <si>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</si>
  <si>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</si>
  <si>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</si>
  <si>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</si>
  <si>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</si>
  <si>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</si>
  <si>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</si>
  <si>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</si>
  <si>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</si>
  <si>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</si>
  <si>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</si>
  <si>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</si>
  <si>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</si>
  <si>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</si>
  <si>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</si>
  <si>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</si>
  <si>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</si>
  <si>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</si>
  <si>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</si>
  <si>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</si>
  <si>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</si>
  <si>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</si>
  <si>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</si>
  <si>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</si>
  <si>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</si>
  <si>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</si>
  <si>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</si>
  <si>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</si>
  <si>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</si>
  <si>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</si>
  <si>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</si>
  <si>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</si>
  <si>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</si>
  <si>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</si>
  <si>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</si>
  <si>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</si>
  <si>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</si>
  <si>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</si>
  <si>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</si>
  <si>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</si>
  <si>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</si>
  <si>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</si>
  <si>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</si>
  <si>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</si>
  <si>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</si>
  <si>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</si>
  <si>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</si>
  <si>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</si>
  <si>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</si>
  <si>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</si>
  <si>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</si>
  <si>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</si>
  <si>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</si>
  <si>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</si>
  <si>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</si>
  <si>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</si>
  <si>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</si>
  <si>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</si>
  <si>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</si>
  <si>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</si>
  <si>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</si>
  <si>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</si>
  <si>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</si>
  <si>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</si>
  <si>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</si>
  <si>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</si>
  <si>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</si>
  <si>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</si>
  <si>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</si>
  <si>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</si>
  <si>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</si>
  <si>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</si>
  <si>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</si>
  <si>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</si>
  <si>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</si>
  <si>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</si>
  <si>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</si>
  <si>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</si>
  <si>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</si>
  <si>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</si>
  <si>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</si>
  <si>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</si>
  <si>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</si>
  <si>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</si>
  <si>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</si>
  <si>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</si>
  <si>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</si>
  <si>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</si>
  <si>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</si>
  <si>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</si>
  <si>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</si>
  <si>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</si>
  <si>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</si>
  <si>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</si>
  <si>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</si>
  <si>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</si>
  <si>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</si>
  <si>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</si>
  <si>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</si>
  <si>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</si>
  <si>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</si>
  <si>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</si>
  <si>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</si>
  <si>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</si>
  <si>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</si>
  <si>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</si>
  <si>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</si>
  <si>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</si>
  <si>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</si>
  <si>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</si>
  <si>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</si>
  <si>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</si>
  <si>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</si>
  <si>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</si>
  <si>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</si>
  <si>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</si>
  <si>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</si>
  <si>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</si>
  <si>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</si>
  <si>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</si>
  <si>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</si>
  <si>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</si>
  <si>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</si>
  <si>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</si>
  <si>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</si>
  <si>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</si>
  <si>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</si>
  <si>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</si>
  <si>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</si>
  <si>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</si>
  <si>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</si>
  <si>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</si>
  <si>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</si>
  <si>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</si>
  <si>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</si>
  <si>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</si>
  <si>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</si>
  <si>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</si>
  <si>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</si>
  <si>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</si>
  <si>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</si>
  <si>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</si>
  <si>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</si>
  <si>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</si>
  <si>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</si>
  <si>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</si>
  <si>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</si>
  <si>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</si>
  <si>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</si>
  <si>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</si>
  <si>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</si>
  <si>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</si>
  <si>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</si>
  <si>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</si>
  <si>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</si>
  <si>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</si>
  <si>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</si>
  <si>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</si>
  <si>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</si>
  <si>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</si>
  <si>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</si>
  <si>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</si>
  <si>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</si>
  <si>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</si>
  <si>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</si>
  <si>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</si>
  <si>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</si>
  <si>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</si>
  <si>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</si>
  <si>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</si>
  <si>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</si>
  <si>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</si>
  <si>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</si>
  <si>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</si>
  <si>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</si>
  <si>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</si>
  <si>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</si>
  <si>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</si>
  <si>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</si>
  <si>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</si>
  <si>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</si>
  <si>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</si>
  <si>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</si>
  <si>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</si>
  <si>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</si>
  <si>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</si>
  <si>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</si>
  <si>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</si>
  <si>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</si>
  <si>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</si>
  <si>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</si>
  <si>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</si>
  <si>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</si>
  <si>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</si>
  <si>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</si>
  <si>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</si>
  <si>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</si>
  <si>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</si>
  <si>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</si>
  <si>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</si>
  <si>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</si>
  <si>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</si>
  <si>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</si>
  <si>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</si>
  <si>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</si>
  <si>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</si>
  <si>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</si>
  <si>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</si>
  <si>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</si>
  <si>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</si>
  <si>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</si>
  <si>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</si>
  <si>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</si>
  <si>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</si>
  <si>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</si>
  <si>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</si>
  <si>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</si>
  <si>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</si>
  <si>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</si>
  <si>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</si>
  <si>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</si>
  <si>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</si>
  <si>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</si>
  <si>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</si>
  <si>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</si>
  <si>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</si>
  <si>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</si>
  <si>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</si>
  <si>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</si>
  <si>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</si>
  <si>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</si>
  <si>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</si>
  <si>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</si>
  <si>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</si>
  <si>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</si>
  <si>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</si>
  <si>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</si>
  <si>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</si>
  <si>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</si>
  <si>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</si>
  <si>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</si>
  <si>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</si>
  <si>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</si>
  <si>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</si>
  <si>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</si>
  <si>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</si>
  <si>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</si>
  <si>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</si>
  <si>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</si>
  <si>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</si>
  <si>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</si>
  <si>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</si>
  <si>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</si>
  <si>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</si>
  <si>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</si>
  <si>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</si>
  <si>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</si>
  <si>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</si>
  <si>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</si>
  <si>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</si>
  <si>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</si>
  <si>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</si>
  <si>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</si>
  <si>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</si>
  <si>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</si>
  <si>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</si>
  <si>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</si>
  <si>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</si>
  <si>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</si>
  <si>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</si>
  <si>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</si>
  <si>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</si>
  <si>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</si>
  <si>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</si>
  <si>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</si>
  <si>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</si>
  <si>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</si>
  <si>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</si>
  <si>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</si>
  <si>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</si>
  <si>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</si>
  <si>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</si>
  <si>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</si>
  <si>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</si>
  <si>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</si>
  <si>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</si>
  <si>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</si>
  <si>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</si>
  <si>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</si>
  <si>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</si>
  <si>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</si>
  <si>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</si>
  <si>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</si>
  <si>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</si>
  <si>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</si>
  <si>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</si>
  <si>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</si>
  <si>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</si>
  <si>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</si>
  <si>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</si>
  <si>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</si>
  <si>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</si>
  <si>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</si>
  <si>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</si>
  <si>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</si>
  <si>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</si>
  <si>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</si>
  <si>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</si>
  <si>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</si>
  <si>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</si>
  <si>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</si>
  <si>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</si>
  <si>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</si>
  <si>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</si>
  <si>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</si>
  <si>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</si>
  <si>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</si>
  <si>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</si>
  <si>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</si>
  <si>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</si>
  <si>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</si>
  <si>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</si>
  <si>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</si>
  <si>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</si>
  <si>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</si>
  <si>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</si>
  <si>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</si>
  <si>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</si>
  <si>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</si>
  <si>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</si>
  <si>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</si>
  <si>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</si>
  <si>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</si>
  <si>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</si>
  <si>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</si>
  <si>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</si>
  <si>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</si>
  <si>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</si>
  <si>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</si>
  <si>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</si>
  <si>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</si>
  <si>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</si>
  <si>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</si>
  <si>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</si>
  <si>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</si>
  <si>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</si>
  <si>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</si>
  <si>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</si>
  <si>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</si>
  <si>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</si>
  <si>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</si>
  <si>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</si>
  <si>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</si>
  <si>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</si>
  <si>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</si>
  <si>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</si>
  <si>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</si>
  <si>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</si>
  <si>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</si>
  <si>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</si>
  <si>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</si>
  <si>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</si>
  <si>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</si>
  <si>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</si>
  <si>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</si>
  <si>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</si>
  <si>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</si>
  <si>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</si>
  <si>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</si>
  <si>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</si>
  <si>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</si>
  <si>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</si>
  <si>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</si>
  <si>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</si>
  <si>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</si>
  <si>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</si>
  <si>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</si>
  <si>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</si>
  <si>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</si>
  <si>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</si>
  <si>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</si>
  <si>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</si>
  <si>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</si>
  <si>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</si>
  <si>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</si>
  <si>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</si>
  <si>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</si>
  <si>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</si>
  <si>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</si>
  <si>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</si>
  <si>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</si>
  <si>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</si>
  <si>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</si>
  <si>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</si>
  <si>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</si>
  <si>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</si>
  <si>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</si>
  <si>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</si>
  <si>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</si>
  <si>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</si>
  <si>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</si>
  <si>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</si>
  <si>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</si>
  <si>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</si>
  <si>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</si>
  <si>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</si>
  <si>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</si>
  <si>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</si>
  <si>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</si>
  <si>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</si>
  <si>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</si>
  <si>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</si>
  <si>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</si>
  <si>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</si>
  <si>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</si>
  <si>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</si>
  <si>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</si>
  <si>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</si>
  <si>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</si>
  <si>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</si>
  <si>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</si>
  <si>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</si>
  <si>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</si>
  <si>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</si>
  <si>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</si>
  <si>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</si>
  <si>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</si>
  <si>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</si>
  <si>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</si>
  <si>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</si>
  <si>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</si>
  <si>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</si>
  <si>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</si>
  <si>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</si>
  <si>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</si>
  <si>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</si>
  <si>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</si>
  <si>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</si>
  <si>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</si>
  <si>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</si>
  <si>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</si>
  <si>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</si>
  <si>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</si>
  <si>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</si>
  <si>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</si>
  <si>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</si>
  <si>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</si>
  <si>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</si>
  <si>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</si>
  <si>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</si>
  <si>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</si>
  <si>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</si>
  <si>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</si>
  <si>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</si>
  <si>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</si>
  <si>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</si>
  <si>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</si>
  <si>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</si>
  <si>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</si>
  <si>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</si>
  <si>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</si>
  <si>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</si>
  <si>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</si>
  <si>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</si>
  <si>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</si>
  <si>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</si>
  <si>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</si>
  <si>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</si>
  <si>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</si>
  <si>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</si>
  <si>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</si>
  <si>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</si>
  <si>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</si>
  <si>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</si>
  <si>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</si>
  <si>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</si>
  <si>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</si>
  <si>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</si>
  <si>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</si>
  <si>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</si>
  <si>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</si>
  <si>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</si>
  <si>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</si>
  <si>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</si>
  <si>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</si>
  <si>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</si>
  <si>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</si>
  <si>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</si>
  <si>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</si>
  <si>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</si>
  <si>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</si>
  <si>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</si>
  <si>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</si>
  <si>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</si>
  <si>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</si>
  <si>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</si>
  <si>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</si>
  <si>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</si>
  <si>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</si>
  <si>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</si>
  <si>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</si>
  <si>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</si>
  <si>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</si>
  <si>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</si>
  <si>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</si>
  <si>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</si>
  <si>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</si>
  <si>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</si>
  <si>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</si>
  <si>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</si>
  <si>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</si>
  <si>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</si>
  <si>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</si>
  <si>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</si>
  <si>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</si>
  <si>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</si>
  <si>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</si>
  <si>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</si>
  <si>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</si>
  <si>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</si>
  <si>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</si>
  <si>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</si>
  <si>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</si>
  <si>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</si>
  <si>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</si>
  <si>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</si>
  <si>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</si>
  <si>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</si>
  <si>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</si>
  <si>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</si>
  <si>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</si>
  <si>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</si>
  <si>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</si>
  <si>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</si>
  <si>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</si>
  <si>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</si>
  <si>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</si>
  <si>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</si>
  <si>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</si>
  <si>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</si>
  <si>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</si>
  <si>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</si>
  <si>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</si>
  <si>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</si>
  <si>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</si>
  <si>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</si>
  <si>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</si>
  <si>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</si>
  <si>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</si>
  <si>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</si>
  <si>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</si>
  <si>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</si>
  <si>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</si>
  <si>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</si>
  <si>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</si>
  <si>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</si>
  <si>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</si>
  <si>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</si>
  <si>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</si>
  <si>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</si>
  <si>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</si>
  <si>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</si>
  <si>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</si>
  <si>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</si>
  <si>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</si>
  <si>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</si>
  <si>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</si>
  <si>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</si>
  <si>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</si>
  <si>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</si>
  <si>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</si>
  <si>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</si>
  <si>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</si>
  <si>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</si>
  <si>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</si>
  <si>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</si>
  <si>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</si>
  <si>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</si>
  <si>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</si>
  <si>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</si>
  <si>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</si>
  <si>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</si>
  <si>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</si>
  <si>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</si>
  <si>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</si>
  <si>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</si>
  <si>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</si>
  <si>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</si>
  <si>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</si>
  <si>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</si>
  <si>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</si>
  <si>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</si>
  <si>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</si>
  <si>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</si>
  <si>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</si>
  <si>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</si>
  <si>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</si>
  <si>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</si>
  <si>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</si>
  <si>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</si>
  <si>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</si>
  <si>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</si>
  <si>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</si>
  <si>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</si>
  <si>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</si>
  <si>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</si>
  <si>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</si>
  <si>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</si>
  <si>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</si>
  <si>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</si>
  <si>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</si>
  <si>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</si>
  <si>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</si>
  <si>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</si>
  <si>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</si>
  <si>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</si>
  <si>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</si>
  <si>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</si>
  <si>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</si>
  <si>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</si>
  <si>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</si>
  <si>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</si>
  <si>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</si>
  <si>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</si>
  <si>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</si>
  <si>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</si>
  <si>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</si>
  <si>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</si>
  <si>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</si>
  <si>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</si>
  <si>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</si>
  <si>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</si>
  <si>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</si>
  <si>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</si>
  <si>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</si>
  <si>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</si>
  <si>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</si>
  <si>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</si>
  <si>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</si>
  <si>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</si>
  <si>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</si>
  <si>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</si>
  <si>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</si>
  <si>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</si>
  <si>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</si>
  <si>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</si>
  <si>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</si>
  <si>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</si>
  <si>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</si>
  <si>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</si>
  <si>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</si>
  <si>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</si>
  <si>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</si>
  <si>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</si>
  <si>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</si>
  <si>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</si>
  <si>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</si>
  <si>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</si>
  <si>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</si>
  <si>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</si>
  <si>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</si>
  <si>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</si>
  <si>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</si>
  <si>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</si>
  <si>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</si>
  <si>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</si>
  <si>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</si>
  <si>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</si>
  <si>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</si>
  <si>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</si>
  <si>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</si>
  <si>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</si>
  <si>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</si>
  <si>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</si>
  <si>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</si>
  <si>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</si>
  <si>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</si>
  <si>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</si>
  <si>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</si>
  <si>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</si>
  <si>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</si>
  <si>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</si>
  <si>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</si>
  <si>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</si>
  <si>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</si>
  <si>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</si>
  <si>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</si>
  <si>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</si>
  <si>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</si>
  <si>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</si>
  <si>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</si>
  <si>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</si>
  <si>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</si>
  <si>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</si>
  <si>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</si>
  <si>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</si>
  <si>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</si>
  <si>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</si>
  <si>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</si>
  <si>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</si>
  <si>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</si>
  <si>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</si>
  <si>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</si>
  <si>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</si>
  <si>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</si>
  <si>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</si>
  <si>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</si>
  <si>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</si>
  <si>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</si>
  <si>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</si>
  <si>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</si>
  <si>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</si>
  <si>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</si>
  <si>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</si>
  <si>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</si>
  <si>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</si>
  <si>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</si>
  <si>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</si>
  <si>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</si>
  <si>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</si>
  <si>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</si>
  <si>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</si>
  <si>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</si>
  <si>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</si>
  <si>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</si>
  <si>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</si>
  <si>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</si>
  <si>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</si>
  <si>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</si>
  <si>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</si>
  <si>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</si>
  <si>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</si>
  <si>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</si>
  <si>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</si>
  <si>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</si>
  <si>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</si>
  <si>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</si>
  <si>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</si>
  <si>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</si>
  <si>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</si>
  <si>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</si>
  <si>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</si>
  <si>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</si>
  <si>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</si>
  <si>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</si>
  <si>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</si>
  <si>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</si>
  <si>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</si>
  <si>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</si>
  <si>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</si>
  <si>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</si>
  <si>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</si>
  <si>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</si>
  <si>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</si>
  <si>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</si>
  <si>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</si>
  <si>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</si>
  <si>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</si>
  <si>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</si>
  <si>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</si>
  <si>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</si>
  <si>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</si>
  <si>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</si>
  <si>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</si>
  <si>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</si>
  <si>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</si>
  <si>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</si>
  <si>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</si>
  <si>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</si>
  <si>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</si>
  <si>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</si>
  <si>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</si>
  <si>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</si>
  <si>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</si>
  <si>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</si>
  <si>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</si>
  <si>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</si>
  <si>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</si>
  <si>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</si>
  <si>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</si>
  <si>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</si>
  <si>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</si>
  <si>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</si>
  <si>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</si>
  <si>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</si>
  <si>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</si>
  <si>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</si>
  <si>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</si>
  <si>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</si>
  <si>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</si>
  <si>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</si>
  <si>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</si>
  <si>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</si>
  <si>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</si>
  <si>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</si>
  <si>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</si>
  <si>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</si>
  <si>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</si>
  <si>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</si>
  <si>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</si>
  <si>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</si>
  <si>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</si>
  <si>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</si>
  <si>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</si>
  <si>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</si>
  <si>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</si>
  <si>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</si>
  <si>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</si>
  <si>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</si>
  <si>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</si>
  <si>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</si>
  <si>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</si>
  <si>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</si>
  <si>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</si>
  <si>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</si>
  <si>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</si>
  <si>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</si>
  <si>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</si>
  <si>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</si>
  <si>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</si>
  <si>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</si>
  <si>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</si>
  <si>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</si>
  <si>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</si>
  <si>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</si>
  <si>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</si>
  <si>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</si>
  <si>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</si>
  <si>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</si>
  <si>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</si>
  <si>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</si>
  <si>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</si>
  <si>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</si>
  <si>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</si>
  <si>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</si>
  <si>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</si>
  <si>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</si>
  <si>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</si>
  <si>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</si>
  <si>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</si>
  <si>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</si>
  <si>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</si>
  <si>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</si>
  <si>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</si>
  <si>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</si>
  <si>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</si>
  <si>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</si>
  <si>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</si>
  <si>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</si>
  <si>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</si>
  <si>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</si>
  <si>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</si>
  <si>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</si>
  <si>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</si>
  <si>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</si>
  <si>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</si>
  <si>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</si>
  <si>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</si>
  <si>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</si>
  <si>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</si>
  <si>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</si>
  <si>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</si>
  <si>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</si>
  <si>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</si>
  <si>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</si>
  <si>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</si>
  <si>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</si>
  <si>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</si>
  <si>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</si>
  <si>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</si>
  <si>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</si>
  <si>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</si>
  <si>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</si>
  <si>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</si>
  <si>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</si>
  <si>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</si>
  <si>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</si>
  <si>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</si>
  <si>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</si>
  <si>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</si>
  <si>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</si>
  <si>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</si>
  <si>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</si>
  <si>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</si>
  <si>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</si>
  <si>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</si>
  <si>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</si>
  <si>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</si>
  <si>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</si>
  <si>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</si>
  <si>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</si>
  <si>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</si>
  <si>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</si>
  <si>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</si>
  <si>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</si>
  <si>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</si>
  <si>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</si>
  <si>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</si>
  <si>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</si>
  <si>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</si>
  <si>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</si>
  <si>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</si>
  <si>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</si>
  <si>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</si>
  <si>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</si>
  <si>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</si>
  <si>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</si>
  <si>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</si>
  <si>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</si>
  <si>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</si>
  <si>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</si>
  <si>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</si>
  <si>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</si>
  <si>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</si>
  <si>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</si>
  <si>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</si>
  <si>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</si>
  <si>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</si>
  <si>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</si>
  <si>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</si>
  <si>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</si>
  <si>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</si>
  <si>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</si>
  <si>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</si>
  <si>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</si>
  <si>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</si>
  <si>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</si>
  <si>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</si>
  <si>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</si>
  <si>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</si>
  <si>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</si>
  <si>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</si>
  <si>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</si>
  <si>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</si>
  <si>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</si>
  <si>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</si>
  <si>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</si>
  <si>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</si>
  <si>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</si>
  <si>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</si>
  <si>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</si>
  <si>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</si>
  <si>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</si>
  <si>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</si>
  <si>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</si>
  <si>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</si>
  <si>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</si>
  <si>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</si>
  <si>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</si>
  <si>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</si>
  <si>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</si>
  <si>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</si>
  <si>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</si>
  <si>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</si>
  <si>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</si>
  <si>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</si>
  <si>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</si>
  <si>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</si>
  <si>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</si>
  <si>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</si>
  <si>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</si>
  <si>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</si>
  <si>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</si>
  <si>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</si>
  <si>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</si>
  <si>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</si>
  <si>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</si>
  <si>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</si>
  <si>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</si>
  <si>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</si>
  <si>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</si>
  <si>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</si>
  <si>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</si>
  <si>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</si>
  <si>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</si>
  <si>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</si>
  <si>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</si>
  <si>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</si>
  <si>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</si>
  <si>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</si>
  <si>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</si>
  <si>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</si>
  <si>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</si>
  <si>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</si>
  <si>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</si>
  <si>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</si>
  <si>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</si>
  <si>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</si>
  <si>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</si>
  <si>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</si>
  <si>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</si>
  <si>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</si>
  <si>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</si>
  <si>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</si>
  <si>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</si>
  <si>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</si>
  <si>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</si>
  <si>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</si>
  <si>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</si>
  <si>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</si>
  <si>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</si>
  <si>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</si>
  <si>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</si>
  <si>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</si>
  <si>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</si>
  <si>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</si>
  <si>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</si>
  <si>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</si>
  <si>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</si>
  <si>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</si>
  <si>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</si>
  <si>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</si>
  <si>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</si>
  <si>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</si>
  <si>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</si>
  <si>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</si>
  <si>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</si>
  <si>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</si>
  <si>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</si>
  <si>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</si>
  <si>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</si>
  <si>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</si>
  <si>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</si>
  <si>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</si>
  <si>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</si>
  <si>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</si>
  <si>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</si>
  <si>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</si>
  <si>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</si>
  <si>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</si>
  <si>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</si>
  <si>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</si>
  <si>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</si>
  <si>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</si>
  <si>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</si>
  <si>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</si>
  <si>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</si>
  <si>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</si>
  <si>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</si>
  <si>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</si>
  <si>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</si>
  <si>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</si>
  <si>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</si>
  <si>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</si>
  <si>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</si>
  <si>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</si>
  <si>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</si>
  <si>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</si>
  <si>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</si>
  <si>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</si>
  <si>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</si>
  <si>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</si>
  <si>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</si>
  <si>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</si>
  <si>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</si>
  <si>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</si>
  <si>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</si>
  <si>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</si>
  <si>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</si>
  <si>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</si>
  <si>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</si>
  <si>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</si>
  <si>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</si>
  <si>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</si>
  <si>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</si>
  <si>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</si>
  <si>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</si>
  <si>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</si>
  <si>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</si>
  <si>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</si>
  <si>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</si>
  <si>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</si>
  <si>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</si>
  <si>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</si>
  <si>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</si>
  <si>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</si>
  <si>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</si>
  <si>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</si>
  <si>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</si>
  <si>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</si>
  <si>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</si>
  <si>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</si>
  <si>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</si>
  <si>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</si>
  <si>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</si>
  <si>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</si>
  <si>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</si>
  <si>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</si>
  <si>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</si>
  <si>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</si>
  <si>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</si>
  <si>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</si>
  <si>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</si>
  <si>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</si>
  <si>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</si>
  <si>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</si>
  <si>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</si>
  <si>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</si>
  <si>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</si>
  <si>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</si>
  <si>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</si>
  <si>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</si>
  <si>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</si>
  <si>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</si>
  <si>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</si>
  <si>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</si>
  <si>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</si>
  <si>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</si>
  <si>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</si>
  <si>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</si>
  <si>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</si>
  <si>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</si>
  <si>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</si>
  <si>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</si>
  <si>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</si>
  <si>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</si>
  <si>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</si>
  <si>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</si>
  <si>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</si>
  <si>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</si>
  <si>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</si>
  <si>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</si>
  <si>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</si>
  <si>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</si>
  <si>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</si>
  <si>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</si>
  <si>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</si>
  <si>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</si>
  <si>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</si>
  <si>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</si>
  <si>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</si>
  <si>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</si>
  <si>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</si>
  <si>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</si>
  <si>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</si>
  <si>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</si>
  <si>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</si>
  <si>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</si>
  <si>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</si>
  <si>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</si>
  <si>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</si>
  <si>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</si>
  <si>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</si>
  <si>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</si>
  <si>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</si>
  <si>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</si>
  <si>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</si>
  <si>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</si>
  <si>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</si>
  <si>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</si>
  <si>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</si>
  <si>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</si>
  <si>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</si>
  <si>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</si>
  <si>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</si>
  <si>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</si>
  <si>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</si>
  <si>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</si>
  <si>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</si>
  <si>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</si>
  <si>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</si>
  <si>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</si>
  <si>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</si>
  <si>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</si>
  <si>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</si>
  <si>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</si>
  <si>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</si>
  <si>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</si>
  <si>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</si>
  <si>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</si>
  <si>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</si>
  <si>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</si>
  <si>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</si>
  <si>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</si>
  <si>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</si>
  <si>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</si>
  <si>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</si>
  <si>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</si>
  <si>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</si>
  <si>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</si>
  <si>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</si>
  <si>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</si>
  <si>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</si>
  <si>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</si>
  <si>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</si>
  <si>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</si>
  <si>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</si>
  <si>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</si>
  <si>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</si>
  <si>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</si>
  <si>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</si>
  <si>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</si>
  <si>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</si>
  <si>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</si>
  <si>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</si>
  <si>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</si>
  <si>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</si>
  <si>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</si>
  <si>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</si>
  <si>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</si>
  <si>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</si>
  <si>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</si>
  <si>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</si>
  <si>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</si>
  <si>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</si>
  <si>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</si>
  <si>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</si>
  <si>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</si>
  <si>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</si>
  <si>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</si>
  <si>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</si>
  <si>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</si>
  <si>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</si>
  <si>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</si>
  <si>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</si>
  <si>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</si>
  <si>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</si>
  <si>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</si>
  <si>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</si>
  <si>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</si>
  <si>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</si>
  <si>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</si>
  <si>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</si>
  <si>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</si>
  <si>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</si>
  <si>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</si>
  <si>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</si>
  <si>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</si>
  <si>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</si>
  <si>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</si>
  <si>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</si>
  <si>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</si>
  <si>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</si>
  <si>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</si>
  <si>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</si>
  <si>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</si>
  <si>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</si>
  <si>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</si>
  <si>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</si>
  <si>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</si>
  <si>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</si>
  <si>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</si>
  <si>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</si>
  <si>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</si>
  <si>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</si>
  <si>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</si>
  <si>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</si>
  <si>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</si>
  <si>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</si>
  <si>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</si>
  <si>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</si>
  <si>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</si>
  <si>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</si>
  <si>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</si>
  <si>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</si>
  <si>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</si>
  <si>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</si>
  <si>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</si>
  <si>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</si>
  <si>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</si>
  <si>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</si>
  <si>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</si>
  <si>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</si>
  <si>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</si>
  <si>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</si>
  <si>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</si>
  <si>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</si>
  <si>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</si>
  <si>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</si>
  <si>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</si>
  <si>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</si>
  <si>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</si>
  <si>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</si>
  <si>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</si>
  <si>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</si>
  <si>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</si>
  <si>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</si>
  <si>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</si>
  <si>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</si>
  <si>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</si>
  <si>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</si>
  <si>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</si>
  <si>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</si>
  <si>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</si>
  <si>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</si>
  <si>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</si>
  <si>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</si>
  <si>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</si>
  <si>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</si>
  <si>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</si>
  <si>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</si>
  <si>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</si>
  <si>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</si>
  <si>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</si>
  <si>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</si>
  <si>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</si>
  <si>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</si>
  <si>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</si>
  <si>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</si>
  <si>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</si>
  <si>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</si>
  <si>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</si>
  <si>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</si>
  <si>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</si>
  <si>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</si>
  <si>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</si>
  <si>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</si>
  <si>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</si>
  <si>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</si>
  <si>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</si>
  <si>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</si>
  <si>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</si>
  <si>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</si>
  <si>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</si>
  <si>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</si>
  <si>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</si>
  <si>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</si>
  <si>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</si>
  <si>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</si>
  <si>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</si>
  <si>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</si>
  <si>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</si>
  <si>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</si>
  <si>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</si>
  <si>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</si>
  <si>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</si>
  <si>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</si>
  <si>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</si>
  <si>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</si>
  <si>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</si>
  <si>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</si>
  <si>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</si>
  <si>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</si>
  <si>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</si>
  <si>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</si>
  <si>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</si>
  <si>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</si>
  <si>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</si>
  <si>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</si>
  <si>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</si>
  <si>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</si>
  <si>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</si>
  <si>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</si>
  <si>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</si>
  <si>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</si>
  <si>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</si>
  <si>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</si>
  <si>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</si>
  <si>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</si>
  <si>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</si>
  <si>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</si>
  <si>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</si>
  <si>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</si>
  <si>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</si>
  <si>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</si>
  <si>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</si>
  <si>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</si>
  <si>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</si>
  <si>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</si>
  <si>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</si>
  <si>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</si>
  <si>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</si>
  <si>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</si>
  <si>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</si>
  <si>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</si>
  <si>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</si>
  <si>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</si>
  <si>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Documented variables customize paint and radius without changing anatomy.</t>
  </si>
  <si>
    <t xml:space="preserve">Guide, changelog, contract metadata, and nine scenarios agree.</t>
  </si>
  <si>
    <t xml:space="preserve">../docs/components/combobox/README.md</t>
  </si>
  <si>
    <t xml:space="preserve">Packed Consumer imports the public subpath and filters/selects a realistic city.</t>
  </si>
  <si>
    <t xml:space="preserve">../apps/consumer/tests/consumer.spec.ts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</si>
  <si>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</si>
  <si>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</si>
  <si>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</si>
  <si>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</si>
  <si>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</si>
  <si>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</si>
  <si>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</si>
  <si>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</si>
  <si>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</si>
  <si>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</si>
  <si>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</si>
  <si>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</si>
  <si>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</si>
  <si>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</si>
  <si>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</si>
  <si>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</si>
  <si>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</si>
  <si>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</si>
  <si>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</si>
  <si>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</si>
  <si>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</si>
  <si>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</si>
  <si>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</si>
  <si>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</si>
  <si>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</si>
  <si>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</si>
  <si>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</si>
  <si>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</si>
  <si>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</si>
  <si>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</si>
  <si>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</si>
  <si>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</si>
  <si>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</si>
  <si>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</si>
  <si>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</si>
  <si>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</si>
  <si>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</si>
  <si>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</si>
  <si>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</si>
  <si>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</si>
  <si>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</si>
  <si>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</si>
  <si>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</si>
  <si>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</si>
  <si>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</si>
  <si>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</si>
  <si>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</si>
  <si>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</si>
  <si>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</si>
  <si>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</si>
  <si>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</si>
  <si>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</si>
  <si>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</si>
  <si>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</si>
  <si>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</si>
  <si>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</si>
  <si>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</si>
  <si>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</si>
  <si>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</si>
  <si>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</si>
  <si>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</si>
  <si>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</si>
  <si>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</si>
  <si>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</si>
  <si>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</si>
  <si>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</si>
  <si>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</si>
  <si>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</si>
  <si>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</si>
  <si>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</si>
  <si>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</si>
  <si>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</si>
  <si>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</si>
  <si>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</si>
  <si>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</si>
  <si>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</si>
  <si>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</si>
  <si>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</si>
  <si>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</si>
  <si>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</si>
  <si>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</si>
  <si>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</si>
  <si>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</si>
  <si>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</si>
  <si>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</si>
  <si>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</si>
  <si>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</si>
  <si>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</si>
  <si>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</si>
  <si>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</si>
  <si>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</si>
  <si>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</si>
  <si>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</si>
  <si>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</si>
  <si>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</si>
  <si>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</si>
  <si>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</si>
  <si>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</si>
  <si>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</si>
  <si>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</si>
  <si>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</si>
  <si>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</si>
  <si>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</si>
  <si>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</si>
  <si>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</si>
  <si>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</si>
  <si>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</si>
  <si>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</si>
  <si>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</si>
  <si>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</si>
  <si>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</si>
  <si>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</si>
  <si>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</si>
  <si>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</si>
  <si>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</si>
  <si>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</si>
  <si>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</si>
  <si>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</si>
  <si>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</si>
  <si>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</si>
  <si>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</si>
  <si>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</si>
  <si>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</si>
  <si>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</si>
  <si>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</si>
  <si>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</si>
  <si>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</si>
  <si>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</si>
  <si>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</si>
  <si>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</si>
  <si>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</si>
  <si>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</si>
  <si>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</si>
  <si>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</si>
  <si>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</si>
  <si>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</si>
  <si>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</si>
  <si>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</si>
  <si>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</si>
  <si>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</si>
  <si>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</si>
  <si>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</si>
  <si>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</si>
  <si>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</si>
  <si>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</si>
  <si>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</si>
  <si>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</si>
  <si>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</si>
  <si>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</si>
  <si>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</si>
  <si>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</si>
  <si>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</si>
  <si>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</si>
  <si>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</si>
  <si>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</si>
  <si>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</si>
  <si>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</si>
  <si>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</si>
  <si>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</si>
  <si>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</si>
  <si>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</si>
  <si>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</si>
  <si>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</si>
  <si>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</si>
  <si>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</si>
  <si>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</si>
  <si>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</si>
  <si>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</si>
  <si>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</si>
  <si>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</si>
  <si>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</si>
  <si>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</si>
  <si>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</si>
  <si>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</si>
  <si>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</si>
  <si>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</si>
  <si>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</si>
  <si>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</si>
  <si>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</si>
  <si>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</si>
  <si>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</si>
  <si>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</si>
  <si>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</si>
  <si>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</si>
  <si>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</si>
  <si>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</si>
  <si>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</si>
  <si>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</si>
  <si>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</si>
  <si>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</si>
  <si>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</si>
  <si>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</si>
  <si>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</si>
  <si>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</si>
  <si>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</si>
  <si>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</si>
  <si>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</si>
  <si>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</si>
  <si>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</si>
  <si>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</si>
  <si>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</si>
  <si>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</si>
  <si>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</si>
  <si>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</si>
  <si>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</si>
  <si>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</si>
  <si>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</si>
  <si>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</si>
  <si>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</si>
  <si>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</si>
  <si>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</si>
  <si>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</si>
  <si>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</si>
  <si>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</si>
  <si>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</si>
  <si>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</si>
  <si>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</si>
  <si>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</si>
  <si>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</si>
  <si>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</si>
  <si>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</si>
  <si>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</si>
  <si>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</si>
  <si>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</si>
  <si>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</si>
  <si>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</si>
  <si>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</si>
  <si>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</si>
  <si>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</si>
  <si>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</si>
  <si>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</si>
  <si>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</si>
  <si>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</si>
  <si>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</si>
  <si>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</si>
  <si>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</si>
  <si>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</si>
  <si>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</si>
  <si>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</si>
  <si>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</si>
  <si>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</si>
  <si>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</si>
  <si>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</si>
  <si>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</si>
  <si>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</si>
  <si>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</si>
  <si>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</si>
  <si>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</si>
  <si>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</si>
  <si>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</si>
  <si>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</si>
  <si>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</si>
  <si>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</si>
  <si>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</si>
  <si>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</si>
  <si>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</si>
  <si>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</si>
  <si>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</si>
  <si>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</si>
  <si>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</si>
  <si>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</si>
  <si>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</si>
  <si>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</si>
  <si>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</si>
  <si>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</si>
  <si>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</si>
  <si>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</si>
  <si>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</si>
  <si>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</si>
  <si>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</si>
  <si>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</si>
  <si>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</si>
  <si>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</si>
  <si>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</si>
  <si>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</si>
  <si>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</si>
  <si>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</si>
  <si>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</si>
  <si>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</si>
  <si>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</si>
  <si>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</si>
  <si>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</si>
  <si>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</si>
  <si>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</si>
  <si>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</si>
  <si>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</si>
  <si>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</si>
  <si>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</si>
  <si>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</si>
  <si>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</si>
  <si>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</si>
  <si>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</si>
  <si>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</si>
  <si>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</si>
  <si>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</si>
  <si>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</si>
  <si>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</si>
  <si>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</si>
  <si>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</si>
  <si>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</si>
  <si>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</si>
  <si>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</si>
  <si>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</si>
  <si>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</si>
  <si>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</si>
  <si>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</si>
  <si>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</si>
  <si>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</si>
  <si>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</si>
  <si>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</si>
  <si>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</si>
  <si>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</si>
  <si>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</si>
  <si>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</si>
  <si>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</si>
  <si>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</si>
  <si>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</si>
  <si>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</si>
  <si>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</si>
  <si>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</si>
  <si>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</si>
  <si>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</si>
  <si>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</si>
  <si>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</si>
  <si>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</si>
  <si>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</si>
  <si>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</si>
  <si>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</si>
  <si>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</si>
  <si>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</si>
  <si>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</si>
  <si>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</si>
  <si>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</si>
  <si>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</si>
  <si>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</si>
  <si>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</si>
  <si>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</si>
  <si>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</si>
  <si>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</si>
  <si>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</si>
  <si>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</si>
  <si>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</si>
  <si>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</si>
  <si>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</si>
  <si>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</si>
  <si>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</si>
  <si>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</si>
  <si>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</si>
  <si>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</si>
  <si>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</si>
  <si>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</si>
  <si>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</si>
  <si>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</si>
  <si>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</si>
  <si>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</si>
  <si>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</si>
  <si>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</si>
  <si>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</si>
  <si>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</si>
  <si>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</si>
  <si>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</si>
  <si>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</si>
  <si>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</si>
  <si>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</si>
  <si>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</si>
  <si>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</si>
  <si>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</si>
  <si>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</si>
  <si>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</si>
  <si>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</si>
  <si>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</si>
  <si>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</si>
  <si>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</si>
  <si>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</si>
  <si>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</si>
  <si>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</si>
  <si>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</si>
  <si>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</si>
  <si>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</si>
  <si>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</si>
  <si>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</si>
  <si>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</si>
  <si>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</si>
  <si>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</si>
  <si>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</si>
  <si>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</si>
  <si>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</si>
  <si>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</si>
  <si>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</si>
  <si>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</si>
  <si>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</si>
  <si>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</si>
  <si>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</si>
  <si>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</si>
  <si>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</si>
  <si>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</si>
  <si>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</si>
  <si>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</si>
  <si>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</si>
  <si>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</si>
  <si>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</si>
  <si>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</si>
  <si>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</si>
  <si>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</si>
  <si>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</si>
  <si>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</si>
  <si>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</si>
  <si>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</si>
  <si>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</si>
  <si>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</si>
  <si>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</si>
  <si>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</si>
  <si>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</si>
  <si>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</si>
  <si>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</si>
  <si>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</si>
  <si>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</si>
  <si>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</si>
  <si>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</si>
  <si>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</si>
  <si>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</si>
  <si>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</si>
  <si>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</si>
  <si>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</si>
  <si>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</si>
  <si>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</si>
  <si>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</si>
  <si>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</si>
  <si>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</si>
  <si>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</si>
  <si>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</si>
  <si>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</si>
  <si>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</si>
  <si>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</si>
  <si>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</si>
  <si>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</si>
  <si>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</si>
  <si>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</si>
  <si>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</si>
  <si>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</si>
  <si>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</si>
  <si>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</si>
  <si>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</si>
  <si>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</si>
  <si>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</si>
  <si>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</si>
  <si>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</si>
  <si>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</si>
  <si>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</si>
  <si>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</si>
  <si>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</si>
  <si>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</si>
  <si>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</si>
  <si>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</si>
  <si>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</si>
  <si>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</si>
  <si>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</si>
  <si>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</si>
  <si>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</si>
  <si>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</si>
  <si>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</si>
  <si>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</si>
  <si>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</si>
  <si>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</si>
  <si>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</si>
  <si>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</si>
  <si>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</si>
  <si>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</si>
  <si>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</si>
  <si>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</si>
  <si>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</si>
  <si>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</si>
  <si>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</si>
  <si>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</si>
  <si>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</si>
  <si>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</si>
  <si>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</si>
  <si>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</si>
  <si>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</si>
  <si>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</si>
  <si>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</si>
  <si>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</si>
  <si>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</si>
  <si>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</si>
  <si>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</si>
  <si>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</si>
  <si>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</si>
  <si>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</si>
  <si>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</si>
  <si>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</si>
  <si>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</si>
  <si>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</si>
  <si>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</si>
  <si>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</si>
  <si>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</si>
  <si>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</si>
  <si>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</si>
  <si>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</si>
  <si>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</si>
  <si>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</si>
  <si>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</si>
  <si>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</si>
  <si>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</si>
  <si>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</si>
  <si>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</si>
  <si>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</si>
  <si>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</si>
  <si>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</si>
  <si>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</si>
  <si>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</si>
  <si>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</si>
  <si>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</si>
  <si>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</si>
  <si>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</si>
  <si>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</si>
  <si>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</si>
  <si>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</si>
  <si>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</si>
  <si>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</si>
  <si>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</si>
  <si>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</si>
  <si>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</si>
  <si>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</si>
  <si>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</si>
  <si>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</si>
  <si>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</si>
  <si>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</si>
  <si>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</si>
  <si>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</si>
  <si>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</si>
  <si>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</si>
  <si>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</si>
  <si>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</si>
  <si>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</si>
  <si>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</si>
  <si>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</si>
  <si>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</si>
  <si>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</si>
  <si>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</si>
  <si>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</si>
  <si>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</si>
  <si>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</si>
  <si>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</si>
  <si>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</si>
  <si>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</si>
  <si>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</si>
  <si>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</si>
  <si>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</si>
  <si>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</si>
  <si>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</si>
  <si>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</si>
  <si>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</si>
  <si>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</si>
  <si>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</si>
  <si>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</si>
  <si>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</si>
  <si>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</si>
  <si>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</si>
  <si>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</si>
  <si>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</si>
  <si>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</si>
  <si>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</si>
  <si>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</si>
  <si>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</si>
  <si>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</si>
  <si>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</si>
  <si>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</si>
  <si>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</si>
  <si>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</si>
  <si>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</si>
  <si>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</si>
  <si>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</si>
  <si>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</si>
  <si>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</si>
  <si>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</si>
  <si>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</si>
  <si>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</si>
  <si>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</si>
  <si>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</si>
  <si>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</si>
  <si>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</si>
  <si>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</si>
  <si>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</si>
  <si>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</si>
  <si>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</si>
  <si>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</si>
  <si>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</si>
  <si>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</si>
  <si>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</si>
  <si>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</si>
  <si>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</si>
  <si>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</si>
  <si>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</si>
  <si>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</si>
  <si>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</si>
  <si>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</si>
  <si>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</si>
  <si>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</si>
  <si>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</si>
  <si>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</si>
  <si>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</si>
  <si>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</si>
  <si>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</si>
  <si>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</si>
  <si>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</si>
  <si>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</si>
  <si>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</si>
  <si>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</si>
  <si>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</si>
  <si>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</si>
  <si>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</si>
  <si>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</si>
  <si>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</si>
  <si>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</si>
  <si>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</si>
  <si>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</si>
  <si>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</si>
  <si>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</si>
  <si>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</si>
  <si>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</si>
  <si>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</si>
  <si>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</si>
  <si>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</si>
  <si>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</si>
  <si>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</si>
  <si>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</si>
  <si>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</si>
  <si>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</si>
  <si>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</si>
  <si>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</si>
  <si>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</si>
  <si>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</si>
  <si>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</si>
  <si>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</si>
  <si>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</si>
  <si>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</si>
  <si>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</si>
  <si>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</si>
  <si>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</si>
  <si>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</si>
  <si>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</si>
  <si>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</si>
  <si>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</si>
  <si>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</si>
  <si>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</si>
  <si>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</si>
  <si>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</si>
  <si>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</si>
  <si>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</si>
  <si>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</si>
  <si>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</si>
  <si>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</si>
  <si>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</si>
  <si>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</si>
  <si>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</si>
  <si>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</si>
  <si>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</si>
  <si>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</si>
  <si>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</si>
  <si>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</si>
  <si>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</si>
  <si>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</si>
  <si>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</si>
  <si>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</si>
  <si>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</si>
  <si>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</si>
  <si>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</si>
  <si>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</si>
  <si>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</si>
  <si>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</si>
  <si>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</si>
  <si>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</si>
  <si>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</si>
  <si>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</si>
  <si>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</si>
  <si>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</si>
  <si>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</si>
  <si>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</si>
  <si>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</si>
  <si>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</si>
  <si>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</si>
  <si>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</si>
  <si>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</si>
  <si>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</si>
  <si>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</si>
  <si>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</si>
  <si>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</si>
  <si>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</si>
  <si>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</si>
  <si>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</si>
  <si>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</si>
  <si>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</si>
  <si>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</si>
  <si>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</si>
  <si>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</si>
  <si>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</si>
  <si>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</si>
  <si>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</si>
  <si>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</si>
  <si>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</si>
  <si>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</si>
  <si>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</si>
  <si>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</si>
  <si>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</si>
  <si>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</si>
  <si>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</si>
  <si>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</si>
  <si>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</si>
  <si>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</si>
  <si>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</si>
  <si>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</si>
  <si>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</si>
  <si>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</si>
  <si>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</si>
  <si>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</si>
  <si>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</si>
  <si>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</si>
  <si>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</si>
  <si>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</si>
  <si>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</si>
  <si>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</si>
  <si>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</si>
  <si>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</si>
  <si>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</si>
  <si>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</si>
  <si>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</si>
  <si>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</si>
  <si>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</si>
  <si>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</si>
  <si>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</si>
  <si>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</si>
  <si>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</si>
  <si>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</si>
  <si>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</si>
  <si>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</si>
  <si>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</si>
  <si>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</si>
  <si>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</si>
  <si>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</si>
  <si>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</si>
  <si>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</si>
  <si>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</si>
  <si>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</si>
  <si>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</si>
  <si>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</si>
  <si>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</si>
  <si>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</si>
  <si>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</si>
  <si>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</si>
  <si>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</si>
  <si>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</si>
  <si>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</si>
  <si>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</si>
  <si>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</si>
  <si>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</si>
  <si>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</si>
  <si>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</si>
  <si>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</si>
  <si>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</si>
  <si>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</si>
  <si>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</si>
  <si>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</si>
  <si>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</si>
  <si>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</si>
  <si>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</si>
  <si>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</si>
  <si>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</si>
  <si>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</si>
  <si>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</si>
  <si>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</si>
  <si>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</si>
  <si>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</si>
  <si>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</si>
  <si>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</si>
  <si>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</si>
  <si>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</si>
  <si>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</si>
  <si>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</si>
  <si>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</si>
  <si>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</si>
  <si>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</si>
  <si>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</si>
  <si>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</si>
  <si>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</si>
  <si>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</si>
  <si>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</si>
  <si>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</si>
  <si>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</si>
  <si>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</si>
  <si>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</si>
  <si>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</si>
  <si>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</si>
  <si>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</si>
  <si>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</si>
  <si>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</si>
  <si>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</si>
  <si>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</si>
  <si>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</si>
  <si>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</si>
  <si>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</si>
  <si>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</si>
  <si>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</si>
  <si>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</si>
  <si>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</si>
  <si>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</si>
  <si>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</si>
  <si>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</si>
  <si>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</si>
  <si>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</si>
  <si>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</si>
  <si>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</si>
  <si>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</si>
  <si>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</si>
  <si>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</si>
  <si>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</si>
  <si>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</si>
  <si>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</si>
  <si>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</si>
  <si>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</si>
  <si>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</si>
  <si>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</si>
  <si>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</si>
  <si>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</si>
  <si>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</si>
  <si>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</si>
  <si>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</si>
  <si>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</si>
  <si>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</si>
  <si>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</si>
  <si>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</si>
  <si>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</si>
  <si>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</si>
  <si>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</si>
  <si>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</si>
  <si>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</si>
  <si>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</si>
  <si>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</si>
  <si>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</si>
  <si>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</si>
  <si>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</si>
  <si>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</si>
  <si>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</si>
  <si>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</si>
  <si>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</si>
  <si>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</si>
  <si>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</si>
  <si>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</si>
  <si>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</si>
  <si>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</si>
  <si>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</si>
  <si>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</si>
  <si>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</si>
  <si>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</si>
  <si>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</si>
  <si>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</si>
  <si>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</si>
  <si>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</si>
  <si>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</si>
  <si>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</si>
  <si>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</si>
  <si>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</si>
  <si>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</si>
  <si>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</si>
  <si>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</si>
  <si>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</si>
  <si>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</si>
  <si>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</si>
  <si>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</si>
  <si>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</si>
  <si>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</si>
  <si>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</si>
  <si>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</si>
  <si>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</si>
  <si>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</si>
  <si>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</si>
  <si>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</si>
  <si>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</si>
  <si>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</si>
  <si>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</si>
  <si>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</si>
  <si>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</si>
  <si>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</si>
  <si>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</si>
  <si>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</si>
  <si>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</si>
  <si>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</si>
  <si>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</si>
  <si>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</si>
  <si>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</si>
  <si>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</si>
  <si>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</si>
  <si>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</si>
  <si>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</si>
  <si>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</si>
  <si>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</si>
  <si>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</si>
  <si>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</si>
  <si>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</si>
  <si>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</si>
  <si>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</si>
  <si>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</si>
  <si>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</si>
  <si>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</si>
  <si>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</si>
  <si>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</si>
  <si>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</si>
  <si>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</si>
  <si>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</si>
  <si>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</si>
  <si>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</si>
  <si>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</si>
  <si>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</si>
  <si>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</si>
  <si>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</si>
  <si>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</si>
  <si>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</si>
  <si>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</si>
  <si>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</si>
  <si>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</si>
  <si>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</si>
  <si>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</si>
  <si>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</si>
  <si>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</si>
  <si>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</si>
  <si>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</si>
  <si>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</si>
  <si>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</si>
  <si>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</si>
  <si>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</si>
  <si>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</si>
  <si>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</si>
  <si>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</si>
  <si>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</si>
  <si>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</si>
  <si>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</si>
  <si>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</si>
  <si>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</si>
  <si>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</si>
  <si>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</si>
  <si>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</si>
  <si>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</si>
  <si>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</si>
  <si>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</si>
  <si>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</si>
  <si>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</si>
  <si>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</si>
  <si>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</si>
  <si>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</si>
  <si>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</si>
  <si>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</si>
  <si>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</si>
  <si>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</si>
  <si>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</si>
  <si>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</si>
  <si>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</si>
  <si>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</si>
  <si>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</si>
  <si>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</si>
  <si>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</si>
  <si>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</si>
  <si>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</si>
  <si>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</si>
  <si>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</si>
  <si>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</si>
  <si>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</si>
  <si>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</si>
  <si>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</si>
  <si>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</si>
  <si>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</si>
  <si>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</si>
  <si>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</si>
  <si>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</si>
  <si>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</si>
  <si>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</si>
  <si>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</si>
  <si>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</si>
  <si>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</si>
  <si>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</si>
  <si>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</si>
  <si>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</si>
  <si>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</si>
  <si>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</si>
  <si>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</si>
  <si>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</si>
  <si>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</si>
  <si>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</si>
  <si>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</si>
  <si>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</si>
  <si>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</si>
  <si>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</si>
  <si>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</si>
  <si>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</si>
  <si>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</si>
  <si>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</si>
  <si>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</si>
  <si>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</si>
  <si>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</si>
  <si>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</si>
  <si>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</si>
  <si>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</si>
  <si>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</si>
  <si>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</si>
  <si>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</si>
  <si>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</si>
  <si>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</si>
  <si>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</si>
  <si>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</si>
  <si>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</si>
  <si>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</si>
  <si>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</si>
  <si>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</si>
  <si>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</si>
  <si>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</si>
  <si>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</si>
  <si>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</si>
  <si>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</si>
  <si>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</si>
  <si>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</si>
  <si>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</si>
  <si>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</si>
  <si>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</si>
  <si>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</si>
  <si>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</si>
  <si>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</si>
  <si>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</si>
  <si>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</si>
  <si>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</si>
  <si>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</si>
  <si>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</si>
  <si>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</si>
  <si>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</si>
  <si>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</si>
  <si>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</si>
  <si>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</si>
  <si>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</si>
  <si>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</si>
  <si>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</si>
  <si>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</si>
  <si>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</si>
  <si>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</si>
  <si>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</si>
  <si>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</si>
  <si>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</si>
  <si>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</si>
  <si>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</si>
  <si>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</si>
  <si>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</si>
  <si>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</si>
  <si>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</si>
  <si>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</si>
  <si>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</si>
  <si>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</si>
  <si>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</si>
  <si>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</si>
  <si>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</si>
  <si>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</si>
  <si>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</si>
  <si>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</si>
  <si>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</si>
  <si>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</si>
  <si>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</si>
  <si>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</si>
  <si>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</si>
  <si>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</si>
  <si>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</si>
  <si>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</si>
  <si>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</si>
  <si>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</si>
  <si>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</si>
  <si>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</si>
  <si>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</si>
  <si>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</si>
  <si>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</si>
  <si>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</si>
  <si>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</si>
  <si>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</si>
  <si>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</si>
  <si>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</si>
  <si>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</si>
  <si>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</si>
  <si>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</si>
  <si>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</si>
  <si>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</si>
  <si>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</si>
  <si>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</si>
  <si>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</si>
  <si>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</si>
  <si>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</si>
  <si>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</si>
  <si>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</si>
  <si>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</si>
  <si>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</si>
  <si>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</si>
  <si>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</si>
  <si>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</si>
  <si>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</si>
  <si>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</si>
  <si>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</si>
  <si>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</si>
  <si>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</si>
  <si>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</si>
  <si>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</si>
  <si>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</si>
  <si>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</si>
  <si>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</si>
  <si>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</si>
  <si>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</si>
  <si>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</si>
  <si>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</si>
  <si>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</si>
  <si>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</si>
  <si>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</si>
  <si>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</si>
  <si>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</si>
  <si>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</si>
  <si>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</si>
  <si>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</si>
  <si>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</si>
  <si>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</si>
  <si>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</si>
  <si>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</si>
  <si>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</si>
  <si>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</si>
  <si>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</si>
  <si>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</si>
  <si>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</si>
  <si>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</si>
  <si>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</si>
  <si>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</si>
  <si>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</si>
  <si>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</si>
  <si>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</si>
  <si>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</si>
  <si>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</si>
  <si>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</si>
  <si>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</si>
  <si>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</si>
  <si>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</si>
  <si>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</si>
  <si>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</si>
  <si>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</si>
  <si>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</si>
  <si>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</si>
  <si>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</si>
  <si>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</si>
  <si>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</si>
  <si>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</si>
  <si>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</si>
  <si>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</si>
  <si>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</si>
  <si>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</si>
  <si>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</si>
  <si>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</si>
  <si>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</si>
  <si>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</si>
  <si>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</si>
  <si>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</si>
  <si>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</si>
  <si>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</si>
  <si>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</si>
  <si>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</si>
  <si>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</si>
  <si>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</si>
  <si>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</si>
  <si>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</si>
  <si>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</si>
  <si>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Color Swatch Evidence</t>
  </si>
  <si>
    <t xml:space="preserve">Assertion-level passive preview, CSS, browser, accessibility, documentation, and package evidence.</t>
  </si>
  <si>
    <t xml:space="preserve">CS-01</t>
  </si>
  <si>
    <t xml:space="preserve">Root / Mix</t>
  </si>
  <si>
    <t xml:space="preserve">Root and Mix render passive single- and multi-color previews with decorative or named image semantics.</t>
  </si>
  <si>
    <t xml:space="preserve">../src/components/color-swatch</t>
  </si>
  <si>
    <t xml:space="preserve">CS-02</t>
  </si>
  <si>
    <t xml:space="preserve">ColorSwatch</t>
  </si>
  <si>
    <t xml:space="preserve">Root and color-swatch subpath exports expose runtime and declaration surfaces.</t>
  </si>
  <si>
    <t xml:space="preserve">CS-03</t>
  </si>
  <si>
    <t xml:space="preserve">Required values, two-color Mix tuple, refs, sizes, and invalid cases type-check.</t>
  </si>
  <si>
    <t xml:space="preserve">../test/types/components/color-swatch.test.ts</t>
  </si>
  <si>
    <t xml:space="preserve">CS-04</t>
  </si>
  <si>
    <t xml:space="preserve">Static public CSS provides checker, paint, size, border, radius, and forced-color hooks.</t>
  </si>
  <si>
    <t xml:space="preserve">../src/components/color-swatch/color-swatch.css</t>
  </si>
  <si>
    <t xml:space="preserve">CS-05</t>
  </si>
  <si>
    <t xml:space="preserve">DOM, refs, semantics, size recipes, and generated single/mixed value hooks pass focused tests.</t>
  </si>
  <si>
    <t xml:space="preserve">../test/components/color-swatch/color-swatch.test.tsx</t>
  </si>
  <si>
    <t xml:space="preserve">CS-06</t>
  </si>
  <si>
    <t xml:space="preserve">Real-browser solid, alpha, mix, semantics, and exact size checks pass.</t>
  </si>
  <si>
    <t xml:space="preserve">tests/components/color-swatch/behavior.spec.ts</t>
  </si>
  <si>
    <t xml:space="preserve">CS-07</t>
  </si>
  <si>
    <t xml:space="preserve">Axe passes and decorative versus labeled image semantics match the contract.</t>
  </si>
  <si>
    <t xml:space="preserve">CS-08</t>
  </si>
  <si>
    <t xml:space="preserve">Risk-selected solid, alpha, mix, size, and appearance evidence receives owner visual review.</t>
  </si>
  <si>
    <t xml:space="preserve">tests/components/color-swatch/visual.spec.ts</t>
  </si>
  <si>
    <t xml:space="preserve">CS-09</t>
  </si>
  <si>
    <t xml:space="preserve">Narrow, zoom/reflow, content stress, and RTL remain aligned and contained.</t>
  </si>
  <si>
    <t xml:space="preserve">manual-tests/color-swatch.md</t>
  </si>
  <si>
    <t xml:space="preserve">Manual owner review not yet recorded.</t>
  </si>
  <si>
    <t xml:space="preserve">CS-10</t>
  </si>
  <si>
    <t xml:space="preserve">Light, dark, checker contrast, and forced-colors boundaries remain perceivable.</t>
  </si>
  <si>
    <t xml:space="preserve">CS-11</t>
  </si>
  <si>
    <t xml:space="preserve">Passive swatches remain noninteractive and compose inside semantic owners without color-only meaning.</t>
  </si>
  <si>
    <t xml:space="preserve">manual-tests/color-swatch.md; tests/components/color-swatch/behavior.spec.ts</t>
  </si>
  <si>
    <t xml:space="preserve">Owner composition review not yet recorded.</t>
  </si>
  <si>
    <t xml:space="preserve">CS-12</t>
  </si>
  <si>
    <t xml:space="preserve">The numbered component-owned manual protocol passes every playground scenario.</t>
  </si>
  <si>
    <t xml:space="preserve">No completed manual run is recorded.</t>
  </si>
  <si>
    <t xml:space="preserve">CS-13</t>
  </si>
  <si>
    <t xml:space="preserve">Public usage, API, accessibility, customization, and evidence documentation passes verification.</t>
  </si>
  <si>
    <t xml:space="preserve">../docs/components/color-swatch/README.md</t>
  </si>
  <si>
    <t xml:space="preserve">CS-14</t>
  </si>
  <si>
    <t xml:space="preserve">The component owns release-facing change history.</t>
  </si>
  <si>
    <t xml:space="preserve">../docs/components/color-swatch/CHANGELOG.md</t>
  </si>
  <si>
    <t xml:space="preserve">CS-15</t>
  </si>
  <si>
    <t xml:space="preserve">The standalone packed-package consumer imports and exercises a realistic preview composition.</t>
  </si>
  <si>
    <t xml:space="preserve">Consumer browser verification passed in desktop and mobile Chromium.</t>
  </si>
  <si>
    <t xml:space="preserve">CS-16</t>
  </si>
  <si>
    <t xml:space="preserve">Build, exports, tarball, CSS, and clean consumer boundary verification pass.</t>
  </si>
  <si>
    <t xml:space="preserve">Verified against installed published Atom 0.24.0.</t>
  </si>
  <si>
    <t xml:space="preserve">Bleed Evidence</t>
  </si>
  <si>
    <t xml:space="preserve">Assertion-level static layout, responsive geometry, composition, accessibility, documentation, and package evidence.</t>
  </si>
  <si>
    <t xml:space="preserve">BLD-01</t>
  </si>
  <si>
    <t xml:space="preserve">Bleed renders one selected native host or enhances one non-Fragment child without adding descendants, semantics, focus, or behavior.</t>
  </si>
  <si>
    <t xml:space="preserve">../src/components/bleed</t>
  </si>
  <si>
    <t xml:space="preserve">BLD-02</t>
  </si>
  <si>
    <t xml:space="preserve">The one public part exposes stable class, data-bleed, data-slot, native host, and forwarded-ref ownership.</t>
  </si>
  <si>
    <t xml:space="preserve">../test/components/bleed/bleed.test.tsx</t>
  </si>
  <si>
    <t xml:space="preserve">BLD-03</t>
  </si>
  <si>
    <t xml:space="preserve">Root and bleed subpath exports expose Bleed, BleedProps, and BleedElement through runtime and declaration surfaces.</t>
  </si>
  <si>
    <t xml:space="preserve">BLD-04</t>
  </si>
  <si>
    <t xml:space="preserve">Closed host choices, responsive spacing, asChild composition, refs, and rejected paint props type-check.</t>
  </si>
  <si>
    <t xml:space="preserve">../test/types/components/bleed.test.ts</t>
  </si>
  <si>
    <t xml:space="preserve">BLD-05</t>
  </si>
  <si>
    <t xml:space="preserve">Static utility-layer CSS converts logical public spacing into locally scoped negative margins across initial, sm, md, lg, and xl states.</t>
  </si>
  <si>
    <t xml:space="preserve">../src/components/bleed/bleed.css</t>
  </si>
  <si>
    <t xml:space="preserve">BLD-06</t>
  </si>
  <si>
    <t xml:space="preserve">Props</t>
  </si>
  <si>
    <t xml:space="preserve">Axis and directional values serialize without DOM leakage, and a directional edge overrides its matching axis edge.</t>
  </si>
  <si>
    <t xml:space="preserve">BLD-07</t>
  </si>
  <si>
    <t xml:space="preserve">Real-browser geometry crosses only authored logical edges and responsive values change at the tested viewport.</t>
  </si>
  <si>
    <t xml:space="preserve">tests/components/bleed/behavior.spec.ts</t>
  </si>
  <si>
    <t xml:space="preserve">BLD-08</t>
  </si>
  <si>
    <t xml:space="preserve">asChild preserves the authored semantic figure and composed class/ref ownership without adding a wrapper.</t>
  </si>
  <si>
    <t xml:space="preserve">../test/components/bleed/bleed.test.tsx; tests/components/bleed/behavior.spec.ts</t>
  </si>
  <si>
    <t xml:space="preserve">BLD-09</t>
  </si>
  <si>
    <t xml:space="preserve">Narrow-width overflow and axe checks pass while Bleed remains semantically neutral.</t>
  </si>
  <si>
    <t xml:space="preserve">BLD-10</t>
  </si>
  <si>
    <t xml:space="preserve">The visual owner defines edge-media and narrow responsive screenshots, but the required baselines do not exist yet.</t>
  </si>
  <si>
    <t xml:space="preserve">tests/components/bleed/visual.spec.ts</t>
  </si>
  <si>
    <t xml:space="preserve">Focused Chromium visual checks wrote actuals because both required baselines are missing.</t>
  </si>
  <si>
    <t xml:space="preserve">BLD-11</t>
  </si>
  <si>
    <t xml:space="preserve">Stress</t>
  </si>
  <si>
    <t xml:space="preserve">320 px, zoom, long content, nested values, RTL, and focus visibility receive the numbered human review.</t>
  </si>
  <si>
    <t xml:space="preserve">manual-tests/bleed.md</t>
  </si>
  <si>
    <t xml:space="preserve">No completed responsive and RTL owner run is recorded.</t>
  </si>
  <si>
    <t xml:space="preserve">BLD-12</t>
  </si>
  <si>
    <t xml:space="preserve">Forced colors and appearance changes preserve descendant readability and focus without introducing component paint.</t>
  </si>
  <si>
    <t xml:space="preserve">No completed appearance owner run is recorded.</t>
  </si>
  <si>
    <t xml:space="preserve">BLD-13</t>
  </si>
  <si>
    <t xml:space="preserve">The numbered component-owned protocol passes axis, responsive, nested, narrow, zoom, RTL, device, and assistive-technology scenarios.</t>
  </si>
  <si>
    <t xml:space="preserve">BLD-14</t>
  </si>
  <si>
    <t xml:space="preserve">One route exposes axis, one-edge, responsive, nested, and stress specimens for review.</t>
  </si>
  <si>
    <t xml:space="preserve">src/components/bleed/BleedPage.tsx</t>
  </si>
  <si>
    <t xml:space="preserve">BLD-15</t>
  </si>
  <si>
    <t xml:space="preserve">Public use, exclusions, API, responsive behavior, accessibility, composition, customization, and evidence documentation pass.</t>
  </si>
  <si>
    <t xml:space="preserve">../docs/components/bleed/README.md</t>
  </si>
  <si>
    <t xml:space="preserve">BLD-16</t>
  </si>
  <si>
    <t xml:space="preserve">Machine-readable selection, props, composition, accessibility, and evidence guidance ships with the component.</t>
  </si>
  <si>
    <t xml:space="preserve">../src/components/bleed/agent.json; ../src/components/bleed/agent.md</t>
  </si>
  <si>
    <t xml:space="preserve">BLD-17</t>
  </si>
  <si>
    <t xml:space="preserve">Bleed owns component history and the package changelog records its addition.</t>
  </si>
  <si>
    <t xml:space="preserve">../docs/components/bleed/CHANGELOG.md; ../CHANGELOG.md</t>
  </si>
  <si>
    <t xml:space="preserve">BLD-18</t>
  </si>
  <si>
    <t xml:space="preserve">The packed standalone Consumer imports the public bleed subpath in a realistic edge-media composition.</t>
  </si>
  <si>
    <t xml:space="preserve">No Bleed Consumer composition or assertion exists yet.</t>
  </si>
  <si>
    <t xml:space="preserve">BLD-19</t>
  </si>
  <si>
    <t xml:space="preserve">Build, exports, CSS, tarball, component tests, and repository verification pass.</t>
  </si>
  <si>
    <t xml:space="preserve">Clean Consumer verification cannot install unpublished @flowstack-ui/atom 0.23.1 from the public registry.</t>
  </si>
  <si>
    <t xml:space="preserve">BLD-20</t>
  </si>
  <si>
    <t xml:space="preserve">The adopted contract records Bleed as a Brick-native static layout primitive with no missing Atom capability.</t>
  </si>
  <si>
    <t xml:space="preserve">../../docs/components/bleed/contract.md</t>
  </si>
  <si>
    <t xml:space="preserve">Data List Evidence</t>
  </si>
  <si>
    <t xml:space="preserve">Assertion-level native description-list, responsive recipe, accessibility, documentation, and package evidence.</t>
  </si>
  <si>
    <t xml:space="preserve">DL-01</t>
  </si>
  <si>
    <t xml:space="preserve">Root / Item / Label / Value</t>
  </si>
  <si>
    <t xml:space="preserve">The four public parts render fixed dl, div, dt, and dd hosts with forwarded refs and native props.</t>
  </si>
  <si>
    <t xml:space="preserve">../src/components/data-list</t>
  </si>
  <si>
    <t xml:space="preserve">DL-02</t>
  </si>
  <si>
    <t xml:space="preserve">Stable classes and data-slot hooks preserve Label-before-Value source order inside every Item.</t>
  </si>
  <si>
    <t xml:space="preserve">../test/components/data-list/data-list.test.tsx</t>
  </si>
  <si>
    <t xml:space="preserve">DL-03</t>
  </si>
  <si>
    <t xml:space="preserve">DataList</t>
  </si>
  <si>
    <t xml:space="preserve">Namespace, named parts, public types, root export, and data-list subpath are exported.</t>
  </si>
  <si>
    <t xml:space="preserve">DL-04</t>
  </si>
  <si>
    <t xml:space="preserve">Sizes, orientations, label widths, responsive values, native props, and exact refs type-check.</t>
  </si>
  <si>
    <t xml:space="preserve">../test/types/components/data-list.test.ts</t>
  </si>
  <si>
    <t xml:space="preserve">DL-05</t>
  </si>
  <si>
    <t xml:space="preserve">Static CSS provides size, orientation, label measure, divider, wrapping, RTL, and forced-color recipes through public hooks.</t>
  </si>
  <si>
    <t xml:space="preserve">../src/components/data-list/data-list.css</t>
  </si>
  <si>
    <t xml:space="preserve">DL-06</t>
  </si>
  <si>
    <t xml:space="preserve">Medium vertical layout, automatic label width, and no separators are the canonical defaults.</t>
  </si>
  <si>
    <t xml:space="preserve">DL-07</t>
  </si>
  <si>
    <t xml:space="preserve">Small, medium, large, divided, and closed label-width recipes serialize through stable data attributes.</t>
  </si>
  <si>
    <t xml:space="preserve">DL-08</t>
  </si>
  <si>
    <t xml:space="preserve">Responsive orientation changes presentation while retaining one native description-list tree and the same term/value order.</t>
  </si>
  <si>
    <t xml:space="preserve">tests/components/data-list/behavior.spec.ts</t>
  </si>
  <si>
    <t xml:space="preserve">DL-09</t>
  </si>
  <si>
    <t xml:space="preserve">Root / Label / Value</t>
  </si>
  <si>
    <t xml:space="preserve">Native dl, dt, and dd semantics remain intact without redundant roles, and axe passes.</t>
  </si>
  <si>
    <t xml:space="preserve">DL-10</t>
  </si>
  <si>
    <t xml:space="preserve">The visual owner currently proves route visibility but lacks risk-selected screenshot baselines and owner review.</t>
  </si>
  <si>
    <t xml:space="preserve">tests/components/data-list/visual.spec.ts</t>
  </si>
  <si>
    <t xml:space="preserve">Capture and review size, orientation, divider, dark, RTL, and forced-color baselines.</t>
  </si>
  <si>
    <t xml:space="preserve">DL-11</t>
  </si>
  <si>
    <t xml:space="preserve">Long labels and values remain readable at narrow widths, 200% text, 400% zoom, localization, and RTL.</t>
  </si>
  <si>
    <t xml:space="preserve">manual-tests/data-list.md</t>
  </si>
  <si>
    <t xml:space="preserve">No completed reflow and RTL owner run is recorded.</t>
  </si>
  <si>
    <t xml:space="preserve">DL-12</t>
  </si>
  <si>
    <t xml:space="preserve">Light, dark, forced-colors, dividers, and nested focus remain distinguishable.</t>
  </si>
  <si>
    <t xml:space="preserve">DL-13</t>
  </si>
  <si>
    <t xml:space="preserve">Value</t>
  </si>
  <si>
    <t xml:space="preserve">Rich values retain their own native links and controls without row action, focus, or table semantics.</t>
  </si>
  <si>
    <t xml:space="preserve">manual-tests/data-list.md; src/components/data-list/DataListPage.tsx</t>
  </si>
  <si>
    <t xml:space="preserve">The composition exists; owner keyboard and assistive-technology review is pending.</t>
  </si>
  <si>
    <t xml:space="preserve">DL-14</t>
  </si>
  <si>
    <t xml:space="preserve">The numbered component-owned protocol passes semantics, recipes, rich values, theme, reflow, RTL, device, and assistive-technology scenarios.</t>
  </si>
  <si>
    <t xml:space="preserve">DL-15</t>
  </si>
  <si>
    <t xml:space="preserve">One route exposes orientations, sizes, label measures, composition, theme, and stress scenarios.</t>
  </si>
  <si>
    <t xml:space="preserve">src/components/data-list/DataListPage.tsx</t>
  </si>
  <si>
    <t xml:space="preserve">DL-16</t>
  </si>
  <si>
    <t xml:space="preserve">Public use, API, anatomy, semantics, responsive behavior, accessibility, customization, and evidence documentation pass.</t>
  </si>
  <si>
    <t xml:space="preserve">../docs/components/data-list/README.md</t>
  </si>
  <si>
    <t xml:space="preserve">DL-17</t>
  </si>
  <si>
    <t xml:space="preserve">Machine-readable guidance distinguishes metadata pairs from peer lists, tables, editable fields, and generic layout.</t>
  </si>
  <si>
    <t xml:space="preserve">../src/components/data-list/agent.json; ../src/components/data-list/agent.md</t>
  </si>
  <si>
    <t xml:space="preserve">DL-18</t>
  </si>
  <si>
    <t xml:space="preserve">Data List owns component history and the package changelog records its addition.</t>
  </si>
  <si>
    <t xml:space="preserve">../docs/components/data-list/CHANGELOG.md; ../CHANGELOG.md</t>
  </si>
  <si>
    <t xml:space="preserve">DL-19</t>
  </si>
  <si>
    <t xml:space="preserve">The packed standalone Consumer imports the public data-list subpath in a realistic metadata composition.</t>
  </si>
  <si>
    <t xml:space="preserve">No Data List Consumer composition or assertion exists yet.</t>
  </si>
  <si>
    <t xml:space="preserve">DL-20</t>
  </si>
  <si>
    <t xml:space="preserve">Link Box Evidence</t>
  </si>
  <si>
    <t xml:space="preserve">Assertion-level destination geometry, independent-action, browser, accessibility, documentation, and package evidence.</t>
  </si>
  <si>
    <t xml:space="preserve">LB-01</t>
  </si>
  <si>
    <t xml:space="preserve">Root / Link / Action</t>
  </si>
  <si>
    <t xml:space="preserve">Root coordinates one real Brick Link and an optional independent Action without adding press behavior.</t>
  </si>
  <si>
    <t xml:space="preserve">../src/components/link-box</t>
  </si>
  <si>
    <t xml:space="preserve">LB-02</t>
  </si>
  <si>
    <t xml:space="preserve">The three public parts expose stable classes, data slots, exact hosts, and forwarded refs.</t>
  </si>
  <si>
    <t xml:space="preserve">../test/components/link-box/link-box.test.tsx</t>
  </si>
  <si>
    <t xml:space="preserve">LB-03</t>
  </si>
  <si>
    <t xml:space="preserve">LinkBox</t>
  </si>
  <si>
    <t xml:space="preserve">Namespace, named parts, public types, root export, link-box subpath, and SSR output are verified.</t>
  </si>
  <si>
    <t xml:space="preserve">LB-04</t>
  </si>
  <si>
    <t xml:space="preserve">Closed Root hosts, variants, Link composition, native props, Action props, and exact refs type-check.</t>
  </si>
  <si>
    <t xml:space="preserve">../test/types/components/link-box.test.ts</t>
  </si>
  <si>
    <t xml:space="preserve">LB-05</t>
  </si>
  <si>
    <t xml:space="preserve">Static CSS provides complete-region target geometry, outline/plain state paint, focus, layering, reduced motion, and forced colors.</t>
  </si>
  <si>
    <t xml:space="preserve">../src/components/link-box/link-box.css</t>
  </si>
  <si>
    <t xml:space="preserve">LB-06</t>
  </si>
  <si>
    <t xml:space="preserve">Root / Link</t>
  </si>
  <si>
    <t xml:space="preserve">Outline Root plus plain inherit-tone Link is the canonical default without changing native destination semantics.</t>
  </si>
  <si>
    <t xml:space="preserve">LB-07</t>
  </si>
  <si>
    <t xml:space="preserve">Destination</t>
  </si>
  <si>
    <t xml:space="preserve">Pointer and keyboard evidence proves one native Link owns the complete visual target and one Root-sized focus ring.</t>
  </si>
  <si>
    <t xml:space="preserve">tests/components/link-box/behavior.spec.ts</t>
  </si>
  <si>
    <t xml:space="preserve">LB-08</t>
  </si>
  <si>
    <t xml:space="preserve">Independent action</t>
  </si>
  <si>
    <t xml:space="preserve">Action</t>
  </si>
  <si>
    <t xml:space="preserve">A separately named button remains outside the anchor, operates independently, and does not navigate.</t>
  </si>
  <si>
    <t xml:space="preserve">../test/components/link-box/link-box.test.tsx; tests/components/link-box/behavior.spec.ts</t>
  </si>
  <si>
    <t xml:space="preserve">LB-09</t>
  </si>
  <si>
    <t xml:space="preserve">Explicit Link presentation and asChild/router composition preserve the destination owner and public Link API.</t>
  </si>
  <si>
    <t xml:space="preserve">LB-10</t>
  </si>
  <si>
    <t xml:space="preserve">Root and Action add no role or tab stop, focus order remains native, complete names are exposed, and axe passes.</t>
  </si>
  <si>
    <t xml:space="preserve">LB-11</t>
  </si>
  <si>
    <t xml:space="preserve">Destination and independent-action screenshots have automated light baselines and await owner visual review.</t>
  </si>
  <si>
    <t xml:space="preserve">tests/components/link-box/visual.spec.ts</t>
  </si>
  <si>
    <t xml:space="preserve">LB-12</t>
  </si>
  <si>
    <t xml:space="preserve">Narrow, zoom, long copy, touch target, focus visibility, and RTL preserve target and action relationships.</t>
  </si>
  <si>
    <t xml:space="preserve">manual-tests/link-box.md</t>
  </si>
  <si>
    <t xml:space="preserve">No completed stress and RTL owner run is recorded.</t>
  </si>
  <si>
    <t xml:space="preserve">LB-13</t>
  </si>
  <si>
    <t xml:space="preserve">Browser conventions</t>
  </si>
  <si>
    <t xml:space="preserve">Context menu, modifier click, new-tab behavior, text-selection tradeoff, and assistive-technology naming remain native.</t>
  </si>
  <si>
    <t xml:space="preserve">No completed native-browser owner run is recorded.</t>
  </si>
  <si>
    <t xml:space="preserve">LB-14</t>
  </si>
  <si>
    <t xml:space="preserve">The numbered component-owned protocol passes destination, action, browser, selection, reflow, device, and assistive-technology scenarios.</t>
  </si>
  <si>
    <t xml:space="preserve">LB-15</t>
  </si>
  <si>
    <t xml:space="preserve">One route exposes the primary destination, independent action, stress behavior, and text-selection tradeoff.</t>
  </si>
  <si>
    <t xml:space="preserve">src/components/link-box/LinkBoxPage.tsx</t>
  </si>
  <si>
    <t xml:space="preserve">LB-16</t>
  </si>
  <si>
    <t xml:space="preserve">Public use, exclusions, anatomy, API, target model, accessibility, composition, customization, and evidence documentation pass.</t>
  </si>
  <si>
    <t xml:space="preserve">../docs/components/link-box/README.md</t>
  </si>
  <si>
    <t xml:space="preserve">LB-17</t>
  </si>
  <si>
    <t xml:space="preserve">Machine-readable guidance distinguishes one destination region from Button, Pressable, and ordinary text links.</t>
  </si>
  <si>
    <t xml:space="preserve">../src/components/link-box/agent.json; ../src/components/link-box/agent.md</t>
  </si>
  <si>
    <t xml:space="preserve">LB-18</t>
  </si>
  <si>
    <t xml:space="preserve">Link Box owns component history and the package changelog records its addition.</t>
  </si>
  <si>
    <t xml:space="preserve">../docs/components/link-box/CHANGELOG.md; ../CHANGELOG.md</t>
  </si>
  <si>
    <t xml:space="preserve">LB-19</t>
  </si>
  <si>
    <t xml:space="preserve">The packed standalone Consumer imports the public link-box subpath with one destination and an independent action.</t>
  </si>
  <si>
    <t xml:space="preserve">No Link Box Consumer composition or assertion exists yet.</t>
  </si>
  <si>
    <t xml:space="preserve">LB-20</t>
  </si>
  <si>
    <t xml:space="preserve">Build, SSR, exports, CSS, tarball, component tests, and repository verification pass.</t>
  </si>
  <si>
    <t xml:space="preserve">Segment Group Evidence</t>
  </si>
  <si>
    <t xml:space="preserve">Assertion-level Atom-backed selection, moving-indicator, browser, accessibility, documentation, and package evidence.</t>
  </si>
  <si>
    <t xml:space="preserve">SG-01</t>
  </si>
  <si>
    <t xml:space="preserve">Brick adapts released Atom Radio Group semantics, selection, keyboard, focus, forms, disabled, read-only, validation, and direction behavior.</t>
  </si>
  <si>
    <t xml:space="preserve">../src/components/segment-group</t>
  </si>
  <si>
    <t xml:space="preserve">SG-02</t>
  </si>
  <si>
    <t xml:space="preserve">Root / Item / ItemText / Indicator</t>
  </si>
  <si>
    <t xml:space="preserve">The four public parts expose stable hooks, refs, radio semantics, and a decorative measured Indicator.</t>
  </si>
  <si>
    <t xml:space="preserve">../test/components/segment-group/segment-group.test.tsx</t>
  </si>
  <si>
    <t xml:space="preserve">SG-03</t>
  </si>
  <si>
    <t xml:space="preserve">SegmentGroup</t>
  </si>
  <si>
    <t xml:space="preserve">Namespace, named parts, public types, root export, and segment-group subpath are exported.</t>
  </si>
  <si>
    <t xml:space="preserve">SG-04</t>
  </si>
  <si>
    <t xml:space="preserve">Root / Item / Indicator</t>
  </si>
  <si>
    <t xml:space="preserve">Closed sizes, Atom behavior props, required values, icon-only, full-width, and exact refs type-check.</t>
  </si>
  <si>
    <t xml:space="preserve">../test/types/components/segment-group.test.ts</t>
  </si>
  <si>
    <t xml:space="preserve">SG-05</t>
  </si>
  <si>
    <t xml:space="preserve">Static CSS provides shared sizes, inset Root, selected surface, focus, icon-only geometry, reduced motion, and forced colors.</t>
  </si>
  <si>
    <t xml:space="preserve">../src/components/segment-group/segment-group.css</t>
  </si>
  <si>
    <t xml:space="preserve">SG-06</t>
  </si>
  <si>
    <t xml:space="preserve">Medium horizontal intrinsic layout, one selected value, and ordinary text Items are the canonical defaults.</t>
  </si>
  <si>
    <t xml:space="preserve">SG-07</t>
  </si>
  <si>
    <t xml:space="preserve">Small, medium, large, full-width, intrinsic, and icon-only recipes route through stable public data attributes.</t>
  </si>
  <si>
    <t xml:space="preserve">SG-08</t>
  </si>
  <si>
    <t xml:space="preserve">Pointer and keyboard selection keep one checked radio, move focus, and emit the selected value through Atom ownership.</t>
  </si>
  <si>
    <t xml:space="preserve">../test/components/segment-group/segment-group.test.tsx; tests/components/segment-group/behavior.spec.ts</t>
  </si>
  <si>
    <t xml:space="preserve">SG-09</t>
  </si>
  <si>
    <t xml:space="preserve">The decorative Indicator becomes ready, matches selected Item geometry, and follows keyboard selection without adding layout space.</t>
  </si>
  <si>
    <t xml:space="preserve">tests/components/segment-group/behavior.spec.ts</t>
  </si>
  <si>
    <t xml:space="preserve">SG-10</t>
  </si>
  <si>
    <t xml:space="preserve">Icon-only</t>
  </si>
  <si>
    <t xml:space="preserve">Named icon-only Items remain square and center their artwork on both axes.</t>
  </si>
  <si>
    <t xml:space="preserve">SG-11</t>
  </si>
  <si>
    <t xml:space="preserve">Radio-group and radio semantics, complete names, checked state, decorative Indicator, and axe checks pass.</t>
  </si>
  <si>
    <t xml:space="preserve">SG-12</t>
  </si>
  <si>
    <t xml:space="preserve">Default, size, and dark-appearance screenshots have automated baselines and await owner visual review.</t>
  </si>
  <si>
    <t xml:space="preserve">tests/components/segment-group/visual.spec.ts</t>
  </si>
  <si>
    <t xml:space="preserve">SG-13</t>
  </si>
  <si>
    <t xml:space="preserve">Disabled and read-only choices remain distinguishable and preserve the Atom-owned interaction boundary.</t>
  </si>
  <si>
    <t xml:space="preserve">manual-tests/segment-group.md</t>
  </si>
  <si>
    <t xml:space="preserve">No completed disabled and read-only owner run is recorded.</t>
  </si>
  <si>
    <t xml:space="preserve">SG-14</t>
  </si>
  <si>
    <t xml:space="preserve">320 px, zoom, resize, long labels, RTL, and font changes preserve control containment and Indicator alignment.</t>
  </si>
  <si>
    <t xml:space="preserve">SG-15</t>
  </si>
  <si>
    <t xml:space="preserve">Theme and motion</t>
  </si>
  <si>
    <t xml:space="preserve">Light, dark, forced colors, theme changes, and reduced motion preserve selected and focus distinctions.</t>
  </si>
  <si>
    <t xml:space="preserve">No completed appearance and motion owner run is recorded.</t>
  </si>
  <si>
    <t xml:space="preserve">SG-16</t>
  </si>
  <si>
    <t xml:space="preserve">The numbered component-owned protocol passes selection, sizes, states, theme, reflow, device, and assistive-technology scenarios.</t>
  </si>
  <si>
    <t xml:space="preserve">SG-17</t>
  </si>
  <si>
    <t xml:space="preserve">Public use, API, anatomy, states, accessibility, Atom ownership, customization, and evidence documentation pass.</t>
  </si>
  <si>
    <t xml:space="preserve">../docs/components/segment-group/README.md</t>
  </si>
  <si>
    <t xml:space="preserve">SG-18</t>
  </si>
  <si>
    <t xml:space="preserve">Machine-readable guidance distinguishes single-choice modes from Toggle Group, Tabs, Radio Group, and Select.</t>
  </si>
  <si>
    <t xml:space="preserve">../src/components/segment-group/agent.json; ../src/components/segment-group/agent.md</t>
  </si>
  <si>
    <t xml:space="preserve">SG-19</t>
  </si>
  <si>
    <t xml:space="preserve">The packed standalone Consumer imports the public segment-group subpath and exercises selection.</t>
  </si>
  <si>
    <t xml:space="preserve">No Segment Group Consumer composition or assertion exists yet.</t>
  </si>
  <si>
    <t xml:space="preserve">SG-20</t>
  </si>
  <si>
    <t xml:space="preserve">Status Evidence</t>
  </si>
  <si>
    <t xml:space="preserve">Assertion-level passive-state, semantic-tone, accessibility, documentation, and package evidence.</t>
  </si>
  <si>
    <t xml:space="preserve">ST-01</t>
  </si>
  <si>
    <t xml:space="preserve">Root / Indicator / Label</t>
  </si>
  <si>
    <t xml:space="preserve">The three public parts render passive native spans with exact refs, stable hooks, and no built-in live-region behavior.</t>
  </si>
  <si>
    <t xml:space="preserve">../src/components/status</t>
  </si>
  <si>
    <t xml:space="preserve">ST-02</t>
  </si>
  <si>
    <t xml:space="preserve">Root owns state composition, Indicator is decorative, and Label owns readable visible state text.</t>
  </si>
  <si>
    <t xml:space="preserve">../test/components/status/status.test.tsx</t>
  </si>
  <si>
    <t xml:space="preserve">ST-03</t>
  </si>
  <si>
    <t xml:space="preserve">Namespace, named parts, public types, root export, and status subpath are exported.</t>
  </si>
  <si>
    <t xml:space="preserve">ST-04</t>
  </si>
  <si>
    <t xml:space="preserve">Closed sizes, semantic tones, part props, invalid values, native attributes, and exact refs type-check.</t>
  </si>
  <si>
    <t xml:space="preserve">../test/types/components/status.test.ts</t>
  </si>
  <si>
    <t xml:space="preserve">ST-05</t>
  </si>
  <si>
    <t xml:space="preserve">Static CSS provides dot, gap, text, size, semantic-tone, wrapping, and forced-color recipes through public hooks.</t>
  </si>
  <si>
    <t xml:space="preserve">../src/components/status/status.css</t>
  </si>
  <si>
    <t xml:space="preserve">ST-06</t>
  </si>
  <si>
    <t xml:space="preserve">Medium neutral presentation with no role or aria-live attribute is the canonical default.</t>
  </si>
  <si>
    <t xml:space="preserve">ST-07</t>
  </si>
  <si>
    <t xml:space="preserve">Small, medium, large and neutral, accent, info, success, warning, and danger recipes serialize through stable attributes.</t>
  </si>
  <si>
    <t xml:space="preserve">ST-08</t>
  </si>
  <si>
    <t xml:space="preserve">Indicator / Label</t>
  </si>
  <si>
    <t xml:space="preserve">Indicator remains aria-hidden while visible Label text communicates state without color-only meaning or unsolicited announcement.</t>
  </si>
  <si>
    <t xml:space="preserve">../test/components/status/status.test.tsx; tests/components/status/behavior.spec.ts</t>
  </si>
  <si>
    <t xml:space="preserve">ST-09</t>
  </si>
  <si>
    <t xml:space="preserve">Passive state text, decorative Indicator, application-authored ARIA pass-through, and axe checks preserve the contract.</t>
  </si>
  <si>
    <t xml:space="preserve">tests/components/status/behavior.spec.ts</t>
  </si>
  <si>
    <t xml:space="preserve">ST-10</t>
  </si>
  <si>
    <t xml:space="preserve">tests/components/status/visual.spec.ts</t>
  </si>
  <si>
    <t xml:space="preserve">Capture and review tones, sizes, dark, RTL, long-label, and forced-color baselines.</t>
  </si>
  <si>
    <t xml:space="preserve">ST-11</t>
  </si>
  <si>
    <t xml:space="preserve">Indicator-only</t>
  </si>
  <si>
    <t xml:space="preserve">A decorative indicator-only composition is tested only when adjacent text already names the same state.</t>
  </si>
  <si>
    <t xml:space="preserve">ST-12</t>
  </si>
  <si>
    <t xml:space="preserve">Narrow widths, 200% text, 400% zoom, localization, and RTL preserve readable label and dot alignment.</t>
  </si>
  <si>
    <t xml:space="preserve">manual-tests/status.md</t>
  </si>
  <si>
    <t xml:space="preserve">ST-13</t>
  </si>
  <si>
    <t xml:space="preserve">Light, dark, forced colors, every tone, and adjacent focus remain distinguishable.</t>
  </si>
  <si>
    <t xml:space="preserve">ST-14</t>
  </si>
  <si>
    <t xml:space="preserve">Live updates</t>
  </si>
  <si>
    <t xml:space="preserve">Only an application deliberately authors role=status when it owns timing, repetition, focus, and announcement policy.</t>
  </si>
  <si>
    <t xml:space="preserve">manual-tests/status.md; ../docs/components/status/README.md</t>
  </si>
  <si>
    <t xml:space="preserve">The application-owned example exists; assistive-technology review is pending.</t>
  </si>
  <si>
    <t xml:space="preserve">ST-15</t>
  </si>
  <si>
    <t xml:space="preserve">The numbered component-owned protocol passes tones, sizes, semantics, theme, reflow, device, and assistive-technology scenarios.</t>
  </si>
  <si>
    <t xml:space="preserve">ST-16</t>
  </si>
  <si>
    <t xml:space="preserve">One route exposes overview, tones, sizes, composition, semantics, theme, and stress scenarios.</t>
  </si>
  <si>
    <t xml:space="preserve">src/components/status/StatusPage.tsx</t>
  </si>
  <si>
    <t xml:space="preserve">ST-17</t>
  </si>
  <si>
    <t xml:space="preserve">Public use, exclusions, API, anatomy, semantics, accessibility, customization, and evidence documentation pass.</t>
  </si>
  <si>
    <t xml:space="preserve">../docs/components/status/README.md</t>
  </si>
  <si>
    <t xml:space="preserve">ST-18</t>
  </si>
  <si>
    <t xml:space="preserve">Machine-readable guidance distinguishes passive state text from Badge, Progress, Alert, Avatar presence, and live regions.</t>
  </si>
  <si>
    <t xml:space="preserve">../src/components/status/agent.json; ../src/components/status/agent.md</t>
  </si>
  <si>
    <t xml:space="preserve">ST-19</t>
  </si>
  <si>
    <t xml:space="preserve">The packed standalone Consumer imports the public status subpath in a realistic passive state composition.</t>
  </si>
  <si>
    <t xml:space="preserve">No Status Consumer composition or assertion exists yet.</t>
  </si>
  <si>
    <t xml:space="preserve">ST-20</t>
  </si>
  <si>
    <t xml:space="preserve">Color Picker Evidence</t>
  </si>
  <si>
    <t xml:space="preserve">Assertion-level Atom-backed anatomy, value, form, Popover, CSS, browser, accessibility, documentation, Agent Knowledge, Consumer, and package evidence.</t>
  </si>
  <si>
    <t xml:space="preserve">CP-01</t>
  </si>
  <si>
    <t xml:space="preserve">Root, Label, Control, Input, NativeInput, HiddenInput, Trigger, Content, and SwatchTrigger adapt only the public Atom 0.24.0 Color Picker.</t>
  </si>
  <si>
    <t xml:space="preserve">../src/components/color-picker</t>
  </si>
  <si>
    <t xml:space="preserve">Exact published Atom 0.24.0 is the behavior owner.</t>
  </si>
  <si>
    <t xml:space="preserve">CP-02</t>
  </si>
  <si>
    <t xml:space="preserve">Every public part preserves its Atom element, ref target, slot, state attributes, native props, and consumer class names.</t>
  </si>
  <si>
    <t xml:space="preserve">../test/components/color-picker/color-picker.test.tsx</t>
  </si>
  <si>
    <t xml:space="preserve">CP-03</t>
  </si>
  <si>
    <t xml:space="preserve">ColorPicker</t>
  </si>
  <si>
    <t xml:space="preserve">Root and color-picker subpath exports expose the namespace, named styled parts, and public prop and recipe types.</t>
  </si>
  <si>
    <t xml:space="preserve">CP-04</t>
  </si>
  <si>
    <t xml:space="preserve">Closed size and variant recipes, required values, native prop collisions, callbacks, composition, and refs type-check.</t>
  </si>
  <si>
    <t xml:space="preserve">../test/types/components/color-picker.test.ts</t>
  </si>
  <si>
    <t xml:space="preserve">CP-05</t>
  </si>
  <si>
    <t xml:space="preserve">All styled parts</t>
  </si>
  <si>
    <t xml:space="preserve">Static CSS ships shared geometry, outline and soft recipes, focus, invalid, disabled, read-only, selected, floating, forced-color, and reduced-motion hooks.</t>
  </si>
  <si>
    <t xml:space="preserve">../src/components/color-picker/color-picker.css</t>
  </si>
  <si>
    <t xml:space="preserve">CP-06</t>
  </si>
  <si>
    <t xml:space="preserve">Input / NativeInput / SwatchTrigger</t>
  </si>
  <si>
    <t xml:space="preserve">Text, native chooser, and named presets update one normalized opaque hexadecimal value while invalid drafts revert.</t>
  </si>
  <si>
    <t xml:space="preserve">tests/components/color-picker/behavior.spec.ts</t>
  </si>
  <si>
    <t xml:space="preserve">CP-07</t>
  </si>
  <si>
    <t xml:space="preserve">Root / HiddenInput</t>
  </si>
  <si>
    <t xml:space="preserve">One named hidden successful control submits and resets the authored default without duplicating form ownership.</t>
  </si>
  <si>
    <t xml:space="preserve">CP-08</t>
  </si>
  <si>
    <t xml:space="preserve">Optional floating content opens, dismisses with Escape, restores trigger focus, and remains available for read-only inspection.</t>
  </si>
  <si>
    <t xml:space="preserve">CP-09</t>
  </si>
  <si>
    <t xml:space="preserve">Disabled blocks interaction, read-only blocks mutation without blocking inspection, and invalid and required state remain exposed and visible.</t>
  </si>
  <si>
    <t xml:space="preserve">../test/components/color-picker/color-picker.test.tsx; tests/components/color-picker/behavior.spec.ts</t>
  </si>
  <si>
    <t xml:space="preserve">CP-10</t>
  </si>
  <si>
    <t xml:space="preserve">Persistent labels, native chooser names, named pressed presets, focus restoration, and the focused route pass accessibility checks without color-only meaning.</t>
  </si>
  <si>
    <t xml:space="preserve">CP-11</t>
  </si>
  <si>
    <t xml:space="preserve">Root / Control / Content</t>
  </si>
  <si>
    <t xml:space="preserve">Narrow and RTL compositions remain contained and logical while long localized labels and controls remain reachable.</t>
  </si>
  <si>
    <t xml:space="preserve">tests/components/color-picker/behavior.spec.ts; tests/components/color-picker/visual.spec.ts</t>
  </si>
  <si>
    <t xml:space="preserve">CP-12</t>
  </si>
  <si>
    <t xml:space="preserve">Light, dark, forced-color, focus, selected, invalid, and floating-surface paint remain distinguishable.</t>
  </si>
  <si>
    <t xml:space="preserve">tests/components/color-picker/visual.spec.ts</t>
  </si>
  <si>
    <t xml:space="preserve">Owner reviewed all four Color Picker Chromium baselines on August 28, 2026.</t>
  </si>
  <si>
    <t xml:space="preserve">CP-13</t>
  </si>
  <si>
    <t xml:space="preserve">Risk-selected overview, open presets, recipes, narrow RTL, and forced-color states retain the adopted finished hierarchy and geometry.</t>
  </si>
  <si>
    <t xml:space="preserve">CP-14</t>
  </si>
  <si>
    <t xml:space="preserve">Documented classes, slots, size and variant attributes, and component variables customize presentation without changing Atom behavior.</t>
  </si>
  <si>
    <t xml:space="preserve">../docs/components/color-picker/README.md; ../scripts/component-documentation-contracts.mjs</t>
  </si>
  <si>
    <t xml:space="preserve">CP-15</t>
  </si>
  <si>
    <t xml:space="preserve">Machine and Markdown guidance route editable selection to Color Picker, passive preview to Color Swatch, and preserve naming, form, hexadecimal, and CSS requirements.</t>
  </si>
  <si>
    <t xml:space="preserve">agents</t>
  </si>
  <si>
    <t xml:space="preserve">../src/components/color-picker/agent.json; ../agents/guides/layer-selection/agent.json</t>
  </si>
  <si>
    <t xml:space="preserve">CP-16</t>
  </si>
  <si>
    <t xml:space="preserve">Public purpose, API, anatomy, recipes, accessibility, composition, exclusions, evidence, and exact Atom boundary pass documentation gates.</t>
  </si>
  <si>
    <t xml:space="preserve">../docs/components/color-picker/README.md</t>
  </si>
  <si>
    <t xml:space="preserve">CP-17</t>
  </si>
  <si>
    <t xml:space="preserve">The component and package changelogs record the complete release-facing addition without private implementation history.</t>
  </si>
  <si>
    <t xml:space="preserve">../docs/components/color-picker/CHANGELOG.md; ../CHANGELOG.md</t>
  </si>
  <si>
    <t xml:space="preserve">CP-18</t>
  </si>
  <si>
    <t xml:space="preserve">The packed standalone Consumer imports the public subpath and exercises a realistic color-preference form composition.</t>
  </si>
  <si>
    <t xml:space="preserve">CP-19</t>
  </si>
  <si>
    <t xml:space="preserve">Build, SSR, exports, declarations, modular CSS, tarball, exact Atom dependency, and clean React consumers pass the package boundary.</t>
  </si>
  <si>
    <t xml:space="preserve">../test/package/package.test.mjs; ../test/package/ssr.test.mjs; ../scripts/verify-consumers.mjs</t>
  </si>
  <si>
    <t xml:space="preserve">CP-20</t>
  </si>
  <si>
    <t xml:space="preserve">The numbered component-owned protocol covers visual finish, keyboard, touch, assistive technology, preferences, zoom, RTL, content stress, form, and Popover review.</t>
  </si>
  <si>
    <t xml:space="preserve">manual-tests/color-picker.md</t>
  </si>
  <si>
    <t xml:space="preserve">No completed physical-device or assistive-technology run is recorded.</t>
  </si>
  <si>
    <t xml:space="preserve">Em Evidence</t>
  </si>
  <si>
    <t xml:space="preserve">Assertion-level native emphasis, inheritance, browser, documentation, Consumer, and release evidence.</t>
  </si>
  <si>
    <t xml:space="preserve">EM-01</t>
  </si>
  <si>
    <t xml:space="preserve">The public Em owner and its approved native anatomy are implemented.</t>
  </si>
  <si>
    <t xml:space="preserve">../src/components/em</t>
  </si>
  <si>
    <t xml:space="preserve">EM-02</t>
  </si>
  <si>
    <t xml:space="preserve">Native emphasis inherits surrounding typography and adds no unsupported variant system.</t>
  </si>
  <si>
    <t xml:space="preserve">../test/components/em/em.test.tsx; ../docs/components/em/README.md</t>
  </si>
  <si>
    <t xml:space="preserve">EM-03</t>
  </si>
  <si>
    <t xml:space="preserve">Root and public Em subpath exports expose the runtime and every public type.</t>
  </si>
  <si>
    <t xml:space="preserve">EM-04</t>
  </si>
  <si>
    <t xml:space="preserve">Native attributes, recipes, composition branches, and ref contracts type-check.</t>
  </si>
  <si>
    <t xml:space="preserve">../test/types/components/em.test.ts</t>
  </si>
  <si>
    <t xml:space="preserve">EM-05</t>
  </si>
  <si>
    <t xml:space="preserve">Static CSS ships the approved recipes, tokens, states, preferences, and public hooks.</t>
  </si>
  <si>
    <t xml:space="preserve">../src/components/em/em.css</t>
  </si>
  <si>
    <t xml:space="preserve">EM-06</t>
  </si>
  <si>
    <t xml:space="preserve">Native em output, inherited typography, refs, classes, styles, and native forwarding pass.</t>
  </si>
  <si>
    <t xml:space="preserve">../test/components/em/em.test.tsx</t>
  </si>
  <si>
    <t xml:space="preserve">EM-07</t>
  </si>
  <si>
    <t xml:space="preserve">Semantic output, prose inheritance, native attributes, text spacing, zoom, RTL, and reflow pass.</t>
  </si>
  <si>
    <t xml:space="preserve">tests/components/em/behavior.spec.ts</t>
  </si>
  <si>
    <t xml:space="preserve">EM-08</t>
  </si>
  <si>
    <t xml:space="preserve">Native emphasis semantics, readable contrast, text spacing, and axe pass.</t>
  </si>
  <si>
    <t xml:space="preserve">EM-09</t>
  </si>
  <si>
    <t xml:space="preserve">Prose contexts, native output, customization, light, dark, forced colors, and mobile own baselines.</t>
  </si>
  <si>
    <t xml:space="preserve">tests/components/em/visual.spec.ts</t>
  </si>
  <si>
    <t xml:space="preserve">EM-10</t>
  </si>
  <si>
    <t xml:space="preserve">Long localized emphasis, mobile widths, RTL, text spacing, and zoom remain readable.</t>
  </si>
  <si>
    <t xml:space="preserve">manual-tests/em.md</t>
  </si>
  <si>
    <t xml:space="preserve">EM-11</t>
  </si>
  <si>
    <t xml:space="preserve">Inherited light, dark, forced-color, and customized typography remain legible.</t>
  </si>
  <si>
    <t xml:space="preserve">manual-tests/em.md; tests/components/em/visual.spec.ts</t>
  </si>
  <si>
    <t xml:space="preserve">EM-12</t>
  </si>
  <si>
    <t xml:space="preserve">The rendered host remains native em and does not substitute presentation-only styling.</t>
  </si>
  <si>
    <t xml:space="preserve">EM-13</t>
  </si>
  <si>
    <t xml:space="preserve">The component-owned manual protocol covers every Em playground scenario.</t>
  </si>
  <si>
    <t xml:space="preserve">EM-14</t>
  </si>
  <si>
    <t xml:space="preserve">Source-backed public usage, API, accessibility, and token documentation passes.</t>
  </si>
  <si>
    <t xml:space="preserve">../docs/components/em/README.md</t>
  </si>
  <si>
    <t xml:space="preserve">EM-15</t>
  </si>
  <si>
    <t xml:space="preserve">Em owns a public changelog and the package changelog records its addition.</t>
  </si>
  <si>
    <t xml:space="preserve">../docs/components/em/CHANGELOG.md; ../CHANGELOG.md</t>
  </si>
  <si>
    <t xml:space="preserve">EM-16</t>
  </si>
  <si>
    <t xml:space="preserve">The packed Consumer proves Em through the public package subpath.</t>
  </si>
  <si>
    <t xml:space="preserve">EM-17</t>
  </si>
  <si>
    <t xml:space="preserve">Build, SSR, exports, CSS, Agent Knowledge, tarball, React 18/19, and packed-consumer verification pass.</t>
  </si>
  <si>
    <t xml:space="preserve">Mark Evidence</t>
  </si>
  <si>
    <t xml:space="preserve">Assertion-level semantic mark, restrained recipes, browser, documentation, Consumer, and release evidence.</t>
  </si>
  <si>
    <t xml:space="preserve">MK-01</t>
  </si>
  <si>
    <t xml:space="preserve">The public Mark owner and its approved native anatomy are implemented.</t>
  </si>
  <si>
    <t xml:space="preserve">../src/components/mark</t>
  </si>
  <si>
    <t xml:space="preserve">MK-02</t>
  </si>
  <si>
    <t xml:space="preserve">Static semantic marking stays separate from query matching and application search state.</t>
  </si>
  <si>
    <t xml:space="preserve">../test/components/mark/mark.test.tsx; ../docs/components/mark/README.md</t>
  </si>
  <si>
    <t xml:space="preserve">MK-03</t>
  </si>
  <si>
    <t xml:space="preserve">Root and public Mark subpath exports expose the runtime and every public type.</t>
  </si>
  <si>
    <t xml:space="preserve">MK-04</t>
  </si>
  <si>
    <t xml:space="preserve">../test/types/components/mark.test.ts</t>
  </si>
  <si>
    <t xml:space="preserve">MK-05</t>
  </si>
  <si>
    <t xml:space="preserve">../src/components/mark/mark.css</t>
  </si>
  <si>
    <t xml:space="preserve">MK-06</t>
  </si>
  <si>
    <t xml:space="preserve">Native mark output, recipes, refs, classes, styles, and native forwarding pass.</t>
  </si>
  <si>
    <t xml:space="preserve">../test/components/mark/mark.test.tsx</t>
  </si>
  <si>
    <t xml:space="preserve">MK-07</t>
  </si>
  <si>
    <t xml:space="preserve">Semantic output, recipe hooks, selection, text spacing, zoom, RTL, and reflow pass.</t>
  </si>
  <si>
    <t xml:space="preserve">tests/components/mark/behavior.spec.ts</t>
  </si>
  <si>
    <t xml:space="preserve">MK-08</t>
  </si>
  <si>
    <t xml:space="preserve">Native mark semantics, readable contrast, forced colors, text spacing, and axe pass.</t>
  </si>
  <si>
    <t xml:space="preserve">MK-09</t>
  </si>
  <si>
    <t xml:space="preserve">Default and restrained recipes, customization, light, dark, forced colors, and mobile own baselines.</t>
  </si>
  <si>
    <t xml:space="preserve">tests/components/mark/visual.spec.ts</t>
  </si>
  <si>
    <t xml:space="preserve">MK-10</t>
  </si>
  <si>
    <t xml:space="preserve">Long marked content, mobile widths, RTL, selection, text spacing, and zoom remain readable.</t>
  </si>
  <si>
    <t xml:space="preserve">manual-tests/mark.md</t>
  </si>
  <si>
    <t xml:space="preserve">MK-11</t>
  </si>
  <si>
    <t xml:space="preserve">All recipes retain readable foreground/background relationships across appearances and forced colors.</t>
  </si>
  <si>
    <t xml:space="preserve">manual-tests/mark.md; tests/components/mark/visual.spec.ts</t>
  </si>
  <si>
    <t xml:space="preserve">MK-12</t>
  </si>
  <si>
    <t xml:space="preserve">The component renders native mark without accepting a query or duplicating Atom Highlight.</t>
  </si>
  <si>
    <t xml:space="preserve">MK-13</t>
  </si>
  <si>
    <t xml:space="preserve">The component-owned manual protocol covers every Mark playground scenario.</t>
  </si>
  <si>
    <t xml:space="preserve">MK-14</t>
  </si>
  <si>
    <t xml:space="preserve">../docs/components/mark/README.md</t>
  </si>
  <si>
    <t xml:space="preserve">MK-15</t>
  </si>
  <si>
    <t xml:space="preserve">Mark owns a public changelog and the package changelog records its addition.</t>
  </si>
  <si>
    <t xml:space="preserve">../docs/components/mark/CHANGELOG.md; ../CHANGELOG.md</t>
  </si>
  <si>
    <t xml:space="preserve">MK-16</t>
  </si>
  <si>
    <t xml:space="preserve">The packed Consumer proves Mark through the public package subpath.</t>
  </si>
  <si>
    <t xml:space="preserve">MK-17</t>
  </si>
  <si>
    <t xml:space="preserve">Kbd Evidence</t>
  </si>
  <si>
    <t xml:space="preserve">Assertion-level keyboard notation, composed sequences, browser, documentation, Consumer, and release evidence.</t>
  </si>
  <si>
    <t xml:space="preserve">KB-01</t>
  </si>
  <si>
    <t xml:space="preserve">The public Kbd owner and its approved native anatomy are implemented.</t>
  </si>
  <si>
    <t xml:space="preserve">../src/components/kbd</t>
  </si>
  <si>
    <t xml:space="preserve">KB-02</t>
  </si>
  <si>
    <t xml:space="preserve">Keyboard notation remains presentation-only and owns no shortcut registration or platform translation.</t>
  </si>
  <si>
    <t xml:space="preserve">../test/components/kbd/kbd.test.tsx; ../docs/components/kbd/README.md</t>
  </si>
  <si>
    <t xml:space="preserve">KB-03</t>
  </si>
  <si>
    <t xml:space="preserve">Root and public Kbd subpath exports expose the runtime and every public type.</t>
  </si>
  <si>
    <t xml:space="preserve">KB-04</t>
  </si>
  <si>
    <t xml:space="preserve">../test/types/components/kbd.test.ts</t>
  </si>
  <si>
    <t xml:space="preserve">KB-05</t>
  </si>
  <si>
    <t xml:space="preserve">../src/components/kbd/kbd.css</t>
  </si>
  <si>
    <t xml:space="preserve">KB-06</t>
  </si>
  <si>
    <t xml:space="preserve">Native kbd output, recipes, refs, native forwarding, and composed key sequences pass.</t>
  </si>
  <si>
    <t xml:space="preserve">../test/components/kbd/kbd.test.tsx</t>
  </si>
  <si>
    <t xml:space="preserve">KB-07</t>
  </si>
  <si>
    <t xml:space="preserve">Sequence spacing, semantic output, narrow layout, text spacing, zoom, RTL, and reflow pass.</t>
  </si>
  <si>
    <t xml:space="preserve">tests/components/kbd/behavior.spec.ts</t>
  </si>
  <si>
    <t xml:space="preserve">KB-08</t>
  </si>
  <si>
    <t xml:space="preserve">Native keyboard-input semantics, readable contrast, forced colors, and axe pass.</t>
  </si>
  <si>
    <t xml:space="preserve">KB-09</t>
  </si>
  <si>
    <t xml:space="preserve">Single keys, sequences, recipes, customization, light, dark, forced colors, and mobile own baselines.</t>
  </si>
  <si>
    <t xml:space="preserve">tests/components/kbd/visual.spec.ts</t>
  </si>
  <si>
    <t xml:space="preserve">KB-10</t>
  </si>
  <si>
    <t xml:space="preserve">Long labels and composed sequences wrap or contain correctly across narrow and RTL layouts.</t>
  </si>
  <si>
    <t xml:space="preserve">manual-tests/kbd.md</t>
  </si>
  <si>
    <t xml:space="preserve">KB-11</t>
  </si>
  <si>
    <t xml:space="preserve">Key surfaces, borders, text, focus-neutral output, and forced colors remain legible.</t>
  </si>
  <si>
    <t xml:space="preserve">manual-tests/kbd.md; tests/components/kbd/visual.spec.ts</t>
  </si>
  <si>
    <t xml:space="preserve">KB-12</t>
  </si>
  <si>
    <t xml:space="preserve">Every key remains native kbd output and no event listener or shortcut behavior is installed.</t>
  </si>
  <si>
    <t xml:space="preserve">KB-13</t>
  </si>
  <si>
    <t xml:space="preserve">The component-owned manual protocol covers every Kbd playground scenario.</t>
  </si>
  <si>
    <t xml:space="preserve">KB-14</t>
  </si>
  <si>
    <t xml:space="preserve">../docs/components/kbd/README.md</t>
  </si>
  <si>
    <t xml:space="preserve">KB-15</t>
  </si>
  <si>
    <t xml:space="preserve">Kbd owns a public changelog and the package changelog records its addition.</t>
  </si>
  <si>
    <t xml:space="preserve">../docs/components/kbd/CHANGELOG.md; ../CHANGELOG.md</t>
  </si>
  <si>
    <t xml:space="preserve">KB-16</t>
  </si>
  <si>
    <t xml:space="preserve">The packed Consumer proves Kbd through the public package subpath.</t>
  </si>
  <si>
    <t xml:space="preserve">KB-17</t>
  </si>
  <si>
    <t xml:space="preserve">Blockquote Evidence</t>
  </si>
  <si>
    <t xml:space="preserve">Assertion-level quotation anatomy, attribution, browser, documentation, Consumer, and release evidence.</t>
  </si>
  <si>
    <t xml:space="preserve">BQ-01</t>
  </si>
  <si>
    <t xml:space="preserve">The public Blockquote owner and its approved native anatomy are implemented.</t>
  </si>
  <si>
    <t xml:space="preserve">../src/components/blockquote</t>
  </si>
  <si>
    <t xml:space="preserve">BQ-02</t>
  </si>
  <si>
    <t xml:space="preserve">Quoted content, optional accent, caption, cite label, and cite URL preserve the approved semantic tree.</t>
  </si>
  <si>
    <t xml:space="preserve">../test/components/blockquote/blockquote.test.tsx; ../docs/components/blockquote/README.md</t>
  </si>
  <si>
    <t xml:space="preserve">BQ-03</t>
  </si>
  <si>
    <t xml:space="preserve">Root and public Blockquote subpath exports expose the runtime and every public type.</t>
  </si>
  <si>
    <t xml:space="preserve">BQ-04</t>
  </si>
  <si>
    <t xml:space="preserve">../test/types/components/blockquote.test.ts</t>
  </si>
  <si>
    <t xml:space="preserve">BQ-05</t>
  </si>
  <si>
    <t xml:space="preserve">../src/components/blockquote/blockquote.css</t>
  </si>
  <si>
    <t xml:space="preserve">BQ-06</t>
  </si>
  <si>
    <t xml:space="preserve">Root, Content, Caption, Cite, icon/accent branches, refs, and native forwarding pass.</t>
  </si>
  <si>
    <t xml:space="preserve">../test/components/blockquote/blockquote.test.tsx</t>
  </si>
  <si>
    <t xml:space="preserve">BQ-07</t>
  </si>
  <si>
    <t xml:space="preserve">Quotation and attribution output, cite URL, optional parts, reflow, zoom, and RTL pass.</t>
  </si>
  <si>
    <t xml:space="preserve">tests/components/blockquote/behavior.spec.ts</t>
  </si>
  <si>
    <t xml:space="preserve">BQ-08</t>
  </si>
  <si>
    <t xml:space="preserve">Quoted content stays separate from attribution and the complete composition passes axe.</t>
  </si>
  <si>
    <t xml:space="preserve">BQ-09</t>
  </si>
  <si>
    <t xml:space="preserve">Anatomy, recipes, optional parts, long attribution, light, dark, forced colors, and mobile own baselines.</t>
  </si>
  <si>
    <t xml:space="preserve">tests/components/blockquote/visual.spec.ts</t>
  </si>
  <si>
    <t xml:space="preserve">BQ-10</t>
  </si>
  <si>
    <t xml:space="preserve">Long quotations, citations, localized attribution, zoom, mobile widths, and RTL remain readable.</t>
  </si>
  <si>
    <t xml:space="preserve">manual-tests/blockquote.md</t>
  </si>
  <si>
    <t xml:space="preserve">BQ-11</t>
  </si>
  <si>
    <t xml:space="preserve">Quote surfaces, accents, icons, and attribution retain legibility in every supported appearance.</t>
  </si>
  <si>
    <t xml:space="preserve">manual-tests/blockquote.md; tests/components/blockquote/visual.spec.ts</t>
  </si>
  <si>
    <t xml:space="preserve">BQ-12</t>
  </si>
  <si>
    <t xml:space="preserve">Attribution remains outside the blockquote element while cite metadata stays on quoted content.</t>
  </si>
  <si>
    <t xml:space="preserve">BQ-13</t>
  </si>
  <si>
    <t xml:space="preserve">The component-owned manual protocol covers every Blockquote playground scenario.</t>
  </si>
  <si>
    <t xml:space="preserve">BQ-14</t>
  </si>
  <si>
    <t xml:space="preserve">../docs/components/blockquote/README.md</t>
  </si>
  <si>
    <t xml:space="preserve">BQ-15</t>
  </si>
  <si>
    <t xml:space="preserve">Blockquote owns a public changelog and the package changelog records its addition.</t>
  </si>
  <si>
    <t xml:space="preserve">../docs/components/blockquote/CHANGELOG.md; ../CHANGELOG.md</t>
  </si>
  <si>
    <t xml:space="preserve">BQ-16</t>
  </si>
  <si>
    <t xml:space="preserve">The packed Consumer proves Blockquote through the public package subpath.</t>
  </si>
  <si>
    <t xml:space="preserve">BQ-17</t>
  </si>
  <si>
    <t xml:space="preserve">Highlight Evidence</t>
  </si>
  <si>
    <t xml:space="preserve">Assertion-level Atom adaptation, semantic matches, browser, documentation, Consumer, and release evidence.</t>
  </si>
  <si>
    <t xml:space="preserve">HL-01</t>
  </si>
  <si>
    <t xml:space="preserve">The public Highlight owner and its approved native anatomy are implemented.</t>
  </si>
  <si>
    <t xml:space="preserve">../src/components/highlight</t>
  </si>
  <si>
    <t xml:space="preserve">HL-02</t>
  </si>
  <si>
    <t xml:space="preserve">Brick delegates deterministic segmentation to exact Atom Highlight and owns only finished rendering.</t>
  </si>
  <si>
    <t xml:space="preserve">../test/components/highlight/highlight.test.tsx; ../docs/components/highlight/README.md</t>
  </si>
  <si>
    <t xml:space="preserve">HL-03</t>
  </si>
  <si>
    <t xml:space="preserve">Root and public Highlight subpath exports expose the runtime and every public type.</t>
  </si>
  <si>
    <t xml:space="preserve">HL-04</t>
  </si>
  <si>
    <t xml:space="preserve">../test/types/components/highlight.test.ts</t>
  </si>
  <si>
    <t xml:space="preserve">HL-05</t>
  </si>
  <si>
    <t xml:space="preserve">../src/components/highlight/highlight.css</t>
  </si>
  <si>
    <t xml:space="preserve">HL-06</t>
  </si>
  <si>
    <t xml:space="preserve">String and array queries, matching options, semantic segments, recipes, refs, and native forwarding pass.</t>
  </si>
  <si>
    <t xml:space="preserve">../test/components/highlight/highlight.test.tsx</t>
  </si>
  <si>
    <t xml:space="preserve">HL-07</t>
  </si>
  <si>
    <t xml:space="preserve">Repeated matches, punctuation, selection, copy output, text spacing, zoom, RTL, and reflow pass.</t>
  </si>
  <si>
    <t xml:space="preserve">tests/components/highlight/behavior.spec.ts</t>
  </si>
  <si>
    <t xml:space="preserve">HL-08</t>
  </si>
  <si>
    <t xml:space="preserve">Semantic marked segments preserve readable surrounding text, contrast, forced colors, and axe.</t>
  </si>
  <si>
    <t xml:space="preserve">HL-09</t>
  </si>
  <si>
    <t xml:space="preserve">Matching recipes, repeated segments, customization, light, dark, forced colors, and mobile own baselines.</t>
  </si>
  <si>
    <t xml:space="preserve">tests/components/highlight/visual.spec.ts</t>
  </si>
  <si>
    <t xml:space="preserve">HL-10</t>
  </si>
  <si>
    <t xml:space="preserve">Long searchable text, repeated matches, mobile widths, zoom, selection, and RTL remain usable.</t>
  </si>
  <si>
    <t xml:space="preserve">manual-tests/highlight.md</t>
  </si>
  <si>
    <t xml:space="preserve">HL-11</t>
  </si>
  <si>
    <t xml:space="preserve">Every match recipe remains distinguishable without obscuring text across appearances and forced colors.</t>
  </si>
  <si>
    <t xml:space="preserve">manual-tests/highlight.md; tests/components/highlight/visual.spec.ts</t>
  </si>
  <si>
    <t xml:space="preserve">HL-12</t>
  </si>
  <si>
    <t xml:space="preserve">Copy output remains plain text and Atom matching options are exposed without reimplementation.</t>
  </si>
  <si>
    <t xml:space="preserve">HL-13</t>
  </si>
  <si>
    <t xml:space="preserve">The component-owned manual protocol covers every Highlight playground scenario.</t>
  </si>
  <si>
    <t xml:space="preserve">HL-14</t>
  </si>
  <si>
    <t xml:space="preserve">../docs/components/highlight/README.md</t>
  </si>
  <si>
    <t xml:space="preserve">HL-15</t>
  </si>
  <si>
    <t xml:space="preserve">Highlight owns a public changelog and the package changelog records its addition.</t>
  </si>
  <si>
    <t xml:space="preserve">../docs/components/highlight/CHANGELOG.md; ../CHANGELOG.md</t>
  </si>
  <si>
    <t xml:space="preserve">HL-16</t>
  </si>
  <si>
    <t xml:space="preserve">The packed Consumer proves Highlight through the public package subpath.</t>
  </si>
  <si>
    <t xml:space="preserve">HL-17</t>
  </si>
  <si>
    <t xml:space="preserve">Prose Evidence</t>
  </si>
  <si>
    <t xml:space="preserve">Assertion-level descendant typography, trust boundary, browser, documentation, Consumer, and release evidence.</t>
  </si>
  <si>
    <t xml:space="preserve">The public Prose owner and its approved native anatomy are implemented.</t>
  </si>
  <si>
    <t xml:space="preserve">../src/components/prose</t>
  </si>
  <si>
    <t xml:space="preserve">Trusted React descendants receive coherent typography without parsing, sanitizing, fetching, or persisting content.</t>
  </si>
  <si>
    <t xml:space="preserve">../test/components/prose/prose.test.tsx; ../docs/components/prose/README.md</t>
  </si>
  <si>
    <t xml:space="preserve">Root and public Prose subpath exports expose the runtime and every public type.</t>
  </si>
  <si>
    <t xml:space="preserve">../test/types/components/prose.test.ts</t>
  </si>
  <si>
    <t xml:space="preserve">../src/components/prose/prose.css</t>
  </si>
  <si>
    <t xml:space="preserve">Native host selection, measure, scale, descendant hooks, refs, native forwarding, and safe children pass.</t>
  </si>
  <si>
    <t xml:space="preserve">../test/components/prose/prose.test.tsx</t>
  </si>
  <si>
    <t xml:space="preserve">Headings, paragraphs, links, lists, quotes, tables, code, rules, media, zoom, RTL, and reflow pass.</t>
  </si>
  <si>
    <t xml:space="preserve">tests/components/prose/behavior.spec.ts</t>
  </si>
  <si>
    <t xml:space="preserve">Semantic descendant output, readable measure, text spacing, contrast, keyboard links, and axe pass.</t>
  </si>
  <si>
    <t xml:space="preserve">Representative editorial content, scales, measures, customization, light, dark, forced colors, and mobile own baselines.</t>
  </si>
  <si>
    <t xml:space="preserve">tests/components/prose/visual.spec.ts</t>
  </si>
  <si>
    <t xml:space="preserve">Long editorial content, tables, code, media, mobile widths, zoom, and RTL stay usable and contained.</t>
  </si>
  <si>
    <t xml:space="preserve">manual-tests/prose.md</t>
  </si>
  <si>
    <t xml:space="preserve">All descendant selectors preserve hierarchy and readable contrast across appearances and forced colors.</t>
  </si>
  <si>
    <t xml:space="preserve">manual-tests/prose.md; tests/components/prose/visual.spec.ts</t>
  </si>
  <si>
    <t xml:space="preserve">Prose styles trusted React output only and exposes no unsafe HTML, Markdown, or sanitization shortcut.</t>
  </si>
  <si>
    <t xml:space="preserve">The component-owned manual protocol covers every Prose playground scenario.</t>
  </si>
  <si>
    <t xml:space="preserve">../docs/components/prose/README.md</t>
  </si>
  <si>
    <t xml:space="preserve">Prose owns a public changelog and the package changelog records its addition.</t>
  </si>
  <si>
    <t xml:space="preserve">../docs/components/prose/CHANGELOG.md; ../CHANGELOG.md</t>
  </si>
  <si>
    <t xml:space="preserve">The packed Consumer proves Prose through the public package subpath.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</si>
</sst>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yyyy\-mm\-dd"/>
    <numFmt numFmtId="171" formatCode="yyyy\-mm\-dd\ h:mm:ss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22"/>
      <color rgb="FFFFFFFF"/>
      <name val="Aptos Display"/>
      <family val="0"/>
      <charset val="1"/>
    </font>
    <font>
      <sz val="10"/>
      <color rgb="FF5E6B7C"/>
      <name val="Aptos"/>
      <family val="0"/>
      <charset val="1"/>
    </font>
    <font>
      <b val="true"/>
      <sz val="9"/>
      <color rgb="FF5E6B7C"/>
      <name val="Aptos"/>
      <family val="0"/>
      <charset val="1"/>
    </font>
    <font>
      <b val="true"/>
      <sz val="14"/>
      <color rgb="FF172033"/>
      <name val="Aptos Display"/>
      <family val="0"/>
      <charset val="1"/>
    </font>
    <font>
      <sz val="9"/>
      <color rgb="FF1F2937"/>
      <name val="Calibri"/>
      <family val="0"/>
      <charset val="1"/>
    </font>
    <font>
      <b val="true"/>
      <sz val="18"/>
      <color rgb="FFFFFFFF"/>
      <name val="Aptos Display"/>
      <family val="0"/>
      <charset val="1"/>
    </font>
    <font>
      <sz val="9"/>
      <color rgb="FF64748B"/>
      <name val="Aptos"/>
      <family val="0"/>
      <charset val="1"/>
    </font>
    <font>
      <b val="true"/>
      <sz val="9"/>
      <color rgb="FF64748B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sz val="9"/>
      <color rgb="FF64748B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2"/>
      <color rgb="FF172033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2033"/>
        <bgColor rgb="FF1F2937"/>
      </patternFill>
    </fill>
    <fill>
      <patternFill patternType="solid">
        <fgColor rgb="FF4F86C6"/>
        <bgColor rgb="FF64748B"/>
      </patternFill>
    </fill>
    <fill>
      <patternFill patternType="solid">
        <fgColor rgb="FFDCEAFB"/>
        <bgColor rgb="FFDDEBFF"/>
      </patternFill>
    </fill>
    <fill>
      <patternFill patternType="solid">
        <fgColor rgb="FFEEF2F7"/>
        <bgColor rgb="FFEAF0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8EC"/>
      </left>
      <right style="thin">
        <color rgb="FFC9D8EC"/>
      </right>
      <top style="thin">
        <color rgb="FFC9D8EC"/>
      </top>
      <bottom style="thin">
        <color rgb="FFC9D8EC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5" fillId="0" borderId="0" xfId="24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6" fillId="3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2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5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F0FF"/>
      <rgbColor rgb="FF64748B"/>
      <rgbColor rgb="FF8067DC"/>
      <rgbColor rgb="FF993366"/>
      <rgbColor rgb="FFFFF4D6"/>
      <rgbColor rgb="FFDDEBFF"/>
      <rgbColor rgb="FF660066"/>
      <rgbColor rgb="FFFF8080"/>
      <rgbColor rgb="FF0066CC"/>
      <rgbColor rgb="FFC9D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DCEAFB"/>
      <rgbColor rgb="FFFDEBEC"/>
      <rgbColor rgb="FFF4F6F8"/>
      <rgbColor rgb="FFFF99CC"/>
      <rgbColor rgb="FFCC99FF"/>
      <rgbColor rgb="FFEEF2F7"/>
      <rgbColor rgb="FF4F86C6"/>
      <rgbColor rgb="FF33CCCC"/>
      <rgbColor rgb="FF99CC00"/>
      <rgbColor rgb="FFFFCC00"/>
      <rgbColor rgb="FFFF9900"/>
      <rgbColor rgb="FFFF6600"/>
      <rgbColor rgb="FF5E6B7C"/>
      <rgbColor rgb="FF969696"/>
      <rgbColor rgb="FF172033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worksheet" Target="worksheets/sheet87.xml"/><Relationship Id="rId90" Type="http://schemas.openxmlformats.org/officeDocument/2006/relationships/worksheet" Target="worksheets/sheet88.xml"/><Relationship Id="rId91" Type="http://schemas.openxmlformats.org/officeDocument/2006/relationships/worksheet" Target="worksheets/sheet89.xml"/><Relationship Id="rId92" Type="http://schemas.openxmlformats.org/officeDocument/2006/relationships/worksheet" Target="worksheets/sheet90.xml"/><Relationship Id="rId93" Type="http://schemas.openxmlformats.org/officeDocument/2006/relationships/worksheet" Target="worksheets/sheet91.xml"/><Relationship Id="rId94" Type="http://schemas.openxmlformats.org/officeDocument/2006/relationships/worksheet" Target="worksheets/sheet92.xml"/><Relationship Id="rId95" Type="http://schemas.openxmlformats.org/officeDocument/2006/relationships/worksheet" Target="worksheets/sheet93.xml"/><Relationship Id="rId96" Type="http://schemas.openxmlformats.org/officeDocument/2006/relationships/worksheet" Target="worksheets/sheet94.xml"/><Relationship Id="rId97" Type="http://schemas.openxmlformats.org/officeDocument/2006/relationships/worksheet" Target="worksheets/sheet95.xml"/><Relationship Id="rId98" Type="http://schemas.openxmlformats.org/officeDocument/2006/relationships/worksheet" Target="worksheets/sheet96.xml"/><Relationship Id="rId99" Type="http://schemas.openxmlformats.org/officeDocument/2006/relationships/worksheet" Target="worksheets/sheet97.xml"/><Relationship Id="rId100" Type="http://schemas.openxmlformats.org/officeDocument/2006/relationships/worksheet" Target="worksheets/sheet98.xml"/><Relationship Id="rId10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table" Target="../tables/table14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COUNTA(A8:A102)</f>
        <v>95</v>
      </c>
      <c r="D4" s="5" t="s">
        <v>3</v>
      </c>
      <c r="E4" s="6" t="n">
        <f aca="false">COUNTIF(M8:M102,"complete")</f>
        <v>1</v>
      </c>
      <c r="G4" s="5" t="s">
        <v>4</v>
      </c>
      <c r="H4" s="6" t="n">
        <f aca="false">COUNTIF(M8:M102,"blocked")</f>
        <v>5</v>
      </c>
      <c r="J4" s="5" t="s">
        <v>5</v>
      </c>
      <c r="K4" s="7" t="n">
        <f aca="false">IF(B4=0,0,E4/B4)</f>
        <v>0.0105263157894737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0" t="s">
        <v>17</v>
      </c>
      <c r="B8" s="10" t="n">
        <f aca="true">INDIRECT("'"&amp;A8&amp;"'!B4")</f>
        <v>16</v>
      </c>
      <c r="C8" s="10" t="n">
        <f aca="true">COUNTIF(INDIRECT("'"&amp;A8&amp;"'!H9:H200"),"not started")</f>
        <v>0</v>
      </c>
      <c r="D8" s="10" t="n">
        <f aca="true">COUNTIF(INDIRECT("'"&amp;A8&amp;"'!H9:H200"),"partial")</f>
        <v>0</v>
      </c>
      <c r="E8" s="10" t="n">
        <f aca="true">COUNTIF(INDIRECT("'"&amp;A8&amp;"'!H9:H200"),"implemented")</f>
        <v>0</v>
      </c>
      <c r="F8" s="10" t="n">
        <f aca="true">COUNTIF(INDIRECT("'"&amp;A8&amp;"'!H9:H200"),"tested")</f>
        <v>11</v>
      </c>
      <c r="G8" s="10" t="n">
        <f aca="true">COUNTIF(INDIRECT("'"&amp;A8&amp;"'!H9:H200"),"verified")</f>
        <v>5</v>
      </c>
      <c r="H8" s="10" t="n">
        <f aca="true">COUNTIF(INDIRECT("'"&amp;A8&amp;"'!H9:H200"),"blocked")</f>
        <v>0</v>
      </c>
      <c r="I8" s="10" t="n">
        <f aca="true">COUNTIF(INDIRECT("'"&amp;A8&amp;"'!H9:H200"),"not applicable")</f>
        <v>0</v>
      </c>
      <c r="J8" s="11" t="n">
        <f aca="true">INDIRECT("'"&amp;A8&amp;"'!H4")</f>
        <v>1</v>
      </c>
      <c r="K8" s="10" t="n">
        <f aca="true">INDIRECT("'"&amp;A8&amp;"'!K4")</f>
        <v>0</v>
      </c>
      <c r="L8" s="10" t="n">
        <f aca="true">INDIRECT("'"&amp;A8&amp;"'!E5")</f>
        <v>0</v>
      </c>
      <c r="M8" s="10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0" t="s">
        <v>18</v>
      </c>
      <c r="B9" s="10" t="n">
        <f aca="true">INDIRECT("'"&amp;A9&amp;"'!B4")</f>
        <v>16</v>
      </c>
      <c r="C9" s="10" t="n">
        <f aca="true">COUNTIF(INDIRECT("'"&amp;A9&amp;"'!H9:H200"),"not started")</f>
        <v>0</v>
      </c>
      <c r="D9" s="10" t="n">
        <f aca="true">COUNTIF(INDIRECT("'"&amp;A9&amp;"'!H9:H200"),"partial")</f>
        <v>0</v>
      </c>
      <c r="E9" s="10" t="n">
        <f aca="true">COUNTIF(INDIRECT("'"&amp;A9&amp;"'!H9:H200"),"implemented")</f>
        <v>0</v>
      </c>
      <c r="F9" s="10" t="n">
        <f aca="true">COUNTIF(INDIRECT("'"&amp;A9&amp;"'!H9:H200"),"tested")</f>
        <v>11</v>
      </c>
      <c r="G9" s="10" t="n">
        <f aca="true">COUNTIF(INDIRECT("'"&amp;A9&amp;"'!H9:H200"),"verified")</f>
        <v>5</v>
      </c>
      <c r="H9" s="10" t="n">
        <f aca="true">COUNTIF(INDIRECT("'"&amp;A9&amp;"'!H9:H200"),"blocked")</f>
        <v>0</v>
      </c>
      <c r="I9" s="10" t="n">
        <f aca="true">COUNTIF(INDIRECT("'"&amp;A9&amp;"'!H9:H200"),"not applicable")</f>
        <v>0</v>
      </c>
      <c r="J9" s="11" t="n">
        <f aca="true">INDIRECT("'"&amp;A9&amp;"'!H4")</f>
        <v>1</v>
      </c>
      <c r="K9" s="10" t="n">
        <f aca="true">INDIRECT("'"&amp;A9&amp;"'!K4")</f>
        <v>0</v>
      </c>
      <c r="L9" s="10" t="n">
        <f aca="true">INDIRECT("'"&amp;A9&amp;"'!E5")</f>
        <v>0</v>
      </c>
      <c r="M9" s="10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0" t="s">
        <v>19</v>
      </c>
      <c r="B10" s="10" t="n">
        <f aca="true">INDIRECT("'"&amp;A10&amp;"'!B4")</f>
        <v>16</v>
      </c>
      <c r="C10" s="10" t="n">
        <f aca="true">COUNTIF(INDIRECT("'"&amp;A10&amp;"'!H9:H200"),"not started")</f>
        <v>0</v>
      </c>
      <c r="D10" s="10" t="n">
        <f aca="true">COUNTIF(INDIRECT("'"&amp;A10&amp;"'!H9:H200"),"partial")</f>
        <v>0</v>
      </c>
      <c r="E10" s="10" t="n">
        <f aca="true">COUNTIF(INDIRECT("'"&amp;A10&amp;"'!H9:H200"),"implemented")</f>
        <v>0</v>
      </c>
      <c r="F10" s="10" t="n">
        <f aca="true">COUNTIF(INDIRECT("'"&amp;A10&amp;"'!H9:H200"),"tested")</f>
        <v>11</v>
      </c>
      <c r="G10" s="10" t="n">
        <f aca="true">COUNTIF(INDIRECT("'"&amp;A10&amp;"'!H9:H200"),"verified")</f>
        <v>5</v>
      </c>
      <c r="H10" s="10" t="n">
        <f aca="true">COUNTIF(INDIRECT("'"&amp;A10&amp;"'!H9:H200"),"blocked")</f>
        <v>0</v>
      </c>
      <c r="I10" s="10" t="n">
        <f aca="true">COUNTIF(INDIRECT("'"&amp;A10&amp;"'!H9:H200"),"not applicable")</f>
        <v>0</v>
      </c>
      <c r="J10" s="11" t="n">
        <f aca="true">INDIRECT("'"&amp;A10&amp;"'!H4")</f>
        <v>1</v>
      </c>
      <c r="K10" s="10" t="n">
        <f aca="true">INDIRECT("'"&amp;A10&amp;"'!K4")</f>
        <v>0</v>
      </c>
      <c r="L10" s="10" t="n">
        <f aca="true">INDIRECT("'"&amp;A10&amp;"'!E5")</f>
        <v>0</v>
      </c>
      <c r="M10" s="10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0" t="s">
        <v>20</v>
      </c>
      <c r="B11" s="10" t="n">
        <f aca="true">INDIRECT("'"&amp;A11&amp;"'!B4")</f>
        <v>16</v>
      </c>
      <c r="C11" s="10" t="n">
        <f aca="true">COUNTIF(INDIRECT("'"&amp;A11&amp;"'!H9:H200"),"not started")</f>
        <v>0</v>
      </c>
      <c r="D11" s="10" t="n">
        <f aca="true">COUNTIF(INDIRECT("'"&amp;A11&amp;"'!H9:H200"),"partial")</f>
        <v>0</v>
      </c>
      <c r="E11" s="10" t="n">
        <f aca="true">COUNTIF(INDIRECT("'"&amp;A11&amp;"'!H9:H200"),"implemented")</f>
        <v>0</v>
      </c>
      <c r="F11" s="10" t="n">
        <f aca="true">COUNTIF(INDIRECT("'"&amp;A11&amp;"'!H9:H200"),"tested")</f>
        <v>11</v>
      </c>
      <c r="G11" s="10" t="n">
        <f aca="true">COUNTIF(INDIRECT("'"&amp;A11&amp;"'!H9:H200"),"verified")</f>
        <v>5</v>
      </c>
      <c r="H11" s="10" t="n">
        <f aca="true">COUNTIF(INDIRECT("'"&amp;A11&amp;"'!H9:H200"),"blocked")</f>
        <v>0</v>
      </c>
      <c r="I11" s="10" t="n">
        <f aca="true">COUNTIF(INDIRECT("'"&amp;A11&amp;"'!H9:H200"),"not applicable")</f>
        <v>0</v>
      </c>
      <c r="J11" s="11" t="n">
        <f aca="true">INDIRECT("'"&amp;A11&amp;"'!H4")</f>
        <v>1</v>
      </c>
      <c r="K11" s="10" t="n">
        <f aca="true">INDIRECT("'"&amp;A11&amp;"'!K4")</f>
        <v>0</v>
      </c>
      <c r="L11" s="10" t="n">
        <f aca="true">INDIRECT("'"&amp;A11&amp;"'!E5")</f>
        <v>0</v>
      </c>
      <c r="M11" s="10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0" t="s">
        <v>21</v>
      </c>
      <c r="B12" s="10" t="n">
        <f aca="true">INDIRECT("'"&amp;A12&amp;"'!B4")</f>
        <v>16</v>
      </c>
      <c r="C12" s="10" t="n">
        <f aca="true">COUNTIF(INDIRECT("'"&amp;A12&amp;"'!H9:H200"),"not started")</f>
        <v>0</v>
      </c>
      <c r="D12" s="10" t="n">
        <f aca="true">COUNTIF(INDIRECT("'"&amp;A12&amp;"'!H9:H200"),"partial")</f>
        <v>0</v>
      </c>
      <c r="E12" s="10" t="n">
        <f aca="true">COUNTIF(INDIRECT("'"&amp;A12&amp;"'!H9:H200"),"implemented")</f>
        <v>0</v>
      </c>
      <c r="F12" s="10" t="n">
        <f aca="true">COUNTIF(INDIRECT("'"&amp;A12&amp;"'!H9:H200"),"tested")</f>
        <v>11</v>
      </c>
      <c r="G12" s="10" t="n">
        <f aca="true">COUNTIF(INDIRECT("'"&amp;A12&amp;"'!H9:H200"),"verified")</f>
        <v>5</v>
      </c>
      <c r="H12" s="10" t="n">
        <f aca="true">COUNTIF(INDIRECT("'"&amp;A12&amp;"'!H9:H200"),"blocked")</f>
        <v>0</v>
      </c>
      <c r="I12" s="10" t="n">
        <f aca="true">COUNTIF(INDIRECT("'"&amp;A12&amp;"'!H9:H200"),"not applicable")</f>
        <v>0</v>
      </c>
      <c r="J12" s="11" t="n">
        <f aca="true">INDIRECT("'"&amp;A12&amp;"'!H4")</f>
        <v>1</v>
      </c>
      <c r="K12" s="10" t="n">
        <f aca="true">INDIRECT("'"&amp;A12&amp;"'!K4")</f>
        <v>0</v>
      </c>
      <c r="L12" s="10" t="n">
        <f aca="true">INDIRECT("'"&amp;A12&amp;"'!E5")</f>
        <v>0</v>
      </c>
      <c r="M12" s="10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0" t="s">
        <v>22</v>
      </c>
      <c r="B13" s="10" t="n">
        <f aca="true">INDIRECT("'"&amp;A13&amp;"'!B4")</f>
        <v>16</v>
      </c>
      <c r="C13" s="10" t="n">
        <f aca="true">COUNTIF(INDIRECT("'"&amp;A13&amp;"'!H9:H200"),"not started")</f>
        <v>0</v>
      </c>
      <c r="D13" s="10" t="n">
        <f aca="true">COUNTIF(INDIRECT("'"&amp;A13&amp;"'!H9:H200"),"partial")</f>
        <v>0</v>
      </c>
      <c r="E13" s="10" t="n">
        <f aca="true">COUNTIF(INDIRECT("'"&amp;A13&amp;"'!H9:H200"),"implemented")</f>
        <v>0</v>
      </c>
      <c r="F13" s="10" t="n">
        <f aca="true">COUNTIF(INDIRECT("'"&amp;A13&amp;"'!H9:H200"),"tested")</f>
        <v>11</v>
      </c>
      <c r="G13" s="10" t="n">
        <f aca="true">COUNTIF(INDIRECT("'"&amp;A13&amp;"'!H9:H200"),"verified")</f>
        <v>5</v>
      </c>
      <c r="H13" s="10" t="n">
        <f aca="true">COUNTIF(INDIRECT("'"&amp;A13&amp;"'!H9:H200"),"blocked")</f>
        <v>0</v>
      </c>
      <c r="I13" s="10" t="n">
        <f aca="true">COUNTIF(INDIRECT("'"&amp;A13&amp;"'!H9:H200"),"not applicable")</f>
        <v>0</v>
      </c>
      <c r="J13" s="11" t="n">
        <f aca="true">INDIRECT("'"&amp;A13&amp;"'!H4")</f>
        <v>1</v>
      </c>
      <c r="K13" s="10" t="n">
        <f aca="true">INDIRECT("'"&amp;A13&amp;"'!K4")</f>
        <v>0</v>
      </c>
      <c r="L13" s="10" t="n">
        <f aca="true">INDIRECT("'"&amp;A13&amp;"'!E5")</f>
        <v>0</v>
      </c>
      <c r="M13" s="10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0" t="s">
        <v>23</v>
      </c>
      <c r="B14" s="10" t="n">
        <f aca="true">INDIRECT("'"&amp;A14&amp;"'!B4")</f>
        <v>16</v>
      </c>
      <c r="C14" s="10" t="n">
        <f aca="true">COUNTIF(INDIRECT("'"&amp;A14&amp;"'!H9:H200"),"not started")</f>
        <v>0</v>
      </c>
      <c r="D14" s="10" t="n">
        <f aca="true">COUNTIF(INDIRECT("'"&amp;A14&amp;"'!H9:H200"),"partial")</f>
        <v>0</v>
      </c>
      <c r="E14" s="10" t="n">
        <f aca="true">COUNTIF(INDIRECT("'"&amp;A14&amp;"'!H9:H200"),"implemented")</f>
        <v>0</v>
      </c>
      <c r="F14" s="10" t="n">
        <f aca="true">COUNTIF(INDIRECT("'"&amp;A14&amp;"'!H9:H200"),"tested")</f>
        <v>11</v>
      </c>
      <c r="G14" s="10" t="n">
        <f aca="true">COUNTIF(INDIRECT("'"&amp;A14&amp;"'!H9:H200"),"verified")</f>
        <v>5</v>
      </c>
      <c r="H14" s="10" t="n">
        <f aca="true">COUNTIF(INDIRECT("'"&amp;A14&amp;"'!H9:H200"),"blocked")</f>
        <v>0</v>
      </c>
      <c r="I14" s="10" t="n">
        <f aca="true">COUNTIF(INDIRECT("'"&amp;A14&amp;"'!H9:H200"),"not applicable")</f>
        <v>0</v>
      </c>
      <c r="J14" s="11" t="n">
        <f aca="true">INDIRECT("'"&amp;A14&amp;"'!H4")</f>
        <v>1</v>
      </c>
      <c r="K14" s="10" t="n">
        <f aca="true">INDIRECT("'"&amp;A14&amp;"'!K4")</f>
        <v>0</v>
      </c>
      <c r="L14" s="10" t="n">
        <f aca="true">INDIRECT("'"&amp;A14&amp;"'!E5")</f>
        <v>0</v>
      </c>
      <c r="M14" s="10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0" t="s">
        <v>24</v>
      </c>
      <c r="B15" s="10" t="n">
        <f aca="true">INDIRECT("'"&amp;A15&amp;"'!B4")</f>
        <v>16</v>
      </c>
      <c r="C15" s="10" t="n">
        <f aca="true">COUNTIF(INDIRECT("'"&amp;A15&amp;"'!H9:H200"),"not started")</f>
        <v>0</v>
      </c>
      <c r="D15" s="10" t="n">
        <f aca="true">COUNTIF(INDIRECT("'"&amp;A15&amp;"'!H9:H200"),"partial")</f>
        <v>0</v>
      </c>
      <c r="E15" s="10" t="n">
        <f aca="true">COUNTIF(INDIRECT("'"&amp;A15&amp;"'!H9:H200"),"implemented")</f>
        <v>0</v>
      </c>
      <c r="F15" s="10" t="n">
        <f aca="true">COUNTIF(INDIRECT("'"&amp;A15&amp;"'!H9:H200"),"tested")</f>
        <v>11</v>
      </c>
      <c r="G15" s="10" t="n">
        <f aca="true">COUNTIF(INDIRECT("'"&amp;A15&amp;"'!H9:H200"),"verified")</f>
        <v>5</v>
      </c>
      <c r="H15" s="10" t="n">
        <f aca="true">COUNTIF(INDIRECT("'"&amp;A15&amp;"'!H9:H200"),"blocked")</f>
        <v>0</v>
      </c>
      <c r="I15" s="10" t="n">
        <f aca="true">COUNTIF(INDIRECT("'"&amp;A15&amp;"'!H9:H200"),"not applicable")</f>
        <v>0</v>
      </c>
      <c r="J15" s="11" t="n">
        <f aca="true">INDIRECT("'"&amp;A15&amp;"'!H4")</f>
        <v>1</v>
      </c>
      <c r="K15" s="10" t="n">
        <f aca="true">INDIRECT("'"&amp;A15&amp;"'!K4")</f>
        <v>0</v>
      </c>
      <c r="L15" s="10" t="n">
        <f aca="true">INDIRECT("'"&amp;A15&amp;"'!E5")</f>
        <v>0</v>
      </c>
      <c r="M15" s="10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0" t="s">
        <v>25</v>
      </c>
      <c r="B16" s="10" t="n">
        <f aca="true">INDIRECT("'"&amp;A16&amp;"'!B4")</f>
        <v>16</v>
      </c>
      <c r="C16" s="10" t="n">
        <f aca="true">COUNTIF(INDIRECT("'"&amp;A16&amp;"'!H9:H200"),"not started")</f>
        <v>0</v>
      </c>
      <c r="D16" s="10" t="n">
        <f aca="true">COUNTIF(INDIRECT("'"&amp;A16&amp;"'!H9:H200"),"partial")</f>
        <v>0</v>
      </c>
      <c r="E16" s="10" t="n">
        <f aca="true">COUNTIF(INDIRECT("'"&amp;A16&amp;"'!H9:H200"),"implemented")</f>
        <v>0</v>
      </c>
      <c r="F16" s="10" t="n">
        <f aca="true">COUNTIF(INDIRECT("'"&amp;A16&amp;"'!H9:H200"),"tested")</f>
        <v>11</v>
      </c>
      <c r="G16" s="10" t="n">
        <f aca="true">COUNTIF(INDIRECT("'"&amp;A16&amp;"'!H9:H200"),"verified")</f>
        <v>5</v>
      </c>
      <c r="H16" s="10" t="n">
        <f aca="true">COUNTIF(INDIRECT("'"&amp;A16&amp;"'!H9:H200"),"blocked")</f>
        <v>0</v>
      </c>
      <c r="I16" s="10" t="n">
        <f aca="true">COUNTIF(INDIRECT("'"&amp;A16&amp;"'!H9:H200"),"not applicable")</f>
        <v>0</v>
      </c>
      <c r="J16" s="11" t="n">
        <f aca="true">INDIRECT("'"&amp;A16&amp;"'!H4")</f>
        <v>1</v>
      </c>
      <c r="K16" s="10" t="n">
        <f aca="true">INDIRECT("'"&amp;A16&amp;"'!K4")</f>
        <v>0</v>
      </c>
      <c r="L16" s="10" t="n">
        <f aca="true">INDIRECT("'"&amp;A16&amp;"'!E5")</f>
        <v>0</v>
      </c>
      <c r="M16" s="10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0" t="s">
        <v>26</v>
      </c>
      <c r="B17" s="10" t="n">
        <f aca="true">INDIRECT("'"&amp;A17&amp;"'!B4")</f>
        <v>16</v>
      </c>
      <c r="C17" s="10" t="n">
        <f aca="true">COUNTIF(INDIRECT("'"&amp;A17&amp;"'!H9:H200"),"not started")</f>
        <v>0</v>
      </c>
      <c r="D17" s="10" t="n">
        <f aca="true">COUNTIF(INDIRECT("'"&amp;A17&amp;"'!H9:H200"),"partial")</f>
        <v>0</v>
      </c>
      <c r="E17" s="10" t="n">
        <f aca="true">COUNTIF(INDIRECT("'"&amp;A17&amp;"'!H9:H200"),"implemented")</f>
        <v>0</v>
      </c>
      <c r="F17" s="10" t="n">
        <f aca="true">COUNTIF(INDIRECT("'"&amp;A17&amp;"'!H9:H200"),"tested")</f>
        <v>11</v>
      </c>
      <c r="G17" s="10" t="n">
        <f aca="true">COUNTIF(INDIRECT("'"&amp;A17&amp;"'!H9:H200"),"verified")</f>
        <v>5</v>
      </c>
      <c r="H17" s="10" t="n">
        <f aca="true">COUNTIF(INDIRECT("'"&amp;A17&amp;"'!H9:H200"),"blocked")</f>
        <v>0</v>
      </c>
      <c r="I17" s="10" t="n">
        <f aca="true">COUNTIF(INDIRECT("'"&amp;A17&amp;"'!H9:H200"),"not applicable")</f>
        <v>0</v>
      </c>
      <c r="J17" s="11" t="n">
        <f aca="true">INDIRECT("'"&amp;A17&amp;"'!H4")</f>
        <v>1</v>
      </c>
      <c r="K17" s="10" t="n">
        <f aca="true">INDIRECT("'"&amp;A17&amp;"'!K4")</f>
        <v>0</v>
      </c>
      <c r="L17" s="10" t="n">
        <f aca="true">INDIRECT("'"&amp;A17&amp;"'!E5")</f>
        <v>0</v>
      </c>
      <c r="M17" s="10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0" t="s">
        <v>27</v>
      </c>
      <c r="B18" s="10" t="n">
        <f aca="true">INDIRECT("'"&amp;A18&amp;"'!B4")</f>
        <v>16</v>
      </c>
      <c r="C18" s="10" t="n">
        <f aca="true">COUNTIF(INDIRECT("'"&amp;A18&amp;"'!H9:H200"),"not started")</f>
        <v>0</v>
      </c>
      <c r="D18" s="10" t="n">
        <f aca="true">COUNTIF(INDIRECT("'"&amp;A18&amp;"'!H9:H200"),"partial")</f>
        <v>0</v>
      </c>
      <c r="E18" s="10" t="n">
        <f aca="true">COUNTIF(INDIRECT("'"&amp;A18&amp;"'!H9:H200"),"implemented")</f>
        <v>0</v>
      </c>
      <c r="F18" s="10" t="n">
        <f aca="true">COUNTIF(INDIRECT("'"&amp;A18&amp;"'!H9:H200"),"tested")</f>
        <v>11</v>
      </c>
      <c r="G18" s="10" t="n">
        <f aca="true">COUNTIF(INDIRECT("'"&amp;A18&amp;"'!H9:H200"),"verified")</f>
        <v>5</v>
      </c>
      <c r="H18" s="10" t="n">
        <f aca="true">COUNTIF(INDIRECT("'"&amp;A18&amp;"'!H9:H200"),"blocked")</f>
        <v>0</v>
      </c>
      <c r="I18" s="10" t="n">
        <f aca="true">COUNTIF(INDIRECT("'"&amp;A18&amp;"'!H9:H200"),"not applicable")</f>
        <v>0</v>
      </c>
      <c r="J18" s="11" t="n">
        <f aca="true">INDIRECT("'"&amp;A18&amp;"'!H4")</f>
        <v>1</v>
      </c>
      <c r="K18" s="10" t="n">
        <f aca="true">INDIRECT("'"&amp;A18&amp;"'!K4")</f>
        <v>0</v>
      </c>
      <c r="L18" s="10" t="n">
        <f aca="true">INDIRECT("'"&amp;A18&amp;"'!E5")</f>
        <v>0</v>
      </c>
      <c r="M18" s="10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0" t="s">
        <v>28</v>
      </c>
      <c r="B19" s="10" t="n">
        <f aca="true">INDIRECT("'"&amp;A19&amp;"'!B4")</f>
        <v>16</v>
      </c>
      <c r="C19" s="10" t="n">
        <f aca="true">COUNTIF(INDIRECT("'"&amp;A19&amp;"'!H9:H200"),"not started")</f>
        <v>0</v>
      </c>
      <c r="D19" s="10" t="n">
        <f aca="true">COUNTIF(INDIRECT("'"&amp;A19&amp;"'!H9:H200"),"partial")</f>
        <v>0</v>
      </c>
      <c r="E19" s="10" t="n">
        <f aca="true">COUNTIF(INDIRECT("'"&amp;A19&amp;"'!H9:H200"),"implemented")</f>
        <v>0</v>
      </c>
      <c r="F19" s="10" t="n">
        <f aca="true">COUNTIF(INDIRECT("'"&amp;A19&amp;"'!H9:H200"),"tested")</f>
        <v>11</v>
      </c>
      <c r="G19" s="10" t="n">
        <f aca="true">COUNTIF(INDIRECT("'"&amp;A19&amp;"'!H9:H200"),"verified")</f>
        <v>5</v>
      </c>
      <c r="H19" s="10" t="n">
        <f aca="true">COUNTIF(INDIRECT("'"&amp;A19&amp;"'!H9:H200"),"blocked")</f>
        <v>0</v>
      </c>
      <c r="I19" s="10" t="n">
        <f aca="true">COUNTIF(INDIRECT("'"&amp;A19&amp;"'!H9:H200"),"not applicable")</f>
        <v>0</v>
      </c>
      <c r="J19" s="11" t="n">
        <f aca="true">INDIRECT("'"&amp;A19&amp;"'!H4")</f>
        <v>1</v>
      </c>
      <c r="K19" s="10" t="n">
        <f aca="true">INDIRECT("'"&amp;A19&amp;"'!K4")</f>
        <v>0</v>
      </c>
      <c r="L19" s="10" t="n">
        <f aca="true">INDIRECT("'"&amp;A19&amp;"'!E5")</f>
        <v>0</v>
      </c>
      <c r="M19" s="10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0" t="s">
        <v>29</v>
      </c>
      <c r="B20" s="10" t="n">
        <f aca="true">INDIRECT("'"&amp;A20&amp;"'!B4")</f>
        <v>16</v>
      </c>
      <c r="C20" s="10" t="n">
        <f aca="true">COUNTIF(INDIRECT("'"&amp;A20&amp;"'!H9:H200"),"not started")</f>
        <v>0</v>
      </c>
      <c r="D20" s="10" t="n">
        <f aca="true">COUNTIF(INDIRECT("'"&amp;A20&amp;"'!H9:H200"),"partial")</f>
        <v>0</v>
      </c>
      <c r="E20" s="10" t="n">
        <f aca="true">COUNTIF(INDIRECT("'"&amp;A20&amp;"'!H9:H200"),"implemented")</f>
        <v>0</v>
      </c>
      <c r="F20" s="10" t="n">
        <f aca="true">COUNTIF(INDIRECT("'"&amp;A20&amp;"'!H9:H200"),"tested")</f>
        <v>11</v>
      </c>
      <c r="G20" s="10" t="n">
        <f aca="true">COUNTIF(INDIRECT("'"&amp;A20&amp;"'!H9:H200"),"verified")</f>
        <v>5</v>
      </c>
      <c r="H20" s="10" t="n">
        <f aca="true">COUNTIF(INDIRECT("'"&amp;A20&amp;"'!H9:H200"),"blocked")</f>
        <v>0</v>
      </c>
      <c r="I20" s="10" t="n">
        <f aca="true">COUNTIF(INDIRECT("'"&amp;A20&amp;"'!H9:H200"),"not applicable")</f>
        <v>0</v>
      </c>
      <c r="J20" s="11" t="n">
        <f aca="true">INDIRECT("'"&amp;A20&amp;"'!H4")</f>
        <v>1</v>
      </c>
      <c r="K20" s="10" t="n">
        <f aca="true">INDIRECT("'"&amp;A20&amp;"'!K4")</f>
        <v>0</v>
      </c>
      <c r="L20" s="10" t="n">
        <f aca="true">INDIRECT("'"&amp;A20&amp;"'!E5")</f>
        <v>0</v>
      </c>
      <c r="M20" s="10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0" t="s">
        <v>30</v>
      </c>
      <c r="B21" s="10" t="n">
        <f aca="true">INDIRECT("'"&amp;A21&amp;"'!B4")</f>
        <v>16</v>
      </c>
      <c r="C21" s="10" t="n">
        <f aca="true">COUNTIF(INDIRECT("'"&amp;A21&amp;"'!H9:H200"),"not started")</f>
        <v>0</v>
      </c>
      <c r="D21" s="10" t="n">
        <f aca="true">COUNTIF(INDIRECT("'"&amp;A21&amp;"'!H9:H200"),"partial")</f>
        <v>0</v>
      </c>
      <c r="E21" s="10" t="n">
        <f aca="true">COUNTIF(INDIRECT("'"&amp;A21&amp;"'!H9:H200"),"implemented")</f>
        <v>0</v>
      </c>
      <c r="F21" s="10" t="n">
        <f aca="true">COUNTIF(INDIRECT("'"&amp;A21&amp;"'!H9:H200"),"tested")</f>
        <v>11</v>
      </c>
      <c r="G21" s="10" t="n">
        <f aca="true">COUNTIF(INDIRECT("'"&amp;A21&amp;"'!H9:H200"),"verified")</f>
        <v>5</v>
      </c>
      <c r="H21" s="10" t="n">
        <f aca="true">COUNTIF(INDIRECT("'"&amp;A21&amp;"'!H9:H200"),"blocked")</f>
        <v>0</v>
      </c>
      <c r="I21" s="10" t="n">
        <f aca="true">COUNTIF(INDIRECT("'"&amp;A21&amp;"'!H9:H200"),"not applicable")</f>
        <v>0</v>
      </c>
      <c r="J21" s="11" t="n">
        <f aca="true">INDIRECT("'"&amp;A21&amp;"'!H4")</f>
        <v>1</v>
      </c>
      <c r="K21" s="10" t="n">
        <f aca="true">INDIRECT("'"&amp;A21&amp;"'!K4")</f>
        <v>0</v>
      </c>
      <c r="L21" s="10" t="n">
        <f aca="true">INDIRECT("'"&amp;A21&amp;"'!E5")</f>
        <v>0</v>
      </c>
      <c r="M21" s="10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0" t="s">
        <v>31</v>
      </c>
      <c r="B22" s="10" t="n">
        <f aca="true">INDIRECT("'"&amp;A22&amp;"'!B4")</f>
        <v>16</v>
      </c>
      <c r="C22" s="10" t="n">
        <f aca="true">COUNTIF(INDIRECT("'"&amp;A22&amp;"'!H9:H200"),"not started")</f>
        <v>0</v>
      </c>
      <c r="D22" s="10" t="n">
        <f aca="true">COUNTIF(INDIRECT("'"&amp;A22&amp;"'!H9:H200"),"partial")</f>
        <v>0</v>
      </c>
      <c r="E22" s="10" t="n">
        <f aca="true">COUNTIF(INDIRECT("'"&amp;A22&amp;"'!H9:H200"),"implemented")</f>
        <v>0</v>
      </c>
      <c r="F22" s="10" t="n">
        <f aca="true">COUNTIF(INDIRECT("'"&amp;A22&amp;"'!H9:H200"),"tested")</f>
        <v>11</v>
      </c>
      <c r="G22" s="10" t="n">
        <f aca="true">COUNTIF(INDIRECT("'"&amp;A22&amp;"'!H9:H200"),"verified")</f>
        <v>5</v>
      </c>
      <c r="H22" s="10" t="n">
        <f aca="true">COUNTIF(INDIRECT("'"&amp;A22&amp;"'!H9:H200"),"blocked")</f>
        <v>0</v>
      </c>
      <c r="I22" s="10" t="n">
        <f aca="true">COUNTIF(INDIRECT("'"&amp;A22&amp;"'!H9:H200"),"not applicable")</f>
        <v>0</v>
      </c>
      <c r="J22" s="11" t="n">
        <f aca="true">INDIRECT("'"&amp;A22&amp;"'!H4")</f>
        <v>1</v>
      </c>
      <c r="K22" s="10" t="n">
        <f aca="true">INDIRECT("'"&amp;A22&amp;"'!K4")</f>
        <v>0</v>
      </c>
      <c r="L22" s="10" t="n">
        <f aca="true">INDIRECT("'"&amp;A22&amp;"'!E5")</f>
        <v>0</v>
      </c>
      <c r="M22" s="10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0" t="s">
        <v>32</v>
      </c>
      <c r="B23" s="10" t="n">
        <f aca="true">INDIRECT("'"&amp;A23&amp;"'!B4")</f>
        <v>16</v>
      </c>
      <c r="C23" s="10" t="n">
        <f aca="true">COUNTIF(INDIRECT("'"&amp;A23&amp;"'!H9:H200"),"not started")</f>
        <v>0</v>
      </c>
      <c r="D23" s="10" t="n">
        <f aca="true">COUNTIF(INDIRECT("'"&amp;A23&amp;"'!H9:H200"),"partial")</f>
        <v>0</v>
      </c>
      <c r="E23" s="10" t="n">
        <f aca="true">COUNTIF(INDIRECT("'"&amp;A23&amp;"'!H9:H200"),"implemented")</f>
        <v>4</v>
      </c>
      <c r="F23" s="10" t="n">
        <f aca="true">COUNTIF(INDIRECT("'"&amp;A23&amp;"'!H9:H200"),"tested")</f>
        <v>11</v>
      </c>
      <c r="G23" s="10" t="n">
        <f aca="true">COUNTIF(INDIRECT("'"&amp;A23&amp;"'!H9:H200"),"verified")</f>
        <v>1</v>
      </c>
      <c r="H23" s="10" t="n">
        <f aca="true">COUNTIF(INDIRECT("'"&amp;A23&amp;"'!H9:H200"),"blocked")</f>
        <v>0</v>
      </c>
      <c r="I23" s="10" t="n">
        <f aca="true">COUNTIF(INDIRECT("'"&amp;A23&amp;"'!H9:H200"),"not applicable")</f>
        <v>0</v>
      </c>
      <c r="J23" s="11" t="n">
        <f aca="true">INDIRECT("'"&amp;A23&amp;"'!H4")</f>
        <v>0.75</v>
      </c>
      <c r="K23" s="10" t="str">
        <f aca="true">INDIRECT("'"&amp;A23&amp;"'!K4")</f>
        <v>open</v>
      </c>
      <c r="L23" s="10" t="str">
        <f aca="true">INDIRECT("'"&amp;A23&amp;"'!E5")</f>
        <v>complete</v>
      </c>
      <c r="M23" s="10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0" t="s">
        <v>33</v>
      </c>
      <c r="B24" s="10" t="n">
        <f aca="true">INDIRECT("'"&amp;A24&amp;"'!B4")</f>
        <v>17</v>
      </c>
      <c r="C24" s="10" t="n">
        <f aca="true">COUNTIF(INDIRECT("'"&amp;A24&amp;"'!H9:H200"),"not started")</f>
        <v>0</v>
      </c>
      <c r="D24" s="10" t="n">
        <f aca="true">COUNTIF(INDIRECT("'"&amp;A24&amp;"'!H9:H200"),"partial")</f>
        <v>0</v>
      </c>
      <c r="E24" s="10" t="n">
        <f aca="true">COUNTIF(INDIRECT("'"&amp;A24&amp;"'!H9:H200"),"implemented")</f>
        <v>3</v>
      </c>
      <c r="F24" s="10" t="n">
        <f aca="true">COUNTIF(INDIRECT("'"&amp;A24&amp;"'!H9:H200"),"tested")</f>
        <v>13</v>
      </c>
      <c r="G24" s="10" t="n">
        <f aca="true">COUNTIF(INDIRECT("'"&amp;A24&amp;"'!H9:H200"),"verified")</f>
        <v>1</v>
      </c>
      <c r="H24" s="10" t="n">
        <f aca="true">COUNTIF(INDIRECT("'"&amp;A24&amp;"'!H9:H200"),"blocked")</f>
        <v>0</v>
      </c>
      <c r="I24" s="10" t="n">
        <f aca="true">COUNTIF(INDIRECT("'"&amp;A24&amp;"'!H9:H200"),"not applicable")</f>
        <v>0</v>
      </c>
      <c r="J24" s="11" t="n">
        <f aca="true">INDIRECT("'"&amp;A24&amp;"'!H4")</f>
        <v>0.823529411764706</v>
      </c>
      <c r="K24" s="10" t="str">
        <f aca="true">INDIRECT("'"&amp;A24&amp;"'!K4")</f>
        <v>open</v>
      </c>
      <c r="L24" s="10" t="str">
        <f aca="true">INDIRECT("'"&amp;A24&amp;"'!E5")</f>
        <v>complete</v>
      </c>
      <c r="M24" s="10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0" t="s">
        <v>34</v>
      </c>
      <c r="B25" s="10" t="n">
        <f aca="true">INDIRECT("'"&amp;A25&amp;"'!B4")</f>
        <v>16</v>
      </c>
      <c r="C25" s="10" t="n">
        <f aca="true">COUNTIF(INDIRECT("'"&amp;A25&amp;"'!H9:H200"),"not started")</f>
        <v>0</v>
      </c>
      <c r="D25" s="10" t="n">
        <f aca="true">COUNTIF(INDIRECT("'"&amp;A25&amp;"'!H9:H200"),"partial")</f>
        <v>0</v>
      </c>
      <c r="E25" s="10" t="n">
        <f aca="true">COUNTIF(INDIRECT("'"&amp;A25&amp;"'!H9:H200"),"implemented")</f>
        <v>0</v>
      </c>
      <c r="F25" s="10" t="n">
        <f aca="true">COUNTIF(INDIRECT("'"&amp;A25&amp;"'!H9:H200"),"tested")</f>
        <v>11</v>
      </c>
      <c r="G25" s="10" t="n">
        <f aca="true">COUNTIF(INDIRECT("'"&amp;A25&amp;"'!H9:H200"),"verified")</f>
        <v>5</v>
      </c>
      <c r="H25" s="10" t="n">
        <f aca="true">COUNTIF(INDIRECT("'"&amp;A25&amp;"'!H9:H200"),"blocked")</f>
        <v>0</v>
      </c>
      <c r="I25" s="10" t="n">
        <f aca="true">COUNTIF(INDIRECT("'"&amp;A25&amp;"'!H9:H200"),"not applicable")</f>
        <v>0</v>
      </c>
      <c r="J25" s="11" t="n">
        <f aca="true">INDIRECT("'"&amp;A25&amp;"'!H4")</f>
        <v>1</v>
      </c>
      <c r="K25" s="10" t="n">
        <f aca="true">INDIRECT("'"&amp;A25&amp;"'!K4")</f>
        <v>0</v>
      </c>
      <c r="L25" s="10" t="n">
        <f aca="true">INDIRECT("'"&amp;A25&amp;"'!E5")</f>
        <v>0</v>
      </c>
      <c r="M25" s="10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0" t="s">
        <v>35</v>
      </c>
      <c r="B26" s="10" t="n">
        <f aca="true">INDIRECT("'"&amp;A26&amp;"'!B4")</f>
        <v>16</v>
      </c>
      <c r="C26" s="10" t="n">
        <f aca="true">COUNTIF(INDIRECT("'"&amp;A26&amp;"'!H9:H200"),"not started")</f>
        <v>0</v>
      </c>
      <c r="D26" s="10" t="n">
        <f aca="true">COUNTIF(INDIRECT("'"&amp;A26&amp;"'!H9:H200"),"partial")</f>
        <v>0</v>
      </c>
      <c r="E26" s="10" t="n">
        <f aca="true">COUNTIF(INDIRECT("'"&amp;A26&amp;"'!H9:H200"),"implemented")</f>
        <v>0</v>
      </c>
      <c r="F26" s="10" t="n">
        <f aca="true">COUNTIF(INDIRECT("'"&amp;A26&amp;"'!H9:H200"),"tested")</f>
        <v>11</v>
      </c>
      <c r="G26" s="10" t="n">
        <f aca="true">COUNTIF(INDIRECT("'"&amp;A26&amp;"'!H9:H200"),"verified")</f>
        <v>5</v>
      </c>
      <c r="H26" s="10" t="n">
        <f aca="true">COUNTIF(INDIRECT("'"&amp;A26&amp;"'!H9:H200"),"blocked")</f>
        <v>0</v>
      </c>
      <c r="I26" s="10" t="n">
        <f aca="true">COUNTIF(INDIRECT("'"&amp;A26&amp;"'!H9:H200"),"not applicable")</f>
        <v>0</v>
      </c>
      <c r="J26" s="11" t="n">
        <f aca="true">INDIRECT("'"&amp;A26&amp;"'!H4")</f>
        <v>1</v>
      </c>
      <c r="K26" s="10" t="n">
        <f aca="true">INDIRECT("'"&amp;A26&amp;"'!K4")</f>
        <v>0</v>
      </c>
      <c r="L26" s="10" t="n">
        <f aca="true">INDIRECT("'"&amp;A26&amp;"'!E5")</f>
        <v>0</v>
      </c>
      <c r="M26" s="10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0" t="s">
        <v>36</v>
      </c>
      <c r="B27" s="10" t="n">
        <f aca="true">INDIRECT("'"&amp;A27&amp;"'!B4")</f>
        <v>16</v>
      </c>
      <c r="C27" s="10" t="n">
        <f aca="true">COUNTIF(INDIRECT("'"&amp;A27&amp;"'!H9:H200"),"not started")</f>
        <v>0</v>
      </c>
      <c r="D27" s="10" t="n">
        <f aca="true">COUNTIF(INDIRECT("'"&amp;A27&amp;"'!H9:H200"),"partial")</f>
        <v>0</v>
      </c>
      <c r="E27" s="10" t="n">
        <f aca="true">COUNTIF(INDIRECT("'"&amp;A27&amp;"'!H9:H200"),"implemented")</f>
        <v>0</v>
      </c>
      <c r="F27" s="10" t="n">
        <f aca="true">COUNTIF(INDIRECT("'"&amp;A27&amp;"'!H9:H200"),"tested")</f>
        <v>11</v>
      </c>
      <c r="G27" s="10" t="n">
        <f aca="true">COUNTIF(INDIRECT("'"&amp;A27&amp;"'!H9:H200"),"verified")</f>
        <v>5</v>
      </c>
      <c r="H27" s="10" t="n">
        <f aca="true">COUNTIF(INDIRECT("'"&amp;A27&amp;"'!H9:H200"),"blocked")</f>
        <v>0</v>
      </c>
      <c r="I27" s="10" t="n">
        <f aca="true">COUNTIF(INDIRECT("'"&amp;A27&amp;"'!H9:H200"),"not applicable")</f>
        <v>0</v>
      </c>
      <c r="J27" s="11" t="n">
        <f aca="true">INDIRECT("'"&amp;A27&amp;"'!H4")</f>
        <v>1</v>
      </c>
      <c r="K27" s="10" t="n">
        <f aca="true">INDIRECT("'"&amp;A27&amp;"'!K4")</f>
        <v>0</v>
      </c>
      <c r="L27" s="10" t="n">
        <f aca="true">INDIRECT("'"&amp;A27&amp;"'!E5")</f>
        <v>0</v>
      </c>
      <c r="M27" s="10" t="str">
        <f aca="false">IF(AND(J27=1,K27="complete",L27="complete"),"complete",IF(H27&gt;0,"blocked","open"))</f>
        <v>open</v>
      </c>
    </row>
    <row r="28" customFormat="false" ht="24" hidden="false" customHeight="true" outlineLevel="0" collapsed="false">
      <c r="A28" s="10" t="s">
        <v>37</v>
      </c>
      <c r="B28" s="10" t="n">
        <f aca="true">INDIRECT("'"&amp;A28&amp;"'!B4")</f>
        <v>16</v>
      </c>
      <c r="C28" s="10" t="n">
        <f aca="true">COUNTIF(INDIRECT("'"&amp;A28&amp;"'!H9:H200"),"not started")</f>
        <v>0</v>
      </c>
      <c r="D28" s="10" t="n">
        <f aca="true">COUNTIF(INDIRECT("'"&amp;A28&amp;"'!H9:H200"),"partial")</f>
        <v>0</v>
      </c>
      <c r="E28" s="10" t="n">
        <f aca="true">COUNTIF(INDIRECT("'"&amp;A28&amp;"'!H9:H200"),"implemented")</f>
        <v>0</v>
      </c>
      <c r="F28" s="10" t="n">
        <f aca="true">COUNTIF(INDIRECT("'"&amp;A28&amp;"'!H9:H200"),"tested")</f>
        <v>11</v>
      </c>
      <c r="G28" s="10" t="n">
        <f aca="true">COUNTIF(INDIRECT("'"&amp;A28&amp;"'!H9:H200"),"verified")</f>
        <v>5</v>
      </c>
      <c r="H28" s="10" t="n">
        <f aca="true">COUNTIF(INDIRECT("'"&amp;A28&amp;"'!H9:H200"),"blocked")</f>
        <v>0</v>
      </c>
      <c r="I28" s="10" t="n">
        <f aca="true">COUNTIF(INDIRECT("'"&amp;A28&amp;"'!H9:H200"),"not applicable")</f>
        <v>0</v>
      </c>
      <c r="J28" s="11" t="n">
        <f aca="true">INDIRECT("'"&amp;A28&amp;"'!H4")</f>
        <v>1</v>
      </c>
      <c r="K28" s="10" t="n">
        <f aca="true">INDIRECT("'"&amp;A28&amp;"'!K4")</f>
        <v>0</v>
      </c>
      <c r="L28" s="10" t="n">
        <f aca="true">INDIRECT("'"&amp;A28&amp;"'!E5")</f>
        <v>0</v>
      </c>
      <c r="M28" s="10" t="str">
        <f aca="false">IF(AND(J28=1,K28="complete",L28="complete"),"complete",IF(H28&gt;0,"blocked","open"))</f>
        <v>open</v>
      </c>
    </row>
    <row r="29" customFormat="false" ht="24" hidden="false" customHeight="true" outlineLevel="0" collapsed="false">
      <c r="A29" s="10" t="s">
        <v>38</v>
      </c>
      <c r="B29" s="10" t="n">
        <f aca="true">INDIRECT("'"&amp;A29&amp;"'!B4")</f>
        <v>16</v>
      </c>
      <c r="C29" s="10" t="n">
        <f aca="true">COUNTIF(INDIRECT("'"&amp;A29&amp;"'!H9:H200"),"not started")</f>
        <v>0</v>
      </c>
      <c r="D29" s="10" t="n">
        <f aca="true">COUNTIF(INDIRECT("'"&amp;A29&amp;"'!H9:H200"),"partial")</f>
        <v>0</v>
      </c>
      <c r="E29" s="10" t="n">
        <f aca="true">COUNTIF(INDIRECT("'"&amp;A29&amp;"'!H9:H200"),"implemented")</f>
        <v>0</v>
      </c>
      <c r="F29" s="10" t="n">
        <f aca="true">COUNTIF(INDIRECT("'"&amp;A29&amp;"'!H9:H200"),"tested")</f>
        <v>11</v>
      </c>
      <c r="G29" s="10" t="n">
        <f aca="true">COUNTIF(INDIRECT("'"&amp;A29&amp;"'!H9:H200"),"verified")</f>
        <v>5</v>
      </c>
      <c r="H29" s="10" t="n">
        <f aca="true">COUNTIF(INDIRECT("'"&amp;A29&amp;"'!H9:H200"),"blocked")</f>
        <v>0</v>
      </c>
      <c r="I29" s="10" t="n">
        <f aca="true">COUNTIF(INDIRECT("'"&amp;A29&amp;"'!H9:H200"),"not applicable")</f>
        <v>0</v>
      </c>
      <c r="J29" s="11" t="n">
        <f aca="true">INDIRECT("'"&amp;A29&amp;"'!H4")</f>
        <v>1</v>
      </c>
      <c r="K29" s="10" t="n">
        <f aca="true">INDIRECT("'"&amp;A29&amp;"'!K4")</f>
        <v>0</v>
      </c>
      <c r="L29" s="10" t="n">
        <f aca="true">INDIRECT("'"&amp;A29&amp;"'!E5")</f>
        <v>0</v>
      </c>
      <c r="M29" s="10" t="str">
        <f aca="false">IF(AND(J29=1,K29="complete",L29="complete"),"complete",IF(H29&gt;0,"blocked","open"))</f>
        <v>open</v>
      </c>
    </row>
    <row r="30" customFormat="false" ht="24" hidden="false" customHeight="true" outlineLevel="0" collapsed="false">
      <c r="A30" s="10" t="s">
        <v>39</v>
      </c>
      <c r="B30" s="10" t="n">
        <f aca="true">INDIRECT("'"&amp;A30&amp;"'!B4")</f>
        <v>16</v>
      </c>
      <c r="C30" s="10" t="n">
        <f aca="true">COUNTIF(INDIRECT("'"&amp;A30&amp;"'!H9:H200"),"not started")</f>
        <v>0</v>
      </c>
      <c r="D30" s="10" t="n">
        <f aca="true">COUNTIF(INDIRECT("'"&amp;A30&amp;"'!H9:H200"),"partial")</f>
        <v>0</v>
      </c>
      <c r="E30" s="10" t="n">
        <f aca="true">COUNTIF(INDIRECT("'"&amp;A30&amp;"'!H9:H200"),"implemented")</f>
        <v>4</v>
      </c>
      <c r="F30" s="10" t="n">
        <f aca="true">COUNTIF(INDIRECT("'"&amp;A30&amp;"'!H9:H200"),"tested")</f>
        <v>11</v>
      </c>
      <c r="G30" s="10" t="n">
        <f aca="true">COUNTIF(INDIRECT("'"&amp;A30&amp;"'!H9:H200"),"verified")</f>
        <v>1</v>
      </c>
      <c r="H30" s="10" t="n">
        <f aca="true">COUNTIF(INDIRECT("'"&amp;A30&amp;"'!H9:H200"),"blocked")</f>
        <v>0</v>
      </c>
      <c r="I30" s="10" t="n">
        <f aca="true">COUNTIF(INDIRECT("'"&amp;A30&amp;"'!H9:H200"),"not applicable")</f>
        <v>0</v>
      </c>
      <c r="J30" s="11" t="n">
        <f aca="true">INDIRECT("'"&amp;A30&amp;"'!H4")</f>
        <v>0.75</v>
      </c>
      <c r="K30" s="10" t="str">
        <f aca="true">INDIRECT("'"&amp;A30&amp;"'!K4")</f>
        <v>open</v>
      </c>
      <c r="L30" s="10" t="str">
        <f aca="true">INDIRECT("'"&amp;A30&amp;"'!E5")</f>
        <v>complete</v>
      </c>
      <c r="M30" s="10" t="str">
        <f aca="false">IF(AND(J30=1,K30="complete",L30="complete"),"complete",IF(H30&gt;0,"blocked","open"))</f>
        <v>open</v>
      </c>
    </row>
    <row r="31" customFormat="false" ht="24" hidden="false" customHeight="true" outlineLevel="0" collapsed="false">
      <c r="A31" s="10" t="s">
        <v>40</v>
      </c>
      <c r="B31" s="10" t="n">
        <f aca="true">INDIRECT("'"&amp;A31&amp;"'!B4")</f>
        <v>16</v>
      </c>
      <c r="C31" s="10" t="n">
        <f aca="true">COUNTIF(INDIRECT("'"&amp;A31&amp;"'!H9:H200"),"not started")</f>
        <v>0</v>
      </c>
      <c r="D31" s="10" t="n">
        <f aca="true">COUNTIF(INDIRECT("'"&amp;A31&amp;"'!H9:H200"),"partial")</f>
        <v>0</v>
      </c>
      <c r="E31" s="10" t="n">
        <f aca="true">COUNTIF(INDIRECT("'"&amp;A31&amp;"'!H9:H200"),"implemented")</f>
        <v>4</v>
      </c>
      <c r="F31" s="10" t="n">
        <f aca="true">COUNTIF(INDIRECT("'"&amp;A31&amp;"'!H9:H200"),"tested")</f>
        <v>11</v>
      </c>
      <c r="G31" s="10" t="n">
        <f aca="true">COUNTIF(INDIRECT("'"&amp;A31&amp;"'!H9:H200"),"verified")</f>
        <v>1</v>
      </c>
      <c r="H31" s="10" t="n">
        <f aca="true">COUNTIF(INDIRECT("'"&amp;A31&amp;"'!H9:H200"),"blocked")</f>
        <v>0</v>
      </c>
      <c r="I31" s="10" t="n">
        <f aca="true">COUNTIF(INDIRECT("'"&amp;A31&amp;"'!H9:H200"),"not applicable")</f>
        <v>0</v>
      </c>
      <c r="J31" s="11" t="n">
        <f aca="true">INDIRECT("'"&amp;A31&amp;"'!H4")</f>
        <v>0.75</v>
      </c>
      <c r="K31" s="10" t="str">
        <f aca="true">INDIRECT("'"&amp;A31&amp;"'!K4")</f>
        <v>open</v>
      </c>
      <c r="L31" s="10" t="str">
        <f aca="true">INDIRECT("'"&amp;A31&amp;"'!E5")</f>
        <v>complete</v>
      </c>
      <c r="M31" s="10" t="str">
        <f aca="false">IF(AND(J31=1,K31="complete",L31="complete"),"complete",IF(H31&gt;0,"blocked","open"))</f>
        <v>open</v>
      </c>
    </row>
    <row r="32" customFormat="false" ht="24" hidden="false" customHeight="true" outlineLevel="0" collapsed="false">
      <c r="A32" s="10" t="s">
        <v>41</v>
      </c>
      <c r="B32" s="10" t="n">
        <f aca="true">INDIRECT("'"&amp;A32&amp;"'!B4")</f>
        <v>17</v>
      </c>
      <c r="C32" s="10" t="n">
        <f aca="true">COUNTIF(INDIRECT("'"&amp;A32&amp;"'!H9:H200"),"not started")</f>
        <v>0</v>
      </c>
      <c r="D32" s="10" t="n">
        <f aca="true">COUNTIF(INDIRECT("'"&amp;A32&amp;"'!H9:H200"),"partial")</f>
        <v>0</v>
      </c>
      <c r="E32" s="10" t="n">
        <f aca="true">COUNTIF(INDIRECT("'"&amp;A32&amp;"'!H9:H200"),"implemented")</f>
        <v>4</v>
      </c>
      <c r="F32" s="10" t="n">
        <f aca="true">COUNTIF(INDIRECT("'"&amp;A32&amp;"'!H9:H200"),"tested")</f>
        <v>12</v>
      </c>
      <c r="G32" s="10" t="n">
        <f aca="true">COUNTIF(INDIRECT("'"&amp;A32&amp;"'!H9:H200"),"verified")</f>
        <v>1</v>
      </c>
      <c r="H32" s="10" t="n">
        <f aca="true">COUNTIF(INDIRECT("'"&amp;A32&amp;"'!H9:H200"),"blocked")</f>
        <v>0</v>
      </c>
      <c r="I32" s="10" t="n">
        <f aca="true">COUNTIF(INDIRECT("'"&amp;A32&amp;"'!H9:H200"),"not applicable")</f>
        <v>0</v>
      </c>
      <c r="J32" s="11" t="n">
        <f aca="true">INDIRECT("'"&amp;A32&amp;"'!H4")</f>
        <v>0.764705882352941</v>
      </c>
      <c r="K32" s="10" t="str">
        <f aca="true">INDIRECT("'"&amp;A32&amp;"'!K4")</f>
        <v>open</v>
      </c>
      <c r="L32" s="10" t="str">
        <f aca="true">INDIRECT("'"&amp;A32&amp;"'!E5")</f>
        <v>complete</v>
      </c>
      <c r="M32" s="10" t="str">
        <f aca="false">IF(AND(J32=1,K32="complete",L32="complete"),"complete",IF(H32&gt;0,"blocked","open"))</f>
        <v>open</v>
      </c>
    </row>
    <row r="33" customFormat="false" ht="24" hidden="false" customHeight="true" outlineLevel="0" collapsed="false">
      <c r="A33" s="10" t="s">
        <v>42</v>
      </c>
      <c r="B33" s="10" t="n">
        <f aca="true">INDIRECT("'"&amp;A33&amp;"'!B4")</f>
        <v>17</v>
      </c>
      <c r="C33" s="10" t="n">
        <f aca="true">COUNTIF(INDIRECT("'"&amp;A33&amp;"'!H9:H200"),"not started")</f>
        <v>0</v>
      </c>
      <c r="D33" s="10" t="n">
        <f aca="true">COUNTIF(INDIRECT("'"&amp;A33&amp;"'!H9:H200"),"partial")</f>
        <v>0</v>
      </c>
      <c r="E33" s="10" t="n">
        <f aca="true">COUNTIF(INDIRECT("'"&amp;A33&amp;"'!H9:H200"),"implemented")</f>
        <v>4</v>
      </c>
      <c r="F33" s="10" t="n">
        <f aca="true">COUNTIF(INDIRECT("'"&amp;A33&amp;"'!H9:H200"),"tested")</f>
        <v>12</v>
      </c>
      <c r="G33" s="10" t="n">
        <f aca="true">COUNTIF(INDIRECT("'"&amp;A33&amp;"'!H9:H200"),"verified")</f>
        <v>1</v>
      </c>
      <c r="H33" s="10" t="n">
        <f aca="true">COUNTIF(INDIRECT("'"&amp;A33&amp;"'!H9:H200"),"blocked")</f>
        <v>0</v>
      </c>
      <c r="I33" s="10" t="n">
        <f aca="true">COUNTIF(INDIRECT("'"&amp;A33&amp;"'!H9:H200"),"not applicable")</f>
        <v>0</v>
      </c>
      <c r="J33" s="11" t="n">
        <f aca="true">INDIRECT("'"&amp;A33&amp;"'!H4")</f>
        <v>0.764705882352941</v>
      </c>
      <c r="K33" s="10" t="str">
        <f aca="true">INDIRECT("'"&amp;A33&amp;"'!K4")</f>
        <v>open</v>
      </c>
      <c r="L33" s="10" t="str">
        <f aca="true">INDIRECT("'"&amp;A33&amp;"'!E5")</f>
        <v>complete</v>
      </c>
      <c r="M33" s="10" t="str">
        <f aca="false">IF(AND(J33=1,K33="complete",L33="complete"),"complete",IF(H33&gt;0,"blocked","open"))</f>
        <v>open</v>
      </c>
    </row>
    <row r="34" customFormat="false" ht="24" hidden="false" customHeight="true" outlineLevel="0" collapsed="false">
      <c r="A34" s="10" t="s">
        <v>43</v>
      </c>
      <c r="B34" s="10" t="n">
        <f aca="true">INDIRECT("'"&amp;A34&amp;"'!B4")</f>
        <v>17</v>
      </c>
      <c r="C34" s="10" t="n">
        <f aca="true">COUNTIF(INDIRECT("'"&amp;A34&amp;"'!H9:H200"),"not started")</f>
        <v>0</v>
      </c>
      <c r="D34" s="10" t="n">
        <f aca="true">COUNTIF(INDIRECT("'"&amp;A34&amp;"'!H9:H200"),"partial")</f>
        <v>0</v>
      </c>
      <c r="E34" s="10" t="n">
        <f aca="true">COUNTIF(INDIRECT("'"&amp;A34&amp;"'!H9:H200"),"implemented")</f>
        <v>4</v>
      </c>
      <c r="F34" s="10" t="n">
        <f aca="true">COUNTIF(INDIRECT("'"&amp;A34&amp;"'!H9:H200"),"tested")</f>
        <v>12</v>
      </c>
      <c r="G34" s="10" t="n">
        <f aca="true">COUNTIF(INDIRECT("'"&amp;A34&amp;"'!H9:H200"),"verified")</f>
        <v>1</v>
      </c>
      <c r="H34" s="10" t="n">
        <f aca="true">COUNTIF(INDIRECT("'"&amp;A34&amp;"'!H9:H200"),"blocked")</f>
        <v>0</v>
      </c>
      <c r="I34" s="10" t="n">
        <f aca="true">COUNTIF(INDIRECT("'"&amp;A34&amp;"'!H9:H200"),"not applicable")</f>
        <v>0</v>
      </c>
      <c r="J34" s="11" t="n">
        <f aca="true">INDIRECT("'"&amp;A34&amp;"'!H4")</f>
        <v>0.764705882352941</v>
      </c>
      <c r="K34" s="10" t="str">
        <f aca="true">INDIRECT("'"&amp;A34&amp;"'!K4")</f>
        <v>open</v>
      </c>
      <c r="L34" s="10" t="str">
        <f aca="true">INDIRECT("'"&amp;A34&amp;"'!E5")</f>
        <v>complete</v>
      </c>
      <c r="M34" s="10" t="str">
        <f aca="false">IF(AND(J34=1,K34="complete",L34="complete"),"complete",IF(H34&gt;0,"blocked","open"))</f>
        <v>open</v>
      </c>
    </row>
    <row r="35" customFormat="false" ht="24" hidden="false" customHeight="true" outlineLevel="0" collapsed="false">
      <c r="A35" s="10" t="s">
        <v>44</v>
      </c>
      <c r="B35" s="10" t="n">
        <f aca="true">INDIRECT("'"&amp;A35&amp;"'!B4")</f>
        <v>17</v>
      </c>
      <c r="C35" s="10" t="n">
        <f aca="true">COUNTIF(INDIRECT("'"&amp;A35&amp;"'!H9:H200"),"not started")</f>
        <v>0</v>
      </c>
      <c r="D35" s="10" t="n">
        <f aca="true">COUNTIF(INDIRECT("'"&amp;A35&amp;"'!H9:H200"),"partial")</f>
        <v>0</v>
      </c>
      <c r="E35" s="10" t="n">
        <f aca="true">COUNTIF(INDIRECT("'"&amp;A35&amp;"'!H9:H200"),"implemented")</f>
        <v>4</v>
      </c>
      <c r="F35" s="10" t="n">
        <f aca="true">COUNTIF(INDIRECT("'"&amp;A35&amp;"'!H9:H200"),"tested")</f>
        <v>12</v>
      </c>
      <c r="G35" s="10" t="n">
        <f aca="true">COUNTIF(INDIRECT("'"&amp;A35&amp;"'!H9:H200"),"verified")</f>
        <v>1</v>
      </c>
      <c r="H35" s="10" t="n">
        <f aca="true">COUNTIF(INDIRECT("'"&amp;A35&amp;"'!H9:H200"),"blocked")</f>
        <v>0</v>
      </c>
      <c r="I35" s="10" t="n">
        <f aca="true">COUNTIF(INDIRECT("'"&amp;A35&amp;"'!H9:H200"),"not applicable")</f>
        <v>0</v>
      </c>
      <c r="J35" s="11" t="n">
        <f aca="true">INDIRECT("'"&amp;A35&amp;"'!H4")</f>
        <v>0.764705882352941</v>
      </c>
      <c r="K35" s="10" t="str">
        <f aca="true">INDIRECT("'"&amp;A35&amp;"'!K4")</f>
        <v>open</v>
      </c>
      <c r="L35" s="10" t="str">
        <f aca="true">INDIRECT("'"&amp;A35&amp;"'!E5")</f>
        <v>complete</v>
      </c>
      <c r="M35" s="10" t="str">
        <f aca="false">IF(AND(J35=1,K35="complete",L35="complete"),"complete",IF(H35&gt;0,"blocked","open"))</f>
        <v>open</v>
      </c>
    </row>
    <row r="36" customFormat="false" ht="24" hidden="false" customHeight="true" outlineLevel="0" collapsed="false">
      <c r="A36" s="10" t="s">
        <v>45</v>
      </c>
      <c r="B36" s="10" t="n">
        <f aca="true">INDIRECT("'"&amp;A36&amp;"'!B4")</f>
        <v>17</v>
      </c>
      <c r="C36" s="10" t="n">
        <f aca="true">COUNTIF(INDIRECT("'"&amp;A36&amp;"'!H9:H200"),"not started")</f>
        <v>0</v>
      </c>
      <c r="D36" s="10" t="n">
        <f aca="true">COUNTIF(INDIRECT("'"&amp;A36&amp;"'!H9:H200"),"partial")</f>
        <v>0</v>
      </c>
      <c r="E36" s="10" t="n">
        <f aca="true">COUNTIF(INDIRECT("'"&amp;A36&amp;"'!H9:H200"),"implemented")</f>
        <v>4</v>
      </c>
      <c r="F36" s="10" t="n">
        <f aca="true">COUNTIF(INDIRECT("'"&amp;A36&amp;"'!H9:H200"),"tested")</f>
        <v>12</v>
      </c>
      <c r="G36" s="10" t="n">
        <f aca="true">COUNTIF(INDIRECT("'"&amp;A36&amp;"'!H9:H200"),"verified")</f>
        <v>1</v>
      </c>
      <c r="H36" s="10" t="n">
        <f aca="true">COUNTIF(INDIRECT("'"&amp;A36&amp;"'!H9:H200"),"blocked")</f>
        <v>0</v>
      </c>
      <c r="I36" s="10" t="n">
        <f aca="true">COUNTIF(INDIRECT("'"&amp;A36&amp;"'!H9:H200"),"not applicable")</f>
        <v>0</v>
      </c>
      <c r="J36" s="11" t="n">
        <f aca="true">INDIRECT("'"&amp;A36&amp;"'!H4")</f>
        <v>0.764705882352941</v>
      </c>
      <c r="K36" s="10" t="str">
        <f aca="true">INDIRECT("'"&amp;A36&amp;"'!K4")</f>
        <v>open</v>
      </c>
      <c r="L36" s="10" t="str">
        <f aca="true">INDIRECT("'"&amp;A36&amp;"'!E5")</f>
        <v>complete</v>
      </c>
      <c r="M36" s="10" t="str">
        <f aca="false">IF(AND(J36=1,K36="complete",L36="complete"),"complete",IF(H36&gt;0,"blocked","open"))</f>
        <v>open</v>
      </c>
    </row>
    <row r="37" customFormat="false" ht="24" hidden="false" customHeight="true" outlineLevel="0" collapsed="false">
      <c r="A37" s="10" t="s">
        <v>46</v>
      </c>
      <c r="B37" s="10" t="n">
        <f aca="true">INDIRECT("'"&amp;A37&amp;"'!B4")</f>
        <v>15</v>
      </c>
      <c r="C37" s="10" t="n">
        <f aca="true">COUNTIF(INDIRECT("'"&amp;A37&amp;"'!H9:H200"),"not started")</f>
        <v>0</v>
      </c>
      <c r="D37" s="10" t="n">
        <f aca="true">COUNTIF(INDIRECT("'"&amp;A37&amp;"'!H9:H200"),"partial")</f>
        <v>0</v>
      </c>
      <c r="E37" s="10" t="n">
        <f aca="true">COUNTIF(INDIRECT("'"&amp;A37&amp;"'!H9:H200"),"implemented")</f>
        <v>4</v>
      </c>
      <c r="F37" s="10" t="n">
        <f aca="true">COUNTIF(INDIRECT("'"&amp;A37&amp;"'!H9:H200"),"tested")</f>
        <v>11</v>
      </c>
      <c r="G37" s="10" t="n">
        <f aca="true">COUNTIF(INDIRECT("'"&amp;A37&amp;"'!H9:H200"),"verified")</f>
        <v>0</v>
      </c>
      <c r="H37" s="10" t="n">
        <f aca="true">COUNTIF(INDIRECT("'"&amp;A37&amp;"'!H9:H200"),"blocked")</f>
        <v>0</v>
      </c>
      <c r="I37" s="10" t="n">
        <f aca="true">COUNTIF(INDIRECT("'"&amp;A37&amp;"'!H9:H200"),"not applicable")</f>
        <v>0</v>
      </c>
      <c r="J37" s="11" t="n">
        <f aca="true">INDIRECT("'"&amp;A37&amp;"'!H4")</f>
        <v>0.733333333333333</v>
      </c>
      <c r="K37" s="10" t="str">
        <f aca="true">INDIRECT("'"&amp;A37&amp;"'!K4")</f>
        <v>open</v>
      </c>
      <c r="L37" s="10" t="str">
        <f aca="true">INDIRECT("'"&amp;A37&amp;"'!E5")</f>
        <v>complete</v>
      </c>
      <c r="M37" s="10" t="str">
        <f aca="false">IF(AND(J37=1,K37="complete",L37="complete"),"complete",IF(H37&gt;0,"blocked","open"))</f>
        <v>open</v>
      </c>
    </row>
    <row r="38" customFormat="false" ht="24" hidden="false" customHeight="true" outlineLevel="0" collapsed="false">
      <c r="A38" s="10" t="s">
        <v>47</v>
      </c>
      <c r="B38" s="10" t="n">
        <f aca="true">INDIRECT("'"&amp;A38&amp;"'!B4")</f>
        <v>20</v>
      </c>
      <c r="C38" s="10" t="n">
        <f aca="true">COUNTIF(INDIRECT("'"&amp;A38&amp;"'!H9:H200"),"not started")</f>
        <v>0</v>
      </c>
      <c r="D38" s="10" t="n">
        <f aca="true">COUNTIF(INDIRECT("'"&amp;A38&amp;"'!H9:H200"),"partial")</f>
        <v>0</v>
      </c>
      <c r="E38" s="10" t="n">
        <f aca="true">COUNTIF(INDIRECT("'"&amp;A38&amp;"'!H9:H200"),"implemented")</f>
        <v>5</v>
      </c>
      <c r="F38" s="10" t="n">
        <f aca="true">COUNTIF(INDIRECT("'"&amp;A38&amp;"'!H9:H200"),"tested")</f>
        <v>15</v>
      </c>
      <c r="G38" s="10" t="n">
        <f aca="true">COUNTIF(INDIRECT("'"&amp;A38&amp;"'!H9:H200"),"verified")</f>
        <v>0</v>
      </c>
      <c r="H38" s="10" t="n">
        <f aca="true">COUNTIF(INDIRECT("'"&amp;A38&amp;"'!H9:H200"),"blocked")</f>
        <v>0</v>
      </c>
      <c r="I38" s="10" t="n">
        <f aca="true">COUNTIF(INDIRECT("'"&amp;A38&amp;"'!H9:H200"),"not applicable")</f>
        <v>0</v>
      </c>
      <c r="J38" s="11" t="n">
        <f aca="true">INDIRECT("'"&amp;A38&amp;"'!H4")</f>
        <v>0.75</v>
      </c>
      <c r="K38" s="10" t="str">
        <f aca="true">INDIRECT("'"&amp;A38&amp;"'!K4")</f>
        <v>open</v>
      </c>
      <c r="L38" s="10" t="str">
        <f aca="true">INDIRECT("'"&amp;A38&amp;"'!E5")</f>
        <v>complete</v>
      </c>
      <c r="M38" s="10" t="str">
        <f aca="false">IF(AND(J38=1,K38="complete",L38="complete"),"complete",IF(H38&gt;0,"blocked","open"))</f>
        <v>open</v>
      </c>
    </row>
    <row r="39" customFormat="false" ht="24" hidden="false" customHeight="true" outlineLevel="0" collapsed="false">
      <c r="A39" s="10" t="s">
        <v>48</v>
      </c>
      <c r="B39" s="10" t="n">
        <f aca="true">INDIRECT("'"&amp;A39&amp;"'!B4")</f>
        <v>16</v>
      </c>
      <c r="C39" s="10" t="n">
        <f aca="true">COUNTIF(INDIRECT("'"&amp;A39&amp;"'!H9:H200"),"not started")</f>
        <v>0</v>
      </c>
      <c r="D39" s="10" t="n">
        <f aca="true">COUNTIF(INDIRECT("'"&amp;A39&amp;"'!H9:H200"),"partial")</f>
        <v>0</v>
      </c>
      <c r="E39" s="10" t="n">
        <f aca="true">COUNTIF(INDIRECT("'"&amp;A39&amp;"'!H9:H200"),"implemented")</f>
        <v>0</v>
      </c>
      <c r="F39" s="10" t="n">
        <f aca="true">COUNTIF(INDIRECT("'"&amp;A39&amp;"'!H9:H200"),"tested")</f>
        <v>16</v>
      </c>
      <c r="G39" s="10" t="n">
        <f aca="true">COUNTIF(INDIRECT("'"&amp;A39&amp;"'!H9:H200"),"verified")</f>
        <v>0</v>
      </c>
      <c r="H39" s="10" t="n">
        <f aca="true">COUNTIF(INDIRECT("'"&amp;A39&amp;"'!H9:H200"),"blocked")</f>
        <v>0</v>
      </c>
      <c r="I39" s="10" t="n">
        <f aca="true">COUNTIF(INDIRECT("'"&amp;A39&amp;"'!H9:H200"),"not applicable")</f>
        <v>0</v>
      </c>
      <c r="J39" s="11" t="n">
        <f aca="true">INDIRECT("'"&amp;A39&amp;"'!H4")</f>
        <v>1</v>
      </c>
      <c r="K39" s="10" t="str">
        <f aca="true">INDIRECT("'"&amp;A39&amp;"'!K4")</f>
        <v>complete</v>
      </c>
      <c r="L39" s="10" t="str">
        <f aca="true">INDIRECT("'"&amp;A39&amp;"'!E5")</f>
        <v>complete</v>
      </c>
      <c r="M39" s="10" t="str">
        <f aca="false">IF(AND(J39=1,K39="complete",L39="complete"),"complete",IF(H39&gt;0,"blocked","open"))</f>
        <v>complete</v>
      </c>
    </row>
    <row r="40" customFormat="false" ht="24" hidden="false" customHeight="true" outlineLevel="0" collapsed="false">
      <c r="A40" s="10" t="s">
        <v>49</v>
      </c>
      <c r="B40" s="10" t="n">
        <f aca="true">INDIRECT("'"&amp;A40&amp;"'!B4")</f>
        <v>16</v>
      </c>
      <c r="C40" s="10" t="n">
        <f aca="true">COUNTIF(INDIRECT("'"&amp;A40&amp;"'!H9:H200"),"not started")</f>
        <v>0</v>
      </c>
      <c r="D40" s="10" t="n">
        <f aca="true">COUNTIF(INDIRECT("'"&amp;A40&amp;"'!H9:H200"),"partial")</f>
        <v>0</v>
      </c>
      <c r="E40" s="10" t="n">
        <f aca="true">COUNTIF(INDIRECT("'"&amp;A40&amp;"'!H9:H200"),"implemented")</f>
        <v>3</v>
      </c>
      <c r="F40" s="10" t="n">
        <f aca="true">COUNTIF(INDIRECT("'"&amp;A40&amp;"'!H9:H200"),"tested")</f>
        <v>13</v>
      </c>
      <c r="G40" s="10" t="n">
        <f aca="true">COUNTIF(INDIRECT("'"&amp;A40&amp;"'!H9:H200"),"verified")</f>
        <v>0</v>
      </c>
      <c r="H40" s="10" t="n">
        <f aca="true">COUNTIF(INDIRECT("'"&amp;A40&amp;"'!H9:H200"),"blocked")</f>
        <v>0</v>
      </c>
      <c r="I40" s="10" t="n">
        <f aca="true">COUNTIF(INDIRECT("'"&amp;A40&amp;"'!H9:H200"),"not applicable")</f>
        <v>0</v>
      </c>
      <c r="J40" s="11" t="n">
        <f aca="true">INDIRECT("'"&amp;A40&amp;"'!H4")</f>
        <v>0.8125</v>
      </c>
      <c r="K40" s="10" t="str">
        <f aca="true">INDIRECT("'"&amp;A40&amp;"'!K4")</f>
        <v>open</v>
      </c>
      <c r="L40" s="10" t="str">
        <f aca="true">INDIRECT("'"&amp;A40&amp;"'!E5")</f>
        <v>complete</v>
      </c>
      <c r="M40" s="10" t="str">
        <f aca="false">IF(AND(J40=1,K40="complete",L40="complete"),"complete",IF(H40&gt;0,"blocked","open"))</f>
        <v>open</v>
      </c>
    </row>
    <row r="41" customFormat="false" ht="24" hidden="false" customHeight="true" outlineLevel="0" collapsed="false">
      <c r="A41" s="10" t="s">
        <v>50</v>
      </c>
      <c r="B41" s="10" t="n">
        <f aca="true">INDIRECT("'"&amp;A41&amp;"'!B4")</f>
        <v>17</v>
      </c>
      <c r="C41" s="10" t="n">
        <f aca="true">COUNTIF(INDIRECT("'"&amp;A41&amp;"'!H9:H200"),"not started")</f>
        <v>0</v>
      </c>
      <c r="D41" s="10" t="n">
        <f aca="true">COUNTIF(INDIRECT("'"&amp;A41&amp;"'!H9:H200"),"partial")</f>
        <v>0</v>
      </c>
      <c r="E41" s="10" t="n">
        <f aca="true">COUNTIF(INDIRECT("'"&amp;A41&amp;"'!H9:H200"),"implemented")</f>
        <v>3</v>
      </c>
      <c r="F41" s="10" t="n">
        <f aca="true">COUNTIF(INDIRECT("'"&amp;A41&amp;"'!H9:H200"),"tested")</f>
        <v>14</v>
      </c>
      <c r="G41" s="10" t="n">
        <f aca="true">COUNTIF(INDIRECT("'"&amp;A41&amp;"'!H9:H200"),"verified")</f>
        <v>0</v>
      </c>
      <c r="H41" s="10" t="n">
        <f aca="true">COUNTIF(INDIRECT("'"&amp;A41&amp;"'!H9:H200"),"blocked")</f>
        <v>0</v>
      </c>
      <c r="I41" s="10" t="n">
        <f aca="true">COUNTIF(INDIRECT("'"&amp;A41&amp;"'!H9:H200"),"not applicable")</f>
        <v>0</v>
      </c>
      <c r="J41" s="11" t="n">
        <f aca="true">INDIRECT("'"&amp;A41&amp;"'!H4")</f>
        <v>0.823529411764706</v>
      </c>
      <c r="K41" s="10" t="str">
        <f aca="true">INDIRECT("'"&amp;A41&amp;"'!K4")</f>
        <v>open</v>
      </c>
      <c r="L41" s="10" t="str">
        <f aca="true">INDIRECT("'"&amp;A41&amp;"'!E5")</f>
        <v>complete</v>
      </c>
      <c r="M41" s="10" t="str">
        <f aca="false">IF(AND(J41=1,K41="complete",L41="complete"),"complete",IF(H41&gt;0,"blocked","open"))</f>
        <v>open</v>
      </c>
    </row>
    <row r="42" customFormat="false" ht="24" hidden="false" customHeight="true" outlineLevel="0" collapsed="false">
      <c r="A42" s="10" t="s">
        <v>51</v>
      </c>
      <c r="B42" s="10" t="n">
        <f aca="true">INDIRECT("'"&amp;A42&amp;"'!B4")</f>
        <v>22</v>
      </c>
      <c r="C42" s="10" t="n">
        <f aca="true">COUNTIF(INDIRECT("'"&amp;A42&amp;"'!H9:H200"),"not started")</f>
        <v>0</v>
      </c>
      <c r="D42" s="10" t="n">
        <f aca="true">COUNTIF(INDIRECT("'"&amp;A42&amp;"'!H9:H200"),"partial")</f>
        <v>0</v>
      </c>
      <c r="E42" s="10" t="n">
        <f aca="true">COUNTIF(INDIRECT("'"&amp;A42&amp;"'!H9:H200"),"implemented")</f>
        <v>3</v>
      </c>
      <c r="F42" s="10" t="n">
        <f aca="true">COUNTIF(INDIRECT("'"&amp;A42&amp;"'!H9:H200"),"tested")</f>
        <v>19</v>
      </c>
      <c r="G42" s="10" t="n">
        <f aca="true">COUNTIF(INDIRECT("'"&amp;A42&amp;"'!H9:H200"),"verified")</f>
        <v>0</v>
      </c>
      <c r="H42" s="10" t="n">
        <f aca="true">COUNTIF(INDIRECT("'"&amp;A42&amp;"'!H9:H200"),"blocked")</f>
        <v>0</v>
      </c>
      <c r="I42" s="10" t="n">
        <f aca="true">COUNTIF(INDIRECT("'"&amp;A42&amp;"'!H9:H200"),"not applicable")</f>
        <v>0</v>
      </c>
      <c r="J42" s="11" t="n">
        <f aca="true">INDIRECT("'"&amp;A42&amp;"'!H4")</f>
        <v>0.863636363636364</v>
      </c>
      <c r="K42" s="10" t="str">
        <f aca="true">INDIRECT("'"&amp;A42&amp;"'!K4")</f>
        <v>open</v>
      </c>
      <c r="L42" s="10" t="str">
        <f aca="true">INDIRECT("'"&amp;A42&amp;"'!E5")</f>
        <v>complete</v>
      </c>
      <c r="M42" s="10" t="str">
        <f aca="false">IF(AND(J42=1,K42="complete",L42="complete"),"complete",IF(H42&gt;0,"blocked","open"))</f>
        <v>open</v>
      </c>
    </row>
    <row r="43" customFormat="false" ht="24" hidden="false" customHeight="true" outlineLevel="0" collapsed="false">
      <c r="A43" s="10" t="s">
        <v>52</v>
      </c>
      <c r="B43" s="10" t="n">
        <f aca="true">INDIRECT("'"&amp;A43&amp;"'!B4")</f>
        <v>19</v>
      </c>
      <c r="C43" s="10" t="n">
        <f aca="true">COUNTIF(INDIRECT("'"&amp;A43&amp;"'!H9:H200"),"not started")</f>
        <v>0</v>
      </c>
      <c r="D43" s="10" t="n">
        <f aca="true">COUNTIF(INDIRECT("'"&amp;A43&amp;"'!H9:H200"),"partial")</f>
        <v>0</v>
      </c>
      <c r="E43" s="10" t="n">
        <f aca="true">COUNTIF(INDIRECT("'"&amp;A43&amp;"'!H9:H200"),"implemented")</f>
        <v>4</v>
      </c>
      <c r="F43" s="10" t="n">
        <f aca="true">COUNTIF(INDIRECT("'"&amp;A43&amp;"'!H9:H200"),"tested")</f>
        <v>14</v>
      </c>
      <c r="G43" s="10" t="n">
        <f aca="true">COUNTIF(INDIRECT("'"&amp;A43&amp;"'!H9:H200"),"verified")</f>
        <v>1</v>
      </c>
      <c r="H43" s="10" t="n">
        <f aca="true">COUNTIF(INDIRECT("'"&amp;A43&amp;"'!H9:H200"),"blocked")</f>
        <v>0</v>
      </c>
      <c r="I43" s="10" t="n">
        <f aca="true">COUNTIF(INDIRECT("'"&amp;A43&amp;"'!H9:H200"),"not applicable")</f>
        <v>0</v>
      </c>
      <c r="J43" s="11" t="n">
        <f aca="true">INDIRECT("'"&amp;A43&amp;"'!H4")</f>
        <v>0.789473684210526</v>
      </c>
      <c r="K43" s="10" t="str">
        <f aca="true">INDIRECT("'"&amp;A43&amp;"'!K4")</f>
        <v>open</v>
      </c>
      <c r="L43" s="10" t="str">
        <f aca="true">INDIRECT("'"&amp;A43&amp;"'!E5")</f>
        <v>complete</v>
      </c>
      <c r="M43" s="10" t="str">
        <f aca="false">IF(AND(J43=1,K43="complete",L43="complete"),"complete",IF(H43&gt;0,"blocked","open"))</f>
        <v>open</v>
      </c>
    </row>
    <row r="44" customFormat="false" ht="24" hidden="false" customHeight="true" outlineLevel="0" collapsed="false">
      <c r="A44" s="10" t="s">
        <v>53</v>
      </c>
      <c r="B44" s="10" t="n">
        <f aca="true">INDIRECT("'"&amp;A44&amp;"'!B4")</f>
        <v>22</v>
      </c>
      <c r="C44" s="10" t="n">
        <f aca="true">COUNTIF(INDIRECT("'"&amp;A44&amp;"'!H9:H200"),"not started")</f>
        <v>0</v>
      </c>
      <c r="D44" s="10" t="n">
        <f aca="true">COUNTIF(INDIRECT("'"&amp;A44&amp;"'!H9:H200"),"partial")</f>
        <v>0</v>
      </c>
      <c r="E44" s="10" t="n">
        <f aca="true">COUNTIF(INDIRECT("'"&amp;A44&amp;"'!H9:H200"),"implemented")</f>
        <v>6</v>
      </c>
      <c r="F44" s="10" t="n">
        <f aca="true">COUNTIF(INDIRECT("'"&amp;A44&amp;"'!H9:H200"),"tested")</f>
        <v>16</v>
      </c>
      <c r="G44" s="10" t="n">
        <f aca="true">COUNTIF(INDIRECT("'"&amp;A44&amp;"'!H9:H200"),"verified")</f>
        <v>0</v>
      </c>
      <c r="H44" s="10" t="n">
        <f aca="true">COUNTIF(INDIRECT("'"&amp;A44&amp;"'!H9:H200"),"blocked")</f>
        <v>0</v>
      </c>
      <c r="I44" s="10" t="n">
        <f aca="true">COUNTIF(INDIRECT("'"&amp;A44&amp;"'!H9:H200"),"not applicable")</f>
        <v>0</v>
      </c>
      <c r="J44" s="11" t="n">
        <f aca="true">INDIRECT("'"&amp;A44&amp;"'!H4")</f>
        <v>0.727272727272727</v>
      </c>
      <c r="K44" s="10" t="str">
        <f aca="true">INDIRECT("'"&amp;A44&amp;"'!K4")</f>
        <v>open</v>
      </c>
      <c r="L44" s="10" t="str">
        <f aca="true">INDIRECT("'"&amp;A44&amp;"'!E5")</f>
        <v>complete</v>
      </c>
      <c r="M44" s="10" t="str">
        <f aca="false">IF(AND(J44=1,K44="complete",L44="complete"),"complete",IF(H44&gt;0,"blocked","open"))</f>
        <v>open</v>
      </c>
    </row>
    <row r="45" customFormat="false" ht="24" hidden="false" customHeight="true" outlineLevel="0" collapsed="false">
      <c r="A45" s="10" t="s">
        <v>54</v>
      </c>
      <c r="B45" s="10" t="n">
        <f aca="true">INDIRECT("'"&amp;A45&amp;"'!B4")</f>
        <v>22</v>
      </c>
      <c r="C45" s="10" t="n">
        <f aca="true">COUNTIF(INDIRECT("'"&amp;A45&amp;"'!H9:H200"),"not started")</f>
        <v>0</v>
      </c>
      <c r="D45" s="10" t="n">
        <f aca="true">COUNTIF(INDIRECT("'"&amp;A45&amp;"'!H9:H200"),"partial")</f>
        <v>0</v>
      </c>
      <c r="E45" s="10" t="n">
        <f aca="true">COUNTIF(INDIRECT("'"&amp;A45&amp;"'!H9:H200"),"implemented")</f>
        <v>6</v>
      </c>
      <c r="F45" s="10" t="n">
        <f aca="true">COUNTIF(INDIRECT("'"&amp;A45&amp;"'!H9:H200"),"tested")</f>
        <v>16</v>
      </c>
      <c r="G45" s="10" t="n">
        <f aca="true">COUNTIF(INDIRECT("'"&amp;A45&amp;"'!H9:H200"),"verified")</f>
        <v>0</v>
      </c>
      <c r="H45" s="10" t="n">
        <f aca="true">COUNTIF(INDIRECT("'"&amp;A45&amp;"'!H9:H200"),"blocked")</f>
        <v>0</v>
      </c>
      <c r="I45" s="10" t="n">
        <f aca="true">COUNTIF(INDIRECT("'"&amp;A45&amp;"'!H9:H200"),"not applicable")</f>
        <v>0</v>
      </c>
      <c r="J45" s="11" t="n">
        <f aca="true">INDIRECT("'"&amp;A45&amp;"'!H4")</f>
        <v>0.727272727272727</v>
      </c>
      <c r="K45" s="10" t="str">
        <f aca="true">INDIRECT("'"&amp;A45&amp;"'!K4")</f>
        <v>open</v>
      </c>
      <c r="L45" s="10" t="str">
        <f aca="true">INDIRECT("'"&amp;A45&amp;"'!E5")</f>
        <v>complete</v>
      </c>
      <c r="M45" s="10" t="str">
        <f aca="false">IF(AND(J45=1,K45="complete",L45="complete"),"complete",IF(H45&gt;0,"blocked","open"))</f>
        <v>open</v>
      </c>
    </row>
    <row r="46" customFormat="false" ht="24" hidden="false" customHeight="true" outlineLevel="0" collapsed="false">
      <c r="A46" s="10" t="s">
        <v>55</v>
      </c>
      <c r="B46" s="10" t="n">
        <f aca="true">INDIRECT("'"&amp;A46&amp;"'!B4")</f>
        <v>22</v>
      </c>
      <c r="C46" s="10" t="n">
        <f aca="true">COUNTIF(INDIRECT("'"&amp;A46&amp;"'!H9:H200"),"not started")</f>
        <v>0</v>
      </c>
      <c r="D46" s="10" t="n">
        <f aca="true">COUNTIF(INDIRECT("'"&amp;A46&amp;"'!H9:H200"),"partial")</f>
        <v>0</v>
      </c>
      <c r="E46" s="10" t="n">
        <f aca="true">COUNTIF(INDIRECT("'"&amp;A46&amp;"'!H9:H200"),"implemented")</f>
        <v>5</v>
      </c>
      <c r="F46" s="10" t="n">
        <f aca="true">COUNTIF(INDIRECT("'"&amp;A46&amp;"'!H9:H200"),"tested")</f>
        <v>17</v>
      </c>
      <c r="G46" s="10" t="n">
        <f aca="true">COUNTIF(INDIRECT("'"&amp;A46&amp;"'!H9:H200"),"verified")</f>
        <v>0</v>
      </c>
      <c r="H46" s="10" t="n">
        <f aca="true">COUNTIF(INDIRECT("'"&amp;A46&amp;"'!H9:H200"),"blocked")</f>
        <v>0</v>
      </c>
      <c r="I46" s="10" t="n">
        <f aca="true">COUNTIF(INDIRECT("'"&amp;A46&amp;"'!H9:H200"),"not applicable")</f>
        <v>0</v>
      </c>
      <c r="J46" s="11" t="n">
        <f aca="true">INDIRECT("'"&amp;A46&amp;"'!H4")</f>
        <v>0.772727272727273</v>
      </c>
      <c r="K46" s="10" t="str">
        <f aca="true">INDIRECT("'"&amp;A46&amp;"'!K4")</f>
        <v>open</v>
      </c>
      <c r="L46" s="10" t="str">
        <f aca="true">INDIRECT("'"&amp;A46&amp;"'!E5")</f>
        <v>complete</v>
      </c>
      <c r="M46" s="10" t="str">
        <f aca="false">IF(AND(J46=1,K46="complete",L46="complete"),"complete",IF(H46&gt;0,"blocked","open"))</f>
        <v>open</v>
      </c>
    </row>
    <row r="47" customFormat="false" ht="24" hidden="false" customHeight="true" outlineLevel="0" collapsed="false">
      <c r="A47" s="10" t="s">
        <v>56</v>
      </c>
      <c r="B47" s="10" t="n">
        <f aca="true">INDIRECT("'"&amp;A47&amp;"'!B4")</f>
        <v>20</v>
      </c>
      <c r="C47" s="10" t="n">
        <f aca="true">COUNTIF(INDIRECT("'"&amp;A47&amp;"'!H9:H200"),"not started")</f>
        <v>2</v>
      </c>
      <c r="D47" s="10" t="n">
        <f aca="true">COUNTIF(INDIRECT("'"&amp;A47&amp;"'!H9:H200"),"partial")</f>
        <v>0</v>
      </c>
      <c r="E47" s="10" t="n">
        <f aca="true">COUNTIF(INDIRECT("'"&amp;A47&amp;"'!H9:H200"),"implemented")</f>
        <v>0</v>
      </c>
      <c r="F47" s="10" t="n">
        <f aca="true">COUNTIF(INDIRECT("'"&amp;A47&amp;"'!H9:H200"),"tested")</f>
        <v>18</v>
      </c>
      <c r="G47" s="10" t="n">
        <f aca="true">COUNTIF(INDIRECT("'"&amp;A47&amp;"'!H9:H200"),"verified")</f>
        <v>0</v>
      </c>
      <c r="H47" s="10" t="n">
        <f aca="true">COUNTIF(INDIRECT("'"&amp;A47&amp;"'!H9:H200"),"blocked")</f>
        <v>0</v>
      </c>
      <c r="I47" s="10" t="n">
        <f aca="true">COUNTIF(INDIRECT("'"&amp;A47&amp;"'!H9:H200"),"not applicable")</f>
        <v>0</v>
      </c>
      <c r="J47" s="11" t="n">
        <f aca="true">INDIRECT("'"&amp;A47&amp;"'!H4")</f>
        <v>0.9</v>
      </c>
      <c r="K47" s="10" t="str">
        <f aca="true">INDIRECT("'"&amp;A47&amp;"'!K4")</f>
        <v>open</v>
      </c>
      <c r="L47" s="10" t="str">
        <f aca="true">INDIRECT("'"&amp;A47&amp;"'!E5")</f>
        <v>complete</v>
      </c>
      <c r="M47" s="10" t="str">
        <f aca="false">IF(AND(J47=1,K47="complete",L47="complete"),"complete",IF(H47&gt;0,"blocked","open"))</f>
        <v>open</v>
      </c>
    </row>
    <row r="48" customFormat="false" ht="24" hidden="false" customHeight="true" outlineLevel="0" collapsed="false">
      <c r="A48" s="10" t="s">
        <v>57</v>
      </c>
      <c r="B48" s="10" t="n">
        <f aca="true">INDIRECT("'"&amp;A48&amp;"'!B4")</f>
        <v>20</v>
      </c>
      <c r="C48" s="10" t="n">
        <f aca="true">COUNTIF(INDIRECT("'"&amp;A48&amp;"'!H9:H200"),"not started")</f>
        <v>2</v>
      </c>
      <c r="D48" s="10" t="n">
        <f aca="true">COUNTIF(INDIRECT("'"&amp;A48&amp;"'!H9:H200"),"partial")</f>
        <v>0</v>
      </c>
      <c r="E48" s="10" t="n">
        <f aca="true">COUNTIF(INDIRECT("'"&amp;A48&amp;"'!H9:H200"),"implemented")</f>
        <v>0</v>
      </c>
      <c r="F48" s="10" t="n">
        <f aca="true">COUNTIF(INDIRECT("'"&amp;A48&amp;"'!H9:H200"),"tested")</f>
        <v>18</v>
      </c>
      <c r="G48" s="10" t="n">
        <f aca="true">COUNTIF(INDIRECT("'"&amp;A48&amp;"'!H9:H200"),"verified")</f>
        <v>0</v>
      </c>
      <c r="H48" s="10" t="n">
        <f aca="true">COUNTIF(INDIRECT("'"&amp;A48&amp;"'!H9:H200"),"blocked")</f>
        <v>0</v>
      </c>
      <c r="I48" s="10" t="n">
        <f aca="true">COUNTIF(INDIRECT("'"&amp;A48&amp;"'!H9:H200"),"not applicable")</f>
        <v>0</v>
      </c>
      <c r="J48" s="11" t="n">
        <f aca="true">INDIRECT("'"&amp;A48&amp;"'!H4")</f>
        <v>0.9</v>
      </c>
      <c r="K48" s="10" t="str">
        <f aca="true">INDIRECT("'"&amp;A48&amp;"'!K4")</f>
        <v>open</v>
      </c>
      <c r="L48" s="10" t="str">
        <f aca="true">INDIRECT("'"&amp;A48&amp;"'!E5")</f>
        <v>complete</v>
      </c>
      <c r="M48" s="10" t="str">
        <f aca="false">IF(AND(J48=1,K48="complete",L48="complete"),"complete",IF(H48&gt;0,"blocked","open"))</f>
        <v>open</v>
      </c>
    </row>
    <row r="49" customFormat="false" ht="24" hidden="false" customHeight="true" outlineLevel="0" collapsed="false">
      <c r="A49" s="10" t="s">
        <v>58</v>
      </c>
      <c r="B49" s="10" t="n">
        <f aca="true">INDIRECT("'"&amp;A49&amp;"'!B4")</f>
        <v>23</v>
      </c>
      <c r="C49" s="10" t="n">
        <f aca="true">COUNTIF(INDIRECT("'"&amp;A49&amp;"'!H9:H200"),"not started")</f>
        <v>1</v>
      </c>
      <c r="D49" s="10" t="n">
        <f aca="true">COUNTIF(INDIRECT("'"&amp;A49&amp;"'!H9:H200"),"partial")</f>
        <v>0</v>
      </c>
      <c r="E49" s="10" t="n">
        <f aca="true">COUNTIF(INDIRECT("'"&amp;A49&amp;"'!H9:H200"),"implemented")</f>
        <v>0</v>
      </c>
      <c r="F49" s="10" t="n">
        <f aca="true">COUNTIF(INDIRECT("'"&amp;A49&amp;"'!H9:H200"),"tested")</f>
        <v>19</v>
      </c>
      <c r="G49" s="10" t="n">
        <f aca="true">COUNTIF(INDIRECT("'"&amp;A49&amp;"'!H9:H200"),"verified")</f>
        <v>3</v>
      </c>
      <c r="H49" s="10" t="n">
        <f aca="true">COUNTIF(INDIRECT("'"&amp;A49&amp;"'!H9:H200"),"blocked")</f>
        <v>0</v>
      </c>
      <c r="I49" s="10" t="n">
        <f aca="true">COUNTIF(INDIRECT("'"&amp;A49&amp;"'!H9:H200"),"not applicable")</f>
        <v>0</v>
      </c>
      <c r="J49" s="11" t="n">
        <f aca="true">INDIRECT("'"&amp;A49&amp;"'!H4")</f>
        <v>0.956521739130435</v>
      </c>
      <c r="K49" s="10" t="str">
        <f aca="true">INDIRECT("'"&amp;A49&amp;"'!K4")</f>
        <v>open</v>
      </c>
      <c r="L49" s="10" t="str">
        <f aca="true">INDIRECT("'"&amp;A49&amp;"'!E5")</f>
        <v>complete</v>
      </c>
      <c r="M49" s="10" t="str">
        <f aca="false">IF(AND(J49=1,K49="complete",L49="complete"),"complete",IF(H49&gt;0,"blocked","open"))</f>
        <v>open</v>
      </c>
    </row>
    <row r="50" customFormat="false" ht="24" hidden="false" customHeight="true" outlineLevel="0" collapsed="false">
      <c r="A50" s="10" t="s">
        <v>59</v>
      </c>
      <c r="B50" s="10" t="n">
        <f aca="true">INDIRECT("'"&amp;A50&amp;"'!B4")</f>
        <v>23</v>
      </c>
      <c r="C50" s="10" t="n">
        <f aca="true">COUNTIF(INDIRECT("'"&amp;A50&amp;"'!H9:H200"),"not started")</f>
        <v>1</v>
      </c>
      <c r="D50" s="10" t="n">
        <f aca="true">COUNTIF(INDIRECT("'"&amp;A50&amp;"'!H9:H200"),"partial")</f>
        <v>0</v>
      </c>
      <c r="E50" s="10" t="n">
        <f aca="true">COUNTIF(INDIRECT("'"&amp;A50&amp;"'!H9:H200"),"implemented")</f>
        <v>0</v>
      </c>
      <c r="F50" s="10" t="n">
        <f aca="true">COUNTIF(INDIRECT("'"&amp;A50&amp;"'!H9:H200"),"tested")</f>
        <v>18</v>
      </c>
      <c r="G50" s="10" t="n">
        <f aca="true">COUNTIF(INDIRECT("'"&amp;A50&amp;"'!H9:H200"),"verified")</f>
        <v>4</v>
      </c>
      <c r="H50" s="10" t="n">
        <f aca="true">COUNTIF(INDIRECT("'"&amp;A50&amp;"'!H9:H200"),"blocked")</f>
        <v>0</v>
      </c>
      <c r="I50" s="10" t="n">
        <f aca="true">COUNTIF(INDIRECT("'"&amp;A50&amp;"'!H9:H200"),"not applicable")</f>
        <v>0</v>
      </c>
      <c r="J50" s="11" t="n">
        <f aca="true">INDIRECT("'"&amp;A50&amp;"'!H4")</f>
        <v>0.956521739130435</v>
      </c>
      <c r="K50" s="10" t="str">
        <f aca="true">INDIRECT("'"&amp;A50&amp;"'!K4")</f>
        <v>open</v>
      </c>
      <c r="L50" s="10" t="str">
        <f aca="true">INDIRECT("'"&amp;A50&amp;"'!E5")</f>
        <v>complete</v>
      </c>
      <c r="M50" s="10" t="str">
        <f aca="false">IF(AND(J50=1,K50="complete",L50="complete"),"complete",IF(H50&gt;0,"blocked","open"))</f>
        <v>open</v>
      </c>
    </row>
    <row r="51" customFormat="false" ht="24" hidden="false" customHeight="true" outlineLevel="0" collapsed="false">
      <c r="A51" s="10" t="s">
        <v>60</v>
      </c>
      <c r="B51" s="10" t="n">
        <f aca="true">INDIRECT("'"&amp;A51&amp;"'!B4")</f>
        <v>22</v>
      </c>
      <c r="C51" s="10" t="n">
        <f aca="true">COUNTIF(INDIRECT("'"&amp;A51&amp;"'!H9:H200"),"not started")</f>
        <v>1</v>
      </c>
      <c r="D51" s="10" t="n">
        <f aca="true">COUNTIF(INDIRECT("'"&amp;A51&amp;"'!H9:H200"),"partial")</f>
        <v>0</v>
      </c>
      <c r="E51" s="10" t="n">
        <f aca="true">COUNTIF(INDIRECT("'"&amp;A51&amp;"'!H9:H200"),"implemented")</f>
        <v>0</v>
      </c>
      <c r="F51" s="10" t="n">
        <f aca="true">COUNTIF(INDIRECT("'"&amp;A51&amp;"'!H9:H200"),"tested")</f>
        <v>16</v>
      </c>
      <c r="G51" s="10" t="n">
        <f aca="true">COUNTIF(INDIRECT("'"&amp;A51&amp;"'!H9:H200"),"verified")</f>
        <v>5</v>
      </c>
      <c r="H51" s="10" t="n">
        <f aca="true">COUNTIF(INDIRECT("'"&amp;A51&amp;"'!H9:H200"),"blocked")</f>
        <v>0</v>
      </c>
      <c r="I51" s="10" t="n">
        <f aca="true">COUNTIF(INDIRECT("'"&amp;A51&amp;"'!H9:H200"),"not applicable")</f>
        <v>0</v>
      </c>
      <c r="J51" s="11" t="n">
        <f aca="true">INDIRECT("'"&amp;A51&amp;"'!H4")</f>
        <v>0.954545454545455</v>
      </c>
      <c r="K51" s="10" t="str">
        <f aca="true">INDIRECT("'"&amp;A51&amp;"'!K4")</f>
        <v>open</v>
      </c>
      <c r="L51" s="10" t="str">
        <f aca="true">INDIRECT("'"&amp;A51&amp;"'!E5")</f>
        <v>complete</v>
      </c>
      <c r="M51" s="10" t="str">
        <f aca="false">IF(AND(J51=1,K51="complete",L51="complete"),"complete",IF(H51&gt;0,"blocked","open"))</f>
        <v>open</v>
      </c>
    </row>
    <row r="52" customFormat="false" ht="24" hidden="false" customHeight="true" outlineLevel="0" collapsed="false">
      <c r="A52" s="10" t="s">
        <v>61</v>
      </c>
      <c r="B52" s="10" t="n">
        <f aca="true">INDIRECT("'"&amp;A52&amp;"'!B4")</f>
        <v>23</v>
      </c>
      <c r="C52" s="10" t="n">
        <f aca="true">COUNTIF(INDIRECT("'"&amp;A52&amp;"'!H9:H200"),"not started")</f>
        <v>1</v>
      </c>
      <c r="D52" s="10" t="n">
        <f aca="true">COUNTIF(INDIRECT("'"&amp;A52&amp;"'!H9:H200"),"partial")</f>
        <v>0</v>
      </c>
      <c r="E52" s="10" t="n">
        <f aca="true">COUNTIF(INDIRECT("'"&amp;A52&amp;"'!H9:H200"),"implemented")</f>
        <v>0</v>
      </c>
      <c r="F52" s="10" t="n">
        <f aca="true">COUNTIF(INDIRECT("'"&amp;A52&amp;"'!H9:H200"),"tested")</f>
        <v>19</v>
      </c>
      <c r="G52" s="10" t="n">
        <f aca="true">COUNTIF(INDIRECT("'"&amp;A52&amp;"'!H9:H200"),"verified")</f>
        <v>3</v>
      </c>
      <c r="H52" s="10" t="n">
        <f aca="true">COUNTIF(INDIRECT("'"&amp;A52&amp;"'!H9:H200"),"blocked")</f>
        <v>0</v>
      </c>
      <c r="I52" s="10" t="n">
        <f aca="true">COUNTIF(INDIRECT("'"&amp;A52&amp;"'!H9:H200"),"not applicable")</f>
        <v>0</v>
      </c>
      <c r="J52" s="11" t="n">
        <f aca="true">INDIRECT("'"&amp;A52&amp;"'!H4")</f>
        <v>0.956521739130435</v>
      </c>
      <c r="K52" s="10" t="str">
        <f aca="true">INDIRECT("'"&amp;A52&amp;"'!K4")</f>
        <v>open</v>
      </c>
      <c r="L52" s="10" t="str">
        <f aca="true">INDIRECT("'"&amp;A52&amp;"'!E5")</f>
        <v>complete</v>
      </c>
      <c r="M52" s="10" t="str">
        <f aca="false">IF(AND(J52=1,K52="complete",L52="complete"),"complete",IF(H52&gt;0,"blocked","open"))</f>
        <v>open</v>
      </c>
    </row>
    <row r="53" customFormat="false" ht="24" hidden="false" customHeight="true" outlineLevel="0" collapsed="false">
      <c r="A53" s="10" t="s">
        <v>62</v>
      </c>
      <c r="B53" s="10" t="n">
        <f aca="true">INDIRECT("'"&amp;A53&amp;"'!B4")</f>
        <v>23</v>
      </c>
      <c r="C53" s="10" t="n">
        <f aca="true">COUNTIF(INDIRECT("'"&amp;A53&amp;"'!H9:H200"),"not started")</f>
        <v>1</v>
      </c>
      <c r="D53" s="10" t="n">
        <f aca="true">COUNTIF(INDIRECT("'"&amp;A53&amp;"'!H9:H200"),"partial")</f>
        <v>0</v>
      </c>
      <c r="E53" s="10" t="n">
        <f aca="true">COUNTIF(INDIRECT("'"&amp;A53&amp;"'!H9:H200"),"implemented")</f>
        <v>0</v>
      </c>
      <c r="F53" s="10" t="n">
        <f aca="true">COUNTIF(INDIRECT("'"&amp;A53&amp;"'!H9:H200"),"tested")</f>
        <v>19</v>
      </c>
      <c r="G53" s="10" t="n">
        <f aca="true">COUNTIF(INDIRECT("'"&amp;A53&amp;"'!H9:H200"),"verified")</f>
        <v>3</v>
      </c>
      <c r="H53" s="10" t="n">
        <f aca="true">COUNTIF(INDIRECT("'"&amp;A53&amp;"'!H9:H200"),"blocked")</f>
        <v>0</v>
      </c>
      <c r="I53" s="10" t="n">
        <f aca="true">COUNTIF(INDIRECT("'"&amp;A53&amp;"'!H9:H200"),"not applicable")</f>
        <v>0</v>
      </c>
      <c r="J53" s="11" t="n">
        <f aca="true">INDIRECT("'"&amp;A53&amp;"'!H4")</f>
        <v>0.956521739130435</v>
      </c>
      <c r="K53" s="10" t="str">
        <f aca="true">INDIRECT("'"&amp;A53&amp;"'!K4")</f>
        <v>open</v>
      </c>
      <c r="L53" s="10" t="str">
        <f aca="true">INDIRECT("'"&amp;A53&amp;"'!E5")</f>
        <v>complete</v>
      </c>
      <c r="M53" s="10" t="str">
        <f aca="false">IF(AND(J53=1,K53="complete",L53="complete"),"complete",IF(H53&gt;0,"blocked","open"))</f>
        <v>open</v>
      </c>
    </row>
    <row r="54" customFormat="false" ht="24" hidden="false" customHeight="true" outlineLevel="0" collapsed="false">
      <c r="A54" s="10" t="s">
        <v>63</v>
      </c>
      <c r="B54" s="10" t="n">
        <f aca="true">INDIRECT("'"&amp;A54&amp;"'!B4")</f>
        <v>23</v>
      </c>
      <c r="C54" s="10" t="n">
        <f aca="true">COUNTIF(INDIRECT("'"&amp;A54&amp;"'!H9:H200"),"not started")</f>
        <v>1</v>
      </c>
      <c r="D54" s="10" t="n">
        <f aca="true">COUNTIF(INDIRECT("'"&amp;A54&amp;"'!H9:H200"),"partial")</f>
        <v>0</v>
      </c>
      <c r="E54" s="10" t="n">
        <f aca="true">COUNTIF(INDIRECT("'"&amp;A54&amp;"'!H9:H200"),"implemented")</f>
        <v>0</v>
      </c>
      <c r="F54" s="10" t="n">
        <f aca="true">COUNTIF(INDIRECT("'"&amp;A54&amp;"'!H9:H200"),"tested")</f>
        <v>20</v>
      </c>
      <c r="G54" s="10" t="n">
        <f aca="true">COUNTIF(INDIRECT("'"&amp;A54&amp;"'!H9:H200"),"verified")</f>
        <v>2</v>
      </c>
      <c r="H54" s="10" t="n">
        <f aca="true">COUNTIF(INDIRECT("'"&amp;A54&amp;"'!H9:H200"),"blocked")</f>
        <v>0</v>
      </c>
      <c r="I54" s="10" t="n">
        <f aca="true">COUNTIF(INDIRECT("'"&amp;A54&amp;"'!H9:H200"),"not applicable")</f>
        <v>0</v>
      </c>
      <c r="J54" s="11" t="n">
        <f aca="true">INDIRECT("'"&amp;A54&amp;"'!H4")</f>
        <v>0.956521739130435</v>
      </c>
      <c r="K54" s="10" t="str">
        <f aca="true">INDIRECT("'"&amp;A54&amp;"'!K4")</f>
        <v>open</v>
      </c>
      <c r="L54" s="10" t="str">
        <f aca="true">INDIRECT("'"&amp;A54&amp;"'!E5")</f>
        <v>complete</v>
      </c>
      <c r="M54" s="10" t="str">
        <f aca="false">IF(AND(J54=1,K54="complete",L54="complete"),"complete",IF(H54&gt;0,"blocked","open"))</f>
        <v>open</v>
      </c>
    </row>
    <row r="55" customFormat="false" ht="24" hidden="false" customHeight="true" outlineLevel="0" collapsed="false">
      <c r="A55" s="10" t="s">
        <v>64</v>
      </c>
      <c r="B55" s="10" t="n">
        <f aca="true">INDIRECT("'"&amp;A55&amp;"'!B4")</f>
        <v>23</v>
      </c>
      <c r="C55" s="10" t="n">
        <f aca="true">COUNTIF(INDIRECT("'"&amp;A55&amp;"'!H9:H200"),"not started")</f>
        <v>1</v>
      </c>
      <c r="D55" s="10" t="n">
        <f aca="true">COUNTIF(INDIRECT("'"&amp;A55&amp;"'!H9:H200"),"partial")</f>
        <v>0</v>
      </c>
      <c r="E55" s="10" t="n">
        <f aca="true">COUNTIF(INDIRECT("'"&amp;A55&amp;"'!H9:H200"),"implemented")</f>
        <v>0</v>
      </c>
      <c r="F55" s="10" t="n">
        <f aca="true">COUNTIF(INDIRECT("'"&amp;A55&amp;"'!H9:H200"),"tested")</f>
        <v>20</v>
      </c>
      <c r="G55" s="10" t="n">
        <f aca="true">COUNTIF(INDIRECT("'"&amp;A55&amp;"'!H9:H200"),"verified")</f>
        <v>2</v>
      </c>
      <c r="H55" s="10" t="n">
        <f aca="true">COUNTIF(INDIRECT("'"&amp;A55&amp;"'!H9:H200"),"blocked")</f>
        <v>0</v>
      </c>
      <c r="I55" s="10" t="n">
        <f aca="true">COUNTIF(INDIRECT("'"&amp;A55&amp;"'!H9:H200"),"not applicable")</f>
        <v>0</v>
      </c>
      <c r="J55" s="11" t="n">
        <f aca="true">INDIRECT("'"&amp;A55&amp;"'!H4")</f>
        <v>0.956521739130435</v>
      </c>
      <c r="K55" s="10" t="str">
        <f aca="true">INDIRECT("'"&amp;A55&amp;"'!K4")</f>
        <v>open</v>
      </c>
      <c r="L55" s="10" t="str">
        <f aca="true">INDIRECT("'"&amp;A55&amp;"'!E5")</f>
        <v>complete</v>
      </c>
      <c r="M55" s="10" t="str">
        <f aca="false">IF(AND(J55=1,K55="complete",L55="complete"),"complete",IF(H55&gt;0,"blocked","open"))</f>
        <v>open</v>
      </c>
    </row>
    <row r="56" customFormat="false" ht="24" hidden="false" customHeight="true" outlineLevel="0" collapsed="false">
      <c r="A56" s="10" t="s">
        <v>65</v>
      </c>
      <c r="B56" s="10" t="n">
        <f aca="true">INDIRECT("'"&amp;A56&amp;"'!B4")</f>
        <v>28</v>
      </c>
      <c r="C56" s="10" t="n">
        <f aca="true">COUNTIF(INDIRECT("'"&amp;A56&amp;"'!H9:H200"),"not started")</f>
        <v>1</v>
      </c>
      <c r="D56" s="10" t="n">
        <f aca="true">COUNTIF(INDIRECT("'"&amp;A56&amp;"'!H9:H200"),"partial")</f>
        <v>0</v>
      </c>
      <c r="E56" s="10" t="n">
        <f aca="true">COUNTIF(INDIRECT("'"&amp;A56&amp;"'!H9:H200"),"implemented")</f>
        <v>0</v>
      </c>
      <c r="F56" s="10" t="n">
        <f aca="true">COUNTIF(INDIRECT("'"&amp;A56&amp;"'!H9:H200"),"tested")</f>
        <v>25</v>
      </c>
      <c r="G56" s="10" t="n">
        <f aca="true">COUNTIF(INDIRECT("'"&amp;A56&amp;"'!H9:H200"),"verified")</f>
        <v>2</v>
      </c>
      <c r="H56" s="10" t="n">
        <f aca="true">COUNTIF(INDIRECT("'"&amp;A56&amp;"'!H9:H200"),"blocked")</f>
        <v>0</v>
      </c>
      <c r="I56" s="10" t="n">
        <f aca="true">COUNTIF(INDIRECT("'"&amp;A56&amp;"'!H9:H200"),"not applicable")</f>
        <v>0</v>
      </c>
      <c r="J56" s="11" t="n">
        <f aca="true">INDIRECT("'"&amp;A56&amp;"'!H4")</f>
        <v>0.964285714285714</v>
      </c>
      <c r="K56" s="10" t="str">
        <f aca="true">INDIRECT("'"&amp;A56&amp;"'!K4")</f>
        <v>open</v>
      </c>
      <c r="L56" s="10" t="str">
        <f aca="true">INDIRECT("'"&amp;A56&amp;"'!E5")</f>
        <v>complete</v>
      </c>
      <c r="M56" s="10" t="str">
        <f aca="false">IF(AND(J56=1,K56="complete",L56="complete"),"complete",IF(H56&gt;0,"blocked","open"))</f>
        <v>open</v>
      </c>
    </row>
    <row r="57" customFormat="false" ht="24" hidden="false" customHeight="true" outlineLevel="0" collapsed="false">
      <c r="A57" s="10" t="s">
        <v>66</v>
      </c>
      <c r="B57" s="10" t="n">
        <f aca="true">INDIRECT("'"&amp;A57&amp;"'!B4")</f>
        <v>19</v>
      </c>
      <c r="C57" s="10" t="n">
        <f aca="true">COUNTIF(INDIRECT("'"&amp;A57&amp;"'!H9:H200"),"not started")</f>
        <v>1</v>
      </c>
      <c r="D57" s="10" t="n">
        <f aca="true">COUNTIF(INDIRECT("'"&amp;A57&amp;"'!H9:H200"),"partial")</f>
        <v>0</v>
      </c>
      <c r="E57" s="10" t="n">
        <f aca="true">COUNTIF(INDIRECT("'"&amp;A57&amp;"'!H9:H200"),"implemented")</f>
        <v>0</v>
      </c>
      <c r="F57" s="10" t="n">
        <f aca="true">COUNTIF(INDIRECT("'"&amp;A57&amp;"'!H9:H200"),"tested")</f>
        <v>17</v>
      </c>
      <c r="G57" s="10" t="n">
        <f aca="true">COUNTIF(INDIRECT("'"&amp;A57&amp;"'!H9:H200"),"verified")</f>
        <v>1</v>
      </c>
      <c r="H57" s="10" t="n">
        <f aca="true">COUNTIF(INDIRECT("'"&amp;A57&amp;"'!H9:H200"),"blocked")</f>
        <v>0</v>
      </c>
      <c r="I57" s="10" t="n">
        <f aca="true">COUNTIF(INDIRECT("'"&amp;A57&amp;"'!H9:H200"),"not applicable")</f>
        <v>0</v>
      </c>
      <c r="J57" s="11" t="n">
        <f aca="true">INDIRECT("'"&amp;A57&amp;"'!H4")</f>
        <v>0.947368421052632</v>
      </c>
      <c r="K57" s="10" t="str">
        <f aca="true">INDIRECT("'"&amp;A57&amp;"'!K4")</f>
        <v>open</v>
      </c>
      <c r="L57" s="10" t="str">
        <f aca="true">INDIRECT("'"&amp;A57&amp;"'!E5")</f>
        <v>complete</v>
      </c>
      <c r="M57" s="10" t="str">
        <f aca="false">IF(AND(J57=1,K57="complete",L57="complete"),"complete",IF(H57&gt;0,"blocked","open"))</f>
        <v>open</v>
      </c>
    </row>
    <row r="58" customFormat="false" ht="24" hidden="false" customHeight="true" outlineLevel="0" collapsed="false">
      <c r="A58" s="10" t="s">
        <v>67</v>
      </c>
      <c r="B58" s="10" t="n">
        <f aca="true">INDIRECT("'"&amp;A58&amp;"'!B4")</f>
        <v>25</v>
      </c>
      <c r="C58" s="10" t="n">
        <f aca="true">COUNTIF(INDIRECT("'"&amp;A58&amp;"'!H9:H200"),"not started")</f>
        <v>1</v>
      </c>
      <c r="D58" s="10" t="n">
        <f aca="true">COUNTIF(INDIRECT("'"&amp;A58&amp;"'!H9:H200"),"partial")</f>
        <v>0</v>
      </c>
      <c r="E58" s="10" t="n">
        <f aca="true">COUNTIF(INDIRECT("'"&amp;A58&amp;"'!H9:H200"),"implemented")</f>
        <v>0</v>
      </c>
      <c r="F58" s="10" t="n">
        <f aca="true">COUNTIF(INDIRECT("'"&amp;A58&amp;"'!H9:H200"),"tested")</f>
        <v>19</v>
      </c>
      <c r="G58" s="10" t="n">
        <f aca="true">COUNTIF(INDIRECT("'"&amp;A58&amp;"'!H9:H200"),"verified")</f>
        <v>5</v>
      </c>
      <c r="H58" s="10" t="n">
        <f aca="true">COUNTIF(INDIRECT("'"&amp;A58&amp;"'!H9:H200"),"blocked")</f>
        <v>0</v>
      </c>
      <c r="I58" s="10" t="n">
        <f aca="true">COUNTIF(INDIRECT("'"&amp;A58&amp;"'!H9:H200"),"not applicable")</f>
        <v>0</v>
      </c>
      <c r="J58" s="11" t="n">
        <f aca="true">INDIRECT("'"&amp;A58&amp;"'!H4")</f>
        <v>0.96</v>
      </c>
      <c r="K58" s="10" t="str">
        <f aca="true">INDIRECT("'"&amp;A58&amp;"'!K4")</f>
        <v>open</v>
      </c>
      <c r="L58" s="10" t="str">
        <f aca="true">INDIRECT("'"&amp;A58&amp;"'!E5")</f>
        <v>complete</v>
      </c>
      <c r="M58" s="10" t="str">
        <f aca="false">IF(AND(J58=1,K58="complete",L58="complete"),"complete",IF(H58&gt;0,"blocked","open"))</f>
        <v>open</v>
      </c>
    </row>
    <row r="59" customFormat="false" ht="24" hidden="false" customHeight="true" outlineLevel="0" collapsed="false">
      <c r="A59" s="10" t="s">
        <v>68</v>
      </c>
      <c r="B59" s="10" t="n">
        <f aca="true">INDIRECT("'"&amp;A59&amp;"'!B4")</f>
        <v>26</v>
      </c>
      <c r="C59" s="10" t="n">
        <f aca="true">COUNTIF(INDIRECT("'"&amp;A59&amp;"'!H9:H200"),"not started")</f>
        <v>1</v>
      </c>
      <c r="D59" s="10" t="n">
        <f aca="true">COUNTIF(INDIRECT("'"&amp;A59&amp;"'!H9:H200"),"partial")</f>
        <v>0</v>
      </c>
      <c r="E59" s="10" t="n">
        <f aca="true">COUNTIF(INDIRECT("'"&amp;A59&amp;"'!H9:H200"),"implemented")</f>
        <v>0</v>
      </c>
      <c r="F59" s="10" t="n">
        <f aca="true">COUNTIF(INDIRECT("'"&amp;A59&amp;"'!H9:H200"),"tested")</f>
        <v>20</v>
      </c>
      <c r="G59" s="10" t="n">
        <f aca="true">COUNTIF(INDIRECT("'"&amp;A59&amp;"'!H9:H200"),"verified")</f>
        <v>5</v>
      </c>
      <c r="H59" s="10" t="n">
        <f aca="true">COUNTIF(INDIRECT("'"&amp;A59&amp;"'!H9:H200"),"blocked")</f>
        <v>0</v>
      </c>
      <c r="I59" s="10" t="n">
        <f aca="true">COUNTIF(INDIRECT("'"&amp;A59&amp;"'!H9:H200"),"not applicable")</f>
        <v>0</v>
      </c>
      <c r="J59" s="11" t="n">
        <f aca="true">INDIRECT("'"&amp;A59&amp;"'!H4")</f>
        <v>0.961538461538462</v>
      </c>
      <c r="K59" s="10" t="str">
        <f aca="true">INDIRECT("'"&amp;A59&amp;"'!K4")</f>
        <v>open</v>
      </c>
      <c r="L59" s="10" t="str">
        <f aca="true">INDIRECT("'"&amp;A59&amp;"'!E5")</f>
        <v>complete</v>
      </c>
      <c r="M59" s="10" t="str">
        <f aca="false">IF(AND(J59=1,K59="complete",L59="complete"),"complete",IF(H59&gt;0,"blocked","open"))</f>
        <v>open</v>
      </c>
    </row>
    <row r="60" customFormat="false" ht="24" hidden="false" customHeight="true" outlineLevel="0" collapsed="false">
      <c r="A60" s="10" t="s">
        <v>69</v>
      </c>
      <c r="B60" s="10" t="n">
        <f aca="true">INDIRECT("'"&amp;A60&amp;"'!B4")</f>
        <v>31</v>
      </c>
      <c r="C60" s="10" t="n">
        <f aca="true">COUNTIF(INDIRECT("'"&amp;A60&amp;"'!H9:H200"),"not started")</f>
        <v>1</v>
      </c>
      <c r="D60" s="10" t="n">
        <f aca="true">COUNTIF(INDIRECT("'"&amp;A60&amp;"'!H9:H200"),"partial")</f>
        <v>0</v>
      </c>
      <c r="E60" s="10" t="n">
        <f aca="true">COUNTIF(INDIRECT("'"&amp;A60&amp;"'!H9:H200"),"implemented")</f>
        <v>0</v>
      </c>
      <c r="F60" s="10" t="n">
        <f aca="true">COUNTIF(INDIRECT("'"&amp;A60&amp;"'!H9:H200"),"tested")</f>
        <v>23</v>
      </c>
      <c r="G60" s="10" t="n">
        <f aca="true">COUNTIF(INDIRECT("'"&amp;A60&amp;"'!H9:H200"),"verified")</f>
        <v>7</v>
      </c>
      <c r="H60" s="10" t="n">
        <f aca="true">COUNTIF(INDIRECT("'"&amp;A60&amp;"'!H9:H200"),"blocked")</f>
        <v>0</v>
      </c>
      <c r="I60" s="10" t="n">
        <f aca="true">COUNTIF(INDIRECT("'"&amp;A60&amp;"'!H9:H200"),"not applicable")</f>
        <v>0</v>
      </c>
      <c r="J60" s="11" t="n">
        <f aca="true">INDIRECT("'"&amp;A60&amp;"'!H4")</f>
        <v>0.967741935483871</v>
      </c>
      <c r="K60" s="10" t="str">
        <f aca="true">INDIRECT("'"&amp;A60&amp;"'!K4")</f>
        <v>open</v>
      </c>
      <c r="L60" s="10" t="str">
        <f aca="true">INDIRECT("'"&amp;A60&amp;"'!E5")</f>
        <v>complete</v>
      </c>
      <c r="M60" s="10" t="str">
        <f aca="false">IF(AND(J60=1,K60="complete",L60="complete"),"complete",IF(H60&gt;0,"blocked","open"))</f>
        <v>open</v>
      </c>
    </row>
    <row r="61" customFormat="false" ht="24" hidden="false" customHeight="true" outlineLevel="0" collapsed="false">
      <c r="A61" s="10" t="s">
        <v>70</v>
      </c>
      <c r="B61" s="10" t="n">
        <f aca="true">INDIRECT("'"&amp;A61&amp;"'!B4")</f>
        <v>25</v>
      </c>
      <c r="C61" s="10" t="n">
        <f aca="true">COUNTIF(INDIRECT("'"&amp;A61&amp;"'!H9:H200"),"not started")</f>
        <v>1</v>
      </c>
      <c r="D61" s="10" t="n">
        <f aca="true">COUNTIF(INDIRECT("'"&amp;A61&amp;"'!H9:H200"),"partial")</f>
        <v>0</v>
      </c>
      <c r="E61" s="10" t="n">
        <f aca="true">COUNTIF(INDIRECT("'"&amp;A61&amp;"'!H9:H200"),"implemented")</f>
        <v>3</v>
      </c>
      <c r="F61" s="10" t="n">
        <f aca="true">COUNTIF(INDIRECT("'"&amp;A61&amp;"'!H9:H200"),"tested")</f>
        <v>21</v>
      </c>
      <c r="G61" s="10" t="n">
        <f aca="true">COUNTIF(INDIRECT("'"&amp;A61&amp;"'!H9:H200"),"verified")</f>
        <v>0</v>
      </c>
      <c r="H61" s="10" t="n">
        <f aca="true">COUNTIF(INDIRECT("'"&amp;A61&amp;"'!H9:H200"),"blocked")</f>
        <v>0</v>
      </c>
      <c r="I61" s="10" t="n">
        <f aca="true">COUNTIF(INDIRECT("'"&amp;A61&amp;"'!H9:H200"),"not applicable")</f>
        <v>0</v>
      </c>
      <c r="J61" s="11" t="n">
        <f aca="true">INDIRECT("'"&amp;A61&amp;"'!H4")</f>
        <v>0.84</v>
      </c>
      <c r="K61" s="10" t="str">
        <f aca="true">INDIRECT("'"&amp;A61&amp;"'!K4")</f>
        <v>open</v>
      </c>
      <c r="L61" s="10" t="str">
        <f aca="true">INDIRECT("'"&amp;A61&amp;"'!E5")</f>
        <v>complete</v>
      </c>
      <c r="M61" s="10" t="str">
        <f aca="false">IF(AND(J61=1,K61="complete",L61="complete"),"complete",IF(H61&gt;0,"blocked","open"))</f>
        <v>open</v>
      </c>
    </row>
    <row r="62" customFormat="false" ht="24" hidden="false" customHeight="true" outlineLevel="0" collapsed="false">
      <c r="A62" s="10" t="s">
        <v>71</v>
      </c>
      <c r="B62" s="10" t="n">
        <f aca="true">INDIRECT("'"&amp;A62&amp;"'!B4")</f>
        <v>26</v>
      </c>
      <c r="C62" s="10" t="n">
        <f aca="true">COUNTIF(INDIRECT("'"&amp;A62&amp;"'!H9:H200"),"not started")</f>
        <v>1</v>
      </c>
      <c r="D62" s="10" t="n">
        <f aca="true">COUNTIF(INDIRECT("'"&amp;A62&amp;"'!H9:H200"),"partial")</f>
        <v>0</v>
      </c>
      <c r="E62" s="10" t="n">
        <f aca="true">COUNTIF(INDIRECT("'"&amp;A62&amp;"'!H9:H200"),"implemented")</f>
        <v>3</v>
      </c>
      <c r="F62" s="10" t="n">
        <f aca="true">COUNTIF(INDIRECT("'"&amp;A62&amp;"'!H9:H200"),"tested")</f>
        <v>22</v>
      </c>
      <c r="G62" s="10" t="n">
        <f aca="true">COUNTIF(INDIRECT("'"&amp;A62&amp;"'!H9:H200"),"verified")</f>
        <v>0</v>
      </c>
      <c r="H62" s="10" t="n">
        <f aca="true">COUNTIF(INDIRECT("'"&amp;A62&amp;"'!H9:H200"),"blocked")</f>
        <v>0</v>
      </c>
      <c r="I62" s="10" t="n">
        <f aca="true">COUNTIF(INDIRECT("'"&amp;A62&amp;"'!H9:H200"),"not applicable")</f>
        <v>0</v>
      </c>
      <c r="J62" s="11" t="n">
        <f aca="true">INDIRECT("'"&amp;A62&amp;"'!H4")</f>
        <v>0.846153846153846</v>
      </c>
      <c r="K62" s="10" t="str">
        <f aca="true">INDIRECT("'"&amp;A62&amp;"'!K4")</f>
        <v>open</v>
      </c>
      <c r="L62" s="10" t="str">
        <f aca="true">INDIRECT("'"&amp;A62&amp;"'!E5")</f>
        <v>complete</v>
      </c>
      <c r="M62" s="10" t="str">
        <f aca="false">IF(AND(J62=1,K62="complete",L62="complete"),"complete",IF(H62&gt;0,"blocked","open"))</f>
        <v>open</v>
      </c>
    </row>
    <row r="63" customFormat="false" ht="24" hidden="false" customHeight="true" outlineLevel="0" collapsed="false">
      <c r="A63" s="10" t="s">
        <v>72</v>
      </c>
      <c r="B63" s="10" t="n">
        <f aca="true">INDIRECT("'"&amp;A63&amp;"'!B4")</f>
        <v>28</v>
      </c>
      <c r="C63" s="10" t="n">
        <f aca="true">COUNTIF(INDIRECT("'"&amp;A63&amp;"'!H9:H200"),"not started")</f>
        <v>1</v>
      </c>
      <c r="D63" s="10" t="n">
        <f aca="true">COUNTIF(INDIRECT("'"&amp;A63&amp;"'!H9:H200"),"partial")</f>
        <v>0</v>
      </c>
      <c r="E63" s="10" t="n">
        <f aca="true">COUNTIF(INDIRECT("'"&amp;A63&amp;"'!H9:H200"),"implemented")</f>
        <v>3</v>
      </c>
      <c r="F63" s="10" t="n">
        <f aca="true">COUNTIF(INDIRECT("'"&amp;A63&amp;"'!H9:H200"),"tested")</f>
        <v>24</v>
      </c>
      <c r="G63" s="10" t="n">
        <f aca="true">COUNTIF(INDIRECT("'"&amp;A63&amp;"'!H9:H200"),"verified")</f>
        <v>0</v>
      </c>
      <c r="H63" s="10" t="n">
        <f aca="true">COUNTIF(INDIRECT("'"&amp;A63&amp;"'!H9:H200"),"blocked")</f>
        <v>0</v>
      </c>
      <c r="I63" s="10" t="n">
        <f aca="true">COUNTIF(INDIRECT("'"&amp;A63&amp;"'!H9:H200"),"not applicable")</f>
        <v>0</v>
      </c>
      <c r="J63" s="11" t="n">
        <f aca="true">INDIRECT("'"&amp;A63&amp;"'!H4")</f>
        <v>0.857142857142857</v>
      </c>
      <c r="K63" s="10" t="str">
        <f aca="true">INDIRECT("'"&amp;A63&amp;"'!K4")</f>
        <v>open</v>
      </c>
      <c r="L63" s="10" t="str">
        <f aca="true">INDIRECT("'"&amp;A63&amp;"'!E5")</f>
        <v>complete</v>
      </c>
      <c r="M63" s="10" t="str">
        <f aca="false">IF(AND(J63=1,K63="complete",L63="complete"),"complete",IF(H63&gt;0,"blocked","open"))</f>
        <v>open</v>
      </c>
    </row>
    <row r="64" customFormat="false" ht="24" hidden="false" customHeight="true" outlineLevel="0" collapsed="false">
      <c r="A64" s="10" t="s">
        <v>73</v>
      </c>
      <c r="B64" s="10" t="n">
        <f aca="true">INDIRECT("'"&amp;A64&amp;"'!B4")</f>
        <v>26</v>
      </c>
      <c r="C64" s="10" t="n">
        <f aca="true">COUNTIF(INDIRECT("'"&amp;A64&amp;"'!H9:H200"),"not started")</f>
        <v>1</v>
      </c>
      <c r="D64" s="10" t="n">
        <f aca="true">COUNTIF(INDIRECT("'"&amp;A64&amp;"'!H9:H200"),"partial")</f>
        <v>0</v>
      </c>
      <c r="E64" s="10" t="n">
        <f aca="true">COUNTIF(INDIRECT("'"&amp;A64&amp;"'!H9:H200"),"implemented")</f>
        <v>3</v>
      </c>
      <c r="F64" s="10" t="n">
        <f aca="true">COUNTIF(INDIRECT("'"&amp;A64&amp;"'!H9:H200"),"tested")</f>
        <v>22</v>
      </c>
      <c r="G64" s="10" t="n">
        <f aca="true">COUNTIF(INDIRECT("'"&amp;A64&amp;"'!H9:H200"),"verified")</f>
        <v>0</v>
      </c>
      <c r="H64" s="10" t="n">
        <f aca="true">COUNTIF(INDIRECT("'"&amp;A64&amp;"'!H9:H200"),"blocked")</f>
        <v>0</v>
      </c>
      <c r="I64" s="10" t="n">
        <f aca="true">COUNTIF(INDIRECT("'"&amp;A64&amp;"'!H9:H200"),"not applicable")</f>
        <v>0</v>
      </c>
      <c r="J64" s="11" t="n">
        <f aca="true">INDIRECT("'"&amp;A64&amp;"'!H4")</f>
        <v>0.846153846153846</v>
      </c>
      <c r="K64" s="10" t="str">
        <f aca="true">INDIRECT("'"&amp;A64&amp;"'!K4")</f>
        <v>open</v>
      </c>
      <c r="L64" s="10" t="str">
        <f aca="true">INDIRECT("'"&amp;A64&amp;"'!E5")</f>
        <v>complete</v>
      </c>
      <c r="M64" s="10" t="str">
        <f aca="false">IF(AND(J64=1,K64="complete",L64="complete"),"complete",IF(H64&gt;0,"blocked","open"))</f>
        <v>open</v>
      </c>
    </row>
    <row r="65" customFormat="false" ht="24" hidden="false" customHeight="true" outlineLevel="0" collapsed="false">
      <c r="A65" s="10" t="s">
        <v>74</v>
      </c>
      <c r="B65" s="10" t="n">
        <f aca="true">INDIRECT("'"&amp;A65&amp;"'!B4")</f>
        <v>31</v>
      </c>
      <c r="C65" s="10" t="n">
        <f aca="true">COUNTIF(INDIRECT("'"&amp;A65&amp;"'!H9:H200"),"not started")</f>
        <v>1</v>
      </c>
      <c r="D65" s="10" t="n">
        <f aca="true">COUNTIF(INDIRECT("'"&amp;A65&amp;"'!H9:H200"),"partial")</f>
        <v>0</v>
      </c>
      <c r="E65" s="10" t="n">
        <f aca="true">COUNTIF(INDIRECT("'"&amp;A65&amp;"'!H9:H200"),"implemented")</f>
        <v>0</v>
      </c>
      <c r="F65" s="10" t="n">
        <f aca="true">COUNTIF(INDIRECT("'"&amp;A65&amp;"'!H9:H200"),"tested")</f>
        <v>29</v>
      </c>
      <c r="G65" s="10" t="n">
        <f aca="true">COUNTIF(INDIRECT("'"&amp;A65&amp;"'!H9:H200"),"verified")</f>
        <v>1</v>
      </c>
      <c r="H65" s="10" t="n">
        <f aca="true">COUNTIF(INDIRECT("'"&amp;A65&amp;"'!H9:H200"),"blocked")</f>
        <v>0</v>
      </c>
      <c r="I65" s="10" t="n">
        <f aca="true">COUNTIF(INDIRECT("'"&amp;A65&amp;"'!H9:H200"),"not applicable")</f>
        <v>0</v>
      </c>
      <c r="J65" s="11" t="n">
        <f aca="true">INDIRECT("'"&amp;A65&amp;"'!H4")</f>
        <v>0.967741935483871</v>
      </c>
      <c r="K65" s="10" t="str">
        <f aca="true">INDIRECT("'"&amp;A65&amp;"'!K4")</f>
        <v>complete</v>
      </c>
      <c r="L65" s="10" t="str">
        <f aca="true">INDIRECT("'"&amp;A65&amp;"'!E5")</f>
        <v>complete</v>
      </c>
      <c r="M65" s="10" t="str">
        <f aca="false">IF(AND(J65=1,K65="complete",L65="complete"),"complete",IF(H65&gt;0,"blocked","open"))</f>
        <v>open</v>
      </c>
    </row>
    <row r="66" customFormat="false" ht="24" hidden="false" customHeight="true" outlineLevel="0" collapsed="false">
      <c r="A66" s="10" t="s">
        <v>75</v>
      </c>
      <c r="B66" s="10" t="n">
        <f aca="true">INDIRECT("'"&amp;A66&amp;"'!B4")</f>
        <v>26</v>
      </c>
      <c r="C66" s="10" t="n">
        <f aca="true">COUNTIF(INDIRECT("'"&amp;A66&amp;"'!H9:H200"),"not started")</f>
        <v>1</v>
      </c>
      <c r="D66" s="10" t="n">
        <f aca="true">COUNTIF(INDIRECT("'"&amp;A66&amp;"'!H9:H200"),"partial")</f>
        <v>0</v>
      </c>
      <c r="E66" s="10" t="n">
        <f aca="true">COUNTIF(INDIRECT("'"&amp;A66&amp;"'!H9:H200"),"implemented")</f>
        <v>4</v>
      </c>
      <c r="F66" s="10" t="n">
        <f aca="true">COUNTIF(INDIRECT("'"&amp;A66&amp;"'!H9:H200"),"tested")</f>
        <v>21</v>
      </c>
      <c r="G66" s="10" t="n">
        <f aca="true">COUNTIF(INDIRECT("'"&amp;A66&amp;"'!H9:H200"),"verified")</f>
        <v>0</v>
      </c>
      <c r="H66" s="10" t="n">
        <f aca="true">COUNTIF(INDIRECT("'"&amp;A66&amp;"'!H9:H200"),"blocked")</f>
        <v>0</v>
      </c>
      <c r="I66" s="10" t="n">
        <f aca="true">COUNTIF(INDIRECT("'"&amp;A66&amp;"'!H9:H200"),"not applicable")</f>
        <v>0</v>
      </c>
      <c r="J66" s="11" t="n">
        <f aca="true">INDIRECT("'"&amp;A66&amp;"'!H4")</f>
        <v>0.807692307692308</v>
      </c>
      <c r="K66" s="10" t="str">
        <f aca="true">INDIRECT("'"&amp;A66&amp;"'!K4")</f>
        <v>open</v>
      </c>
      <c r="L66" s="10" t="str">
        <f aca="true">INDIRECT("'"&amp;A66&amp;"'!E5")</f>
        <v>complete</v>
      </c>
      <c r="M66" s="10" t="str">
        <f aca="false">IF(AND(J66=1,K66="complete",L66="complete"),"complete",IF(H66&gt;0,"blocked","open"))</f>
        <v>open</v>
      </c>
    </row>
    <row r="67" customFormat="false" ht="24" hidden="false" customHeight="true" outlineLevel="0" collapsed="false">
      <c r="A67" s="10" t="s">
        <v>76</v>
      </c>
      <c r="B67" s="10" t="n">
        <f aca="true">INDIRECT("'"&amp;A67&amp;"'!B4")</f>
        <v>30</v>
      </c>
      <c r="C67" s="10" t="n">
        <f aca="true">COUNTIF(INDIRECT("'"&amp;A67&amp;"'!H9:H200"),"not started")</f>
        <v>1</v>
      </c>
      <c r="D67" s="10" t="n">
        <f aca="true">COUNTIF(INDIRECT("'"&amp;A67&amp;"'!H9:H200"),"partial")</f>
        <v>0</v>
      </c>
      <c r="E67" s="10" t="n">
        <f aca="true">COUNTIF(INDIRECT("'"&amp;A67&amp;"'!H9:H200"),"implemented")</f>
        <v>6</v>
      </c>
      <c r="F67" s="10" t="n">
        <f aca="true">COUNTIF(INDIRECT("'"&amp;A67&amp;"'!H9:H200"),"tested")</f>
        <v>23</v>
      </c>
      <c r="G67" s="10" t="n">
        <f aca="true">COUNTIF(INDIRECT("'"&amp;A67&amp;"'!H9:H200"),"verified")</f>
        <v>0</v>
      </c>
      <c r="H67" s="10" t="n">
        <f aca="true">COUNTIF(INDIRECT("'"&amp;A67&amp;"'!H9:H200"),"blocked")</f>
        <v>0</v>
      </c>
      <c r="I67" s="10" t="n">
        <f aca="true">COUNTIF(INDIRECT("'"&amp;A67&amp;"'!H9:H200"),"not applicable")</f>
        <v>0</v>
      </c>
      <c r="J67" s="11" t="n">
        <f aca="true">INDIRECT("'"&amp;A67&amp;"'!H4")</f>
        <v>0.766666666666667</v>
      </c>
      <c r="K67" s="10" t="str">
        <f aca="true">INDIRECT("'"&amp;A67&amp;"'!K4")</f>
        <v>open</v>
      </c>
      <c r="L67" s="10" t="str">
        <f aca="true">INDIRECT("'"&amp;A67&amp;"'!E5")</f>
        <v>complete</v>
      </c>
      <c r="M67" s="10" t="str">
        <f aca="false">IF(AND(J67=1,K67="complete",L67="complete"),"complete",IF(H67&gt;0,"blocked","open"))</f>
        <v>open</v>
      </c>
    </row>
    <row r="68" customFormat="false" ht="24" hidden="false" customHeight="true" outlineLevel="0" collapsed="false">
      <c r="A68" s="10" t="s">
        <v>77</v>
      </c>
      <c r="B68" s="10" t="n">
        <f aca="true">INDIRECT("'"&amp;A68&amp;"'!B4")</f>
        <v>31</v>
      </c>
      <c r="C68" s="10" t="n">
        <f aca="true">COUNTIF(INDIRECT("'"&amp;A68&amp;"'!H9:H200"),"not started")</f>
        <v>1</v>
      </c>
      <c r="D68" s="10" t="n">
        <f aca="true">COUNTIF(INDIRECT("'"&amp;A68&amp;"'!H9:H200"),"partial")</f>
        <v>0</v>
      </c>
      <c r="E68" s="10" t="n">
        <f aca="true">COUNTIF(INDIRECT("'"&amp;A68&amp;"'!H9:H200"),"implemented")</f>
        <v>10</v>
      </c>
      <c r="F68" s="10" t="n">
        <f aca="true">COUNTIF(INDIRECT("'"&amp;A68&amp;"'!H9:H200"),"tested")</f>
        <v>20</v>
      </c>
      <c r="G68" s="10" t="n">
        <f aca="true">COUNTIF(INDIRECT("'"&amp;A68&amp;"'!H9:H200"),"verified")</f>
        <v>0</v>
      </c>
      <c r="H68" s="10" t="n">
        <f aca="true">COUNTIF(INDIRECT("'"&amp;A68&amp;"'!H9:H200"),"blocked")</f>
        <v>0</v>
      </c>
      <c r="I68" s="10" t="n">
        <f aca="true">COUNTIF(INDIRECT("'"&amp;A68&amp;"'!H9:H200"),"not applicable")</f>
        <v>0</v>
      </c>
      <c r="J68" s="11" t="n">
        <f aca="true">INDIRECT("'"&amp;A68&amp;"'!H4")</f>
        <v>0.645161290322581</v>
      </c>
      <c r="K68" s="10" t="str">
        <f aca="true">INDIRECT("'"&amp;A68&amp;"'!K4")</f>
        <v>open</v>
      </c>
      <c r="L68" s="10" t="str">
        <f aca="true">INDIRECT("'"&amp;A68&amp;"'!E5")</f>
        <v>complete</v>
      </c>
      <c r="M68" s="10" t="str">
        <f aca="false">IF(AND(J68=1,K68="complete",L68="complete"),"complete",IF(H68&gt;0,"blocked","open"))</f>
        <v>open</v>
      </c>
    </row>
    <row r="69" customFormat="false" ht="24" hidden="false" customHeight="true" outlineLevel="0" collapsed="false">
      <c r="A69" s="10" t="s">
        <v>78</v>
      </c>
      <c r="B69" s="10" t="n">
        <f aca="true">INDIRECT("'"&amp;A69&amp;"'!B4")</f>
        <v>22</v>
      </c>
      <c r="C69" s="10" t="n">
        <f aca="true">COUNTIF(INDIRECT("'"&amp;A69&amp;"'!H9:H200"),"not started")</f>
        <v>0</v>
      </c>
      <c r="D69" s="10" t="n">
        <f aca="true">COUNTIF(INDIRECT("'"&amp;A69&amp;"'!H9:H200"),"partial")</f>
        <v>0</v>
      </c>
      <c r="E69" s="10" t="n">
        <f aca="true">COUNTIF(INDIRECT("'"&amp;A69&amp;"'!H9:H200"),"implemented")</f>
        <v>8</v>
      </c>
      <c r="F69" s="10" t="n">
        <f aca="true">COUNTIF(INDIRECT("'"&amp;A69&amp;"'!H9:H200"),"tested")</f>
        <v>14</v>
      </c>
      <c r="G69" s="10" t="n">
        <f aca="true">COUNTIF(INDIRECT("'"&amp;A69&amp;"'!H9:H200"),"verified")</f>
        <v>0</v>
      </c>
      <c r="H69" s="10" t="n">
        <f aca="true">COUNTIF(INDIRECT("'"&amp;A69&amp;"'!H9:H200"),"blocked")</f>
        <v>0</v>
      </c>
      <c r="I69" s="10" t="n">
        <f aca="true">COUNTIF(INDIRECT("'"&amp;A69&amp;"'!H9:H200"),"not applicable")</f>
        <v>0</v>
      </c>
      <c r="J69" s="11" t="n">
        <f aca="true">INDIRECT("'"&amp;A69&amp;"'!H4")</f>
        <v>0.636363636363636</v>
      </c>
      <c r="K69" s="10" t="str">
        <f aca="true">INDIRECT("'"&amp;A69&amp;"'!K4")</f>
        <v>complete</v>
      </c>
      <c r="L69" s="10" t="str">
        <f aca="true">INDIRECT("'"&amp;A69&amp;"'!E5")</f>
        <v>complete</v>
      </c>
      <c r="M69" s="10" t="str">
        <f aca="false">IF(AND(J69=1,K69="complete",L69="complete"),"complete",IF(H69&gt;0,"blocked","open"))</f>
        <v>open</v>
      </c>
    </row>
    <row r="70" customFormat="false" ht="24" hidden="false" customHeight="true" outlineLevel="0" collapsed="false">
      <c r="A70" s="10" t="s">
        <v>79</v>
      </c>
      <c r="B70" s="10" t="n">
        <f aca="true">INDIRECT("'"&amp;A70&amp;"'!B4")</f>
        <v>19</v>
      </c>
      <c r="C70" s="10" t="n">
        <f aca="true">COUNTIF(INDIRECT("'"&amp;A70&amp;"'!H9:H200"),"not started")</f>
        <v>0</v>
      </c>
      <c r="D70" s="10" t="n">
        <f aca="true">COUNTIF(INDIRECT("'"&amp;A70&amp;"'!H9:H200"),"partial")</f>
        <v>0</v>
      </c>
      <c r="E70" s="10" t="n">
        <f aca="true">COUNTIF(INDIRECT("'"&amp;A70&amp;"'!H9:H200"),"implemented")</f>
        <v>2</v>
      </c>
      <c r="F70" s="10" t="n">
        <f aca="true">COUNTIF(INDIRECT("'"&amp;A70&amp;"'!H9:H200"),"tested")</f>
        <v>12</v>
      </c>
      <c r="G70" s="10" t="n">
        <f aca="true">COUNTIF(INDIRECT("'"&amp;A70&amp;"'!H9:H200"),"verified")</f>
        <v>5</v>
      </c>
      <c r="H70" s="10" t="n">
        <f aca="true">COUNTIF(INDIRECT("'"&amp;A70&amp;"'!H9:H200"),"blocked")</f>
        <v>0</v>
      </c>
      <c r="I70" s="10" t="n">
        <f aca="true">COUNTIF(INDIRECT("'"&amp;A70&amp;"'!H9:H200"),"not applicable")</f>
        <v>0</v>
      </c>
      <c r="J70" s="11" t="n">
        <f aca="true">INDIRECT("'"&amp;A70&amp;"'!H4")</f>
        <v>0.894736842105263</v>
      </c>
      <c r="K70" s="10" t="str">
        <f aca="true">INDIRECT("'"&amp;A70&amp;"'!K4")</f>
        <v>complete</v>
      </c>
      <c r="L70" s="10" t="str">
        <f aca="true">INDIRECT("'"&amp;A70&amp;"'!E5")</f>
        <v>complete</v>
      </c>
      <c r="M70" s="10" t="str">
        <f aca="false">IF(AND(J70=1,K70="complete",L70="complete"),"complete",IF(H70&gt;0,"blocked","open"))</f>
        <v>open</v>
      </c>
    </row>
    <row r="71" customFormat="false" ht="24" hidden="false" customHeight="true" outlineLevel="0" collapsed="false">
      <c r="A71" s="10" t="s">
        <v>80</v>
      </c>
      <c r="B71" s="10" t="n">
        <f aca="true">INDIRECT("'"&amp;A71&amp;"'!B4")</f>
        <v>20</v>
      </c>
      <c r="C71" s="10" t="n">
        <f aca="true">COUNTIF(INDIRECT("'"&amp;A71&amp;"'!H9:H200"),"not started")</f>
        <v>0</v>
      </c>
      <c r="D71" s="10" t="n">
        <f aca="true">COUNTIF(INDIRECT("'"&amp;A71&amp;"'!H9:H200"),"partial")</f>
        <v>0</v>
      </c>
      <c r="E71" s="10" t="n">
        <f aca="true">COUNTIF(INDIRECT("'"&amp;A71&amp;"'!H9:H200"),"implemented")</f>
        <v>2</v>
      </c>
      <c r="F71" s="10" t="n">
        <f aca="true">COUNTIF(INDIRECT("'"&amp;A71&amp;"'!H9:H200"),"tested")</f>
        <v>13</v>
      </c>
      <c r="G71" s="10" t="n">
        <f aca="true">COUNTIF(INDIRECT("'"&amp;A71&amp;"'!H9:H200"),"verified")</f>
        <v>5</v>
      </c>
      <c r="H71" s="10" t="n">
        <f aca="true">COUNTIF(INDIRECT("'"&amp;A71&amp;"'!H9:H200"),"blocked")</f>
        <v>0</v>
      </c>
      <c r="I71" s="10" t="n">
        <f aca="true">COUNTIF(INDIRECT("'"&amp;A71&amp;"'!H9:H200"),"not applicable")</f>
        <v>0</v>
      </c>
      <c r="J71" s="11" t="n">
        <f aca="true">INDIRECT("'"&amp;A71&amp;"'!H4")</f>
        <v>0.9</v>
      </c>
      <c r="K71" s="10" t="str">
        <f aca="true">INDIRECT("'"&amp;A71&amp;"'!K4")</f>
        <v>complete</v>
      </c>
      <c r="L71" s="10" t="str">
        <f aca="true">INDIRECT("'"&amp;A71&amp;"'!E5")</f>
        <v>complete</v>
      </c>
      <c r="M71" s="10" t="str">
        <f aca="false">IF(AND(J71=1,K71="complete",L71="complete"),"complete",IF(H71&gt;0,"blocked","open"))</f>
        <v>open</v>
      </c>
    </row>
    <row r="72" customFormat="false" ht="24" hidden="false" customHeight="true" outlineLevel="0" collapsed="false">
      <c r="A72" s="10" t="s">
        <v>81</v>
      </c>
      <c r="B72" s="10" t="n">
        <f aca="true">INDIRECT("'"&amp;A72&amp;"'!B4")</f>
        <v>20</v>
      </c>
      <c r="C72" s="10" t="n">
        <f aca="true">COUNTIF(INDIRECT("'"&amp;A72&amp;"'!H9:H200"),"not started")</f>
        <v>0</v>
      </c>
      <c r="D72" s="10" t="n">
        <f aca="true">COUNTIF(INDIRECT("'"&amp;A72&amp;"'!H9:H200"),"partial")</f>
        <v>0</v>
      </c>
      <c r="E72" s="10" t="n">
        <f aca="true">COUNTIF(INDIRECT("'"&amp;A72&amp;"'!H9:H200"),"implemented")</f>
        <v>2</v>
      </c>
      <c r="F72" s="10" t="n">
        <f aca="true">COUNTIF(INDIRECT("'"&amp;A72&amp;"'!H9:H200"),"tested")</f>
        <v>13</v>
      </c>
      <c r="G72" s="10" t="n">
        <f aca="true">COUNTIF(INDIRECT("'"&amp;A72&amp;"'!H9:H200"),"verified")</f>
        <v>5</v>
      </c>
      <c r="H72" s="10" t="n">
        <f aca="true">COUNTIF(INDIRECT("'"&amp;A72&amp;"'!H9:H200"),"blocked")</f>
        <v>0</v>
      </c>
      <c r="I72" s="10" t="n">
        <f aca="true">COUNTIF(INDIRECT("'"&amp;A72&amp;"'!H9:H200"),"not applicable")</f>
        <v>0</v>
      </c>
      <c r="J72" s="11" t="n">
        <f aca="true">INDIRECT("'"&amp;A72&amp;"'!H4")</f>
        <v>0.9</v>
      </c>
      <c r="K72" s="10" t="str">
        <f aca="true">INDIRECT("'"&amp;A72&amp;"'!K4")</f>
        <v>complete</v>
      </c>
      <c r="L72" s="10" t="str">
        <f aca="true">INDIRECT("'"&amp;A72&amp;"'!E5")</f>
        <v>complete</v>
      </c>
      <c r="M72" s="10" t="str">
        <f aca="false">IF(AND(J72=1,K72="complete",L72="complete"),"complete",IF(H72&gt;0,"blocked","open"))</f>
        <v>open</v>
      </c>
    </row>
    <row r="73" customFormat="false" ht="24" hidden="false" customHeight="true" outlineLevel="0" collapsed="false">
      <c r="A73" s="10" t="s">
        <v>82</v>
      </c>
      <c r="B73" s="10" t="n">
        <f aca="true">INDIRECT("'"&amp;A73&amp;"'!B4")</f>
        <v>16</v>
      </c>
      <c r="C73" s="10" t="n">
        <f aca="true">COUNTIF(INDIRECT("'"&amp;A73&amp;"'!H9:H200"),"not started")</f>
        <v>0</v>
      </c>
      <c r="D73" s="10" t="n">
        <f aca="true">COUNTIF(INDIRECT("'"&amp;A73&amp;"'!H9:H200"),"partial")</f>
        <v>0</v>
      </c>
      <c r="E73" s="10" t="n">
        <f aca="true">COUNTIF(INDIRECT("'"&amp;A73&amp;"'!H9:H200"),"implemented")</f>
        <v>1</v>
      </c>
      <c r="F73" s="10" t="n">
        <f aca="true">COUNTIF(INDIRECT("'"&amp;A73&amp;"'!H9:H200"),"tested")</f>
        <v>13</v>
      </c>
      <c r="G73" s="10" t="n">
        <f aca="true">COUNTIF(INDIRECT("'"&amp;A73&amp;"'!H9:H200"),"verified")</f>
        <v>2</v>
      </c>
      <c r="H73" s="10" t="n">
        <f aca="true">COUNTIF(INDIRECT("'"&amp;A73&amp;"'!H9:H200"),"blocked")</f>
        <v>0</v>
      </c>
      <c r="I73" s="10" t="n">
        <f aca="true">COUNTIF(INDIRECT("'"&amp;A73&amp;"'!H9:H200"),"not applicable")</f>
        <v>0</v>
      </c>
      <c r="J73" s="11" t="n">
        <f aca="true">INDIRECT("'"&amp;A73&amp;"'!H4")</f>
        <v>0.9375</v>
      </c>
      <c r="K73" s="10" t="str">
        <f aca="true">INDIRECT("'"&amp;A73&amp;"'!K4")</f>
        <v>complete</v>
      </c>
      <c r="L73" s="10" t="str">
        <f aca="true">INDIRECT("'"&amp;A73&amp;"'!E5")</f>
        <v>complete</v>
      </c>
      <c r="M73" s="10" t="str">
        <f aca="false">IF(AND(J73=1,K73="complete",L73="complete"),"complete",IF(H73&gt;0,"blocked","open"))</f>
        <v>open</v>
      </c>
    </row>
    <row r="74" customFormat="false" ht="24" hidden="false" customHeight="true" outlineLevel="0" collapsed="false">
      <c r="A74" s="10" t="s">
        <v>83</v>
      </c>
      <c r="B74" s="10" t="n">
        <f aca="true">INDIRECT("'"&amp;A74&amp;"'!B4")</f>
        <v>17</v>
      </c>
      <c r="C74" s="10" t="n">
        <f aca="true">COUNTIF(INDIRECT("'"&amp;A74&amp;"'!H9:H200"),"not started")</f>
        <v>0</v>
      </c>
      <c r="D74" s="10" t="n">
        <f aca="true">COUNTIF(INDIRECT("'"&amp;A74&amp;"'!H9:H200"),"partial")</f>
        <v>0</v>
      </c>
      <c r="E74" s="10" t="n">
        <f aca="true">COUNTIF(INDIRECT("'"&amp;A74&amp;"'!H9:H200"),"implemented")</f>
        <v>1</v>
      </c>
      <c r="F74" s="10" t="n">
        <f aca="true">COUNTIF(INDIRECT("'"&amp;A74&amp;"'!H9:H200"),"tested")</f>
        <v>14</v>
      </c>
      <c r="G74" s="10" t="n">
        <f aca="true">COUNTIF(INDIRECT("'"&amp;A74&amp;"'!H9:H200"),"verified")</f>
        <v>2</v>
      </c>
      <c r="H74" s="10" t="n">
        <f aca="true">COUNTIF(INDIRECT("'"&amp;A74&amp;"'!H9:H200"),"blocked")</f>
        <v>0</v>
      </c>
      <c r="I74" s="10" t="n">
        <f aca="true">COUNTIF(INDIRECT("'"&amp;A74&amp;"'!H9:H200"),"not applicable")</f>
        <v>0</v>
      </c>
      <c r="J74" s="11" t="n">
        <f aca="true">INDIRECT("'"&amp;A74&amp;"'!H4")</f>
        <v>0.941176470588235</v>
      </c>
      <c r="K74" s="10" t="str">
        <f aca="true">INDIRECT("'"&amp;A74&amp;"'!K4")</f>
        <v>complete</v>
      </c>
      <c r="L74" s="10" t="str">
        <f aca="true">INDIRECT("'"&amp;A74&amp;"'!E5")</f>
        <v>complete</v>
      </c>
      <c r="M74" s="10" t="str">
        <f aca="false">IF(AND(J74=1,K74="complete",L74="complete"),"complete",IF(H74&gt;0,"blocked","open"))</f>
        <v>open</v>
      </c>
    </row>
    <row r="75" customFormat="false" ht="24" hidden="false" customHeight="true" outlineLevel="0" collapsed="false">
      <c r="A75" s="10" t="s">
        <v>84</v>
      </c>
      <c r="B75" s="10" t="n">
        <f aca="true">INDIRECT("'"&amp;A75&amp;"'!B4")</f>
        <v>28</v>
      </c>
      <c r="C75" s="10" t="n">
        <f aca="true">COUNTIF(INDIRECT("'"&amp;A75&amp;"'!H9:H200"),"not started")</f>
        <v>1</v>
      </c>
      <c r="D75" s="10" t="n">
        <f aca="true">COUNTIF(INDIRECT("'"&amp;A75&amp;"'!H9:H200"),"partial")</f>
        <v>0</v>
      </c>
      <c r="E75" s="10" t="n">
        <f aca="true">COUNTIF(INDIRECT("'"&amp;A75&amp;"'!H9:H200"),"implemented")</f>
        <v>0</v>
      </c>
      <c r="F75" s="10" t="n">
        <f aca="true">COUNTIF(INDIRECT("'"&amp;A75&amp;"'!H9:H200"),"tested")</f>
        <v>27</v>
      </c>
      <c r="G75" s="10" t="n">
        <f aca="true">COUNTIF(INDIRECT("'"&amp;A75&amp;"'!H9:H200"),"verified")</f>
        <v>0</v>
      </c>
      <c r="H75" s="10" t="n">
        <f aca="true">COUNTIF(INDIRECT("'"&amp;A75&amp;"'!H9:H200"),"blocked")</f>
        <v>0</v>
      </c>
      <c r="I75" s="10" t="n">
        <f aca="true">COUNTIF(INDIRECT("'"&amp;A75&amp;"'!H9:H200"),"not applicable")</f>
        <v>0</v>
      </c>
      <c r="J75" s="11" t="n">
        <f aca="true">INDIRECT("'"&amp;A75&amp;"'!H4")</f>
        <v>0.964285714285714</v>
      </c>
      <c r="K75" s="10" t="str">
        <f aca="true">INDIRECT("'"&amp;A75&amp;"'!K4")</f>
        <v>complete</v>
      </c>
      <c r="L75" s="10" t="str">
        <f aca="true">INDIRECT("'"&amp;A75&amp;"'!E5")</f>
        <v>complete</v>
      </c>
      <c r="M75" s="10" t="str">
        <f aca="false">IF(AND(J75=1,K75="complete",L75="complete"),"complete",IF(H75&gt;0,"blocked","open"))</f>
        <v>open</v>
      </c>
    </row>
    <row r="76" customFormat="false" ht="24" hidden="false" customHeight="true" outlineLevel="0" collapsed="false">
      <c r="A76" s="10" t="s">
        <v>85</v>
      </c>
      <c r="B76" s="10" t="n">
        <f aca="true">INDIRECT("'"&amp;A76&amp;"'!B4")</f>
        <v>20</v>
      </c>
      <c r="C76" s="10" t="n">
        <f aca="true">COUNTIF(INDIRECT("'"&amp;A76&amp;"'!H9:H200"),"not started")</f>
        <v>1</v>
      </c>
      <c r="D76" s="10" t="n">
        <f aca="true">COUNTIF(INDIRECT("'"&amp;A76&amp;"'!H9:H200"),"partial")</f>
        <v>0</v>
      </c>
      <c r="E76" s="10" t="n">
        <f aca="true">COUNTIF(INDIRECT("'"&amp;A76&amp;"'!H9:H200"),"implemented")</f>
        <v>0</v>
      </c>
      <c r="F76" s="10" t="n">
        <f aca="true">COUNTIF(INDIRECT("'"&amp;A76&amp;"'!H9:H200"),"tested")</f>
        <v>18</v>
      </c>
      <c r="G76" s="10" t="n">
        <f aca="true">COUNTIF(INDIRECT("'"&amp;A76&amp;"'!H9:H200"),"verified")</f>
        <v>1</v>
      </c>
      <c r="H76" s="10" t="n">
        <f aca="true">COUNTIF(INDIRECT("'"&amp;A76&amp;"'!H9:H200"),"blocked")</f>
        <v>0</v>
      </c>
      <c r="I76" s="10" t="n">
        <f aca="true">COUNTIF(INDIRECT("'"&amp;A76&amp;"'!H9:H200"),"not applicable")</f>
        <v>0</v>
      </c>
      <c r="J76" s="11" t="n">
        <f aca="true">INDIRECT("'"&amp;A76&amp;"'!H4")</f>
        <v>0.95</v>
      </c>
      <c r="K76" s="10" t="str">
        <f aca="true">INDIRECT("'"&amp;A76&amp;"'!K4")</f>
        <v>open</v>
      </c>
      <c r="L76" s="10" t="str">
        <f aca="true">INDIRECT("'"&amp;A76&amp;"'!E5")</f>
        <v>complete</v>
      </c>
      <c r="M76" s="10" t="str">
        <f aca="false">IF(AND(J76=1,K76="complete",L76="complete"),"complete",IF(H76&gt;0,"blocked","open"))</f>
        <v>open</v>
      </c>
    </row>
    <row r="77" customFormat="false" ht="24" hidden="false" customHeight="true" outlineLevel="0" collapsed="false">
      <c r="A77" s="10" t="s">
        <v>86</v>
      </c>
      <c r="B77" s="10" t="n">
        <f aca="true">INDIRECT("'"&amp;A77&amp;"'!B4")</f>
        <v>22</v>
      </c>
      <c r="C77" s="10" t="n">
        <f aca="true">COUNTIF(INDIRECT("'"&amp;A77&amp;"'!H9:H200"),"not started")</f>
        <v>1</v>
      </c>
      <c r="D77" s="10" t="n">
        <f aca="true">COUNTIF(INDIRECT("'"&amp;A77&amp;"'!H9:H200"),"partial")</f>
        <v>0</v>
      </c>
      <c r="E77" s="10" t="n">
        <f aca="true">COUNTIF(INDIRECT("'"&amp;A77&amp;"'!H9:H200"),"implemented")</f>
        <v>0</v>
      </c>
      <c r="F77" s="10" t="n">
        <f aca="true">COUNTIF(INDIRECT("'"&amp;A77&amp;"'!H9:H200"),"tested")</f>
        <v>20</v>
      </c>
      <c r="G77" s="10" t="n">
        <f aca="true">COUNTIF(INDIRECT("'"&amp;A77&amp;"'!H9:H200"),"verified")</f>
        <v>1</v>
      </c>
      <c r="H77" s="10" t="n">
        <f aca="true">COUNTIF(INDIRECT("'"&amp;A77&amp;"'!H9:H200"),"blocked")</f>
        <v>0</v>
      </c>
      <c r="I77" s="10" t="n">
        <f aca="true">COUNTIF(INDIRECT("'"&amp;A77&amp;"'!H9:H200"),"not applicable")</f>
        <v>0</v>
      </c>
      <c r="J77" s="11" t="n">
        <f aca="true">INDIRECT("'"&amp;A77&amp;"'!H4")</f>
        <v>0.954545454545455</v>
      </c>
      <c r="K77" s="10" t="str">
        <f aca="true">INDIRECT("'"&amp;A77&amp;"'!K4")</f>
        <v>complete</v>
      </c>
      <c r="L77" s="10" t="str">
        <f aca="true">INDIRECT("'"&amp;A77&amp;"'!E5")</f>
        <v>complete</v>
      </c>
      <c r="M77" s="10" t="str">
        <f aca="false">IF(AND(J77=1,K77="complete",L77="complete"),"complete",IF(H77&gt;0,"blocked","open"))</f>
        <v>open</v>
      </c>
    </row>
    <row r="78" customFormat="false" ht="24" hidden="false" customHeight="true" outlineLevel="0" collapsed="false">
      <c r="A78" s="10" t="s">
        <v>87</v>
      </c>
      <c r="B78" s="10" t="n">
        <f aca="true">INDIRECT("'"&amp;A78&amp;"'!B4")</f>
        <v>22</v>
      </c>
      <c r="C78" s="10" t="n">
        <f aca="true">COUNTIF(INDIRECT("'"&amp;A78&amp;"'!H9:H200"),"not started")</f>
        <v>1</v>
      </c>
      <c r="D78" s="10" t="n">
        <f aca="true">COUNTIF(INDIRECT("'"&amp;A78&amp;"'!H9:H200"),"partial")</f>
        <v>0</v>
      </c>
      <c r="E78" s="10" t="n">
        <f aca="true">COUNTIF(INDIRECT("'"&amp;A78&amp;"'!H9:H200"),"implemented")</f>
        <v>0</v>
      </c>
      <c r="F78" s="10" t="n">
        <f aca="true">COUNTIF(INDIRECT("'"&amp;A78&amp;"'!H9:H200"),"tested")</f>
        <v>20</v>
      </c>
      <c r="G78" s="10" t="n">
        <f aca="true">COUNTIF(INDIRECT("'"&amp;A78&amp;"'!H9:H200"),"verified")</f>
        <v>1</v>
      </c>
      <c r="H78" s="10" t="n">
        <f aca="true">COUNTIF(INDIRECT("'"&amp;A78&amp;"'!H9:H200"),"blocked")</f>
        <v>0</v>
      </c>
      <c r="I78" s="10" t="n">
        <f aca="true">COUNTIF(INDIRECT("'"&amp;A78&amp;"'!H9:H200"),"not applicable")</f>
        <v>0</v>
      </c>
      <c r="J78" s="11" t="n">
        <f aca="true">INDIRECT("'"&amp;A78&amp;"'!H4")</f>
        <v>0.954545454545455</v>
      </c>
      <c r="K78" s="10" t="str">
        <f aca="true">INDIRECT("'"&amp;A78&amp;"'!K4")</f>
        <v>complete</v>
      </c>
      <c r="L78" s="10" t="str">
        <f aca="true">INDIRECT("'"&amp;A78&amp;"'!E5")</f>
        <v>complete</v>
      </c>
      <c r="M78" s="10" t="str">
        <f aca="false">IF(AND(J78=1,K78="complete",L78="complete"),"complete",IF(H78&gt;0,"blocked","open"))</f>
        <v>open</v>
      </c>
    </row>
    <row r="79" customFormat="false" ht="24" hidden="false" customHeight="true" outlineLevel="0" collapsed="false">
      <c r="A79" s="10" t="s">
        <v>88</v>
      </c>
      <c r="B79" s="10" t="n">
        <f aca="true">INDIRECT("'"&amp;A79&amp;"'!B4")</f>
        <v>31</v>
      </c>
      <c r="C79" s="10" t="n">
        <f aca="true">COUNTIF(INDIRECT("'"&amp;A79&amp;"'!H9:H200"),"not started")</f>
        <v>1</v>
      </c>
      <c r="D79" s="10" t="n">
        <f aca="true">COUNTIF(INDIRECT("'"&amp;A79&amp;"'!H9:H200"),"partial")</f>
        <v>0</v>
      </c>
      <c r="E79" s="10" t="n">
        <f aca="true">COUNTIF(INDIRECT("'"&amp;A79&amp;"'!H9:H200"),"implemented")</f>
        <v>0</v>
      </c>
      <c r="F79" s="10" t="n">
        <f aca="true">COUNTIF(INDIRECT("'"&amp;A79&amp;"'!H9:H200"),"tested")</f>
        <v>29</v>
      </c>
      <c r="G79" s="10" t="n">
        <f aca="true">COUNTIF(INDIRECT("'"&amp;A79&amp;"'!H9:H200"),"verified")</f>
        <v>1</v>
      </c>
      <c r="H79" s="10" t="n">
        <f aca="true">COUNTIF(INDIRECT("'"&amp;A79&amp;"'!H9:H200"),"blocked")</f>
        <v>0</v>
      </c>
      <c r="I79" s="10" t="n">
        <f aca="true">COUNTIF(INDIRECT("'"&amp;A79&amp;"'!H9:H200"),"not applicable")</f>
        <v>0</v>
      </c>
      <c r="J79" s="11" t="n">
        <f aca="true">INDIRECT("'"&amp;A79&amp;"'!H4")</f>
        <v>0.967741935483871</v>
      </c>
      <c r="K79" s="10" t="str">
        <f aca="true">INDIRECT("'"&amp;A79&amp;"'!K4")</f>
        <v>complete</v>
      </c>
      <c r="L79" s="10" t="str">
        <f aca="true">INDIRECT("'"&amp;A79&amp;"'!E5")</f>
        <v>complete</v>
      </c>
      <c r="M79" s="10" t="str">
        <f aca="false">IF(AND(J79=1,K79="complete",L79="complete"),"complete",IF(H79&gt;0,"blocked","open"))</f>
        <v>open</v>
      </c>
    </row>
    <row r="80" customFormat="false" ht="24" hidden="false" customHeight="true" outlineLevel="0" collapsed="false">
      <c r="A80" s="10" t="s">
        <v>89</v>
      </c>
      <c r="B80" s="10" t="n">
        <f aca="true">INDIRECT("'"&amp;A80&amp;"'!B4")</f>
        <v>23</v>
      </c>
      <c r="C80" s="10" t="n">
        <f aca="true">COUNTIF(INDIRECT("'"&amp;A80&amp;"'!H9:H200"),"not started")</f>
        <v>1</v>
      </c>
      <c r="D80" s="10" t="n">
        <f aca="true">COUNTIF(INDIRECT("'"&amp;A80&amp;"'!H9:H200"),"partial")</f>
        <v>0</v>
      </c>
      <c r="E80" s="10" t="n">
        <f aca="true">COUNTIF(INDIRECT("'"&amp;A80&amp;"'!H9:H200"),"implemented")</f>
        <v>0</v>
      </c>
      <c r="F80" s="10" t="n">
        <f aca="true">COUNTIF(INDIRECT("'"&amp;A80&amp;"'!H9:H200"),"tested")</f>
        <v>19</v>
      </c>
      <c r="G80" s="10" t="n">
        <f aca="true">COUNTIF(INDIRECT("'"&amp;A80&amp;"'!H9:H200"),"verified")</f>
        <v>3</v>
      </c>
      <c r="H80" s="10" t="n">
        <f aca="true">COUNTIF(INDIRECT("'"&amp;A80&amp;"'!H9:H200"),"blocked")</f>
        <v>0</v>
      </c>
      <c r="I80" s="10" t="n">
        <f aca="true">COUNTIF(INDIRECT("'"&amp;A80&amp;"'!H9:H200"),"not applicable")</f>
        <v>0</v>
      </c>
      <c r="J80" s="11" t="n">
        <f aca="true">INDIRECT("'"&amp;A80&amp;"'!H4")</f>
        <v>0.956521739130435</v>
      </c>
      <c r="K80" s="10" t="str">
        <f aca="true">INDIRECT("'"&amp;A80&amp;"'!K4")</f>
        <v>open</v>
      </c>
      <c r="L80" s="10" t="str">
        <f aca="true">INDIRECT("'"&amp;A80&amp;"'!E5")</f>
        <v>complete</v>
      </c>
      <c r="M80" s="10" t="str">
        <f aca="false">IF(AND(J80=1,K80="complete",L80="complete"),"complete",IF(H80&gt;0,"blocked","open"))</f>
        <v>open</v>
      </c>
    </row>
    <row r="81" customFormat="false" ht="24" hidden="false" customHeight="true" outlineLevel="0" collapsed="false">
      <c r="A81" s="10" t="s">
        <v>90</v>
      </c>
      <c r="B81" s="10" t="n">
        <f aca="true">INDIRECT("'"&amp;A81&amp;"'!B4")</f>
        <v>22</v>
      </c>
      <c r="C81" s="10" t="n">
        <f aca="true">COUNTIF(INDIRECT("'"&amp;A81&amp;"'!H9:H200"),"not started")</f>
        <v>1</v>
      </c>
      <c r="D81" s="10" t="n">
        <f aca="true">COUNTIF(INDIRECT("'"&amp;A81&amp;"'!H9:H200"),"partial")</f>
        <v>0</v>
      </c>
      <c r="E81" s="10" t="n">
        <f aca="true">COUNTIF(INDIRECT("'"&amp;A81&amp;"'!H9:H200"),"implemented")</f>
        <v>0</v>
      </c>
      <c r="F81" s="10" t="n">
        <f aca="true">COUNTIF(INDIRECT("'"&amp;A81&amp;"'!H9:H200"),"tested")</f>
        <v>21</v>
      </c>
      <c r="G81" s="10" t="n">
        <f aca="true">COUNTIF(INDIRECT("'"&amp;A81&amp;"'!H9:H200"),"verified")</f>
        <v>0</v>
      </c>
      <c r="H81" s="10" t="n">
        <f aca="true">COUNTIF(INDIRECT("'"&amp;A81&amp;"'!H9:H200"),"blocked")</f>
        <v>0</v>
      </c>
      <c r="I81" s="10" t="n">
        <f aca="true">COUNTIF(INDIRECT("'"&amp;A81&amp;"'!H9:H200"),"not applicable")</f>
        <v>0</v>
      </c>
      <c r="J81" s="11" t="n">
        <f aca="true">INDIRECT("'"&amp;A81&amp;"'!H4")</f>
        <v>0.954545454545455</v>
      </c>
      <c r="K81" s="10" t="str">
        <f aca="true">INDIRECT("'"&amp;A81&amp;"'!K4")</f>
        <v>complete</v>
      </c>
      <c r="L81" s="10" t="str">
        <f aca="true">INDIRECT("'"&amp;A81&amp;"'!E5")</f>
        <v>complete</v>
      </c>
      <c r="M81" s="10" t="str">
        <f aca="false">IF(AND(J81=1,K81="complete",L81="complete"),"complete",IF(H81&gt;0,"blocked","open"))</f>
        <v>open</v>
      </c>
    </row>
    <row r="82" customFormat="false" ht="24" hidden="false" customHeight="true" outlineLevel="0" collapsed="false">
      <c r="A82" s="10" t="s">
        <v>91</v>
      </c>
      <c r="B82" s="10" t="n">
        <f aca="true">INDIRECT("'"&amp;A82&amp;"'!B4")</f>
        <v>22</v>
      </c>
      <c r="C82" s="10" t="n">
        <f aca="true">COUNTIF(INDIRECT("'"&amp;A82&amp;"'!H9:H200"),"not started")</f>
        <v>1</v>
      </c>
      <c r="D82" s="10" t="n">
        <f aca="true">COUNTIF(INDIRECT("'"&amp;A82&amp;"'!H9:H200"),"partial")</f>
        <v>0</v>
      </c>
      <c r="E82" s="10" t="n">
        <f aca="true">COUNTIF(INDIRECT("'"&amp;A82&amp;"'!H9:H200"),"implemented")</f>
        <v>0</v>
      </c>
      <c r="F82" s="10" t="n">
        <f aca="true">COUNTIF(INDIRECT("'"&amp;A82&amp;"'!H9:H200"),"tested")</f>
        <v>21</v>
      </c>
      <c r="G82" s="10" t="n">
        <f aca="true">COUNTIF(INDIRECT("'"&amp;A82&amp;"'!H9:H200"),"verified")</f>
        <v>0</v>
      </c>
      <c r="H82" s="10" t="n">
        <f aca="true">COUNTIF(INDIRECT("'"&amp;A82&amp;"'!H9:H200"),"blocked")</f>
        <v>0</v>
      </c>
      <c r="I82" s="10" t="n">
        <f aca="true">COUNTIF(INDIRECT("'"&amp;A82&amp;"'!H9:H200"),"not applicable")</f>
        <v>0</v>
      </c>
      <c r="J82" s="11" t="n">
        <f aca="true">INDIRECT("'"&amp;A82&amp;"'!H4")</f>
        <v>0.954545454545455</v>
      </c>
      <c r="K82" s="10" t="str">
        <f aca="true">INDIRECT("'"&amp;A82&amp;"'!K4")</f>
        <v>complete</v>
      </c>
      <c r="L82" s="10" t="str">
        <f aca="true">INDIRECT("'"&amp;A82&amp;"'!E5")</f>
        <v>complete</v>
      </c>
      <c r="M82" s="10" t="str">
        <f aca="false">IF(AND(J82=1,K82="complete",L82="complete"),"complete",IF(H82&gt;0,"blocked","open"))</f>
        <v>open</v>
      </c>
    </row>
    <row r="83" customFormat="false" ht="24" hidden="false" customHeight="true" outlineLevel="0" collapsed="false">
      <c r="A83" s="10" t="s">
        <v>92</v>
      </c>
      <c r="B83" s="10" t="n">
        <f aca="true">INDIRECT("'"&amp;A83&amp;"'!B4")</f>
        <v>25</v>
      </c>
      <c r="C83" s="10" t="n">
        <f aca="true">COUNTIF(INDIRECT("'"&amp;A83&amp;"'!H9:H200"),"not started")</f>
        <v>5</v>
      </c>
      <c r="D83" s="10" t="n">
        <f aca="true">COUNTIF(INDIRECT("'"&amp;A83&amp;"'!H9:H200"),"partial")</f>
        <v>0</v>
      </c>
      <c r="E83" s="10" t="n">
        <f aca="true">COUNTIF(INDIRECT("'"&amp;A83&amp;"'!H9:H200"),"implemented")</f>
        <v>4</v>
      </c>
      <c r="F83" s="10" t="n">
        <f aca="true">COUNTIF(INDIRECT("'"&amp;A83&amp;"'!H9:H200"),"tested")</f>
        <v>16</v>
      </c>
      <c r="G83" s="10" t="n">
        <f aca="true">COUNTIF(INDIRECT("'"&amp;A83&amp;"'!H9:H200"),"verified")</f>
        <v>0</v>
      </c>
      <c r="H83" s="10" t="n">
        <f aca="true">COUNTIF(INDIRECT("'"&amp;A83&amp;"'!H9:H200"),"blocked")</f>
        <v>0</v>
      </c>
      <c r="I83" s="10" t="n">
        <f aca="true">COUNTIF(INDIRECT("'"&amp;A83&amp;"'!H9:H200"),"not applicable")</f>
        <v>0</v>
      </c>
      <c r="J83" s="11" t="n">
        <f aca="true">INDIRECT("'"&amp;A83&amp;"'!H4")</f>
        <v>0.64</v>
      </c>
      <c r="K83" s="10" t="str">
        <f aca="true">INDIRECT("'"&amp;A83&amp;"'!K4")</f>
        <v>complete</v>
      </c>
      <c r="L83" s="10" t="str">
        <f aca="true">INDIRECT("'"&amp;A83&amp;"'!E5")</f>
        <v>open</v>
      </c>
      <c r="M83" s="10" t="str">
        <f aca="false">IF(AND(J83=1,K83="complete",L83="complete"),"complete",IF(H83&gt;0,"blocked","open"))</f>
        <v>open</v>
      </c>
    </row>
    <row r="84" customFormat="false" ht="24" hidden="false" customHeight="true" outlineLevel="0" collapsed="false">
      <c r="A84" s="10" t="s">
        <v>93</v>
      </c>
      <c r="B84" s="10" t="n">
        <f aca="true">INDIRECT("'"&amp;A84&amp;"'!B4")</f>
        <v>16</v>
      </c>
      <c r="C84" s="10" t="n">
        <f aca="true">COUNTIF(INDIRECT("'"&amp;A84&amp;"'!H9:H200"),"not started")</f>
        <v>0</v>
      </c>
      <c r="D84" s="10" t="n">
        <f aca="true">COUNTIF(INDIRECT("'"&amp;A84&amp;"'!H9:H200"),"partial")</f>
        <v>0</v>
      </c>
      <c r="E84" s="10" t="n">
        <f aca="true">COUNTIF(INDIRECT("'"&amp;A84&amp;"'!H9:H200"),"implemented")</f>
        <v>3</v>
      </c>
      <c r="F84" s="10" t="n">
        <f aca="true">COUNTIF(INDIRECT("'"&amp;A84&amp;"'!H9:H200"),"tested")</f>
        <v>12</v>
      </c>
      <c r="G84" s="10" t="n">
        <f aca="true">COUNTIF(INDIRECT("'"&amp;A84&amp;"'!H9:H200"),"verified")</f>
        <v>1</v>
      </c>
      <c r="H84" s="10" t="n">
        <f aca="true">COUNTIF(INDIRECT("'"&amp;A84&amp;"'!H9:H200"),"blocked")</f>
        <v>0</v>
      </c>
      <c r="I84" s="10" t="n">
        <f aca="true">COUNTIF(INDIRECT("'"&amp;A84&amp;"'!H9:H200"),"not applicable")</f>
        <v>0</v>
      </c>
      <c r="J84" s="11" t="n">
        <f aca="true">INDIRECT("'"&amp;A84&amp;"'!H4")</f>
        <v>0.8125</v>
      </c>
      <c r="K84" s="10" t="str">
        <f aca="true">INDIRECT("'"&amp;A84&amp;"'!K4")</f>
        <v>open</v>
      </c>
      <c r="L84" s="10" t="str">
        <f aca="true">INDIRECT("'"&amp;A84&amp;"'!E5")</f>
        <v>complete</v>
      </c>
      <c r="M84" s="10" t="str">
        <f aca="false">IF(AND(J84=1,K84="complete",L84="complete"),"complete",IF(H84&gt;0,"blocked","open"))</f>
        <v>open</v>
      </c>
    </row>
    <row r="85" customFormat="false" ht="24" hidden="false" customHeight="true" outlineLevel="0" collapsed="false">
      <c r="A85" s="10" t="s">
        <v>94</v>
      </c>
      <c r="B85" s="10" t="n">
        <f aca="true">INDIRECT("'"&amp;A85&amp;"'!B4")</f>
        <v>17</v>
      </c>
      <c r="C85" s="10" t="n">
        <f aca="true">COUNTIF(INDIRECT("'"&amp;A85&amp;"'!H9:H200"),"not started")</f>
        <v>0</v>
      </c>
      <c r="D85" s="10" t="n">
        <f aca="true">COUNTIF(INDIRECT("'"&amp;A85&amp;"'!H9:H200"),"partial")</f>
        <v>0</v>
      </c>
      <c r="E85" s="10" t="n">
        <f aca="true">COUNTIF(INDIRECT("'"&amp;A85&amp;"'!H9:H200"),"implemented")</f>
        <v>4</v>
      </c>
      <c r="F85" s="10" t="n">
        <f aca="true">COUNTIF(INDIRECT("'"&amp;A85&amp;"'!H9:H200"),"tested")</f>
        <v>12</v>
      </c>
      <c r="G85" s="10" t="n">
        <f aca="true">COUNTIF(INDIRECT("'"&amp;A85&amp;"'!H9:H200"),"verified")</f>
        <v>0</v>
      </c>
      <c r="H85" s="10" t="n">
        <f aca="true">COUNTIF(INDIRECT("'"&amp;A85&amp;"'!H9:H200"),"blocked")</f>
        <v>0</v>
      </c>
      <c r="I85" s="10" t="n">
        <f aca="true">COUNTIF(INDIRECT("'"&amp;A85&amp;"'!H9:H200"),"not applicable")</f>
        <v>1</v>
      </c>
      <c r="J85" s="11" t="n">
        <f aca="true">INDIRECT("'"&amp;A85&amp;"'!H4")</f>
        <v>0.764705882352941</v>
      </c>
      <c r="K85" s="10" t="str">
        <f aca="true">INDIRECT("'"&amp;A85&amp;"'!K4")</f>
        <v>open</v>
      </c>
      <c r="L85" s="10" t="str">
        <f aca="true">INDIRECT("'"&amp;A85&amp;"'!E5")</f>
        <v>complete</v>
      </c>
      <c r="M85" s="10" t="str">
        <f aca="false">IF(AND(J85=1,K85="complete",L85="complete"),"complete",IF(H85&gt;0,"blocked","open"))</f>
        <v>open</v>
      </c>
    </row>
    <row r="86" customFormat="false" ht="24" hidden="false" customHeight="true" outlineLevel="0" collapsed="false">
      <c r="A86" s="10" t="s">
        <v>95</v>
      </c>
      <c r="B86" s="10" t="n">
        <f aca="true">INDIRECT("'"&amp;A86&amp;"'!B4")</f>
        <v>16</v>
      </c>
      <c r="C86" s="10" t="n">
        <f aca="true">COUNTIF(INDIRECT("'"&amp;A86&amp;"'!H9:H200"),"not started")</f>
        <v>0</v>
      </c>
      <c r="D86" s="10" t="n">
        <f aca="true">COUNTIF(INDIRECT("'"&amp;A86&amp;"'!H9:H200"),"partial")</f>
        <v>0</v>
      </c>
      <c r="E86" s="10" t="n">
        <f aca="true">COUNTIF(INDIRECT("'"&amp;A86&amp;"'!H9:H200"),"implemented")</f>
        <v>4</v>
      </c>
      <c r="F86" s="10" t="n">
        <f aca="true">COUNTIF(INDIRECT("'"&amp;A86&amp;"'!H9:H200"),"tested")</f>
        <v>11</v>
      </c>
      <c r="G86" s="10" t="n">
        <f aca="true">COUNTIF(INDIRECT("'"&amp;A86&amp;"'!H9:H200"),"verified")</f>
        <v>0</v>
      </c>
      <c r="H86" s="10" t="n">
        <f aca="true">COUNTIF(INDIRECT("'"&amp;A86&amp;"'!H9:H200"),"blocked")</f>
        <v>0</v>
      </c>
      <c r="I86" s="10" t="n">
        <f aca="true">COUNTIF(INDIRECT("'"&amp;A86&amp;"'!H9:H200"),"not applicable")</f>
        <v>1</v>
      </c>
      <c r="J86" s="11" t="n">
        <f aca="true">INDIRECT("'"&amp;A86&amp;"'!H4")</f>
        <v>0.75</v>
      </c>
      <c r="K86" s="10" t="str">
        <f aca="true">INDIRECT("'"&amp;A86&amp;"'!K4")</f>
        <v>open</v>
      </c>
      <c r="L86" s="10" t="str">
        <f aca="true">INDIRECT("'"&amp;A86&amp;"'!E5")</f>
        <v>complete</v>
      </c>
      <c r="M86" s="10" t="str">
        <f aca="false">IF(AND(J86=1,K86="complete",L86="complete"),"complete",IF(H86&gt;0,"blocked","open"))</f>
        <v>open</v>
      </c>
    </row>
    <row r="87" customFormat="false" ht="24" hidden="false" customHeight="true" outlineLevel="0" collapsed="false">
      <c r="A87" s="10" t="s">
        <v>96</v>
      </c>
      <c r="B87" s="10" t="n">
        <f aca="true">INDIRECT("'"&amp;A87&amp;"'!B4")</f>
        <v>17</v>
      </c>
      <c r="C87" s="10" t="n">
        <f aca="true">COUNTIF(INDIRECT("'"&amp;A87&amp;"'!H9:H200"),"not started")</f>
        <v>0</v>
      </c>
      <c r="D87" s="10" t="n">
        <f aca="true">COUNTIF(INDIRECT("'"&amp;A87&amp;"'!H9:H200"),"partial")</f>
        <v>0</v>
      </c>
      <c r="E87" s="10" t="n">
        <f aca="true">COUNTIF(INDIRECT("'"&amp;A87&amp;"'!H9:H200"),"implemented")</f>
        <v>3</v>
      </c>
      <c r="F87" s="10" t="n">
        <f aca="true">COUNTIF(INDIRECT("'"&amp;A87&amp;"'!H9:H200"),"tested")</f>
        <v>13</v>
      </c>
      <c r="G87" s="10" t="n">
        <f aca="true">COUNTIF(INDIRECT("'"&amp;A87&amp;"'!H9:H200"),"verified")</f>
        <v>0</v>
      </c>
      <c r="H87" s="10" t="n">
        <f aca="true">COUNTIF(INDIRECT("'"&amp;A87&amp;"'!H9:H200"),"blocked")</f>
        <v>0</v>
      </c>
      <c r="I87" s="10" t="n">
        <f aca="true">COUNTIF(INDIRECT("'"&amp;A87&amp;"'!H9:H200"),"not applicable")</f>
        <v>1</v>
      </c>
      <c r="J87" s="11" t="n">
        <f aca="true">INDIRECT("'"&amp;A87&amp;"'!H4")</f>
        <v>0.823529411764706</v>
      </c>
      <c r="K87" s="10" t="str">
        <f aca="true">INDIRECT("'"&amp;A87&amp;"'!K4")</f>
        <v>open</v>
      </c>
      <c r="L87" s="10" t="str">
        <f aca="true">INDIRECT("'"&amp;A87&amp;"'!E5")</f>
        <v>complete</v>
      </c>
      <c r="M87" s="10" t="str">
        <f aca="false">IF(AND(J87=1,K87="complete",L87="complete"),"complete",IF(H87&gt;0,"blocked","open"))</f>
        <v>open</v>
      </c>
    </row>
    <row r="88" customFormat="false" ht="24" hidden="false" customHeight="true" outlineLevel="0" collapsed="false">
      <c r="A88" s="10" t="s">
        <v>97</v>
      </c>
      <c r="B88" s="10" t="n">
        <f aca="true">INDIRECT("'"&amp;A88&amp;"'!B4")</f>
        <v>19</v>
      </c>
      <c r="C88" s="10" t="n">
        <f aca="true">COUNTIF(INDIRECT("'"&amp;A88&amp;"'!H9:H200"),"not started")</f>
        <v>0</v>
      </c>
      <c r="D88" s="10" t="n">
        <f aca="true">COUNTIF(INDIRECT("'"&amp;A88&amp;"'!H9:H200"),"partial")</f>
        <v>0</v>
      </c>
      <c r="E88" s="10" t="n">
        <f aca="true">COUNTIF(INDIRECT("'"&amp;A88&amp;"'!H9:H200"),"implemented")</f>
        <v>2</v>
      </c>
      <c r="F88" s="10" t="n">
        <f aca="true">COUNTIF(INDIRECT("'"&amp;A88&amp;"'!H9:H200"),"tested")</f>
        <v>16</v>
      </c>
      <c r="G88" s="10" t="n">
        <f aca="true">COUNTIF(INDIRECT("'"&amp;A88&amp;"'!H9:H200"),"verified")</f>
        <v>1</v>
      </c>
      <c r="H88" s="10" t="n">
        <f aca="true">COUNTIF(INDIRECT("'"&amp;A88&amp;"'!H9:H200"),"blocked")</f>
        <v>0</v>
      </c>
      <c r="I88" s="10" t="n">
        <f aca="true">COUNTIF(INDIRECT("'"&amp;A88&amp;"'!H9:H200"),"not applicable")</f>
        <v>0</v>
      </c>
      <c r="J88" s="11" t="n">
        <f aca="true">INDIRECT("'"&amp;A88&amp;"'!H4")</f>
        <v>0.894736842105263</v>
      </c>
      <c r="K88" s="10" t="str">
        <f aca="true">INDIRECT("'"&amp;A88&amp;"'!K4")</f>
        <v>open</v>
      </c>
      <c r="L88" s="10" t="str">
        <f aca="true">INDIRECT("'"&amp;A88&amp;"'!E5")</f>
        <v>complete</v>
      </c>
      <c r="M88" s="10" t="str">
        <f aca="false">IF(AND(J88=1,K88="complete",L88="complete"),"complete",IF(H88&gt;0,"blocked","open"))</f>
        <v>open</v>
      </c>
    </row>
    <row r="89" customFormat="false" ht="24" hidden="false" customHeight="true" outlineLevel="0" collapsed="false">
      <c r="A89" s="10" t="s">
        <v>98</v>
      </c>
      <c r="B89" s="10" t="n">
        <f aca="true">INDIRECT("'"&amp;A89&amp;"'!B4")</f>
        <v>16</v>
      </c>
      <c r="C89" s="10" t="n">
        <f aca="true">COUNTIF(INDIRECT("'"&amp;A89&amp;"'!H9:H200"),"not started")</f>
        <v>0</v>
      </c>
      <c r="D89" s="10" t="n">
        <f aca="true">COUNTIF(INDIRECT("'"&amp;A89&amp;"'!H9:H200"),"partial")</f>
        <v>0</v>
      </c>
      <c r="E89" s="10" t="n">
        <f aca="true">COUNTIF(INDIRECT("'"&amp;A89&amp;"'!H9:H200"),"implemented")</f>
        <v>6</v>
      </c>
      <c r="F89" s="10" t="n">
        <f aca="true">COUNTIF(INDIRECT("'"&amp;A89&amp;"'!H9:H200"),"tested")</f>
        <v>10</v>
      </c>
      <c r="G89" s="10" t="n">
        <f aca="true">COUNTIF(INDIRECT("'"&amp;A89&amp;"'!H9:H200"),"verified")</f>
        <v>0</v>
      </c>
      <c r="H89" s="10" t="n">
        <f aca="true">COUNTIF(INDIRECT("'"&amp;A89&amp;"'!H9:H200"),"blocked")</f>
        <v>0</v>
      </c>
      <c r="I89" s="10" t="n">
        <f aca="true">COUNTIF(INDIRECT("'"&amp;A89&amp;"'!H9:H200"),"not applicable")</f>
        <v>0</v>
      </c>
      <c r="J89" s="11" t="n">
        <f aca="true">INDIRECT("'"&amp;A89&amp;"'!H4")</f>
        <v>0.625</v>
      </c>
      <c r="K89" s="10" t="str">
        <f aca="true">INDIRECT("'"&amp;A89&amp;"'!K4")</f>
        <v>open</v>
      </c>
      <c r="L89" s="10" t="str">
        <f aca="true">INDIRECT("'"&amp;A89&amp;"'!E5")</f>
        <v>open</v>
      </c>
      <c r="M89" s="10" t="str">
        <f aca="false">IF(AND(J89=1,K89="complete",L89="complete"),"complete",IF(H89&gt;0,"blocked","open"))</f>
        <v>open</v>
      </c>
    </row>
    <row r="90" customFormat="false" ht="24" hidden="false" customHeight="true" outlineLevel="0" collapsed="false">
      <c r="A90" s="10" t="s">
        <v>99</v>
      </c>
      <c r="B90" s="10" t="n">
        <f aca="true">INDIRECT("'"&amp;A90&amp;"'!B4")</f>
        <v>16</v>
      </c>
      <c r="C90" s="10" t="n">
        <f aca="true">COUNTIF(INDIRECT("'"&amp;A90&amp;"'!H9:H200"),"not started")</f>
        <v>3</v>
      </c>
      <c r="D90" s="10" t="n">
        <f aca="true">COUNTIF(INDIRECT("'"&amp;A90&amp;"'!H9:H200"),"partial")</f>
        <v>0</v>
      </c>
      <c r="E90" s="10" t="n">
        <f aca="true">COUNTIF(INDIRECT("'"&amp;A90&amp;"'!H9:H200"),"implemented")</f>
        <v>0</v>
      </c>
      <c r="F90" s="10" t="n">
        <f aca="true">COUNTIF(INDIRECT("'"&amp;A90&amp;"'!H9:H200"),"tested")</f>
        <v>13</v>
      </c>
      <c r="G90" s="10" t="n">
        <f aca="true">COUNTIF(INDIRECT("'"&amp;A90&amp;"'!H9:H200"),"verified")</f>
        <v>0</v>
      </c>
      <c r="H90" s="10" t="n">
        <f aca="true">COUNTIF(INDIRECT("'"&amp;A90&amp;"'!H9:H200"),"blocked")</f>
        <v>0</v>
      </c>
      <c r="I90" s="10" t="n">
        <f aca="true">COUNTIF(INDIRECT("'"&amp;A90&amp;"'!H9:H200"),"not applicable")</f>
        <v>0</v>
      </c>
      <c r="J90" s="11" t="n">
        <f aca="true">INDIRECT("'"&amp;A90&amp;"'!H4")</f>
        <v>0.6875</v>
      </c>
      <c r="K90" s="10" t="str">
        <f aca="true">INDIRECT("'"&amp;A90&amp;"'!K4")</f>
        <v>open</v>
      </c>
      <c r="L90" s="10" t="str">
        <f aca="true">INDIRECT("'"&amp;A90&amp;"'!E5")</f>
        <v>complete</v>
      </c>
      <c r="M90" s="10" t="str">
        <f aca="false">IF(AND(J90=1,K90="complete",L90="complete"),"complete",IF(H90&gt;0,"blocked","open"))</f>
        <v>open</v>
      </c>
    </row>
    <row r="91" customFormat="false" ht="24" hidden="false" customHeight="true" outlineLevel="0" collapsed="false">
      <c r="A91" s="10" t="s">
        <v>100</v>
      </c>
      <c r="B91" s="10" t="n">
        <f aca="true">INDIRECT("'"&amp;A91&amp;"'!B4")</f>
        <v>20</v>
      </c>
      <c r="C91" s="10" t="n">
        <f aca="true">COUNTIF(INDIRECT("'"&amp;A91&amp;"'!H9:H200"),"not started")</f>
        <v>4</v>
      </c>
      <c r="D91" s="10" t="n">
        <f aca="true">COUNTIF(INDIRECT("'"&amp;A91&amp;"'!H9:H200"),"partial")</f>
        <v>1</v>
      </c>
      <c r="E91" s="10" t="n">
        <f aca="true">COUNTIF(INDIRECT("'"&amp;A91&amp;"'!H9:H200"),"implemented")</f>
        <v>0</v>
      </c>
      <c r="F91" s="10" t="n">
        <f aca="true">COUNTIF(INDIRECT("'"&amp;A91&amp;"'!H9:H200"),"tested")</f>
        <v>14</v>
      </c>
      <c r="G91" s="10" t="n">
        <f aca="true">COUNTIF(INDIRECT("'"&amp;A91&amp;"'!H9:H200"),"verified")</f>
        <v>0</v>
      </c>
      <c r="H91" s="10" t="n">
        <f aca="true">COUNTIF(INDIRECT("'"&amp;A91&amp;"'!H9:H200"),"blocked")</f>
        <v>1</v>
      </c>
      <c r="I91" s="10" t="n">
        <f aca="true">COUNTIF(INDIRECT("'"&amp;A91&amp;"'!H9:H200"),"not applicable")</f>
        <v>0</v>
      </c>
      <c r="J91" s="11" t="n">
        <f aca="true">INDIRECT("'"&amp;A91&amp;"'!H4")</f>
        <v>0.7</v>
      </c>
      <c r="K91" s="10" t="str">
        <f aca="true">INDIRECT("'"&amp;A91&amp;"'!K4")</f>
        <v>open</v>
      </c>
      <c r="L91" s="10" t="str">
        <f aca="true">INDIRECT("'"&amp;A91&amp;"'!E5")</f>
        <v>open</v>
      </c>
      <c r="M91" s="10" t="str">
        <f aca="false">IF(AND(J91=1,K91="complete",L91="complete"),"complete",IF(H91&gt;0,"blocked","open"))</f>
        <v>blocked</v>
      </c>
    </row>
    <row r="92" customFormat="false" ht="24" hidden="false" customHeight="true" outlineLevel="0" collapsed="false">
      <c r="A92" s="10" t="s">
        <v>101</v>
      </c>
      <c r="B92" s="10" t="n">
        <f aca="true">INDIRECT("'"&amp;A92&amp;"'!B4")</f>
        <v>20</v>
      </c>
      <c r="C92" s="10" t="n">
        <f aca="true">COUNTIF(INDIRECT("'"&amp;A92&amp;"'!H9:H200"),"not started")</f>
        <v>4</v>
      </c>
      <c r="D92" s="10" t="n">
        <f aca="true">COUNTIF(INDIRECT("'"&amp;A92&amp;"'!H9:H200"),"partial")</f>
        <v>1</v>
      </c>
      <c r="E92" s="10" t="n">
        <f aca="true">COUNTIF(INDIRECT("'"&amp;A92&amp;"'!H9:H200"),"implemented")</f>
        <v>1</v>
      </c>
      <c r="F92" s="10" t="n">
        <f aca="true">COUNTIF(INDIRECT("'"&amp;A92&amp;"'!H9:H200"),"tested")</f>
        <v>13</v>
      </c>
      <c r="G92" s="10" t="n">
        <f aca="true">COUNTIF(INDIRECT("'"&amp;A92&amp;"'!H9:H200"),"verified")</f>
        <v>0</v>
      </c>
      <c r="H92" s="10" t="n">
        <f aca="true">COUNTIF(INDIRECT("'"&amp;A92&amp;"'!H9:H200"),"blocked")</f>
        <v>1</v>
      </c>
      <c r="I92" s="10" t="n">
        <f aca="true">COUNTIF(INDIRECT("'"&amp;A92&amp;"'!H9:H200"),"not applicable")</f>
        <v>0</v>
      </c>
      <c r="J92" s="11" t="n">
        <f aca="true">INDIRECT("'"&amp;A92&amp;"'!H4")</f>
        <v>0.65</v>
      </c>
      <c r="K92" s="10" t="str">
        <f aca="true">INDIRECT("'"&amp;A92&amp;"'!K4")</f>
        <v>open</v>
      </c>
      <c r="L92" s="10" t="str">
        <f aca="true">INDIRECT("'"&amp;A92&amp;"'!E5")</f>
        <v>open</v>
      </c>
      <c r="M92" s="10" t="str">
        <f aca="false">IF(AND(J92=1,K92="complete",L92="complete"),"complete",IF(H92&gt;0,"blocked","open"))</f>
        <v>blocked</v>
      </c>
    </row>
    <row r="93" customFormat="false" ht="24" hidden="false" customHeight="true" outlineLevel="0" collapsed="false">
      <c r="A93" s="10" t="s">
        <v>102</v>
      </c>
      <c r="B93" s="10" t="n">
        <f aca="true">INDIRECT("'"&amp;A93&amp;"'!B4")</f>
        <v>20</v>
      </c>
      <c r="C93" s="10" t="n">
        <f aca="true">COUNTIF(INDIRECT("'"&amp;A93&amp;"'!H9:H200"),"not started")</f>
        <v>4</v>
      </c>
      <c r="D93" s="10" t="n">
        <f aca="true">COUNTIF(INDIRECT("'"&amp;A93&amp;"'!H9:H200"),"partial")</f>
        <v>0</v>
      </c>
      <c r="E93" s="10" t="n">
        <f aca="true">COUNTIF(INDIRECT("'"&amp;A93&amp;"'!H9:H200"),"implemented")</f>
        <v>0</v>
      </c>
      <c r="F93" s="10" t="n">
        <f aca="true">COUNTIF(INDIRECT("'"&amp;A93&amp;"'!H9:H200"),"tested")</f>
        <v>15</v>
      </c>
      <c r="G93" s="10" t="n">
        <f aca="true">COUNTIF(INDIRECT("'"&amp;A93&amp;"'!H9:H200"),"verified")</f>
        <v>0</v>
      </c>
      <c r="H93" s="10" t="n">
        <f aca="true">COUNTIF(INDIRECT("'"&amp;A93&amp;"'!H9:H200"),"blocked")</f>
        <v>1</v>
      </c>
      <c r="I93" s="10" t="n">
        <f aca="true">COUNTIF(INDIRECT("'"&amp;A93&amp;"'!H9:H200"),"not applicable")</f>
        <v>0</v>
      </c>
      <c r="J93" s="11" t="n">
        <f aca="true">INDIRECT("'"&amp;A93&amp;"'!H4")</f>
        <v>0.7</v>
      </c>
      <c r="K93" s="10" t="str">
        <f aca="true">INDIRECT("'"&amp;A93&amp;"'!K4")</f>
        <v>open</v>
      </c>
      <c r="L93" s="10" t="str">
        <f aca="true">INDIRECT("'"&amp;A93&amp;"'!E5")</f>
        <v>open</v>
      </c>
      <c r="M93" s="10" t="str">
        <f aca="false">IF(AND(J93=1,K93="complete",L93="complete"),"complete",IF(H93&gt;0,"blocked","open"))</f>
        <v>blocked</v>
      </c>
    </row>
    <row r="94" customFormat="false" ht="24" hidden="false" customHeight="true" outlineLevel="0" collapsed="false">
      <c r="A94" s="10" t="s">
        <v>103</v>
      </c>
      <c r="B94" s="10" t="n">
        <f aca="true">INDIRECT("'"&amp;A94&amp;"'!B4")</f>
        <v>20</v>
      </c>
      <c r="C94" s="10" t="n">
        <f aca="true">COUNTIF(INDIRECT("'"&amp;A94&amp;"'!H9:H200"),"not started")</f>
        <v>5</v>
      </c>
      <c r="D94" s="10" t="n">
        <f aca="true">COUNTIF(INDIRECT("'"&amp;A94&amp;"'!H9:H200"),"partial")</f>
        <v>0</v>
      </c>
      <c r="E94" s="10" t="n">
        <f aca="true">COUNTIF(INDIRECT("'"&amp;A94&amp;"'!H9:H200"),"implemented")</f>
        <v>0</v>
      </c>
      <c r="F94" s="10" t="n">
        <f aca="true">COUNTIF(INDIRECT("'"&amp;A94&amp;"'!H9:H200"),"tested")</f>
        <v>14</v>
      </c>
      <c r="G94" s="10" t="n">
        <f aca="true">COUNTIF(INDIRECT("'"&amp;A94&amp;"'!H9:H200"),"verified")</f>
        <v>0</v>
      </c>
      <c r="H94" s="10" t="n">
        <f aca="true">COUNTIF(INDIRECT("'"&amp;A94&amp;"'!H9:H200"),"blocked")</f>
        <v>1</v>
      </c>
      <c r="I94" s="10" t="n">
        <f aca="true">COUNTIF(INDIRECT("'"&amp;A94&amp;"'!H9:H200"),"not applicable")</f>
        <v>0</v>
      </c>
      <c r="J94" s="11" t="n">
        <f aca="true">INDIRECT("'"&amp;A94&amp;"'!H4")</f>
        <v>0.65</v>
      </c>
      <c r="K94" s="10" t="str">
        <f aca="true">INDIRECT("'"&amp;A94&amp;"'!K4")</f>
        <v>open</v>
      </c>
      <c r="L94" s="10" t="str">
        <f aca="true">INDIRECT("'"&amp;A94&amp;"'!E5")</f>
        <v>open</v>
      </c>
      <c r="M94" s="10" t="str">
        <f aca="false">IF(AND(J94=1,K94="complete",L94="complete"),"complete",IF(H94&gt;0,"blocked","open"))</f>
        <v>blocked</v>
      </c>
    </row>
    <row r="95" customFormat="false" ht="24" hidden="false" customHeight="true" outlineLevel="0" collapsed="false">
      <c r="A95" s="10" t="s">
        <v>104</v>
      </c>
      <c r="B95" s="10" t="n">
        <f aca="true">INDIRECT("'"&amp;A95&amp;"'!B4")</f>
        <v>20</v>
      </c>
      <c r="C95" s="10" t="n">
        <f aca="true">COUNTIF(INDIRECT("'"&amp;A95&amp;"'!H9:H200"),"not started")</f>
        <v>4</v>
      </c>
      <c r="D95" s="10" t="n">
        <f aca="true">COUNTIF(INDIRECT("'"&amp;A95&amp;"'!H9:H200"),"partial")</f>
        <v>1</v>
      </c>
      <c r="E95" s="10" t="n">
        <f aca="true">COUNTIF(INDIRECT("'"&amp;A95&amp;"'!H9:H200"),"implemented")</f>
        <v>1</v>
      </c>
      <c r="F95" s="10" t="n">
        <f aca="true">COUNTIF(INDIRECT("'"&amp;A95&amp;"'!H9:H200"),"tested")</f>
        <v>13</v>
      </c>
      <c r="G95" s="10" t="n">
        <f aca="true">COUNTIF(INDIRECT("'"&amp;A95&amp;"'!H9:H200"),"verified")</f>
        <v>0</v>
      </c>
      <c r="H95" s="10" t="n">
        <f aca="true">COUNTIF(INDIRECT("'"&amp;A95&amp;"'!H9:H200"),"blocked")</f>
        <v>1</v>
      </c>
      <c r="I95" s="10" t="n">
        <f aca="true">COUNTIF(INDIRECT("'"&amp;A95&amp;"'!H9:H200"),"not applicable")</f>
        <v>0</v>
      </c>
      <c r="J95" s="11" t="n">
        <f aca="true">INDIRECT("'"&amp;A95&amp;"'!H4")</f>
        <v>0.65</v>
      </c>
      <c r="K95" s="10" t="str">
        <f aca="true">INDIRECT("'"&amp;A95&amp;"'!K4")</f>
        <v>open</v>
      </c>
      <c r="L95" s="10" t="str">
        <f aca="true">INDIRECT("'"&amp;A95&amp;"'!E5")</f>
        <v>open</v>
      </c>
      <c r="M95" s="10" t="str">
        <f aca="false">IF(AND(J95=1,K95="complete",L95="complete"),"complete",IF(H95&gt;0,"blocked","open"))</f>
        <v>blocked</v>
      </c>
    </row>
    <row r="96" customFormat="false" ht="24" hidden="false" customHeight="true" outlineLevel="0" collapsed="false">
      <c r="A96" s="10" t="s">
        <v>105</v>
      </c>
      <c r="B96" s="10" t="n">
        <f aca="true">INDIRECT("'"&amp;A96&amp;"'!B4")</f>
        <v>20</v>
      </c>
      <c r="C96" s="10" t="n">
        <f aca="true">COUNTIF(INDIRECT("'"&amp;A96&amp;"'!H9:H200"),"not started")</f>
        <v>1</v>
      </c>
      <c r="D96" s="10" t="n">
        <f aca="true">COUNTIF(INDIRECT("'"&amp;A96&amp;"'!H9:H200"),"partial")</f>
        <v>0</v>
      </c>
      <c r="E96" s="10" t="n">
        <f aca="true">COUNTIF(INDIRECT("'"&amp;A96&amp;"'!H9:H200"),"implemented")</f>
        <v>0</v>
      </c>
      <c r="F96" s="10" t="n">
        <f aca="true">COUNTIF(INDIRECT("'"&amp;A96&amp;"'!H9:H200"),"tested")</f>
        <v>17</v>
      </c>
      <c r="G96" s="10" t="n">
        <f aca="true">COUNTIF(INDIRECT("'"&amp;A96&amp;"'!H9:H200"),"verified")</f>
        <v>2</v>
      </c>
      <c r="H96" s="10" t="n">
        <f aca="true">COUNTIF(INDIRECT("'"&amp;A96&amp;"'!H9:H200"),"blocked")</f>
        <v>0</v>
      </c>
      <c r="I96" s="10" t="n">
        <f aca="true">COUNTIF(INDIRECT("'"&amp;A96&amp;"'!H9:H200"),"not applicable")</f>
        <v>0</v>
      </c>
      <c r="J96" s="11" t="n">
        <f aca="true">INDIRECT("'"&amp;A96&amp;"'!H4")</f>
        <v>0.95</v>
      </c>
      <c r="K96" s="10" t="str">
        <f aca="true">INDIRECT("'"&amp;A96&amp;"'!K4")</f>
        <v>open</v>
      </c>
      <c r="L96" s="10" t="str">
        <f aca="true">INDIRECT("'"&amp;A96&amp;"'!E5")</f>
        <v>complete</v>
      </c>
      <c r="M96" s="10" t="str">
        <f aca="false">IF(AND(J96=1,K96="complete",L96="complete"),"complete",IF(H96&gt;0,"blocked","open"))</f>
        <v>open</v>
      </c>
    </row>
    <row r="97" customFormat="false" ht="24" hidden="false" customHeight="true" outlineLevel="0" collapsed="false">
      <c r="A97" s="10" t="s">
        <v>106</v>
      </c>
      <c r="B97" s="10" t="n">
        <f aca="true">INDIRECT("'"&amp;A97&amp;"'!B4")</f>
        <v>17</v>
      </c>
      <c r="C97" s="10" t="n">
        <f aca="true">COUNTIF(INDIRECT("'"&amp;A97&amp;"'!H9:H200"),"not started")</f>
        <v>0</v>
      </c>
      <c r="D97" s="10" t="n">
        <f aca="true">COUNTIF(INDIRECT("'"&amp;A97&amp;"'!H9:H200"),"partial")</f>
        <v>0</v>
      </c>
      <c r="E97" s="10" t="n">
        <f aca="true">COUNTIF(INDIRECT("'"&amp;A97&amp;"'!H9:H200"),"implemented")</f>
        <v>5</v>
      </c>
      <c r="F97" s="10" t="n">
        <f aca="true">COUNTIF(INDIRECT("'"&amp;A97&amp;"'!H9:H200"),"tested")</f>
        <v>12</v>
      </c>
      <c r="G97" s="10" t="n">
        <f aca="true">COUNTIF(INDIRECT("'"&amp;A97&amp;"'!H9:H200"),"verified")</f>
        <v>0</v>
      </c>
      <c r="H97" s="10" t="n">
        <f aca="true">COUNTIF(INDIRECT("'"&amp;A97&amp;"'!H9:H200"),"blocked")</f>
        <v>0</v>
      </c>
      <c r="I97" s="10" t="n">
        <f aca="true">COUNTIF(INDIRECT("'"&amp;A97&amp;"'!H9:H200"),"not applicable")</f>
        <v>0</v>
      </c>
      <c r="J97" s="10" t="n">
        <f aca="true">INDIRECT("'"&amp;A97&amp;"'!H4")</f>
        <v>0.705882352941177</v>
      </c>
      <c r="K97" s="10" t="str">
        <f aca="true">INDIRECT("'"&amp;A97&amp;"'!K4")</f>
        <v>open</v>
      </c>
      <c r="L97" s="10" t="str">
        <f aca="true">INDIRECT("'"&amp;A97&amp;"'!E5")</f>
        <v>complete</v>
      </c>
      <c r="M97" s="10" t="str">
        <f aca="false">IF(AND(J97=1,K97="complete",L97="complete"),"complete",IF(H97&gt;0,"blocked","open"))</f>
        <v>open</v>
      </c>
    </row>
    <row r="98" customFormat="false" ht="24" hidden="false" customHeight="true" outlineLevel="0" collapsed="false">
      <c r="A98" s="10" t="s">
        <v>107</v>
      </c>
      <c r="B98" s="10" t="n">
        <f aca="true">INDIRECT("'"&amp;A98&amp;"'!B4")</f>
        <v>17</v>
      </c>
      <c r="C98" s="10" t="n">
        <f aca="true">COUNTIF(INDIRECT("'"&amp;A98&amp;"'!H9:H200"),"not started")</f>
        <v>0</v>
      </c>
      <c r="D98" s="10" t="n">
        <f aca="true">COUNTIF(INDIRECT("'"&amp;A98&amp;"'!H9:H200"),"partial")</f>
        <v>0</v>
      </c>
      <c r="E98" s="10" t="n">
        <f aca="true">COUNTIF(INDIRECT("'"&amp;A98&amp;"'!H9:H200"),"implemented")</f>
        <v>5</v>
      </c>
      <c r="F98" s="10" t="n">
        <f aca="true">COUNTIF(INDIRECT("'"&amp;A98&amp;"'!H9:H200"),"tested")</f>
        <v>12</v>
      </c>
      <c r="G98" s="10" t="n">
        <f aca="true">COUNTIF(INDIRECT("'"&amp;A98&amp;"'!H9:H200"),"verified")</f>
        <v>0</v>
      </c>
      <c r="H98" s="10" t="n">
        <f aca="true">COUNTIF(INDIRECT("'"&amp;A98&amp;"'!H9:H200"),"blocked")</f>
        <v>0</v>
      </c>
      <c r="I98" s="10" t="n">
        <f aca="true">COUNTIF(INDIRECT("'"&amp;A98&amp;"'!H9:H200"),"not applicable")</f>
        <v>0</v>
      </c>
      <c r="J98" s="10" t="n">
        <f aca="true">INDIRECT("'"&amp;A98&amp;"'!H4")</f>
        <v>0.705882352941177</v>
      </c>
      <c r="K98" s="10" t="str">
        <f aca="true">INDIRECT("'"&amp;A98&amp;"'!K4")</f>
        <v>open</v>
      </c>
      <c r="L98" s="10" t="str">
        <f aca="true">INDIRECT("'"&amp;A98&amp;"'!E5")</f>
        <v>complete</v>
      </c>
      <c r="M98" s="10" t="str">
        <f aca="false">IF(AND(J98=1,K98="complete",L98="complete"),"complete",IF(H98&gt;0,"blocked","open"))</f>
        <v>open</v>
      </c>
    </row>
    <row r="99" customFormat="false" ht="24" hidden="false" customHeight="true" outlineLevel="0" collapsed="false">
      <c r="A99" s="10" t="s">
        <v>108</v>
      </c>
      <c r="B99" s="10" t="n">
        <f aca="true">INDIRECT("'"&amp;A99&amp;"'!B4")</f>
        <v>17</v>
      </c>
      <c r="C99" s="10" t="n">
        <f aca="true">COUNTIF(INDIRECT("'"&amp;A99&amp;"'!H9:H200"),"not started")</f>
        <v>0</v>
      </c>
      <c r="D99" s="10" t="n">
        <f aca="true">COUNTIF(INDIRECT("'"&amp;A99&amp;"'!H9:H200"),"partial")</f>
        <v>0</v>
      </c>
      <c r="E99" s="10" t="n">
        <f aca="true">COUNTIF(INDIRECT("'"&amp;A99&amp;"'!H9:H200"),"implemented")</f>
        <v>5</v>
      </c>
      <c r="F99" s="10" t="n">
        <f aca="true">COUNTIF(INDIRECT("'"&amp;A99&amp;"'!H9:H200"),"tested")</f>
        <v>12</v>
      </c>
      <c r="G99" s="10" t="n">
        <f aca="true">COUNTIF(INDIRECT("'"&amp;A99&amp;"'!H9:H200"),"verified")</f>
        <v>0</v>
      </c>
      <c r="H99" s="10" t="n">
        <f aca="true">COUNTIF(INDIRECT("'"&amp;A99&amp;"'!H9:H200"),"blocked")</f>
        <v>0</v>
      </c>
      <c r="I99" s="10" t="n">
        <f aca="true">COUNTIF(INDIRECT("'"&amp;A99&amp;"'!H9:H200"),"not applicable")</f>
        <v>0</v>
      </c>
      <c r="J99" s="10" t="n">
        <f aca="true">INDIRECT("'"&amp;A99&amp;"'!H4")</f>
        <v>0.705882352941177</v>
      </c>
      <c r="K99" s="10" t="str">
        <f aca="true">INDIRECT("'"&amp;A99&amp;"'!K4")</f>
        <v>open</v>
      </c>
      <c r="L99" s="10" t="str">
        <f aca="true">INDIRECT("'"&amp;A99&amp;"'!E5")</f>
        <v>complete</v>
      </c>
      <c r="M99" s="10" t="str">
        <f aca="false">IF(AND(J99=1,K99="complete",L99="complete"),"complete",IF(H99&gt;0,"blocked","open"))</f>
        <v>open</v>
      </c>
    </row>
    <row r="100" customFormat="false" ht="24" hidden="false" customHeight="true" outlineLevel="0" collapsed="false">
      <c r="A100" s="10" t="s">
        <v>109</v>
      </c>
      <c r="B100" s="10" t="n">
        <f aca="true">INDIRECT("'"&amp;A100&amp;"'!B4")</f>
        <v>17</v>
      </c>
      <c r="C100" s="10" t="n">
        <f aca="true">COUNTIF(INDIRECT("'"&amp;A100&amp;"'!H9:H200"),"not started")</f>
        <v>0</v>
      </c>
      <c r="D100" s="10" t="n">
        <f aca="true">COUNTIF(INDIRECT("'"&amp;A100&amp;"'!H9:H200"),"partial")</f>
        <v>0</v>
      </c>
      <c r="E100" s="10" t="n">
        <f aca="true">COUNTIF(INDIRECT("'"&amp;A100&amp;"'!H9:H200"),"implemented")</f>
        <v>5</v>
      </c>
      <c r="F100" s="10" t="n">
        <f aca="true">COUNTIF(INDIRECT("'"&amp;A100&amp;"'!H9:H200"),"tested")</f>
        <v>12</v>
      </c>
      <c r="G100" s="10" t="n">
        <f aca="true">COUNTIF(INDIRECT("'"&amp;A100&amp;"'!H9:H200"),"verified")</f>
        <v>0</v>
      </c>
      <c r="H100" s="10" t="n">
        <f aca="true">COUNTIF(INDIRECT("'"&amp;A100&amp;"'!H9:H200"),"blocked")</f>
        <v>0</v>
      </c>
      <c r="I100" s="10" t="n">
        <f aca="true">COUNTIF(INDIRECT("'"&amp;A100&amp;"'!H9:H200"),"not applicable")</f>
        <v>0</v>
      </c>
      <c r="J100" s="10" t="n">
        <f aca="true">INDIRECT("'"&amp;A100&amp;"'!H4")</f>
        <v>0.705882352941177</v>
      </c>
      <c r="K100" s="10" t="str">
        <f aca="true">INDIRECT("'"&amp;A100&amp;"'!K4")</f>
        <v>open</v>
      </c>
      <c r="L100" s="10" t="str">
        <f aca="true">INDIRECT("'"&amp;A100&amp;"'!E5")</f>
        <v>complete</v>
      </c>
      <c r="M100" s="10" t="str">
        <f aca="false">IF(AND(J100=1,K100="complete",L100="complete"),"complete",IF(H100&gt;0,"blocked","open"))</f>
        <v>open</v>
      </c>
    </row>
    <row r="101" customFormat="false" ht="24" hidden="false" customHeight="true" outlineLevel="0" collapsed="false">
      <c r="A101" s="10" t="s">
        <v>110</v>
      </c>
      <c r="B101" s="10" t="n">
        <f aca="true">INDIRECT("'"&amp;A101&amp;"'!B4")</f>
        <v>17</v>
      </c>
      <c r="C101" s="10" t="n">
        <f aca="true">COUNTIF(INDIRECT("'"&amp;A101&amp;"'!H9:H200"),"not started")</f>
        <v>0</v>
      </c>
      <c r="D101" s="10" t="n">
        <f aca="true">COUNTIF(INDIRECT("'"&amp;A101&amp;"'!H9:H200"),"partial")</f>
        <v>0</v>
      </c>
      <c r="E101" s="10" t="n">
        <f aca="true">COUNTIF(INDIRECT("'"&amp;A101&amp;"'!H9:H200"),"implemented")</f>
        <v>5</v>
      </c>
      <c r="F101" s="10" t="n">
        <f aca="true">COUNTIF(INDIRECT("'"&amp;A101&amp;"'!H9:H200"),"tested")</f>
        <v>12</v>
      </c>
      <c r="G101" s="10" t="n">
        <f aca="true">COUNTIF(INDIRECT("'"&amp;A101&amp;"'!H9:H200"),"verified")</f>
        <v>0</v>
      </c>
      <c r="H101" s="10" t="n">
        <f aca="true">COUNTIF(INDIRECT("'"&amp;A101&amp;"'!H9:H200"),"blocked")</f>
        <v>0</v>
      </c>
      <c r="I101" s="10" t="n">
        <f aca="true">COUNTIF(INDIRECT("'"&amp;A101&amp;"'!H9:H200"),"not applicable")</f>
        <v>0</v>
      </c>
      <c r="J101" s="10" t="n">
        <f aca="true">INDIRECT("'"&amp;A101&amp;"'!H4")</f>
        <v>0.705882352941177</v>
      </c>
      <c r="K101" s="10" t="str">
        <f aca="true">INDIRECT("'"&amp;A101&amp;"'!K4")</f>
        <v>open</v>
      </c>
      <c r="L101" s="10" t="str">
        <f aca="true">INDIRECT("'"&amp;A101&amp;"'!E5")</f>
        <v>complete</v>
      </c>
      <c r="M101" s="10" t="str">
        <f aca="false">IF(AND(J101=1,K101="complete",L101="complete"),"complete",IF(H101&gt;0,"blocked","open"))</f>
        <v>open</v>
      </c>
    </row>
    <row r="102" customFormat="false" ht="24" hidden="false" customHeight="true" outlineLevel="0" collapsed="false">
      <c r="A102" s="10" t="s">
        <v>111</v>
      </c>
      <c r="B102" s="10" t="n">
        <f aca="true">INDIRECT("'"&amp;A102&amp;"'!B4")</f>
        <v>17</v>
      </c>
      <c r="C102" s="10" t="n">
        <f aca="true">COUNTIF(INDIRECT("'"&amp;A102&amp;"'!H9:H200"),"not started")</f>
        <v>0</v>
      </c>
      <c r="D102" s="10" t="n">
        <f aca="true">COUNTIF(INDIRECT("'"&amp;A102&amp;"'!H9:H200"),"partial")</f>
        <v>0</v>
      </c>
      <c r="E102" s="10" t="n">
        <f aca="true">COUNTIF(INDIRECT("'"&amp;A102&amp;"'!H9:H200"),"implemented")</f>
        <v>5</v>
      </c>
      <c r="F102" s="10" t="n">
        <f aca="true">COUNTIF(INDIRECT("'"&amp;A102&amp;"'!H9:H200"),"tested")</f>
        <v>12</v>
      </c>
      <c r="G102" s="10" t="n">
        <f aca="true">COUNTIF(INDIRECT("'"&amp;A102&amp;"'!H9:H200"),"verified")</f>
        <v>0</v>
      </c>
      <c r="H102" s="10" t="n">
        <f aca="true">COUNTIF(INDIRECT("'"&amp;A102&amp;"'!H9:H200"),"blocked")</f>
        <v>0</v>
      </c>
      <c r="I102" s="10" t="n">
        <f aca="true">COUNTIF(INDIRECT("'"&amp;A102&amp;"'!H9:H200"),"not applicable")</f>
        <v>0</v>
      </c>
      <c r="J102" s="10" t="n">
        <f aca="true">INDIRECT("'"&amp;A102&amp;"'!H4")</f>
        <v>0.705882352941177</v>
      </c>
      <c r="K102" s="10" t="str">
        <f aca="true">INDIRECT("'"&amp;A102&amp;"'!K4")</f>
        <v>open</v>
      </c>
      <c r="L102" s="10" t="str">
        <f aca="true">INDIRECT("'"&amp;A102&amp;"'!E5")</f>
        <v>complete</v>
      </c>
      <c r="M102" s="10" t="str">
        <f aca="false">IF(AND(J102=1,K102="complete",L102="complete"),"complete",IF(H102&gt;0,"blocked","open"))</f>
        <v>open</v>
      </c>
    </row>
  </sheetData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4">
      <formula>NOT(ISERROR(SEARCH("complete",M8)))</formula>
    </cfRule>
  </conditionalFormatting>
  <conditionalFormatting sqref="M83:M95">
    <cfRule type="containsText" priority="3" operator="containsText" aboveAverage="0" equalAverage="0" bottom="0" percent="0" rank="0" text="complete" dxfId="4">
      <formula>NOT(ISERROR(SEARCH("complete",M83)))</formula>
    </cfRule>
    <cfRule type="containsText" priority="4" operator="containsText" aboveAverage="0" equalAverage="0" bottom="0" percent="0" rank="0" text="complete" dxfId="4">
      <formula>NOT(ISERROR(SEARCH("complete",M83)))</formula>
    </cfRule>
    <cfRule type="containsText" priority="5" operator="containsText" aboveAverage="0" equalAverage="0" bottom="0" percent="0" rank="0" text="complete" dxfId="4">
      <formula>NOT(ISERROR(SEARCH("complete",M83)))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112</v>
      </c>
      <c r="B1" s="3"/>
      <c r="C1" s="3"/>
      <c r="D1" s="3"/>
    </row>
    <row r="2" customFormat="false" ht="27.75" hidden="false" customHeight="true" outlineLevel="0" collapsed="false">
      <c r="A2" s="4" t="s">
        <v>113</v>
      </c>
      <c r="B2" s="4"/>
      <c r="C2" s="4"/>
      <c r="D2" s="4"/>
    </row>
    <row r="3" customFormat="false" ht="15" hidden="false" customHeight="true" outlineLevel="0" collapsed="false">
      <c r="A3" s="8" t="s">
        <v>114</v>
      </c>
      <c r="B3" s="8" t="s">
        <v>115</v>
      </c>
    </row>
    <row r="4" customFormat="false" ht="30" hidden="false" customHeight="true" outlineLevel="0" collapsed="false">
      <c r="A4" s="1" t="s">
        <v>116</v>
      </c>
      <c r="B4" s="1" t="s">
        <v>117</v>
      </c>
    </row>
    <row r="5" customFormat="false" ht="30" hidden="false" customHeight="true" outlineLevel="0" collapsed="false">
      <c r="A5" s="1" t="s">
        <v>118</v>
      </c>
      <c r="B5" s="1" t="s">
        <v>119</v>
      </c>
    </row>
    <row r="6" customFormat="false" ht="30" hidden="false" customHeight="true" outlineLevel="0" collapsed="false">
      <c r="A6" s="1" t="s">
        <v>120</v>
      </c>
      <c r="B6" s="1" t="s">
        <v>121</v>
      </c>
    </row>
    <row r="7" customFormat="false" ht="30" hidden="false" customHeight="true" outlineLevel="0" collapsed="false">
      <c r="A7" s="1" t="s">
        <v>122</v>
      </c>
      <c r="B7" s="1" t="s">
        <v>123</v>
      </c>
    </row>
    <row r="8" customFormat="false" ht="30" hidden="false" customHeight="true" outlineLevel="0" collapsed="false">
      <c r="A8" s="1" t="s">
        <v>124</v>
      </c>
      <c r="B8" s="1" t="s">
        <v>125</v>
      </c>
    </row>
    <row r="9" customFormat="false" ht="30" hidden="false" customHeight="true" outlineLevel="0" collapsed="false">
      <c r="A9" s="1" t="s">
        <v>126</v>
      </c>
      <c r="B9" s="1" t="s">
        <v>127</v>
      </c>
    </row>
    <row r="10" customFormat="false" ht="30" hidden="false" customHeight="true" outlineLevel="0" collapsed="false">
      <c r="A10" s="1" t="s">
        <v>128</v>
      </c>
      <c r="B10" s="1" t="s">
        <v>129</v>
      </c>
    </row>
    <row r="11" customFormat="false" ht="30" hidden="false" customHeight="true" outlineLevel="0" collapsed="false">
      <c r="A11" s="1" t="s">
        <v>130</v>
      </c>
      <c r="B11" s="1" t="s">
        <v>131</v>
      </c>
    </row>
    <row r="12" customFormat="false" ht="30" hidden="false" customHeight="true" outlineLevel="0" collapsed="false">
      <c r="A12" s="1" t="s">
        <v>132</v>
      </c>
      <c r="B12" s="1" t="s">
        <v>133</v>
      </c>
    </row>
    <row r="13" customFormat="false" ht="30" hidden="false" customHeight="true" outlineLevel="0" collapsed="false">
      <c r="A13" s="1" t="s">
        <v>134</v>
      </c>
      <c r="B13" s="1" t="s">
        <v>135</v>
      </c>
    </row>
    <row r="14" customFormat="false" ht="30" hidden="false" customHeight="true" outlineLevel="0" collapsed="false">
      <c r="A14" s="1" t="s">
        <v>136</v>
      </c>
      <c r="B14" s="1" t="s">
        <v>137</v>
      </c>
    </row>
    <row r="15" customFormat="false" ht="30" hidden="false" customHeight="true" outlineLevel="0" collapsed="false">
      <c r="A15" s="1" t="s">
        <v>138</v>
      </c>
      <c r="B15" s="1" t="s">
        <v>139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120</v>
      </c>
      <c r="B1" s="1" t="s">
        <v>140</v>
      </c>
    </row>
    <row r="2" customFormat="false" ht="15" hidden="false" customHeight="true" outlineLevel="0" collapsed="false">
      <c r="A2" s="1" t="s">
        <v>122</v>
      </c>
      <c r="B2" s="1" t="s">
        <v>141</v>
      </c>
    </row>
    <row r="3" customFormat="false" ht="15" hidden="false" customHeight="true" outlineLevel="0" collapsed="false">
      <c r="A3" s="1" t="s">
        <v>124</v>
      </c>
    </row>
    <row r="4" customFormat="false" ht="15" hidden="false" customHeight="true" outlineLevel="0" collapsed="false">
      <c r="A4" s="1" t="s">
        <v>126</v>
      </c>
    </row>
    <row r="5" customFormat="false" ht="15" hidden="false" customHeight="true" outlineLevel="0" collapsed="false">
      <c r="A5" s="1" t="s">
        <v>128</v>
      </c>
    </row>
    <row r="6" customFormat="false" ht="15" hidden="false" customHeight="true" outlineLevel="0" collapsed="false">
      <c r="A6" s="1" t="s">
        <v>130</v>
      </c>
    </row>
    <row r="7" customFormat="false" ht="15" hidden="false" customHeight="true" outlineLevel="0" collapsed="false">
      <c r="A7" s="1" t="s">
        <v>132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157</v>
      </c>
      <c r="B9" s="1" t="s">
        <v>158</v>
      </c>
      <c r="C9" s="1" t="s">
        <v>159</v>
      </c>
      <c r="D9" s="1" t="s">
        <v>160</v>
      </c>
      <c r="E9" s="1" t="s">
        <v>161</v>
      </c>
      <c r="F9" s="1" t="s">
        <v>162</v>
      </c>
      <c r="G9" s="1" t="s">
        <v>163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164</v>
      </c>
      <c r="B10" s="1" t="s">
        <v>165</v>
      </c>
      <c r="C10" s="1" t="s">
        <v>159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168</v>
      </c>
      <c r="B11" s="1" t="s">
        <v>169</v>
      </c>
      <c r="C11" s="1" t="s">
        <v>159</v>
      </c>
      <c r="D11" s="1" t="s">
        <v>170</v>
      </c>
      <c r="E11" s="1" t="s">
        <v>161</v>
      </c>
      <c r="F11" s="1" t="s">
        <v>171</v>
      </c>
      <c r="G11" s="1" t="s">
        <v>172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173</v>
      </c>
      <c r="B12" s="1" t="s">
        <v>174</v>
      </c>
      <c r="C12" s="1" t="s">
        <v>159</v>
      </c>
      <c r="D12" s="1" t="s">
        <v>175</v>
      </c>
      <c r="E12" s="1" t="s">
        <v>161</v>
      </c>
      <c r="F12" s="1" t="s">
        <v>176</v>
      </c>
      <c r="G12" s="1" t="s">
        <v>177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178</v>
      </c>
      <c r="B13" s="1" t="s">
        <v>179</v>
      </c>
      <c r="C13" s="1" t="s">
        <v>159</v>
      </c>
      <c r="D13" s="1" t="s">
        <v>180</v>
      </c>
      <c r="E13" s="1" t="s">
        <v>161</v>
      </c>
      <c r="F13" s="1" t="s">
        <v>181</v>
      </c>
      <c r="G13" s="1" t="s">
        <v>182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183</v>
      </c>
      <c r="B14" s="1" t="s">
        <v>184</v>
      </c>
      <c r="C14" s="1" t="s">
        <v>159</v>
      </c>
      <c r="D14" s="1" t="s">
        <v>185</v>
      </c>
      <c r="E14" s="1" t="s">
        <v>161</v>
      </c>
      <c r="F14" s="1" t="s">
        <v>186</v>
      </c>
      <c r="G14" s="1" t="s">
        <v>187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188</v>
      </c>
      <c r="B15" s="1" t="s">
        <v>189</v>
      </c>
      <c r="C15" s="1" t="s">
        <v>159</v>
      </c>
      <c r="D15" s="1" t="s">
        <v>190</v>
      </c>
      <c r="E15" s="1" t="s">
        <v>161</v>
      </c>
      <c r="F15" s="1" t="s">
        <v>191</v>
      </c>
      <c r="G15" s="1" t="s">
        <v>192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193</v>
      </c>
      <c r="B16" s="1" t="s">
        <v>194</v>
      </c>
      <c r="C16" s="1" t="s">
        <v>159</v>
      </c>
      <c r="D16" s="1" t="s">
        <v>195</v>
      </c>
      <c r="E16" s="1" t="s">
        <v>161</v>
      </c>
      <c r="F16" s="1" t="s">
        <v>196</v>
      </c>
      <c r="G16" s="1" t="s">
        <v>197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199</v>
      </c>
      <c r="B17" s="1" t="s">
        <v>200</v>
      </c>
      <c r="C17" s="1" t="s">
        <v>159</v>
      </c>
      <c r="D17" s="1" t="s">
        <v>201</v>
      </c>
      <c r="E17" s="1" t="s">
        <v>161</v>
      </c>
      <c r="F17" s="1" t="s">
        <v>202</v>
      </c>
      <c r="G17" s="1" t="s">
        <v>203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205</v>
      </c>
      <c r="B18" s="1" t="s">
        <v>206</v>
      </c>
      <c r="C18" s="1" t="s">
        <v>159</v>
      </c>
      <c r="D18" s="1" t="s">
        <v>207</v>
      </c>
      <c r="E18" s="1" t="s">
        <v>161</v>
      </c>
      <c r="F18" s="1" t="s">
        <v>202</v>
      </c>
      <c r="G18" s="1" t="s">
        <v>203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208</v>
      </c>
      <c r="B19" s="1" t="s">
        <v>209</v>
      </c>
      <c r="C19" s="1" t="s">
        <v>159</v>
      </c>
      <c r="D19" s="1" t="s">
        <v>210</v>
      </c>
      <c r="E19" s="1" t="s">
        <v>161</v>
      </c>
      <c r="F19" s="1" t="s">
        <v>202</v>
      </c>
      <c r="G19" s="1" t="s">
        <v>211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213</v>
      </c>
      <c r="B20" s="1" t="s">
        <v>214</v>
      </c>
      <c r="C20" s="1" t="s">
        <v>159</v>
      </c>
      <c r="D20" s="1" t="s">
        <v>215</v>
      </c>
      <c r="E20" s="1" t="s">
        <v>161</v>
      </c>
      <c r="F20" s="1" t="s">
        <v>202</v>
      </c>
      <c r="G20" s="1" t="s">
        <v>203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217</v>
      </c>
      <c r="B21" s="1" t="s">
        <v>218</v>
      </c>
      <c r="C21" s="1" t="s">
        <v>159</v>
      </c>
      <c r="D21" s="1" t="s">
        <v>219</v>
      </c>
      <c r="E21" s="1" t="s">
        <v>161</v>
      </c>
      <c r="F21" s="1" t="s">
        <v>220</v>
      </c>
      <c r="G21" s="1" t="s">
        <v>221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222</v>
      </c>
      <c r="B22" s="1" t="s">
        <v>223</v>
      </c>
      <c r="C22" s="1" t="s">
        <v>159</v>
      </c>
      <c r="D22" s="1" t="s">
        <v>224</v>
      </c>
      <c r="E22" s="1" t="s">
        <v>161</v>
      </c>
      <c r="F22" s="1" t="s">
        <v>220</v>
      </c>
      <c r="G22" s="1" t="s">
        <v>225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226</v>
      </c>
      <c r="B23" s="1" t="s">
        <v>227</v>
      </c>
      <c r="C23" s="1" t="s">
        <v>159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231</v>
      </c>
      <c r="B24" s="1" t="s">
        <v>232</v>
      </c>
      <c r="C24" s="1" t="s">
        <v>159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236</v>
      </c>
      <c r="B9" s="1" t="s">
        <v>158</v>
      </c>
      <c r="C9" s="1" t="s">
        <v>237</v>
      </c>
      <c r="D9" s="1" t="s">
        <v>160</v>
      </c>
      <c r="E9" s="1" t="s">
        <v>161</v>
      </c>
      <c r="F9" s="1" t="s">
        <v>162</v>
      </c>
      <c r="G9" s="1" t="s">
        <v>238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239</v>
      </c>
      <c r="B10" s="1" t="s">
        <v>165</v>
      </c>
      <c r="C10" s="1" t="s">
        <v>237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240</v>
      </c>
      <c r="B11" s="1" t="s">
        <v>169</v>
      </c>
      <c r="C11" s="1" t="s">
        <v>237</v>
      </c>
      <c r="D11" s="1" t="s">
        <v>170</v>
      </c>
      <c r="E11" s="1" t="s">
        <v>161</v>
      </c>
      <c r="F11" s="1" t="s">
        <v>171</v>
      </c>
      <c r="G11" s="1" t="s">
        <v>241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242</v>
      </c>
      <c r="B12" s="1" t="s">
        <v>174</v>
      </c>
      <c r="C12" s="1" t="s">
        <v>237</v>
      </c>
      <c r="D12" s="1" t="s">
        <v>175</v>
      </c>
      <c r="E12" s="1" t="s">
        <v>161</v>
      </c>
      <c r="F12" s="1" t="s">
        <v>176</v>
      </c>
      <c r="G12" s="1" t="s">
        <v>243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244</v>
      </c>
      <c r="B13" s="1" t="s">
        <v>179</v>
      </c>
      <c r="C13" s="1" t="s">
        <v>237</v>
      </c>
      <c r="D13" s="1" t="s">
        <v>180</v>
      </c>
      <c r="E13" s="1" t="s">
        <v>161</v>
      </c>
      <c r="F13" s="1" t="s">
        <v>181</v>
      </c>
      <c r="G13" s="1" t="s">
        <v>245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246</v>
      </c>
      <c r="B14" s="1" t="s">
        <v>184</v>
      </c>
      <c r="C14" s="1" t="s">
        <v>237</v>
      </c>
      <c r="D14" s="1" t="s">
        <v>185</v>
      </c>
      <c r="E14" s="1" t="s">
        <v>161</v>
      </c>
      <c r="F14" s="1" t="s">
        <v>186</v>
      </c>
      <c r="G14" s="1" t="s">
        <v>247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248</v>
      </c>
      <c r="B15" s="1" t="s">
        <v>189</v>
      </c>
      <c r="C15" s="1" t="s">
        <v>237</v>
      </c>
      <c r="D15" s="1" t="s">
        <v>190</v>
      </c>
      <c r="E15" s="1" t="s">
        <v>161</v>
      </c>
      <c r="F15" s="1" t="s">
        <v>191</v>
      </c>
      <c r="G15" s="1" t="s">
        <v>249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250</v>
      </c>
      <c r="B16" s="1" t="s">
        <v>194</v>
      </c>
      <c r="C16" s="1" t="s">
        <v>237</v>
      </c>
      <c r="D16" s="1" t="s">
        <v>195</v>
      </c>
      <c r="E16" s="1" t="s">
        <v>161</v>
      </c>
      <c r="F16" s="1" t="s">
        <v>196</v>
      </c>
      <c r="G16" s="1" t="s">
        <v>251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252</v>
      </c>
      <c r="B17" s="1" t="s">
        <v>200</v>
      </c>
      <c r="C17" s="1" t="s">
        <v>237</v>
      </c>
      <c r="D17" s="1" t="s">
        <v>201</v>
      </c>
      <c r="E17" s="1" t="s">
        <v>161</v>
      </c>
      <c r="F17" s="1" t="s">
        <v>202</v>
      </c>
      <c r="G17" s="1" t="s">
        <v>253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254</v>
      </c>
      <c r="B18" s="1" t="s">
        <v>206</v>
      </c>
      <c r="C18" s="1" t="s">
        <v>237</v>
      </c>
      <c r="D18" s="1" t="s">
        <v>207</v>
      </c>
      <c r="E18" s="1" t="s">
        <v>161</v>
      </c>
      <c r="F18" s="1" t="s">
        <v>202</v>
      </c>
      <c r="G18" s="1" t="s">
        <v>253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255</v>
      </c>
      <c r="B19" s="1" t="s">
        <v>209</v>
      </c>
      <c r="C19" s="1" t="s">
        <v>237</v>
      </c>
      <c r="D19" s="1" t="s">
        <v>210</v>
      </c>
      <c r="E19" s="1" t="s">
        <v>161</v>
      </c>
      <c r="F19" s="1" t="s">
        <v>202</v>
      </c>
      <c r="G19" s="1" t="s">
        <v>256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257</v>
      </c>
      <c r="B20" s="1" t="s">
        <v>214</v>
      </c>
      <c r="C20" s="1" t="s">
        <v>237</v>
      </c>
      <c r="D20" s="1" t="s">
        <v>215</v>
      </c>
      <c r="E20" s="1" t="s">
        <v>161</v>
      </c>
      <c r="F20" s="1" t="s">
        <v>202</v>
      </c>
      <c r="G20" s="1" t="s">
        <v>253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258</v>
      </c>
      <c r="B21" s="1" t="s">
        <v>218</v>
      </c>
      <c r="C21" s="1" t="s">
        <v>237</v>
      </c>
      <c r="D21" s="1" t="s">
        <v>219</v>
      </c>
      <c r="E21" s="1" t="s">
        <v>161</v>
      </c>
      <c r="F21" s="1" t="s">
        <v>220</v>
      </c>
      <c r="G21" s="1" t="s">
        <v>259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260</v>
      </c>
      <c r="B22" s="1" t="s">
        <v>223</v>
      </c>
      <c r="C22" s="1" t="s">
        <v>237</v>
      </c>
      <c r="D22" s="1" t="s">
        <v>224</v>
      </c>
      <c r="E22" s="1" t="s">
        <v>161</v>
      </c>
      <c r="F22" s="1" t="s">
        <v>220</v>
      </c>
      <c r="G22" s="1" t="s">
        <v>261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262</v>
      </c>
      <c r="B23" s="1" t="s">
        <v>227</v>
      </c>
      <c r="C23" s="1" t="s">
        <v>237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263</v>
      </c>
      <c r="B24" s="1" t="s">
        <v>232</v>
      </c>
      <c r="C24" s="1" t="s">
        <v>237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265</v>
      </c>
      <c r="B9" s="1" t="s">
        <v>158</v>
      </c>
      <c r="C9" s="1" t="s">
        <v>19</v>
      </c>
      <c r="D9" s="1" t="s">
        <v>160</v>
      </c>
      <c r="E9" s="1" t="s">
        <v>161</v>
      </c>
      <c r="F9" s="1" t="s">
        <v>162</v>
      </c>
      <c r="G9" s="1" t="s">
        <v>266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267</v>
      </c>
      <c r="B10" s="1" t="s">
        <v>165</v>
      </c>
      <c r="C10" s="1" t="s">
        <v>19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268</v>
      </c>
      <c r="B11" s="1" t="s">
        <v>169</v>
      </c>
      <c r="C11" s="1" t="s">
        <v>19</v>
      </c>
      <c r="D11" s="1" t="s">
        <v>170</v>
      </c>
      <c r="E11" s="1" t="s">
        <v>161</v>
      </c>
      <c r="F11" s="1" t="s">
        <v>171</v>
      </c>
      <c r="G11" s="1" t="s">
        <v>269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270</v>
      </c>
      <c r="B12" s="1" t="s">
        <v>174</v>
      </c>
      <c r="C12" s="1" t="s">
        <v>19</v>
      </c>
      <c r="D12" s="1" t="s">
        <v>175</v>
      </c>
      <c r="E12" s="1" t="s">
        <v>161</v>
      </c>
      <c r="F12" s="1" t="s">
        <v>176</v>
      </c>
      <c r="G12" s="1" t="s">
        <v>271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272</v>
      </c>
      <c r="B13" s="1" t="s">
        <v>179</v>
      </c>
      <c r="C13" s="1" t="s">
        <v>19</v>
      </c>
      <c r="D13" s="1" t="s">
        <v>180</v>
      </c>
      <c r="E13" s="1" t="s">
        <v>161</v>
      </c>
      <c r="F13" s="1" t="s">
        <v>181</v>
      </c>
      <c r="G13" s="1" t="s">
        <v>273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274</v>
      </c>
      <c r="B14" s="1" t="s">
        <v>184</v>
      </c>
      <c r="C14" s="1" t="s">
        <v>19</v>
      </c>
      <c r="D14" s="1" t="s">
        <v>185</v>
      </c>
      <c r="E14" s="1" t="s">
        <v>161</v>
      </c>
      <c r="F14" s="1" t="s">
        <v>186</v>
      </c>
      <c r="G14" s="1" t="s">
        <v>275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276</v>
      </c>
      <c r="B15" s="1" t="s">
        <v>189</v>
      </c>
      <c r="C15" s="1" t="s">
        <v>19</v>
      </c>
      <c r="D15" s="1" t="s">
        <v>190</v>
      </c>
      <c r="E15" s="1" t="s">
        <v>161</v>
      </c>
      <c r="F15" s="1" t="s">
        <v>191</v>
      </c>
      <c r="G15" s="1" t="s">
        <v>277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278</v>
      </c>
      <c r="B16" s="1" t="s">
        <v>194</v>
      </c>
      <c r="C16" s="1" t="s">
        <v>19</v>
      </c>
      <c r="D16" s="1" t="s">
        <v>195</v>
      </c>
      <c r="E16" s="1" t="s">
        <v>161</v>
      </c>
      <c r="F16" s="1" t="s">
        <v>196</v>
      </c>
      <c r="G16" s="1" t="s">
        <v>279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280</v>
      </c>
      <c r="B17" s="1" t="s">
        <v>200</v>
      </c>
      <c r="C17" s="1" t="s">
        <v>19</v>
      </c>
      <c r="D17" s="1" t="s">
        <v>201</v>
      </c>
      <c r="E17" s="1" t="s">
        <v>161</v>
      </c>
      <c r="F17" s="1" t="s">
        <v>202</v>
      </c>
      <c r="G17" s="1" t="s">
        <v>281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282</v>
      </c>
      <c r="B18" s="1" t="s">
        <v>206</v>
      </c>
      <c r="C18" s="1" t="s">
        <v>19</v>
      </c>
      <c r="D18" s="1" t="s">
        <v>207</v>
      </c>
      <c r="E18" s="1" t="s">
        <v>161</v>
      </c>
      <c r="F18" s="1" t="s">
        <v>202</v>
      </c>
      <c r="G18" s="1" t="s">
        <v>281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283</v>
      </c>
      <c r="B19" s="1" t="s">
        <v>209</v>
      </c>
      <c r="C19" s="1" t="s">
        <v>19</v>
      </c>
      <c r="D19" s="1" t="s">
        <v>210</v>
      </c>
      <c r="E19" s="1" t="s">
        <v>161</v>
      </c>
      <c r="F19" s="1" t="s">
        <v>202</v>
      </c>
      <c r="G19" s="1" t="s">
        <v>284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285</v>
      </c>
      <c r="B20" s="1" t="s">
        <v>214</v>
      </c>
      <c r="C20" s="1" t="s">
        <v>19</v>
      </c>
      <c r="D20" s="1" t="s">
        <v>215</v>
      </c>
      <c r="E20" s="1" t="s">
        <v>161</v>
      </c>
      <c r="F20" s="1" t="s">
        <v>202</v>
      </c>
      <c r="G20" s="1" t="s">
        <v>281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286</v>
      </c>
      <c r="B21" s="1" t="s">
        <v>218</v>
      </c>
      <c r="C21" s="1" t="s">
        <v>19</v>
      </c>
      <c r="D21" s="1" t="s">
        <v>219</v>
      </c>
      <c r="E21" s="1" t="s">
        <v>161</v>
      </c>
      <c r="F21" s="1" t="s">
        <v>220</v>
      </c>
      <c r="G21" s="1" t="s">
        <v>287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288</v>
      </c>
      <c r="B22" s="1" t="s">
        <v>223</v>
      </c>
      <c r="C22" s="1" t="s">
        <v>19</v>
      </c>
      <c r="D22" s="1" t="s">
        <v>224</v>
      </c>
      <c r="E22" s="1" t="s">
        <v>161</v>
      </c>
      <c r="F22" s="1" t="s">
        <v>220</v>
      </c>
      <c r="G22" s="1" t="s">
        <v>289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290</v>
      </c>
      <c r="B23" s="1" t="s">
        <v>227</v>
      </c>
      <c r="C23" s="1" t="s">
        <v>19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291</v>
      </c>
      <c r="B24" s="1" t="s">
        <v>232</v>
      </c>
      <c r="C24" s="1" t="s">
        <v>19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293</v>
      </c>
      <c r="B9" s="1" t="s">
        <v>158</v>
      </c>
      <c r="C9" s="1" t="s">
        <v>20</v>
      </c>
      <c r="D9" s="1" t="s">
        <v>160</v>
      </c>
      <c r="E9" s="1" t="s">
        <v>161</v>
      </c>
      <c r="F9" s="1" t="s">
        <v>162</v>
      </c>
      <c r="G9" s="1" t="s">
        <v>294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295</v>
      </c>
      <c r="B10" s="1" t="s">
        <v>165</v>
      </c>
      <c r="C10" s="1" t="s">
        <v>20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296</v>
      </c>
      <c r="B11" s="1" t="s">
        <v>169</v>
      </c>
      <c r="C11" s="1" t="s">
        <v>20</v>
      </c>
      <c r="D11" s="1" t="s">
        <v>170</v>
      </c>
      <c r="E11" s="1" t="s">
        <v>161</v>
      </c>
      <c r="F11" s="1" t="s">
        <v>171</v>
      </c>
      <c r="G11" s="1" t="s">
        <v>297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298</v>
      </c>
      <c r="B12" s="1" t="s">
        <v>174</v>
      </c>
      <c r="C12" s="1" t="s">
        <v>20</v>
      </c>
      <c r="D12" s="1" t="s">
        <v>175</v>
      </c>
      <c r="E12" s="1" t="s">
        <v>161</v>
      </c>
      <c r="F12" s="1" t="s">
        <v>176</v>
      </c>
      <c r="G12" s="1" t="s">
        <v>299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300</v>
      </c>
      <c r="B13" s="1" t="s">
        <v>179</v>
      </c>
      <c r="C13" s="1" t="s">
        <v>20</v>
      </c>
      <c r="D13" s="1" t="s">
        <v>180</v>
      </c>
      <c r="E13" s="1" t="s">
        <v>161</v>
      </c>
      <c r="F13" s="1" t="s">
        <v>181</v>
      </c>
      <c r="G13" s="1" t="s">
        <v>301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302</v>
      </c>
      <c r="B14" s="1" t="s">
        <v>184</v>
      </c>
      <c r="C14" s="1" t="s">
        <v>20</v>
      </c>
      <c r="D14" s="1" t="s">
        <v>185</v>
      </c>
      <c r="E14" s="1" t="s">
        <v>161</v>
      </c>
      <c r="F14" s="1" t="s">
        <v>186</v>
      </c>
      <c r="G14" s="1" t="s">
        <v>303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304</v>
      </c>
      <c r="B15" s="1" t="s">
        <v>189</v>
      </c>
      <c r="C15" s="1" t="s">
        <v>20</v>
      </c>
      <c r="D15" s="1" t="s">
        <v>190</v>
      </c>
      <c r="E15" s="1" t="s">
        <v>161</v>
      </c>
      <c r="F15" s="1" t="s">
        <v>191</v>
      </c>
      <c r="G15" s="1" t="s">
        <v>305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306</v>
      </c>
      <c r="B16" s="1" t="s">
        <v>194</v>
      </c>
      <c r="C16" s="1" t="s">
        <v>20</v>
      </c>
      <c r="D16" s="1" t="s">
        <v>195</v>
      </c>
      <c r="E16" s="1" t="s">
        <v>161</v>
      </c>
      <c r="F16" s="1" t="s">
        <v>196</v>
      </c>
      <c r="G16" s="1" t="s">
        <v>307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308</v>
      </c>
      <c r="B17" s="1" t="s">
        <v>200</v>
      </c>
      <c r="C17" s="1" t="s">
        <v>20</v>
      </c>
      <c r="D17" s="1" t="s">
        <v>201</v>
      </c>
      <c r="E17" s="1" t="s">
        <v>161</v>
      </c>
      <c r="F17" s="1" t="s">
        <v>202</v>
      </c>
      <c r="G17" s="1" t="s">
        <v>309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310</v>
      </c>
      <c r="B18" s="1" t="s">
        <v>206</v>
      </c>
      <c r="C18" s="1" t="s">
        <v>20</v>
      </c>
      <c r="D18" s="1" t="s">
        <v>207</v>
      </c>
      <c r="E18" s="1" t="s">
        <v>161</v>
      </c>
      <c r="F18" s="1" t="s">
        <v>202</v>
      </c>
      <c r="G18" s="1" t="s">
        <v>309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311</v>
      </c>
      <c r="B19" s="1" t="s">
        <v>209</v>
      </c>
      <c r="C19" s="1" t="s">
        <v>20</v>
      </c>
      <c r="D19" s="1" t="s">
        <v>210</v>
      </c>
      <c r="E19" s="1" t="s">
        <v>161</v>
      </c>
      <c r="F19" s="1" t="s">
        <v>202</v>
      </c>
      <c r="G19" s="1" t="s">
        <v>312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313</v>
      </c>
      <c r="B20" s="1" t="s">
        <v>214</v>
      </c>
      <c r="C20" s="1" t="s">
        <v>20</v>
      </c>
      <c r="D20" s="1" t="s">
        <v>215</v>
      </c>
      <c r="E20" s="1" t="s">
        <v>161</v>
      </c>
      <c r="F20" s="1" t="s">
        <v>202</v>
      </c>
      <c r="G20" s="1" t="s">
        <v>309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314</v>
      </c>
      <c r="B21" s="1" t="s">
        <v>218</v>
      </c>
      <c r="C21" s="1" t="s">
        <v>20</v>
      </c>
      <c r="D21" s="1" t="s">
        <v>219</v>
      </c>
      <c r="E21" s="1" t="s">
        <v>161</v>
      </c>
      <c r="F21" s="1" t="s">
        <v>220</v>
      </c>
      <c r="G21" s="1" t="s">
        <v>315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316</v>
      </c>
      <c r="B22" s="1" t="s">
        <v>223</v>
      </c>
      <c r="C22" s="1" t="s">
        <v>20</v>
      </c>
      <c r="D22" s="1" t="s">
        <v>224</v>
      </c>
      <c r="E22" s="1" t="s">
        <v>161</v>
      </c>
      <c r="F22" s="1" t="s">
        <v>220</v>
      </c>
      <c r="G22" s="1" t="s">
        <v>317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318</v>
      </c>
      <c r="B23" s="1" t="s">
        <v>227</v>
      </c>
      <c r="C23" s="1" t="s">
        <v>20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319</v>
      </c>
      <c r="B24" s="1" t="s">
        <v>232</v>
      </c>
      <c r="C24" s="1" t="s">
        <v>20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293</v>
      </c>
      <c r="B9" s="1" t="s">
        <v>158</v>
      </c>
      <c r="C9" s="1" t="s">
        <v>21</v>
      </c>
      <c r="D9" s="1" t="s">
        <v>160</v>
      </c>
      <c r="E9" s="1" t="s">
        <v>161</v>
      </c>
      <c r="F9" s="1" t="s">
        <v>162</v>
      </c>
      <c r="G9" s="1" t="s">
        <v>321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295</v>
      </c>
      <c r="B10" s="1" t="s">
        <v>165</v>
      </c>
      <c r="C10" s="1" t="s">
        <v>21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296</v>
      </c>
      <c r="B11" s="1" t="s">
        <v>169</v>
      </c>
      <c r="C11" s="1" t="s">
        <v>21</v>
      </c>
      <c r="D11" s="1" t="s">
        <v>170</v>
      </c>
      <c r="E11" s="1" t="s">
        <v>161</v>
      </c>
      <c r="F11" s="1" t="s">
        <v>171</v>
      </c>
      <c r="G11" s="1" t="s">
        <v>322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298</v>
      </c>
      <c r="B12" s="1" t="s">
        <v>174</v>
      </c>
      <c r="C12" s="1" t="s">
        <v>21</v>
      </c>
      <c r="D12" s="1" t="s">
        <v>175</v>
      </c>
      <c r="E12" s="1" t="s">
        <v>161</v>
      </c>
      <c r="F12" s="1" t="s">
        <v>176</v>
      </c>
      <c r="G12" s="1" t="s">
        <v>323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300</v>
      </c>
      <c r="B13" s="1" t="s">
        <v>179</v>
      </c>
      <c r="C13" s="1" t="s">
        <v>21</v>
      </c>
      <c r="D13" s="1" t="s">
        <v>180</v>
      </c>
      <c r="E13" s="1" t="s">
        <v>161</v>
      </c>
      <c r="F13" s="1" t="s">
        <v>181</v>
      </c>
      <c r="G13" s="1" t="s">
        <v>324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302</v>
      </c>
      <c r="B14" s="1" t="s">
        <v>184</v>
      </c>
      <c r="C14" s="1" t="s">
        <v>21</v>
      </c>
      <c r="D14" s="1" t="s">
        <v>185</v>
      </c>
      <c r="E14" s="1" t="s">
        <v>161</v>
      </c>
      <c r="F14" s="1" t="s">
        <v>186</v>
      </c>
      <c r="G14" s="1" t="s">
        <v>325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304</v>
      </c>
      <c r="B15" s="1" t="s">
        <v>189</v>
      </c>
      <c r="C15" s="1" t="s">
        <v>21</v>
      </c>
      <c r="D15" s="1" t="s">
        <v>190</v>
      </c>
      <c r="E15" s="1" t="s">
        <v>161</v>
      </c>
      <c r="F15" s="1" t="s">
        <v>191</v>
      </c>
      <c r="G15" s="1" t="s">
        <v>326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306</v>
      </c>
      <c r="B16" s="1" t="s">
        <v>194</v>
      </c>
      <c r="C16" s="1" t="s">
        <v>21</v>
      </c>
      <c r="D16" s="1" t="s">
        <v>195</v>
      </c>
      <c r="E16" s="1" t="s">
        <v>161</v>
      </c>
      <c r="F16" s="1" t="s">
        <v>196</v>
      </c>
      <c r="G16" s="1" t="s">
        <v>327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308</v>
      </c>
      <c r="B17" s="1" t="s">
        <v>200</v>
      </c>
      <c r="C17" s="1" t="s">
        <v>21</v>
      </c>
      <c r="D17" s="1" t="s">
        <v>201</v>
      </c>
      <c r="E17" s="1" t="s">
        <v>161</v>
      </c>
      <c r="F17" s="1" t="s">
        <v>202</v>
      </c>
      <c r="G17" s="1" t="s">
        <v>328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310</v>
      </c>
      <c r="B18" s="1" t="s">
        <v>206</v>
      </c>
      <c r="C18" s="1" t="s">
        <v>21</v>
      </c>
      <c r="D18" s="1" t="s">
        <v>207</v>
      </c>
      <c r="E18" s="1" t="s">
        <v>161</v>
      </c>
      <c r="F18" s="1" t="s">
        <v>202</v>
      </c>
      <c r="G18" s="1" t="s">
        <v>328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311</v>
      </c>
      <c r="B19" s="1" t="s">
        <v>209</v>
      </c>
      <c r="C19" s="1" t="s">
        <v>21</v>
      </c>
      <c r="D19" s="1" t="s">
        <v>210</v>
      </c>
      <c r="E19" s="1" t="s">
        <v>161</v>
      </c>
      <c r="F19" s="1" t="s">
        <v>202</v>
      </c>
      <c r="G19" s="1" t="s">
        <v>329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313</v>
      </c>
      <c r="B20" s="1" t="s">
        <v>214</v>
      </c>
      <c r="C20" s="1" t="s">
        <v>21</v>
      </c>
      <c r="D20" s="1" t="s">
        <v>215</v>
      </c>
      <c r="E20" s="1" t="s">
        <v>161</v>
      </c>
      <c r="F20" s="1" t="s">
        <v>202</v>
      </c>
      <c r="G20" s="1" t="s">
        <v>328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314</v>
      </c>
      <c r="B21" s="1" t="s">
        <v>218</v>
      </c>
      <c r="C21" s="1" t="s">
        <v>21</v>
      </c>
      <c r="D21" s="1" t="s">
        <v>219</v>
      </c>
      <c r="E21" s="1" t="s">
        <v>161</v>
      </c>
      <c r="F21" s="1" t="s">
        <v>220</v>
      </c>
      <c r="G21" s="1" t="s">
        <v>330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316</v>
      </c>
      <c r="B22" s="1" t="s">
        <v>223</v>
      </c>
      <c r="C22" s="1" t="s">
        <v>21</v>
      </c>
      <c r="D22" s="1" t="s">
        <v>224</v>
      </c>
      <c r="E22" s="1" t="s">
        <v>161</v>
      </c>
      <c r="F22" s="1" t="s">
        <v>220</v>
      </c>
      <c r="G22" s="1" t="s">
        <v>331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318</v>
      </c>
      <c r="B23" s="1" t="s">
        <v>227</v>
      </c>
      <c r="C23" s="1" t="s">
        <v>21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319</v>
      </c>
      <c r="B24" s="1" t="s">
        <v>232</v>
      </c>
      <c r="C24" s="1" t="s">
        <v>21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333</v>
      </c>
      <c r="B9" s="1" t="s">
        <v>158</v>
      </c>
      <c r="C9" s="1" t="s">
        <v>22</v>
      </c>
      <c r="D9" s="1" t="s">
        <v>160</v>
      </c>
      <c r="E9" s="1" t="s">
        <v>161</v>
      </c>
      <c r="F9" s="1" t="s">
        <v>162</v>
      </c>
      <c r="G9" s="1" t="s">
        <v>334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335</v>
      </c>
      <c r="B10" s="1" t="s">
        <v>165</v>
      </c>
      <c r="C10" s="1" t="s">
        <v>22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336</v>
      </c>
      <c r="B11" s="1" t="s">
        <v>169</v>
      </c>
      <c r="C11" s="1" t="s">
        <v>22</v>
      </c>
      <c r="D11" s="1" t="s">
        <v>170</v>
      </c>
      <c r="E11" s="1" t="s">
        <v>161</v>
      </c>
      <c r="F11" s="1" t="s">
        <v>171</v>
      </c>
      <c r="G11" s="1" t="s">
        <v>337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338</v>
      </c>
      <c r="B12" s="1" t="s">
        <v>174</v>
      </c>
      <c r="C12" s="1" t="s">
        <v>22</v>
      </c>
      <c r="D12" s="1" t="s">
        <v>175</v>
      </c>
      <c r="E12" s="1" t="s">
        <v>161</v>
      </c>
      <c r="F12" s="1" t="s">
        <v>176</v>
      </c>
      <c r="G12" s="1" t="s">
        <v>339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340</v>
      </c>
      <c r="B13" s="1" t="s">
        <v>179</v>
      </c>
      <c r="C13" s="1" t="s">
        <v>22</v>
      </c>
      <c r="D13" s="1" t="s">
        <v>180</v>
      </c>
      <c r="E13" s="1" t="s">
        <v>161</v>
      </c>
      <c r="F13" s="1" t="s">
        <v>181</v>
      </c>
      <c r="G13" s="1" t="s">
        <v>341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342</v>
      </c>
      <c r="B14" s="1" t="s">
        <v>184</v>
      </c>
      <c r="C14" s="1" t="s">
        <v>22</v>
      </c>
      <c r="D14" s="1" t="s">
        <v>185</v>
      </c>
      <c r="E14" s="1" t="s">
        <v>161</v>
      </c>
      <c r="F14" s="1" t="s">
        <v>186</v>
      </c>
      <c r="G14" s="1" t="s">
        <v>343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344</v>
      </c>
      <c r="B15" s="1" t="s">
        <v>189</v>
      </c>
      <c r="C15" s="1" t="s">
        <v>22</v>
      </c>
      <c r="D15" s="1" t="s">
        <v>190</v>
      </c>
      <c r="E15" s="1" t="s">
        <v>161</v>
      </c>
      <c r="F15" s="1" t="s">
        <v>191</v>
      </c>
      <c r="G15" s="1" t="s">
        <v>345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346</v>
      </c>
      <c r="B16" s="1" t="s">
        <v>194</v>
      </c>
      <c r="C16" s="1" t="s">
        <v>22</v>
      </c>
      <c r="D16" s="1" t="s">
        <v>195</v>
      </c>
      <c r="E16" s="1" t="s">
        <v>161</v>
      </c>
      <c r="F16" s="1" t="s">
        <v>196</v>
      </c>
      <c r="G16" s="1" t="s">
        <v>347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348</v>
      </c>
      <c r="B17" s="1" t="s">
        <v>200</v>
      </c>
      <c r="C17" s="1" t="s">
        <v>22</v>
      </c>
      <c r="D17" s="1" t="s">
        <v>201</v>
      </c>
      <c r="E17" s="1" t="s">
        <v>161</v>
      </c>
      <c r="F17" s="1" t="s">
        <v>202</v>
      </c>
      <c r="G17" s="1" t="s">
        <v>349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350</v>
      </c>
      <c r="B18" s="1" t="s">
        <v>206</v>
      </c>
      <c r="C18" s="1" t="s">
        <v>22</v>
      </c>
      <c r="D18" s="1" t="s">
        <v>207</v>
      </c>
      <c r="E18" s="1" t="s">
        <v>161</v>
      </c>
      <c r="F18" s="1" t="s">
        <v>202</v>
      </c>
      <c r="G18" s="1" t="s">
        <v>349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351</v>
      </c>
      <c r="B19" s="1" t="s">
        <v>209</v>
      </c>
      <c r="C19" s="1" t="s">
        <v>22</v>
      </c>
      <c r="D19" s="1" t="s">
        <v>210</v>
      </c>
      <c r="E19" s="1" t="s">
        <v>161</v>
      </c>
      <c r="F19" s="1" t="s">
        <v>202</v>
      </c>
      <c r="G19" s="1" t="s">
        <v>352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353</v>
      </c>
      <c r="B20" s="1" t="s">
        <v>214</v>
      </c>
      <c r="C20" s="1" t="s">
        <v>22</v>
      </c>
      <c r="D20" s="1" t="s">
        <v>215</v>
      </c>
      <c r="E20" s="1" t="s">
        <v>161</v>
      </c>
      <c r="F20" s="1" t="s">
        <v>202</v>
      </c>
      <c r="G20" s="1" t="s">
        <v>349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354</v>
      </c>
      <c r="B21" s="1" t="s">
        <v>218</v>
      </c>
      <c r="C21" s="1" t="s">
        <v>22</v>
      </c>
      <c r="D21" s="1" t="s">
        <v>219</v>
      </c>
      <c r="E21" s="1" t="s">
        <v>161</v>
      </c>
      <c r="F21" s="1" t="s">
        <v>220</v>
      </c>
      <c r="G21" s="1" t="s">
        <v>355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356</v>
      </c>
      <c r="B22" s="1" t="s">
        <v>223</v>
      </c>
      <c r="C22" s="1" t="s">
        <v>22</v>
      </c>
      <c r="D22" s="1" t="s">
        <v>224</v>
      </c>
      <c r="E22" s="1" t="s">
        <v>161</v>
      </c>
      <c r="F22" s="1" t="s">
        <v>220</v>
      </c>
      <c r="G22" s="1" t="s">
        <v>357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358</v>
      </c>
      <c r="B23" s="1" t="s">
        <v>227</v>
      </c>
      <c r="C23" s="1" t="s">
        <v>22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359</v>
      </c>
      <c r="B24" s="1" t="s">
        <v>232</v>
      </c>
      <c r="C24" s="1" t="s">
        <v>22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333</v>
      </c>
      <c r="B9" s="1" t="s">
        <v>158</v>
      </c>
      <c r="C9" s="1" t="s">
        <v>23</v>
      </c>
      <c r="D9" s="1" t="s">
        <v>160</v>
      </c>
      <c r="E9" s="1" t="s">
        <v>161</v>
      </c>
      <c r="F9" s="1" t="s">
        <v>162</v>
      </c>
      <c r="G9" s="1" t="s">
        <v>361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335</v>
      </c>
      <c r="B10" s="1" t="s">
        <v>165</v>
      </c>
      <c r="C10" s="1" t="s">
        <v>23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336</v>
      </c>
      <c r="B11" s="1" t="s">
        <v>169</v>
      </c>
      <c r="C11" s="1" t="s">
        <v>23</v>
      </c>
      <c r="D11" s="1" t="s">
        <v>170</v>
      </c>
      <c r="E11" s="1" t="s">
        <v>161</v>
      </c>
      <c r="F11" s="1" t="s">
        <v>171</v>
      </c>
      <c r="G11" s="1" t="s">
        <v>362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338</v>
      </c>
      <c r="B12" s="1" t="s">
        <v>174</v>
      </c>
      <c r="C12" s="1" t="s">
        <v>23</v>
      </c>
      <c r="D12" s="1" t="s">
        <v>175</v>
      </c>
      <c r="E12" s="1" t="s">
        <v>161</v>
      </c>
      <c r="F12" s="1" t="s">
        <v>176</v>
      </c>
      <c r="G12" s="1" t="s">
        <v>363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340</v>
      </c>
      <c r="B13" s="1" t="s">
        <v>179</v>
      </c>
      <c r="C13" s="1" t="s">
        <v>23</v>
      </c>
      <c r="D13" s="1" t="s">
        <v>180</v>
      </c>
      <c r="E13" s="1" t="s">
        <v>161</v>
      </c>
      <c r="F13" s="1" t="s">
        <v>181</v>
      </c>
      <c r="G13" s="1" t="s">
        <v>364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342</v>
      </c>
      <c r="B14" s="1" t="s">
        <v>184</v>
      </c>
      <c r="C14" s="1" t="s">
        <v>23</v>
      </c>
      <c r="D14" s="1" t="s">
        <v>185</v>
      </c>
      <c r="E14" s="1" t="s">
        <v>161</v>
      </c>
      <c r="F14" s="1" t="s">
        <v>186</v>
      </c>
      <c r="G14" s="1" t="s">
        <v>365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344</v>
      </c>
      <c r="B15" s="1" t="s">
        <v>189</v>
      </c>
      <c r="C15" s="1" t="s">
        <v>23</v>
      </c>
      <c r="D15" s="1" t="s">
        <v>190</v>
      </c>
      <c r="E15" s="1" t="s">
        <v>161</v>
      </c>
      <c r="F15" s="1" t="s">
        <v>191</v>
      </c>
      <c r="G15" s="1" t="s">
        <v>366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346</v>
      </c>
      <c r="B16" s="1" t="s">
        <v>194</v>
      </c>
      <c r="C16" s="1" t="s">
        <v>23</v>
      </c>
      <c r="D16" s="1" t="s">
        <v>195</v>
      </c>
      <c r="E16" s="1" t="s">
        <v>161</v>
      </c>
      <c r="F16" s="1" t="s">
        <v>196</v>
      </c>
      <c r="G16" s="1" t="s">
        <v>367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348</v>
      </c>
      <c r="B17" s="1" t="s">
        <v>200</v>
      </c>
      <c r="C17" s="1" t="s">
        <v>23</v>
      </c>
      <c r="D17" s="1" t="s">
        <v>201</v>
      </c>
      <c r="E17" s="1" t="s">
        <v>161</v>
      </c>
      <c r="F17" s="1" t="s">
        <v>202</v>
      </c>
      <c r="G17" s="1" t="s">
        <v>368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350</v>
      </c>
      <c r="B18" s="1" t="s">
        <v>206</v>
      </c>
      <c r="C18" s="1" t="s">
        <v>23</v>
      </c>
      <c r="D18" s="1" t="s">
        <v>207</v>
      </c>
      <c r="E18" s="1" t="s">
        <v>161</v>
      </c>
      <c r="F18" s="1" t="s">
        <v>202</v>
      </c>
      <c r="G18" s="1" t="s">
        <v>368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351</v>
      </c>
      <c r="B19" s="1" t="s">
        <v>209</v>
      </c>
      <c r="C19" s="1" t="s">
        <v>23</v>
      </c>
      <c r="D19" s="1" t="s">
        <v>210</v>
      </c>
      <c r="E19" s="1" t="s">
        <v>161</v>
      </c>
      <c r="F19" s="1" t="s">
        <v>202</v>
      </c>
      <c r="G19" s="1" t="s">
        <v>369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353</v>
      </c>
      <c r="B20" s="1" t="s">
        <v>214</v>
      </c>
      <c r="C20" s="1" t="s">
        <v>23</v>
      </c>
      <c r="D20" s="1" t="s">
        <v>215</v>
      </c>
      <c r="E20" s="1" t="s">
        <v>161</v>
      </c>
      <c r="F20" s="1" t="s">
        <v>202</v>
      </c>
      <c r="G20" s="1" t="s">
        <v>368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354</v>
      </c>
      <c r="B21" s="1" t="s">
        <v>218</v>
      </c>
      <c r="C21" s="1" t="s">
        <v>23</v>
      </c>
      <c r="D21" s="1" t="s">
        <v>219</v>
      </c>
      <c r="E21" s="1" t="s">
        <v>161</v>
      </c>
      <c r="F21" s="1" t="s">
        <v>220</v>
      </c>
      <c r="G21" s="1" t="s">
        <v>370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356</v>
      </c>
      <c r="B22" s="1" t="s">
        <v>223</v>
      </c>
      <c r="C22" s="1" t="s">
        <v>23</v>
      </c>
      <c r="D22" s="1" t="s">
        <v>224</v>
      </c>
      <c r="E22" s="1" t="s">
        <v>161</v>
      </c>
      <c r="F22" s="1" t="s">
        <v>220</v>
      </c>
      <c r="G22" s="1" t="s">
        <v>371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358</v>
      </c>
      <c r="B23" s="1" t="s">
        <v>227</v>
      </c>
      <c r="C23" s="1" t="s">
        <v>23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359</v>
      </c>
      <c r="B24" s="1" t="s">
        <v>232</v>
      </c>
      <c r="C24" s="1" t="s">
        <v>23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373</v>
      </c>
      <c r="B9" s="1" t="s">
        <v>158</v>
      </c>
      <c r="C9" s="1" t="s">
        <v>374</v>
      </c>
      <c r="D9" s="1" t="s">
        <v>160</v>
      </c>
      <c r="E9" s="1" t="s">
        <v>161</v>
      </c>
      <c r="F9" s="1" t="s">
        <v>162</v>
      </c>
      <c r="G9" s="1" t="s">
        <v>375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376</v>
      </c>
      <c r="B10" s="1" t="s">
        <v>165</v>
      </c>
      <c r="C10" s="1" t="s">
        <v>374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377</v>
      </c>
      <c r="B11" s="1" t="s">
        <v>169</v>
      </c>
      <c r="C11" s="1" t="s">
        <v>374</v>
      </c>
      <c r="D11" s="1" t="s">
        <v>170</v>
      </c>
      <c r="E11" s="1" t="s">
        <v>161</v>
      </c>
      <c r="F11" s="1" t="s">
        <v>171</v>
      </c>
      <c r="G11" s="1" t="s">
        <v>378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379</v>
      </c>
      <c r="B12" s="1" t="s">
        <v>174</v>
      </c>
      <c r="C12" s="1" t="s">
        <v>374</v>
      </c>
      <c r="D12" s="1" t="s">
        <v>175</v>
      </c>
      <c r="E12" s="1" t="s">
        <v>161</v>
      </c>
      <c r="F12" s="1" t="s">
        <v>176</v>
      </c>
      <c r="G12" s="1" t="s">
        <v>380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381</v>
      </c>
      <c r="B13" s="1" t="s">
        <v>179</v>
      </c>
      <c r="C13" s="1" t="s">
        <v>374</v>
      </c>
      <c r="D13" s="1" t="s">
        <v>180</v>
      </c>
      <c r="E13" s="1" t="s">
        <v>161</v>
      </c>
      <c r="F13" s="1" t="s">
        <v>181</v>
      </c>
      <c r="G13" s="1" t="s">
        <v>382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383</v>
      </c>
      <c r="B14" s="1" t="s">
        <v>184</v>
      </c>
      <c r="C14" s="1" t="s">
        <v>374</v>
      </c>
      <c r="D14" s="1" t="s">
        <v>185</v>
      </c>
      <c r="E14" s="1" t="s">
        <v>161</v>
      </c>
      <c r="F14" s="1" t="s">
        <v>186</v>
      </c>
      <c r="G14" s="1" t="s">
        <v>384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385</v>
      </c>
      <c r="B15" s="1" t="s">
        <v>189</v>
      </c>
      <c r="C15" s="1" t="s">
        <v>374</v>
      </c>
      <c r="D15" s="1" t="s">
        <v>190</v>
      </c>
      <c r="E15" s="1" t="s">
        <v>161</v>
      </c>
      <c r="F15" s="1" t="s">
        <v>191</v>
      </c>
      <c r="G15" s="1" t="s">
        <v>386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387</v>
      </c>
      <c r="B16" s="1" t="s">
        <v>194</v>
      </c>
      <c r="C16" s="1" t="s">
        <v>374</v>
      </c>
      <c r="D16" s="1" t="s">
        <v>195</v>
      </c>
      <c r="E16" s="1" t="s">
        <v>161</v>
      </c>
      <c r="F16" s="1" t="s">
        <v>196</v>
      </c>
      <c r="G16" s="1" t="s">
        <v>388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389</v>
      </c>
      <c r="B17" s="1" t="s">
        <v>200</v>
      </c>
      <c r="C17" s="1" t="s">
        <v>374</v>
      </c>
      <c r="D17" s="1" t="s">
        <v>201</v>
      </c>
      <c r="E17" s="1" t="s">
        <v>161</v>
      </c>
      <c r="F17" s="1" t="s">
        <v>202</v>
      </c>
      <c r="G17" s="1" t="s">
        <v>390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391</v>
      </c>
      <c r="B18" s="1" t="s">
        <v>206</v>
      </c>
      <c r="C18" s="1" t="s">
        <v>374</v>
      </c>
      <c r="D18" s="1" t="s">
        <v>207</v>
      </c>
      <c r="E18" s="1" t="s">
        <v>161</v>
      </c>
      <c r="F18" s="1" t="s">
        <v>202</v>
      </c>
      <c r="G18" s="1" t="s">
        <v>390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392</v>
      </c>
      <c r="B19" s="1" t="s">
        <v>209</v>
      </c>
      <c r="C19" s="1" t="s">
        <v>374</v>
      </c>
      <c r="D19" s="1" t="s">
        <v>210</v>
      </c>
      <c r="E19" s="1" t="s">
        <v>161</v>
      </c>
      <c r="F19" s="1" t="s">
        <v>202</v>
      </c>
      <c r="G19" s="1" t="s">
        <v>393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394</v>
      </c>
      <c r="B20" s="1" t="s">
        <v>214</v>
      </c>
      <c r="C20" s="1" t="s">
        <v>374</v>
      </c>
      <c r="D20" s="1" t="s">
        <v>215</v>
      </c>
      <c r="E20" s="1" t="s">
        <v>161</v>
      </c>
      <c r="F20" s="1" t="s">
        <v>202</v>
      </c>
      <c r="G20" s="1" t="s">
        <v>390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395</v>
      </c>
      <c r="B21" s="1" t="s">
        <v>218</v>
      </c>
      <c r="C21" s="1" t="s">
        <v>374</v>
      </c>
      <c r="D21" s="1" t="s">
        <v>219</v>
      </c>
      <c r="E21" s="1" t="s">
        <v>161</v>
      </c>
      <c r="F21" s="1" t="s">
        <v>220</v>
      </c>
      <c r="G21" s="1" t="s">
        <v>396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397</v>
      </c>
      <c r="B22" s="1" t="s">
        <v>223</v>
      </c>
      <c r="C22" s="1" t="s">
        <v>374</v>
      </c>
      <c r="D22" s="1" t="s">
        <v>224</v>
      </c>
      <c r="E22" s="1" t="s">
        <v>161</v>
      </c>
      <c r="F22" s="1" t="s">
        <v>220</v>
      </c>
      <c r="G22" s="1" t="s">
        <v>398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399</v>
      </c>
      <c r="B23" s="1" t="s">
        <v>227</v>
      </c>
      <c r="C23" s="1" t="s">
        <v>374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400</v>
      </c>
      <c r="B24" s="1" t="s">
        <v>232</v>
      </c>
      <c r="C24" s="1" t="s">
        <v>374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402</v>
      </c>
      <c r="B9" s="1" t="s">
        <v>158</v>
      </c>
      <c r="C9" s="1" t="s">
        <v>25</v>
      </c>
      <c r="D9" s="1" t="s">
        <v>160</v>
      </c>
      <c r="E9" s="1" t="s">
        <v>161</v>
      </c>
      <c r="F9" s="1" t="s">
        <v>162</v>
      </c>
      <c r="G9" s="1" t="s">
        <v>403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404</v>
      </c>
      <c r="B10" s="1" t="s">
        <v>165</v>
      </c>
      <c r="C10" s="1" t="s">
        <v>25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405</v>
      </c>
      <c r="B11" s="1" t="s">
        <v>169</v>
      </c>
      <c r="C11" s="1" t="s">
        <v>25</v>
      </c>
      <c r="D11" s="1" t="s">
        <v>170</v>
      </c>
      <c r="E11" s="1" t="s">
        <v>161</v>
      </c>
      <c r="F11" s="1" t="s">
        <v>171</v>
      </c>
      <c r="G11" s="1" t="s">
        <v>406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407</v>
      </c>
      <c r="B12" s="1" t="s">
        <v>174</v>
      </c>
      <c r="C12" s="1" t="s">
        <v>25</v>
      </c>
      <c r="D12" s="1" t="s">
        <v>175</v>
      </c>
      <c r="E12" s="1" t="s">
        <v>161</v>
      </c>
      <c r="F12" s="1" t="s">
        <v>176</v>
      </c>
      <c r="G12" s="1" t="s">
        <v>408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409</v>
      </c>
      <c r="B13" s="1" t="s">
        <v>179</v>
      </c>
      <c r="C13" s="1" t="s">
        <v>25</v>
      </c>
      <c r="D13" s="1" t="s">
        <v>180</v>
      </c>
      <c r="E13" s="1" t="s">
        <v>161</v>
      </c>
      <c r="F13" s="1" t="s">
        <v>181</v>
      </c>
      <c r="G13" s="1" t="s">
        <v>410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411</v>
      </c>
      <c r="B14" s="1" t="s">
        <v>184</v>
      </c>
      <c r="C14" s="1" t="s">
        <v>25</v>
      </c>
      <c r="D14" s="1" t="s">
        <v>185</v>
      </c>
      <c r="E14" s="1" t="s">
        <v>161</v>
      </c>
      <c r="F14" s="1" t="s">
        <v>186</v>
      </c>
      <c r="G14" s="1" t="s">
        <v>412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413</v>
      </c>
      <c r="B15" s="1" t="s">
        <v>189</v>
      </c>
      <c r="C15" s="1" t="s">
        <v>25</v>
      </c>
      <c r="D15" s="1" t="s">
        <v>190</v>
      </c>
      <c r="E15" s="1" t="s">
        <v>161</v>
      </c>
      <c r="F15" s="1" t="s">
        <v>191</v>
      </c>
      <c r="G15" s="1" t="s">
        <v>414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415</v>
      </c>
      <c r="B16" s="1" t="s">
        <v>194</v>
      </c>
      <c r="C16" s="1" t="s">
        <v>25</v>
      </c>
      <c r="D16" s="1" t="s">
        <v>195</v>
      </c>
      <c r="E16" s="1" t="s">
        <v>161</v>
      </c>
      <c r="F16" s="1" t="s">
        <v>196</v>
      </c>
      <c r="G16" s="1" t="s">
        <v>416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417</v>
      </c>
      <c r="B17" s="1" t="s">
        <v>200</v>
      </c>
      <c r="C17" s="1" t="s">
        <v>25</v>
      </c>
      <c r="D17" s="1" t="s">
        <v>201</v>
      </c>
      <c r="E17" s="1" t="s">
        <v>161</v>
      </c>
      <c r="F17" s="1" t="s">
        <v>202</v>
      </c>
      <c r="G17" s="1" t="s">
        <v>418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419</v>
      </c>
      <c r="B18" s="1" t="s">
        <v>206</v>
      </c>
      <c r="C18" s="1" t="s">
        <v>25</v>
      </c>
      <c r="D18" s="1" t="s">
        <v>207</v>
      </c>
      <c r="E18" s="1" t="s">
        <v>161</v>
      </c>
      <c r="F18" s="1" t="s">
        <v>202</v>
      </c>
      <c r="G18" s="1" t="s">
        <v>418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420</v>
      </c>
      <c r="B19" s="1" t="s">
        <v>209</v>
      </c>
      <c r="C19" s="1" t="s">
        <v>25</v>
      </c>
      <c r="D19" s="1" t="s">
        <v>210</v>
      </c>
      <c r="E19" s="1" t="s">
        <v>161</v>
      </c>
      <c r="F19" s="1" t="s">
        <v>202</v>
      </c>
      <c r="G19" s="1" t="s">
        <v>421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422</v>
      </c>
      <c r="B20" s="1" t="s">
        <v>214</v>
      </c>
      <c r="C20" s="1" t="s">
        <v>25</v>
      </c>
      <c r="D20" s="1" t="s">
        <v>215</v>
      </c>
      <c r="E20" s="1" t="s">
        <v>161</v>
      </c>
      <c r="F20" s="1" t="s">
        <v>202</v>
      </c>
      <c r="G20" s="1" t="s">
        <v>418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423</v>
      </c>
      <c r="B21" s="1" t="s">
        <v>218</v>
      </c>
      <c r="C21" s="1" t="s">
        <v>25</v>
      </c>
      <c r="D21" s="1" t="s">
        <v>219</v>
      </c>
      <c r="E21" s="1" t="s">
        <v>161</v>
      </c>
      <c r="F21" s="1" t="s">
        <v>220</v>
      </c>
      <c r="G21" s="1" t="s">
        <v>424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425</v>
      </c>
      <c r="B22" s="1" t="s">
        <v>223</v>
      </c>
      <c r="C22" s="1" t="s">
        <v>25</v>
      </c>
      <c r="D22" s="1" t="s">
        <v>224</v>
      </c>
      <c r="E22" s="1" t="s">
        <v>161</v>
      </c>
      <c r="F22" s="1" t="s">
        <v>220</v>
      </c>
      <c r="G22" s="1" t="s">
        <v>426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427</v>
      </c>
      <c r="B23" s="1" t="s">
        <v>227</v>
      </c>
      <c r="C23" s="1" t="s">
        <v>25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428</v>
      </c>
      <c r="B24" s="1" t="s">
        <v>232</v>
      </c>
      <c r="C24" s="1" t="s">
        <v>25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402</v>
      </c>
      <c r="B9" s="1" t="s">
        <v>158</v>
      </c>
      <c r="C9" s="1" t="s">
        <v>26</v>
      </c>
      <c r="D9" s="1" t="s">
        <v>160</v>
      </c>
      <c r="E9" s="1" t="s">
        <v>161</v>
      </c>
      <c r="F9" s="1" t="s">
        <v>162</v>
      </c>
      <c r="G9" s="1" t="s">
        <v>430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404</v>
      </c>
      <c r="B10" s="1" t="s">
        <v>165</v>
      </c>
      <c r="C10" s="1" t="s">
        <v>26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405</v>
      </c>
      <c r="B11" s="1" t="s">
        <v>169</v>
      </c>
      <c r="C11" s="1" t="s">
        <v>26</v>
      </c>
      <c r="D11" s="1" t="s">
        <v>170</v>
      </c>
      <c r="E11" s="1" t="s">
        <v>161</v>
      </c>
      <c r="F11" s="1" t="s">
        <v>171</v>
      </c>
      <c r="G11" s="1" t="s">
        <v>431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407</v>
      </c>
      <c r="B12" s="1" t="s">
        <v>174</v>
      </c>
      <c r="C12" s="1" t="s">
        <v>26</v>
      </c>
      <c r="D12" s="1" t="s">
        <v>175</v>
      </c>
      <c r="E12" s="1" t="s">
        <v>161</v>
      </c>
      <c r="F12" s="1" t="s">
        <v>176</v>
      </c>
      <c r="G12" s="1" t="s">
        <v>432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409</v>
      </c>
      <c r="B13" s="1" t="s">
        <v>179</v>
      </c>
      <c r="C13" s="1" t="s">
        <v>26</v>
      </c>
      <c r="D13" s="1" t="s">
        <v>180</v>
      </c>
      <c r="E13" s="1" t="s">
        <v>161</v>
      </c>
      <c r="F13" s="1" t="s">
        <v>181</v>
      </c>
      <c r="G13" s="1" t="s">
        <v>433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411</v>
      </c>
      <c r="B14" s="1" t="s">
        <v>184</v>
      </c>
      <c r="C14" s="1" t="s">
        <v>26</v>
      </c>
      <c r="D14" s="1" t="s">
        <v>185</v>
      </c>
      <c r="E14" s="1" t="s">
        <v>161</v>
      </c>
      <c r="F14" s="1" t="s">
        <v>186</v>
      </c>
      <c r="G14" s="1" t="s">
        <v>434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413</v>
      </c>
      <c r="B15" s="1" t="s">
        <v>189</v>
      </c>
      <c r="C15" s="1" t="s">
        <v>26</v>
      </c>
      <c r="D15" s="1" t="s">
        <v>190</v>
      </c>
      <c r="E15" s="1" t="s">
        <v>161</v>
      </c>
      <c r="F15" s="1" t="s">
        <v>191</v>
      </c>
      <c r="G15" s="1" t="s">
        <v>435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415</v>
      </c>
      <c r="B16" s="1" t="s">
        <v>194</v>
      </c>
      <c r="C16" s="1" t="s">
        <v>26</v>
      </c>
      <c r="D16" s="1" t="s">
        <v>195</v>
      </c>
      <c r="E16" s="1" t="s">
        <v>161</v>
      </c>
      <c r="F16" s="1" t="s">
        <v>196</v>
      </c>
      <c r="G16" s="1" t="s">
        <v>436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417</v>
      </c>
      <c r="B17" s="1" t="s">
        <v>200</v>
      </c>
      <c r="C17" s="1" t="s">
        <v>26</v>
      </c>
      <c r="D17" s="1" t="s">
        <v>201</v>
      </c>
      <c r="E17" s="1" t="s">
        <v>161</v>
      </c>
      <c r="F17" s="1" t="s">
        <v>202</v>
      </c>
      <c r="G17" s="1" t="s">
        <v>437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419</v>
      </c>
      <c r="B18" s="1" t="s">
        <v>206</v>
      </c>
      <c r="C18" s="1" t="s">
        <v>26</v>
      </c>
      <c r="D18" s="1" t="s">
        <v>207</v>
      </c>
      <c r="E18" s="1" t="s">
        <v>161</v>
      </c>
      <c r="F18" s="1" t="s">
        <v>202</v>
      </c>
      <c r="G18" s="1" t="s">
        <v>437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420</v>
      </c>
      <c r="B19" s="1" t="s">
        <v>209</v>
      </c>
      <c r="C19" s="1" t="s">
        <v>26</v>
      </c>
      <c r="D19" s="1" t="s">
        <v>210</v>
      </c>
      <c r="E19" s="1" t="s">
        <v>161</v>
      </c>
      <c r="F19" s="1" t="s">
        <v>202</v>
      </c>
      <c r="G19" s="1" t="s">
        <v>438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422</v>
      </c>
      <c r="B20" s="1" t="s">
        <v>214</v>
      </c>
      <c r="C20" s="1" t="s">
        <v>26</v>
      </c>
      <c r="D20" s="1" t="s">
        <v>215</v>
      </c>
      <c r="E20" s="1" t="s">
        <v>161</v>
      </c>
      <c r="F20" s="1" t="s">
        <v>202</v>
      </c>
      <c r="G20" s="1" t="s">
        <v>437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423</v>
      </c>
      <c r="B21" s="1" t="s">
        <v>218</v>
      </c>
      <c r="C21" s="1" t="s">
        <v>26</v>
      </c>
      <c r="D21" s="1" t="s">
        <v>219</v>
      </c>
      <c r="E21" s="1" t="s">
        <v>161</v>
      </c>
      <c r="F21" s="1" t="s">
        <v>220</v>
      </c>
      <c r="G21" s="1" t="s">
        <v>439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425</v>
      </c>
      <c r="B22" s="1" t="s">
        <v>223</v>
      </c>
      <c r="C22" s="1" t="s">
        <v>26</v>
      </c>
      <c r="D22" s="1" t="s">
        <v>224</v>
      </c>
      <c r="E22" s="1" t="s">
        <v>161</v>
      </c>
      <c r="F22" s="1" t="s">
        <v>220</v>
      </c>
      <c r="G22" s="1" t="s">
        <v>440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427</v>
      </c>
      <c r="B23" s="1" t="s">
        <v>227</v>
      </c>
      <c r="C23" s="1" t="s">
        <v>26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428</v>
      </c>
      <c r="B24" s="1" t="s">
        <v>232</v>
      </c>
      <c r="C24" s="1" t="s">
        <v>26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442</v>
      </c>
      <c r="B9" s="1" t="s">
        <v>158</v>
      </c>
      <c r="C9" s="1" t="s">
        <v>27</v>
      </c>
      <c r="D9" s="1" t="s">
        <v>160</v>
      </c>
      <c r="E9" s="1" t="s">
        <v>161</v>
      </c>
      <c r="F9" s="1" t="s">
        <v>162</v>
      </c>
      <c r="G9" s="1" t="s">
        <v>443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444</v>
      </c>
      <c r="B10" s="1" t="s">
        <v>165</v>
      </c>
      <c r="C10" s="1" t="s">
        <v>27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445</v>
      </c>
      <c r="B11" s="1" t="s">
        <v>169</v>
      </c>
      <c r="C11" s="1" t="s">
        <v>27</v>
      </c>
      <c r="D11" s="1" t="s">
        <v>170</v>
      </c>
      <c r="E11" s="1" t="s">
        <v>161</v>
      </c>
      <c r="F11" s="1" t="s">
        <v>171</v>
      </c>
      <c r="G11" s="1" t="s">
        <v>446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447</v>
      </c>
      <c r="B12" s="1" t="s">
        <v>174</v>
      </c>
      <c r="C12" s="1" t="s">
        <v>27</v>
      </c>
      <c r="D12" s="1" t="s">
        <v>175</v>
      </c>
      <c r="E12" s="1" t="s">
        <v>161</v>
      </c>
      <c r="F12" s="1" t="s">
        <v>176</v>
      </c>
      <c r="G12" s="1" t="s">
        <v>448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449</v>
      </c>
      <c r="B13" s="1" t="s">
        <v>179</v>
      </c>
      <c r="C13" s="1" t="s">
        <v>27</v>
      </c>
      <c r="D13" s="1" t="s">
        <v>180</v>
      </c>
      <c r="E13" s="1" t="s">
        <v>161</v>
      </c>
      <c r="F13" s="1" t="s">
        <v>181</v>
      </c>
      <c r="G13" s="1" t="s">
        <v>450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451</v>
      </c>
      <c r="B14" s="1" t="s">
        <v>184</v>
      </c>
      <c r="C14" s="1" t="s">
        <v>27</v>
      </c>
      <c r="D14" s="1" t="s">
        <v>185</v>
      </c>
      <c r="E14" s="1" t="s">
        <v>161</v>
      </c>
      <c r="F14" s="1" t="s">
        <v>186</v>
      </c>
      <c r="G14" s="1" t="s">
        <v>452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453</v>
      </c>
      <c r="B15" s="1" t="s">
        <v>189</v>
      </c>
      <c r="C15" s="1" t="s">
        <v>27</v>
      </c>
      <c r="D15" s="1" t="s">
        <v>190</v>
      </c>
      <c r="E15" s="1" t="s">
        <v>161</v>
      </c>
      <c r="F15" s="1" t="s">
        <v>191</v>
      </c>
      <c r="G15" s="1" t="s">
        <v>454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455</v>
      </c>
      <c r="B16" s="1" t="s">
        <v>194</v>
      </c>
      <c r="C16" s="1" t="s">
        <v>27</v>
      </c>
      <c r="D16" s="1" t="s">
        <v>195</v>
      </c>
      <c r="E16" s="1" t="s">
        <v>161</v>
      </c>
      <c r="F16" s="1" t="s">
        <v>196</v>
      </c>
      <c r="G16" s="1" t="s">
        <v>456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457</v>
      </c>
      <c r="B17" s="1" t="s">
        <v>200</v>
      </c>
      <c r="C17" s="1" t="s">
        <v>27</v>
      </c>
      <c r="D17" s="1" t="s">
        <v>201</v>
      </c>
      <c r="E17" s="1" t="s">
        <v>161</v>
      </c>
      <c r="F17" s="1" t="s">
        <v>202</v>
      </c>
      <c r="G17" s="1" t="s">
        <v>458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459</v>
      </c>
      <c r="B18" s="1" t="s">
        <v>206</v>
      </c>
      <c r="C18" s="1" t="s">
        <v>27</v>
      </c>
      <c r="D18" s="1" t="s">
        <v>207</v>
      </c>
      <c r="E18" s="1" t="s">
        <v>161</v>
      </c>
      <c r="F18" s="1" t="s">
        <v>202</v>
      </c>
      <c r="G18" s="1" t="s">
        <v>458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460</v>
      </c>
      <c r="B19" s="1" t="s">
        <v>209</v>
      </c>
      <c r="C19" s="1" t="s">
        <v>27</v>
      </c>
      <c r="D19" s="1" t="s">
        <v>210</v>
      </c>
      <c r="E19" s="1" t="s">
        <v>161</v>
      </c>
      <c r="F19" s="1" t="s">
        <v>202</v>
      </c>
      <c r="G19" s="1" t="s">
        <v>461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462</v>
      </c>
      <c r="B20" s="1" t="s">
        <v>214</v>
      </c>
      <c r="C20" s="1" t="s">
        <v>27</v>
      </c>
      <c r="D20" s="1" t="s">
        <v>215</v>
      </c>
      <c r="E20" s="1" t="s">
        <v>161</v>
      </c>
      <c r="F20" s="1" t="s">
        <v>202</v>
      </c>
      <c r="G20" s="1" t="s">
        <v>458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463</v>
      </c>
      <c r="B21" s="1" t="s">
        <v>218</v>
      </c>
      <c r="C21" s="1" t="s">
        <v>27</v>
      </c>
      <c r="D21" s="1" t="s">
        <v>219</v>
      </c>
      <c r="E21" s="1" t="s">
        <v>161</v>
      </c>
      <c r="F21" s="1" t="s">
        <v>220</v>
      </c>
      <c r="G21" s="1" t="s">
        <v>464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465</v>
      </c>
      <c r="B22" s="1" t="s">
        <v>223</v>
      </c>
      <c r="C22" s="1" t="s">
        <v>27</v>
      </c>
      <c r="D22" s="1" t="s">
        <v>224</v>
      </c>
      <c r="E22" s="1" t="s">
        <v>161</v>
      </c>
      <c r="F22" s="1" t="s">
        <v>220</v>
      </c>
      <c r="G22" s="1" t="s">
        <v>466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467</v>
      </c>
      <c r="B23" s="1" t="s">
        <v>227</v>
      </c>
      <c r="C23" s="1" t="s">
        <v>27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468</v>
      </c>
      <c r="B24" s="1" t="s">
        <v>232</v>
      </c>
      <c r="C24" s="1" t="s">
        <v>27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442</v>
      </c>
      <c r="B9" s="1" t="s">
        <v>158</v>
      </c>
      <c r="C9" s="1" t="s">
        <v>28</v>
      </c>
      <c r="D9" s="1" t="s">
        <v>160</v>
      </c>
      <c r="E9" s="1" t="s">
        <v>161</v>
      </c>
      <c r="F9" s="1" t="s">
        <v>162</v>
      </c>
      <c r="G9" s="1" t="s">
        <v>470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444</v>
      </c>
      <c r="B10" s="1" t="s">
        <v>165</v>
      </c>
      <c r="C10" s="1" t="s">
        <v>28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445</v>
      </c>
      <c r="B11" s="1" t="s">
        <v>169</v>
      </c>
      <c r="C11" s="1" t="s">
        <v>28</v>
      </c>
      <c r="D11" s="1" t="s">
        <v>170</v>
      </c>
      <c r="E11" s="1" t="s">
        <v>161</v>
      </c>
      <c r="F11" s="1" t="s">
        <v>171</v>
      </c>
      <c r="G11" s="1" t="s">
        <v>471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447</v>
      </c>
      <c r="B12" s="1" t="s">
        <v>174</v>
      </c>
      <c r="C12" s="1" t="s">
        <v>28</v>
      </c>
      <c r="D12" s="1" t="s">
        <v>175</v>
      </c>
      <c r="E12" s="1" t="s">
        <v>161</v>
      </c>
      <c r="F12" s="1" t="s">
        <v>176</v>
      </c>
      <c r="G12" s="1" t="s">
        <v>472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449</v>
      </c>
      <c r="B13" s="1" t="s">
        <v>179</v>
      </c>
      <c r="C13" s="1" t="s">
        <v>28</v>
      </c>
      <c r="D13" s="1" t="s">
        <v>180</v>
      </c>
      <c r="E13" s="1" t="s">
        <v>161</v>
      </c>
      <c r="F13" s="1" t="s">
        <v>181</v>
      </c>
      <c r="G13" s="1" t="s">
        <v>473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451</v>
      </c>
      <c r="B14" s="1" t="s">
        <v>184</v>
      </c>
      <c r="C14" s="1" t="s">
        <v>28</v>
      </c>
      <c r="D14" s="1" t="s">
        <v>185</v>
      </c>
      <c r="E14" s="1" t="s">
        <v>161</v>
      </c>
      <c r="F14" s="1" t="s">
        <v>186</v>
      </c>
      <c r="G14" s="1" t="s">
        <v>474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453</v>
      </c>
      <c r="B15" s="1" t="s">
        <v>189</v>
      </c>
      <c r="C15" s="1" t="s">
        <v>28</v>
      </c>
      <c r="D15" s="1" t="s">
        <v>190</v>
      </c>
      <c r="E15" s="1" t="s">
        <v>161</v>
      </c>
      <c r="F15" s="1" t="s">
        <v>191</v>
      </c>
      <c r="G15" s="1" t="s">
        <v>475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455</v>
      </c>
      <c r="B16" s="1" t="s">
        <v>194</v>
      </c>
      <c r="C16" s="1" t="s">
        <v>28</v>
      </c>
      <c r="D16" s="1" t="s">
        <v>195</v>
      </c>
      <c r="E16" s="1" t="s">
        <v>161</v>
      </c>
      <c r="F16" s="1" t="s">
        <v>196</v>
      </c>
      <c r="G16" s="1" t="s">
        <v>476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457</v>
      </c>
      <c r="B17" s="1" t="s">
        <v>200</v>
      </c>
      <c r="C17" s="1" t="s">
        <v>28</v>
      </c>
      <c r="D17" s="1" t="s">
        <v>201</v>
      </c>
      <c r="E17" s="1" t="s">
        <v>161</v>
      </c>
      <c r="F17" s="1" t="s">
        <v>202</v>
      </c>
      <c r="G17" s="1" t="s">
        <v>477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459</v>
      </c>
      <c r="B18" s="1" t="s">
        <v>206</v>
      </c>
      <c r="C18" s="1" t="s">
        <v>28</v>
      </c>
      <c r="D18" s="1" t="s">
        <v>207</v>
      </c>
      <c r="E18" s="1" t="s">
        <v>161</v>
      </c>
      <c r="F18" s="1" t="s">
        <v>202</v>
      </c>
      <c r="G18" s="1" t="s">
        <v>477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460</v>
      </c>
      <c r="B19" s="1" t="s">
        <v>209</v>
      </c>
      <c r="C19" s="1" t="s">
        <v>28</v>
      </c>
      <c r="D19" s="1" t="s">
        <v>210</v>
      </c>
      <c r="E19" s="1" t="s">
        <v>161</v>
      </c>
      <c r="F19" s="1" t="s">
        <v>202</v>
      </c>
      <c r="G19" s="1" t="s">
        <v>478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462</v>
      </c>
      <c r="B20" s="1" t="s">
        <v>214</v>
      </c>
      <c r="C20" s="1" t="s">
        <v>28</v>
      </c>
      <c r="D20" s="1" t="s">
        <v>215</v>
      </c>
      <c r="E20" s="1" t="s">
        <v>161</v>
      </c>
      <c r="F20" s="1" t="s">
        <v>202</v>
      </c>
      <c r="G20" s="1" t="s">
        <v>477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463</v>
      </c>
      <c r="B21" s="1" t="s">
        <v>218</v>
      </c>
      <c r="C21" s="1" t="s">
        <v>28</v>
      </c>
      <c r="D21" s="1" t="s">
        <v>219</v>
      </c>
      <c r="E21" s="1" t="s">
        <v>161</v>
      </c>
      <c r="F21" s="1" t="s">
        <v>220</v>
      </c>
      <c r="G21" s="1" t="s">
        <v>479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465</v>
      </c>
      <c r="B22" s="1" t="s">
        <v>223</v>
      </c>
      <c r="C22" s="1" t="s">
        <v>28</v>
      </c>
      <c r="D22" s="1" t="s">
        <v>224</v>
      </c>
      <c r="E22" s="1" t="s">
        <v>161</v>
      </c>
      <c r="F22" s="1" t="s">
        <v>220</v>
      </c>
      <c r="G22" s="1" t="s">
        <v>480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467</v>
      </c>
      <c r="B23" s="1" t="s">
        <v>227</v>
      </c>
      <c r="C23" s="1" t="s">
        <v>28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468</v>
      </c>
      <c r="B24" s="1" t="s">
        <v>232</v>
      </c>
      <c r="C24" s="1" t="s">
        <v>28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442</v>
      </c>
      <c r="B9" s="1" t="s">
        <v>158</v>
      </c>
      <c r="C9" s="1" t="s">
        <v>29</v>
      </c>
      <c r="D9" s="1" t="s">
        <v>160</v>
      </c>
      <c r="E9" s="1" t="s">
        <v>161</v>
      </c>
      <c r="F9" s="1" t="s">
        <v>162</v>
      </c>
      <c r="G9" s="1" t="s">
        <v>482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444</v>
      </c>
      <c r="B10" s="1" t="s">
        <v>165</v>
      </c>
      <c r="C10" s="1" t="s">
        <v>29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445</v>
      </c>
      <c r="B11" s="1" t="s">
        <v>169</v>
      </c>
      <c r="C11" s="1" t="s">
        <v>29</v>
      </c>
      <c r="D11" s="1" t="s">
        <v>170</v>
      </c>
      <c r="E11" s="1" t="s">
        <v>161</v>
      </c>
      <c r="F11" s="1" t="s">
        <v>171</v>
      </c>
      <c r="G11" s="1" t="s">
        <v>483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447</v>
      </c>
      <c r="B12" s="1" t="s">
        <v>174</v>
      </c>
      <c r="C12" s="1" t="s">
        <v>29</v>
      </c>
      <c r="D12" s="1" t="s">
        <v>175</v>
      </c>
      <c r="E12" s="1" t="s">
        <v>161</v>
      </c>
      <c r="F12" s="1" t="s">
        <v>176</v>
      </c>
      <c r="G12" s="1" t="s">
        <v>484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449</v>
      </c>
      <c r="B13" s="1" t="s">
        <v>179</v>
      </c>
      <c r="C13" s="1" t="s">
        <v>29</v>
      </c>
      <c r="D13" s="1" t="s">
        <v>180</v>
      </c>
      <c r="E13" s="1" t="s">
        <v>161</v>
      </c>
      <c r="F13" s="1" t="s">
        <v>181</v>
      </c>
      <c r="G13" s="1" t="s">
        <v>485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451</v>
      </c>
      <c r="B14" s="1" t="s">
        <v>184</v>
      </c>
      <c r="C14" s="1" t="s">
        <v>29</v>
      </c>
      <c r="D14" s="1" t="s">
        <v>185</v>
      </c>
      <c r="E14" s="1" t="s">
        <v>161</v>
      </c>
      <c r="F14" s="1" t="s">
        <v>186</v>
      </c>
      <c r="G14" s="1" t="s">
        <v>486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453</v>
      </c>
      <c r="B15" s="1" t="s">
        <v>189</v>
      </c>
      <c r="C15" s="1" t="s">
        <v>29</v>
      </c>
      <c r="D15" s="1" t="s">
        <v>190</v>
      </c>
      <c r="E15" s="1" t="s">
        <v>161</v>
      </c>
      <c r="F15" s="1" t="s">
        <v>191</v>
      </c>
      <c r="G15" s="1" t="s">
        <v>487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455</v>
      </c>
      <c r="B16" s="1" t="s">
        <v>194</v>
      </c>
      <c r="C16" s="1" t="s">
        <v>29</v>
      </c>
      <c r="D16" s="1" t="s">
        <v>195</v>
      </c>
      <c r="E16" s="1" t="s">
        <v>161</v>
      </c>
      <c r="F16" s="1" t="s">
        <v>196</v>
      </c>
      <c r="G16" s="1" t="s">
        <v>488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457</v>
      </c>
      <c r="B17" s="1" t="s">
        <v>200</v>
      </c>
      <c r="C17" s="1" t="s">
        <v>29</v>
      </c>
      <c r="D17" s="1" t="s">
        <v>201</v>
      </c>
      <c r="E17" s="1" t="s">
        <v>161</v>
      </c>
      <c r="F17" s="1" t="s">
        <v>202</v>
      </c>
      <c r="G17" s="1" t="s">
        <v>489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459</v>
      </c>
      <c r="B18" s="1" t="s">
        <v>206</v>
      </c>
      <c r="C18" s="1" t="s">
        <v>29</v>
      </c>
      <c r="D18" s="1" t="s">
        <v>207</v>
      </c>
      <c r="E18" s="1" t="s">
        <v>161</v>
      </c>
      <c r="F18" s="1" t="s">
        <v>202</v>
      </c>
      <c r="G18" s="1" t="s">
        <v>489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460</v>
      </c>
      <c r="B19" s="1" t="s">
        <v>209</v>
      </c>
      <c r="C19" s="1" t="s">
        <v>29</v>
      </c>
      <c r="D19" s="1" t="s">
        <v>210</v>
      </c>
      <c r="E19" s="1" t="s">
        <v>161</v>
      </c>
      <c r="F19" s="1" t="s">
        <v>202</v>
      </c>
      <c r="G19" s="1" t="s">
        <v>490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462</v>
      </c>
      <c r="B20" s="1" t="s">
        <v>214</v>
      </c>
      <c r="C20" s="1" t="s">
        <v>29</v>
      </c>
      <c r="D20" s="1" t="s">
        <v>215</v>
      </c>
      <c r="E20" s="1" t="s">
        <v>161</v>
      </c>
      <c r="F20" s="1" t="s">
        <v>202</v>
      </c>
      <c r="G20" s="1" t="s">
        <v>489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463</v>
      </c>
      <c r="B21" s="1" t="s">
        <v>218</v>
      </c>
      <c r="C21" s="1" t="s">
        <v>29</v>
      </c>
      <c r="D21" s="1" t="s">
        <v>219</v>
      </c>
      <c r="E21" s="1" t="s">
        <v>161</v>
      </c>
      <c r="F21" s="1" t="s">
        <v>220</v>
      </c>
      <c r="G21" s="1" t="s">
        <v>491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465</v>
      </c>
      <c r="B22" s="1" t="s">
        <v>223</v>
      </c>
      <c r="C22" s="1" t="s">
        <v>29</v>
      </c>
      <c r="D22" s="1" t="s">
        <v>224</v>
      </c>
      <c r="E22" s="1" t="s">
        <v>161</v>
      </c>
      <c r="F22" s="1" t="s">
        <v>220</v>
      </c>
      <c r="G22" s="1" t="s">
        <v>492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467</v>
      </c>
      <c r="B23" s="1" t="s">
        <v>227</v>
      </c>
      <c r="C23" s="1" t="s">
        <v>29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468</v>
      </c>
      <c r="B24" s="1" t="s">
        <v>232</v>
      </c>
      <c r="C24" s="1" t="s">
        <v>29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494</v>
      </c>
      <c r="B9" s="1" t="s">
        <v>158</v>
      </c>
      <c r="C9" s="1" t="s">
        <v>495</v>
      </c>
      <c r="D9" s="1" t="s">
        <v>160</v>
      </c>
      <c r="E9" s="1" t="s">
        <v>161</v>
      </c>
      <c r="F9" s="1" t="s">
        <v>162</v>
      </c>
      <c r="G9" s="1" t="s">
        <v>496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497</v>
      </c>
      <c r="B10" s="1" t="s">
        <v>165</v>
      </c>
      <c r="C10" s="1" t="s">
        <v>495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498</v>
      </c>
      <c r="B11" s="1" t="s">
        <v>169</v>
      </c>
      <c r="C11" s="1" t="s">
        <v>495</v>
      </c>
      <c r="D11" s="1" t="s">
        <v>170</v>
      </c>
      <c r="E11" s="1" t="s">
        <v>161</v>
      </c>
      <c r="F11" s="1" t="s">
        <v>171</v>
      </c>
      <c r="G11" s="1" t="s">
        <v>499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500</v>
      </c>
      <c r="B12" s="1" t="s">
        <v>174</v>
      </c>
      <c r="C12" s="1" t="s">
        <v>495</v>
      </c>
      <c r="D12" s="1" t="s">
        <v>175</v>
      </c>
      <c r="E12" s="1" t="s">
        <v>161</v>
      </c>
      <c r="F12" s="1" t="s">
        <v>176</v>
      </c>
      <c r="G12" s="1" t="s">
        <v>501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502</v>
      </c>
      <c r="B13" s="1" t="s">
        <v>179</v>
      </c>
      <c r="C13" s="1" t="s">
        <v>495</v>
      </c>
      <c r="D13" s="1" t="s">
        <v>180</v>
      </c>
      <c r="E13" s="1" t="s">
        <v>161</v>
      </c>
      <c r="F13" s="1" t="s">
        <v>181</v>
      </c>
      <c r="G13" s="1" t="s">
        <v>503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504</v>
      </c>
      <c r="B14" s="1" t="s">
        <v>184</v>
      </c>
      <c r="C14" s="1" t="s">
        <v>495</v>
      </c>
      <c r="D14" s="1" t="s">
        <v>185</v>
      </c>
      <c r="E14" s="1" t="s">
        <v>161</v>
      </c>
      <c r="F14" s="1" t="s">
        <v>186</v>
      </c>
      <c r="G14" s="1" t="s">
        <v>505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506</v>
      </c>
      <c r="B15" s="1" t="s">
        <v>189</v>
      </c>
      <c r="C15" s="1" t="s">
        <v>495</v>
      </c>
      <c r="D15" s="1" t="s">
        <v>190</v>
      </c>
      <c r="E15" s="1" t="s">
        <v>161</v>
      </c>
      <c r="F15" s="1" t="s">
        <v>191</v>
      </c>
      <c r="G15" s="1" t="s">
        <v>507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508</v>
      </c>
      <c r="B16" s="1" t="s">
        <v>194</v>
      </c>
      <c r="C16" s="1" t="s">
        <v>495</v>
      </c>
      <c r="D16" s="1" t="s">
        <v>195</v>
      </c>
      <c r="E16" s="1" t="s">
        <v>161</v>
      </c>
      <c r="F16" s="1" t="s">
        <v>196</v>
      </c>
      <c r="G16" s="1" t="s">
        <v>509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510</v>
      </c>
      <c r="B17" s="1" t="s">
        <v>200</v>
      </c>
      <c r="C17" s="1" t="s">
        <v>495</v>
      </c>
      <c r="D17" s="1" t="s">
        <v>201</v>
      </c>
      <c r="E17" s="1" t="s">
        <v>161</v>
      </c>
      <c r="F17" s="1" t="s">
        <v>202</v>
      </c>
      <c r="G17" s="1" t="s">
        <v>511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512</v>
      </c>
      <c r="B18" s="1" t="s">
        <v>206</v>
      </c>
      <c r="C18" s="1" t="s">
        <v>495</v>
      </c>
      <c r="D18" s="1" t="s">
        <v>207</v>
      </c>
      <c r="E18" s="1" t="s">
        <v>161</v>
      </c>
      <c r="F18" s="1" t="s">
        <v>202</v>
      </c>
      <c r="G18" s="1" t="s">
        <v>511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513</v>
      </c>
      <c r="B19" s="1" t="s">
        <v>209</v>
      </c>
      <c r="C19" s="1" t="s">
        <v>495</v>
      </c>
      <c r="D19" s="1" t="s">
        <v>210</v>
      </c>
      <c r="E19" s="1" t="s">
        <v>161</v>
      </c>
      <c r="F19" s="1" t="s">
        <v>202</v>
      </c>
      <c r="G19" s="1" t="s">
        <v>514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515</v>
      </c>
      <c r="B20" s="1" t="s">
        <v>214</v>
      </c>
      <c r="C20" s="1" t="s">
        <v>495</v>
      </c>
      <c r="D20" s="1" t="s">
        <v>215</v>
      </c>
      <c r="E20" s="1" t="s">
        <v>161</v>
      </c>
      <c r="F20" s="1" t="s">
        <v>202</v>
      </c>
      <c r="G20" s="1" t="s">
        <v>511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516</v>
      </c>
      <c r="B21" s="1" t="s">
        <v>218</v>
      </c>
      <c r="C21" s="1" t="s">
        <v>495</v>
      </c>
      <c r="D21" s="1" t="s">
        <v>219</v>
      </c>
      <c r="E21" s="1" t="s">
        <v>161</v>
      </c>
      <c r="F21" s="1" t="s">
        <v>220</v>
      </c>
      <c r="G21" s="1" t="s">
        <v>517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518</v>
      </c>
      <c r="B22" s="1" t="s">
        <v>223</v>
      </c>
      <c r="C22" s="1" t="s">
        <v>495</v>
      </c>
      <c r="D22" s="1" t="s">
        <v>224</v>
      </c>
      <c r="E22" s="1" t="s">
        <v>161</v>
      </c>
      <c r="F22" s="1" t="s">
        <v>220</v>
      </c>
      <c r="G22" s="1" t="s">
        <v>519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520</v>
      </c>
      <c r="B23" s="1" t="s">
        <v>227</v>
      </c>
      <c r="C23" s="1" t="s">
        <v>495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521</v>
      </c>
      <c r="B24" s="1" t="s">
        <v>232</v>
      </c>
      <c r="C24" s="1" t="s">
        <v>495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523</v>
      </c>
      <c r="B9" s="1" t="s">
        <v>158</v>
      </c>
      <c r="C9" s="1" t="s">
        <v>524</v>
      </c>
      <c r="D9" s="1" t="s">
        <v>160</v>
      </c>
      <c r="E9" s="1" t="s">
        <v>161</v>
      </c>
      <c r="F9" s="1" t="s">
        <v>162</v>
      </c>
      <c r="G9" s="1" t="s">
        <v>525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526</v>
      </c>
      <c r="B10" s="1" t="s">
        <v>165</v>
      </c>
      <c r="C10" s="1" t="s">
        <v>524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527</v>
      </c>
      <c r="B11" s="1" t="s">
        <v>169</v>
      </c>
      <c r="C11" s="1" t="s">
        <v>524</v>
      </c>
      <c r="D11" s="1" t="s">
        <v>170</v>
      </c>
      <c r="E11" s="1" t="s">
        <v>161</v>
      </c>
      <c r="F11" s="1" t="s">
        <v>171</v>
      </c>
      <c r="G11" s="1" t="s">
        <v>528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529</v>
      </c>
      <c r="B12" s="1" t="s">
        <v>174</v>
      </c>
      <c r="C12" s="1" t="s">
        <v>524</v>
      </c>
      <c r="D12" s="1" t="s">
        <v>175</v>
      </c>
      <c r="E12" s="1" t="s">
        <v>161</v>
      </c>
      <c r="F12" s="1" t="s">
        <v>176</v>
      </c>
      <c r="G12" s="1" t="s">
        <v>530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531</v>
      </c>
      <c r="B13" s="1" t="s">
        <v>179</v>
      </c>
      <c r="C13" s="1" t="s">
        <v>524</v>
      </c>
      <c r="D13" s="1" t="s">
        <v>180</v>
      </c>
      <c r="E13" s="1" t="s">
        <v>161</v>
      </c>
      <c r="F13" s="1" t="s">
        <v>181</v>
      </c>
      <c r="G13" s="1" t="s">
        <v>532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533</v>
      </c>
      <c r="B14" s="1" t="s">
        <v>184</v>
      </c>
      <c r="C14" s="1" t="s">
        <v>524</v>
      </c>
      <c r="D14" s="1" t="s">
        <v>185</v>
      </c>
      <c r="E14" s="1" t="s">
        <v>161</v>
      </c>
      <c r="F14" s="1" t="s">
        <v>186</v>
      </c>
      <c r="G14" s="1" t="s">
        <v>534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535</v>
      </c>
      <c r="B15" s="1" t="s">
        <v>189</v>
      </c>
      <c r="C15" s="1" t="s">
        <v>524</v>
      </c>
      <c r="D15" s="1" t="s">
        <v>190</v>
      </c>
      <c r="E15" s="1" t="s">
        <v>161</v>
      </c>
      <c r="F15" s="1" t="s">
        <v>191</v>
      </c>
      <c r="G15" s="1" t="s">
        <v>536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537</v>
      </c>
      <c r="B16" s="1" t="s">
        <v>194</v>
      </c>
      <c r="C16" s="1" t="s">
        <v>524</v>
      </c>
      <c r="D16" s="1" t="s">
        <v>195</v>
      </c>
      <c r="E16" s="1" t="s">
        <v>161</v>
      </c>
      <c r="F16" s="1" t="s">
        <v>196</v>
      </c>
      <c r="G16" s="1" t="s">
        <v>538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539</v>
      </c>
      <c r="B17" s="1" t="s">
        <v>200</v>
      </c>
      <c r="C17" s="1" t="s">
        <v>524</v>
      </c>
      <c r="D17" s="1" t="s">
        <v>201</v>
      </c>
      <c r="E17" s="1" t="s">
        <v>161</v>
      </c>
      <c r="F17" s="1" t="s">
        <v>202</v>
      </c>
      <c r="G17" s="1" t="s">
        <v>540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541</v>
      </c>
      <c r="B18" s="1" t="s">
        <v>206</v>
      </c>
      <c r="C18" s="1" t="s">
        <v>524</v>
      </c>
      <c r="D18" s="1" t="s">
        <v>207</v>
      </c>
      <c r="E18" s="1" t="s">
        <v>161</v>
      </c>
      <c r="F18" s="1" t="s">
        <v>202</v>
      </c>
      <c r="G18" s="1" t="s">
        <v>540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542</v>
      </c>
      <c r="B19" s="1" t="s">
        <v>209</v>
      </c>
      <c r="C19" s="1" t="s">
        <v>524</v>
      </c>
      <c r="D19" s="1" t="s">
        <v>210</v>
      </c>
      <c r="E19" s="1" t="s">
        <v>161</v>
      </c>
      <c r="F19" s="1" t="s">
        <v>202</v>
      </c>
      <c r="G19" s="1" t="s">
        <v>543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544</v>
      </c>
      <c r="B20" s="1" t="s">
        <v>214</v>
      </c>
      <c r="C20" s="1" t="s">
        <v>524</v>
      </c>
      <c r="D20" s="1" t="s">
        <v>215</v>
      </c>
      <c r="E20" s="1" t="s">
        <v>161</v>
      </c>
      <c r="F20" s="1" t="s">
        <v>202</v>
      </c>
      <c r="G20" s="1" t="s">
        <v>540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545</v>
      </c>
      <c r="B21" s="1" t="s">
        <v>218</v>
      </c>
      <c r="C21" s="1" t="s">
        <v>524</v>
      </c>
      <c r="D21" s="1" t="s">
        <v>219</v>
      </c>
      <c r="E21" s="1" t="s">
        <v>161</v>
      </c>
      <c r="F21" s="1" t="s">
        <v>220</v>
      </c>
      <c r="G21" s="1" t="s">
        <v>546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547</v>
      </c>
      <c r="B22" s="1" t="s">
        <v>223</v>
      </c>
      <c r="C22" s="1" t="s">
        <v>524</v>
      </c>
      <c r="D22" s="1" t="s">
        <v>224</v>
      </c>
      <c r="E22" s="1" t="s">
        <v>161</v>
      </c>
      <c r="F22" s="1" t="s">
        <v>220</v>
      </c>
      <c r="G22" s="1" t="s">
        <v>548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549</v>
      </c>
      <c r="B23" s="1" t="s">
        <v>227</v>
      </c>
      <c r="C23" s="1" t="s">
        <v>524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550</v>
      </c>
      <c r="B24" s="1" t="s">
        <v>232</v>
      </c>
      <c r="C24" s="1" t="s">
        <v>524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552</v>
      </c>
      <c r="B9" s="14" t="s">
        <v>158</v>
      </c>
      <c r="C9" s="14" t="s">
        <v>32</v>
      </c>
      <c r="D9" s="15" t="s">
        <v>553</v>
      </c>
      <c r="E9" s="14" t="s">
        <v>161</v>
      </c>
      <c r="F9" s="14" t="s">
        <v>162</v>
      </c>
      <c r="G9" s="15" t="s">
        <v>554</v>
      </c>
      <c r="H9" s="14" t="s">
        <v>126</v>
      </c>
      <c r="I9" s="14" t="s">
        <v>141</v>
      </c>
      <c r="J9" s="16" t="n">
        <v>46227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555</v>
      </c>
      <c r="B10" s="14" t="s">
        <v>165</v>
      </c>
      <c r="C10" s="14" t="s">
        <v>32</v>
      </c>
      <c r="D10" s="15" t="s">
        <v>556</v>
      </c>
      <c r="E10" s="14" t="s">
        <v>161</v>
      </c>
      <c r="F10" s="14" t="s">
        <v>161</v>
      </c>
      <c r="G10" s="15" t="s">
        <v>167</v>
      </c>
      <c r="H10" s="14" t="s">
        <v>126</v>
      </c>
      <c r="I10" s="14" t="s">
        <v>141</v>
      </c>
      <c r="J10" s="16" t="n">
        <v>46227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557</v>
      </c>
      <c r="B11" s="14" t="s">
        <v>169</v>
      </c>
      <c r="C11" s="14" t="s">
        <v>32</v>
      </c>
      <c r="D11" s="15" t="s">
        <v>558</v>
      </c>
      <c r="E11" s="14" t="s">
        <v>161</v>
      </c>
      <c r="F11" s="14" t="s">
        <v>171</v>
      </c>
      <c r="G11" s="15" t="s">
        <v>559</v>
      </c>
      <c r="H11" s="14" t="s">
        <v>126</v>
      </c>
      <c r="I11" s="14" t="s">
        <v>141</v>
      </c>
      <c r="J11" s="16" t="n">
        <v>46227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560</v>
      </c>
      <c r="B12" s="14" t="s">
        <v>174</v>
      </c>
      <c r="C12" s="14" t="s">
        <v>32</v>
      </c>
      <c r="D12" s="15" t="s">
        <v>561</v>
      </c>
      <c r="E12" s="14" t="s">
        <v>161</v>
      </c>
      <c r="F12" s="14" t="s">
        <v>176</v>
      </c>
      <c r="G12" s="15" t="s">
        <v>562</v>
      </c>
      <c r="H12" s="14" t="s">
        <v>126</v>
      </c>
      <c r="I12" s="14" t="s">
        <v>141</v>
      </c>
      <c r="J12" s="16" t="n">
        <v>46227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563</v>
      </c>
      <c r="B13" s="14" t="s">
        <v>179</v>
      </c>
      <c r="C13" s="14" t="s">
        <v>32</v>
      </c>
      <c r="D13" s="15" t="s">
        <v>564</v>
      </c>
      <c r="E13" s="14" t="s">
        <v>161</v>
      </c>
      <c r="F13" s="14" t="s">
        <v>181</v>
      </c>
      <c r="G13" s="15" t="s">
        <v>565</v>
      </c>
      <c r="H13" s="14" t="s">
        <v>126</v>
      </c>
      <c r="I13" s="14" t="s">
        <v>141</v>
      </c>
      <c r="J13" s="16" t="n">
        <v>46227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566</v>
      </c>
      <c r="B14" s="14" t="s">
        <v>184</v>
      </c>
      <c r="C14" s="14" t="s">
        <v>32</v>
      </c>
      <c r="D14" s="15" t="s">
        <v>567</v>
      </c>
      <c r="E14" s="14" t="s">
        <v>161</v>
      </c>
      <c r="F14" s="14" t="s">
        <v>186</v>
      </c>
      <c r="G14" s="15" t="s">
        <v>568</v>
      </c>
      <c r="H14" s="14" t="s">
        <v>126</v>
      </c>
      <c r="I14" s="14" t="s">
        <v>141</v>
      </c>
      <c r="J14" s="16" t="n">
        <v>46227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569</v>
      </c>
      <c r="B15" s="14" t="s">
        <v>189</v>
      </c>
      <c r="C15" s="14" t="s">
        <v>32</v>
      </c>
      <c r="D15" s="15" t="s">
        <v>570</v>
      </c>
      <c r="E15" s="14" t="s">
        <v>161</v>
      </c>
      <c r="F15" s="14" t="s">
        <v>191</v>
      </c>
      <c r="G15" s="15" t="s">
        <v>571</v>
      </c>
      <c r="H15" s="14" t="s">
        <v>126</v>
      </c>
      <c r="I15" s="14" t="s">
        <v>141</v>
      </c>
      <c r="J15" s="16" t="n">
        <v>46227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572</v>
      </c>
      <c r="B16" s="14" t="s">
        <v>194</v>
      </c>
      <c r="C16" s="14" t="s">
        <v>32</v>
      </c>
      <c r="D16" s="15" t="s">
        <v>573</v>
      </c>
      <c r="E16" s="14" t="s">
        <v>161</v>
      </c>
      <c r="F16" s="14" t="s">
        <v>196</v>
      </c>
      <c r="G16" s="15" t="s">
        <v>574</v>
      </c>
      <c r="H16" s="14" t="s">
        <v>128</v>
      </c>
      <c r="I16" s="14" t="s">
        <v>140</v>
      </c>
      <c r="J16" s="16" t="n">
        <v>46227</v>
      </c>
      <c r="K16" s="15" t="s">
        <v>575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576</v>
      </c>
      <c r="B17" s="14" t="s">
        <v>200</v>
      </c>
      <c r="C17" s="14" t="s">
        <v>32</v>
      </c>
      <c r="D17" s="15" t="s">
        <v>577</v>
      </c>
      <c r="E17" s="14" t="s">
        <v>161</v>
      </c>
      <c r="F17" s="14" t="s">
        <v>202</v>
      </c>
      <c r="G17" s="15" t="s">
        <v>578</v>
      </c>
      <c r="H17" s="14" t="s">
        <v>124</v>
      </c>
      <c r="I17" s="14" t="s">
        <v>140</v>
      </c>
      <c r="J17" s="16"/>
      <c r="K17" s="15" t="s">
        <v>579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580</v>
      </c>
      <c r="B18" s="14" t="s">
        <v>206</v>
      </c>
      <c r="C18" s="14" t="s">
        <v>32</v>
      </c>
      <c r="D18" s="15" t="s">
        <v>581</v>
      </c>
      <c r="E18" s="14" t="s">
        <v>161</v>
      </c>
      <c r="F18" s="14" t="s">
        <v>202</v>
      </c>
      <c r="G18" s="15" t="s">
        <v>582</v>
      </c>
      <c r="H18" s="14" t="s">
        <v>124</v>
      </c>
      <c r="I18" s="14" t="s">
        <v>140</v>
      </c>
      <c r="J18" s="16"/>
      <c r="K18" s="15" t="s">
        <v>583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584</v>
      </c>
      <c r="B19" s="14" t="s">
        <v>209</v>
      </c>
      <c r="C19" s="14" t="s">
        <v>32</v>
      </c>
      <c r="D19" s="15" t="s">
        <v>585</v>
      </c>
      <c r="E19" s="14" t="s">
        <v>161</v>
      </c>
      <c r="F19" s="14" t="s">
        <v>202</v>
      </c>
      <c r="G19" s="15" t="s">
        <v>586</v>
      </c>
      <c r="H19" s="14" t="s">
        <v>124</v>
      </c>
      <c r="I19" s="14" t="s">
        <v>140</v>
      </c>
      <c r="J19" s="16"/>
      <c r="K19" s="15" t="s">
        <v>587</v>
      </c>
      <c r="L19" s="14" t="n">
        <v>1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588</v>
      </c>
      <c r="B20" s="14" t="s">
        <v>214</v>
      </c>
      <c r="C20" s="14" t="s">
        <v>32</v>
      </c>
      <c r="D20" s="15" t="s">
        <v>589</v>
      </c>
      <c r="E20" s="14" t="s">
        <v>161</v>
      </c>
      <c r="F20" s="14" t="s">
        <v>202</v>
      </c>
      <c r="G20" s="15" t="s">
        <v>578</v>
      </c>
      <c r="H20" s="14" t="s">
        <v>124</v>
      </c>
      <c r="I20" s="14" t="s">
        <v>140</v>
      </c>
      <c r="J20" s="16"/>
      <c r="K20" s="15" t="s">
        <v>590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591</v>
      </c>
      <c r="B21" s="14" t="s">
        <v>218</v>
      </c>
      <c r="C21" s="14" t="s">
        <v>32</v>
      </c>
      <c r="D21" s="15" t="s">
        <v>592</v>
      </c>
      <c r="E21" s="14" t="s">
        <v>161</v>
      </c>
      <c r="F21" s="14" t="s">
        <v>220</v>
      </c>
      <c r="G21" s="15" t="s">
        <v>593</v>
      </c>
      <c r="H21" s="14" t="s">
        <v>126</v>
      </c>
      <c r="I21" s="14" t="s">
        <v>141</v>
      </c>
      <c r="J21" s="16" t="n">
        <v>46227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594</v>
      </c>
      <c r="B22" s="14" t="s">
        <v>223</v>
      </c>
      <c r="C22" s="14" t="s">
        <v>32</v>
      </c>
      <c r="D22" s="15" t="s">
        <v>595</v>
      </c>
      <c r="E22" s="14" t="s">
        <v>161</v>
      </c>
      <c r="F22" s="14" t="s">
        <v>220</v>
      </c>
      <c r="G22" s="15" t="s">
        <v>596</v>
      </c>
      <c r="H22" s="14" t="s">
        <v>126</v>
      </c>
      <c r="I22" s="14" t="s">
        <v>141</v>
      </c>
      <c r="J22" s="16" t="n">
        <v>46227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597</v>
      </c>
      <c r="B23" s="14" t="s">
        <v>227</v>
      </c>
      <c r="C23" s="14" t="s">
        <v>32</v>
      </c>
      <c r="D23" s="15" t="s">
        <v>598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46227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599</v>
      </c>
      <c r="B24" s="14" t="s">
        <v>232</v>
      </c>
      <c r="C24" s="14" t="s">
        <v>32</v>
      </c>
      <c r="D24" s="15" t="s">
        <v>600</v>
      </c>
      <c r="E24" s="14" t="s">
        <v>161</v>
      </c>
      <c r="F24" s="14" t="s">
        <v>161</v>
      </c>
      <c r="G24" s="15" t="s">
        <v>601</v>
      </c>
      <c r="H24" s="14" t="s">
        <v>126</v>
      </c>
      <c r="I24" s="14" t="s">
        <v>141</v>
      </c>
      <c r="J24" s="16" t="n">
        <v>46227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603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604</v>
      </c>
      <c r="B9" s="14" t="s">
        <v>158</v>
      </c>
      <c r="C9" s="14" t="s">
        <v>33</v>
      </c>
      <c r="D9" s="15" t="s">
        <v>605</v>
      </c>
      <c r="E9" s="14" t="s">
        <v>161</v>
      </c>
      <c r="F9" s="14" t="s">
        <v>162</v>
      </c>
      <c r="G9" s="15" t="s">
        <v>606</v>
      </c>
      <c r="H9" s="14" t="s">
        <v>126</v>
      </c>
      <c r="I9" s="14" t="s">
        <v>141</v>
      </c>
      <c r="J9" s="16" t="n">
        <v>46228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607</v>
      </c>
      <c r="B10" s="14" t="s">
        <v>165</v>
      </c>
      <c r="C10" s="14" t="s">
        <v>33</v>
      </c>
      <c r="D10" s="15" t="s">
        <v>608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46228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610</v>
      </c>
      <c r="B11" s="14" t="s">
        <v>169</v>
      </c>
      <c r="C11" s="14" t="s">
        <v>33</v>
      </c>
      <c r="D11" s="15" t="s">
        <v>611</v>
      </c>
      <c r="E11" s="14" t="s">
        <v>161</v>
      </c>
      <c r="F11" s="14" t="s">
        <v>171</v>
      </c>
      <c r="G11" s="15" t="s">
        <v>612</v>
      </c>
      <c r="H11" s="14" t="s">
        <v>126</v>
      </c>
      <c r="I11" s="14" t="s">
        <v>141</v>
      </c>
      <c r="J11" s="16" t="n">
        <v>46228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613</v>
      </c>
      <c r="B12" s="14" t="s">
        <v>174</v>
      </c>
      <c r="C12" s="14" t="s">
        <v>33</v>
      </c>
      <c r="D12" s="15" t="s">
        <v>614</v>
      </c>
      <c r="E12" s="14" t="s">
        <v>161</v>
      </c>
      <c r="F12" s="14" t="s">
        <v>176</v>
      </c>
      <c r="G12" s="15" t="s">
        <v>615</v>
      </c>
      <c r="H12" s="14" t="s">
        <v>126</v>
      </c>
      <c r="I12" s="14" t="s">
        <v>141</v>
      </c>
      <c r="J12" s="16" t="n">
        <v>46228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616</v>
      </c>
      <c r="B13" s="14" t="s">
        <v>179</v>
      </c>
      <c r="C13" s="14" t="s">
        <v>33</v>
      </c>
      <c r="D13" s="15" t="s">
        <v>617</v>
      </c>
      <c r="E13" s="14" t="s">
        <v>161</v>
      </c>
      <c r="F13" s="14" t="s">
        <v>181</v>
      </c>
      <c r="G13" s="15" t="s">
        <v>618</v>
      </c>
      <c r="H13" s="14" t="s">
        <v>126</v>
      </c>
      <c r="I13" s="14" t="s">
        <v>141</v>
      </c>
      <c r="J13" s="16" t="n">
        <v>46228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619</v>
      </c>
      <c r="B14" s="14" t="s">
        <v>184</v>
      </c>
      <c r="C14" s="14" t="s">
        <v>33</v>
      </c>
      <c r="D14" s="15" t="s">
        <v>620</v>
      </c>
      <c r="E14" s="14" t="s">
        <v>161</v>
      </c>
      <c r="F14" s="14" t="s">
        <v>186</v>
      </c>
      <c r="G14" s="15" t="s">
        <v>621</v>
      </c>
      <c r="H14" s="14" t="s">
        <v>126</v>
      </c>
      <c r="I14" s="14" t="s">
        <v>141</v>
      </c>
      <c r="J14" s="16" t="n">
        <v>46228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622</v>
      </c>
      <c r="B15" s="14" t="s">
        <v>189</v>
      </c>
      <c r="C15" s="14" t="s">
        <v>33</v>
      </c>
      <c r="D15" s="15" t="s">
        <v>623</v>
      </c>
      <c r="E15" s="14" t="s">
        <v>161</v>
      </c>
      <c r="F15" s="14" t="s">
        <v>191</v>
      </c>
      <c r="G15" s="15" t="s">
        <v>621</v>
      </c>
      <c r="H15" s="14" t="s">
        <v>126</v>
      </c>
      <c r="I15" s="14" t="s">
        <v>141</v>
      </c>
      <c r="J15" s="16" t="n">
        <v>46228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624</v>
      </c>
      <c r="B16" s="14" t="s">
        <v>194</v>
      </c>
      <c r="C16" s="14" t="s">
        <v>33</v>
      </c>
      <c r="D16" s="15" t="s">
        <v>625</v>
      </c>
      <c r="E16" s="14" t="s">
        <v>161</v>
      </c>
      <c r="F16" s="14" t="s">
        <v>196</v>
      </c>
      <c r="G16" s="15" t="s">
        <v>626</v>
      </c>
      <c r="H16" s="14" t="s">
        <v>128</v>
      </c>
      <c r="I16" s="14" t="s">
        <v>140</v>
      </c>
      <c r="J16" s="16"/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627</v>
      </c>
      <c r="B17" s="14" t="s">
        <v>200</v>
      </c>
      <c r="C17" s="14" t="s">
        <v>33</v>
      </c>
      <c r="D17" s="15" t="s">
        <v>628</v>
      </c>
      <c r="E17" s="14" t="s">
        <v>161</v>
      </c>
      <c r="F17" s="14" t="s">
        <v>202</v>
      </c>
      <c r="G17" s="15" t="s">
        <v>629</v>
      </c>
      <c r="H17" s="14" t="s">
        <v>124</v>
      </c>
      <c r="I17" s="14" t="s">
        <v>140</v>
      </c>
      <c r="J17" s="16"/>
      <c r="K17" s="15" t="s">
        <v>630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631</v>
      </c>
      <c r="B18" s="14" t="s">
        <v>206</v>
      </c>
      <c r="C18" s="14" t="s">
        <v>33</v>
      </c>
      <c r="D18" s="15" t="s">
        <v>632</v>
      </c>
      <c r="E18" s="14" t="s">
        <v>161</v>
      </c>
      <c r="F18" s="14" t="s">
        <v>202</v>
      </c>
      <c r="G18" s="15" t="s">
        <v>633</v>
      </c>
      <c r="H18" s="14" t="s">
        <v>124</v>
      </c>
      <c r="I18" s="14" t="s">
        <v>140</v>
      </c>
      <c r="J18" s="16"/>
      <c r="K18" s="15" t="s">
        <v>634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635</v>
      </c>
      <c r="B19" s="14" t="s">
        <v>209</v>
      </c>
      <c r="C19" s="14" t="s">
        <v>33</v>
      </c>
      <c r="D19" s="15" t="s">
        <v>636</v>
      </c>
      <c r="E19" s="14" t="s">
        <v>161</v>
      </c>
      <c r="F19" s="14" t="s">
        <v>186</v>
      </c>
      <c r="G19" s="15" t="s">
        <v>621</v>
      </c>
      <c r="H19" s="14" t="s">
        <v>126</v>
      </c>
      <c r="I19" s="14" t="s">
        <v>141</v>
      </c>
      <c r="J19" s="16" t="n">
        <v>46228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637</v>
      </c>
      <c r="B20" s="14" t="s">
        <v>214</v>
      </c>
      <c r="C20" s="14" t="s">
        <v>33</v>
      </c>
      <c r="D20" s="15" t="s">
        <v>638</v>
      </c>
      <c r="E20" s="14" t="s">
        <v>161</v>
      </c>
      <c r="F20" s="14" t="s">
        <v>202</v>
      </c>
      <c r="G20" s="15" t="s">
        <v>629</v>
      </c>
      <c r="H20" s="14" t="s">
        <v>124</v>
      </c>
      <c r="I20" s="14" t="s">
        <v>140</v>
      </c>
      <c r="J20" s="16"/>
      <c r="K20" s="15" t="s">
        <v>639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640</v>
      </c>
      <c r="B21" s="14" t="s">
        <v>218</v>
      </c>
      <c r="C21" s="14" t="s">
        <v>33</v>
      </c>
      <c r="D21" s="15" t="s">
        <v>641</v>
      </c>
      <c r="E21" s="14" t="s">
        <v>161</v>
      </c>
      <c r="F21" s="14" t="s">
        <v>220</v>
      </c>
      <c r="G21" s="15" t="s">
        <v>642</v>
      </c>
      <c r="H21" s="14" t="s">
        <v>126</v>
      </c>
      <c r="I21" s="14" t="s">
        <v>141</v>
      </c>
      <c r="J21" s="16" t="n">
        <v>46228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643</v>
      </c>
      <c r="B22" s="14" t="s">
        <v>223</v>
      </c>
      <c r="C22" s="14" t="s">
        <v>33</v>
      </c>
      <c r="D22" s="15" t="s">
        <v>644</v>
      </c>
      <c r="E22" s="14" t="s">
        <v>161</v>
      </c>
      <c r="F22" s="14" t="s">
        <v>220</v>
      </c>
      <c r="G22" s="15" t="s">
        <v>645</v>
      </c>
      <c r="H22" s="14" t="s">
        <v>126</v>
      </c>
      <c r="I22" s="14" t="s">
        <v>141</v>
      </c>
      <c r="J22" s="16" t="n">
        <v>46228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646</v>
      </c>
      <c r="B23" s="14" t="s">
        <v>227</v>
      </c>
      <c r="C23" s="14" t="s">
        <v>33</v>
      </c>
      <c r="D23" s="15" t="s">
        <v>647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46228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648</v>
      </c>
      <c r="B24" s="14" t="s">
        <v>649</v>
      </c>
      <c r="C24" s="14" t="s">
        <v>33</v>
      </c>
      <c r="D24" s="15" t="s">
        <v>650</v>
      </c>
      <c r="E24" s="14" t="s">
        <v>161</v>
      </c>
      <c r="F24" s="14" t="s">
        <v>651</v>
      </c>
      <c r="G24" s="15" t="s">
        <v>652</v>
      </c>
      <c r="H24" s="14" t="s">
        <v>126</v>
      </c>
      <c r="I24" s="14" t="s">
        <v>141</v>
      </c>
      <c r="J24" s="16" t="n">
        <v>46228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653</v>
      </c>
      <c r="B25" s="14" t="s">
        <v>232</v>
      </c>
      <c r="C25" s="14" t="s">
        <v>33</v>
      </c>
      <c r="D25" s="15" t="s">
        <v>654</v>
      </c>
      <c r="E25" s="14" t="s">
        <v>161</v>
      </c>
      <c r="F25" s="14" t="s">
        <v>161</v>
      </c>
      <c r="G25" s="15" t="s">
        <v>655</v>
      </c>
      <c r="H25" s="14" t="s">
        <v>126</v>
      </c>
      <c r="I25" s="14" t="s">
        <v>141</v>
      </c>
      <c r="J25" s="16" t="n">
        <v>46228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657</v>
      </c>
      <c r="B9" s="14" t="s">
        <v>158</v>
      </c>
      <c r="C9" s="14" t="s">
        <v>40</v>
      </c>
      <c r="D9" s="15" t="s">
        <v>658</v>
      </c>
      <c r="E9" s="14" t="s">
        <v>161</v>
      </c>
      <c r="F9" s="14" t="s">
        <v>162</v>
      </c>
      <c r="G9" s="15" t="s">
        <v>659</v>
      </c>
      <c r="H9" s="14" t="s">
        <v>126</v>
      </c>
      <c r="I9" s="14" t="s">
        <v>141</v>
      </c>
      <c r="J9" s="16" t="n">
        <v>46227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660</v>
      </c>
      <c r="B10" s="14" t="s">
        <v>165</v>
      </c>
      <c r="C10" s="14" t="s">
        <v>40</v>
      </c>
      <c r="D10" s="15" t="s">
        <v>661</v>
      </c>
      <c r="E10" s="14" t="s">
        <v>161</v>
      </c>
      <c r="F10" s="14" t="s">
        <v>161</v>
      </c>
      <c r="G10" s="15" t="s">
        <v>167</v>
      </c>
      <c r="H10" s="14" t="s">
        <v>126</v>
      </c>
      <c r="I10" s="14" t="s">
        <v>141</v>
      </c>
      <c r="J10" s="16" t="n">
        <v>46227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662</v>
      </c>
      <c r="B11" s="14" t="s">
        <v>169</v>
      </c>
      <c r="C11" s="14" t="s">
        <v>40</v>
      </c>
      <c r="D11" s="15" t="s">
        <v>663</v>
      </c>
      <c r="E11" s="14" t="s">
        <v>161</v>
      </c>
      <c r="F11" s="14" t="s">
        <v>171</v>
      </c>
      <c r="G11" s="15" t="s">
        <v>664</v>
      </c>
      <c r="H11" s="14" t="s">
        <v>126</v>
      </c>
      <c r="I11" s="14" t="s">
        <v>141</v>
      </c>
      <c r="J11" s="16" t="n">
        <v>46227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665</v>
      </c>
      <c r="B12" s="14" t="s">
        <v>174</v>
      </c>
      <c r="C12" s="14" t="s">
        <v>40</v>
      </c>
      <c r="D12" s="15" t="s">
        <v>666</v>
      </c>
      <c r="E12" s="14" t="s">
        <v>161</v>
      </c>
      <c r="F12" s="14" t="s">
        <v>176</v>
      </c>
      <c r="G12" s="15" t="s">
        <v>667</v>
      </c>
      <c r="H12" s="14" t="s">
        <v>126</v>
      </c>
      <c r="I12" s="14" t="s">
        <v>141</v>
      </c>
      <c r="J12" s="16" t="n">
        <v>46227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668</v>
      </c>
      <c r="B13" s="14" t="s">
        <v>179</v>
      </c>
      <c r="C13" s="14" t="s">
        <v>40</v>
      </c>
      <c r="D13" s="15" t="s">
        <v>669</v>
      </c>
      <c r="E13" s="14" t="s">
        <v>161</v>
      </c>
      <c r="F13" s="14" t="s">
        <v>181</v>
      </c>
      <c r="G13" s="15" t="s">
        <v>670</v>
      </c>
      <c r="H13" s="14" t="s">
        <v>126</v>
      </c>
      <c r="I13" s="14" t="s">
        <v>141</v>
      </c>
      <c r="J13" s="16" t="n">
        <v>46227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671</v>
      </c>
      <c r="B14" s="14" t="s">
        <v>184</v>
      </c>
      <c r="C14" s="14" t="s">
        <v>40</v>
      </c>
      <c r="D14" s="15" t="s">
        <v>672</v>
      </c>
      <c r="E14" s="14" t="s">
        <v>161</v>
      </c>
      <c r="F14" s="14" t="s">
        <v>186</v>
      </c>
      <c r="G14" s="15" t="s">
        <v>673</v>
      </c>
      <c r="H14" s="14" t="s">
        <v>126</v>
      </c>
      <c r="I14" s="14" t="s">
        <v>141</v>
      </c>
      <c r="J14" s="16" t="n">
        <v>46227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674</v>
      </c>
      <c r="B15" s="14" t="s">
        <v>189</v>
      </c>
      <c r="C15" s="14" t="s">
        <v>40</v>
      </c>
      <c r="D15" s="15" t="s">
        <v>675</v>
      </c>
      <c r="E15" s="14" t="s">
        <v>161</v>
      </c>
      <c r="F15" s="14" t="s">
        <v>191</v>
      </c>
      <c r="G15" s="15" t="s">
        <v>673</v>
      </c>
      <c r="H15" s="14" t="s">
        <v>126</v>
      </c>
      <c r="I15" s="14" t="s">
        <v>141</v>
      </c>
      <c r="J15" s="16" t="n">
        <v>46227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676</v>
      </c>
      <c r="B16" s="14" t="s">
        <v>194</v>
      </c>
      <c r="C16" s="14" t="s">
        <v>40</v>
      </c>
      <c r="D16" s="15" t="s">
        <v>677</v>
      </c>
      <c r="E16" s="14" t="s">
        <v>161</v>
      </c>
      <c r="F16" s="14" t="s">
        <v>196</v>
      </c>
      <c r="G16" s="15" t="s">
        <v>678</v>
      </c>
      <c r="H16" s="14" t="s">
        <v>128</v>
      </c>
      <c r="I16" s="14" t="s">
        <v>140</v>
      </c>
      <c r="J16" s="16" t="n">
        <v>46227</v>
      </c>
      <c r="K16" s="15" t="s">
        <v>679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680</v>
      </c>
      <c r="B17" s="14" t="s">
        <v>200</v>
      </c>
      <c r="C17" s="14" t="s">
        <v>40</v>
      </c>
      <c r="D17" s="15" t="s">
        <v>681</v>
      </c>
      <c r="E17" s="14" t="s">
        <v>161</v>
      </c>
      <c r="F17" s="14" t="s">
        <v>202</v>
      </c>
      <c r="G17" s="15" t="s">
        <v>682</v>
      </c>
      <c r="H17" s="14" t="s">
        <v>124</v>
      </c>
      <c r="I17" s="14" t="s">
        <v>140</v>
      </c>
      <c r="J17" s="16"/>
      <c r="K17" s="15" t="s">
        <v>683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684</v>
      </c>
      <c r="B18" s="14" t="s">
        <v>206</v>
      </c>
      <c r="C18" s="14" t="s">
        <v>40</v>
      </c>
      <c r="D18" s="15" t="s">
        <v>685</v>
      </c>
      <c r="E18" s="14" t="s">
        <v>161</v>
      </c>
      <c r="F18" s="14" t="s">
        <v>202</v>
      </c>
      <c r="G18" s="15" t="s">
        <v>686</v>
      </c>
      <c r="H18" s="14" t="s">
        <v>124</v>
      </c>
      <c r="I18" s="14" t="s">
        <v>140</v>
      </c>
      <c r="J18" s="16"/>
      <c r="K18" s="15" t="s">
        <v>687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688</v>
      </c>
      <c r="B19" s="14" t="s">
        <v>689</v>
      </c>
      <c r="C19" s="14" t="s">
        <v>40</v>
      </c>
      <c r="D19" s="15" t="s">
        <v>690</v>
      </c>
      <c r="E19" s="14" t="s">
        <v>161</v>
      </c>
      <c r="F19" s="14" t="s">
        <v>186</v>
      </c>
      <c r="G19" s="15" t="s">
        <v>673</v>
      </c>
      <c r="H19" s="14" t="s">
        <v>126</v>
      </c>
      <c r="I19" s="14" t="s">
        <v>141</v>
      </c>
      <c r="J19" s="16" t="n">
        <v>46227</v>
      </c>
      <c r="K19" s="15" t="s">
        <v>587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691</v>
      </c>
      <c r="B20" s="14" t="s">
        <v>214</v>
      </c>
      <c r="C20" s="14" t="s">
        <v>40</v>
      </c>
      <c r="D20" s="15" t="s">
        <v>692</v>
      </c>
      <c r="E20" s="14" t="s">
        <v>161</v>
      </c>
      <c r="F20" s="14" t="s">
        <v>202</v>
      </c>
      <c r="G20" s="15" t="s">
        <v>682</v>
      </c>
      <c r="H20" s="14" t="s">
        <v>124</v>
      </c>
      <c r="I20" s="14" t="s">
        <v>140</v>
      </c>
      <c r="J20" s="16"/>
      <c r="K20" s="15" t="s">
        <v>590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693</v>
      </c>
      <c r="B21" s="14" t="s">
        <v>218</v>
      </c>
      <c r="C21" s="14" t="s">
        <v>40</v>
      </c>
      <c r="D21" s="15" t="s">
        <v>592</v>
      </c>
      <c r="E21" s="14" t="s">
        <v>161</v>
      </c>
      <c r="F21" s="14" t="s">
        <v>220</v>
      </c>
      <c r="G21" s="15" t="s">
        <v>694</v>
      </c>
      <c r="H21" s="14" t="s">
        <v>126</v>
      </c>
      <c r="I21" s="14" t="s">
        <v>141</v>
      </c>
      <c r="J21" s="16" t="n">
        <v>46227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695</v>
      </c>
      <c r="B22" s="14" t="s">
        <v>223</v>
      </c>
      <c r="C22" s="14" t="s">
        <v>40</v>
      </c>
      <c r="D22" s="15" t="s">
        <v>696</v>
      </c>
      <c r="E22" s="14" t="s">
        <v>161</v>
      </c>
      <c r="F22" s="14" t="s">
        <v>220</v>
      </c>
      <c r="G22" s="15" t="s">
        <v>697</v>
      </c>
      <c r="H22" s="14" t="s">
        <v>126</v>
      </c>
      <c r="I22" s="14" t="s">
        <v>141</v>
      </c>
      <c r="J22" s="16" t="n">
        <v>46227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698</v>
      </c>
      <c r="B23" s="14" t="s">
        <v>227</v>
      </c>
      <c r="C23" s="14" t="s">
        <v>40</v>
      </c>
      <c r="D23" s="15" t="s">
        <v>699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46227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700</v>
      </c>
      <c r="B24" s="14" t="s">
        <v>232</v>
      </c>
      <c r="C24" s="14" t="s">
        <v>40</v>
      </c>
      <c r="D24" s="15" t="s">
        <v>600</v>
      </c>
      <c r="E24" s="14" t="s">
        <v>161</v>
      </c>
      <c r="F24" s="14" t="s">
        <v>161</v>
      </c>
      <c r="G24" s="15" t="s">
        <v>601</v>
      </c>
      <c r="H24" s="14" t="s">
        <v>124</v>
      </c>
      <c r="I24" s="14" t="s">
        <v>140</v>
      </c>
      <c r="J24" s="16" t="n">
        <v>46227</v>
      </c>
      <c r="K24" s="15" t="s">
        <v>701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703</v>
      </c>
      <c r="B9" s="1" t="s">
        <v>158</v>
      </c>
      <c r="C9" s="1" t="s">
        <v>704</v>
      </c>
      <c r="D9" s="1" t="s">
        <v>160</v>
      </c>
      <c r="E9" s="1" t="s">
        <v>161</v>
      </c>
      <c r="F9" s="1" t="s">
        <v>162</v>
      </c>
      <c r="G9" s="1" t="s">
        <v>294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705</v>
      </c>
      <c r="B10" s="1" t="s">
        <v>165</v>
      </c>
      <c r="C10" s="1" t="s">
        <v>704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706</v>
      </c>
      <c r="B11" s="1" t="s">
        <v>169</v>
      </c>
      <c r="C11" s="1" t="s">
        <v>704</v>
      </c>
      <c r="D11" s="1" t="s">
        <v>170</v>
      </c>
      <c r="E11" s="1" t="s">
        <v>161</v>
      </c>
      <c r="F11" s="1" t="s">
        <v>171</v>
      </c>
      <c r="G11" s="1" t="s">
        <v>707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708</v>
      </c>
      <c r="B12" s="1" t="s">
        <v>174</v>
      </c>
      <c r="C12" s="1" t="s">
        <v>704</v>
      </c>
      <c r="D12" s="1" t="s">
        <v>175</v>
      </c>
      <c r="E12" s="1" t="s">
        <v>161</v>
      </c>
      <c r="F12" s="1" t="s">
        <v>176</v>
      </c>
      <c r="G12" s="1" t="s">
        <v>299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709</v>
      </c>
      <c r="B13" s="1" t="s">
        <v>179</v>
      </c>
      <c r="C13" s="1" t="s">
        <v>704</v>
      </c>
      <c r="D13" s="1" t="s">
        <v>180</v>
      </c>
      <c r="E13" s="1" t="s">
        <v>161</v>
      </c>
      <c r="F13" s="1" t="s">
        <v>181</v>
      </c>
      <c r="G13" s="1" t="s">
        <v>710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711</v>
      </c>
      <c r="B14" s="1" t="s">
        <v>184</v>
      </c>
      <c r="C14" s="1" t="s">
        <v>704</v>
      </c>
      <c r="D14" s="1" t="s">
        <v>185</v>
      </c>
      <c r="E14" s="1" t="s">
        <v>161</v>
      </c>
      <c r="F14" s="1" t="s">
        <v>186</v>
      </c>
      <c r="G14" s="1" t="s">
        <v>712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713</v>
      </c>
      <c r="B15" s="1" t="s">
        <v>189</v>
      </c>
      <c r="C15" s="1" t="s">
        <v>704</v>
      </c>
      <c r="D15" s="1" t="s">
        <v>190</v>
      </c>
      <c r="E15" s="1" t="s">
        <v>161</v>
      </c>
      <c r="F15" s="1" t="s">
        <v>191</v>
      </c>
      <c r="G15" s="1" t="s">
        <v>714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715</v>
      </c>
      <c r="B16" s="1" t="s">
        <v>194</v>
      </c>
      <c r="C16" s="1" t="s">
        <v>704</v>
      </c>
      <c r="D16" s="1" t="s">
        <v>195</v>
      </c>
      <c r="E16" s="1" t="s">
        <v>161</v>
      </c>
      <c r="F16" s="1" t="s">
        <v>196</v>
      </c>
      <c r="G16" s="1" t="s">
        <v>716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717</v>
      </c>
      <c r="B17" s="1" t="s">
        <v>200</v>
      </c>
      <c r="C17" s="1" t="s">
        <v>704</v>
      </c>
      <c r="D17" s="1" t="s">
        <v>201</v>
      </c>
      <c r="E17" s="1" t="s">
        <v>161</v>
      </c>
      <c r="F17" s="1" t="s">
        <v>202</v>
      </c>
      <c r="G17" s="1" t="s">
        <v>718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719</v>
      </c>
      <c r="B18" s="1" t="s">
        <v>206</v>
      </c>
      <c r="C18" s="1" t="s">
        <v>704</v>
      </c>
      <c r="D18" s="1" t="s">
        <v>207</v>
      </c>
      <c r="E18" s="1" t="s">
        <v>161</v>
      </c>
      <c r="F18" s="1" t="s">
        <v>202</v>
      </c>
      <c r="G18" s="1" t="s">
        <v>718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720</v>
      </c>
      <c r="B19" s="1" t="s">
        <v>209</v>
      </c>
      <c r="C19" s="1" t="s">
        <v>704</v>
      </c>
      <c r="D19" s="1" t="s">
        <v>210</v>
      </c>
      <c r="E19" s="1" t="s">
        <v>161</v>
      </c>
      <c r="F19" s="1" t="s">
        <v>202</v>
      </c>
      <c r="G19" s="1" t="s">
        <v>721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722</v>
      </c>
      <c r="B20" s="1" t="s">
        <v>214</v>
      </c>
      <c r="C20" s="1" t="s">
        <v>704</v>
      </c>
      <c r="D20" s="1" t="s">
        <v>215</v>
      </c>
      <c r="E20" s="1" t="s">
        <v>161</v>
      </c>
      <c r="F20" s="1" t="s">
        <v>202</v>
      </c>
      <c r="G20" s="1" t="s">
        <v>718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723</v>
      </c>
      <c r="B21" s="1" t="s">
        <v>218</v>
      </c>
      <c r="C21" s="1" t="s">
        <v>704</v>
      </c>
      <c r="D21" s="1" t="s">
        <v>219</v>
      </c>
      <c r="E21" s="1" t="s">
        <v>161</v>
      </c>
      <c r="F21" s="1" t="s">
        <v>220</v>
      </c>
      <c r="G21" s="1" t="s">
        <v>724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725</v>
      </c>
      <c r="B22" s="1" t="s">
        <v>223</v>
      </c>
      <c r="C22" s="1" t="s">
        <v>704</v>
      </c>
      <c r="D22" s="1" t="s">
        <v>224</v>
      </c>
      <c r="E22" s="1" t="s">
        <v>161</v>
      </c>
      <c r="F22" s="1" t="s">
        <v>220</v>
      </c>
      <c r="G22" s="1" t="s">
        <v>726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727</v>
      </c>
      <c r="B23" s="1" t="s">
        <v>227</v>
      </c>
      <c r="C23" s="1" t="s">
        <v>704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728</v>
      </c>
      <c r="B24" s="1" t="s">
        <v>232</v>
      </c>
      <c r="C24" s="1" t="s">
        <v>704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730</v>
      </c>
      <c r="B9" s="1" t="s">
        <v>158</v>
      </c>
      <c r="C9" s="1" t="s">
        <v>35</v>
      </c>
      <c r="D9" s="1" t="s">
        <v>160</v>
      </c>
      <c r="E9" s="1" t="s">
        <v>161</v>
      </c>
      <c r="F9" s="1" t="s">
        <v>162</v>
      </c>
      <c r="G9" s="1" t="s">
        <v>731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732</v>
      </c>
      <c r="B10" s="1" t="s">
        <v>165</v>
      </c>
      <c r="C10" s="1" t="s">
        <v>35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733</v>
      </c>
      <c r="B11" s="1" t="s">
        <v>169</v>
      </c>
      <c r="C11" s="1" t="s">
        <v>35</v>
      </c>
      <c r="D11" s="1" t="s">
        <v>170</v>
      </c>
      <c r="E11" s="1" t="s">
        <v>161</v>
      </c>
      <c r="F11" s="1" t="s">
        <v>171</v>
      </c>
      <c r="G11" s="1" t="s">
        <v>734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735</v>
      </c>
      <c r="B12" s="1" t="s">
        <v>174</v>
      </c>
      <c r="C12" s="1" t="s">
        <v>35</v>
      </c>
      <c r="D12" s="1" t="s">
        <v>175</v>
      </c>
      <c r="E12" s="1" t="s">
        <v>161</v>
      </c>
      <c r="F12" s="1" t="s">
        <v>176</v>
      </c>
      <c r="G12" s="1" t="s">
        <v>736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737</v>
      </c>
      <c r="B13" s="1" t="s">
        <v>179</v>
      </c>
      <c r="C13" s="1" t="s">
        <v>35</v>
      </c>
      <c r="D13" s="1" t="s">
        <v>180</v>
      </c>
      <c r="E13" s="1" t="s">
        <v>161</v>
      </c>
      <c r="F13" s="1" t="s">
        <v>181</v>
      </c>
      <c r="G13" s="1" t="s">
        <v>738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739</v>
      </c>
      <c r="B14" s="1" t="s">
        <v>184</v>
      </c>
      <c r="C14" s="1" t="s">
        <v>35</v>
      </c>
      <c r="D14" s="1" t="s">
        <v>185</v>
      </c>
      <c r="E14" s="1" t="s">
        <v>161</v>
      </c>
      <c r="F14" s="1" t="s">
        <v>186</v>
      </c>
      <c r="G14" s="1" t="s">
        <v>740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741</v>
      </c>
      <c r="B15" s="1" t="s">
        <v>189</v>
      </c>
      <c r="C15" s="1" t="s">
        <v>35</v>
      </c>
      <c r="D15" s="1" t="s">
        <v>190</v>
      </c>
      <c r="E15" s="1" t="s">
        <v>161</v>
      </c>
      <c r="F15" s="1" t="s">
        <v>191</v>
      </c>
      <c r="G15" s="1" t="s">
        <v>742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743</v>
      </c>
      <c r="B16" s="1" t="s">
        <v>194</v>
      </c>
      <c r="C16" s="1" t="s">
        <v>35</v>
      </c>
      <c r="D16" s="1" t="s">
        <v>195</v>
      </c>
      <c r="E16" s="1" t="s">
        <v>161</v>
      </c>
      <c r="F16" s="1" t="s">
        <v>196</v>
      </c>
      <c r="G16" s="1" t="s">
        <v>744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745</v>
      </c>
      <c r="B17" s="1" t="s">
        <v>200</v>
      </c>
      <c r="C17" s="1" t="s">
        <v>35</v>
      </c>
      <c r="D17" s="1" t="s">
        <v>201</v>
      </c>
      <c r="E17" s="1" t="s">
        <v>161</v>
      </c>
      <c r="F17" s="1" t="s">
        <v>202</v>
      </c>
      <c r="G17" s="1" t="s">
        <v>746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747</v>
      </c>
      <c r="B18" s="1" t="s">
        <v>206</v>
      </c>
      <c r="C18" s="1" t="s">
        <v>35</v>
      </c>
      <c r="D18" s="1" t="s">
        <v>207</v>
      </c>
      <c r="E18" s="1" t="s">
        <v>161</v>
      </c>
      <c r="F18" s="1" t="s">
        <v>202</v>
      </c>
      <c r="G18" s="1" t="s">
        <v>746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748</v>
      </c>
      <c r="B19" s="1" t="s">
        <v>209</v>
      </c>
      <c r="C19" s="1" t="s">
        <v>35</v>
      </c>
      <c r="D19" s="1" t="s">
        <v>210</v>
      </c>
      <c r="E19" s="1" t="s">
        <v>161</v>
      </c>
      <c r="F19" s="1" t="s">
        <v>202</v>
      </c>
      <c r="G19" s="1" t="s">
        <v>749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750</v>
      </c>
      <c r="B20" s="1" t="s">
        <v>214</v>
      </c>
      <c r="C20" s="1" t="s">
        <v>35</v>
      </c>
      <c r="D20" s="1" t="s">
        <v>215</v>
      </c>
      <c r="E20" s="1" t="s">
        <v>161</v>
      </c>
      <c r="F20" s="1" t="s">
        <v>202</v>
      </c>
      <c r="G20" s="1" t="s">
        <v>746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751</v>
      </c>
      <c r="B21" s="1" t="s">
        <v>218</v>
      </c>
      <c r="C21" s="1" t="s">
        <v>35</v>
      </c>
      <c r="D21" s="1" t="s">
        <v>219</v>
      </c>
      <c r="E21" s="1" t="s">
        <v>161</v>
      </c>
      <c r="F21" s="1" t="s">
        <v>220</v>
      </c>
      <c r="G21" s="1" t="s">
        <v>752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753</v>
      </c>
      <c r="B22" s="1" t="s">
        <v>223</v>
      </c>
      <c r="C22" s="1" t="s">
        <v>35</v>
      </c>
      <c r="D22" s="1" t="s">
        <v>224</v>
      </c>
      <c r="E22" s="1" t="s">
        <v>161</v>
      </c>
      <c r="F22" s="1" t="s">
        <v>220</v>
      </c>
      <c r="G22" s="1" t="s">
        <v>754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755</v>
      </c>
      <c r="B23" s="1" t="s">
        <v>227</v>
      </c>
      <c r="C23" s="1" t="s">
        <v>35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756</v>
      </c>
      <c r="B24" s="1" t="s">
        <v>232</v>
      </c>
      <c r="C24" s="1" t="s">
        <v>35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657</v>
      </c>
      <c r="B9" s="1" t="s">
        <v>158</v>
      </c>
      <c r="C9" s="1" t="s">
        <v>36</v>
      </c>
      <c r="D9" s="1" t="s">
        <v>160</v>
      </c>
      <c r="E9" s="1" t="s">
        <v>161</v>
      </c>
      <c r="F9" s="1" t="s">
        <v>162</v>
      </c>
      <c r="G9" s="1" t="s">
        <v>758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660</v>
      </c>
      <c r="B10" s="1" t="s">
        <v>165</v>
      </c>
      <c r="C10" s="1" t="s">
        <v>36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662</v>
      </c>
      <c r="B11" s="1" t="s">
        <v>169</v>
      </c>
      <c r="C11" s="1" t="s">
        <v>36</v>
      </c>
      <c r="D11" s="1" t="s">
        <v>170</v>
      </c>
      <c r="E11" s="1" t="s">
        <v>161</v>
      </c>
      <c r="F11" s="1" t="s">
        <v>171</v>
      </c>
      <c r="G11" s="1" t="s">
        <v>759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665</v>
      </c>
      <c r="B12" s="1" t="s">
        <v>174</v>
      </c>
      <c r="C12" s="1" t="s">
        <v>36</v>
      </c>
      <c r="D12" s="1" t="s">
        <v>175</v>
      </c>
      <c r="E12" s="1" t="s">
        <v>161</v>
      </c>
      <c r="F12" s="1" t="s">
        <v>176</v>
      </c>
      <c r="G12" s="1" t="s">
        <v>760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668</v>
      </c>
      <c r="B13" s="1" t="s">
        <v>179</v>
      </c>
      <c r="C13" s="1" t="s">
        <v>36</v>
      </c>
      <c r="D13" s="1" t="s">
        <v>180</v>
      </c>
      <c r="E13" s="1" t="s">
        <v>161</v>
      </c>
      <c r="F13" s="1" t="s">
        <v>181</v>
      </c>
      <c r="G13" s="1" t="s">
        <v>761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671</v>
      </c>
      <c r="B14" s="1" t="s">
        <v>184</v>
      </c>
      <c r="C14" s="1" t="s">
        <v>36</v>
      </c>
      <c r="D14" s="1" t="s">
        <v>185</v>
      </c>
      <c r="E14" s="1" t="s">
        <v>161</v>
      </c>
      <c r="F14" s="1" t="s">
        <v>186</v>
      </c>
      <c r="G14" s="1" t="s">
        <v>762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674</v>
      </c>
      <c r="B15" s="1" t="s">
        <v>189</v>
      </c>
      <c r="C15" s="1" t="s">
        <v>36</v>
      </c>
      <c r="D15" s="1" t="s">
        <v>190</v>
      </c>
      <c r="E15" s="1" t="s">
        <v>161</v>
      </c>
      <c r="F15" s="1" t="s">
        <v>191</v>
      </c>
      <c r="G15" s="1" t="s">
        <v>763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676</v>
      </c>
      <c r="B16" s="1" t="s">
        <v>194</v>
      </c>
      <c r="C16" s="1" t="s">
        <v>36</v>
      </c>
      <c r="D16" s="1" t="s">
        <v>195</v>
      </c>
      <c r="E16" s="1" t="s">
        <v>161</v>
      </c>
      <c r="F16" s="1" t="s">
        <v>196</v>
      </c>
      <c r="G16" s="1" t="s">
        <v>764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680</v>
      </c>
      <c r="B17" s="1" t="s">
        <v>200</v>
      </c>
      <c r="C17" s="1" t="s">
        <v>36</v>
      </c>
      <c r="D17" s="1" t="s">
        <v>201</v>
      </c>
      <c r="E17" s="1" t="s">
        <v>161</v>
      </c>
      <c r="F17" s="1" t="s">
        <v>202</v>
      </c>
      <c r="G17" s="1" t="s">
        <v>765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684</v>
      </c>
      <c r="B18" s="1" t="s">
        <v>206</v>
      </c>
      <c r="C18" s="1" t="s">
        <v>36</v>
      </c>
      <c r="D18" s="1" t="s">
        <v>207</v>
      </c>
      <c r="E18" s="1" t="s">
        <v>161</v>
      </c>
      <c r="F18" s="1" t="s">
        <v>202</v>
      </c>
      <c r="G18" s="1" t="s">
        <v>765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688</v>
      </c>
      <c r="B19" s="1" t="s">
        <v>209</v>
      </c>
      <c r="C19" s="1" t="s">
        <v>36</v>
      </c>
      <c r="D19" s="1" t="s">
        <v>210</v>
      </c>
      <c r="E19" s="1" t="s">
        <v>161</v>
      </c>
      <c r="F19" s="1" t="s">
        <v>202</v>
      </c>
      <c r="G19" s="1" t="s">
        <v>766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691</v>
      </c>
      <c r="B20" s="1" t="s">
        <v>214</v>
      </c>
      <c r="C20" s="1" t="s">
        <v>36</v>
      </c>
      <c r="D20" s="1" t="s">
        <v>215</v>
      </c>
      <c r="E20" s="1" t="s">
        <v>161</v>
      </c>
      <c r="F20" s="1" t="s">
        <v>202</v>
      </c>
      <c r="G20" s="1" t="s">
        <v>765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693</v>
      </c>
      <c r="B21" s="1" t="s">
        <v>218</v>
      </c>
      <c r="C21" s="1" t="s">
        <v>36</v>
      </c>
      <c r="D21" s="1" t="s">
        <v>219</v>
      </c>
      <c r="E21" s="1" t="s">
        <v>161</v>
      </c>
      <c r="F21" s="1" t="s">
        <v>220</v>
      </c>
      <c r="G21" s="1" t="s">
        <v>767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695</v>
      </c>
      <c r="B22" s="1" t="s">
        <v>223</v>
      </c>
      <c r="C22" s="1" t="s">
        <v>36</v>
      </c>
      <c r="D22" s="1" t="s">
        <v>224</v>
      </c>
      <c r="E22" s="1" t="s">
        <v>161</v>
      </c>
      <c r="F22" s="1" t="s">
        <v>220</v>
      </c>
      <c r="G22" s="1" t="s">
        <v>768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698</v>
      </c>
      <c r="B23" s="1" t="s">
        <v>227</v>
      </c>
      <c r="C23" s="1" t="s">
        <v>36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700</v>
      </c>
      <c r="B24" s="1" t="s">
        <v>232</v>
      </c>
      <c r="C24" s="1" t="s">
        <v>36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770</v>
      </c>
      <c r="B9" s="1" t="s">
        <v>158</v>
      </c>
      <c r="C9" s="1" t="s">
        <v>771</v>
      </c>
      <c r="D9" s="1" t="s">
        <v>160</v>
      </c>
      <c r="E9" s="1" t="s">
        <v>161</v>
      </c>
      <c r="F9" s="1" t="s">
        <v>162</v>
      </c>
      <c r="G9" s="1" t="s">
        <v>772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773</v>
      </c>
      <c r="B10" s="1" t="s">
        <v>165</v>
      </c>
      <c r="C10" s="1" t="s">
        <v>771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774</v>
      </c>
      <c r="B11" s="1" t="s">
        <v>169</v>
      </c>
      <c r="C11" s="1" t="s">
        <v>771</v>
      </c>
      <c r="D11" s="1" t="s">
        <v>170</v>
      </c>
      <c r="E11" s="1" t="s">
        <v>161</v>
      </c>
      <c r="F11" s="1" t="s">
        <v>171</v>
      </c>
      <c r="G11" s="1" t="s">
        <v>775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776</v>
      </c>
      <c r="B12" s="1" t="s">
        <v>174</v>
      </c>
      <c r="C12" s="1" t="s">
        <v>771</v>
      </c>
      <c r="D12" s="1" t="s">
        <v>175</v>
      </c>
      <c r="E12" s="1" t="s">
        <v>161</v>
      </c>
      <c r="F12" s="1" t="s">
        <v>176</v>
      </c>
      <c r="G12" s="1" t="s">
        <v>777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778</v>
      </c>
      <c r="B13" s="1" t="s">
        <v>179</v>
      </c>
      <c r="C13" s="1" t="s">
        <v>771</v>
      </c>
      <c r="D13" s="1" t="s">
        <v>180</v>
      </c>
      <c r="E13" s="1" t="s">
        <v>161</v>
      </c>
      <c r="F13" s="1" t="s">
        <v>181</v>
      </c>
      <c r="G13" s="1" t="s">
        <v>779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780</v>
      </c>
      <c r="B14" s="1" t="s">
        <v>184</v>
      </c>
      <c r="C14" s="1" t="s">
        <v>771</v>
      </c>
      <c r="D14" s="1" t="s">
        <v>185</v>
      </c>
      <c r="E14" s="1" t="s">
        <v>161</v>
      </c>
      <c r="F14" s="1" t="s">
        <v>186</v>
      </c>
      <c r="G14" s="1" t="s">
        <v>781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782</v>
      </c>
      <c r="B15" s="1" t="s">
        <v>189</v>
      </c>
      <c r="C15" s="1" t="s">
        <v>771</v>
      </c>
      <c r="D15" s="1" t="s">
        <v>190</v>
      </c>
      <c r="E15" s="1" t="s">
        <v>161</v>
      </c>
      <c r="F15" s="1" t="s">
        <v>191</v>
      </c>
      <c r="G15" s="1" t="s">
        <v>783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784</v>
      </c>
      <c r="B16" s="1" t="s">
        <v>194</v>
      </c>
      <c r="C16" s="1" t="s">
        <v>771</v>
      </c>
      <c r="D16" s="1" t="s">
        <v>195</v>
      </c>
      <c r="E16" s="1" t="s">
        <v>161</v>
      </c>
      <c r="F16" s="1" t="s">
        <v>196</v>
      </c>
      <c r="G16" s="1" t="s">
        <v>785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786</v>
      </c>
      <c r="B17" s="1" t="s">
        <v>200</v>
      </c>
      <c r="C17" s="1" t="s">
        <v>771</v>
      </c>
      <c r="D17" s="1" t="s">
        <v>201</v>
      </c>
      <c r="E17" s="1" t="s">
        <v>161</v>
      </c>
      <c r="F17" s="1" t="s">
        <v>202</v>
      </c>
      <c r="G17" s="1" t="s">
        <v>787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788</v>
      </c>
      <c r="B18" s="1" t="s">
        <v>206</v>
      </c>
      <c r="C18" s="1" t="s">
        <v>771</v>
      </c>
      <c r="D18" s="1" t="s">
        <v>207</v>
      </c>
      <c r="E18" s="1" t="s">
        <v>161</v>
      </c>
      <c r="F18" s="1" t="s">
        <v>202</v>
      </c>
      <c r="G18" s="1" t="s">
        <v>787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789</v>
      </c>
      <c r="B19" s="1" t="s">
        <v>209</v>
      </c>
      <c r="C19" s="1" t="s">
        <v>771</v>
      </c>
      <c r="D19" s="1" t="s">
        <v>210</v>
      </c>
      <c r="E19" s="1" t="s">
        <v>161</v>
      </c>
      <c r="F19" s="1" t="s">
        <v>202</v>
      </c>
      <c r="G19" s="1" t="s">
        <v>790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791</v>
      </c>
      <c r="B20" s="1" t="s">
        <v>214</v>
      </c>
      <c r="C20" s="1" t="s">
        <v>771</v>
      </c>
      <c r="D20" s="1" t="s">
        <v>215</v>
      </c>
      <c r="E20" s="1" t="s">
        <v>161</v>
      </c>
      <c r="F20" s="1" t="s">
        <v>202</v>
      </c>
      <c r="G20" s="1" t="s">
        <v>787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792</v>
      </c>
      <c r="B21" s="1" t="s">
        <v>218</v>
      </c>
      <c r="C21" s="1" t="s">
        <v>771</v>
      </c>
      <c r="D21" s="1" t="s">
        <v>219</v>
      </c>
      <c r="E21" s="1" t="s">
        <v>161</v>
      </c>
      <c r="F21" s="1" t="s">
        <v>220</v>
      </c>
      <c r="G21" s="1" t="s">
        <v>793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794</v>
      </c>
      <c r="B22" s="1" t="s">
        <v>223</v>
      </c>
      <c r="C22" s="1" t="s">
        <v>771</v>
      </c>
      <c r="D22" s="1" t="s">
        <v>224</v>
      </c>
      <c r="E22" s="1" t="s">
        <v>161</v>
      </c>
      <c r="F22" s="1" t="s">
        <v>220</v>
      </c>
      <c r="G22" s="1" t="s">
        <v>795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796</v>
      </c>
      <c r="B23" s="1" t="s">
        <v>227</v>
      </c>
      <c r="C23" s="1" t="s">
        <v>771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797</v>
      </c>
      <c r="B24" s="1" t="s">
        <v>232</v>
      </c>
      <c r="C24" s="1" t="s">
        <v>771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799</v>
      </c>
      <c r="B9" s="14" t="s">
        <v>158</v>
      </c>
      <c r="C9" s="14" t="s">
        <v>39</v>
      </c>
      <c r="D9" s="15" t="s">
        <v>800</v>
      </c>
      <c r="E9" s="14" t="s">
        <v>161</v>
      </c>
      <c r="F9" s="14" t="s">
        <v>162</v>
      </c>
      <c r="G9" s="15" t="s">
        <v>801</v>
      </c>
      <c r="H9" s="14" t="s">
        <v>126</v>
      </c>
      <c r="I9" s="14" t="s">
        <v>141</v>
      </c>
      <c r="J9" s="16" t="n">
        <v>46227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802</v>
      </c>
      <c r="B10" s="14" t="s">
        <v>165</v>
      </c>
      <c r="C10" s="14" t="s">
        <v>803</v>
      </c>
      <c r="D10" s="15" t="s">
        <v>804</v>
      </c>
      <c r="E10" s="14" t="s">
        <v>161</v>
      </c>
      <c r="F10" s="14" t="s">
        <v>161</v>
      </c>
      <c r="G10" s="15" t="s">
        <v>167</v>
      </c>
      <c r="H10" s="14" t="s">
        <v>126</v>
      </c>
      <c r="I10" s="14" t="s">
        <v>141</v>
      </c>
      <c r="J10" s="16" t="n">
        <v>46227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805</v>
      </c>
      <c r="B11" s="14" t="s">
        <v>169</v>
      </c>
      <c r="C11" s="14" t="s">
        <v>806</v>
      </c>
      <c r="D11" s="15" t="s">
        <v>807</v>
      </c>
      <c r="E11" s="14" t="s">
        <v>161</v>
      </c>
      <c r="F11" s="14" t="s">
        <v>171</v>
      </c>
      <c r="G11" s="15" t="s">
        <v>808</v>
      </c>
      <c r="H11" s="14" t="s">
        <v>126</v>
      </c>
      <c r="I11" s="14" t="s">
        <v>141</v>
      </c>
      <c r="J11" s="16" t="n">
        <v>46244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809</v>
      </c>
      <c r="B12" s="14" t="s">
        <v>174</v>
      </c>
      <c r="C12" s="14" t="s">
        <v>810</v>
      </c>
      <c r="D12" s="15" t="s">
        <v>811</v>
      </c>
      <c r="E12" s="14" t="s">
        <v>161</v>
      </c>
      <c r="F12" s="14" t="s">
        <v>176</v>
      </c>
      <c r="G12" s="15" t="s">
        <v>812</v>
      </c>
      <c r="H12" s="14" t="s">
        <v>126</v>
      </c>
      <c r="I12" s="14" t="s">
        <v>141</v>
      </c>
      <c r="J12" s="16" t="n">
        <v>46244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813</v>
      </c>
      <c r="B13" s="14" t="s">
        <v>179</v>
      </c>
      <c r="C13" s="14" t="s">
        <v>806</v>
      </c>
      <c r="D13" s="15" t="s">
        <v>814</v>
      </c>
      <c r="E13" s="14" t="s">
        <v>161</v>
      </c>
      <c r="F13" s="14" t="s">
        <v>181</v>
      </c>
      <c r="G13" s="15" t="s">
        <v>815</v>
      </c>
      <c r="H13" s="14" t="s">
        <v>126</v>
      </c>
      <c r="I13" s="14" t="s">
        <v>141</v>
      </c>
      <c r="J13" s="16" t="n">
        <v>46244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816</v>
      </c>
      <c r="B14" s="14" t="s">
        <v>184</v>
      </c>
      <c r="C14" s="14" t="s">
        <v>806</v>
      </c>
      <c r="D14" s="15" t="s">
        <v>817</v>
      </c>
      <c r="E14" s="14" t="s">
        <v>161</v>
      </c>
      <c r="F14" s="14" t="s">
        <v>186</v>
      </c>
      <c r="G14" s="15" t="s">
        <v>818</v>
      </c>
      <c r="H14" s="14" t="s">
        <v>126</v>
      </c>
      <c r="I14" s="14" t="s">
        <v>141</v>
      </c>
      <c r="J14" s="16" t="n">
        <v>46244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819</v>
      </c>
      <c r="B15" s="14" t="s">
        <v>189</v>
      </c>
      <c r="C15" s="14" t="s">
        <v>810</v>
      </c>
      <c r="D15" s="15" t="s">
        <v>820</v>
      </c>
      <c r="E15" s="14" t="s">
        <v>161</v>
      </c>
      <c r="F15" s="14" t="s">
        <v>191</v>
      </c>
      <c r="G15" s="15" t="s">
        <v>818</v>
      </c>
      <c r="H15" s="14" t="s">
        <v>126</v>
      </c>
      <c r="I15" s="14" t="s">
        <v>141</v>
      </c>
      <c r="J15" s="16" t="n">
        <v>46244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821</v>
      </c>
      <c r="B16" s="14" t="s">
        <v>194</v>
      </c>
      <c r="C16" s="14" t="s">
        <v>803</v>
      </c>
      <c r="D16" s="15" t="s">
        <v>822</v>
      </c>
      <c r="E16" s="14" t="s">
        <v>161</v>
      </c>
      <c r="F16" s="14" t="s">
        <v>196</v>
      </c>
      <c r="G16" s="15" t="s">
        <v>823</v>
      </c>
      <c r="H16" s="14" t="s">
        <v>128</v>
      </c>
      <c r="I16" s="14" t="s">
        <v>140</v>
      </c>
      <c r="J16" s="16" t="n">
        <v>46227</v>
      </c>
      <c r="K16" s="15" t="s">
        <v>824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825</v>
      </c>
      <c r="B17" s="14" t="s">
        <v>200</v>
      </c>
      <c r="C17" s="14" t="s">
        <v>803</v>
      </c>
      <c r="D17" s="15" t="s">
        <v>826</v>
      </c>
      <c r="E17" s="14" t="s">
        <v>161</v>
      </c>
      <c r="F17" s="14" t="s">
        <v>202</v>
      </c>
      <c r="G17" s="15" t="s">
        <v>827</v>
      </c>
      <c r="H17" s="14" t="s">
        <v>124</v>
      </c>
      <c r="I17" s="14" t="s">
        <v>140</v>
      </c>
      <c r="J17" s="16"/>
      <c r="K17" s="15" t="s">
        <v>828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829</v>
      </c>
      <c r="B18" s="14" t="s">
        <v>206</v>
      </c>
      <c r="C18" s="14" t="s">
        <v>830</v>
      </c>
      <c r="D18" s="15" t="s">
        <v>831</v>
      </c>
      <c r="E18" s="14" t="s">
        <v>161</v>
      </c>
      <c r="F18" s="14" t="s">
        <v>202</v>
      </c>
      <c r="G18" s="15" t="s">
        <v>832</v>
      </c>
      <c r="H18" s="14" t="s">
        <v>124</v>
      </c>
      <c r="I18" s="14" t="s">
        <v>140</v>
      </c>
      <c r="J18" s="16"/>
      <c r="K18" s="15" t="s">
        <v>833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834</v>
      </c>
      <c r="B19" s="14" t="s">
        <v>689</v>
      </c>
      <c r="C19" s="14" t="s">
        <v>810</v>
      </c>
      <c r="D19" s="15" t="s">
        <v>835</v>
      </c>
      <c r="E19" s="14" t="s">
        <v>161</v>
      </c>
      <c r="F19" s="14" t="s">
        <v>186</v>
      </c>
      <c r="G19" s="15" t="s">
        <v>836</v>
      </c>
      <c r="H19" s="14" t="s">
        <v>126</v>
      </c>
      <c r="I19" s="14" t="s">
        <v>141</v>
      </c>
      <c r="J19" s="16" t="n">
        <v>46244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837</v>
      </c>
      <c r="B20" s="14" t="s">
        <v>214</v>
      </c>
      <c r="C20" s="14" t="s">
        <v>803</v>
      </c>
      <c r="D20" s="15" t="s">
        <v>838</v>
      </c>
      <c r="E20" s="14" t="s">
        <v>161</v>
      </c>
      <c r="F20" s="14" t="s">
        <v>202</v>
      </c>
      <c r="G20" s="15" t="s">
        <v>827</v>
      </c>
      <c r="H20" s="14" t="s">
        <v>124</v>
      </c>
      <c r="I20" s="14" t="s">
        <v>140</v>
      </c>
      <c r="J20" s="16"/>
      <c r="K20" s="15" t="s">
        <v>839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840</v>
      </c>
      <c r="B21" s="14" t="s">
        <v>218</v>
      </c>
      <c r="C21" s="14" t="s">
        <v>806</v>
      </c>
      <c r="D21" s="15" t="s">
        <v>841</v>
      </c>
      <c r="E21" s="14" t="s">
        <v>161</v>
      </c>
      <c r="F21" s="14" t="s">
        <v>220</v>
      </c>
      <c r="G21" s="15" t="s">
        <v>842</v>
      </c>
      <c r="H21" s="14" t="s">
        <v>126</v>
      </c>
      <c r="I21" s="14" t="s">
        <v>141</v>
      </c>
      <c r="J21" s="16" t="n">
        <v>46244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843</v>
      </c>
      <c r="B22" s="14" t="s">
        <v>223</v>
      </c>
      <c r="C22" s="14" t="s">
        <v>806</v>
      </c>
      <c r="D22" s="15" t="s">
        <v>844</v>
      </c>
      <c r="E22" s="14" t="s">
        <v>161</v>
      </c>
      <c r="F22" s="14" t="s">
        <v>220</v>
      </c>
      <c r="G22" s="15" t="s">
        <v>845</v>
      </c>
      <c r="H22" s="14" t="s">
        <v>126</v>
      </c>
      <c r="I22" s="14" t="s">
        <v>141</v>
      </c>
      <c r="J22" s="16" t="n">
        <v>46244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846</v>
      </c>
      <c r="B23" s="14" t="s">
        <v>227</v>
      </c>
      <c r="C23" s="14" t="s">
        <v>847</v>
      </c>
      <c r="D23" s="15" t="s">
        <v>848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46227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849</v>
      </c>
      <c r="B24" s="14" t="s">
        <v>232</v>
      </c>
      <c r="C24" s="14" t="s">
        <v>806</v>
      </c>
      <c r="D24" s="15" t="s">
        <v>850</v>
      </c>
      <c r="E24" s="14" t="s">
        <v>161</v>
      </c>
      <c r="F24" s="14" t="s">
        <v>161</v>
      </c>
      <c r="G24" s="15" t="s">
        <v>851</v>
      </c>
      <c r="H24" s="14" t="s">
        <v>124</v>
      </c>
      <c r="I24" s="14" t="s">
        <v>140</v>
      </c>
      <c r="J24" s="16" t="n">
        <v>46227</v>
      </c>
      <c r="K24" s="15" t="s">
        <v>852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854</v>
      </c>
      <c r="B9" s="14" t="s">
        <v>158</v>
      </c>
      <c r="C9" s="14" t="s">
        <v>98</v>
      </c>
      <c r="D9" s="15" t="s">
        <v>855</v>
      </c>
      <c r="E9" s="14" t="s">
        <v>161</v>
      </c>
      <c r="F9" s="14" t="s">
        <v>162</v>
      </c>
      <c r="G9" s="15" t="s">
        <v>856</v>
      </c>
      <c r="H9" s="14" t="s">
        <v>126</v>
      </c>
      <c r="I9" s="14" t="s">
        <v>141</v>
      </c>
      <c r="J9" s="16" t="n">
        <v>46260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857</v>
      </c>
      <c r="B10" s="14" t="s">
        <v>165</v>
      </c>
      <c r="C10" s="14" t="s">
        <v>98</v>
      </c>
      <c r="D10" s="15" t="s">
        <v>858</v>
      </c>
      <c r="E10" s="14" t="s">
        <v>161</v>
      </c>
      <c r="F10" s="14" t="s">
        <v>161</v>
      </c>
      <c r="G10" s="15" t="s">
        <v>859</v>
      </c>
      <c r="H10" s="14" t="s">
        <v>126</v>
      </c>
      <c r="I10" s="14" t="s">
        <v>141</v>
      </c>
      <c r="J10" s="16" t="n">
        <v>46260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860</v>
      </c>
      <c r="B11" s="14" t="s">
        <v>169</v>
      </c>
      <c r="C11" s="14" t="s">
        <v>98</v>
      </c>
      <c r="D11" s="15" t="s">
        <v>861</v>
      </c>
      <c r="E11" s="14" t="s">
        <v>161</v>
      </c>
      <c r="F11" s="14" t="s">
        <v>171</v>
      </c>
      <c r="G11" s="15" t="s">
        <v>862</v>
      </c>
      <c r="H11" s="14" t="s">
        <v>126</v>
      </c>
      <c r="I11" s="14" t="s">
        <v>141</v>
      </c>
      <c r="J11" s="16" t="n">
        <v>46260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863</v>
      </c>
      <c r="B12" s="14" t="s">
        <v>174</v>
      </c>
      <c r="C12" s="14" t="s">
        <v>864</v>
      </c>
      <c r="D12" s="15" t="s">
        <v>865</v>
      </c>
      <c r="E12" s="14" t="s">
        <v>161</v>
      </c>
      <c r="F12" s="14" t="s">
        <v>176</v>
      </c>
      <c r="G12" s="15" t="s">
        <v>866</v>
      </c>
      <c r="H12" s="14" t="s">
        <v>126</v>
      </c>
      <c r="I12" s="14" t="s">
        <v>141</v>
      </c>
      <c r="J12" s="16" t="n">
        <v>46260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867</v>
      </c>
      <c r="B13" s="14" t="s">
        <v>179</v>
      </c>
      <c r="C13" s="14" t="s">
        <v>98</v>
      </c>
      <c r="D13" s="15" t="s">
        <v>868</v>
      </c>
      <c r="E13" s="14" t="s">
        <v>161</v>
      </c>
      <c r="F13" s="14" t="s">
        <v>181</v>
      </c>
      <c r="G13" s="15" t="s">
        <v>869</v>
      </c>
      <c r="H13" s="14" t="s">
        <v>126</v>
      </c>
      <c r="I13" s="14" t="s">
        <v>141</v>
      </c>
      <c r="J13" s="16" t="n">
        <v>46260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870</v>
      </c>
      <c r="B14" s="14" t="s">
        <v>184</v>
      </c>
      <c r="C14" s="14" t="s">
        <v>864</v>
      </c>
      <c r="D14" s="15" t="s">
        <v>871</v>
      </c>
      <c r="E14" s="14" t="s">
        <v>161</v>
      </c>
      <c r="F14" s="14" t="s">
        <v>186</v>
      </c>
      <c r="G14" s="15" t="s">
        <v>872</v>
      </c>
      <c r="H14" s="14" t="s">
        <v>126</v>
      </c>
      <c r="I14" s="14" t="s">
        <v>141</v>
      </c>
      <c r="J14" s="16" t="n">
        <v>46260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873</v>
      </c>
      <c r="B15" s="14" t="s">
        <v>189</v>
      </c>
      <c r="C15" s="14" t="s">
        <v>874</v>
      </c>
      <c r="D15" s="15" t="s">
        <v>875</v>
      </c>
      <c r="E15" s="14" t="s">
        <v>161</v>
      </c>
      <c r="F15" s="14" t="s">
        <v>191</v>
      </c>
      <c r="G15" s="15" t="s">
        <v>872</v>
      </c>
      <c r="H15" s="14" t="s">
        <v>126</v>
      </c>
      <c r="I15" s="14" t="s">
        <v>141</v>
      </c>
      <c r="J15" s="16" t="n">
        <v>46260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876</v>
      </c>
      <c r="B16" s="14" t="s">
        <v>194</v>
      </c>
      <c r="C16" s="14" t="s">
        <v>864</v>
      </c>
      <c r="D16" s="15" t="s">
        <v>877</v>
      </c>
      <c r="E16" s="14" t="s">
        <v>161</v>
      </c>
      <c r="F16" s="14" t="s">
        <v>196</v>
      </c>
      <c r="G16" s="15" t="s">
        <v>878</v>
      </c>
      <c r="H16" s="14" t="s">
        <v>124</v>
      </c>
      <c r="I16" s="14" t="s">
        <v>140</v>
      </c>
      <c r="J16" s="16"/>
      <c r="K16" s="15" t="s">
        <v>879</v>
      </c>
      <c r="L16" s="14" t="n">
        <v>1</v>
      </c>
      <c r="M16" s="14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4" t="s">
        <v>880</v>
      </c>
      <c r="B17" s="14" t="s">
        <v>200</v>
      </c>
      <c r="C17" s="14" t="s">
        <v>98</v>
      </c>
      <c r="D17" s="15" t="s">
        <v>881</v>
      </c>
      <c r="E17" s="14" t="s">
        <v>161</v>
      </c>
      <c r="F17" s="14" t="s">
        <v>202</v>
      </c>
      <c r="G17" s="15" t="s">
        <v>882</v>
      </c>
      <c r="H17" s="14" t="s">
        <v>124</v>
      </c>
      <c r="I17" s="14" t="s">
        <v>140</v>
      </c>
      <c r="J17" s="16"/>
      <c r="K17" s="15" t="s">
        <v>883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884</v>
      </c>
      <c r="B18" s="14" t="s">
        <v>206</v>
      </c>
      <c r="C18" s="14" t="s">
        <v>885</v>
      </c>
      <c r="D18" s="15" t="s">
        <v>886</v>
      </c>
      <c r="E18" s="14" t="s">
        <v>161</v>
      </c>
      <c r="F18" s="14" t="s">
        <v>202</v>
      </c>
      <c r="G18" s="15" t="s">
        <v>887</v>
      </c>
      <c r="H18" s="14" t="s">
        <v>124</v>
      </c>
      <c r="I18" s="14" t="s">
        <v>140</v>
      </c>
      <c r="J18" s="16"/>
      <c r="K18" s="15" t="s">
        <v>888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889</v>
      </c>
      <c r="B19" s="14" t="s">
        <v>689</v>
      </c>
      <c r="C19" s="14" t="s">
        <v>98</v>
      </c>
      <c r="D19" s="15" t="s">
        <v>890</v>
      </c>
      <c r="E19" s="14" t="s">
        <v>161</v>
      </c>
      <c r="F19" s="14" t="s">
        <v>186</v>
      </c>
      <c r="G19" s="15" t="s">
        <v>891</v>
      </c>
      <c r="H19" s="14" t="s">
        <v>126</v>
      </c>
      <c r="I19" s="14" t="s">
        <v>141</v>
      </c>
      <c r="J19" s="16" t="n">
        <v>46260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892</v>
      </c>
      <c r="B20" s="14" t="s">
        <v>214</v>
      </c>
      <c r="C20" s="14" t="s">
        <v>98</v>
      </c>
      <c r="D20" s="15" t="s">
        <v>893</v>
      </c>
      <c r="E20" s="14" t="s">
        <v>161</v>
      </c>
      <c r="F20" s="14" t="s">
        <v>202</v>
      </c>
      <c r="G20" s="15" t="s">
        <v>882</v>
      </c>
      <c r="H20" s="14" t="s">
        <v>124</v>
      </c>
      <c r="I20" s="14" t="s">
        <v>140</v>
      </c>
      <c r="J20" s="16"/>
      <c r="K20" s="15" t="s">
        <v>894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895</v>
      </c>
      <c r="B21" s="14" t="s">
        <v>218</v>
      </c>
      <c r="C21" s="14" t="s">
        <v>98</v>
      </c>
      <c r="D21" s="15" t="s">
        <v>896</v>
      </c>
      <c r="E21" s="14" t="s">
        <v>161</v>
      </c>
      <c r="F21" s="14" t="s">
        <v>220</v>
      </c>
      <c r="G21" s="15" t="s">
        <v>897</v>
      </c>
      <c r="H21" s="14" t="s">
        <v>126</v>
      </c>
      <c r="I21" s="14" t="s">
        <v>141</v>
      </c>
      <c r="J21" s="16" t="n">
        <v>46260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898</v>
      </c>
      <c r="B22" s="14" t="s">
        <v>223</v>
      </c>
      <c r="C22" s="14" t="s">
        <v>98</v>
      </c>
      <c r="D22" s="15" t="s">
        <v>899</v>
      </c>
      <c r="E22" s="14" t="s">
        <v>161</v>
      </c>
      <c r="F22" s="14" t="s">
        <v>220</v>
      </c>
      <c r="G22" s="15" t="s">
        <v>900</v>
      </c>
      <c r="H22" s="14" t="s">
        <v>126</v>
      </c>
      <c r="I22" s="14" t="s">
        <v>141</v>
      </c>
      <c r="J22" s="16" t="n">
        <v>46260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901</v>
      </c>
      <c r="B23" s="14" t="s">
        <v>227</v>
      </c>
      <c r="C23" s="14" t="s">
        <v>902</v>
      </c>
      <c r="D23" s="15" t="s">
        <v>903</v>
      </c>
      <c r="E23" s="14" t="s">
        <v>229</v>
      </c>
      <c r="F23" s="14" t="s">
        <v>229</v>
      </c>
      <c r="G23" s="15" t="s">
        <v>230</v>
      </c>
      <c r="H23" s="14" t="s">
        <v>124</v>
      </c>
      <c r="I23" s="14" t="s">
        <v>141</v>
      </c>
      <c r="J23" s="16"/>
      <c r="K23" s="15" t="s">
        <v>904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 t="s">
        <v>905</v>
      </c>
      <c r="B24" s="14" t="s">
        <v>232</v>
      </c>
      <c r="C24" s="14" t="s">
        <v>98</v>
      </c>
      <c r="D24" s="15" t="s">
        <v>906</v>
      </c>
      <c r="E24" s="14" t="s">
        <v>161</v>
      </c>
      <c r="F24" s="14" t="s">
        <v>161</v>
      </c>
      <c r="G24" s="15" t="s">
        <v>601</v>
      </c>
      <c r="H24" s="14" t="s">
        <v>124</v>
      </c>
      <c r="I24" s="14" t="s">
        <v>140</v>
      </c>
      <c r="J24" s="16"/>
      <c r="K24" s="15" t="s">
        <v>907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144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145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657</v>
      </c>
      <c r="B9" s="1" t="s">
        <v>158</v>
      </c>
      <c r="C9" s="1" t="s">
        <v>38</v>
      </c>
      <c r="D9" s="1" t="s">
        <v>160</v>
      </c>
      <c r="E9" s="1" t="s">
        <v>161</v>
      </c>
      <c r="F9" s="1" t="s">
        <v>162</v>
      </c>
      <c r="G9" s="1" t="s">
        <v>909</v>
      </c>
      <c r="H9" s="8" t="s">
        <v>126</v>
      </c>
      <c r="I9" s="8" t="s">
        <v>141</v>
      </c>
      <c r="J9" s="12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660</v>
      </c>
      <c r="B10" s="1" t="s">
        <v>165</v>
      </c>
      <c r="C10" s="1" t="s">
        <v>38</v>
      </c>
      <c r="D10" s="1" t="s">
        <v>166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662</v>
      </c>
      <c r="B11" s="1" t="s">
        <v>169</v>
      </c>
      <c r="C11" s="1" t="s">
        <v>38</v>
      </c>
      <c r="D11" s="1" t="s">
        <v>170</v>
      </c>
      <c r="E11" s="1" t="s">
        <v>161</v>
      </c>
      <c r="F11" s="1" t="s">
        <v>171</v>
      </c>
      <c r="G11" s="1" t="s">
        <v>910</v>
      </c>
      <c r="H11" s="8" t="s">
        <v>126</v>
      </c>
      <c r="I11" s="8" t="s">
        <v>141</v>
      </c>
      <c r="J11" s="12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665</v>
      </c>
      <c r="B12" s="1" t="s">
        <v>174</v>
      </c>
      <c r="C12" s="1" t="s">
        <v>38</v>
      </c>
      <c r="D12" s="1" t="s">
        <v>175</v>
      </c>
      <c r="E12" s="1" t="s">
        <v>161</v>
      </c>
      <c r="F12" s="1" t="s">
        <v>176</v>
      </c>
      <c r="G12" s="1" t="s">
        <v>911</v>
      </c>
      <c r="H12" s="8" t="s">
        <v>126</v>
      </c>
      <c r="I12" s="8" t="s">
        <v>141</v>
      </c>
      <c r="J12" s="12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668</v>
      </c>
      <c r="B13" s="1" t="s">
        <v>179</v>
      </c>
      <c r="C13" s="1" t="s">
        <v>38</v>
      </c>
      <c r="D13" s="1" t="s">
        <v>180</v>
      </c>
      <c r="E13" s="1" t="s">
        <v>161</v>
      </c>
      <c r="F13" s="1" t="s">
        <v>181</v>
      </c>
      <c r="G13" s="1" t="s">
        <v>912</v>
      </c>
      <c r="H13" s="8" t="s">
        <v>126</v>
      </c>
      <c r="I13" s="8" t="s">
        <v>141</v>
      </c>
      <c r="J13" s="12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671</v>
      </c>
      <c r="B14" s="1" t="s">
        <v>184</v>
      </c>
      <c r="C14" s="1" t="s">
        <v>38</v>
      </c>
      <c r="D14" s="1" t="s">
        <v>185</v>
      </c>
      <c r="E14" s="1" t="s">
        <v>161</v>
      </c>
      <c r="F14" s="1" t="s">
        <v>186</v>
      </c>
      <c r="G14" s="1" t="s">
        <v>913</v>
      </c>
      <c r="H14" s="8" t="s">
        <v>126</v>
      </c>
      <c r="I14" s="8" t="s">
        <v>141</v>
      </c>
      <c r="J14" s="12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674</v>
      </c>
      <c r="B15" s="1" t="s">
        <v>189</v>
      </c>
      <c r="C15" s="1" t="s">
        <v>38</v>
      </c>
      <c r="D15" s="1" t="s">
        <v>190</v>
      </c>
      <c r="E15" s="1" t="s">
        <v>161</v>
      </c>
      <c r="F15" s="1" t="s">
        <v>191</v>
      </c>
      <c r="G15" s="1" t="s">
        <v>914</v>
      </c>
      <c r="H15" s="8" t="s">
        <v>126</v>
      </c>
      <c r="I15" s="8" t="s">
        <v>141</v>
      </c>
      <c r="J15" s="12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676</v>
      </c>
      <c r="B16" s="1" t="s">
        <v>194</v>
      </c>
      <c r="C16" s="1" t="s">
        <v>38</v>
      </c>
      <c r="D16" s="1" t="s">
        <v>195</v>
      </c>
      <c r="E16" s="1" t="s">
        <v>161</v>
      </c>
      <c r="F16" s="1" t="s">
        <v>196</v>
      </c>
      <c r="G16" s="1" t="s">
        <v>915</v>
      </c>
      <c r="H16" s="8" t="s">
        <v>128</v>
      </c>
      <c r="I16" s="8" t="s">
        <v>140</v>
      </c>
      <c r="J16" s="12" t="n">
        <v>46227</v>
      </c>
      <c r="K16" s="1" t="s">
        <v>198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680</v>
      </c>
      <c r="B17" s="1" t="s">
        <v>200</v>
      </c>
      <c r="C17" s="1" t="s">
        <v>38</v>
      </c>
      <c r="D17" s="1" t="s">
        <v>201</v>
      </c>
      <c r="E17" s="1" t="s">
        <v>161</v>
      </c>
      <c r="F17" s="1" t="s">
        <v>202</v>
      </c>
      <c r="G17" s="1" t="s">
        <v>916</v>
      </c>
      <c r="H17" s="8" t="s">
        <v>128</v>
      </c>
      <c r="I17" s="8" t="s">
        <v>140</v>
      </c>
      <c r="J17" s="12" t="n">
        <v>46227</v>
      </c>
      <c r="K17" s="1" t="s">
        <v>204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684</v>
      </c>
      <c r="B18" s="1" t="s">
        <v>206</v>
      </c>
      <c r="C18" s="1" t="s">
        <v>38</v>
      </c>
      <c r="D18" s="1" t="s">
        <v>207</v>
      </c>
      <c r="E18" s="1" t="s">
        <v>161</v>
      </c>
      <c r="F18" s="1" t="s">
        <v>202</v>
      </c>
      <c r="G18" s="1" t="s">
        <v>916</v>
      </c>
      <c r="H18" s="8" t="s">
        <v>128</v>
      </c>
      <c r="I18" s="8" t="s">
        <v>140</v>
      </c>
      <c r="J18" s="12" t="n">
        <v>46227</v>
      </c>
      <c r="K18" s="1" t="s">
        <v>204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688</v>
      </c>
      <c r="B19" s="1" t="s">
        <v>209</v>
      </c>
      <c r="C19" s="1" t="s">
        <v>38</v>
      </c>
      <c r="D19" s="1" t="s">
        <v>210</v>
      </c>
      <c r="E19" s="1" t="s">
        <v>161</v>
      </c>
      <c r="F19" s="1" t="s">
        <v>202</v>
      </c>
      <c r="G19" s="1" t="s">
        <v>917</v>
      </c>
      <c r="H19" s="8" t="s">
        <v>128</v>
      </c>
      <c r="I19" s="8" t="s">
        <v>140</v>
      </c>
      <c r="J19" s="12" t="n">
        <v>46227</v>
      </c>
      <c r="K19" s="1" t="s">
        <v>212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691</v>
      </c>
      <c r="B20" s="1" t="s">
        <v>214</v>
      </c>
      <c r="C20" s="1" t="s">
        <v>38</v>
      </c>
      <c r="D20" s="1" t="s">
        <v>215</v>
      </c>
      <c r="E20" s="1" t="s">
        <v>161</v>
      </c>
      <c r="F20" s="1" t="s">
        <v>202</v>
      </c>
      <c r="G20" s="1" t="s">
        <v>916</v>
      </c>
      <c r="H20" s="8" t="s">
        <v>128</v>
      </c>
      <c r="I20" s="8" t="s">
        <v>140</v>
      </c>
      <c r="J20" s="12" t="n">
        <v>46227</v>
      </c>
      <c r="K20" s="1" t="s">
        <v>216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693</v>
      </c>
      <c r="B21" s="1" t="s">
        <v>218</v>
      </c>
      <c r="C21" s="1" t="s">
        <v>38</v>
      </c>
      <c r="D21" s="1" t="s">
        <v>219</v>
      </c>
      <c r="E21" s="1" t="s">
        <v>161</v>
      </c>
      <c r="F21" s="1" t="s">
        <v>220</v>
      </c>
      <c r="G21" s="1" t="s">
        <v>918</v>
      </c>
      <c r="H21" s="8" t="s">
        <v>126</v>
      </c>
      <c r="I21" s="8" t="s">
        <v>141</v>
      </c>
      <c r="J21" s="12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695</v>
      </c>
      <c r="B22" s="1" t="s">
        <v>223</v>
      </c>
      <c r="C22" s="1" t="s">
        <v>38</v>
      </c>
      <c r="D22" s="1" t="s">
        <v>224</v>
      </c>
      <c r="E22" s="1" t="s">
        <v>161</v>
      </c>
      <c r="F22" s="1" t="s">
        <v>220</v>
      </c>
      <c r="G22" s="1" t="s">
        <v>919</v>
      </c>
      <c r="H22" s="8" t="s">
        <v>126</v>
      </c>
      <c r="I22" s="8" t="s">
        <v>141</v>
      </c>
      <c r="J22" s="12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698</v>
      </c>
      <c r="B23" s="1" t="s">
        <v>227</v>
      </c>
      <c r="C23" s="1" t="s">
        <v>38</v>
      </c>
      <c r="D23" s="1" t="s">
        <v>228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700</v>
      </c>
      <c r="B24" s="1" t="s">
        <v>232</v>
      </c>
      <c r="C24" s="1" t="s">
        <v>38</v>
      </c>
      <c r="D24" s="1" t="s">
        <v>233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854</v>
      </c>
      <c r="B9" s="14" t="s">
        <v>158</v>
      </c>
      <c r="C9" s="14" t="s">
        <v>921</v>
      </c>
      <c r="D9" s="15" t="s">
        <v>922</v>
      </c>
      <c r="E9" s="14" t="s">
        <v>161</v>
      </c>
      <c r="F9" s="14" t="s">
        <v>162</v>
      </c>
      <c r="G9" s="15" t="s">
        <v>923</v>
      </c>
      <c r="H9" s="14" t="s">
        <v>126</v>
      </c>
      <c r="I9" s="14" t="s">
        <v>141</v>
      </c>
      <c r="J9" s="16" t="n">
        <v>46228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857</v>
      </c>
      <c r="B10" s="14" t="s">
        <v>165</v>
      </c>
      <c r="C10" s="14" t="s">
        <v>41</v>
      </c>
      <c r="D10" s="15" t="s">
        <v>924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46228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860</v>
      </c>
      <c r="B11" s="14" t="s">
        <v>169</v>
      </c>
      <c r="C11" s="14" t="s">
        <v>921</v>
      </c>
      <c r="D11" s="15" t="s">
        <v>925</v>
      </c>
      <c r="E11" s="14" t="s">
        <v>161</v>
      </c>
      <c r="F11" s="14" t="s">
        <v>171</v>
      </c>
      <c r="G11" s="15" t="s">
        <v>926</v>
      </c>
      <c r="H11" s="14" t="s">
        <v>126</v>
      </c>
      <c r="I11" s="14" t="s">
        <v>141</v>
      </c>
      <c r="J11" s="16" t="n">
        <v>46228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863</v>
      </c>
      <c r="B12" s="14" t="s">
        <v>174</v>
      </c>
      <c r="C12" s="14" t="s">
        <v>921</v>
      </c>
      <c r="D12" s="15" t="s">
        <v>927</v>
      </c>
      <c r="E12" s="14" t="s">
        <v>161</v>
      </c>
      <c r="F12" s="14" t="s">
        <v>176</v>
      </c>
      <c r="G12" s="15" t="s">
        <v>928</v>
      </c>
      <c r="H12" s="14" t="s">
        <v>126</v>
      </c>
      <c r="I12" s="14" t="s">
        <v>141</v>
      </c>
      <c r="J12" s="16" t="n">
        <v>46228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867</v>
      </c>
      <c r="B13" s="14" t="s">
        <v>179</v>
      </c>
      <c r="C13" s="14" t="s">
        <v>921</v>
      </c>
      <c r="D13" s="15" t="s">
        <v>929</v>
      </c>
      <c r="E13" s="14" t="s">
        <v>161</v>
      </c>
      <c r="F13" s="14" t="s">
        <v>181</v>
      </c>
      <c r="G13" s="15" t="s">
        <v>930</v>
      </c>
      <c r="H13" s="14" t="s">
        <v>126</v>
      </c>
      <c r="I13" s="14" t="s">
        <v>141</v>
      </c>
      <c r="J13" s="16" t="n">
        <v>46228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870</v>
      </c>
      <c r="B14" s="14" t="s">
        <v>184</v>
      </c>
      <c r="C14" s="14" t="s">
        <v>830</v>
      </c>
      <c r="D14" s="15" t="s">
        <v>931</v>
      </c>
      <c r="E14" s="14" t="s">
        <v>161</v>
      </c>
      <c r="F14" s="14" t="s">
        <v>186</v>
      </c>
      <c r="G14" s="15" t="s">
        <v>932</v>
      </c>
      <c r="H14" s="14" t="s">
        <v>126</v>
      </c>
      <c r="I14" s="14" t="s">
        <v>141</v>
      </c>
      <c r="J14" s="16" t="n">
        <v>46228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873</v>
      </c>
      <c r="B15" s="14" t="s">
        <v>184</v>
      </c>
      <c r="C15" s="14" t="s">
        <v>933</v>
      </c>
      <c r="D15" s="15" t="s">
        <v>934</v>
      </c>
      <c r="E15" s="14" t="s">
        <v>161</v>
      </c>
      <c r="F15" s="14" t="s">
        <v>186</v>
      </c>
      <c r="G15" s="15" t="s">
        <v>932</v>
      </c>
      <c r="H15" s="14" t="s">
        <v>126</v>
      </c>
      <c r="I15" s="14" t="s">
        <v>141</v>
      </c>
      <c r="J15" s="16" t="n">
        <v>46228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876</v>
      </c>
      <c r="B16" s="14" t="s">
        <v>189</v>
      </c>
      <c r="C16" s="14" t="s">
        <v>921</v>
      </c>
      <c r="D16" s="15" t="s">
        <v>935</v>
      </c>
      <c r="E16" s="14" t="s">
        <v>161</v>
      </c>
      <c r="F16" s="14" t="s">
        <v>191</v>
      </c>
      <c r="G16" s="15" t="s">
        <v>932</v>
      </c>
      <c r="H16" s="14" t="s">
        <v>126</v>
      </c>
      <c r="I16" s="14" t="s">
        <v>141</v>
      </c>
      <c r="J16" s="16" t="n">
        <v>46228</v>
      </c>
      <c r="K16" s="15" t="s">
        <v>824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880</v>
      </c>
      <c r="B17" s="14" t="s">
        <v>194</v>
      </c>
      <c r="C17" s="14" t="s">
        <v>921</v>
      </c>
      <c r="D17" s="15" t="s">
        <v>936</v>
      </c>
      <c r="E17" s="14" t="s">
        <v>161</v>
      </c>
      <c r="F17" s="14" t="s">
        <v>196</v>
      </c>
      <c r="G17" s="15" t="s">
        <v>937</v>
      </c>
      <c r="H17" s="14" t="s">
        <v>128</v>
      </c>
      <c r="I17" s="14" t="s">
        <v>140</v>
      </c>
      <c r="J17" s="16" t="n">
        <v>46228</v>
      </c>
      <c r="K17" s="15" t="s">
        <v>938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884</v>
      </c>
      <c r="B18" s="14" t="s">
        <v>200</v>
      </c>
      <c r="C18" s="14" t="s">
        <v>921</v>
      </c>
      <c r="D18" s="15" t="s">
        <v>939</v>
      </c>
      <c r="E18" s="14" t="s">
        <v>161</v>
      </c>
      <c r="F18" s="14" t="s">
        <v>202</v>
      </c>
      <c r="G18" s="15" t="s">
        <v>940</v>
      </c>
      <c r="H18" s="14" t="s">
        <v>124</v>
      </c>
      <c r="I18" s="14" t="s">
        <v>140</v>
      </c>
      <c r="J18" s="16"/>
      <c r="K18" s="15" t="s">
        <v>828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889</v>
      </c>
      <c r="B19" s="14" t="s">
        <v>206</v>
      </c>
      <c r="C19" s="14" t="s">
        <v>921</v>
      </c>
      <c r="D19" s="15" t="s">
        <v>941</v>
      </c>
      <c r="E19" s="14" t="s">
        <v>161</v>
      </c>
      <c r="F19" s="14" t="s">
        <v>202</v>
      </c>
      <c r="G19" s="15" t="s">
        <v>942</v>
      </c>
      <c r="H19" s="14" t="s">
        <v>124</v>
      </c>
      <c r="I19" s="14" t="s">
        <v>140</v>
      </c>
      <c r="J19" s="16" t="n">
        <v>46227</v>
      </c>
      <c r="K19" s="15" t="s">
        <v>833</v>
      </c>
      <c r="L19" s="14" t="n">
        <v>1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892</v>
      </c>
      <c r="B20" s="14" t="s">
        <v>689</v>
      </c>
      <c r="C20" s="14" t="s">
        <v>921</v>
      </c>
      <c r="D20" s="15" t="s">
        <v>943</v>
      </c>
      <c r="E20" s="14" t="s">
        <v>161</v>
      </c>
      <c r="F20" s="14" t="s">
        <v>186</v>
      </c>
      <c r="G20" s="15" t="s">
        <v>932</v>
      </c>
      <c r="H20" s="14" t="s">
        <v>126</v>
      </c>
      <c r="I20" s="14" t="s">
        <v>141</v>
      </c>
      <c r="J20" s="16" t="n">
        <v>46228</v>
      </c>
      <c r="K20" s="15" t="s">
        <v>839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895</v>
      </c>
      <c r="B21" s="14" t="s">
        <v>214</v>
      </c>
      <c r="C21" s="14" t="s">
        <v>921</v>
      </c>
      <c r="D21" s="15" t="s">
        <v>944</v>
      </c>
      <c r="E21" s="14" t="s">
        <v>161</v>
      </c>
      <c r="F21" s="14" t="s">
        <v>202</v>
      </c>
      <c r="G21" s="15" t="s">
        <v>940</v>
      </c>
      <c r="H21" s="14" t="s">
        <v>124</v>
      </c>
      <c r="I21" s="14" t="s">
        <v>140</v>
      </c>
      <c r="J21" s="16" t="n">
        <v>46227</v>
      </c>
      <c r="K21" s="15" t="s">
        <v>839</v>
      </c>
      <c r="L21" s="14" t="n">
        <v>1</v>
      </c>
      <c r="M21" s="14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4" t="s">
        <v>898</v>
      </c>
      <c r="B22" s="14" t="s">
        <v>218</v>
      </c>
      <c r="C22" s="14" t="s">
        <v>41</v>
      </c>
      <c r="D22" s="15" t="s">
        <v>945</v>
      </c>
      <c r="E22" s="14" t="s">
        <v>161</v>
      </c>
      <c r="F22" s="14" t="s">
        <v>220</v>
      </c>
      <c r="G22" s="15" t="s">
        <v>946</v>
      </c>
      <c r="H22" s="14" t="s">
        <v>126</v>
      </c>
      <c r="I22" s="14" t="s">
        <v>141</v>
      </c>
      <c r="J22" s="16" t="n">
        <v>46228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901</v>
      </c>
      <c r="B23" s="14" t="s">
        <v>223</v>
      </c>
      <c r="C23" s="14" t="s">
        <v>41</v>
      </c>
      <c r="D23" s="15" t="s">
        <v>947</v>
      </c>
      <c r="E23" s="14" t="s">
        <v>161</v>
      </c>
      <c r="F23" s="14" t="s">
        <v>220</v>
      </c>
      <c r="G23" s="15" t="s">
        <v>948</v>
      </c>
      <c r="H23" s="14" t="s">
        <v>126</v>
      </c>
      <c r="I23" s="14" t="s">
        <v>141</v>
      </c>
      <c r="J23" s="16" t="n">
        <v>46228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905</v>
      </c>
      <c r="B24" s="14" t="s">
        <v>227</v>
      </c>
      <c r="C24" s="14" t="s">
        <v>921</v>
      </c>
      <c r="D24" s="15" t="s">
        <v>949</v>
      </c>
      <c r="E24" s="14" t="s">
        <v>229</v>
      </c>
      <c r="F24" s="14" t="s">
        <v>229</v>
      </c>
      <c r="G24" s="15" t="s">
        <v>230</v>
      </c>
      <c r="H24" s="14" t="s">
        <v>126</v>
      </c>
      <c r="I24" s="14" t="s">
        <v>141</v>
      </c>
      <c r="J24" s="16" t="n">
        <v>46228</v>
      </c>
      <c r="K24" s="15" t="s">
        <v>852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950</v>
      </c>
      <c r="B25" s="14" t="s">
        <v>232</v>
      </c>
      <c r="C25" s="14" t="s">
        <v>41</v>
      </c>
      <c r="D25" s="15" t="s">
        <v>951</v>
      </c>
      <c r="E25" s="14" t="s">
        <v>161</v>
      </c>
      <c r="F25" s="14" t="s">
        <v>161</v>
      </c>
      <c r="G25" s="15" t="s">
        <v>952</v>
      </c>
      <c r="H25" s="14" t="s">
        <v>124</v>
      </c>
      <c r="I25" s="14" t="s">
        <v>140</v>
      </c>
      <c r="J25" s="16" t="n">
        <v>46228</v>
      </c>
      <c r="K25" s="15" t="s">
        <v>852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333</v>
      </c>
      <c r="B9" s="14" t="s">
        <v>158</v>
      </c>
      <c r="C9" s="14" t="s">
        <v>42</v>
      </c>
      <c r="D9" s="15" t="s">
        <v>955</v>
      </c>
      <c r="E9" s="14" t="s">
        <v>161</v>
      </c>
      <c r="F9" s="14" t="s">
        <v>162</v>
      </c>
      <c r="G9" s="15" t="s">
        <v>956</v>
      </c>
      <c r="H9" s="14" t="s">
        <v>126</v>
      </c>
      <c r="I9" s="14" t="s">
        <v>141</v>
      </c>
      <c r="J9" s="16" t="n">
        <v>46228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335</v>
      </c>
      <c r="B10" s="14" t="s">
        <v>165</v>
      </c>
      <c r="C10" s="14" t="s">
        <v>42</v>
      </c>
      <c r="D10" s="15" t="s">
        <v>957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46228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336</v>
      </c>
      <c r="B11" s="14" t="s">
        <v>169</v>
      </c>
      <c r="C11" s="14" t="s">
        <v>42</v>
      </c>
      <c r="D11" s="15" t="s">
        <v>958</v>
      </c>
      <c r="E11" s="14" t="s">
        <v>161</v>
      </c>
      <c r="F11" s="14" t="s">
        <v>171</v>
      </c>
      <c r="G11" s="15" t="s">
        <v>959</v>
      </c>
      <c r="H11" s="14" t="s">
        <v>126</v>
      </c>
      <c r="I11" s="14" t="s">
        <v>141</v>
      </c>
      <c r="J11" s="16" t="n">
        <v>46228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338</v>
      </c>
      <c r="B12" s="14" t="s">
        <v>174</v>
      </c>
      <c r="C12" s="14" t="s">
        <v>42</v>
      </c>
      <c r="D12" s="15" t="s">
        <v>960</v>
      </c>
      <c r="E12" s="14" t="s">
        <v>161</v>
      </c>
      <c r="F12" s="14" t="s">
        <v>176</v>
      </c>
      <c r="G12" s="15" t="s">
        <v>961</v>
      </c>
      <c r="H12" s="14" t="s">
        <v>126</v>
      </c>
      <c r="I12" s="14" t="s">
        <v>141</v>
      </c>
      <c r="J12" s="16" t="n">
        <v>46228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340</v>
      </c>
      <c r="B13" s="14" t="s">
        <v>179</v>
      </c>
      <c r="C13" s="14" t="s">
        <v>42</v>
      </c>
      <c r="D13" s="15" t="s">
        <v>962</v>
      </c>
      <c r="E13" s="14" t="s">
        <v>161</v>
      </c>
      <c r="F13" s="14" t="s">
        <v>181</v>
      </c>
      <c r="G13" s="15" t="s">
        <v>963</v>
      </c>
      <c r="H13" s="14" t="s">
        <v>126</v>
      </c>
      <c r="I13" s="14" t="s">
        <v>141</v>
      </c>
      <c r="J13" s="16" t="n">
        <v>46228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342</v>
      </c>
      <c r="B14" s="14" t="s">
        <v>184</v>
      </c>
      <c r="C14" s="14" t="s">
        <v>42</v>
      </c>
      <c r="D14" s="15" t="s">
        <v>964</v>
      </c>
      <c r="E14" s="14" t="s">
        <v>161</v>
      </c>
      <c r="F14" s="14" t="s">
        <v>186</v>
      </c>
      <c r="G14" s="15" t="s">
        <v>965</v>
      </c>
      <c r="H14" s="14" t="s">
        <v>126</v>
      </c>
      <c r="I14" s="14" t="s">
        <v>141</v>
      </c>
      <c r="J14" s="16" t="n">
        <v>46228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344</v>
      </c>
      <c r="B15" s="14" t="s">
        <v>189</v>
      </c>
      <c r="C15" s="14" t="s">
        <v>42</v>
      </c>
      <c r="D15" s="15" t="s">
        <v>966</v>
      </c>
      <c r="E15" s="14" t="s">
        <v>161</v>
      </c>
      <c r="F15" s="14" t="s">
        <v>191</v>
      </c>
      <c r="G15" s="15" t="s">
        <v>965</v>
      </c>
      <c r="H15" s="14" t="s">
        <v>126</v>
      </c>
      <c r="I15" s="14" t="s">
        <v>141</v>
      </c>
      <c r="J15" s="16" t="n">
        <v>46228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346</v>
      </c>
      <c r="B16" s="14" t="s">
        <v>194</v>
      </c>
      <c r="C16" s="14" t="s">
        <v>42</v>
      </c>
      <c r="D16" s="15" t="s">
        <v>967</v>
      </c>
      <c r="E16" s="14" t="s">
        <v>161</v>
      </c>
      <c r="F16" s="14" t="s">
        <v>196</v>
      </c>
      <c r="G16" s="15" t="s">
        <v>968</v>
      </c>
      <c r="H16" s="14" t="s">
        <v>128</v>
      </c>
      <c r="I16" s="14" t="s">
        <v>140</v>
      </c>
      <c r="J16" s="16" t="n">
        <v>46228</v>
      </c>
      <c r="K16" s="15" t="s">
        <v>969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348</v>
      </c>
      <c r="B17" s="14" t="s">
        <v>200</v>
      </c>
      <c r="C17" s="14" t="s">
        <v>42</v>
      </c>
      <c r="D17" s="15" t="s">
        <v>970</v>
      </c>
      <c r="E17" s="14" t="s">
        <v>161</v>
      </c>
      <c r="F17" s="14" t="s">
        <v>202</v>
      </c>
      <c r="G17" s="15" t="s">
        <v>971</v>
      </c>
      <c r="H17" s="14" t="s">
        <v>124</v>
      </c>
      <c r="I17" s="14" t="s">
        <v>140</v>
      </c>
      <c r="J17" s="16"/>
      <c r="K17" s="15" t="s">
        <v>972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350</v>
      </c>
      <c r="B18" s="14" t="s">
        <v>206</v>
      </c>
      <c r="C18" s="14" t="s">
        <v>42</v>
      </c>
      <c r="D18" s="15" t="s">
        <v>973</v>
      </c>
      <c r="E18" s="14" t="s">
        <v>161</v>
      </c>
      <c r="F18" s="14" t="s">
        <v>202</v>
      </c>
      <c r="G18" s="15" t="s">
        <v>974</v>
      </c>
      <c r="H18" s="14" t="s">
        <v>124</v>
      </c>
      <c r="I18" s="14" t="s">
        <v>140</v>
      </c>
      <c r="J18" s="16"/>
      <c r="K18" s="15" t="s">
        <v>833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351</v>
      </c>
      <c r="B19" s="14" t="s">
        <v>689</v>
      </c>
      <c r="C19" s="14" t="s">
        <v>42</v>
      </c>
      <c r="D19" s="15" t="s">
        <v>975</v>
      </c>
      <c r="E19" s="14" t="s">
        <v>161</v>
      </c>
      <c r="F19" s="14" t="s">
        <v>186</v>
      </c>
      <c r="G19" s="15" t="s">
        <v>965</v>
      </c>
      <c r="H19" s="14" t="s">
        <v>126</v>
      </c>
      <c r="I19" s="14" t="s">
        <v>141</v>
      </c>
      <c r="J19" s="16" t="n">
        <v>46228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353</v>
      </c>
      <c r="B20" s="14" t="s">
        <v>214</v>
      </c>
      <c r="C20" s="14" t="s">
        <v>42</v>
      </c>
      <c r="D20" s="15" t="s">
        <v>976</v>
      </c>
      <c r="E20" s="14" t="s">
        <v>161</v>
      </c>
      <c r="F20" s="14" t="s">
        <v>202</v>
      </c>
      <c r="G20" s="15" t="s">
        <v>971</v>
      </c>
      <c r="H20" s="14" t="s">
        <v>124</v>
      </c>
      <c r="I20" s="14" t="s">
        <v>140</v>
      </c>
      <c r="J20" s="16"/>
      <c r="K20" s="15" t="s">
        <v>977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354</v>
      </c>
      <c r="B21" s="14" t="s">
        <v>218</v>
      </c>
      <c r="C21" s="14" t="s">
        <v>42</v>
      </c>
      <c r="D21" s="15" t="s">
        <v>978</v>
      </c>
      <c r="E21" s="14" t="s">
        <v>161</v>
      </c>
      <c r="F21" s="14" t="s">
        <v>220</v>
      </c>
      <c r="G21" s="15" t="s">
        <v>979</v>
      </c>
      <c r="H21" s="14" t="s">
        <v>126</v>
      </c>
      <c r="I21" s="14" t="s">
        <v>141</v>
      </c>
      <c r="J21" s="16" t="n">
        <v>46228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356</v>
      </c>
      <c r="B22" s="14" t="s">
        <v>223</v>
      </c>
      <c r="C22" s="14" t="s">
        <v>42</v>
      </c>
      <c r="D22" s="15" t="s">
        <v>980</v>
      </c>
      <c r="E22" s="14" t="s">
        <v>161</v>
      </c>
      <c r="F22" s="14" t="s">
        <v>220</v>
      </c>
      <c r="G22" s="15" t="s">
        <v>981</v>
      </c>
      <c r="H22" s="14" t="s">
        <v>126</v>
      </c>
      <c r="I22" s="14" t="s">
        <v>141</v>
      </c>
      <c r="J22" s="16" t="n">
        <v>46228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358</v>
      </c>
      <c r="B23" s="14" t="s">
        <v>227</v>
      </c>
      <c r="C23" s="14" t="s">
        <v>42</v>
      </c>
      <c r="D23" s="15" t="s">
        <v>982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46228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359</v>
      </c>
      <c r="B24" s="14" t="s">
        <v>649</v>
      </c>
      <c r="C24" s="14" t="s">
        <v>42</v>
      </c>
      <c r="D24" s="15" t="s">
        <v>983</v>
      </c>
      <c r="E24" s="14" t="s">
        <v>161</v>
      </c>
      <c r="F24" s="14" t="s">
        <v>161</v>
      </c>
      <c r="G24" s="15" t="s">
        <v>984</v>
      </c>
      <c r="H24" s="14" t="s">
        <v>126</v>
      </c>
      <c r="I24" s="14" t="s">
        <v>141</v>
      </c>
      <c r="J24" s="16" t="n">
        <v>46228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985</v>
      </c>
      <c r="B25" s="14" t="s">
        <v>232</v>
      </c>
      <c r="C25" s="14" t="s">
        <v>42</v>
      </c>
      <c r="D25" s="15" t="s">
        <v>986</v>
      </c>
      <c r="E25" s="14" t="s">
        <v>161</v>
      </c>
      <c r="F25" s="14" t="s">
        <v>161</v>
      </c>
      <c r="G25" s="15" t="s">
        <v>987</v>
      </c>
      <c r="H25" s="14" t="s">
        <v>124</v>
      </c>
      <c r="I25" s="14" t="s">
        <v>140</v>
      </c>
      <c r="J25" s="16"/>
      <c r="K25" s="15" t="s">
        <v>852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799</v>
      </c>
      <c r="B9" s="14" t="s">
        <v>158</v>
      </c>
      <c r="C9" s="14" t="s">
        <v>43</v>
      </c>
      <c r="D9" s="15" t="s">
        <v>990</v>
      </c>
      <c r="E9" s="14" t="s">
        <v>161</v>
      </c>
      <c r="F9" s="14" t="s">
        <v>162</v>
      </c>
      <c r="G9" s="15" t="s">
        <v>991</v>
      </c>
      <c r="H9" s="14" t="s">
        <v>126</v>
      </c>
      <c r="I9" s="14" t="s">
        <v>141</v>
      </c>
      <c r="J9" s="16" t="n">
        <v>46228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802</v>
      </c>
      <c r="B10" s="14" t="s">
        <v>165</v>
      </c>
      <c r="C10" s="14" t="s">
        <v>43</v>
      </c>
      <c r="D10" s="15" t="s">
        <v>992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46228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805</v>
      </c>
      <c r="B11" s="14" t="s">
        <v>169</v>
      </c>
      <c r="C11" s="14" t="s">
        <v>43</v>
      </c>
      <c r="D11" s="15" t="s">
        <v>993</v>
      </c>
      <c r="E11" s="14" t="s">
        <v>161</v>
      </c>
      <c r="F11" s="14" t="s">
        <v>171</v>
      </c>
      <c r="G11" s="15" t="s">
        <v>994</v>
      </c>
      <c r="H11" s="14" t="s">
        <v>126</v>
      </c>
      <c r="I11" s="14" t="s">
        <v>141</v>
      </c>
      <c r="J11" s="16" t="n">
        <v>46228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809</v>
      </c>
      <c r="B12" s="14" t="s">
        <v>174</v>
      </c>
      <c r="C12" s="14" t="s">
        <v>43</v>
      </c>
      <c r="D12" s="15" t="s">
        <v>995</v>
      </c>
      <c r="E12" s="14" t="s">
        <v>161</v>
      </c>
      <c r="F12" s="14" t="s">
        <v>176</v>
      </c>
      <c r="G12" s="15" t="s">
        <v>996</v>
      </c>
      <c r="H12" s="14" t="s">
        <v>126</v>
      </c>
      <c r="I12" s="14" t="s">
        <v>141</v>
      </c>
      <c r="J12" s="16" t="n">
        <v>46228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813</v>
      </c>
      <c r="B13" s="14" t="s">
        <v>179</v>
      </c>
      <c r="C13" s="14" t="s">
        <v>43</v>
      </c>
      <c r="D13" s="15" t="s">
        <v>997</v>
      </c>
      <c r="E13" s="14" t="s">
        <v>161</v>
      </c>
      <c r="F13" s="14" t="s">
        <v>181</v>
      </c>
      <c r="G13" s="15" t="s">
        <v>998</v>
      </c>
      <c r="H13" s="14" t="s">
        <v>126</v>
      </c>
      <c r="I13" s="14" t="s">
        <v>141</v>
      </c>
      <c r="J13" s="16" t="n">
        <v>46228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816</v>
      </c>
      <c r="B14" s="14" t="s">
        <v>184</v>
      </c>
      <c r="C14" s="14" t="s">
        <v>43</v>
      </c>
      <c r="D14" s="15" t="s">
        <v>999</v>
      </c>
      <c r="E14" s="14" t="s">
        <v>161</v>
      </c>
      <c r="F14" s="14" t="s">
        <v>186</v>
      </c>
      <c r="G14" s="15" t="s">
        <v>1000</v>
      </c>
      <c r="H14" s="14" t="s">
        <v>126</v>
      </c>
      <c r="I14" s="14" t="s">
        <v>141</v>
      </c>
      <c r="J14" s="16" t="n">
        <v>46228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819</v>
      </c>
      <c r="B15" s="14" t="s">
        <v>189</v>
      </c>
      <c r="C15" s="14" t="s">
        <v>43</v>
      </c>
      <c r="D15" s="15" t="s">
        <v>1001</v>
      </c>
      <c r="E15" s="14" t="s">
        <v>161</v>
      </c>
      <c r="F15" s="14" t="s">
        <v>191</v>
      </c>
      <c r="G15" s="15" t="s">
        <v>1000</v>
      </c>
      <c r="H15" s="14" t="s">
        <v>126</v>
      </c>
      <c r="I15" s="14" t="s">
        <v>141</v>
      </c>
      <c r="J15" s="16" t="n">
        <v>46228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821</v>
      </c>
      <c r="B16" s="14" t="s">
        <v>194</v>
      </c>
      <c r="C16" s="14" t="s">
        <v>43</v>
      </c>
      <c r="D16" s="15" t="s">
        <v>1002</v>
      </c>
      <c r="E16" s="14" t="s">
        <v>161</v>
      </c>
      <c r="F16" s="14" t="s">
        <v>196</v>
      </c>
      <c r="G16" s="15" t="s">
        <v>1003</v>
      </c>
      <c r="H16" s="14" t="s">
        <v>128</v>
      </c>
      <c r="I16" s="14" t="s">
        <v>140</v>
      </c>
      <c r="J16" s="16" t="n">
        <v>46228</v>
      </c>
      <c r="K16" s="15" t="s">
        <v>1004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825</v>
      </c>
      <c r="B17" s="14" t="s">
        <v>200</v>
      </c>
      <c r="C17" s="14" t="s">
        <v>43</v>
      </c>
      <c r="D17" s="15" t="s">
        <v>1005</v>
      </c>
      <c r="E17" s="14" t="s">
        <v>161</v>
      </c>
      <c r="F17" s="14" t="s">
        <v>202</v>
      </c>
      <c r="G17" s="15" t="s">
        <v>1006</v>
      </c>
      <c r="H17" s="14" t="s">
        <v>124</v>
      </c>
      <c r="I17" s="14" t="s">
        <v>140</v>
      </c>
      <c r="J17" s="16"/>
      <c r="K17" s="15" t="s">
        <v>972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829</v>
      </c>
      <c r="B18" s="14" t="s">
        <v>206</v>
      </c>
      <c r="C18" s="14" t="s">
        <v>43</v>
      </c>
      <c r="D18" s="15" t="s">
        <v>1007</v>
      </c>
      <c r="E18" s="14" t="s">
        <v>161</v>
      </c>
      <c r="F18" s="14" t="s">
        <v>202</v>
      </c>
      <c r="G18" s="15" t="s">
        <v>1008</v>
      </c>
      <c r="H18" s="14" t="s">
        <v>124</v>
      </c>
      <c r="I18" s="14" t="s">
        <v>140</v>
      </c>
      <c r="J18" s="16"/>
      <c r="K18" s="15" t="s">
        <v>833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834</v>
      </c>
      <c r="B19" s="14" t="s">
        <v>689</v>
      </c>
      <c r="C19" s="14" t="s">
        <v>43</v>
      </c>
      <c r="D19" s="15" t="s">
        <v>1009</v>
      </c>
      <c r="E19" s="14" t="s">
        <v>161</v>
      </c>
      <c r="F19" s="14" t="s">
        <v>186</v>
      </c>
      <c r="G19" s="15" t="s">
        <v>1000</v>
      </c>
      <c r="H19" s="14" t="s">
        <v>126</v>
      </c>
      <c r="I19" s="14" t="s">
        <v>141</v>
      </c>
      <c r="J19" s="16" t="n">
        <v>46228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837</v>
      </c>
      <c r="B20" s="14" t="s">
        <v>214</v>
      </c>
      <c r="C20" s="14" t="s">
        <v>43</v>
      </c>
      <c r="D20" s="15" t="s">
        <v>1010</v>
      </c>
      <c r="E20" s="14" t="s">
        <v>161</v>
      </c>
      <c r="F20" s="14" t="s">
        <v>202</v>
      </c>
      <c r="G20" s="15" t="s">
        <v>1006</v>
      </c>
      <c r="H20" s="14" t="s">
        <v>124</v>
      </c>
      <c r="I20" s="14" t="s">
        <v>140</v>
      </c>
      <c r="J20" s="16"/>
      <c r="K20" s="15" t="s">
        <v>977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840</v>
      </c>
      <c r="B21" s="14" t="s">
        <v>218</v>
      </c>
      <c r="C21" s="14" t="s">
        <v>43</v>
      </c>
      <c r="D21" s="15" t="s">
        <v>1011</v>
      </c>
      <c r="E21" s="14" t="s">
        <v>161</v>
      </c>
      <c r="F21" s="14" t="s">
        <v>220</v>
      </c>
      <c r="G21" s="15" t="s">
        <v>1012</v>
      </c>
      <c r="H21" s="14" t="s">
        <v>126</v>
      </c>
      <c r="I21" s="14" t="s">
        <v>141</v>
      </c>
      <c r="J21" s="16" t="n">
        <v>46228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843</v>
      </c>
      <c r="B22" s="14" t="s">
        <v>223</v>
      </c>
      <c r="C22" s="14" t="s">
        <v>43</v>
      </c>
      <c r="D22" s="15" t="s">
        <v>1013</v>
      </c>
      <c r="E22" s="14" t="s">
        <v>161</v>
      </c>
      <c r="F22" s="14" t="s">
        <v>220</v>
      </c>
      <c r="G22" s="15" t="s">
        <v>1014</v>
      </c>
      <c r="H22" s="14" t="s">
        <v>126</v>
      </c>
      <c r="I22" s="14" t="s">
        <v>141</v>
      </c>
      <c r="J22" s="16" t="n">
        <v>46228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846</v>
      </c>
      <c r="B23" s="14" t="s">
        <v>227</v>
      </c>
      <c r="C23" s="14" t="s">
        <v>43</v>
      </c>
      <c r="D23" s="15" t="s">
        <v>1015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46228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849</v>
      </c>
      <c r="B24" s="14" t="s">
        <v>649</v>
      </c>
      <c r="C24" s="14" t="s">
        <v>43</v>
      </c>
      <c r="D24" s="15" t="s">
        <v>1016</v>
      </c>
      <c r="E24" s="14" t="s">
        <v>161</v>
      </c>
      <c r="F24" s="14" t="s">
        <v>161</v>
      </c>
      <c r="G24" s="15" t="s">
        <v>1017</v>
      </c>
      <c r="H24" s="14" t="s">
        <v>126</v>
      </c>
      <c r="I24" s="14" t="s">
        <v>141</v>
      </c>
      <c r="J24" s="16" t="n">
        <v>46228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1018</v>
      </c>
      <c r="B25" s="14" t="s">
        <v>232</v>
      </c>
      <c r="C25" s="14" t="s">
        <v>43</v>
      </c>
      <c r="D25" s="15" t="s">
        <v>1019</v>
      </c>
      <c r="E25" s="14" t="s">
        <v>161</v>
      </c>
      <c r="F25" s="14" t="s">
        <v>161</v>
      </c>
      <c r="G25" s="15" t="s">
        <v>1020</v>
      </c>
      <c r="H25" s="14" t="s">
        <v>124</v>
      </c>
      <c r="I25" s="14" t="s">
        <v>140</v>
      </c>
      <c r="J25" s="16"/>
      <c r="K25" s="15" t="s">
        <v>852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402</v>
      </c>
      <c r="B9" s="14" t="s">
        <v>158</v>
      </c>
      <c r="C9" s="14" t="s">
        <v>44</v>
      </c>
      <c r="D9" s="15" t="s">
        <v>1023</v>
      </c>
      <c r="E9" s="14" t="s">
        <v>161</v>
      </c>
      <c r="F9" s="14" t="s">
        <v>162</v>
      </c>
      <c r="G9" s="15" t="s">
        <v>1024</v>
      </c>
      <c r="H9" s="14" t="s">
        <v>126</v>
      </c>
      <c r="I9" s="14" t="s">
        <v>141</v>
      </c>
      <c r="J9" s="16" t="n">
        <v>46228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404</v>
      </c>
      <c r="B10" s="14" t="s">
        <v>165</v>
      </c>
      <c r="C10" s="14" t="s">
        <v>44</v>
      </c>
      <c r="D10" s="15" t="s">
        <v>1025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46228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405</v>
      </c>
      <c r="B11" s="14" t="s">
        <v>169</v>
      </c>
      <c r="C11" s="14" t="s">
        <v>44</v>
      </c>
      <c r="D11" s="15" t="s">
        <v>1026</v>
      </c>
      <c r="E11" s="14" t="s">
        <v>161</v>
      </c>
      <c r="F11" s="14" t="s">
        <v>171</v>
      </c>
      <c r="G11" s="15" t="s">
        <v>1027</v>
      </c>
      <c r="H11" s="14" t="s">
        <v>126</v>
      </c>
      <c r="I11" s="14" t="s">
        <v>141</v>
      </c>
      <c r="J11" s="16" t="n">
        <v>46228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407</v>
      </c>
      <c r="B12" s="14" t="s">
        <v>174</v>
      </c>
      <c r="C12" s="14" t="s">
        <v>44</v>
      </c>
      <c r="D12" s="15" t="s">
        <v>1028</v>
      </c>
      <c r="E12" s="14" t="s">
        <v>161</v>
      </c>
      <c r="F12" s="14" t="s">
        <v>176</v>
      </c>
      <c r="G12" s="15" t="s">
        <v>1029</v>
      </c>
      <c r="H12" s="14" t="s">
        <v>126</v>
      </c>
      <c r="I12" s="14" t="s">
        <v>141</v>
      </c>
      <c r="J12" s="16" t="n">
        <v>46228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409</v>
      </c>
      <c r="B13" s="14" t="s">
        <v>179</v>
      </c>
      <c r="C13" s="14" t="s">
        <v>44</v>
      </c>
      <c r="D13" s="15" t="s">
        <v>1030</v>
      </c>
      <c r="E13" s="14" t="s">
        <v>161</v>
      </c>
      <c r="F13" s="14" t="s">
        <v>181</v>
      </c>
      <c r="G13" s="15" t="s">
        <v>1031</v>
      </c>
      <c r="H13" s="14" t="s">
        <v>126</v>
      </c>
      <c r="I13" s="14" t="s">
        <v>141</v>
      </c>
      <c r="J13" s="16" t="n">
        <v>46228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411</v>
      </c>
      <c r="B14" s="14" t="s">
        <v>184</v>
      </c>
      <c r="C14" s="14" t="s">
        <v>44</v>
      </c>
      <c r="D14" s="15" t="s">
        <v>1032</v>
      </c>
      <c r="E14" s="14" t="s">
        <v>161</v>
      </c>
      <c r="F14" s="14" t="s">
        <v>186</v>
      </c>
      <c r="G14" s="15" t="s">
        <v>1033</v>
      </c>
      <c r="H14" s="14" t="s">
        <v>126</v>
      </c>
      <c r="I14" s="14" t="s">
        <v>141</v>
      </c>
      <c r="J14" s="16" t="n">
        <v>46228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413</v>
      </c>
      <c r="B15" s="14" t="s">
        <v>189</v>
      </c>
      <c r="C15" s="14" t="s">
        <v>44</v>
      </c>
      <c r="D15" s="15" t="s">
        <v>1034</v>
      </c>
      <c r="E15" s="14" t="s">
        <v>161</v>
      </c>
      <c r="F15" s="14" t="s">
        <v>191</v>
      </c>
      <c r="G15" s="15" t="s">
        <v>1033</v>
      </c>
      <c r="H15" s="14" t="s">
        <v>126</v>
      </c>
      <c r="I15" s="14" t="s">
        <v>141</v>
      </c>
      <c r="J15" s="16" t="n">
        <v>46228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415</v>
      </c>
      <c r="B16" s="14" t="s">
        <v>194</v>
      </c>
      <c r="C16" s="14" t="s">
        <v>44</v>
      </c>
      <c r="D16" s="15" t="s">
        <v>1035</v>
      </c>
      <c r="E16" s="14" t="s">
        <v>161</v>
      </c>
      <c r="F16" s="14" t="s">
        <v>196</v>
      </c>
      <c r="G16" s="15" t="s">
        <v>1036</v>
      </c>
      <c r="H16" s="14" t="s">
        <v>128</v>
      </c>
      <c r="I16" s="14" t="s">
        <v>140</v>
      </c>
      <c r="J16" s="16" t="n">
        <v>46228</v>
      </c>
      <c r="K16" s="15" t="s">
        <v>1037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417</v>
      </c>
      <c r="B17" s="14" t="s">
        <v>200</v>
      </c>
      <c r="C17" s="14" t="s">
        <v>44</v>
      </c>
      <c r="D17" s="15" t="s">
        <v>1038</v>
      </c>
      <c r="E17" s="14" t="s">
        <v>161</v>
      </c>
      <c r="F17" s="14" t="s">
        <v>202</v>
      </c>
      <c r="G17" s="15" t="s">
        <v>1039</v>
      </c>
      <c r="H17" s="14" t="s">
        <v>124</v>
      </c>
      <c r="I17" s="14" t="s">
        <v>140</v>
      </c>
      <c r="J17" s="16"/>
      <c r="K17" s="15" t="s">
        <v>972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419</v>
      </c>
      <c r="B18" s="14" t="s">
        <v>206</v>
      </c>
      <c r="C18" s="14" t="s">
        <v>44</v>
      </c>
      <c r="D18" s="15" t="s">
        <v>1040</v>
      </c>
      <c r="E18" s="14" t="s">
        <v>161</v>
      </c>
      <c r="F18" s="14" t="s">
        <v>202</v>
      </c>
      <c r="G18" s="15" t="s">
        <v>1041</v>
      </c>
      <c r="H18" s="14" t="s">
        <v>124</v>
      </c>
      <c r="I18" s="14" t="s">
        <v>140</v>
      </c>
      <c r="J18" s="16"/>
      <c r="K18" s="15" t="s">
        <v>833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420</v>
      </c>
      <c r="B19" s="14" t="s">
        <v>689</v>
      </c>
      <c r="C19" s="14" t="s">
        <v>44</v>
      </c>
      <c r="D19" s="15" t="s">
        <v>1042</v>
      </c>
      <c r="E19" s="14" t="s">
        <v>161</v>
      </c>
      <c r="F19" s="14" t="s">
        <v>186</v>
      </c>
      <c r="G19" s="15" t="s">
        <v>1033</v>
      </c>
      <c r="H19" s="14" t="s">
        <v>126</v>
      </c>
      <c r="I19" s="14" t="s">
        <v>141</v>
      </c>
      <c r="J19" s="16" t="n">
        <v>46228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422</v>
      </c>
      <c r="B20" s="14" t="s">
        <v>214</v>
      </c>
      <c r="C20" s="14" t="s">
        <v>44</v>
      </c>
      <c r="D20" s="15" t="s">
        <v>1043</v>
      </c>
      <c r="E20" s="14" t="s">
        <v>161</v>
      </c>
      <c r="F20" s="14" t="s">
        <v>202</v>
      </c>
      <c r="G20" s="15" t="s">
        <v>1039</v>
      </c>
      <c r="H20" s="14" t="s">
        <v>124</v>
      </c>
      <c r="I20" s="14" t="s">
        <v>140</v>
      </c>
      <c r="J20" s="16"/>
      <c r="K20" s="15" t="s">
        <v>977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423</v>
      </c>
      <c r="B21" s="14" t="s">
        <v>218</v>
      </c>
      <c r="C21" s="14" t="s">
        <v>44</v>
      </c>
      <c r="D21" s="15" t="s">
        <v>1044</v>
      </c>
      <c r="E21" s="14" t="s">
        <v>161</v>
      </c>
      <c r="F21" s="14" t="s">
        <v>220</v>
      </c>
      <c r="G21" s="15" t="s">
        <v>1045</v>
      </c>
      <c r="H21" s="14" t="s">
        <v>126</v>
      </c>
      <c r="I21" s="14" t="s">
        <v>141</v>
      </c>
      <c r="J21" s="16" t="n">
        <v>46228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425</v>
      </c>
      <c r="B22" s="14" t="s">
        <v>223</v>
      </c>
      <c r="C22" s="14" t="s">
        <v>44</v>
      </c>
      <c r="D22" s="15" t="s">
        <v>1046</v>
      </c>
      <c r="E22" s="14" t="s">
        <v>161</v>
      </c>
      <c r="F22" s="14" t="s">
        <v>220</v>
      </c>
      <c r="G22" s="15" t="s">
        <v>1047</v>
      </c>
      <c r="H22" s="14" t="s">
        <v>126</v>
      </c>
      <c r="I22" s="14" t="s">
        <v>141</v>
      </c>
      <c r="J22" s="16" t="n">
        <v>46228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427</v>
      </c>
      <c r="B23" s="14" t="s">
        <v>227</v>
      </c>
      <c r="C23" s="14" t="s">
        <v>44</v>
      </c>
      <c r="D23" s="15" t="s">
        <v>1048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46228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428</v>
      </c>
      <c r="B24" s="14" t="s">
        <v>649</v>
      </c>
      <c r="C24" s="14" t="s">
        <v>44</v>
      </c>
      <c r="D24" s="15" t="s">
        <v>1049</v>
      </c>
      <c r="E24" s="14" t="s">
        <v>161</v>
      </c>
      <c r="F24" s="14" t="s">
        <v>161</v>
      </c>
      <c r="G24" s="15" t="s">
        <v>1050</v>
      </c>
      <c r="H24" s="14" t="s">
        <v>126</v>
      </c>
      <c r="I24" s="14" t="s">
        <v>141</v>
      </c>
      <c r="J24" s="16" t="n">
        <v>46228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1051</v>
      </c>
      <c r="B25" s="14" t="s">
        <v>232</v>
      </c>
      <c r="C25" s="14" t="s">
        <v>44</v>
      </c>
      <c r="D25" s="15" t="s">
        <v>1052</v>
      </c>
      <c r="E25" s="14" t="s">
        <v>161</v>
      </c>
      <c r="F25" s="14" t="s">
        <v>161</v>
      </c>
      <c r="G25" s="15" t="s">
        <v>1053</v>
      </c>
      <c r="H25" s="14" t="s">
        <v>124</v>
      </c>
      <c r="I25" s="14" t="s">
        <v>140</v>
      </c>
      <c r="J25" s="16"/>
      <c r="K25" s="15" t="s">
        <v>852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1056</v>
      </c>
      <c r="B9" s="14" t="s">
        <v>158</v>
      </c>
      <c r="C9" s="14" t="s">
        <v>45</v>
      </c>
      <c r="D9" s="15" t="s">
        <v>1057</v>
      </c>
      <c r="E9" s="14" t="s">
        <v>161</v>
      </c>
      <c r="F9" s="14" t="s">
        <v>162</v>
      </c>
      <c r="G9" s="15" t="s">
        <v>1058</v>
      </c>
      <c r="H9" s="14" t="s">
        <v>126</v>
      </c>
      <c r="I9" s="14" t="s">
        <v>141</v>
      </c>
      <c r="J9" s="16" t="n">
        <v>46228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1059</v>
      </c>
      <c r="B10" s="14" t="s">
        <v>165</v>
      </c>
      <c r="C10" s="14" t="s">
        <v>45</v>
      </c>
      <c r="D10" s="15" t="s">
        <v>1060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46228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1061</v>
      </c>
      <c r="B11" s="14" t="s">
        <v>169</v>
      </c>
      <c r="C11" s="14" t="s">
        <v>45</v>
      </c>
      <c r="D11" s="15" t="s">
        <v>1062</v>
      </c>
      <c r="E11" s="14" t="s">
        <v>161</v>
      </c>
      <c r="F11" s="14" t="s">
        <v>171</v>
      </c>
      <c r="G11" s="15" t="s">
        <v>1063</v>
      </c>
      <c r="H11" s="14" t="s">
        <v>126</v>
      </c>
      <c r="I11" s="14" t="s">
        <v>141</v>
      </c>
      <c r="J11" s="16" t="n">
        <v>46228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1064</v>
      </c>
      <c r="B12" s="14" t="s">
        <v>174</v>
      </c>
      <c r="C12" s="14" t="s">
        <v>45</v>
      </c>
      <c r="D12" s="15" t="s">
        <v>1065</v>
      </c>
      <c r="E12" s="14" t="s">
        <v>161</v>
      </c>
      <c r="F12" s="14" t="s">
        <v>176</v>
      </c>
      <c r="G12" s="15" t="s">
        <v>1066</v>
      </c>
      <c r="H12" s="14" t="s">
        <v>126</v>
      </c>
      <c r="I12" s="14" t="s">
        <v>141</v>
      </c>
      <c r="J12" s="16" t="n">
        <v>46228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1067</v>
      </c>
      <c r="B13" s="14" t="s">
        <v>179</v>
      </c>
      <c r="C13" s="14" t="s">
        <v>45</v>
      </c>
      <c r="D13" s="15" t="s">
        <v>1068</v>
      </c>
      <c r="E13" s="14" t="s">
        <v>161</v>
      </c>
      <c r="F13" s="14" t="s">
        <v>181</v>
      </c>
      <c r="G13" s="15" t="s">
        <v>1069</v>
      </c>
      <c r="H13" s="14" t="s">
        <v>126</v>
      </c>
      <c r="I13" s="14" t="s">
        <v>141</v>
      </c>
      <c r="J13" s="16" t="n">
        <v>46228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1070</v>
      </c>
      <c r="B14" s="14" t="s">
        <v>184</v>
      </c>
      <c r="C14" s="14" t="s">
        <v>45</v>
      </c>
      <c r="D14" s="15" t="s">
        <v>1071</v>
      </c>
      <c r="E14" s="14" t="s">
        <v>161</v>
      </c>
      <c r="F14" s="14" t="s">
        <v>186</v>
      </c>
      <c r="G14" s="15" t="s">
        <v>1072</v>
      </c>
      <c r="H14" s="14" t="s">
        <v>126</v>
      </c>
      <c r="I14" s="14" t="s">
        <v>141</v>
      </c>
      <c r="J14" s="16" t="n">
        <v>46228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1073</v>
      </c>
      <c r="B15" s="14" t="s">
        <v>189</v>
      </c>
      <c r="C15" s="14" t="s">
        <v>45</v>
      </c>
      <c r="D15" s="15" t="s">
        <v>1074</v>
      </c>
      <c r="E15" s="14" t="s">
        <v>161</v>
      </c>
      <c r="F15" s="14" t="s">
        <v>191</v>
      </c>
      <c r="G15" s="15" t="s">
        <v>1072</v>
      </c>
      <c r="H15" s="14" t="s">
        <v>126</v>
      </c>
      <c r="I15" s="14" t="s">
        <v>141</v>
      </c>
      <c r="J15" s="16" t="n">
        <v>46228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1075</v>
      </c>
      <c r="B16" s="14" t="s">
        <v>194</v>
      </c>
      <c r="C16" s="14" t="s">
        <v>45</v>
      </c>
      <c r="D16" s="15" t="s">
        <v>1076</v>
      </c>
      <c r="E16" s="14" t="s">
        <v>161</v>
      </c>
      <c r="F16" s="14" t="s">
        <v>196</v>
      </c>
      <c r="G16" s="15" t="s">
        <v>1077</v>
      </c>
      <c r="H16" s="14" t="s">
        <v>128</v>
      </c>
      <c r="I16" s="14" t="s">
        <v>140</v>
      </c>
      <c r="J16" s="16" t="n">
        <v>46228</v>
      </c>
      <c r="K16" s="15" t="s">
        <v>1078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1079</v>
      </c>
      <c r="B17" s="14" t="s">
        <v>200</v>
      </c>
      <c r="C17" s="14" t="s">
        <v>45</v>
      </c>
      <c r="D17" s="15" t="s">
        <v>1080</v>
      </c>
      <c r="E17" s="14" t="s">
        <v>161</v>
      </c>
      <c r="F17" s="14" t="s">
        <v>202</v>
      </c>
      <c r="G17" s="15" t="s">
        <v>1081</v>
      </c>
      <c r="H17" s="14" t="s">
        <v>124</v>
      </c>
      <c r="I17" s="14" t="s">
        <v>140</v>
      </c>
      <c r="J17" s="16"/>
      <c r="K17" s="15" t="s">
        <v>972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1082</v>
      </c>
      <c r="B18" s="14" t="s">
        <v>206</v>
      </c>
      <c r="C18" s="14" t="s">
        <v>45</v>
      </c>
      <c r="D18" s="15" t="s">
        <v>1083</v>
      </c>
      <c r="E18" s="14" t="s">
        <v>161</v>
      </c>
      <c r="F18" s="14" t="s">
        <v>202</v>
      </c>
      <c r="G18" s="15" t="s">
        <v>1084</v>
      </c>
      <c r="H18" s="14" t="s">
        <v>124</v>
      </c>
      <c r="I18" s="14" t="s">
        <v>140</v>
      </c>
      <c r="J18" s="16"/>
      <c r="K18" s="15" t="s">
        <v>833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1085</v>
      </c>
      <c r="B19" s="14" t="s">
        <v>689</v>
      </c>
      <c r="C19" s="14" t="s">
        <v>45</v>
      </c>
      <c r="D19" s="15" t="s">
        <v>1086</v>
      </c>
      <c r="E19" s="14" t="s">
        <v>161</v>
      </c>
      <c r="F19" s="14" t="s">
        <v>186</v>
      </c>
      <c r="G19" s="15" t="s">
        <v>1072</v>
      </c>
      <c r="H19" s="14" t="s">
        <v>126</v>
      </c>
      <c r="I19" s="14" t="s">
        <v>141</v>
      </c>
      <c r="J19" s="16" t="n">
        <v>46228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1087</v>
      </c>
      <c r="B20" s="14" t="s">
        <v>214</v>
      </c>
      <c r="C20" s="14" t="s">
        <v>45</v>
      </c>
      <c r="D20" s="15" t="s">
        <v>1088</v>
      </c>
      <c r="E20" s="14" t="s">
        <v>161</v>
      </c>
      <c r="F20" s="14" t="s">
        <v>202</v>
      </c>
      <c r="G20" s="15" t="s">
        <v>1081</v>
      </c>
      <c r="H20" s="14" t="s">
        <v>124</v>
      </c>
      <c r="I20" s="14" t="s">
        <v>140</v>
      </c>
      <c r="J20" s="16"/>
      <c r="K20" s="15" t="s">
        <v>977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1089</v>
      </c>
      <c r="B21" s="14" t="s">
        <v>218</v>
      </c>
      <c r="C21" s="14" t="s">
        <v>45</v>
      </c>
      <c r="D21" s="15" t="s">
        <v>1090</v>
      </c>
      <c r="E21" s="14" t="s">
        <v>161</v>
      </c>
      <c r="F21" s="14" t="s">
        <v>220</v>
      </c>
      <c r="G21" s="15" t="s">
        <v>1091</v>
      </c>
      <c r="H21" s="14" t="s">
        <v>126</v>
      </c>
      <c r="I21" s="14" t="s">
        <v>141</v>
      </c>
      <c r="J21" s="16" t="n">
        <v>46228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1092</v>
      </c>
      <c r="B22" s="14" t="s">
        <v>223</v>
      </c>
      <c r="C22" s="14" t="s">
        <v>45</v>
      </c>
      <c r="D22" s="15" t="s">
        <v>1093</v>
      </c>
      <c r="E22" s="14" t="s">
        <v>161</v>
      </c>
      <c r="F22" s="14" t="s">
        <v>220</v>
      </c>
      <c r="G22" s="15" t="s">
        <v>1094</v>
      </c>
      <c r="H22" s="14" t="s">
        <v>126</v>
      </c>
      <c r="I22" s="14" t="s">
        <v>141</v>
      </c>
      <c r="J22" s="16" t="n">
        <v>46228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1095</v>
      </c>
      <c r="B23" s="14" t="s">
        <v>227</v>
      </c>
      <c r="C23" s="14" t="s">
        <v>45</v>
      </c>
      <c r="D23" s="15" t="s">
        <v>1096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 t="n">
        <v>46228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1097</v>
      </c>
      <c r="B24" s="14" t="s">
        <v>649</v>
      </c>
      <c r="C24" s="14" t="s">
        <v>45</v>
      </c>
      <c r="D24" s="15" t="s">
        <v>1098</v>
      </c>
      <c r="E24" s="14" t="s">
        <v>161</v>
      </c>
      <c r="F24" s="14" t="s">
        <v>161</v>
      </c>
      <c r="G24" s="15" t="s">
        <v>1099</v>
      </c>
      <c r="H24" s="14" t="s">
        <v>126</v>
      </c>
      <c r="I24" s="14" t="s">
        <v>141</v>
      </c>
      <c r="J24" s="16" t="n">
        <v>46228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1100</v>
      </c>
      <c r="B25" s="14" t="s">
        <v>232</v>
      </c>
      <c r="C25" s="14" t="s">
        <v>45</v>
      </c>
      <c r="D25" s="15" t="s">
        <v>1101</v>
      </c>
      <c r="E25" s="14" t="s">
        <v>161</v>
      </c>
      <c r="F25" s="14" t="s">
        <v>161</v>
      </c>
      <c r="G25" s="15" t="s">
        <v>1102</v>
      </c>
      <c r="H25" s="14" t="s">
        <v>124</v>
      </c>
      <c r="I25" s="14" t="s">
        <v>140</v>
      </c>
      <c r="J25" s="16"/>
      <c r="K25" s="15" t="s">
        <v>1103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144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1106</v>
      </c>
      <c r="B9" s="14" t="s">
        <v>158</v>
      </c>
      <c r="C9" s="14" t="s">
        <v>46</v>
      </c>
      <c r="D9" s="15" t="s">
        <v>1107</v>
      </c>
      <c r="E9" s="14" t="s">
        <v>161</v>
      </c>
      <c r="F9" s="14" t="s">
        <v>162</v>
      </c>
      <c r="G9" s="15" t="s">
        <v>1108</v>
      </c>
      <c r="H9" s="14" t="s">
        <v>126</v>
      </c>
      <c r="I9" s="14" t="s">
        <v>141</v>
      </c>
      <c r="J9" s="16" t="n">
        <v>46228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1109</v>
      </c>
      <c r="B10" s="14" t="s">
        <v>165</v>
      </c>
      <c r="C10" s="14" t="s">
        <v>46</v>
      </c>
      <c r="D10" s="15" t="s">
        <v>1110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46228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1111</v>
      </c>
      <c r="B11" s="14" t="s">
        <v>169</v>
      </c>
      <c r="C11" s="14" t="s">
        <v>46</v>
      </c>
      <c r="D11" s="15" t="s">
        <v>1112</v>
      </c>
      <c r="E11" s="14" t="s">
        <v>161</v>
      </c>
      <c r="F11" s="14" t="s">
        <v>171</v>
      </c>
      <c r="G11" s="15" t="s">
        <v>1113</v>
      </c>
      <c r="H11" s="14" t="s">
        <v>126</v>
      </c>
      <c r="I11" s="14" t="s">
        <v>141</v>
      </c>
      <c r="J11" s="16" t="n">
        <v>46228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1114</v>
      </c>
      <c r="B12" s="14" t="s">
        <v>174</v>
      </c>
      <c r="C12" s="14" t="s">
        <v>46</v>
      </c>
      <c r="D12" s="15" t="s">
        <v>1115</v>
      </c>
      <c r="E12" s="14" t="s">
        <v>161</v>
      </c>
      <c r="F12" s="14" t="s">
        <v>176</v>
      </c>
      <c r="G12" s="15" t="s">
        <v>1116</v>
      </c>
      <c r="H12" s="14" t="s">
        <v>126</v>
      </c>
      <c r="I12" s="14" t="s">
        <v>141</v>
      </c>
      <c r="J12" s="16" t="n">
        <v>46228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1117</v>
      </c>
      <c r="B13" s="14" t="s">
        <v>179</v>
      </c>
      <c r="C13" s="14" t="s">
        <v>46</v>
      </c>
      <c r="D13" s="15" t="s">
        <v>1118</v>
      </c>
      <c r="E13" s="14" t="s">
        <v>161</v>
      </c>
      <c r="F13" s="14" t="s">
        <v>181</v>
      </c>
      <c r="G13" s="15" t="s">
        <v>1119</v>
      </c>
      <c r="H13" s="14" t="s">
        <v>126</v>
      </c>
      <c r="I13" s="14" t="s">
        <v>141</v>
      </c>
      <c r="J13" s="16" t="n">
        <v>46228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1120</v>
      </c>
      <c r="B14" s="14" t="s">
        <v>184</v>
      </c>
      <c r="C14" s="14" t="s">
        <v>46</v>
      </c>
      <c r="D14" s="15" t="s">
        <v>1121</v>
      </c>
      <c r="E14" s="14" t="s">
        <v>161</v>
      </c>
      <c r="F14" s="14" t="s">
        <v>186</v>
      </c>
      <c r="G14" s="15" t="s">
        <v>1122</v>
      </c>
      <c r="H14" s="14" t="s">
        <v>126</v>
      </c>
      <c r="I14" s="14" t="s">
        <v>141</v>
      </c>
      <c r="J14" s="16" t="n">
        <v>46228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1123</v>
      </c>
      <c r="B15" s="14" t="s">
        <v>189</v>
      </c>
      <c r="C15" s="14" t="s">
        <v>46</v>
      </c>
      <c r="D15" s="15" t="s">
        <v>1124</v>
      </c>
      <c r="E15" s="14" t="s">
        <v>161</v>
      </c>
      <c r="F15" s="14" t="s">
        <v>191</v>
      </c>
      <c r="G15" s="15" t="s">
        <v>1122</v>
      </c>
      <c r="H15" s="14" t="s">
        <v>126</v>
      </c>
      <c r="I15" s="14" t="s">
        <v>141</v>
      </c>
      <c r="J15" s="16" t="n">
        <v>46228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1125</v>
      </c>
      <c r="B16" s="14" t="s">
        <v>194</v>
      </c>
      <c r="C16" s="14" t="s">
        <v>46</v>
      </c>
      <c r="D16" s="15" t="s">
        <v>1126</v>
      </c>
      <c r="E16" s="14" t="s">
        <v>161</v>
      </c>
      <c r="F16" s="14" t="s">
        <v>196</v>
      </c>
      <c r="G16" s="15" t="s">
        <v>1127</v>
      </c>
      <c r="H16" s="14" t="s">
        <v>124</v>
      </c>
      <c r="I16" s="14" t="s">
        <v>140</v>
      </c>
      <c r="J16" s="16" t="n">
        <v>46228</v>
      </c>
      <c r="K16" s="15" t="s">
        <v>1128</v>
      </c>
      <c r="L16" s="14" t="n">
        <v>1</v>
      </c>
      <c r="M16" s="14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4" t="s">
        <v>1129</v>
      </c>
      <c r="B17" s="14" t="s">
        <v>200</v>
      </c>
      <c r="C17" s="14" t="s">
        <v>46</v>
      </c>
      <c r="D17" s="15" t="s">
        <v>1130</v>
      </c>
      <c r="E17" s="14" t="s">
        <v>161</v>
      </c>
      <c r="F17" s="14" t="s">
        <v>202</v>
      </c>
      <c r="G17" s="15" t="s">
        <v>1131</v>
      </c>
      <c r="H17" s="14" t="s">
        <v>124</v>
      </c>
      <c r="I17" s="14" t="s">
        <v>140</v>
      </c>
      <c r="J17" s="16"/>
      <c r="K17" s="15" t="s">
        <v>1132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1133</v>
      </c>
      <c r="B18" s="14" t="s">
        <v>214</v>
      </c>
      <c r="C18" s="14" t="s">
        <v>46</v>
      </c>
      <c r="D18" s="15" t="s">
        <v>1134</v>
      </c>
      <c r="E18" s="14" t="s">
        <v>161</v>
      </c>
      <c r="F18" s="14" t="s">
        <v>202</v>
      </c>
      <c r="G18" s="15" t="s">
        <v>1131</v>
      </c>
      <c r="H18" s="14" t="s">
        <v>124</v>
      </c>
      <c r="I18" s="14" t="s">
        <v>140</v>
      </c>
      <c r="J18" s="16"/>
      <c r="K18" s="15" t="s">
        <v>1132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1135</v>
      </c>
      <c r="B19" s="14" t="s">
        <v>218</v>
      </c>
      <c r="C19" s="14" t="s">
        <v>46</v>
      </c>
      <c r="D19" s="15" t="s">
        <v>1136</v>
      </c>
      <c r="E19" s="14" t="s">
        <v>161</v>
      </c>
      <c r="F19" s="14" t="s">
        <v>220</v>
      </c>
      <c r="G19" s="15" t="s">
        <v>1137</v>
      </c>
      <c r="H19" s="14" t="s">
        <v>126</v>
      </c>
      <c r="I19" s="14" t="s">
        <v>141</v>
      </c>
      <c r="J19" s="16" t="n">
        <v>46228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1138</v>
      </c>
      <c r="B20" s="14" t="s">
        <v>223</v>
      </c>
      <c r="C20" s="14" t="s">
        <v>46</v>
      </c>
      <c r="D20" s="15" t="s">
        <v>1139</v>
      </c>
      <c r="E20" s="14" t="s">
        <v>161</v>
      </c>
      <c r="F20" s="14" t="s">
        <v>220</v>
      </c>
      <c r="G20" s="15" t="s">
        <v>1140</v>
      </c>
      <c r="H20" s="14" t="s">
        <v>126</v>
      </c>
      <c r="I20" s="14" t="s">
        <v>141</v>
      </c>
      <c r="J20" s="16" t="n">
        <v>46228</v>
      </c>
      <c r="K20" s="15" t="s">
        <v>977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1141</v>
      </c>
      <c r="B21" s="14" t="s">
        <v>227</v>
      </c>
      <c r="C21" s="14" t="s">
        <v>46</v>
      </c>
      <c r="D21" s="15" t="s">
        <v>1142</v>
      </c>
      <c r="E21" s="14" t="s">
        <v>229</v>
      </c>
      <c r="F21" s="14" t="s">
        <v>229</v>
      </c>
      <c r="G21" s="15" t="s">
        <v>230</v>
      </c>
      <c r="H21" s="14" t="s">
        <v>126</v>
      </c>
      <c r="I21" s="14" t="s">
        <v>141</v>
      </c>
      <c r="J21" s="16" t="n">
        <v>46228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1143</v>
      </c>
      <c r="B22" s="14" t="s">
        <v>649</v>
      </c>
      <c r="C22" s="14" t="s">
        <v>46</v>
      </c>
      <c r="D22" s="15" t="s">
        <v>1144</v>
      </c>
      <c r="E22" s="14" t="s">
        <v>161</v>
      </c>
      <c r="F22" s="14" t="s">
        <v>161</v>
      </c>
      <c r="G22" s="15" t="s">
        <v>1145</v>
      </c>
      <c r="H22" s="14" t="s">
        <v>126</v>
      </c>
      <c r="I22" s="14" t="s">
        <v>141</v>
      </c>
      <c r="J22" s="16" t="n">
        <v>46228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1146</v>
      </c>
      <c r="B23" s="14" t="s">
        <v>232</v>
      </c>
      <c r="C23" s="14" t="s">
        <v>46</v>
      </c>
      <c r="D23" s="15" t="s">
        <v>1101</v>
      </c>
      <c r="E23" s="14" t="s">
        <v>161</v>
      </c>
      <c r="F23" s="14" t="s">
        <v>161</v>
      </c>
      <c r="G23" s="15" t="s">
        <v>655</v>
      </c>
      <c r="H23" s="14" t="s">
        <v>124</v>
      </c>
      <c r="I23" s="14" t="s">
        <v>140</v>
      </c>
      <c r="J23" s="16" t="n">
        <v>46228</v>
      </c>
      <c r="K23" s="15" t="s">
        <v>1147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/>
      <c r="B24" s="14"/>
      <c r="C24" s="14"/>
      <c r="D24" s="15"/>
      <c r="E24" s="14"/>
      <c r="F24" s="14"/>
      <c r="G24" s="15"/>
      <c r="H24" s="14"/>
      <c r="I24" s="14"/>
      <c r="J24" s="16"/>
      <c r="K24" s="15"/>
      <c r="L24" s="14"/>
      <c r="M24" s="14"/>
    </row>
    <row r="25" customFormat="false" ht="54" hidden="false" customHeight="true" outlineLevel="0" collapsed="false">
      <c r="A25" s="14"/>
      <c r="B25" s="14"/>
      <c r="C25" s="14"/>
      <c r="D25" s="15"/>
      <c r="E25" s="14"/>
      <c r="F25" s="14"/>
      <c r="G25" s="15"/>
      <c r="H25" s="14"/>
      <c r="I25" s="14"/>
      <c r="J25" s="16"/>
      <c r="K25" s="15"/>
      <c r="L25" s="14"/>
      <c r="M25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17" t="s">
        <v>1148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customFormat="false" ht="27.75" hidden="false" customHeight="true" outlineLevel="0" collapsed="false">
      <c r="A2" s="18" t="s">
        <v>1149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4" customFormat="false" ht="17.25" hidden="false" customHeight="true" outlineLevel="0" collapsed="false">
      <c r="A4" s="19" t="s">
        <v>7</v>
      </c>
      <c r="B4" s="20" t="n">
        <f aca="false">COUNTA(A9:A28)</f>
        <v>20</v>
      </c>
      <c r="C4" s="21"/>
      <c r="D4" s="19" t="s">
        <v>144</v>
      </c>
      <c r="E4" s="20" t="n">
        <f aca="false">SUM(M9:M28)</f>
        <v>15</v>
      </c>
      <c r="F4" s="21"/>
      <c r="G4" s="19" t="s">
        <v>14</v>
      </c>
      <c r="H4" s="22" t="n">
        <f aca="false">IF(B4=0,0,E4/B4)</f>
        <v>0.75</v>
      </c>
      <c r="I4" s="21"/>
      <c r="J4" s="19" t="s">
        <v>15</v>
      </c>
      <c r="K4" s="20" t="str">
        <f aca="false">IF(COUNTIFS(E9:E28,"package",M9:M28,0)&gt;0,"open","complete")</f>
        <v>open</v>
      </c>
      <c r="L4" s="21"/>
      <c r="M4" s="21"/>
    </row>
    <row r="5" customFormat="false" ht="17.25" hidden="false" customHeight="true" outlineLevel="0" collapsed="false">
      <c r="A5" s="19" t="s">
        <v>145</v>
      </c>
      <c r="B5" s="20" t="str">
        <f aca="false">IF(COUNTIFS(I9:I28,"yes",M9:M28,0)&gt;0,"open","complete")</f>
        <v>open</v>
      </c>
      <c r="C5" s="21"/>
      <c r="D5" s="19" t="s">
        <v>16</v>
      </c>
      <c r="E5" s="20" t="str">
        <f aca="false">IF(COUNTIFS(E9:E28,"consumer",M9:M28,0)&gt;0,"open","complete")</f>
        <v>complete</v>
      </c>
      <c r="F5" s="21"/>
      <c r="G5" s="21"/>
      <c r="H5" s="21"/>
      <c r="I5" s="21"/>
      <c r="J5" s="21"/>
      <c r="K5" s="21"/>
      <c r="L5" s="21"/>
      <c r="M5" s="21"/>
    </row>
    <row r="8" customFormat="false" ht="15" hidden="false" customHeight="true" outlineLevel="0" collapsed="false">
      <c r="A8" s="23" t="s">
        <v>146</v>
      </c>
      <c r="B8" s="23" t="s">
        <v>147</v>
      </c>
      <c r="C8" s="23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104</v>
      </c>
      <c r="I8" s="23" t="s">
        <v>153</v>
      </c>
      <c r="J8" s="24" t="s">
        <v>154</v>
      </c>
      <c r="K8" s="23" t="s">
        <v>155</v>
      </c>
      <c r="L8" s="23" t="s">
        <v>156</v>
      </c>
      <c r="M8" s="23" t="s">
        <v>144</v>
      </c>
    </row>
    <row r="9" customFormat="false" ht="54" hidden="false" customHeight="true" outlineLevel="0" collapsed="false">
      <c r="A9" s="25" t="s">
        <v>1150</v>
      </c>
      <c r="B9" s="25" t="s">
        <v>158</v>
      </c>
      <c r="C9" s="25" t="s">
        <v>1151</v>
      </c>
      <c r="D9" s="25" t="s">
        <v>1152</v>
      </c>
      <c r="E9" s="25" t="s">
        <v>161</v>
      </c>
      <c r="F9" s="25" t="s">
        <v>162</v>
      </c>
      <c r="G9" s="25" t="s">
        <v>1153</v>
      </c>
      <c r="H9" s="26" t="s">
        <v>126</v>
      </c>
      <c r="I9" s="25" t="s">
        <v>141</v>
      </c>
      <c r="J9" s="27" t="n">
        <v>46264</v>
      </c>
      <c r="K9" s="25"/>
      <c r="L9" s="28" t="n">
        <v>1</v>
      </c>
      <c r="M9" s="28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5" t="s">
        <v>1154</v>
      </c>
      <c r="B10" s="25" t="s">
        <v>209</v>
      </c>
      <c r="C10" s="25" t="s">
        <v>1155</v>
      </c>
      <c r="D10" s="25" t="s">
        <v>1156</v>
      </c>
      <c r="E10" s="25" t="s">
        <v>161</v>
      </c>
      <c r="F10" s="25" t="s">
        <v>181</v>
      </c>
      <c r="G10" s="25" t="s">
        <v>1157</v>
      </c>
      <c r="H10" s="26" t="s">
        <v>126</v>
      </c>
      <c r="I10" s="25" t="s">
        <v>141</v>
      </c>
      <c r="J10" s="27" t="n">
        <v>46264</v>
      </c>
      <c r="K10" s="25"/>
      <c r="L10" s="28" t="n">
        <v>1</v>
      </c>
      <c r="M10" s="28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5" t="s">
        <v>1158</v>
      </c>
      <c r="B11" s="25" t="s">
        <v>1159</v>
      </c>
      <c r="C11" s="25" t="s">
        <v>1160</v>
      </c>
      <c r="D11" s="25" t="s">
        <v>1161</v>
      </c>
      <c r="E11" s="25" t="s">
        <v>161</v>
      </c>
      <c r="F11" s="25" t="s">
        <v>181</v>
      </c>
      <c r="G11" s="25" t="s">
        <v>1157</v>
      </c>
      <c r="H11" s="26" t="s">
        <v>126</v>
      </c>
      <c r="I11" s="25" t="s">
        <v>141</v>
      </c>
      <c r="J11" s="27" t="n">
        <v>46264</v>
      </c>
      <c r="K11" s="25"/>
      <c r="L11" s="28" t="n">
        <v>1</v>
      </c>
      <c r="M11" s="28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5" t="s">
        <v>1162</v>
      </c>
      <c r="B12" s="25" t="s">
        <v>1163</v>
      </c>
      <c r="C12" s="25" t="s">
        <v>1164</v>
      </c>
      <c r="D12" s="25" t="s">
        <v>1165</v>
      </c>
      <c r="E12" s="25" t="s">
        <v>161</v>
      </c>
      <c r="F12" s="25" t="s">
        <v>181</v>
      </c>
      <c r="G12" s="25" t="s">
        <v>1157</v>
      </c>
      <c r="H12" s="26" t="s">
        <v>126</v>
      </c>
      <c r="I12" s="25" t="s">
        <v>141</v>
      </c>
      <c r="J12" s="27" t="n">
        <v>46264</v>
      </c>
      <c r="K12" s="25"/>
      <c r="L12" s="28" t="n">
        <v>1</v>
      </c>
      <c r="M12" s="28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5" t="s">
        <v>1166</v>
      </c>
      <c r="B13" s="25" t="s">
        <v>1167</v>
      </c>
      <c r="C13" s="25" t="s">
        <v>1168</v>
      </c>
      <c r="D13" s="25" t="s">
        <v>1169</v>
      </c>
      <c r="E13" s="25" t="s">
        <v>161</v>
      </c>
      <c r="F13" s="25" t="s">
        <v>186</v>
      </c>
      <c r="G13" s="25" t="s">
        <v>1170</v>
      </c>
      <c r="H13" s="26" t="s">
        <v>126</v>
      </c>
      <c r="I13" s="25" t="s">
        <v>141</v>
      </c>
      <c r="J13" s="27" t="n">
        <v>46264</v>
      </c>
      <c r="K13" s="25"/>
      <c r="L13" s="28" t="n">
        <v>1</v>
      </c>
      <c r="M13" s="28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5" t="s">
        <v>1171</v>
      </c>
      <c r="B14" s="25" t="s">
        <v>1172</v>
      </c>
      <c r="C14" s="25" t="s">
        <v>1173</v>
      </c>
      <c r="D14" s="25" t="s">
        <v>1174</v>
      </c>
      <c r="E14" s="25" t="s">
        <v>161</v>
      </c>
      <c r="F14" s="25" t="s">
        <v>181</v>
      </c>
      <c r="G14" s="25" t="s">
        <v>1157</v>
      </c>
      <c r="H14" s="26" t="s">
        <v>126</v>
      </c>
      <c r="I14" s="25" t="s">
        <v>141</v>
      </c>
      <c r="J14" s="27" t="n">
        <v>46264</v>
      </c>
      <c r="K14" s="25"/>
      <c r="L14" s="28" t="n">
        <v>1</v>
      </c>
      <c r="M14" s="28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5" t="s">
        <v>1175</v>
      </c>
      <c r="B15" s="25" t="s">
        <v>165</v>
      </c>
      <c r="C15" s="25" t="s">
        <v>47</v>
      </c>
      <c r="D15" s="25" t="s">
        <v>1176</v>
      </c>
      <c r="E15" s="25" t="s">
        <v>161</v>
      </c>
      <c r="F15" s="25" t="s">
        <v>161</v>
      </c>
      <c r="G15" s="25" t="s">
        <v>609</v>
      </c>
      <c r="H15" s="26" t="s">
        <v>126</v>
      </c>
      <c r="I15" s="25" t="s">
        <v>141</v>
      </c>
      <c r="J15" s="27" t="n">
        <v>46264</v>
      </c>
      <c r="K15" s="25"/>
      <c r="L15" s="28" t="n">
        <v>1</v>
      </c>
      <c r="M15" s="28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5" t="s">
        <v>1177</v>
      </c>
      <c r="B16" s="25" t="s">
        <v>169</v>
      </c>
      <c r="C16" s="25" t="s">
        <v>47</v>
      </c>
      <c r="D16" s="25" t="s">
        <v>1178</v>
      </c>
      <c r="E16" s="25" t="s">
        <v>161</v>
      </c>
      <c r="F16" s="25" t="s">
        <v>171</v>
      </c>
      <c r="G16" s="25" t="s">
        <v>1179</v>
      </c>
      <c r="H16" s="26" t="s">
        <v>126</v>
      </c>
      <c r="I16" s="25" t="s">
        <v>141</v>
      </c>
      <c r="J16" s="27" t="n">
        <v>46264</v>
      </c>
      <c r="K16" s="25"/>
      <c r="L16" s="28" t="n">
        <v>1</v>
      </c>
      <c r="M16" s="28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5" t="s">
        <v>1180</v>
      </c>
      <c r="B17" s="25" t="s">
        <v>174</v>
      </c>
      <c r="C17" s="25" t="s">
        <v>47</v>
      </c>
      <c r="D17" s="25" t="s">
        <v>1181</v>
      </c>
      <c r="E17" s="25" t="s">
        <v>161</v>
      </c>
      <c r="F17" s="25" t="s">
        <v>176</v>
      </c>
      <c r="G17" s="25" t="s">
        <v>1182</v>
      </c>
      <c r="H17" s="26" t="s">
        <v>126</v>
      </c>
      <c r="I17" s="25" t="s">
        <v>141</v>
      </c>
      <c r="J17" s="27" t="n">
        <v>46264</v>
      </c>
      <c r="K17" s="25"/>
      <c r="L17" s="28" t="n">
        <v>1</v>
      </c>
      <c r="M17" s="28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25" t="s">
        <v>1183</v>
      </c>
      <c r="B18" s="25" t="s">
        <v>179</v>
      </c>
      <c r="C18" s="25" t="s">
        <v>47</v>
      </c>
      <c r="D18" s="25" t="s">
        <v>1184</v>
      </c>
      <c r="E18" s="25" t="s">
        <v>161</v>
      </c>
      <c r="F18" s="25" t="s">
        <v>181</v>
      </c>
      <c r="G18" s="25" t="s">
        <v>1157</v>
      </c>
      <c r="H18" s="26" t="s">
        <v>126</v>
      </c>
      <c r="I18" s="25" t="s">
        <v>141</v>
      </c>
      <c r="J18" s="27" t="n">
        <v>46264</v>
      </c>
      <c r="K18" s="25"/>
      <c r="L18" s="28" t="n">
        <v>1</v>
      </c>
      <c r="M18" s="28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25" t="s">
        <v>1185</v>
      </c>
      <c r="B19" s="25" t="s">
        <v>184</v>
      </c>
      <c r="C19" s="25" t="s">
        <v>47</v>
      </c>
      <c r="D19" s="25" t="s">
        <v>1186</v>
      </c>
      <c r="E19" s="25" t="s">
        <v>161</v>
      </c>
      <c r="F19" s="25" t="s">
        <v>186</v>
      </c>
      <c r="G19" s="25" t="s">
        <v>1170</v>
      </c>
      <c r="H19" s="26" t="s">
        <v>126</v>
      </c>
      <c r="I19" s="25" t="s">
        <v>141</v>
      </c>
      <c r="J19" s="27" t="n">
        <v>46264</v>
      </c>
      <c r="K19" s="25"/>
      <c r="L19" s="28" t="n">
        <v>1</v>
      </c>
      <c r="M19" s="28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25" t="s">
        <v>1187</v>
      </c>
      <c r="B20" s="25" t="s">
        <v>189</v>
      </c>
      <c r="C20" s="25" t="s">
        <v>1188</v>
      </c>
      <c r="D20" s="25" t="s">
        <v>1189</v>
      </c>
      <c r="E20" s="25" t="s">
        <v>161</v>
      </c>
      <c r="F20" s="25" t="s">
        <v>191</v>
      </c>
      <c r="G20" s="25" t="s">
        <v>1170</v>
      </c>
      <c r="H20" s="26" t="s">
        <v>126</v>
      </c>
      <c r="I20" s="25" t="s">
        <v>141</v>
      </c>
      <c r="J20" s="27" t="n">
        <v>46264</v>
      </c>
      <c r="K20" s="25"/>
      <c r="L20" s="28" t="n">
        <v>1</v>
      </c>
      <c r="M20" s="28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5" t="s">
        <v>1190</v>
      </c>
      <c r="B21" s="25" t="s">
        <v>194</v>
      </c>
      <c r="C21" s="25" t="s">
        <v>47</v>
      </c>
      <c r="D21" s="25" t="s">
        <v>1191</v>
      </c>
      <c r="E21" s="25" t="s">
        <v>161</v>
      </c>
      <c r="F21" s="25" t="s">
        <v>196</v>
      </c>
      <c r="G21" s="25" t="s">
        <v>1192</v>
      </c>
      <c r="H21" s="29" t="s">
        <v>124</v>
      </c>
      <c r="I21" s="25" t="s">
        <v>140</v>
      </c>
      <c r="J21" s="27" t="n">
        <v>46264</v>
      </c>
      <c r="K21" s="25" t="s">
        <v>1193</v>
      </c>
      <c r="L21" s="28" t="n">
        <v>1</v>
      </c>
      <c r="M21" s="28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5" t="s">
        <v>1194</v>
      </c>
      <c r="B22" s="25" t="s">
        <v>200</v>
      </c>
      <c r="C22" s="25" t="s">
        <v>47</v>
      </c>
      <c r="D22" s="25" t="s">
        <v>1195</v>
      </c>
      <c r="E22" s="25" t="s">
        <v>161</v>
      </c>
      <c r="F22" s="25" t="s">
        <v>202</v>
      </c>
      <c r="G22" s="25" t="s">
        <v>1196</v>
      </c>
      <c r="H22" s="29" t="s">
        <v>124</v>
      </c>
      <c r="I22" s="25" t="s">
        <v>140</v>
      </c>
      <c r="J22" s="27"/>
      <c r="K22" s="25" t="s">
        <v>1197</v>
      </c>
      <c r="L22" s="28" t="n">
        <v>1</v>
      </c>
      <c r="M22" s="28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25" t="s">
        <v>1198</v>
      </c>
      <c r="B23" s="25" t="s">
        <v>206</v>
      </c>
      <c r="C23" s="25" t="s">
        <v>47</v>
      </c>
      <c r="D23" s="25" t="s">
        <v>1199</v>
      </c>
      <c r="E23" s="25" t="s">
        <v>161</v>
      </c>
      <c r="F23" s="25" t="s">
        <v>202</v>
      </c>
      <c r="G23" s="25" t="s">
        <v>1200</v>
      </c>
      <c r="H23" s="29" t="s">
        <v>124</v>
      </c>
      <c r="I23" s="25" t="s">
        <v>140</v>
      </c>
      <c r="J23" s="27"/>
      <c r="K23" s="25" t="s">
        <v>1201</v>
      </c>
      <c r="L23" s="28" t="n">
        <v>1</v>
      </c>
      <c r="M23" s="28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25" t="s">
        <v>1202</v>
      </c>
      <c r="B24" s="25" t="s">
        <v>214</v>
      </c>
      <c r="C24" s="25" t="s">
        <v>47</v>
      </c>
      <c r="D24" s="25" t="s">
        <v>1203</v>
      </c>
      <c r="E24" s="25" t="s">
        <v>161</v>
      </c>
      <c r="F24" s="25" t="s">
        <v>202</v>
      </c>
      <c r="G24" s="25" t="s">
        <v>1196</v>
      </c>
      <c r="H24" s="29" t="s">
        <v>124</v>
      </c>
      <c r="I24" s="25" t="s">
        <v>140</v>
      </c>
      <c r="J24" s="27"/>
      <c r="K24" s="25" t="s">
        <v>1204</v>
      </c>
      <c r="L24" s="28" t="n">
        <v>1</v>
      </c>
      <c r="M24" s="28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25" t="s">
        <v>1205</v>
      </c>
      <c r="B25" s="25" t="s">
        <v>218</v>
      </c>
      <c r="C25" s="25" t="s">
        <v>47</v>
      </c>
      <c r="D25" s="25" t="s">
        <v>1206</v>
      </c>
      <c r="E25" s="25" t="s">
        <v>161</v>
      </c>
      <c r="F25" s="25" t="s">
        <v>220</v>
      </c>
      <c r="G25" s="25" t="s">
        <v>1207</v>
      </c>
      <c r="H25" s="26" t="s">
        <v>126</v>
      </c>
      <c r="I25" s="25" t="s">
        <v>141</v>
      </c>
      <c r="J25" s="27" t="n">
        <v>46264</v>
      </c>
      <c r="K25" s="25"/>
      <c r="L25" s="28" t="n">
        <v>1</v>
      </c>
      <c r="M25" s="28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25" t="s">
        <v>1208</v>
      </c>
      <c r="B26" s="25" t="s">
        <v>223</v>
      </c>
      <c r="C26" s="25" t="s">
        <v>47</v>
      </c>
      <c r="D26" s="25" t="s">
        <v>1209</v>
      </c>
      <c r="E26" s="25" t="s">
        <v>161</v>
      </c>
      <c r="F26" s="25" t="s">
        <v>220</v>
      </c>
      <c r="G26" s="25" t="s">
        <v>1210</v>
      </c>
      <c r="H26" s="26" t="s">
        <v>126</v>
      </c>
      <c r="I26" s="25" t="s">
        <v>141</v>
      </c>
      <c r="J26" s="27" t="n">
        <v>46264</v>
      </c>
      <c r="K26" s="25"/>
      <c r="L26" s="28" t="n">
        <v>1</v>
      </c>
      <c r="M26" s="28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25" t="s">
        <v>1211</v>
      </c>
      <c r="B27" s="25" t="s">
        <v>227</v>
      </c>
      <c r="C27" s="25" t="s">
        <v>47</v>
      </c>
      <c r="D27" s="25" t="s">
        <v>1212</v>
      </c>
      <c r="E27" s="25" t="s">
        <v>229</v>
      </c>
      <c r="F27" s="25" t="s">
        <v>229</v>
      </c>
      <c r="G27" s="25" t="s">
        <v>230</v>
      </c>
      <c r="H27" s="26" t="s">
        <v>126</v>
      </c>
      <c r="I27" s="25" t="s">
        <v>141</v>
      </c>
      <c r="J27" s="27" t="n">
        <v>46264</v>
      </c>
      <c r="K27" s="25"/>
      <c r="L27" s="28" t="n">
        <v>1</v>
      </c>
      <c r="M27" s="28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25" t="s">
        <v>1213</v>
      </c>
      <c r="B28" s="25" t="s">
        <v>232</v>
      </c>
      <c r="C28" s="25" t="s">
        <v>47</v>
      </c>
      <c r="D28" s="25" t="s">
        <v>1214</v>
      </c>
      <c r="E28" s="25" t="s">
        <v>161</v>
      </c>
      <c r="F28" s="25" t="s">
        <v>161</v>
      </c>
      <c r="G28" s="25" t="s">
        <v>601</v>
      </c>
      <c r="H28" s="29" t="s">
        <v>124</v>
      </c>
      <c r="I28" s="25" t="s">
        <v>140</v>
      </c>
      <c r="J28" s="27" t="n">
        <v>46264</v>
      </c>
      <c r="K28" s="25" t="s">
        <v>1215</v>
      </c>
      <c r="L28" s="28" t="n">
        <v>1</v>
      </c>
      <c r="M28" s="28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_Lists!$A$1:$A$7</formula1>
      <formula2>0</formula2>
    </dataValidation>
    <dataValidation allowBlank="false" errorStyle="stop" operator="between" showDropDown="false" showErrorMessage="false" showInputMessage="false" sqref="I9:I28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144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1218</v>
      </c>
      <c r="B9" s="14" t="s">
        <v>158</v>
      </c>
      <c r="C9" s="14" t="s">
        <v>1151</v>
      </c>
      <c r="D9" s="15" t="s">
        <v>1219</v>
      </c>
      <c r="E9" s="14" t="s">
        <v>161</v>
      </c>
      <c r="F9" s="14" t="s">
        <v>162</v>
      </c>
      <c r="G9" s="15" t="s">
        <v>1153</v>
      </c>
      <c r="H9" s="14" t="s">
        <v>126</v>
      </c>
      <c r="I9" s="14" t="s">
        <v>141</v>
      </c>
      <c r="J9" s="16" t="s">
        <v>161</v>
      </c>
      <c r="K9" s="15" t="s">
        <v>1220</v>
      </c>
      <c r="L9" s="14"/>
      <c r="M9" s="14" t="n">
        <f aca="false">IF(OR(H9="not started",H9="partial"),0,1)</f>
        <v>1</v>
      </c>
    </row>
    <row r="10" customFormat="false" ht="54" hidden="false" customHeight="true" outlineLevel="0" collapsed="false">
      <c r="A10" s="14" t="s">
        <v>1221</v>
      </c>
      <c r="B10" s="14" t="s">
        <v>1222</v>
      </c>
      <c r="C10" s="14" t="s">
        <v>830</v>
      </c>
      <c r="D10" s="15" t="s">
        <v>1223</v>
      </c>
      <c r="E10" s="14" t="s">
        <v>161</v>
      </c>
      <c r="F10" s="14" t="s">
        <v>181</v>
      </c>
      <c r="G10" s="15" t="s">
        <v>1157</v>
      </c>
      <c r="H10" s="14" t="s">
        <v>126</v>
      </c>
      <c r="I10" s="14" t="s">
        <v>141</v>
      </c>
      <c r="J10" s="16" t="s">
        <v>161</v>
      </c>
      <c r="K10" s="15" t="s">
        <v>1220</v>
      </c>
      <c r="L10" s="14"/>
      <c r="M10" s="14" t="n">
        <f aca="false">IF(OR(H10="not started",H10="partial"),0,1)</f>
        <v>1</v>
      </c>
    </row>
    <row r="11" customFormat="false" ht="54" hidden="false" customHeight="true" outlineLevel="0" collapsed="false">
      <c r="A11" s="14" t="s">
        <v>1224</v>
      </c>
      <c r="B11" s="14" t="s">
        <v>1155</v>
      </c>
      <c r="C11" s="14" t="s">
        <v>33</v>
      </c>
      <c r="D11" s="15" t="s">
        <v>1225</v>
      </c>
      <c r="E11" s="14" t="s">
        <v>161</v>
      </c>
      <c r="F11" s="14" t="s">
        <v>181</v>
      </c>
      <c r="G11" s="15" t="s">
        <v>1157</v>
      </c>
      <c r="H11" s="14" t="s">
        <v>126</v>
      </c>
      <c r="I11" s="14" t="s">
        <v>141</v>
      </c>
      <c r="J11" s="16" t="s">
        <v>161</v>
      </c>
      <c r="K11" s="15" t="s">
        <v>1220</v>
      </c>
      <c r="L11" s="14"/>
      <c r="M11" s="14" t="n">
        <f aca="false">IF(OR(H11="not started",H11="partial"),0,1)</f>
        <v>1</v>
      </c>
    </row>
    <row r="12" customFormat="false" ht="54" hidden="false" customHeight="true" outlineLevel="0" collapsed="false">
      <c r="A12" s="14" t="s">
        <v>1226</v>
      </c>
      <c r="B12" s="14" t="s">
        <v>1227</v>
      </c>
      <c r="C12" s="14" t="s">
        <v>1228</v>
      </c>
      <c r="D12" s="15" t="s">
        <v>1229</v>
      </c>
      <c r="E12" s="14" t="s">
        <v>161</v>
      </c>
      <c r="F12" s="14" t="s">
        <v>161</v>
      </c>
      <c r="G12" s="15" t="s">
        <v>609</v>
      </c>
      <c r="H12" s="14" t="s">
        <v>126</v>
      </c>
      <c r="I12" s="14" t="s">
        <v>141</v>
      </c>
      <c r="J12" s="16" t="s">
        <v>161</v>
      </c>
      <c r="K12" s="15" t="s">
        <v>1220</v>
      </c>
      <c r="L12" s="14"/>
      <c r="M12" s="14" t="n">
        <f aca="false">IF(OR(H12="not started",H12="partial"),0,1)</f>
        <v>1</v>
      </c>
    </row>
    <row r="13" customFormat="false" ht="54" hidden="false" customHeight="true" outlineLevel="0" collapsed="false">
      <c r="A13" s="14" t="s">
        <v>1230</v>
      </c>
      <c r="B13" s="14" t="s">
        <v>165</v>
      </c>
      <c r="C13" s="14" t="s">
        <v>48</v>
      </c>
      <c r="D13" s="15" t="s">
        <v>1231</v>
      </c>
      <c r="E13" s="14" t="s">
        <v>161</v>
      </c>
      <c r="F13" s="14" t="s">
        <v>171</v>
      </c>
      <c r="G13" s="15" t="s">
        <v>1179</v>
      </c>
      <c r="H13" s="14" t="s">
        <v>126</v>
      </c>
      <c r="I13" s="14" t="s">
        <v>141</v>
      </c>
      <c r="J13" s="16" t="s">
        <v>161</v>
      </c>
      <c r="K13" s="15" t="s">
        <v>1220</v>
      </c>
      <c r="L13" s="14"/>
      <c r="M13" s="14" t="n">
        <f aca="false">IF(OR(H13="not started",H13="partial"),0,1)</f>
        <v>1</v>
      </c>
    </row>
    <row r="14" customFormat="false" ht="54" hidden="false" customHeight="true" outlineLevel="0" collapsed="false">
      <c r="A14" s="14" t="s">
        <v>1232</v>
      </c>
      <c r="B14" s="14" t="s">
        <v>169</v>
      </c>
      <c r="C14" s="14" t="s">
        <v>48</v>
      </c>
      <c r="D14" s="15" t="s">
        <v>1233</v>
      </c>
      <c r="E14" s="14" t="s">
        <v>161</v>
      </c>
      <c r="F14" s="14" t="s">
        <v>176</v>
      </c>
      <c r="G14" s="15" t="s">
        <v>1182</v>
      </c>
      <c r="H14" s="14" t="s">
        <v>126</v>
      </c>
      <c r="I14" s="14" t="s">
        <v>141</v>
      </c>
      <c r="J14" s="16" t="s">
        <v>161</v>
      </c>
      <c r="K14" s="15" t="s">
        <v>1220</v>
      </c>
      <c r="L14" s="14"/>
      <c r="M14" s="14" t="n">
        <f aca="false">IF(OR(H14="not started",H14="partial"),0,1)</f>
        <v>1</v>
      </c>
    </row>
    <row r="15" customFormat="false" ht="54" hidden="false" customHeight="true" outlineLevel="0" collapsed="false">
      <c r="A15" s="14" t="s">
        <v>1234</v>
      </c>
      <c r="B15" s="14" t="s">
        <v>174</v>
      </c>
      <c r="C15" s="14" t="s">
        <v>48</v>
      </c>
      <c r="D15" s="15" t="s">
        <v>1235</v>
      </c>
      <c r="E15" s="14" t="s">
        <v>161</v>
      </c>
      <c r="F15" s="14" t="s">
        <v>186</v>
      </c>
      <c r="G15" s="15" t="s">
        <v>1170</v>
      </c>
      <c r="H15" s="14" t="s">
        <v>126</v>
      </c>
      <c r="I15" s="14" t="s">
        <v>141</v>
      </c>
      <c r="J15" s="16" t="s">
        <v>161</v>
      </c>
      <c r="K15" s="15" t="s">
        <v>1220</v>
      </c>
      <c r="L15" s="14"/>
      <c r="M15" s="14" t="n">
        <f aca="false">IF(OR(H15="not started",H15="partial"),0,1)</f>
        <v>1</v>
      </c>
    </row>
    <row r="16" customFormat="false" ht="54" hidden="false" customHeight="true" outlineLevel="0" collapsed="false">
      <c r="A16" s="14" t="s">
        <v>1236</v>
      </c>
      <c r="B16" s="14" t="s">
        <v>184</v>
      </c>
      <c r="C16" s="14" t="s">
        <v>48</v>
      </c>
      <c r="D16" s="15" t="s">
        <v>1237</v>
      </c>
      <c r="E16" s="14" t="s">
        <v>161</v>
      </c>
      <c r="F16" s="14" t="s">
        <v>191</v>
      </c>
      <c r="G16" s="15" t="s">
        <v>1170</v>
      </c>
      <c r="H16" s="14" t="s">
        <v>126</v>
      </c>
      <c r="I16" s="14" t="s">
        <v>141</v>
      </c>
      <c r="J16" s="16" t="s">
        <v>161</v>
      </c>
      <c r="K16" s="15" t="s">
        <v>1220</v>
      </c>
      <c r="L16" s="14"/>
      <c r="M16" s="14" t="n">
        <f aca="false">IF(OR(H16="not started",H16="partial"),0,1)</f>
        <v>1</v>
      </c>
    </row>
    <row r="17" customFormat="false" ht="54" hidden="false" customHeight="true" outlineLevel="0" collapsed="false">
      <c r="A17" s="14" t="s">
        <v>1238</v>
      </c>
      <c r="B17" s="14" t="s">
        <v>189</v>
      </c>
      <c r="C17" s="14" t="s">
        <v>1239</v>
      </c>
      <c r="D17" s="15" t="s">
        <v>1240</v>
      </c>
      <c r="E17" s="14" t="s">
        <v>161</v>
      </c>
      <c r="F17" s="14" t="s">
        <v>196</v>
      </c>
      <c r="G17" s="15" t="s">
        <v>1192</v>
      </c>
      <c r="H17" s="14" t="s">
        <v>126</v>
      </c>
      <c r="I17" s="14" t="s">
        <v>140</v>
      </c>
      <c r="J17" s="16" t="s">
        <v>161</v>
      </c>
      <c r="K17" s="15" t="s">
        <v>1220</v>
      </c>
      <c r="L17" s="14"/>
      <c r="M17" s="14" t="n">
        <f aca="false">IF(OR(H17="not started",H17="partial"),0,1)</f>
        <v>1</v>
      </c>
    </row>
    <row r="18" customFormat="false" ht="54" hidden="false" customHeight="true" outlineLevel="0" collapsed="false">
      <c r="A18" s="14" t="s">
        <v>1241</v>
      </c>
      <c r="B18" s="14" t="s">
        <v>194</v>
      </c>
      <c r="C18" s="14" t="s">
        <v>48</v>
      </c>
      <c r="D18" s="15" t="s">
        <v>1242</v>
      </c>
      <c r="E18" s="14" t="s">
        <v>161</v>
      </c>
      <c r="F18" s="14" t="s">
        <v>202</v>
      </c>
      <c r="G18" s="15" t="s">
        <v>1196</v>
      </c>
      <c r="H18" s="14" t="s">
        <v>126</v>
      </c>
      <c r="I18" s="14" t="s">
        <v>140</v>
      </c>
      <c r="J18" s="16" t="s">
        <v>161</v>
      </c>
      <c r="K18" s="15" t="s">
        <v>1220</v>
      </c>
      <c r="L18" s="14"/>
      <c r="M18" s="14" t="n">
        <f aca="false">IF(OR(H18="not started",H18="partial"),0,1)</f>
        <v>1</v>
      </c>
    </row>
    <row r="19" customFormat="false" ht="54" hidden="false" customHeight="true" outlineLevel="0" collapsed="false">
      <c r="A19" s="14" t="s">
        <v>1243</v>
      </c>
      <c r="B19" s="14" t="s">
        <v>214</v>
      </c>
      <c r="C19" s="14" t="s">
        <v>48</v>
      </c>
      <c r="D19" s="15" t="s">
        <v>1244</v>
      </c>
      <c r="E19" s="14" t="s">
        <v>161</v>
      </c>
      <c r="F19" s="14" t="s">
        <v>202</v>
      </c>
      <c r="G19" s="15" t="s">
        <v>1196</v>
      </c>
      <c r="H19" s="14" t="s">
        <v>126</v>
      </c>
      <c r="I19" s="14" t="s">
        <v>140</v>
      </c>
      <c r="J19" s="16" t="s">
        <v>161</v>
      </c>
      <c r="K19" s="15" t="s">
        <v>1245</v>
      </c>
      <c r="L19" s="14"/>
      <c r="M19" s="14" t="n">
        <f aca="false">IF(OR(H19="not started",H19="partial"),0,1)</f>
        <v>1</v>
      </c>
    </row>
    <row r="20" customFormat="false" ht="54" hidden="false" customHeight="true" outlineLevel="0" collapsed="false">
      <c r="A20" s="14" t="s">
        <v>1246</v>
      </c>
      <c r="B20" s="14" t="s">
        <v>218</v>
      </c>
      <c r="C20" s="14" t="s">
        <v>48</v>
      </c>
      <c r="D20" s="15" t="s">
        <v>1247</v>
      </c>
      <c r="E20" s="14" t="s">
        <v>161</v>
      </c>
      <c r="F20" s="14" t="s">
        <v>220</v>
      </c>
      <c r="G20" s="15" t="s">
        <v>1207</v>
      </c>
      <c r="H20" s="14" t="s">
        <v>126</v>
      </c>
      <c r="I20" s="14" t="s">
        <v>141</v>
      </c>
      <c r="J20" s="16" t="s">
        <v>161</v>
      </c>
      <c r="K20" s="15" t="s">
        <v>1220</v>
      </c>
      <c r="L20" s="14"/>
      <c r="M20" s="14" t="n">
        <f aca="false">IF(OR(H20="not started",H20="partial"),0,1)</f>
        <v>1</v>
      </c>
    </row>
    <row r="21" customFormat="false" ht="54" hidden="false" customHeight="true" outlineLevel="0" collapsed="false">
      <c r="A21" s="14" t="s">
        <v>1248</v>
      </c>
      <c r="B21" s="14" t="s">
        <v>223</v>
      </c>
      <c r="C21" s="14" t="s">
        <v>48</v>
      </c>
      <c r="D21" s="15" t="s">
        <v>1249</v>
      </c>
      <c r="E21" s="14" t="s">
        <v>161</v>
      </c>
      <c r="F21" s="14" t="s">
        <v>220</v>
      </c>
      <c r="G21" s="15" t="s">
        <v>1210</v>
      </c>
      <c r="H21" s="14" t="s">
        <v>126</v>
      </c>
      <c r="I21" s="14" t="s">
        <v>141</v>
      </c>
      <c r="J21" s="16" t="s">
        <v>161</v>
      </c>
      <c r="K21" s="15" t="s">
        <v>1220</v>
      </c>
      <c r="L21" s="14"/>
      <c r="M21" s="14" t="n">
        <f aca="false">IF(OR(H21="not started",H21="partial"),0,1)</f>
        <v>1</v>
      </c>
    </row>
    <row r="22" customFormat="false" ht="54" hidden="false" customHeight="true" outlineLevel="0" collapsed="false">
      <c r="A22" s="14" t="s">
        <v>1250</v>
      </c>
      <c r="B22" s="14" t="s">
        <v>227</v>
      </c>
      <c r="C22" s="14" t="s">
        <v>48</v>
      </c>
      <c r="D22" s="15" t="s">
        <v>1251</v>
      </c>
      <c r="E22" s="14" t="s">
        <v>229</v>
      </c>
      <c r="F22" s="14" t="s">
        <v>229</v>
      </c>
      <c r="G22" s="15" t="s">
        <v>230</v>
      </c>
      <c r="H22" s="14" t="s">
        <v>126</v>
      </c>
      <c r="I22" s="14" t="s">
        <v>141</v>
      </c>
      <c r="J22" s="16" t="s">
        <v>161</v>
      </c>
      <c r="K22" s="15" t="s">
        <v>1220</v>
      </c>
      <c r="L22" s="14"/>
      <c r="M22" s="14" t="n">
        <f aca="false">IF(OR(H22="not started",H22="partial"),0,1)</f>
        <v>1</v>
      </c>
    </row>
    <row r="23" customFormat="false" ht="54" hidden="false" customHeight="true" outlineLevel="0" collapsed="false">
      <c r="A23" s="14" t="s">
        <v>1252</v>
      </c>
      <c r="B23" s="14" t="s">
        <v>649</v>
      </c>
      <c r="C23" s="14" t="s">
        <v>48</v>
      </c>
      <c r="D23" s="15" t="s">
        <v>1253</v>
      </c>
      <c r="E23" s="14" t="s">
        <v>161</v>
      </c>
      <c r="F23" s="14" t="s">
        <v>161</v>
      </c>
      <c r="G23" s="15" t="s">
        <v>1145</v>
      </c>
      <c r="H23" s="14" t="s">
        <v>126</v>
      </c>
      <c r="I23" s="14" t="s">
        <v>141</v>
      </c>
      <c r="J23" s="16" t="s">
        <v>161</v>
      </c>
      <c r="K23" s="15" t="s">
        <v>1220</v>
      </c>
      <c r="L23" s="14"/>
      <c r="M23" s="14" t="n">
        <f aca="false">IF(OR(H23="not started",H23="partial"),0,1)</f>
        <v>1</v>
      </c>
    </row>
    <row r="24" customFormat="false" ht="54" hidden="false" customHeight="true" outlineLevel="0" collapsed="false">
      <c r="A24" s="14" t="s">
        <v>1254</v>
      </c>
      <c r="B24" s="14" t="s">
        <v>232</v>
      </c>
      <c r="C24" s="14" t="s">
        <v>48</v>
      </c>
      <c r="D24" s="15" t="s">
        <v>1255</v>
      </c>
      <c r="E24" s="14" t="s">
        <v>161</v>
      </c>
      <c r="F24" s="14" t="s">
        <v>161</v>
      </c>
      <c r="G24" s="15" t="s">
        <v>655</v>
      </c>
      <c r="H24" s="14" t="s">
        <v>126</v>
      </c>
      <c r="I24" s="14" t="s">
        <v>141</v>
      </c>
      <c r="J24" s="16" t="s">
        <v>161</v>
      </c>
      <c r="K24" s="15" t="s">
        <v>1220</v>
      </c>
      <c r="L24" s="14"/>
      <c r="M24" s="14" t="n">
        <f aca="false">IF(OR(H24="not started",H24="partial"),0,1)</f>
        <v>1</v>
      </c>
    </row>
    <row r="25" customFormat="false" ht="54" hidden="false" customHeight="true" outlineLevel="0" collapsed="false">
      <c r="A25" s="14"/>
      <c r="B25" s="14"/>
      <c r="C25" s="14"/>
      <c r="D25" s="15"/>
      <c r="E25" s="14"/>
      <c r="F25" s="14"/>
      <c r="G25" s="15"/>
      <c r="H25" s="14"/>
      <c r="I25" s="14"/>
      <c r="J25" s="16"/>
      <c r="K25" s="15"/>
      <c r="L25" s="14"/>
      <c r="M25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1258</v>
      </c>
      <c r="B9" s="14" t="s">
        <v>158</v>
      </c>
      <c r="C9" s="14" t="s">
        <v>1259</v>
      </c>
      <c r="D9" s="15" t="s">
        <v>1260</v>
      </c>
      <c r="E9" s="14" t="s">
        <v>161</v>
      </c>
      <c r="F9" s="14" t="s">
        <v>162</v>
      </c>
      <c r="G9" s="15" t="s">
        <v>1261</v>
      </c>
      <c r="H9" s="14" t="s">
        <v>126</v>
      </c>
      <c r="I9" s="14" t="s">
        <v>141</v>
      </c>
      <c r="J9" s="16"/>
      <c r="K9" s="15"/>
      <c r="L9" s="14" t="n">
        <v>1</v>
      </c>
      <c r="M9" s="14" t="n">
        <f aca="false">IF(OR(H9="not started",H9="partial",H9="implemented"),0,1)</f>
        <v>1</v>
      </c>
    </row>
    <row r="10" customFormat="false" ht="54" hidden="false" customHeight="true" outlineLevel="0" collapsed="false">
      <c r="A10" s="14" t="s">
        <v>1262</v>
      </c>
      <c r="B10" s="14" t="s">
        <v>1263</v>
      </c>
      <c r="C10" s="14" t="s">
        <v>830</v>
      </c>
      <c r="D10" s="15" t="s">
        <v>1264</v>
      </c>
      <c r="E10" s="14" t="s">
        <v>161</v>
      </c>
      <c r="F10" s="14" t="s">
        <v>181</v>
      </c>
      <c r="G10" s="15" t="s">
        <v>1265</v>
      </c>
      <c r="H10" s="14" t="s">
        <v>126</v>
      </c>
      <c r="I10" s="14" t="s">
        <v>141</v>
      </c>
      <c r="J10" s="16"/>
      <c r="K10" s="15"/>
      <c r="L10" s="14" t="n">
        <v>1</v>
      </c>
      <c r="M10" s="14" t="n">
        <f aca="false">IF(OR(H10="not started",H10="partial",H10="implemented"),0,1)</f>
        <v>1</v>
      </c>
    </row>
    <row r="11" customFormat="false" ht="54" hidden="false" customHeight="true" outlineLevel="0" collapsed="false">
      <c r="A11" s="14" t="s">
        <v>1266</v>
      </c>
      <c r="B11" s="14" t="s">
        <v>1222</v>
      </c>
      <c r="C11" s="14" t="s">
        <v>1267</v>
      </c>
      <c r="D11" s="15" t="s">
        <v>1268</v>
      </c>
      <c r="E11" s="14" t="s">
        <v>161</v>
      </c>
      <c r="F11" s="14" t="s">
        <v>186</v>
      </c>
      <c r="G11" s="15" t="s">
        <v>1269</v>
      </c>
      <c r="H11" s="14" t="s">
        <v>126</v>
      </c>
      <c r="I11" s="14" t="s">
        <v>141</v>
      </c>
      <c r="J11" s="16"/>
      <c r="K11" s="15"/>
      <c r="L11" s="14" t="n">
        <v>1</v>
      </c>
      <c r="M11" s="14" t="n">
        <f aca="false">IF(OR(H11="not started",H11="partial",H11="implemented"),0,1)</f>
        <v>1</v>
      </c>
    </row>
    <row r="12" customFormat="false" ht="54" hidden="false" customHeight="true" outlineLevel="0" collapsed="false">
      <c r="A12" s="14" t="s">
        <v>1270</v>
      </c>
      <c r="B12" s="14" t="s">
        <v>189</v>
      </c>
      <c r="C12" s="14" t="s">
        <v>1271</v>
      </c>
      <c r="D12" s="15" t="s">
        <v>1272</v>
      </c>
      <c r="E12" s="14" t="s">
        <v>161</v>
      </c>
      <c r="F12" s="14" t="s">
        <v>186</v>
      </c>
      <c r="G12" s="15" t="s">
        <v>1269</v>
      </c>
      <c r="H12" s="14" t="s">
        <v>126</v>
      </c>
      <c r="I12" s="14" t="s">
        <v>141</v>
      </c>
      <c r="J12" s="16"/>
      <c r="K12" s="15"/>
      <c r="L12" s="14" t="n">
        <v>1</v>
      </c>
      <c r="M12" s="14" t="n">
        <f aca="false">IF(OR(H12="not started",H12="partial",H12="implemented"),0,1)</f>
        <v>1</v>
      </c>
    </row>
    <row r="13" customFormat="false" ht="54" hidden="false" customHeight="true" outlineLevel="0" collapsed="false">
      <c r="A13" s="14" t="s">
        <v>1273</v>
      </c>
      <c r="B13" s="14" t="s">
        <v>209</v>
      </c>
      <c r="C13" s="14" t="s">
        <v>1274</v>
      </c>
      <c r="D13" s="15" t="s">
        <v>1275</v>
      </c>
      <c r="E13" s="14" t="s">
        <v>161</v>
      </c>
      <c r="F13" s="14" t="s">
        <v>181</v>
      </c>
      <c r="G13" s="15" t="s">
        <v>1265</v>
      </c>
      <c r="H13" s="14" t="s">
        <v>126</v>
      </c>
      <c r="I13" s="14" t="s">
        <v>141</v>
      </c>
      <c r="J13" s="16"/>
      <c r="K13" s="15"/>
      <c r="L13" s="14" t="n">
        <v>1</v>
      </c>
      <c r="M13" s="14" t="n">
        <f aca="false">IF(OR(H13="not started",H13="partial",H13="implemented"),0,1)</f>
        <v>1</v>
      </c>
    </row>
    <row r="14" customFormat="false" ht="54" hidden="false" customHeight="true" outlineLevel="0" collapsed="false">
      <c r="A14" s="14" t="s">
        <v>1276</v>
      </c>
      <c r="B14" s="14" t="s">
        <v>165</v>
      </c>
      <c r="C14" s="14" t="s">
        <v>49</v>
      </c>
      <c r="D14" s="15" t="s">
        <v>1277</v>
      </c>
      <c r="E14" s="14" t="s">
        <v>161</v>
      </c>
      <c r="F14" s="14" t="s">
        <v>161</v>
      </c>
      <c r="G14" s="15" t="s">
        <v>167</v>
      </c>
      <c r="H14" s="14" t="s">
        <v>126</v>
      </c>
      <c r="I14" s="14" t="s">
        <v>141</v>
      </c>
      <c r="J14" s="16"/>
      <c r="K14" s="15"/>
      <c r="L14" s="14" t="n">
        <v>1</v>
      </c>
      <c r="M14" s="14" t="n">
        <f aca="false">IF(OR(H14="not started",H14="partial",H14="implemented"),0,1)</f>
        <v>1</v>
      </c>
    </row>
    <row r="15" customFormat="false" ht="54" hidden="false" customHeight="true" outlineLevel="0" collapsed="false">
      <c r="A15" s="14" t="s">
        <v>1278</v>
      </c>
      <c r="B15" s="14" t="s">
        <v>169</v>
      </c>
      <c r="C15" s="14" t="s">
        <v>49</v>
      </c>
      <c r="D15" s="15" t="s">
        <v>1279</v>
      </c>
      <c r="E15" s="14" t="s">
        <v>161</v>
      </c>
      <c r="F15" s="14" t="s">
        <v>171</v>
      </c>
      <c r="G15" s="15" t="s">
        <v>1280</v>
      </c>
      <c r="H15" s="14" t="s">
        <v>126</v>
      </c>
      <c r="I15" s="14" t="s">
        <v>141</v>
      </c>
      <c r="J15" s="16"/>
      <c r="K15" s="15"/>
      <c r="L15" s="14" t="n">
        <v>1</v>
      </c>
      <c r="M15" s="14" t="n">
        <f aca="false">IF(OR(H15="not started",H15="partial",H15="implemented"),0,1)</f>
        <v>1</v>
      </c>
    </row>
    <row r="16" customFormat="false" ht="54" hidden="false" customHeight="true" outlineLevel="0" collapsed="false">
      <c r="A16" s="14" t="s">
        <v>1281</v>
      </c>
      <c r="B16" s="14" t="s">
        <v>174</v>
      </c>
      <c r="C16" s="14" t="s">
        <v>49</v>
      </c>
      <c r="D16" s="15" t="s">
        <v>1282</v>
      </c>
      <c r="E16" s="14" t="s">
        <v>161</v>
      </c>
      <c r="F16" s="14" t="s">
        <v>176</v>
      </c>
      <c r="G16" s="15" t="s">
        <v>1283</v>
      </c>
      <c r="H16" s="14" t="s">
        <v>126</v>
      </c>
      <c r="I16" s="14" t="s">
        <v>141</v>
      </c>
      <c r="J16" s="16"/>
      <c r="K16" s="15"/>
      <c r="L16" s="14" t="n">
        <v>1</v>
      </c>
      <c r="M16" s="14" t="n">
        <f aca="false">IF(OR(H16="not started",H16="partial",H16="implemented"),0,1)</f>
        <v>1</v>
      </c>
    </row>
    <row r="17" customFormat="false" ht="54" hidden="false" customHeight="true" outlineLevel="0" collapsed="false">
      <c r="A17" s="14" t="s">
        <v>1284</v>
      </c>
      <c r="B17" s="14" t="s">
        <v>194</v>
      </c>
      <c r="C17" s="14" t="s">
        <v>49</v>
      </c>
      <c r="D17" s="15" t="s">
        <v>1285</v>
      </c>
      <c r="E17" s="14" t="s">
        <v>161</v>
      </c>
      <c r="F17" s="14" t="s">
        <v>196</v>
      </c>
      <c r="G17" s="15" t="s">
        <v>1286</v>
      </c>
      <c r="H17" s="14" t="s">
        <v>124</v>
      </c>
      <c r="I17" s="14" t="s">
        <v>140</v>
      </c>
      <c r="J17" s="16"/>
      <c r="K17" s="15" t="s">
        <v>1287</v>
      </c>
      <c r="L17" s="14" t="n">
        <v>1</v>
      </c>
      <c r="M17" s="14" t="n">
        <f aca="false">IF(OR(H17="not started",H17="partial",H17="implemented"),0,1)</f>
        <v>0</v>
      </c>
    </row>
    <row r="18" customFormat="false" ht="54" hidden="false" customHeight="true" outlineLevel="0" collapsed="false">
      <c r="A18" s="14" t="s">
        <v>1288</v>
      </c>
      <c r="B18" s="14" t="s">
        <v>200</v>
      </c>
      <c r="C18" s="14" t="s">
        <v>49</v>
      </c>
      <c r="D18" s="15" t="s">
        <v>1289</v>
      </c>
      <c r="E18" s="14" t="s">
        <v>161</v>
      </c>
      <c r="F18" s="14" t="s">
        <v>202</v>
      </c>
      <c r="G18" s="15" t="s">
        <v>1290</v>
      </c>
      <c r="H18" s="14" t="s">
        <v>124</v>
      </c>
      <c r="I18" s="14" t="s">
        <v>140</v>
      </c>
      <c r="J18" s="16"/>
      <c r="K18" s="15" t="s">
        <v>1287</v>
      </c>
      <c r="L18" s="14" t="n">
        <v>1</v>
      </c>
      <c r="M18" s="14" t="n">
        <f aca="false">IF(OR(H18="not started",H18="partial",H18="implemented"),0,1)</f>
        <v>0</v>
      </c>
    </row>
    <row r="19" customFormat="false" ht="54" hidden="false" customHeight="true" outlineLevel="0" collapsed="false">
      <c r="A19" s="14" t="s">
        <v>1291</v>
      </c>
      <c r="B19" s="14" t="s">
        <v>214</v>
      </c>
      <c r="C19" s="14" t="s">
        <v>49</v>
      </c>
      <c r="D19" s="15" t="s">
        <v>1292</v>
      </c>
      <c r="E19" s="14" t="s">
        <v>161</v>
      </c>
      <c r="F19" s="14" t="s">
        <v>202</v>
      </c>
      <c r="G19" s="15" t="s">
        <v>1290</v>
      </c>
      <c r="H19" s="14" t="s">
        <v>124</v>
      </c>
      <c r="I19" s="14" t="s">
        <v>140</v>
      </c>
      <c r="J19" s="16"/>
      <c r="K19" s="15" t="s">
        <v>1287</v>
      </c>
      <c r="L19" s="14" t="n">
        <v>1</v>
      </c>
      <c r="M19" s="14" t="n">
        <f aca="false">IF(OR(H19="not started",H19="partial",H19="implemented"),0,1)</f>
        <v>0</v>
      </c>
    </row>
    <row r="20" customFormat="false" ht="54" hidden="false" customHeight="true" outlineLevel="0" collapsed="false">
      <c r="A20" s="14" t="s">
        <v>1293</v>
      </c>
      <c r="B20" s="14" t="s">
        <v>218</v>
      </c>
      <c r="C20" s="14" t="s">
        <v>49</v>
      </c>
      <c r="D20" s="15" t="s">
        <v>1294</v>
      </c>
      <c r="E20" s="14" t="s">
        <v>161</v>
      </c>
      <c r="F20" s="14" t="s">
        <v>220</v>
      </c>
      <c r="G20" s="15" t="s">
        <v>1295</v>
      </c>
      <c r="H20" s="14" t="s">
        <v>126</v>
      </c>
      <c r="I20" s="14" t="s">
        <v>141</v>
      </c>
      <c r="J20" s="16"/>
      <c r="K20" s="15"/>
      <c r="L20" s="14" t="n">
        <v>1</v>
      </c>
      <c r="M20" s="14" t="n">
        <f aca="false">IF(OR(H20="not started",H20="partial",H20="implemented"),0,1)</f>
        <v>1</v>
      </c>
    </row>
    <row r="21" customFormat="false" ht="54" hidden="false" customHeight="true" outlineLevel="0" collapsed="false">
      <c r="A21" s="14" t="s">
        <v>1296</v>
      </c>
      <c r="B21" s="14" t="s">
        <v>223</v>
      </c>
      <c r="C21" s="14" t="s">
        <v>49</v>
      </c>
      <c r="D21" s="15" t="s">
        <v>1297</v>
      </c>
      <c r="E21" s="14" t="s">
        <v>161</v>
      </c>
      <c r="F21" s="14" t="s">
        <v>220</v>
      </c>
      <c r="G21" s="15" t="s">
        <v>1298</v>
      </c>
      <c r="H21" s="14" t="s">
        <v>126</v>
      </c>
      <c r="I21" s="14" t="s">
        <v>141</v>
      </c>
      <c r="J21" s="16"/>
      <c r="K21" s="15"/>
      <c r="L21" s="14" t="n">
        <v>1</v>
      </c>
      <c r="M21" s="14" t="n">
        <f aca="false">IF(OR(H21="not started",H21="partial",H21="implemented"),0,1)</f>
        <v>1</v>
      </c>
    </row>
    <row r="22" customFormat="false" ht="54" hidden="false" customHeight="true" outlineLevel="0" collapsed="false">
      <c r="A22" s="14" t="s">
        <v>1299</v>
      </c>
      <c r="B22" s="14" t="s">
        <v>227</v>
      </c>
      <c r="C22" s="14" t="s">
        <v>49</v>
      </c>
      <c r="D22" s="15" t="s">
        <v>1300</v>
      </c>
      <c r="E22" s="14" t="s">
        <v>229</v>
      </c>
      <c r="F22" s="14" t="s">
        <v>229</v>
      </c>
      <c r="G22" s="15" t="s">
        <v>230</v>
      </c>
      <c r="H22" s="14" t="s">
        <v>126</v>
      </c>
      <c r="I22" s="14" t="s">
        <v>141</v>
      </c>
      <c r="J22" s="16"/>
      <c r="K22" s="15"/>
      <c r="L22" s="14" t="n">
        <v>1</v>
      </c>
      <c r="M22" s="14" t="n">
        <f aca="false">IF(OR(H22="not started",H22="partial",H22="implemented"),0,1)</f>
        <v>1</v>
      </c>
    </row>
    <row r="23" customFormat="false" ht="54" hidden="false" customHeight="true" outlineLevel="0" collapsed="false">
      <c r="A23" s="14" t="s">
        <v>1301</v>
      </c>
      <c r="B23" s="14" t="s">
        <v>649</v>
      </c>
      <c r="C23" s="14" t="s">
        <v>1302</v>
      </c>
      <c r="D23" s="15" t="s">
        <v>1303</v>
      </c>
      <c r="E23" s="14" t="s">
        <v>161</v>
      </c>
      <c r="F23" s="14" t="s">
        <v>1304</v>
      </c>
      <c r="G23" s="15" t="s">
        <v>1305</v>
      </c>
      <c r="H23" s="14" t="s">
        <v>126</v>
      </c>
      <c r="I23" s="14" t="s">
        <v>141</v>
      </c>
      <c r="J23" s="16"/>
      <c r="K23" s="15"/>
      <c r="L23" s="14" t="n">
        <v>1</v>
      </c>
      <c r="M23" s="14" t="n">
        <f aca="false">IF(OR(H23="not started",H23="partial",H23="implemented"),0,1)</f>
        <v>1</v>
      </c>
    </row>
    <row r="24" customFormat="false" ht="54" hidden="false" customHeight="true" outlineLevel="0" collapsed="false">
      <c r="A24" s="14" t="s">
        <v>1306</v>
      </c>
      <c r="B24" s="14" t="s">
        <v>232</v>
      </c>
      <c r="C24" s="14" t="s">
        <v>49</v>
      </c>
      <c r="D24" s="15" t="s">
        <v>1255</v>
      </c>
      <c r="E24" s="14" t="s">
        <v>161</v>
      </c>
      <c r="F24" s="14" t="s">
        <v>161</v>
      </c>
      <c r="G24" s="15" t="s">
        <v>609</v>
      </c>
      <c r="H24" s="14" t="s">
        <v>126</v>
      </c>
      <c r="I24" s="14" t="s">
        <v>141</v>
      </c>
      <c r="J24" s="16"/>
      <c r="K24" s="15"/>
      <c r="L24" s="14" t="n">
        <v>1</v>
      </c>
      <c r="M24" s="14" t="n">
        <f aca="false">IF(OR(H24="not started",H24="partial",H24="implemented"),0,1)</f>
        <v>1</v>
      </c>
    </row>
    <row r="25" customFormat="false" ht="54" hidden="false" customHeight="true" outlineLevel="0" collapsed="false">
      <c r="A25" s="14"/>
      <c r="B25" s="14"/>
      <c r="C25" s="14"/>
      <c r="D25" s="15"/>
      <c r="E25" s="14"/>
      <c r="F25" s="14"/>
      <c r="G25" s="15"/>
      <c r="H25" s="14"/>
      <c r="I25" s="14"/>
      <c r="J25" s="16"/>
      <c r="K25" s="15"/>
      <c r="L25" s="14"/>
      <c r="M25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1309</v>
      </c>
      <c r="B9" s="14" t="s">
        <v>158</v>
      </c>
      <c r="C9" s="14" t="s">
        <v>50</v>
      </c>
      <c r="D9" s="15" t="s">
        <v>1310</v>
      </c>
      <c r="E9" s="14" t="s">
        <v>161</v>
      </c>
      <c r="F9" s="14" t="s">
        <v>162</v>
      </c>
      <c r="G9" s="15" t="s">
        <v>1311</v>
      </c>
      <c r="H9" s="14" t="s">
        <v>126</v>
      </c>
      <c r="I9" s="14" t="s">
        <v>141</v>
      </c>
      <c r="J9" s="16"/>
      <c r="K9" s="15"/>
      <c r="L9" s="14" t="n">
        <v>1</v>
      </c>
      <c r="M9" s="14" t="n">
        <f aca="false">IF(OR(H9="not started",H9="partial",H9="implemented"),0,1)</f>
        <v>1</v>
      </c>
    </row>
    <row r="10" customFormat="false" ht="54" hidden="false" customHeight="true" outlineLevel="0" collapsed="false">
      <c r="A10" s="14" t="s">
        <v>1312</v>
      </c>
      <c r="B10" s="14" t="s">
        <v>189</v>
      </c>
      <c r="C10" s="14" t="s">
        <v>50</v>
      </c>
      <c r="D10" s="15" t="s">
        <v>1313</v>
      </c>
      <c r="E10" s="14" t="s">
        <v>161</v>
      </c>
      <c r="F10" s="14" t="s">
        <v>181</v>
      </c>
      <c r="G10" s="15" t="s">
        <v>1314</v>
      </c>
      <c r="H10" s="14" t="s">
        <v>126</v>
      </c>
      <c r="I10" s="14" t="s">
        <v>141</v>
      </c>
      <c r="J10" s="16"/>
      <c r="K10" s="15"/>
      <c r="L10" s="14" t="n">
        <v>1</v>
      </c>
      <c r="M10" s="14" t="n">
        <f aca="false">IF(OR(H10="not started",H10="partial",H10="implemented"),0,1)</f>
        <v>1</v>
      </c>
    </row>
    <row r="11" customFormat="false" ht="54" hidden="false" customHeight="true" outlineLevel="0" collapsed="false">
      <c r="A11" s="14" t="s">
        <v>1315</v>
      </c>
      <c r="B11" s="14" t="s">
        <v>1222</v>
      </c>
      <c r="C11" s="14" t="s">
        <v>50</v>
      </c>
      <c r="D11" s="15" t="s">
        <v>1316</v>
      </c>
      <c r="E11" s="14" t="s">
        <v>161</v>
      </c>
      <c r="F11" s="14" t="s">
        <v>186</v>
      </c>
      <c r="G11" s="15" t="s">
        <v>1317</v>
      </c>
      <c r="H11" s="14" t="s">
        <v>126</v>
      </c>
      <c r="I11" s="14" t="s">
        <v>141</v>
      </c>
      <c r="J11" s="16"/>
      <c r="K11" s="15"/>
      <c r="L11" s="14" t="n">
        <v>1</v>
      </c>
      <c r="M11" s="14" t="n">
        <f aca="false">IF(OR(H11="not started",H11="partial",H11="implemented"),0,1)</f>
        <v>1</v>
      </c>
    </row>
    <row r="12" customFormat="false" ht="54" hidden="false" customHeight="true" outlineLevel="0" collapsed="false">
      <c r="A12" s="14" t="s">
        <v>1318</v>
      </c>
      <c r="B12" s="14" t="s">
        <v>1319</v>
      </c>
      <c r="C12" s="14" t="s">
        <v>50</v>
      </c>
      <c r="D12" s="15" t="s">
        <v>1320</v>
      </c>
      <c r="E12" s="14" t="s">
        <v>161</v>
      </c>
      <c r="F12" s="14" t="s">
        <v>186</v>
      </c>
      <c r="G12" s="15" t="s">
        <v>1317</v>
      </c>
      <c r="H12" s="14" t="s">
        <v>126</v>
      </c>
      <c r="I12" s="14" t="s">
        <v>141</v>
      </c>
      <c r="J12" s="16"/>
      <c r="K12" s="15"/>
      <c r="L12" s="14" t="n">
        <v>1</v>
      </c>
      <c r="M12" s="14" t="n">
        <f aca="false">IF(OR(H12="not started",H12="partial",H12="implemented"),0,1)</f>
        <v>1</v>
      </c>
    </row>
    <row r="13" customFormat="false" ht="54" hidden="false" customHeight="true" outlineLevel="0" collapsed="false">
      <c r="A13" s="14" t="s">
        <v>1321</v>
      </c>
      <c r="B13" s="14" t="s">
        <v>1322</v>
      </c>
      <c r="C13" s="14" t="s">
        <v>1323</v>
      </c>
      <c r="D13" s="15" t="s">
        <v>1324</v>
      </c>
      <c r="E13" s="14" t="s">
        <v>161</v>
      </c>
      <c r="F13" s="14" t="s">
        <v>186</v>
      </c>
      <c r="G13" s="15" t="s">
        <v>1325</v>
      </c>
      <c r="H13" s="14" t="s">
        <v>126</v>
      </c>
      <c r="I13" s="14" t="s">
        <v>141</v>
      </c>
      <c r="J13" s="16"/>
      <c r="K13" s="15"/>
      <c r="L13" s="14" t="n">
        <v>1</v>
      </c>
      <c r="M13" s="14" t="n">
        <f aca="false">IF(OR(H13="not started",H13="partial",H13="implemented"),0,1)</f>
        <v>1</v>
      </c>
    </row>
    <row r="14" customFormat="false" ht="54" hidden="false" customHeight="true" outlineLevel="0" collapsed="false">
      <c r="A14" s="14" t="s">
        <v>1326</v>
      </c>
      <c r="B14" s="14" t="s">
        <v>209</v>
      </c>
      <c r="C14" s="14" t="s">
        <v>50</v>
      </c>
      <c r="D14" s="15" t="s">
        <v>1327</v>
      </c>
      <c r="E14" s="14" t="s">
        <v>161</v>
      </c>
      <c r="F14" s="14" t="s">
        <v>181</v>
      </c>
      <c r="G14" s="15" t="s">
        <v>1314</v>
      </c>
      <c r="H14" s="14" t="s">
        <v>126</v>
      </c>
      <c r="I14" s="14" t="s">
        <v>141</v>
      </c>
      <c r="J14" s="16"/>
      <c r="K14" s="15"/>
      <c r="L14" s="14" t="n">
        <v>1</v>
      </c>
      <c r="M14" s="14" t="n">
        <f aca="false">IF(OR(H14="not started",H14="partial",H14="implemented"),0,1)</f>
        <v>1</v>
      </c>
    </row>
    <row r="15" customFormat="false" ht="54" hidden="false" customHeight="true" outlineLevel="0" collapsed="false">
      <c r="A15" s="14" t="s">
        <v>1328</v>
      </c>
      <c r="B15" s="14" t="s">
        <v>165</v>
      </c>
      <c r="C15" s="14" t="s">
        <v>50</v>
      </c>
      <c r="D15" s="15" t="s">
        <v>1329</v>
      </c>
      <c r="E15" s="14" t="s">
        <v>161</v>
      </c>
      <c r="F15" s="14" t="s">
        <v>161</v>
      </c>
      <c r="G15" s="15" t="s">
        <v>167</v>
      </c>
      <c r="H15" s="14" t="s">
        <v>126</v>
      </c>
      <c r="I15" s="14" t="s">
        <v>141</v>
      </c>
      <c r="J15" s="16"/>
      <c r="K15" s="15"/>
      <c r="L15" s="14" t="n">
        <v>1</v>
      </c>
      <c r="M15" s="14" t="n">
        <f aca="false">IF(OR(H15="not started",H15="partial",H15="implemented"),0,1)</f>
        <v>1</v>
      </c>
    </row>
    <row r="16" customFormat="false" ht="54" hidden="false" customHeight="true" outlineLevel="0" collapsed="false">
      <c r="A16" s="14" t="s">
        <v>1330</v>
      </c>
      <c r="B16" s="14" t="s">
        <v>169</v>
      </c>
      <c r="C16" s="14" t="s">
        <v>50</v>
      </c>
      <c r="D16" s="15" t="s">
        <v>1331</v>
      </c>
      <c r="E16" s="14" t="s">
        <v>161</v>
      </c>
      <c r="F16" s="14" t="s">
        <v>171</v>
      </c>
      <c r="G16" s="15" t="s">
        <v>1332</v>
      </c>
      <c r="H16" s="14" t="s">
        <v>126</v>
      </c>
      <c r="I16" s="14" t="s">
        <v>141</v>
      </c>
      <c r="J16" s="16"/>
      <c r="K16" s="15"/>
      <c r="L16" s="14" t="n">
        <v>1</v>
      </c>
      <c r="M16" s="14" t="n">
        <f aca="false">IF(OR(H16="not started",H16="partial",H16="implemented"),0,1)</f>
        <v>1</v>
      </c>
    </row>
    <row r="17" customFormat="false" ht="54" hidden="false" customHeight="true" outlineLevel="0" collapsed="false">
      <c r="A17" s="14" t="s">
        <v>1333</v>
      </c>
      <c r="B17" s="14" t="s">
        <v>174</v>
      </c>
      <c r="C17" s="14" t="s">
        <v>50</v>
      </c>
      <c r="D17" s="15" t="s">
        <v>1334</v>
      </c>
      <c r="E17" s="14" t="s">
        <v>161</v>
      </c>
      <c r="F17" s="14" t="s">
        <v>176</v>
      </c>
      <c r="G17" s="15" t="s">
        <v>1335</v>
      </c>
      <c r="H17" s="14" t="s">
        <v>126</v>
      </c>
      <c r="I17" s="14" t="s">
        <v>141</v>
      </c>
      <c r="J17" s="16"/>
      <c r="K17" s="15"/>
      <c r="L17" s="14" t="n">
        <v>1</v>
      </c>
      <c r="M17" s="14" t="n">
        <f aca="false">IF(OR(H17="not started",H17="partial",H17="implemented"),0,1)</f>
        <v>1</v>
      </c>
    </row>
    <row r="18" customFormat="false" ht="54" hidden="false" customHeight="true" outlineLevel="0" collapsed="false">
      <c r="A18" s="14" t="s">
        <v>1336</v>
      </c>
      <c r="B18" s="14" t="s">
        <v>194</v>
      </c>
      <c r="C18" s="14" t="s">
        <v>50</v>
      </c>
      <c r="D18" s="15" t="s">
        <v>1337</v>
      </c>
      <c r="E18" s="14" t="s">
        <v>161</v>
      </c>
      <c r="F18" s="14" t="s">
        <v>196</v>
      </c>
      <c r="G18" s="15" t="s">
        <v>1338</v>
      </c>
      <c r="H18" s="14" t="s">
        <v>124</v>
      </c>
      <c r="I18" s="14" t="s">
        <v>140</v>
      </c>
      <c r="J18" s="16"/>
      <c r="K18" s="15" t="s">
        <v>1287</v>
      </c>
      <c r="L18" s="14" t="n">
        <v>1</v>
      </c>
      <c r="M18" s="14" t="n">
        <f aca="false">IF(OR(H18="not started",H18="partial",H18="implemented"),0,1)</f>
        <v>0</v>
      </c>
    </row>
    <row r="19" customFormat="false" ht="54" hidden="false" customHeight="true" outlineLevel="0" collapsed="false">
      <c r="A19" s="14" t="s">
        <v>1339</v>
      </c>
      <c r="B19" s="14" t="s">
        <v>200</v>
      </c>
      <c r="C19" s="14" t="s">
        <v>50</v>
      </c>
      <c r="D19" s="15" t="s">
        <v>1340</v>
      </c>
      <c r="E19" s="14" t="s">
        <v>161</v>
      </c>
      <c r="F19" s="14" t="s">
        <v>202</v>
      </c>
      <c r="G19" s="15" t="s">
        <v>1341</v>
      </c>
      <c r="H19" s="14" t="s">
        <v>124</v>
      </c>
      <c r="I19" s="14" t="s">
        <v>140</v>
      </c>
      <c r="J19" s="16"/>
      <c r="K19" s="15" t="s">
        <v>1287</v>
      </c>
      <c r="L19" s="14" t="n">
        <v>1</v>
      </c>
      <c r="M19" s="14" t="n">
        <f aca="false">IF(OR(H19="not started",H19="partial",H19="implemented"),0,1)</f>
        <v>0</v>
      </c>
    </row>
    <row r="20" customFormat="false" ht="54" hidden="false" customHeight="true" outlineLevel="0" collapsed="false">
      <c r="A20" s="14" t="s">
        <v>1342</v>
      </c>
      <c r="B20" s="14" t="s">
        <v>214</v>
      </c>
      <c r="C20" s="14" t="s">
        <v>50</v>
      </c>
      <c r="D20" s="15" t="s">
        <v>1343</v>
      </c>
      <c r="E20" s="14" t="s">
        <v>161</v>
      </c>
      <c r="F20" s="14" t="s">
        <v>202</v>
      </c>
      <c r="G20" s="15" t="s">
        <v>1341</v>
      </c>
      <c r="H20" s="14" t="s">
        <v>124</v>
      </c>
      <c r="I20" s="14" t="s">
        <v>140</v>
      </c>
      <c r="J20" s="16"/>
      <c r="K20" s="15" t="s">
        <v>1287</v>
      </c>
      <c r="L20" s="14" t="n">
        <v>1</v>
      </c>
      <c r="M20" s="14" t="n">
        <f aca="false">IF(OR(H20="not started",H20="partial",H20="implemented"),0,1)</f>
        <v>0</v>
      </c>
    </row>
    <row r="21" customFormat="false" ht="54" hidden="false" customHeight="true" outlineLevel="0" collapsed="false">
      <c r="A21" s="14" t="s">
        <v>1344</v>
      </c>
      <c r="B21" s="14" t="s">
        <v>218</v>
      </c>
      <c r="C21" s="14" t="s">
        <v>50</v>
      </c>
      <c r="D21" s="15" t="s">
        <v>1345</v>
      </c>
      <c r="E21" s="14" t="s">
        <v>161</v>
      </c>
      <c r="F21" s="14" t="s">
        <v>220</v>
      </c>
      <c r="G21" s="15" t="s">
        <v>1346</v>
      </c>
      <c r="H21" s="14" t="s">
        <v>126</v>
      </c>
      <c r="I21" s="14" t="s">
        <v>141</v>
      </c>
      <c r="J21" s="16"/>
      <c r="K21" s="15"/>
      <c r="L21" s="14" t="n">
        <v>1</v>
      </c>
      <c r="M21" s="14" t="n">
        <f aca="false">IF(OR(H21="not started",H21="partial",H21="implemented"),0,1)</f>
        <v>1</v>
      </c>
    </row>
    <row r="22" customFormat="false" ht="54" hidden="false" customHeight="true" outlineLevel="0" collapsed="false">
      <c r="A22" s="14" t="s">
        <v>1347</v>
      </c>
      <c r="B22" s="14" t="s">
        <v>223</v>
      </c>
      <c r="C22" s="14" t="s">
        <v>50</v>
      </c>
      <c r="D22" s="15" t="s">
        <v>1348</v>
      </c>
      <c r="E22" s="14" t="s">
        <v>161</v>
      </c>
      <c r="F22" s="14" t="s">
        <v>220</v>
      </c>
      <c r="G22" s="15" t="s">
        <v>1349</v>
      </c>
      <c r="H22" s="14" t="s">
        <v>126</v>
      </c>
      <c r="I22" s="14" t="s">
        <v>141</v>
      </c>
      <c r="J22" s="16"/>
      <c r="K22" s="15"/>
      <c r="L22" s="14" t="n">
        <v>1</v>
      </c>
      <c r="M22" s="14" t="n">
        <f aca="false">IF(OR(H22="not started",H22="partial",H22="implemented"),0,1)</f>
        <v>1</v>
      </c>
    </row>
    <row r="23" customFormat="false" ht="54" hidden="false" customHeight="true" outlineLevel="0" collapsed="false">
      <c r="A23" s="14" t="s">
        <v>1350</v>
      </c>
      <c r="B23" s="14" t="s">
        <v>227</v>
      </c>
      <c r="C23" s="14" t="s">
        <v>50</v>
      </c>
      <c r="D23" s="15" t="s">
        <v>1351</v>
      </c>
      <c r="E23" s="14" t="s">
        <v>229</v>
      </c>
      <c r="F23" s="14" t="s">
        <v>229</v>
      </c>
      <c r="G23" s="15" t="s">
        <v>230</v>
      </c>
      <c r="H23" s="14" t="s">
        <v>126</v>
      </c>
      <c r="I23" s="14" t="s">
        <v>141</v>
      </c>
      <c r="J23" s="16"/>
      <c r="K23" s="15"/>
      <c r="L23" s="14" t="n">
        <v>1</v>
      </c>
      <c r="M23" s="14" t="n">
        <f aca="false">IF(OR(H23="not started",H23="partial",H23="implemented"),0,1)</f>
        <v>1</v>
      </c>
    </row>
    <row r="24" customFormat="false" ht="54" hidden="false" customHeight="true" outlineLevel="0" collapsed="false">
      <c r="A24" s="14" t="s">
        <v>1352</v>
      </c>
      <c r="B24" s="14" t="s">
        <v>649</v>
      </c>
      <c r="C24" s="14" t="s">
        <v>1302</v>
      </c>
      <c r="D24" s="15" t="s">
        <v>1353</v>
      </c>
      <c r="E24" s="14" t="s">
        <v>161</v>
      </c>
      <c r="F24" s="14" t="s">
        <v>1304</v>
      </c>
      <c r="G24" s="15" t="s">
        <v>1354</v>
      </c>
      <c r="H24" s="14" t="s">
        <v>126</v>
      </c>
      <c r="I24" s="14" t="s">
        <v>141</v>
      </c>
      <c r="J24" s="16"/>
      <c r="K24" s="15"/>
      <c r="L24" s="14" t="n">
        <v>1</v>
      </c>
      <c r="M24" s="14" t="n">
        <f aca="false">IF(OR(H24="not started",H24="partial",H24="implemented"),0,1)</f>
        <v>1</v>
      </c>
    </row>
    <row r="25" customFormat="false" ht="54" hidden="false" customHeight="true" outlineLevel="0" collapsed="false">
      <c r="A25" s="14" t="s">
        <v>1355</v>
      </c>
      <c r="B25" s="14" t="s">
        <v>232</v>
      </c>
      <c r="C25" s="14" t="s">
        <v>50</v>
      </c>
      <c r="D25" s="15" t="s">
        <v>1356</v>
      </c>
      <c r="E25" s="14" t="s">
        <v>161</v>
      </c>
      <c r="F25" s="14" t="s">
        <v>161</v>
      </c>
      <c r="G25" s="15" t="s">
        <v>167</v>
      </c>
      <c r="H25" s="14" t="s">
        <v>126</v>
      </c>
      <c r="I25" s="14" t="s">
        <v>141</v>
      </c>
      <c r="J25" s="16"/>
      <c r="K25" s="15"/>
      <c r="L25" s="14" t="n">
        <v>1</v>
      </c>
      <c r="M25" s="14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1359</v>
      </c>
      <c r="B9" s="14" t="s">
        <v>158</v>
      </c>
      <c r="C9" s="14" t="s">
        <v>1360</v>
      </c>
      <c r="D9" s="15" t="s">
        <v>1361</v>
      </c>
      <c r="E9" s="14" t="s">
        <v>161</v>
      </c>
      <c r="F9" s="14" t="s">
        <v>162</v>
      </c>
      <c r="G9" s="15" t="s">
        <v>1362</v>
      </c>
      <c r="H9" s="14" t="s">
        <v>126</v>
      </c>
      <c r="I9" s="14" t="s">
        <v>141</v>
      </c>
      <c r="J9" s="16"/>
      <c r="K9" s="15"/>
      <c r="L9" s="14" t="n">
        <v>1</v>
      </c>
      <c r="M9" s="14" t="n">
        <f aca="false">IF(OR(H9="not started",H9="partial",H9="implemented"),0,1)</f>
        <v>1</v>
      </c>
    </row>
    <row r="10" customFormat="false" ht="54" hidden="false" customHeight="true" outlineLevel="0" collapsed="false">
      <c r="A10" s="14" t="s">
        <v>1363</v>
      </c>
      <c r="B10" s="14" t="s">
        <v>1364</v>
      </c>
      <c r="C10" s="14" t="s">
        <v>830</v>
      </c>
      <c r="D10" s="15" t="s">
        <v>1365</v>
      </c>
      <c r="E10" s="14" t="s">
        <v>161</v>
      </c>
      <c r="F10" s="14" t="s">
        <v>1366</v>
      </c>
      <c r="G10" s="15" t="s">
        <v>1367</v>
      </c>
      <c r="H10" s="14" t="s">
        <v>126</v>
      </c>
      <c r="I10" s="14" t="s">
        <v>141</v>
      </c>
      <c r="J10" s="16"/>
      <c r="K10" s="15"/>
      <c r="L10" s="14" t="n">
        <v>1</v>
      </c>
      <c r="M10" s="14" t="n">
        <f aca="false">IF(OR(H10="not started",H10="partial",H10="implemented"),0,1)</f>
        <v>1</v>
      </c>
    </row>
    <row r="11" customFormat="false" ht="54" hidden="false" customHeight="true" outlineLevel="0" collapsed="false">
      <c r="A11" s="14" t="s">
        <v>1368</v>
      </c>
      <c r="B11" s="14" t="s">
        <v>1369</v>
      </c>
      <c r="C11" s="14" t="s">
        <v>1155</v>
      </c>
      <c r="D11" s="15" t="s">
        <v>1370</v>
      </c>
      <c r="E11" s="14" t="s">
        <v>161</v>
      </c>
      <c r="F11" s="14" t="s">
        <v>181</v>
      </c>
      <c r="G11" s="15" t="s">
        <v>1371</v>
      </c>
      <c r="H11" s="14" t="s">
        <v>126</v>
      </c>
      <c r="I11" s="14" t="s">
        <v>141</v>
      </c>
      <c r="J11" s="16"/>
      <c r="K11" s="15"/>
      <c r="L11" s="14" t="n">
        <v>1</v>
      </c>
      <c r="M11" s="14" t="n">
        <f aca="false">IF(OR(H11="not started",H11="partial",H11="implemented"),0,1)</f>
        <v>1</v>
      </c>
    </row>
    <row r="12" customFormat="false" ht="54" hidden="false" customHeight="true" outlineLevel="0" collapsed="false">
      <c r="A12" s="14" t="s">
        <v>1372</v>
      </c>
      <c r="B12" s="14" t="s">
        <v>1373</v>
      </c>
      <c r="C12" s="14" t="s">
        <v>1373</v>
      </c>
      <c r="D12" s="15" t="s">
        <v>1374</v>
      </c>
      <c r="E12" s="14" t="s">
        <v>161</v>
      </c>
      <c r="F12" s="14" t="s">
        <v>186</v>
      </c>
      <c r="G12" s="15" t="s">
        <v>1375</v>
      </c>
      <c r="H12" s="14" t="s">
        <v>126</v>
      </c>
      <c r="I12" s="14" t="s">
        <v>141</v>
      </c>
      <c r="J12" s="16"/>
      <c r="K12" s="15"/>
      <c r="L12" s="14" t="n">
        <v>1</v>
      </c>
      <c r="M12" s="14" t="n">
        <f aca="false">IF(OR(H12="not started",H12="partial",H12="implemented"),0,1)</f>
        <v>1</v>
      </c>
    </row>
    <row r="13" customFormat="false" ht="54" hidden="false" customHeight="true" outlineLevel="0" collapsed="false">
      <c r="A13" s="14" t="s">
        <v>1376</v>
      </c>
      <c r="B13" s="14" t="s">
        <v>1377</v>
      </c>
      <c r="C13" s="14" t="s">
        <v>1155</v>
      </c>
      <c r="D13" s="15" t="s">
        <v>1378</v>
      </c>
      <c r="E13" s="14" t="s">
        <v>161</v>
      </c>
      <c r="F13" s="14" t="s">
        <v>186</v>
      </c>
      <c r="G13" s="15" t="s">
        <v>1375</v>
      </c>
      <c r="H13" s="14" t="s">
        <v>126</v>
      </c>
      <c r="I13" s="14" t="s">
        <v>141</v>
      </c>
      <c r="J13" s="16"/>
      <c r="K13" s="15"/>
      <c r="L13" s="14" t="n">
        <v>1</v>
      </c>
      <c r="M13" s="14" t="n">
        <f aca="false">IF(OR(H13="not started",H13="partial",H13="implemented"),0,1)</f>
        <v>1</v>
      </c>
    </row>
    <row r="14" customFormat="false" ht="54" hidden="false" customHeight="true" outlineLevel="0" collapsed="false">
      <c r="A14" s="14" t="s">
        <v>1379</v>
      </c>
      <c r="B14" s="14" t="s">
        <v>1380</v>
      </c>
      <c r="C14" s="14" t="s">
        <v>1155</v>
      </c>
      <c r="D14" s="15" t="s">
        <v>1381</v>
      </c>
      <c r="E14" s="14" t="s">
        <v>161</v>
      </c>
      <c r="F14" s="14" t="s">
        <v>186</v>
      </c>
      <c r="G14" s="15" t="s">
        <v>1375</v>
      </c>
      <c r="H14" s="14" t="s">
        <v>126</v>
      </c>
      <c r="I14" s="14" t="s">
        <v>141</v>
      </c>
      <c r="J14" s="16"/>
      <c r="K14" s="15"/>
      <c r="L14" s="14" t="n">
        <v>1</v>
      </c>
      <c r="M14" s="14" t="n">
        <f aca="false">IF(OR(H14="not started",H14="partial",H14="implemented"),0,1)</f>
        <v>1</v>
      </c>
    </row>
    <row r="15" customFormat="false" ht="54" hidden="false" customHeight="true" outlineLevel="0" collapsed="false">
      <c r="A15" s="14" t="s">
        <v>1382</v>
      </c>
      <c r="B15" s="14" t="s">
        <v>1383</v>
      </c>
      <c r="C15" s="14" t="s">
        <v>830</v>
      </c>
      <c r="D15" s="15" t="s">
        <v>1384</v>
      </c>
      <c r="E15" s="14" t="s">
        <v>161</v>
      </c>
      <c r="F15" s="14" t="s">
        <v>186</v>
      </c>
      <c r="G15" s="15" t="s">
        <v>1375</v>
      </c>
      <c r="H15" s="14" t="s">
        <v>126</v>
      </c>
      <c r="I15" s="14" t="s">
        <v>141</v>
      </c>
      <c r="J15" s="16"/>
      <c r="K15" s="15"/>
      <c r="L15" s="14" t="n">
        <v>1</v>
      </c>
      <c r="M15" s="14" t="n">
        <f aca="false">IF(OR(H15="not started",H15="partial",H15="implemented"),0,1)</f>
        <v>1</v>
      </c>
    </row>
    <row r="16" customFormat="false" ht="54" hidden="false" customHeight="true" outlineLevel="0" collapsed="false">
      <c r="A16" s="14" t="s">
        <v>1385</v>
      </c>
      <c r="B16" s="14" t="s">
        <v>189</v>
      </c>
      <c r="C16" s="14" t="s">
        <v>1386</v>
      </c>
      <c r="D16" s="15" t="s">
        <v>1387</v>
      </c>
      <c r="E16" s="14" t="s">
        <v>161</v>
      </c>
      <c r="F16" s="14" t="s">
        <v>186</v>
      </c>
      <c r="G16" s="15" t="s">
        <v>1375</v>
      </c>
      <c r="H16" s="14" t="s">
        <v>126</v>
      </c>
      <c r="I16" s="14" t="s">
        <v>141</v>
      </c>
      <c r="J16" s="16"/>
      <c r="K16" s="15"/>
      <c r="L16" s="14" t="n">
        <v>1</v>
      </c>
      <c r="M16" s="14" t="n">
        <f aca="false">IF(OR(H16="not started",H16="partial",H16="implemented"),0,1)</f>
        <v>1</v>
      </c>
    </row>
    <row r="17" customFormat="false" ht="54" hidden="false" customHeight="true" outlineLevel="0" collapsed="false">
      <c r="A17" s="14" t="s">
        <v>1388</v>
      </c>
      <c r="B17" s="14" t="s">
        <v>209</v>
      </c>
      <c r="C17" s="14" t="s">
        <v>1274</v>
      </c>
      <c r="D17" s="15" t="s">
        <v>1389</v>
      </c>
      <c r="E17" s="14" t="s">
        <v>161</v>
      </c>
      <c r="F17" s="14" t="s">
        <v>181</v>
      </c>
      <c r="G17" s="15" t="s">
        <v>1390</v>
      </c>
      <c r="H17" s="14" t="s">
        <v>126</v>
      </c>
      <c r="I17" s="14" t="s">
        <v>141</v>
      </c>
      <c r="J17" s="16"/>
      <c r="K17" s="15"/>
      <c r="L17" s="14" t="n">
        <v>1</v>
      </c>
      <c r="M17" s="14" t="n">
        <f aca="false">IF(OR(H17="not started",H17="partial",H17="implemented"),0,1)</f>
        <v>1</v>
      </c>
    </row>
    <row r="18" customFormat="false" ht="54" hidden="false" customHeight="true" outlineLevel="0" collapsed="false">
      <c r="A18" s="14" t="s">
        <v>1391</v>
      </c>
      <c r="B18" s="14" t="s">
        <v>165</v>
      </c>
      <c r="C18" s="14" t="s">
        <v>51</v>
      </c>
      <c r="D18" s="15" t="s">
        <v>1392</v>
      </c>
      <c r="E18" s="14" t="s">
        <v>161</v>
      </c>
      <c r="F18" s="14" t="s">
        <v>161</v>
      </c>
      <c r="G18" s="15" t="s">
        <v>167</v>
      </c>
      <c r="H18" s="14" t="s">
        <v>126</v>
      </c>
      <c r="I18" s="14" t="s">
        <v>141</v>
      </c>
      <c r="J18" s="16"/>
      <c r="K18" s="15"/>
      <c r="L18" s="14" t="n">
        <v>1</v>
      </c>
      <c r="M18" s="14" t="n">
        <f aca="false">IF(OR(H18="not started",H18="partial",H18="implemented"),0,1)</f>
        <v>1</v>
      </c>
    </row>
    <row r="19" customFormat="false" ht="54" hidden="false" customHeight="true" outlineLevel="0" collapsed="false">
      <c r="A19" s="14" t="s">
        <v>1393</v>
      </c>
      <c r="B19" s="14" t="s">
        <v>169</v>
      </c>
      <c r="C19" s="14" t="s">
        <v>51</v>
      </c>
      <c r="D19" s="15" t="s">
        <v>1394</v>
      </c>
      <c r="E19" s="14" t="s">
        <v>161</v>
      </c>
      <c r="F19" s="14" t="s">
        <v>171</v>
      </c>
      <c r="G19" s="15" t="s">
        <v>1395</v>
      </c>
      <c r="H19" s="14" t="s">
        <v>126</v>
      </c>
      <c r="I19" s="14" t="s">
        <v>141</v>
      </c>
      <c r="J19" s="16"/>
      <c r="K19" s="15"/>
      <c r="L19" s="14" t="n">
        <v>1</v>
      </c>
      <c r="M19" s="14" t="n">
        <f aca="false">IF(OR(H19="not started",H19="partial",H19="implemented"),0,1)</f>
        <v>1</v>
      </c>
    </row>
    <row r="20" customFormat="false" ht="54" hidden="false" customHeight="true" outlineLevel="0" collapsed="false">
      <c r="A20" s="14" t="s">
        <v>1396</v>
      </c>
      <c r="B20" s="14" t="s">
        <v>174</v>
      </c>
      <c r="C20" s="14" t="s">
        <v>51</v>
      </c>
      <c r="D20" s="15" t="s">
        <v>1397</v>
      </c>
      <c r="E20" s="14" t="s">
        <v>161</v>
      </c>
      <c r="F20" s="14" t="s">
        <v>176</v>
      </c>
      <c r="G20" s="15" t="s">
        <v>1398</v>
      </c>
      <c r="H20" s="14" t="s">
        <v>126</v>
      </c>
      <c r="I20" s="14" t="s">
        <v>141</v>
      </c>
      <c r="J20" s="16"/>
      <c r="K20" s="15"/>
      <c r="L20" s="14" t="n">
        <v>1</v>
      </c>
      <c r="M20" s="14" t="n">
        <f aca="false">IF(OR(H20="not started",H20="partial",H20="implemented"),0,1)</f>
        <v>1</v>
      </c>
    </row>
    <row r="21" customFormat="false" ht="54" hidden="false" customHeight="true" outlineLevel="0" collapsed="false">
      <c r="A21" s="14" t="s">
        <v>1399</v>
      </c>
      <c r="B21" s="14" t="s">
        <v>1400</v>
      </c>
      <c r="C21" s="14" t="s">
        <v>51</v>
      </c>
      <c r="D21" s="15" t="s">
        <v>1401</v>
      </c>
      <c r="E21" s="14" t="s">
        <v>161</v>
      </c>
      <c r="F21" s="14" t="s">
        <v>161</v>
      </c>
      <c r="G21" s="15" t="s">
        <v>1402</v>
      </c>
      <c r="H21" s="14" t="s">
        <v>126</v>
      </c>
      <c r="I21" s="14" t="s">
        <v>141</v>
      </c>
      <c r="J21" s="16"/>
      <c r="K21" s="15"/>
      <c r="L21" s="14" t="n">
        <v>1</v>
      </c>
      <c r="M21" s="14" t="n">
        <f aca="false">IF(OR(H21="not started",H21="partial",H21="implemented"),0,1)</f>
        <v>1</v>
      </c>
    </row>
    <row r="22" customFormat="false" ht="54" hidden="false" customHeight="true" outlineLevel="0" collapsed="false">
      <c r="A22" s="14" t="s">
        <v>1403</v>
      </c>
      <c r="B22" s="14" t="s">
        <v>649</v>
      </c>
      <c r="C22" s="14" t="s">
        <v>51</v>
      </c>
      <c r="D22" s="15" t="s">
        <v>1404</v>
      </c>
      <c r="E22" s="14" t="s">
        <v>161</v>
      </c>
      <c r="F22" s="14" t="s">
        <v>186</v>
      </c>
      <c r="G22" s="15" t="s">
        <v>1405</v>
      </c>
      <c r="H22" s="14" t="s">
        <v>126</v>
      </c>
      <c r="I22" s="14" t="s">
        <v>141</v>
      </c>
      <c r="J22" s="16"/>
      <c r="K22" s="15"/>
      <c r="L22" s="14" t="n">
        <v>1</v>
      </c>
      <c r="M22" s="14" t="n">
        <f aca="false">IF(OR(H22="not started",H22="partial",H22="implemented"),0,1)</f>
        <v>1</v>
      </c>
    </row>
    <row r="23" customFormat="false" ht="54" hidden="false" customHeight="true" outlineLevel="0" collapsed="false">
      <c r="A23" s="14" t="s">
        <v>1406</v>
      </c>
      <c r="B23" s="14" t="s">
        <v>194</v>
      </c>
      <c r="C23" s="14" t="s">
        <v>51</v>
      </c>
      <c r="D23" s="15" t="s">
        <v>1407</v>
      </c>
      <c r="E23" s="14" t="s">
        <v>161</v>
      </c>
      <c r="F23" s="14" t="s">
        <v>196</v>
      </c>
      <c r="G23" s="15" t="s">
        <v>1408</v>
      </c>
      <c r="H23" s="14" t="s">
        <v>124</v>
      </c>
      <c r="I23" s="14" t="s">
        <v>140</v>
      </c>
      <c r="J23" s="16"/>
      <c r="K23" s="15" t="s">
        <v>1409</v>
      </c>
      <c r="L23" s="14" t="n">
        <v>1</v>
      </c>
      <c r="M23" s="14" t="n">
        <f aca="false">IF(OR(H23="not started",H23="partial",H23="implemented"),0,1)</f>
        <v>0</v>
      </c>
    </row>
    <row r="24" customFormat="false" ht="54" hidden="false" customHeight="true" outlineLevel="0" collapsed="false">
      <c r="A24" s="14" t="s">
        <v>1410</v>
      </c>
      <c r="B24" s="14" t="s">
        <v>200</v>
      </c>
      <c r="C24" s="14" t="s">
        <v>51</v>
      </c>
      <c r="D24" s="15" t="s">
        <v>1411</v>
      </c>
      <c r="E24" s="14" t="s">
        <v>161</v>
      </c>
      <c r="F24" s="14" t="s">
        <v>202</v>
      </c>
      <c r="G24" s="15" t="s">
        <v>1412</v>
      </c>
      <c r="H24" s="14" t="s">
        <v>124</v>
      </c>
      <c r="I24" s="14" t="s">
        <v>140</v>
      </c>
      <c r="J24" s="16"/>
      <c r="K24" s="15" t="s">
        <v>1409</v>
      </c>
      <c r="L24" s="14" t="n">
        <v>1</v>
      </c>
      <c r="M24" s="14" t="n">
        <f aca="false">IF(OR(H24="not started",H24="partial",H24="implemented"),0,1)</f>
        <v>0</v>
      </c>
    </row>
    <row r="25" customFormat="false" ht="54" hidden="false" customHeight="true" outlineLevel="0" collapsed="false">
      <c r="A25" s="14" t="s">
        <v>1413</v>
      </c>
      <c r="B25" s="14" t="s">
        <v>214</v>
      </c>
      <c r="C25" s="14" t="s">
        <v>51</v>
      </c>
      <c r="D25" s="15" t="s">
        <v>1414</v>
      </c>
      <c r="E25" s="14" t="s">
        <v>161</v>
      </c>
      <c r="F25" s="14" t="s">
        <v>202</v>
      </c>
      <c r="G25" s="15" t="s">
        <v>1412</v>
      </c>
      <c r="H25" s="14" t="s">
        <v>124</v>
      </c>
      <c r="I25" s="14" t="s">
        <v>140</v>
      </c>
      <c r="J25" s="16"/>
      <c r="K25" s="15" t="s">
        <v>1409</v>
      </c>
      <c r="L25" s="14" t="n">
        <v>1</v>
      </c>
      <c r="M25" s="14" t="n">
        <f aca="false">IF(OR(H25="not started",H25="partial",H25="implemented"),0,1)</f>
        <v>0</v>
      </c>
    </row>
    <row r="26" customFormat="false" ht="54" hidden="false" customHeight="true" outlineLevel="0" collapsed="false">
      <c r="A26" s="14" t="s">
        <v>1415</v>
      </c>
      <c r="B26" s="14" t="s">
        <v>218</v>
      </c>
      <c r="C26" s="14" t="s">
        <v>51</v>
      </c>
      <c r="D26" s="15" t="s">
        <v>1416</v>
      </c>
      <c r="E26" s="14" t="s">
        <v>161</v>
      </c>
      <c r="F26" s="14" t="s">
        <v>220</v>
      </c>
      <c r="G26" s="15" t="s">
        <v>1417</v>
      </c>
      <c r="H26" s="14" t="s">
        <v>126</v>
      </c>
      <c r="I26" s="14" t="s">
        <v>141</v>
      </c>
      <c r="J26" s="16"/>
      <c r="K26" s="15"/>
      <c r="L26" s="14" t="n">
        <v>1</v>
      </c>
      <c r="M26" s="14" t="n">
        <f aca="false">IF(OR(H26="not started",H26="partial",H26="implemented"),0,1)</f>
        <v>1</v>
      </c>
    </row>
    <row r="27" customFormat="false" ht="54" hidden="false" customHeight="true" outlineLevel="0" collapsed="false">
      <c r="A27" s="14" t="s">
        <v>1418</v>
      </c>
      <c r="B27" s="14" t="s">
        <v>223</v>
      </c>
      <c r="C27" s="14" t="s">
        <v>51</v>
      </c>
      <c r="D27" s="15" t="s">
        <v>1419</v>
      </c>
      <c r="E27" s="14" t="s">
        <v>161</v>
      </c>
      <c r="F27" s="14" t="s">
        <v>220</v>
      </c>
      <c r="G27" s="15" t="s">
        <v>1420</v>
      </c>
      <c r="H27" s="14" t="s">
        <v>126</v>
      </c>
      <c r="I27" s="14" t="s">
        <v>141</v>
      </c>
      <c r="J27" s="16"/>
      <c r="K27" s="15"/>
      <c r="L27" s="14" t="n">
        <v>1</v>
      </c>
      <c r="M27" s="14" t="n">
        <f aca="false">IF(OR(H27="not started",H27="partial",H27="implemented"),0,1)</f>
        <v>1</v>
      </c>
    </row>
    <row r="28" customFormat="false" ht="54" hidden="false" customHeight="true" outlineLevel="0" collapsed="false">
      <c r="A28" s="14" t="s">
        <v>1421</v>
      </c>
      <c r="B28" s="14" t="s">
        <v>227</v>
      </c>
      <c r="C28" s="14" t="s">
        <v>51</v>
      </c>
      <c r="D28" s="15" t="s">
        <v>1422</v>
      </c>
      <c r="E28" s="14" t="s">
        <v>229</v>
      </c>
      <c r="F28" s="14" t="s">
        <v>229</v>
      </c>
      <c r="G28" s="15" t="s">
        <v>230</v>
      </c>
      <c r="H28" s="14" t="s">
        <v>126</v>
      </c>
      <c r="I28" s="14" t="s">
        <v>141</v>
      </c>
      <c r="J28" s="16"/>
      <c r="K28" s="15"/>
      <c r="L28" s="14" t="n">
        <v>1</v>
      </c>
      <c r="M28" s="14" t="n">
        <f aca="false">IF(OR(H28="not started",H28="partial",H28="implemented"),0,1)</f>
        <v>1</v>
      </c>
    </row>
    <row r="29" customFormat="false" ht="54" hidden="false" customHeight="true" outlineLevel="0" collapsed="false">
      <c r="A29" s="14" t="s">
        <v>1423</v>
      </c>
      <c r="B29" s="14" t="s">
        <v>1302</v>
      </c>
      <c r="C29" s="14" t="s">
        <v>51</v>
      </c>
      <c r="D29" s="15" t="s">
        <v>1424</v>
      </c>
      <c r="E29" s="14" t="s">
        <v>161</v>
      </c>
      <c r="F29" s="14" t="s">
        <v>1304</v>
      </c>
      <c r="G29" s="15" t="s">
        <v>1425</v>
      </c>
      <c r="H29" s="14" t="s">
        <v>126</v>
      </c>
      <c r="I29" s="14" t="s">
        <v>141</v>
      </c>
      <c r="J29" s="16"/>
      <c r="K29" s="15"/>
      <c r="L29" s="14" t="n">
        <v>1</v>
      </c>
      <c r="M29" s="14" t="n">
        <f aca="false">IF(OR(H29="not started",H29="partial",H29="implemented"),0,1)</f>
        <v>1</v>
      </c>
    </row>
    <row r="30" customFormat="false" ht="54" hidden="false" customHeight="true" outlineLevel="0" collapsed="false">
      <c r="A30" s="14" t="s">
        <v>1426</v>
      </c>
      <c r="B30" s="14" t="s">
        <v>232</v>
      </c>
      <c r="C30" s="14" t="s">
        <v>51</v>
      </c>
      <c r="D30" s="15" t="s">
        <v>1427</v>
      </c>
      <c r="E30" s="14" t="s">
        <v>161</v>
      </c>
      <c r="F30" s="14" t="s">
        <v>161</v>
      </c>
      <c r="G30" s="15" t="s">
        <v>167</v>
      </c>
      <c r="H30" s="14" t="s">
        <v>126</v>
      </c>
      <c r="I30" s="14" t="s">
        <v>141</v>
      </c>
      <c r="J30" s="16"/>
      <c r="K30" s="15"/>
      <c r="L30" s="14" t="n">
        <v>1</v>
      </c>
      <c r="M30" s="14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604</v>
      </c>
      <c r="B9" s="14" t="s">
        <v>158</v>
      </c>
      <c r="C9" s="14" t="s">
        <v>810</v>
      </c>
      <c r="D9" s="15" t="s">
        <v>1430</v>
      </c>
      <c r="E9" s="14" t="s">
        <v>161</v>
      </c>
      <c r="F9" s="14" t="s">
        <v>162</v>
      </c>
      <c r="G9" s="15" t="s">
        <v>1431</v>
      </c>
      <c r="H9" s="14" t="s">
        <v>126</v>
      </c>
      <c r="I9" s="14" t="s">
        <v>141</v>
      </c>
      <c r="J9" s="16" t="n">
        <v>46229</v>
      </c>
      <c r="K9" s="15"/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607</v>
      </c>
      <c r="B10" s="14" t="s">
        <v>1432</v>
      </c>
      <c r="C10" s="14" t="s">
        <v>1433</v>
      </c>
      <c r="D10" s="15" t="s">
        <v>1434</v>
      </c>
      <c r="E10" s="14" t="s">
        <v>161</v>
      </c>
      <c r="F10" s="14" t="s">
        <v>181</v>
      </c>
      <c r="G10" s="15" t="s">
        <v>1435</v>
      </c>
      <c r="H10" s="14" t="s">
        <v>126</v>
      </c>
      <c r="I10" s="14" t="s">
        <v>141</v>
      </c>
      <c r="J10" s="16" t="n">
        <v>46229</v>
      </c>
      <c r="K10" s="15"/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610</v>
      </c>
      <c r="B11" s="14" t="s">
        <v>165</v>
      </c>
      <c r="C11" s="14" t="s">
        <v>52</v>
      </c>
      <c r="D11" s="15" t="s">
        <v>1436</v>
      </c>
      <c r="E11" s="14" t="s">
        <v>161</v>
      </c>
      <c r="F11" s="14" t="s">
        <v>161</v>
      </c>
      <c r="G11" s="15" t="s">
        <v>609</v>
      </c>
      <c r="H11" s="14" t="s">
        <v>126</v>
      </c>
      <c r="I11" s="14" t="s">
        <v>141</v>
      </c>
      <c r="J11" s="16" t="n">
        <v>46229</v>
      </c>
      <c r="K11" s="15"/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613</v>
      </c>
      <c r="B12" s="14" t="s">
        <v>169</v>
      </c>
      <c r="C12" s="14" t="s">
        <v>52</v>
      </c>
      <c r="D12" s="15" t="s">
        <v>1437</v>
      </c>
      <c r="E12" s="14" t="s">
        <v>161</v>
      </c>
      <c r="F12" s="14" t="s">
        <v>171</v>
      </c>
      <c r="G12" s="15" t="s">
        <v>1438</v>
      </c>
      <c r="H12" s="14" t="s">
        <v>126</v>
      </c>
      <c r="I12" s="14" t="s">
        <v>141</v>
      </c>
      <c r="J12" s="16" t="n">
        <v>46229</v>
      </c>
      <c r="K12" s="15"/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616</v>
      </c>
      <c r="B13" s="14" t="s">
        <v>174</v>
      </c>
      <c r="C13" s="14" t="s">
        <v>52</v>
      </c>
      <c r="D13" s="15" t="s">
        <v>1439</v>
      </c>
      <c r="E13" s="14" t="s">
        <v>161</v>
      </c>
      <c r="F13" s="14" t="s">
        <v>176</v>
      </c>
      <c r="G13" s="15" t="s">
        <v>1440</v>
      </c>
      <c r="H13" s="14" t="s">
        <v>126</v>
      </c>
      <c r="I13" s="14" t="s">
        <v>141</v>
      </c>
      <c r="J13" s="16" t="n">
        <v>46229</v>
      </c>
      <c r="K13" s="15"/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619</v>
      </c>
      <c r="B14" s="14" t="s">
        <v>179</v>
      </c>
      <c r="C14" s="14" t="s">
        <v>52</v>
      </c>
      <c r="D14" s="15" t="s">
        <v>1441</v>
      </c>
      <c r="E14" s="14" t="s">
        <v>161</v>
      </c>
      <c r="F14" s="14" t="s">
        <v>181</v>
      </c>
      <c r="G14" s="15" t="s">
        <v>1435</v>
      </c>
      <c r="H14" s="14" t="s">
        <v>126</v>
      </c>
      <c r="I14" s="14" t="s">
        <v>141</v>
      </c>
      <c r="J14" s="16" t="n">
        <v>46229</v>
      </c>
      <c r="K14" s="15"/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622</v>
      </c>
      <c r="B15" s="14" t="s">
        <v>184</v>
      </c>
      <c r="C15" s="14" t="s">
        <v>1442</v>
      </c>
      <c r="D15" s="15" t="s">
        <v>1443</v>
      </c>
      <c r="E15" s="14" t="s">
        <v>161</v>
      </c>
      <c r="F15" s="14" t="s">
        <v>186</v>
      </c>
      <c r="G15" s="15" t="s">
        <v>1444</v>
      </c>
      <c r="H15" s="14" t="s">
        <v>126</v>
      </c>
      <c r="I15" s="14" t="s">
        <v>141</v>
      </c>
      <c r="J15" s="16" t="n">
        <v>46229</v>
      </c>
      <c r="K15" s="15"/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624</v>
      </c>
      <c r="B16" s="14" t="s">
        <v>1383</v>
      </c>
      <c r="C16" s="14" t="s">
        <v>1445</v>
      </c>
      <c r="D16" s="15" t="s">
        <v>1446</v>
      </c>
      <c r="E16" s="14" t="s">
        <v>161</v>
      </c>
      <c r="F16" s="14" t="s">
        <v>186</v>
      </c>
      <c r="G16" s="15" t="s">
        <v>1444</v>
      </c>
      <c r="H16" s="14" t="s">
        <v>126</v>
      </c>
      <c r="I16" s="14" t="s">
        <v>141</v>
      </c>
      <c r="J16" s="16" t="n">
        <v>46229</v>
      </c>
      <c r="K16" s="15"/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627</v>
      </c>
      <c r="B17" s="14" t="s">
        <v>189</v>
      </c>
      <c r="C17" s="14" t="s">
        <v>1447</v>
      </c>
      <c r="D17" s="15" t="s">
        <v>1448</v>
      </c>
      <c r="E17" s="14" t="s">
        <v>161</v>
      </c>
      <c r="F17" s="14" t="s">
        <v>191</v>
      </c>
      <c r="G17" s="15" t="s">
        <v>1444</v>
      </c>
      <c r="H17" s="14" t="s">
        <v>126</v>
      </c>
      <c r="I17" s="14" t="s">
        <v>141</v>
      </c>
      <c r="J17" s="16" t="n">
        <v>46229</v>
      </c>
      <c r="K17" s="15"/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631</v>
      </c>
      <c r="B18" s="14" t="s">
        <v>194</v>
      </c>
      <c r="C18" s="14" t="s">
        <v>52</v>
      </c>
      <c r="D18" s="15" t="s">
        <v>1449</v>
      </c>
      <c r="E18" s="14" t="s">
        <v>161</v>
      </c>
      <c r="F18" s="14" t="s">
        <v>196</v>
      </c>
      <c r="G18" s="15" t="s">
        <v>1450</v>
      </c>
      <c r="H18" s="14" t="s">
        <v>128</v>
      </c>
      <c r="I18" s="14" t="s">
        <v>140</v>
      </c>
      <c r="J18" s="16" t="n">
        <v>46229</v>
      </c>
      <c r="K18" s="15" t="s">
        <v>1451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635</v>
      </c>
      <c r="B19" s="14" t="s">
        <v>200</v>
      </c>
      <c r="C19" s="14" t="s">
        <v>52</v>
      </c>
      <c r="D19" s="15" t="s">
        <v>1452</v>
      </c>
      <c r="E19" s="14" t="s">
        <v>161</v>
      </c>
      <c r="F19" s="14" t="s">
        <v>202</v>
      </c>
      <c r="G19" s="15" t="s">
        <v>1453</v>
      </c>
      <c r="H19" s="14" t="s">
        <v>124</v>
      </c>
      <c r="I19" s="14" t="s">
        <v>140</v>
      </c>
      <c r="J19" s="16"/>
      <c r="K19" s="15" t="s">
        <v>972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637</v>
      </c>
      <c r="B20" s="14" t="s">
        <v>206</v>
      </c>
      <c r="C20" s="14" t="s">
        <v>52</v>
      </c>
      <c r="D20" s="15" t="s">
        <v>1454</v>
      </c>
      <c r="E20" s="14" t="s">
        <v>161</v>
      </c>
      <c r="F20" s="14" t="s">
        <v>202</v>
      </c>
      <c r="G20" s="15" t="s">
        <v>1455</v>
      </c>
      <c r="H20" s="14" t="s">
        <v>124</v>
      </c>
      <c r="I20" s="14" t="s">
        <v>140</v>
      </c>
      <c r="J20" s="16"/>
      <c r="K20" s="15" t="s">
        <v>833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640</v>
      </c>
      <c r="B21" s="14" t="s">
        <v>1369</v>
      </c>
      <c r="C21" s="14" t="s">
        <v>810</v>
      </c>
      <c r="D21" s="15" t="s">
        <v>1456</v>
      </c>
      <c r="E21" s="14" t="s">
        <v>161</v>
      </c>
      <c r="F21" s="14" t="s">
        <v>186</v>
      </c>
      <c r="G21" s="15" t="s">
        <v>1457</v>
      </c>
      <c r="H21" s="14" t="s">
        <v>126</v>
      </c>
      <c r="I21" s="14" t="s">
        <v>141</v>
      </c>
      <c r="J21" s="16" t="n">
        <v>46229</v>
      </c>
      <c r="K21" s="15"/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643</v>
      </c>
      <c r="B22" s="14" t="s">
        <v>214</v>
      </c>
      <c r="C22" s="14" t="s">
        <v>52</v>
      </c>
      <c r="D22" s="15" t="s">
        <v>1458</v>
      </c>
      <c r="E22" s="14" t="s">
        <v>161</v>
      </c>
      <c r="F22" s="14" t="s">
        <v>202</v>
      </c>
      <c r="G22" s="15" t="s">
        <v>1453</v>
      </c>
      <c r="H22" s="14" t="s">
        <v>124</v>
      </c>
      <c r="I22" s="14" t="s">
        <v>140</v>
      </c>
      <c r="J22" s="16"/>
      <c r="K22" s="15" t="s">
        <v>977</v>
      </c>
      <c r="M22" s="14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4" t="s">
        <v>646</v>
      </c>
      <c r="B23" s="14" t="s">
        <v>218</v>
      </c>
      <c r="C23" s="14" t="s">
        <v>52</v>
      </c>
      <c r="D23" s="15" t="s">
        <v>1459</v>
      </c>
      <c r="E23" s="14" t="s">
        <v>161</v>
      </c>
      <c r="F23" s="14" t="s">
        <v>220</v>
      </c>
      <c r="G23" s="15" t="s">
        <v>1460</v>
      </c>
      <c r="H23" s="14" t="s">
        <v>126</v>
      </c>
      <c r="I23" s="14" t="s">
        <v>141</v>
      </c>
      <c r="J23" s="16" t="n">
        <v>46229</v>
      </c>
      <c r="K23" s="15"/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648</v>
      </c>
      <c r="B24" s="14" t="s">
        <v>223</v>
      </c>
      <c r="C24" s="14" t="s">
        <v>52</v>
      </c>
      <c r="D24" s="15" t="s">
        <v>1461</v>
      </c>
      <c r="E24" s="14" t="s">
        <v>161</v>
      </c>
      <c r="F24" s="14" t="s">
        <v>220</v>
      </c>
      <c r="G24" s="15" t="s">
        <v>1462</v>
      </c>
      <c r="H24" s="14" t="s">
        <v>126</v>
      </c>
      <c r="I24" s="14" t="s">
        <v>141</v>
      </c>
      <c r="J24" s="16" t="n">
        <v>46229</v>
      </c>
      <c r="K24" s="15"/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653</v>
      </c>
      <c r="B25" s="14" t="s">
        <v>227</v>
      </c>
      <c r="C25" s="14" t="s">
        <v>52</v>
      </c>
      <c r="D25" s="15" t="s">
        <v>1463</v>
      </c>
      <c r="E25" s="14" t="s">
        <v>229</v>
      </c>
      <c r="F25" s="14" t="s">
        <v>229</v>
      </c>
      <c r="G25" s="15" t="s">
        <v>230</v>
      </c>
      <c r="H25" s="14" t="s">
        <v>126</v>
      </c>
      <c r="I25" s="14" t="s">
        <v>141</v>
      </c>
      <c r="J25" s="16" t="n">
        <v>46229</v>
      </c>
      <c r="K25" s="15"/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1464</v>
      </c>
      <c r="B26" s="14" t="s">
        <v>649</v>
      </c>
      <c r="C26" s="14" t="s">
        <v>52</v>
      </c>
      <c r="D26" s="15" t="s">
        <v>1465</v>
      </c>
      <c r="E26" s="14" t="s">
        <v>161</v>
      </c>
      <c r="F26" s="14" t="s">
        <v>161</v>
      </c>
      <c r="G26" s="15" t="s">
        <v>1466</v>
      </c>
      <c r="H26" s="14" t="s">
        <v>126</v>
      </c>
      <c r="I26" s="14" t="s">
        <v>141</v>
      </c>
      <c r="J26" s="16" t="n">
        <v>46229</v>
      </c>
      <c r="K26" s="15"/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1467</v>
      </c>
      <c r="B27" s="14" t="s">
        <v>232</v>
      </c>
      <c r="C27" s="14" t="s">
        <v>52</v>
      </c>
      <c r="D27" s="15" t="s">
        <v>1468</v>
      </c>
      <c r="E27" s="14" t="s">
        <v>161</v>
      </c>
      <c r="F27" s="14" t="s">
        <v>161</v>
      </c>
      <c r="G27" s="15" t="s">
        <v>1469</v>
      </c>
      <c r="H27" s="14" t="s">
        <v>124</v>
      </c>
      <c r="I27" s="14" t="s">
        <v>140</v>
      </c>
      <c r="J27" s="16"/>
      <c r="K27" s="15" t="s">
        <v>1470</v>
      </c>
      <c r="M27" s="14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799</v>
      </c>
      <c r="B9" s="14" t="s">
        <v>158</v>
      </c>
      <c r="C9" s="14" t="s">
        <v>1473</v>
      </c>
      <c r="D9" s="15" t="s">
        <v>1474</v>
      </c>
      <c r="E9" s="14" t="s">
        <v>161</v>
      </c>
      <c r="F9" s="14" t="s">
        <v>162</v>
      </c>
      <c r="G9" s="15" t="s">
        <v>1475</v>
      </c>
      <c r="H9" s="14" t="s">
        <v>126</v>
      </c>
      <c r="I9" s="14" t="s">
        <v>141</v>
      </c>
      <c r="J9" s="16" t="n">
        <v>46229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802</v>
      </c>
      <c r="B10" s="14" t="s">
        <v>1432</v>
      </c>
      <c r="C10" s="14" t="s">
        <v>1274</v>
      </c>
      <c r="D10" s="15" t="s">
        <v>1476</v>
      </c>
      <c r="E10" s="14" t="s">
        <v>161</v>
      </c>
      <c r="F10" s="14" t="s">
        <v>181</v>
      </c>
      <c r="G10" s="15" t="s">
        <v>1477</v>
      </c>
      <c r="H10" s="14" t="s">
        <v>126</v>
      </c>
      <c r="I10" s="14" t="s">
        <v>141</v>
      </c>
      <c r="J10" s="16" t="n">
        <v>46229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805</v>
      </c>
      <c r="B11" s="14" t="s">
        <v>165</v>
      </c>
      <c r="C11" s="14" t="s">
        <v>53</v>
      </c>
      <c r="D11" s="15" t="s">
        <v>1478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46229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809</v>
      </c>
      <c r="B12" s="14" t="s">
        <v>169</v>
      </c>
      <c r="C12" s="14" t="s">
        <v>1479</v>
      </c>
      <c r="D12" s="15" t="s">
        <v>1480</v>
      </c>
      <c r="E12" s="14" t="s">
        <v>161</v>
      </c>
      <c r="F12" s="14" t="s">
        <v>171</v>
      </c>
      <c r="G12" s="15" t="s">
        <v>1481</v>
      </c>
      <c r="H12" s="14" t="s">
        <v>126</v>
      </c>
      <c r="I12" s="14" t="s">
        <v>141</v>
      </c>
      <c r="J12" s="16" t="n">
        <v>46229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813</v>
      </c>
      <c r="B13" s="14" t="s">
        <v>174</v>
      </c>
      <c r="C13" s="14" t="s">
        <v>1482</v>
      </c>
      <c r="D13" s="15" t="s">
        <v>1483</v>
      </c>
      <c r="E13" s="14" t="s">
        <v>161</v>
      </c>
      <c r="F13" s="14" t="s">
        <v>176</v>
      </c>
      <c r="G13" s="15" t="s">
        <v>1484</v>
      </c>
      <c r="H13" s="14" t="s">
        <v>126</v>
      </c>
      <c r="I13" s="14" t="s">
        <v>141</v>
      </c>
      <c r="J13" s="16" t="n">
        <v>46229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816</v>
      </c>
      <c r="B14" s="14" t="s">
        <v>1485</v>
      </c>
      <c r="C14" s="14" t="s">
        <v>1486</v>
      </c>
      <c r="D14" s="15" t="s">
        <v>1487</v>
      </c>
      <c r="E14" s="14" t="s">
        <v>161</v>
      </c>
      <c r="F14" s="14" t="s">
        <v>181</v>
      </c>
      <c r="G14" s="15" t="s">
        <v>1488</v>
      </c>
      <c r="H14" s="14" t="s">
        <v>126</v>
      </c>
      <c r="I14" s="14" t="s">
        <v>141</v>
      </c>
      <c r="J14" s="16" t="n">
        <v>46229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819</v>
      </c>
      <c r="B15" s="14" t="s">
        <v>1222</v>
      </c>
      <c r="C15" s="14" t="s">
        <v>1473</v>
      </c>
      <c r="D15" s="15" t="s">
        <v>1489</v>
      </c>
      <c r="E15" s="14" t="s">
        <v>161</v>
      </c>
      <c r="F15" s="14" t="s">
        <v>186</v>
      </c>
      <c r="G15" s="15" t="s">
        <v>1490</v>
      </c>
      <c r="H15" s="14" t="s">
        <v>126</v>
      </c>
      <c r="I15" s="14" t="s">
        <v>141</v>
      </c>
      <c r="J15" s="16" t="n">
        <v>46229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821</v>
      </c>
      <c r="B16" s="14" t="s">
        <v>1491</v>
      </c>
      <c r="C16" s="14" t="s">
        <v>1492</v>
      </c>
      <c r="D16" s="15" t="s">
        <v>1493</v>
      </c>
      <c r="E16" s="14" t="s">
        <v>161</v>
      </c>
      <c r="F16" s="14" t="s">
        <v>186</v>
      </c>
      <c r="G16" s="15" t="s">
        <v>1494</v>
      </c>
      <c r="H16" s="14" t="s">
        <v>126</v>
      </c>
      <c r="I16" s="14" t="s">
        <v>141</v>
      </c>
      <c r="J16" s="16" t="n">
        <v>46229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825</v>
      </c>
      <c r="B17" s="14" t="s">
        <v>1495</v>
      </c>
      <c r="C17" s="14" t="s">
        <v>1496</v>
      </c>
      <c r="D17" s="15" t="s">
        <v>1497</v>
      </c>
      <c r="E17" s="14" t="s">
        <v>161</v>
      </c>
      <c r="F17" s="14" t="s">
        <v>186</v>
      </c>
      <c r="G17" s="15" t="s">
        <v>1490</v>
      </c>
      <c r="H17" s="14" t="s">
        <v>126</v>
      </c>
      <c r="I17" s="14" t="s">
        <v>141</v>
      </c>
      <c r="J17" s="16" t="n">
        <v>46229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829</v>
      </c>
      <c r="B18" s="14" t="s">
        <v>1498</v>
      </c>
      <c r="C18" s="14" t="s">
        <v>1473</v>
      </c>
      <c r="D18" s="15" t="s">
        <v>1499</v>
      </c>
      <c r="E18" s="14" t="s">
        <v>161</v>
      </c>
      <c r="F18" s="14" t="s">
        <v>186</v>
      </c>
      <c r="G18" s="15" t="s">
        <v>1494</v>
      </c>
      <c r="H18" s="14" t="s">
        <v>126</v>
      </c>
      <c r="I18" s="14" t="s">
        <v>141</v>
      </c>
      <c r="J18" s="16" t="n">
        <v>46229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834</v>
      </c>
      <c r="B19" s="14" t="s">
        <v>209</v>
      </c>
      <c r="C19" s="14" t="s">
        <v>1500</v>
      </c>
      <c r="D19" s="15" t="s">
        <v>1501</v>
      </c>
      <c r="E19" s="14" t="s">
        <v>161</v>
      </c>
      <c r="F19" s="14" t="s">
        <v>181</v>
      </c>
      <c r="G19" s="15" t="s">
        <v>1488</v>
      </c>
      <c r="H19" s="14" t="s">
        <v>126</v>
      </c>
      <c r="I19" s="14" t="s">
        <v>141</v>
      </c>
      <c r="J19" s="16" t="n">
        <v>46229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837</v>
      </c>
      <c r="B20" s="14" t="s">
        <v>189</v>
      </c>
      <c r="C20" s="14" t="s">
        <v>53</v>
      </c>
      <c r="D20" s="15" t="s">
        <v>1502</v>
      </c>
      <c r="E20" s="14" t="s">
        <v>161</v>
      </c>
      <c r="F20" s="14" t="s">
        <v>191</v>
      </c>
      <c r="G20" s="15" t="s">
        <v>1490</v>
      </c>
      <c r="H20" s="14" t="s">
        <v>126</v>
      </c>
      <c r="I20" s="14" t="s">
        <v>141</v>
      </c>
      <c r="J20" s="16" t="n">
        <v>46229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840</v>
      </c>
      <c r="B21" s="14" t="s">
        <v>194</v>
      </c>
      <c r="C21" s="14" t="s">
        <v>53</v>
      </c>
      <c r="D21" s="15" t="s">
        <v>1503</v>
      </c>
      <c r="E21" s="14" t="s">
        <v>161</v>
      </c>
      <c r="F21" s="14" t="s">
        <v>196</v>
      </c>
      <c r="G21" s="15" t="s">
        <v>1504</v>
      </c>
      <c r="H21" s="14" t="s">
        <v>124</v>
      </c>
      <c r="I21" s="14" t="s">
        <v>140</v>
      </c>
      <c r="J21" s="16"/>
      <c r="K21" s="15" t="s">
        <v>1505</v>
      </c>
      <c r="L21" s="14" t="n">
        <v>1</v>
      </c>
      <c r="M21" s="14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4" t="s">
        <v>843</v>
      </c>
      <c r="B22" s="14" t="s">
        <v>200</v>
      </c>
      <c r="C22" s="14" t="s">
        <v>1506</v>
      </c>
      <c r="D22" s="15" t="s">
        <v>1507</v>
      </c>
      <c r="E22" s="14" t="s">
        <v>161</v>
      </c>
      <c r="F22" s="14" t="s">
        <v>202</v>
      </c>
      <c r="G22" s="15" t="s">
        <v>1508</v>
      </c>
      <c r="H22" s="14" t="s">
        <v>124</v>
      </c>
      <c r="I22" s="14" t="s">
        <v>140</v>
      </c>
      <c r="J22" s="16"/>
      <c r="K22" s="15" t="s">
        <v>1509</v>
      </c>
      <c r="L22" s="14" t="n">
        <v>1</v>
      </c>
      <c r="M22" s="14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4" t="s">
        <v>846</v>
      </c>
      <c r="B23" s="14" t="s">
        <v>1510</v>
      </c>
      <c r="C23" s="14" t="s">
        <v>1155</v>
      </c>
      <c r="D23" s="15" t="s">
        <v>1511</v>
      </c>
      <c r="E23" s="14" t="s">
        <v>161</v>
      </c>
      <c r="F23" s="14" t="s">
        <v>202</v>
      </c>
      <c r="G23" s="15" t="s">
        <v>1512</v>
      </c>
      <c r="H23" s="14" t="s">
        <v>124</v>
      </c>
      <c r="I23" s="14" t="s">
        <v>140</v>
      </c>
      <c r="J23" s="16"/>
      <c r="K23" s="15" t="s">
        <v>1513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 t="s">
        <v>849</v>
      </c>
      <c r="B24" s="14" t="s">
        <v>1514</v>
      </c>
      <c r="C24" s="14" t="s">
        <v>53</v>
      </c>
      <c r="D24" s="15" t="s">
        <v>1515</v>
      </c>
      <c r="E24" s="14" t="s">
        <v>161</v>
      </c>
      <c r="F24" s="14" t="s">
        <v>202</v>
      </c>
      <c r="G24" s="15" t="s">
        <v>1508</v>
      </c>
      <c r="H24" s="14" t="s">
        <v>124</v>
      </c>
      <c r="I24" s="14" t="s">
        <v>140</v>
      </c>
      <c r="J24" s="16"/>
      <c r="K24" s="15" t="s">
        <v>1516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4" t="s">
        <v>1018</v>
      </c>
      <c r="B25" s="14" t="s">
        <v>206</v>
      </c>
      <c r="C25" s="14" t="s">
        <v>53</v>
      </c>
      <c r="D25" s="15" t="s">
        <v>581</v>
      </c>
      <c r="E25" s="14" t="s">
        <v>161</v>
      </c>
      <c r="F25" s="14" t="s">
        <v>202</v>
      </c>
      <c r="G25" s="15" t="s">
        <v>1517</v>
      </c>
      <c r="H25" s="14" t="s">
        <v>124</v>
      </c>
      <c r="I25" s="14" t="s">
        <v>140</v>
      </c>
      <c r="J25" s="16"/>
      <c r="K25" s="15" t="s">
        <v>1518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4" t="s">
        <v>1519</v>
      </c>
      <c r="B26" s="14" t="s">
        <v>214</v>
      </c>
      <c r="C26" s="14" t="s">
        <v>53</v>
      </c>
      <c r="D26" s="15" t="s">
        <v>1520</v>
      </c>
      <c r="E26" s="14" t="s">
        <v>161</v>
      </c>
      <c r="F26" s="14" t="s">
        <v>202</v>
      </c>
      <c r="G26" s="15" t="s">
        <v>1508</v>
      </c>
      <c r="H26" s="14" t="s">
        <v>124</v>
      </c>
      <c r="I26" s="14" t="s">
        <v>140</v>
      </c>
      <c r="J26" s="16"/>
      <c r="K26" s="15" t="s">
        <v>590</v>
      </c>
      <c r="L26" s="14" t="n">
        <v>1</v>
      </c>
      <c r="M26" s="14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4" t="s">
        <v>1521</v>
      </c>
      <c r="B27" s="14" t="s">
        <v>218</v>
      </c>
      <c r="C27" s="14" t="s">
        <v>53</v>
      </c>
      <c r="D27" s="15" t="s">
        <v>1522</v>
      </c>
      <c r="E27" s="14" t="s">
        <v>161</v>
      </c>
      <c r="F27" s="14" t="s">
        <v>220</v>
      </c>
      <c r="G27" s="15" t="s">
        <v>1523</v>
      </c>
      <c r="H27" s="14" t="s">
        <v>126</v>
      </c>
      <c r="I27" s="14" t="s">
        <v>141</v>
      </c>
      <c r="J27" s="16" t="n">
        <v>46229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4" t="s">
        <v>1524</v>
      </c>
      <c r="B28" s="14" t="s">
        <v>223</v>
      </c>
      <c r="C28" s="14" t="s">
        <v>53</v>
      </c>
      <c r="D28" s="15" t="s">
        <v>1525</v>
      </c>
      <c r="E28" s="14" t="s">
        <v>161</v>
      </c>
      <c r="F28" s="14" t="s">
        <v>220</v>
      </c>
      <c r="G28" s="15" t="s">
        <v>1526</v>
      </c>
      <c r="H28" s="14" t="s">
        <v>126</v>
      </c>
      <c r="I28" s="14" t="s">
        <v>141</v>
      </c>
      <c r="J28" s="16" t="n">
        <v>46229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4" t="s">
        <v>1527</v>
      </c>
      <c r="B29" s="14" t="s">
        <v>227</v>
      </c>
      <c r="C29" s="14" t="s">
        <v>53</v>
      </c>
      <c r="D29" s="15" t="s">
        <v>1528</v>
      </c>
      <c r="E29" s="14" t="s">
        <v>229</v>
      </c>
      <c r="F29" s="14" t="s">
        <v>229</v>
      </c>
      <c r="G29" s="15" t="s">
        <v>230</v>
      </c>
      <c r="H29" s="14" t="s">
        <v>126</v>
      </c>
      <c r="I29" s="14" t="s">
        <v>141</v>
      </c>
      <c r="J29" s="16" t="s">
        <v>1529</v>
      </c>
      <c r="K29" s="15" t="s">
        <v>1530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4" t="s">
        <v>1531</v>
      </c>
      <c r="B30" s="14" t="s">
        <v>232</v>
      </c>
      <c r="C30" s="14" t="s">
        <v>53</v>
      </c>
      <c r="D30" s="15" t="s">
        <v>1532</v>
      </c>
      <c r="E30" s="14" t="s">
        <v>161</v>
      </c>
      <c r="F30" s="14" t="s">
        <v>161</v>
      </c>
      <c r="G30" s="15" t="s">
        <v>601</v>
      </c>
      <c r="H30" s="14" t="s">
        <v>126</v>
      </c>
      <c r="I30" s="14" t="s">
        <v>141</v>
      </c>
      <c r="J30" s="16" t="s">
        <v>1529</v>
      </c>
      <c r="K30" s="15" t="s">
        <v>1533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1536</v>
      </c>
      <c r="B9" s="14" t="s">
        <v>158</v>
      </c>
      <c r="C9" s="14" t="s">
        <v>1473</v>
      </c>
      <c r="D9" s="15" t="s">
        <v>1537</v>
      </c>
      <c r="E9" s="14" t="s">
        <v>161</v>
      </c>
      <c r="F9" s="14" t="s">
        <v>162</v>
      </c>
      <c r="G9" s="15" t="s">
        <v>1538</v>
      </c>
      <c r="H9" s="14" t="s">
        <v>126</v>
      </c>
      <c r="I9" s="14" t="s">
        <v>141</v>
      </c>
      <c r="J9" s="16" t="n">
        <v>46229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1539</v>
      </c>
      <c r="B10" s="14" t="s">
        <v>1432</v>
      </c>
      <c r="C10" s="14" t="s">
        <v>1274</v>
      </c>
      <c r="D10" s="15" t="s">
        <v>1476</v>
      </c>
      <c r="E10" s="14" t="s">
        <v>161</v>
      </c>
      <c r="F10" s="14" t="s">
        <v>181</v>
      </c>
      <c r="G10" s="15" t="s">
        <v>1540</v>
      </c>
      <c r="H10" s="14" t="s">
        <v>126</v>
      </c>
      <c r="I10" s="14" t="s">
        <v>141</v>
      </c>
      <c r="J10" s="16" t="n">
        <v>46229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1541</v>
      </c>
      <c r="B11" s="14" t="s">
        <v>165</v>
      </c>
      <c r="C11" s="14" t="s">
        <v>54</v>
      </c>
      <c r="D11" s="15" t="s">
        <v>1542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46229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1543</v>
      </c>
      <c r="B12" s="14" t="s">
        <v>169</v>
      </c>
      <c r="C12" s="14" t="s">
        <v>1479</v>
      </c>
      <c r="D12" s="15" t="s">
        <v>1544</v>
      </c>
      <c r="E12" s="14" t="s">
        <v>161</v>
      </c>
      <c r="F12" s="14" t="s">
        <v>171</v>
      </c>
      <c r="G12" s="15" t="s">
        <v>1545</v>
      </c>
      <c r="H12" s="14" t="s">
        <v>126</v>
      </c>
      <c r="I12" s="14" t="s">
        <v>141</v>
      </c>
      <c r="J12" s="16" t="n">
        <v>46229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1546</v>
      </c>
      <c r="B13" s="14" t="s">
        <v>174</v>
      </c>
      <c r="C13" s="14" t="s">
        <v>1482</v>
      </c>
      <c r="D13" s="15" t="s">
        <v>1483</v>
      </c>
      <c r="E13" s="14" t="s">
        <v>161</v>
      </c>
      <c r="F13" s="14" t="s">
        <v>176</v>
      </c>
      <c r="G13" s="15" t="s">
        <v>1547</v>
      </c>
      <c r="H13" s="14" t="s">
        <v>126</v>
      </c>
      <c r="I13" s="14" t="s">
        <v>141</v>
      </c>
      <c r="J13" s="16" t="n">
        <v>46229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1548</v>
      </c>
      <c r="B14" s="14" t="s">
        <v>1485</v>
      </c>
      <c r="C14" s="14" t="s">
        <v>1486</v>
      </c>
      <c r="D14" s="15" t="s">
        <v>1549</v>
      </c>
      <c r="E14" s="14" t="s">
        <v>161</v>
      </c>
      <c r="F14" s="14" t="s">
        <v>181</v>
      </c>
      <c r="G14" s="15" t="s">
        <v>1550</v>
      </c>
      <c r="H14" s="14" t="s">
        <v>126</v>
      </c>
      <c r="I14" s="14" t="s">
        <v>141</v>
      </c>
      <c r="J14" s="16" t="n">
        <v>46229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1551</v>
      </c>
      <c r="B15" s="14" t="s">
        <v>1222</v>
      </c>
      <c r="C15" s="14" t="s">
        <v>1473</v>
      </c>
      <c r="D15" s="15" t="s">
        <v>1489</v>
      </c>
      <c r="E15" s="14" t="s">
        <v>161</v>
      </c>
      <c r="F15" s="14" t="s">
        <v>186</v>
      </c>
      <c r="G15" s="15" t="s">
        <v>1552</v>
      </c>
      <c r="H15" s="14" t="s">
        <v>126</v>
      </c>
      <c r="I15" s="14" t="s">
        <v>141</v>
      </c>
      <c r="J15" s="16" t="n">
        <v>46229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1553</v>
      </c>
      <c r="B16" s="14" t="s">
        <v>1491</v>
      </c>
      <c r="C16" s="14" t="s">
        <v>1492</v>
      </c>
      <c r="D16" s="15" t="s">
        <v>1554</v>
      </c>
      <c r="E16" s="14" t="s">
        <v>161</v>
      </c>
      <c r="F16" s="14" t="s">
        <v>186</v>
      </c>
      <c r="G16" s="15" t="s">
        <v>1555</v>
      </c>
      <c r="H16" s="14" t="s">
        <v>126</v>
      </c>
      <c r="I16" s="14" t="s">
        <v>141</v>
      </c>
      <c r="J16" s="16" t="n">
        <v>46229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1556</v>
      </c>
      <c r="B17" s="14" t="s">
        <v>1495</v>
      </c>
      <c r="C17" s="14" t="s">
        <v>1496</v>
      </c>
      <c r="D17" s="15" t="s">
        <v>1497</v>
      </c>
      <c r="E17" s="14" t="s">
        <v>161</v>
      </c>
      <c r="F17" s="14" t="s">
        <v>186</v>
      </c>
      <c r="G17" s="15" t="s">
        <v>1552</v>
      </c>
      <c r="H17" s="14" t="s">
        <v>126</v>
      </c>
      <c r="I17" s="14" t="s">
        <v>141</v>
      </c>
      <c r="J17" s="16" t="n">
        <v>46229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1557</v>
      </c>
      <c r="B18" s="14" t="s">
        <v>1498</v>
      </c>
      <c r="C18" s="14" t="s">
        <v>1473</v>
      </c>
      <c r="D18" s="15" t="s">
        <v>1558</v>
      </c>
      <c r="E18" s="14" t="s">
        <v>161</v>
      </c>
      <c r="F18" s="14" t="s">
        <v>186</v>
      </c>
      <c r="G18" s="15" t="s">
        <v>1555</v>
      </c>
      <c r="H18" s="14" t="s">
        <v>126</v>
      </c>
      <c r="I18" s="14" t="s">
        <v>141</v>
      </c>
      <c r="J18" s="16" t="n">
        <v>46229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1559</v>
      </c>
      <c r="B19" s="14" t="s">
        <v>209</v>
      </c>
      <c r="C19" s="14" t="s">
        <v>1500</v>
      </c>
      <c r="D19" s="15" t="s">
        <v>1501</v>
      </c>
      <c r="E19" s="14" t="s">
        <v>161</v>
      </c>
      <c r="F19" s="14" t="s">
        <v>181</v>
      </c>
      <c r="G19" s="15" t="s">
        <v>1550</v>
      </c>
      <c r="H19" s="14" t="s">
        <v>126</v>
      </c>
      <c r="I19" s="14" t="s">
        <v>141</v>
      </c>
      <c r="J19" s="16" t="n">
        <v>46229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1560</v>
      </c>
      <c r="B20" s="14" t="s">
        <v>189</v>
      </c>
      <c r="C20" s="14" t="s">
        <v>54</v>
      </c>
      <c r="D20" s="15" t="s">
        <v>1561</v>
      </c>
      <c r="E20" s="14" t="s">
        <v>161</v>
      </c>
      <c r="F20" s="14" t="s">
        <v>191</v>
      </c>
      <c r="G20" s="15" t="s">
        <v>1552</v>
      </c>
      <c r="H20" s="14" t="s">
        <v>126</v>
      </c>
      <c r="I20" s="14" t="s">
        <v>141</v>
      </c>
      <c r="J20" s="16" t="n">
        <v>46229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1562</v>
      </c>
      <c r="B21" s="14" t="s">
        <v>194</v>
      </c>
      <c r="C21" s="14" t="s">
        <v>54</v>
      </c>
      <c r="D21" s="15" t="s">
        <v>1503</v>
      </c>
      <c r="E21" s="14" t="s">
        <v>161</v>
      </c>
      <c r="F21" s="14" t="s">
        <v>196</v>
      </c>
      <c r="G21" s="15" t="s">
        <v>1563</v>
      </c>
      <c r="H21" s="14" t="s">
        <v>124</v>
      </c>
      <c r="I21" s="14" t="s">
        <v>140</v>
      </c>
      <c r="J21" s="16"/>
      <c r="K21" s="15" t="s">
        <v>1505</v>
      </c>
      <c r="L21" s="14" t="n">
        <v>1</v>
      </c>
      <c r="M21" s="14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4" t="s">
        <v>1564</v>
      </c>
      <c r="B22" s="14" t="s">
        <v>200</v>
      </c>
      <c r="C22" s="14" t="s">
        <v>1506</v>
      </c>
      <c r="D22" s="15" t="s">
        <v>1507</v>
      </c>
      <c r="E22" s="14" t="s">
        <v>161</v>
      </c>
      <c r="F22" s="14" t="s">
        <v>202</v>
      </c>
      <c r="G22" s="15" t="s">
        <v>1565</v>
      </c>
      <c r="H22" s="14" t="s">
        <v>124</v>
      </c>
      <c r="I22" s="14" t="s">
        <v>140</v>
      </c>
      <c r="J22" s="16"/>
      <c r="K22" s="15" t="s">
        <v>1509</v>
      </c>
      <c r="L22" s="14" t="n">
        <v>1</v>
      </c>
      <c r="M22" s="14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4" t="s">
        <v>1566</v>
      </c>
      <c r="B23" s="14" t="s">
        <v>1510</v>
      </c>
      <c r="C23" s="14" t="s">
        <v>1155</v>
      </c>
      <c r="D23" s="15" t="s">
        <v>1567</v>
      </c>
      <c r="E23" s="14" t="s">
        <v>161</v>
      </c>
      <c r="F23" s="14" t="s">
        <v>202</v>
      </c>
      <c r="G23" s="15" t="s">
        <v>1568</v>
      </c>
      <c r="H23" s="14" t="s">
        <v>124</v>
      </c>
      <c r="I23" s="14" t="s">
        <v>140</v>
      </c>
      <c r="J23" s="16"/>
      <c r="K23" s="15" t="s">
        <v>1513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 t="s">
        <v>1569</v>
      </c>
      <c r="B24" s="14" t="s">
        <v>1514</v>
      </c>
      <c r="C24" s="14" t="s">
        <v>54</v>
      </c>
      <c r="D24" s="15" t="s">
        <v>1515</v>
      </c>
      <c r="E24" s="14" t="s">
        <v>161</v>
      </c>
      <c r="F24" s="14" t="s">
        <v>202</v>
      </c>
      <c r="G24" s="15" t="s">
        <v>1565</v>
      </c>
      <c r="H24" s="14" t="s">
        <v>124</v>
      </c>
      <c r="I24" s="14" t="s">
        <v>140</v>
      </c>
      <c r="J24" s="16"/>
      <c r="K24" s="15" t="s">
        <v>1516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4" t="s">
        <v>1570</v>
      </c>
      <c r="B25" s="14" t="s">
        <v>206</v>
      </c>
      <c r="C25" s="14" t="s">
        <v>54</v>
      </c>
      <c r="D25" s="15" t="s">
        <v>581</v>
      </c>
      <c r="E25" s="14" t="s">
        <v>161</v>
      </c>
      <c r="F25" s="14" t="s">
        <v>202</v>
      </c>
      <c r="G25" s="15" t="s">
        <v>1571</v>
      </c>
      <c r="H25" s="14" t="s">
        <v>124</v>
      </c>
      <c r="I25" s="14" t="s">
        <v>140</v>
      </c>
      <c r="J25" s="16"/>
      <c r="K25" s="15" t="s">
        <v>1518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4" t="s">
        <v>1572</v>
      </c>
      <c r="B26" s="14" t="s">
        <v>214</v>
      </c>
      <c r="C26" s="14" t="s">
        <v>54</v>
      </c>
      <c r="D26" s="15" t="s">
        <v>1573</v>
      </c>
      <c r="E26" s="14" t="s">
        <v>161</v>
      </c>
      <c r="F26" s="14" t="s">
        <v>202</v>
      </c>
      <c r="G26" s="15" t="s">
        <v>1565</v>
      </c>
      <c r="H26" s="14" t="s">
        <v>124</v>
      </c>
      <c r="I26" s="14" t="s">
        <v>140</v>
      </c>
      <c r="J26" s="16"/>
      <c r="K26" s="15" t="s">
        <v>590</v>
      </c>
      <c r="L26" s="14" t="n">
        <v>1</v>
      </c>
      <c r="M26" s="14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4" t="s">
        <v>1574</v>
      </c>
      <c r="B27" s="14" t="s">
        <v>218</v>
      </c>
      <c r="C27" s="14" t="s">
        <v>54</v>
      </c>
      <c r="D27" s="15" t="s">
        <v>1522</v>
      </c>
      <c r="E27" s="14" t="s">
        <v>161</v>
      </c>
      <c r="F27" s="14" t="s">
        <v>220</v>
      </c>
      <c r="G27" s="15" t="s">
        <v>1575</v>
      </c>
      <c r="H27" s="14" t="s">
        <v>126</v>
      </c>
      <c r="I27" s="14" t="s">
        <v>141</v>
      </c>
      <c r="J27" s="16" t="n">
        <v>46229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4" t="s">
        <v>1576</v>
      </c>
      <c r="B28" s="14" t="s">
        <v>223</v>
      </c>
      <c r="C28" s="14" t="s">
        <v>54</v>
      </c>
      <c r="D28" s="15" t="s">
        <v>1577</v>
      </c>
      <c r="E28" s="14" t="s">
        <v>161</v>
      </c>
      <c r="F28" s="14" t="s">
        <v>220</v>
      </c>
      <c r="G28" s="15" t="s">
        <v>1578</v>
      </c>
      <c r="H28" s="14" t="s">
        <v>126</v>
      </c>
      <c r="I28" s="14" t="s">
        <v>141</v>
      </c>
      <c r="J28" s="16" t="n">
        <v>46229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4" t="s">
        <v>1579</v>
      </c>
      <c r="B29" s="14" t="s">
        <v>227</v>
      </c>
      <c r="C29" s="14" t="s">
        <v>54</v>
      </c>
      <c r="D29" s="15" t="s">
        <v>1580</v>
      </c>
      <c r="E29" s="14" t="s">
        <v>229</v>
      </c>
      <c r="F29" s="14" t="s">
        <v>229</v>
      </c>
      <c r="G29" s="15" t="s">
        <v>230</v>
      </c>
      <c r="H29" s="14" t="s">
        <v>126</v>
      </c>
      <c r="I29" s="14" t="s">
        <v>141</v>
      </c>
      <c r="J29" s="16" t="n">
        <v>46229</v>
      </c>
      <c r="K29" s="15" t="s">
        <v>1530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4" t="s">
        <v>1581</v>
      </c>
      <c r="B30" s="14" t="s">
        <v>232</v>
      </c>
      <c r="C30" s="14" t="s">
        <v>54</v>
      </c>
      <c r="D30" s="15" t="s">
        <v>1532</v>
      </c>
      <c r="E30" s="14" t="s">
        <v>161</v>
      </c>
      <c r="F30" s="14" t="s">
        <v>161</v>
      </c>
      <c r="G30" s="15" t="s">
        <v>601</v>
      </c>
      <c r="H30" s="14" t="s">
        <v>126</v>
      </c>
      <c r="I30" s="14" t="s">
        <v>141</v>
      </c>
      <c r="J30" s="16" t="n">
        <v>46229</v>
      </c>
      <c r="K30" s="15" t="s">
        <v>1533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1584</v>
      </c>
      <c r="B9" s="14" t="s">
        <v>158</v>
      </c>
      <c r="C9" s="14" t="s">
        <v>830</v>
      </c>
      <c r="D9" s="15" t="s">
        <v>1585</v>
      </c>
      <c r="E9" s="14" t="s">
        <v>161</v>
      </c>
      <c r="F9" s="14" t="s">
        <v>162</v>
      </c>
      <c r="G9" s="15" t="s">
        <v>1586</v>
      </c>
      <c r="H9" s="14" t="s">
        <v>126</v>
      </c>
      <c r="I9" s="14" t="s">
        <v>141</v>
      </c>
      <c r="J9" s="16" t="n">
        <v>46229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1587</v>
      </c>
      <c r="B10" s="14" t="s">
        <v>1432</v>
      </c>
      <c r="C10" s="14" t="s">
        <v>1588</v>
      </c>
      <c r="D10" s="15" t="s">
        <v>1589</v>
      </c>
      <c r="E10" s="14" t="s">
        <v>161</v>
      </c>
      <c r="F10" s="14" t="s">
        <v>181</v>
      </c>
      <c r="G10" s="15" t="s">
        <v>1590</v>
      </c>
      <c r="H10" s="14" t="s">
        <v>126</v>
      </c>
      <c r="I10" s="14" t="s">
        <v>141</v>
      </c>
      <c r="J10" s="16" t="n">
        <v>46229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1591</v>
      </c>
      <c r="B11" s="14" t="s">
        <v>165</v>
      </c>
      <c r="C11" s="14" t="s">
        <v>55</v>
      </c>
      <c r="D11" s="15" t="s">
        <v>1592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46229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1593</v>
      </c>
      <c r="B12" s="14" t="s">
        <v>169</v>
      </c>
      <c r="C12" s="14" t="s">
        <v>1588</v>
      </c>
      <c r="D12" s="15" t="s">
        <v>1594</v>
      </c>
      <c r="E12" s="14" t="s">
        <v>161</v>
      </c>
      <c r="F12" s="14" t="s">
        <v>171</v>
      </c>
      <c r="G12" s="15" t="s">
        <v>1595</v>
      </c>
      <c r="H12" s="14" t="s">
        <v>126</v>
      </c>
      <c r="I12" s="14" t="s">
        <v>141</v>
      </c>
      <c r="J12" s="16" t="n">
        <v>46229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1596</v>
      </c>
      <c r="B13" s="14" t="s">
        <v>174</v>
      </c>
      <c r="C13" s="14" t="s">
        <v>1588</v>
      </c>
      <c r="D13" s="15" t="s">
        <v>1597</v>
      </c>
      <c r="E13" s="14" t="s">
        <v>161</v>
      </c>
      <c r="F13" s="14" t="s">
        <v>176</v>
      </c>
      <c r="G13" s="15" t="s">
        <v>1598</v>
      </c>
      <c r="H13" s="14" t="s">
        <v>126</v>
      </c>
      <c r="I13" s="14" t="s">
        <v>141</v>
      </c>
      <c r="J13" s="16" t="n">
        <v>46229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1599</v>
      </c>
      <c r="B14" s="14" t="s">
        <v>1222</v>
      </c>
      <c r="C14" s="14" t="s">
        <v>830</v>
      </c>
      <c r="D14" s="15" t="s">
        <v>1600</v>
      </c>
      <c r="E14" s="14" t="s">
        <v>161</v>
      </c>
      <c r="F14" s="14" t="s">
        <v>186</v>
      </c>
      <c r="G14" s="15" t="s">
        <v>1601</v>
      </c>
      <c r="H14" s="14" t="s">
        <v>126</v>
      </c>
      <c r="I14" s="14" t="s">
        <v>141</v>
      </c>
      <c r="J14" s="16" t="n">
        <v>46229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1602</v>
      </c>
      <c r="B15" s="14" t="s">
        <v>1603</v>
      </c>
      <c r="C15" s="14" t="s">
        <v>830</v>
      </c>
      <c r="D15" s="15" t="s">
        <v>1604</v>
      </c>
      <c r="E15" s="14" t="s">
        <v>161</v>
      </c>
      <c r="F15" s="14" t="s">
        <v>186</v>
      </c>
      <c r="G15" s="15" t="s">
        <v>1601</v>
      </c>
      <c r="H15" s="14" t="s">
        <v>126</v>
      </c>
      <c r="I15" s="14" t="s">
        <v>141</v>
      </c>
      <c r="J15" s="16" t="n">
        <v>46229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1605</v>
      </c>
      <c r="B16" s="14" t="s">
        <v>1606</v>
      </c>
      <c r="C16" s="14" t="s">
        <v>830</v>
      </c>
      <c r="D16" s="15" t="s">
        <v>1607</v>
      </c>
      <c r="E16" s="14" t="s">
        <v>161</v>
      </c>
      <c r="F16" s="14" t="s">
        <v>186</v>
      </c>
      <c r="G16" s="15" t="s">
        <v>1608</v>
      </c>
      <c r="H16" s="14" t="s">
        <v>126</v>
      </c>
      <c r="I16" s="14" t="s">
        <v>141</v>
      </c>
      <c r="J16" s="16" t="n">
        <v>46229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1609</v>
      </c>
      <c r="B17" s="14" t="s">
        <v>1610</v>
      </c>
      <c r="C17" s="14" t="s">
        <v>1588</v>
      </c>
      <c r="D17" s="15" t="s">
        <v>1611</v>
      </c>
      <c r="E17" s="14" t="s">
        <v>161</v>
      </c>
      <c r="F17" s="14" t="s">
        <v>186</v>
      </c>
      <c r="G17" s="15" t="s">
        <v>1601</v>
      </c>
      <c r="H17" s="14" t="s">
        <v>126</v>
      </c>
      <c r="I17" s="14" t="s">
        <v>141</v>
      </c>
      <c r="J17" s="16" t="n">
        <v>46229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1612</v>
      </c>
      <c r="B18" s="14" t="s">
        <v>1498</v>
      </c>
      <c r="C18" s="14" t="s">
        <v>830</v>
      </c>
      <c r="D18" s="15" t="s">
        <v>1613</v>
      </c>
      <c r="E18" s="14" t="s">
        <v>161</v>
      </c>
      <c r="F18" s="14" t="s">
        <v>186</v>
      </c>
      <c r="G18" s="15" t="s">
        <v>1608</v>
      </c>
      <c r="H18" s="14" t="s">
        <v>126</v>
      </c>
      <c r="I18" s="14" t="s">
        <v>141</v>
      </c>
      <c r="J18" s="16" t="n">
        <v>46229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1614</v>
      </c>
      <c r="B19" s="14" t="s">
        <v>209</v>
      </c>
      <c r="C19" s="14" t="s">
        <v>830</v>
      </c>
      <c r="D19" s="15" t="s">
        <v>1615</v>
      </c>
      <c r="E19" s="14" t="s">
        <v>161</v>
      </c>
      <c r="F19" s="14" t="s">
        <v>181</v>
      </c>
      <c r="G19" s="15" t="s">
        <v>1616</v>
      </c>
      <c r="H19" s="14" t="s">
        <v>126</v>
      </c>
      <c r="I19" s="14" t="s">
        <v>141</v>
      </c>
      <c r="J19" s="16" t="n">
        <v>46229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1617</v>
      </c>
      <c r="B20" s="14" t="s">
        <v>189</v>
      </c>
      <c r="C20" s="14" t="s">
        <v>55</v>
      </c>
      <c r="D20" s="15" t="s">
        <v>1618</v>
      </c>
      <c r="E20" s="14" t="s">
        <v>161</v>
      </c>
      <c r="F20" s="14" t="s">
        <v>191</v>
      </c>
      <c r="G20" s="15" t="s">
        <v>1601</v>
      </c>
      <c r="H20" s="14" t="s">
        <v>126</v>
      </c>
      <c r="I20" s="14" t="s">
        <v>141</v>
      </c>
      <c r="J20" s="16" t="n">
        <v>46229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1619</v>
      </c>
      <c r="B21" s="14" t="s">
        <v>1620</v>
      </c>
      <c r="C21" s="14" t="s">
        <v>830</v>
      </c>
      <c r="D21" s="15" t="s">
        <v>1621</v>
      </c>
      <c r="E21" s="14" t="s">
        <v>161</v>
      </c>
      <c r="F21" s="14" t="s">
        <v>186</v>
      </c>
      <c r="G21" s="15" t="s">
        <v>1622</v>
      </c>
      <c r="H21" s="14" t="s">
        <v>126</v>
      </c>
      <c r="I21" s="14" t="s">
        <v>141</v>
      </c>
      <c r="J21" s="16" t="n">
        <v>46229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1623</v>
      </c>
      <c r="B22" s="14" t="s">
        <v>194</v>
      </c>
      <c r="C22" s="14" t="s">
        <v>55</v>
      </c>
      <c r="D22" s="15" t="s">
        <v>1624</v>
      </c>
      <c r="E22" s="14" t="s">
        <v>161</v>
      </c>
      <c r="F22" s="14" t="s">
        <v>196</v>
      </c>
      <c r="G22" s="15" t="s">
        <v>1625</v>
      </c>
      <c r="H22" s="14" t="s">
        <v>124</v>
      </c>
      <c r="I22" s="14" t="s">
        <v>140</v>
      </c>
      <c r="J22" s="16"/>
      <c r="K22" s="15" t="s">
        <v>1505</v>
      </c>
      <c r="L22" s="14" t="n">
        <v>1</v>
      </c>
      <c r="M22" s="14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4" t="s">
        <v>1626</v>
      </c>
      <c r="B23" s="14" t="s">
        <v>200</v>
      </c>
      <c r="C23" s="14" t="s">
        <v>830</v>
      </c>
      <c r="D23" s="15" t="s">
        <v>1627</v>
      </c>
      <c r="E23" s="14" t="s">
        <v>161</v>
      </c>
      <c r="F23" s="14" t="s">
        <v>202</v>
      </c>
      <c r="G23" s="15" t="s">
        <v>1628</v>
      </c>
      <c r="H23" s="14" t="s">
        <v>124</v>
      </c>
      <c r="I23" s="14" t="s">
        <v>140</v>
      </c>
      <c r="J23" s="16"/>
      <c r="K23" s="15" t="s">
        <v>1629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 t="s">
        <v>1630</v>
      </c>
      <c r="B24" s="14" t="s">
        <v>206</v>
      </c>
      <c r="C24" s="14" t="s">
        <v>1588</v>
      </c>
      <c r="D24" s="15" t="s">
        <v>581</v>
      </c>
      <c r="E24" s="14" t="s">
        <v>161</v>
      </c>
      <c r="F24" s="14" t="s">
        <v>202</v>
      </c>
      <c r="G24" s="15" t="s">
        <v>1631</v>
      </c>
      <c r="H24" s="14" t="s">
        <v>124</v>
      </c>
      <c r="I24" s="14" t="s">
        <v>140</v>
      </c>
      <c r="J24" s="16"/>
      <c r="K24" s="15" t="s">
        <v>1632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4" t="s">
        <v>1633</v>
      </c>
      <c r="B25" s="14" t="s">
        <v>1514</v>
      </c>
      <c r="C25" s="14" t="s">
        <v>55</v>
      </c>
      <c r="D25" s="15" t="s">
        <v>1634</v>
      </c>
      <c r="E25" s="14" t="s">
        <v>161</v>
      </c>
      <c r="F25" s="14" t="s">
        <v>202</v>
      </c>
      <c r="G25" s="15" t="s">
        <v>1628</v>
      </c>
      <c r="H25" s="14" t="s">
        <v>124</v>
      </c>
      <c r="I25" s="14" t="s">
        <v>140</v>
      </c>
      <c r="J25" s="16"/>
      <c r="K25" s="15" t="s">
        <v>1516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4" t="s">
        <v>1635</v>
      </c>
      <c r="B26" s="14" t="s">
        <v>214</v>
      </c>
      <c r="C26" s="14" t="s">
        <v>55</v>
      </c>
      <c r="D26" s="15" t="s">
        <v>1636</v>
      </c>
      <c r="E26" s="14" t="s">
        <v>161</v>
      </c>
      <c r="F26" s="14" t="s">
        <v>202</v>
      </c>
      <c r="G26" s="15" t="s">
        <v>1628</v>
      </c>
      <c r="H26" s="14" t="s">
        <v>124</v>
      </c>
      <c r="I26" s="14" t="s">
        <v>140</v>
      </c>
      <c r="J26" s="16"/>
      <c r="K26" s="15" t="s">
        <v>590</v>
      </c>
      <c r="L26" s="14" t="n">
        <v>1</v>
      </c>
      <c r="M26" s="14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4" t="s">
        <v>1637</v>
      </c>
      <c r="B27" s="14" t="s">
        <v>218</v>
      </c>
      <c r="C27" s="14" t="s">
        <v>55</v>
      </c>
      <c r="D27" s="15" t="s">
        <v>1638</v>
      </c>
      <c r="E27" s="14" t="s">
        <v>161</v>
      </c>
      <c r="F27" s="14" t="s">
        <v>220</v>
      </c>
      <c r="G27" s="15" t="s">
        <v>1639</v>
      </c>
      <c r="H27" s="14" t="s">
        <v>126</v>
      </c>
      <c r="I27" s="14" t="s">
        <v>141</v>
      </c>
      <c r="J27" s="16" t="n">
        <v>46229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4" t="s">
        <v>1640</v>
      </c>
      <c r="B28" s="14" t="s">
        <v>223</v>
      </c>
      <c r="C28" s="14" t="s">
        <v>55</v>
      </c>
      <c r="D28" s="15" t="s">
        <v>1641</v>
      </c>
      <c r="E28" s="14" t="s">
        <v>161</v>
      </c>
      <c r="F28" s="14" t="s">
        <v>220</v>
      </c>
      <c r="G28" s="15" t="s">
        <v>1642</v>
      </c>
      <c r="H28" s="14" t="s">
        <v>126</v>
      </c>
      <c r="I28" s="14" t="s">
        <v>141</v>
      </c>
      <c r="J28" s="16" t="n">
        <v>46229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4" t="s">
        <v>1643</v>
      </c>
      <c r="B29" s="14" t="s">
        <v>227</v>
      </c>
      <c r="C29" s="14" t="s">
        <v>55</v>
      </c>
      <c r="D29" s="15" t="s">
        <v>1644</v>
      </c>
      <c r="E29" s="14" t="s">
        <v>229</v>
      </c>
      <c r="F29" s="14" t="s">
        <v>229</v>
      </c>
      <c r="G29" s="15" t="s">
        <v>230</v>
      </c>
      <c r="H29" s="14" t="s">
        <v>126</v>
      </c>
      <c r="I29" s="14" t="s">
        <v>141</v>
      </c>
      <c r="J29" s="16" t="n">
        <v>46229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4" t="s">
        <v>1645</v>
      </c>
      <c r="B30" s="14" t="s">
        <v>232</v>
      </c>
      <c r="C30" s="14" t="s">
        <v>55</v>
      </c>
      <c r="D30" s="15" t="s">
        <v>1532</v>
      </c>
      <c r="E30" s="14" t="s">
        <v>161</v>
      </c>
      <c r="F30" s="14" t="s">
        <v>161</v>
      </c>
      <c r="G30" s="15" t="s">
        <v>601</v>
      </c>
      <c r="H30" s="14" t="s">
        <v>126</v>
      </c>
      <c r="I30" s="14" t="s">
        <v>141</v>
      </c>
      <c r="J30" s="16" t="n">
        <v>46229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1648</v>
      </c>
      <c r="B9" s="1" t="s">
        <v>158</v>
      </c>
      <c r="C9" s="1" t="s">
        <v>1649</v>
      </c>
      <c r="D9" s="1" t="s">
        <v>1650</v>
      </c>
      <c r="E9" s="1" t="s">
        <v>161</v>
      </c>
      <c r="F9" s="1" t="s">
        <v>162</v>
      </c>
      <c r="G9" s="1" t="s">
        <v>1651</v>
      </c>
      <c r="H9" s="1" t="s">
        <v>126</v>
      </c>
      <c r="I9" s="1" t="s">
        <v>141</v>
      </c>
      <c r="J9" s="12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1652</v>
      </c>
      <c r="B10" s="1" t="s">
        <v>1432</v>
      </c>
      <c r="C10" s="1" t="s">
        <v>1649</v>
      </c>
      <c r="D10" s="1" t="s">
        <v>1653</v>
      </c>
      <c r="E10" s="1" t="s">
        <v>161</v>
      </c>
      <c r="F10" s="1" t="s">
        <v>181</v>
      </c>
      <c r="G10" s="1" t="s">
        <v>1654</v>
      </c>
      <c r="H10" s="1" t="s">
        <v>126</v>
      </c>
      <c r="I10" s="1" t="s">
        <v>141</v>
      </c>
      <c r="J10" s="12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1655</v>
      </c>
      <c r="B11" s="1" t="s">
        <v>165</v>
      </c>
      <c r="C11" s="1" t="s">
        <v>1656</v>
      </c>
      <c r="D11" s="1" t="s">
        <v>1657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2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1658</v>
      </c>
      <c r="B12" s="1" t="s">
        <v>169</v>
      </c>
      <c r="C12" s="1" t="s">
        <v>1649</v>
      </c>
      <c r="D12" s="1" t="s">
        <v>1659</v>
      </c>
      <c r="E12" s="1" t="s">
        <v>161</v>
      </c>
      <c r="F12" s="1" t="s">
        <v>171</v>
      </c>
      <c r="G12" s="1" t="s">
        <v>1660</v>
      </c>
      <c r="H12" s="1" t="s">
        <v>126</v>
      </c>
      <c r="I12" s="1" t="s">
        <v>141</v>
      </c>
      <c r="J12" s="12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1661</v>
      </c>
      <c r="B13" s="1" t="s">
        <v>174</v>
      </c>
      <c r="C13" s="1" t="s">
        <v>1649</v>
      </c>
      <c r="D13" s="1" t="s">
        <v>1662</v>
      </c>
      <c r="E13" s="1" t="s">
        <v>161</v>
      </c>
      <c r="F13" s="1" t="s">
        <v>176</v>
      </c>
      <c r="G13" s="1" t="s">
        <v>1663</v>
      </c>
      <c r="H13" s="1" t="s">
        <v>126</v>
      </c>
      <c r="I13" s="1" t="s">
        <v>141</v>
      </c>
      <c r="J13" s="12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1664</v>
      </c>
      <c r="B14" s="1" t="s">
        <v>1665</v>
      </c>
      <c r="C14" s="1" t="s">
        <v>1649</v>
      </c>
      <c r="D14" s="1" t="s">
        <v>1666</v>
      </c>
      <c r="E14" s="1" t="s">
        <v>161</v>
      </c>
      <c r="F14" s="1" t="s">
        <v>186</v>
      </c>
      <c r="G14" s="1" t="s">
        <v>1667</v>
      </c>
      <c r="H14" s="1" t="s">
        <v>126</v>
      </c>
      <c r="I14" s="1" t="s">
        <v>141</v>
      </c>
      <c r="J14" s="12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1668</v>
      </c>
      <c r="B15" s="1" t="s">
        <v>1669</v>
      </c>
      <c r="C15" s="1" t="s">
        <v>830</v>
      </c>
      <c r="D15" s="1" t="s">
        <v>1670</v>
      </c>
      <c r="E15" s="1" t="s">
        <v>161</v>
      </c>
      <c r="F15" s="1" t="s">
        <v>186</v>
      </c>
      <c r="G15" s="1" t="s">
        <v>1667</v>
      </c>
      <c r="H15" s="1" t="s">
        <v>126</v>
      </c>
      <c r="I15" s="1" t="s">
        <v>141</v>
      </c>
      <c r="J15" s="12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1671</v>
      </c>
      <c r="B16" s="1" t="s">
        <v>1672</v>
      </c>
      <c r="C16" s="1" t="s">
        <v>1649</v>
      </c>
      <c r="D16" s="1" t="s">
        <v>1673</v>
      </c>
      <c r="E16" s="1" t="s">
        <v>161</v>
      </c>
      <c r="F16" s="1" t="s">
        <v>186</v>
      </c>
      <c r="G16" s="1" t="s">
        <v>1667</v>
      </c>
      <c r="H16" s="1" t="s">
        <v>126</v>
      </c>
      <c r="I16" s="1" t="s">
        <v>141</v>
      </c>
      <c r="J16" s="12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1674</v>
      </c>
      <c r="B17" s="1" t="s">
        <v>118</v>
      </c>
      <c r="C17" s="1" t="s">
        <v>830</v>
      </c>
      <c r="D17" s="1" t="s">
        <v>1675</v>
      </c>
      <c r="E17" s="1" t="s">
        <v>161</v>
      </c>
      <c r="F17" s="1" t="s">
        <v>181</v>
      </c>
      <c r="G17" s="1" t="s">
        <v>1676</v>
      </c>
      <c r="H17" s="1" t="s">
        <v>126</v>
      </c>
      <c r="I17" s="1" t="s">
        <v>141</v>
      </c>
      <c r="J17" s="12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1677</v>
      </c>
      <c r="B18" s="1" t="s">
        <v>1678</v>
      </c>
      <c r="C18" s="1" t="s">
        <v>1649</v>
      </c>
      <c r="D18" s="1" t="s">
        <v>1679</v>
      </c>
      <c r="E18" s="1" t="s">
        <v>161</v>
      </c>
      <c r="F18" s="1" t="s">
        <v>186</v>
      </c>
      <c r="G18" s="1" t="s">
        <v>1667</v>
      </c>
      <c r="H18" s="1" t="s">
        <v>126</v>
      </c>
      <c r="I18" s="1" t="s">
        <v>141</v>
      </c>
      <c r="J18" s="12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1680</v>
      </c>
      <c r="B19" s="1" t="s">
        <v>1681</v>
      </c>
      <c r="C19" s="1" t="s">
        <v>1649</v>
      </c>
      <c r="D19" s="1" t="s">
        <v>1682</v>
      </c>
      <c r="E19" s="1" t="s">
        <v>161</v>
      </c>
      <c r="F19" s="1" t="s">
        <v>186</v>
      </c>
      <c r="G19" s="1" t="s">
        <v>1676</v>
      </c>
      <c r="H19" s="1" t="s">
        <v>126</v>
      </c>
      <c r="I19" s="1" t="s">
        <v>141</v>
      </c>
      <c r="J19" s="12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1683</v>
      </c>
      <c r="B20" s="1" t="s">
        <v>1498</v>
      </c>
      <c r="C20" s="1" t="s">
        <v>830</v>
      </c>
      <c r="D20" s="1" t="s">
        <v>1684</v>
      </c>
      <c r="E20" s="1" t="s">
        <v>161</v>
      </c>
      <c r="F20" s="1" t="s">
        <v>186</v>
      </c>
      <c r="G20" s="1" t="s">
        <v>1667</v>
      </c>
      <c r="H20" s="1" t="s">
        <v>126</v>
      </c>
      <c r="I20" s="1" t="s">
        <v>141</v>
      </c>
      <c r="J20" s="12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1685</v>
      </c>
      <c r="B21" s="1" t="s">
        <v>209</v>
      </c>
      <c r="C21" s="1" t="s">
        <v>1649</v>
      </c>
      <c r="D21" s="1" t="s">
        <v>1686</v>
      </c>
      <c r="E21" s="1" t="s">
        <v>161</v>
      </c>
      <c r="F21" s="1" t="s">
        <v>186</v>
      </c>
      <c r="G21" s="1" t="s">
        <v>1667</v>
      </c>
      <c r="H21" s="1" t="s">
        <v>126</v>
      </c>
      <c r="I21" s="1" t="s">
        <v>141</v>
      </c>
      <c r="J21" s="12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1687</v>
      </c>
      <c r="B22" s="1" t="s">
        <v>189</v>
      </c>
      <c r="C22" s="1" t="s">
        <v>1649</v>
      </c>
      <c r="D22" s="1" t="s">
        <v>1688</v>
      </c>
      <c r="E22" s="1" t="s">
        <v>161</v>
      </c>
      <c r="F22" s="1" t="s">
        <v>191</v>
      </c>
      <c r="G22" s="1" t="s">
        <v>1667</v>
      </c>
      <c r="H22" s="1" t="s">
        <v>126</v>
      </c>
      <c r="I22" s="1" t="s">
        <v>141</v>
      </c>
      <c r="J22" s="12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1689</v>
      </c>
      <c r="B23" s="1" t="s">
        <v>194</v>
      </c>
      <c r="C23" s="1" t="s">
        <v>1656</v>
      </c>
      <c r="D23" s="1" t="s">
        <v>1690</v>
      </c>
      <c r="E23" s="1" t="s">
        <v>161</v>
      </c>
      <c r="F23" s="1" t="s">
        <v>196</v>
      </c>
      <c r="G23" s="1" t="s">
        <v>1691</v>
      </c>
      <c r="H23" s="1" t="s">
        <v>120</v>
      </c>
      <c r="I23" s="1" t="s">
        <v>140</v>
      </c>
      <c r="J23" s="12" t="n">
        <v>46229</v>
      </c>
      <c r="K23" s="1" t="s">
        <v>1692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1693</v>
      </c>
      <c r="B24" s="1" t="s">
        <v>214</v>
      </c>
      <c r="C24" s="1" t="s">
        <v>1656</v>
      </c>
      <c r="D24" s="1" t="s">
        <v>1694</v>
      </c>
      <c r="E24" s="1" t="s">
        <v>161</v>
      </c>
      <c r="F24" s="1" t="s">
        <v>202</v>
      </c>
      <c r="G24" s="1" t="s">
        <v>1695</v>
      </c>
      <c r="H24" s="1" t="s">
        <v>120</v>
      </c>
      <c r="I24" s="1" t="s">
        <v>140</v>
      </c>
      <c r="J24" s="12" t="n">
        <v>46229</v>
      </c>
      <c r="K24" s="1" t="s">
        <v>1696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1697</v>
      </c>
      <c r="B25" s="1" t="s">
        <v>218</v>
      </c>
      <c r="C25" s="1" t="s">
        <v>1656</v>
      </c>
      <c r="D25" s="1" t="s">
        <v>1698</v>
      </c>
      <c r="E25" s="1" t="s">
        <v>161</v>
      </c>
      <c r="F25" s="1" t="s">
        <v>220</v>
      </c>
      <c r="G25" s="1" t="s">
        <v>1699</v>
      </c>
      <c r="H25" s="1" t="s">
        <v>126</v>
      </c>
      <c r="I25" s="1" t="s">
        <v>141</v>
      </c>
      <c r="J25" s="12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1700</v>
      </c>
      <c r="B26" s="1" t="s">
        <v>223</v>
      </c>
      <c r="C26" s="1" t="s">
        <v>1656</v>
      </c>
      <c r="D26" s="1" t="s">
        <v>1701</v>
      </c>
      <c r="E26" s="1" t="s">
        <v>161</v>
      </c>
      <c r="F26" s="1" t="s">
        <v>220</v>
      </c>
      <c r="G26" s="1" t="s">
        <v>1702</v>
      </c>
      <c r="H26" s="1" t="s">
        <v>126</v>
      </c>
      <c r="I26" s="1" t="s">
        <v>141</v>
      </c>
      <c r="J26" s="12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1703</v>
      </c>
      <c r="B27" s="1" t="s">
        <v>227</v>
      </c>
      <c r="C27" s="1" t="s">
        <v>1656</v>
      </c>
      <c r="D27" s="1" t="s">
        <v>1704</v>
      </c>
      <c r="E27" s="1" t="s">
        <v>229</v>
      </c>
      <c r="F27" s="1" t="s">
        <v>229</v>
      </c>
      <c r="G27" s="1" t="s">
        <v>230</v>
      </c>
      <c r="H27" s="1" t="s">
        <v>126</v>
      </c>
      <c r="I27" s="1" t="s">
        <v>141</v>
      </c>
      <c r="J27" s="12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1705</v>
      </c>
      <c r="B28" s="1" t="s">
        <v>232</v>
      </c>
      <c r="C28" s="1" t="s">
        <v>1656</v>
      </c>
      <c r="D28" s="1" t="s">
        <v>1706</v>
      </c>
      <c r="E28" s="1" t="s">
        <v>161</v>
      </c>
      <c r="F28" s="1" t="s">
        <v>161</v>
      </c>
      <c r="G28" s="1" t="s">
        <v>234</v>
      </c>
      <c r="H28" s="1" t="s">
        <v>126</v>
      </c>
      <c r="I28" s="1" t="s">
        <v>141</v>
      </c>
      <c r="J28" s="12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1709</v>
      </c>
      <c r="B9" s="1" t="s">
        <v>158</v>
      </c>
      <c r="C9" s="1" t="s">
        <v>1710</v>
      </c>
      <c r="D9" s="1" t="s">
        <v>1711</v>
      </c>
      <c r="E9" s="1" t="s">
        <v>161</v>
      </c>
      <c r="F9" s="1" t="s">
        <v>162</v>
      </c>
      <c r="G9" s="1" t="s">
        <v>1712</v>
      </c>
      <c r="H9" s="1" t="s">
        <v>126</v>
      </c>
      <c r="I9" s="1" t="s">
        <v>141</v>
      </c>
      <c r="J9" s="12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1713</v>
      </c>
      <c r="B10" s="1" t="s">
        <v>1432</v>
      </c>
      <c r="C10" s="1" t="s">
        <v>1710</v>
      </c>
      <c r="D10" s="1" t="s">
        <v>1714</v>
      </c>
      <c r="E10" s="1" t="s">
        <v>161</v>
      </c>
      <c r="F10" s="1" t="s">
        <v>181</v>
      </c>
      <c r="G10" s="1" t="s">
        <v>1715</v>
      </c>
      <c r="H10" s="1" t="s">
        <v>126</v>
      </c>
      <c r="I10" s="1" t="s">
        <v>141</v>
      </c>
      <c r="J10" s="12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1716</v>
      </c>
      <c r="B11" s="1" t="s">
        <v>165</v>
      </c>
      <c r="C11" s="1" t="s">
        <v>57</v>
      </c>
      <c r="D11" s="1" t="s">
        <v>1717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2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1718</v>
      </c>
      <c r="B12" s="1" t="s">
        <v>169</v>
      </c>
      <c r="C12" s="1" t="s">
        <v>1710</v>
      </c>
      <c r="D12" s="1" t="s">
        <v>1719</v>
      </c>
      <c r="E12" s="1" t="s">
        <v>161</v>
      </c>
      <c r="F12" s="1" t="s">
        <v>171</v>
      </c>
      <c r="G12" s="1" t="s">
        <v>1720</v>
      </c>
      <c r="H12" s="1" t="s">
        <v>126</v>
      </c>
      <c r="I12" s="1" t="s">
        <v>141</v>
      </c>
      <c r="J12" s="12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1721</v>
      </c>
      <c r="B13" s="1" t="s">
        <v>174</v>
      </c>
      <c r="C13" s="1" t="s">
        <v>1710</v>
      </c>
      <c r="D13" s="1" t="s">
        <v>1722</v>
      </c>
      <c r="E13" s="1" t="s">
        <v>161</v>
      </c>
      <c r="F13" s="1" t="s">
        <v>176</v>
      </c>
      <c r="G13" s="1" t="s">
        <v>1723</v>
      </c>
      <c r="H13" s="1" t="s">
        <v>126</v>
      </c>
      <c r="I13" s="1" t="s">
        <v>141</v>
      </c>
      <c r="J13" s="12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1724</v>
      </c>
      <c r="B14" s="1" t="s">
        <v>1665</v>
      </c>
      <c r="C14" s="1" t="s">
        <v>1710</v>
      </c>
      <c r="D14" s="1" t="s">
        <v>1725</v>
      </c>
      <c r="E14" s="1" t="s">
        <v>161</v>
      </c>
      <c r="F14" s="1" t="s">
        <v>186</v>
      </c>
      <c r="G14" s="1" t="s">
        <v>1726</v>
      </c>
      <c r="H14" s="1" t="s">
        <v>126</v>
      </c>
      <c r="I14" s="1" t="s">
        <v>141</v>
      </c>
      <c r="J14" s="12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1727</v>
      </c>
      <c r="B15" s="1" t="s">
        <v>1669</v>
      </c>
      <c r="C15" s="1" t="s">
        <v>830</v>
      </c>
      <c r="D15" s="1" t="s">
        <v>1728</v>
      </c>
      <c r="E15" s="1" t="s">
        <v>161</v>
      </c>
      <c r="F15" s="1" t="s">
        <v>186</v>
      </c>
      <c r="G15" s="1" t="s">
        <v>1726</v>
      </c>
      <c r="H15" s="1" t="s">
        <v>126</v>
      </c>
      <c r="I15" s="1" t="s">
        <v>141</v>
      </c>
      <c r="J15" s="12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1729</v>
      </c>
      <c r="B16" s="1" t="s">
        <v>1672</v>
      </c>
      <c r="C16" s="1" t="s">
        <v>830</v>
      </c>
      <c r="D16" s="1" t="s">
        <v>1730</v>
      </c>
      <c r="E16" s="1" t="s">
        <v>161</v>
      </c>
      <c r="F16" s="1" t="s">
        <v>186</v>
      </c>
      <c r="G16" s="1" t="s">
        <v>1726</v>
      </c>
      <c r="H16" s="1" t="s">
        <v>126</v>
      </c>
      <c r="I16" s="1" t="s">
        <v>141</v>
      </c>
      <c r="J16" s="12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1731</v>
      </c>
      <c r="B17" s="1" t="s">
        <v>118</v>
      </c>
      <c r="C17" s="1" t="s">
        <v>830</v>
      </c>
      <c r="D17" s="1" t="s">
        <v>1732</v>
      </c>
      <c r="E17" s="1" t="s">
        <v>161</v>
      </c>
      <c r="F17" s="1" t="s">
        <v>181</v>
      </c>
      <c r="G17" s="1" t="s">
        <v>1733</v>
      </c>
      <c r="H17" s="1" t="s">
        <v>126</v>
      </c>
      <c r="I17" s="1" t="s">
        <v>141</v>
      </c>
      <c r="J17" s="12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1734</v>
      </c>
      <c r="B18" s="1" t="s">
        <v>1678</v>
      </c>
      <c r="C18" s="1" t="s">
        <v>1710</v>
      </c>
      <c r="D18" s="1" t="s">
        <v>1735</v>
      </c>
      <c r="E18" s="1" t="s">
        <v>161</v>
      </c>
      <c r="F18" s="1" t="s">
        <v>186</v>
      </c>
      <c r="G18" s="1" t="s">
        <v>1733</v>
      </c>
      <c r="H18" s="1" t="s">
        <v>126</v>
      </c>
      <c r="I18" s="1" t="s">
        <v>141</v>
      </c>
      <c r="J18" s="12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1736</v>
      </c>
      <c r="B19" s="1" t="s">
        <v>1681</v>
      </c>
      <c r="C19" s="1" t="s">
        <v>1710</v>
      </c>
      <c r="D19" s="1" t="s">
        <v>1737</v>
      </c>
      <c r="E19" s="1" t="s">
        <v>161</v>
      </c>
      <c r="F19" s="1" t="s">
        <v>181</v>
      </c>
      <c r="G19" s="1" t="s">
        <v>1715</v>
      </c>
      <c r="H19" s="1" t="s">
        <v>126</v>
      </c>
      <c r="I19" s="1" t="s">
        <v>141</v>
      </c>
      <c r="J19" s="12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1738</v>
      </c>
      <c r="B20" s="1" t="s">
        <v>1498</v>
      </c>
      <c r="C20" s="1" t="s">
        <v>830</v>
      </c>
      <c r="D20" s="1" t="s">
        <v>1739</v>
      </c>
      <c r="E20" s="1" t="s">
        <v>161</v>
      </c>
      <c r="F20" s="1" t="s">
        <v>186</v>
      </c>
      <c r="G20" s="1" t="s">
        <v>1726</v>
      </c>
      <c r="H20" s="1" t="s">
        <v>126</v>
      </c>
      <c r="I20" s="1" t="s">
        <v>141</v>
      </c>
      <c r="J20" s="12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1740</v>
      </c>
      <c r="B21" s="1" t="s">
        <v>209</v>
      </c>
      <c r="C21" s="1" t="s">
        <v>1710</v>
      </c>
      <c r="D21" s="1" t="s">
        <v>1741</v>
      </c>
      <c r="E21" s="1" t="s">
        <v>161</v>
      </c>
      <c r="F21" s="1" t="s">
        <v>186</v>
      </c>
      <c r="G21" s="1" t="s">
        <v>1726</v>
      </c>
      <c r="H21" s="1" t="s">
        <v>126</v>
      </c>
      <c r="I21" s="1" t="s">
        <v>141</v>
      </c>
      <c r="J21" s="12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1742</v>
      </c>
      <c r="B22" s="1" t="s">
        <v>189</v>
      </c>
      <c r="C22" s="1" t="s">
        <v>1710</v>
      </c>
      <c r="D22" s="1" t="s">
        <v>1743</v>
      </c>
      <c r="E22" s="1" t="s">
        <v>161</v>
      </c>
      <c r="F22" s="1" t="s">
        <v>191</v>
      </c>
      <c r="G22" s="1" t="s">
        <v>1726</v>
      </c>
      <c r="H22" s="1" t="s">
        <v>126</v>
      </c>
      <c r="I22" s="1" t="s">
        <v>141</v>
      </c>
      <c r="J22" s="12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1744</v>
      </c>
      <c r="B23" s="1" t="s">
        <v>194</v>
      </c>
      <c r="C23" s="1" t="s">
        <v>57</v>
      </c>
      <c r="D23" s="1" t="s">
        <v>1745</v>
      </c>
      <c r="E23" s="1" t="s">
        <v>161</v>
      </c>
      <c r="F23" s="1" t="s">
        <v>196</v>
      </c>
      <c r="G23" s="1" t="s">
        <v>1746</v>
      </c>
      <c r="H23" s="1" t="s">
        <v>120</v>
      </c>
      <c r="I23" s="1" t="s">
        <v>140</v>
      </c>
      <c r="J23" s="12" t="n">
        <v>46229</v>
      </c>
      <c r="K23" s="1" t="s">
        <v>1747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1748</v>
      </c>
      <c r="B24" s="1" t="s">
        <v>214</v>
      </c>
      <c r="C24" s="1" t="s">
        <v>57</v>
      </c>
      <c r="D24" s="1" t="s">
        <v>1749</v>
      </c>
      <c r="E24" s="1" t="s">
        <v>161</v>
      </c>
      <c r="F24" s="1" t="s">
        <v>202</v>
      </c>
      <c r="G24" s="1" t="s">
        <v>1750</v>
      </c>
      <c r="H24" s="1" t="s">
        <v>120</v>
      </c>
      <c r="I24" s="1" t="s">
        <v>140</v>
      </c>
      <c r="J24" s="12" t="n">
        <v>46229</v>
      </c>
      <c r="K24" s="1" t="s">
        <v>1751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1752</v>
      </c>
      <c r="B25" s="1" t="s">
        <v>218</v>
      </c>
      <c r="C25" s="1" t="s">
        <v>57</v>
      </c>
      <c r="D25" s="1" t="s">
        <v>1698</v>
      </c>
      <c r="E25" s="1" t="s">
        <v>161</v>
      </c>
      <c r="F25" s="1" t="s">
        <v>220</v>
      </c>
      <c r="G25" s="1" t="s">
        <v>1753</v>
      </c>
      <c r="H25" s="1" t="s">
        <v>126</v>
      </c>
      <c r="I25" s="1" t="s">
        <v>141</v>
      </c>
      <c r="J25" s="12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1754</v>
      </c>
      <c r="B26" s="1" t="s">
        <v>223</v>
      </c>
      <c r="C26" s="1" t="s">
        <v>57</v>
      </c>
      <c r="D26" s="1" t="s">
        <v>1701</v>
      </c>
      <c r="E26" s="1" t="s">
        <v>161</v>
      </c>
      <c r="F26" s="1" t="s">
        <v>220</v>
      </c>
      <c r="G26" s="1" t="s">
        <v>1755</v>
      </c>
      <c r="H26" s="1" t="s">
        <v>126</v>
      </c>
      <c r="I26" s="1" t="s">
        <v>141</v>
      </c>
      <c r="J26" s="12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1756</v>
      </c>
      <c r="B27" s="1" t="s">
        <v>227</v>
      </c>
      <c r="C27" s="1" t="s">
        <v>57</v>
      </c>
      <c r="D27" s="1" t="s">
        <v>1757</v>
      </c>
      <c r="E27" s="1" t="s">
        <v>229</v>
      </c>
      <c r="F27" s="1" t="s">
        <v>229</v>
      </c>
      <c r="G27" s="1" t="s">
        <v>230</v>
      </c>
      <c r="H27" s="1" t="s">
        <v>126</v>
      </c>
      <c r="I27" s="1" t="s">
        <v>141</v>
      </c>
      <c r="J27" s="12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1758</v>
      </c>
      <c r="B28" s="1" t="s">
        <v>232</v>
      </c>
      <c r="C28" s="1" t="s">
        <v>57</v>
      </c>
      <c r="D28" s="1" t="s">
        <v>1759</v>
      </c>
      <c r="E28" s="1" t="s">
        <v>161</v>
      </c>
      <c r="F28" s="1" t="s">
        <v>161</v>
      </c>
      <c r="G28" s="1" t="s">
        <v>234</v>
      </c>
      <c r="H28" s="1" t="s">
        <v>126</v>
      </c>
      <c r="I28" s="1" t="s">
        <v>141</v>
      </c>
      <c r="J28" s="12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1762</v>
      </c>
      <c r="B9" s="1" t="s">
        <v>118</v>
      </c>
      <c r="C9" s="1" t="s">
        <v>1763</v>
      </c>
      <c r="D9" s="1" t="s">
        <v>1764</v>
      </c>
      <c r="E9" s="1" t="s">
        <v>161</v>
      </c>
      <c r="F9" s="1" t="s">
        <v>162</v>
      </c>
      <c r="G9" s="1" t="s">
        <v>1765</v>
      </c>
      <c r="H9" s="1" t="s">
        <v>126</v>
      </c>
      <c r="I9" s="1" t="s">
        <v>141</v>
      </c>
      <c r="J9" s="12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1766</v>
      </c>
      <c r="B10" s="1" t="s">
        <v>1432</v>
      </c>
      <c r="C10" s="1" t="s">
        <v>1274</v>
      </c>
      <c r="D10" s="1" t="s">
        <v>1767</v>
      </c>
      <c r="E10" s="1" t="s">
        <v>161</v>
      </c>
      <c r="F10" s="1" t="s">
        <v>181</v>
      </c>
      <c r="G10" s="1" t="s">
        <v>1768</v>
      </c>
      <c r="H10" s="1" t="s">
        <v>126</v>
      </c>
      <c r="I10" s="1" t="s">
        <v>141</v>
      </c>
      <c r="J10" s="12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1769</v>
      </c>
      <c r="B11" s="1" t="s">
        <v>165</v>
      </c>
      <c r="C11" s="1" t="s">
        <v>58</v>
      </c>
      <c r="D11" s="1" t="s">
        <v>1770</v>
      </c>
      <c r="E11" s="1" t="s">
        <v>161</v>
      </c>
      <c r="F11" s="1" t="s">
        <v>161</v>
      </c>
      <c r="G11" s="1" t="s">
        <v>167</v>
      </c>
      <c r="H11" s="1" t="s">
        <v>126</v>
      </c>
      <c r="I11" s="1" t="s">
        <v>141</v>
      </c>
      <c r="J11" s="12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1771</v>
      </c>
      <c r="B12" s="1" t="s">
        <v>169</v>
      </c>
      <c r="C12" s="1" t="s">
        <v>1274</v>
      </c>
      <c r="D12" s="1" t="s">
        <v>1772</v>
      </c>
      <c r="E12" s="1" t="s">
        <v>161</v>
      </c>
      <c r="F12" s="1" t="s">
        <v>171</v>
      </c>
      <c r="G12" s="1" t="s">
        <v>1773</v>
      </c>
      <c r="H12" s="1" t="s">
        <v>126</v>
      </c>
      <c r="I12" s="1" t="s">
        <v>141</v>
      </c>
      <c r="J12" s="12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1774</v>
      </c>
      <c r="B13" s="1" t="s">
        <v>174</v>
      </c>
      <c r="C13" s="1" t="s">
        <v>1274</v>
      </c>
      <c r="D13" s="1" t="s">
        <v>1775</v>
      </c>
      <c r="E13" s="1" t="s">
        <v>161</v>
      </c>
      <c r="F13" s="1" t="s">
        <v>176</v>
      </c>
      <c r="G13" s="1" t="s">
        <v>1776</v>
      </c>
      <c r="H13" s="1" t="s">
        <v>126</v>
      </c>
      <c r="I13" s="1" t="s">
        <v>141</v>
      </c>
      <c r="J13" s="12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1777</v>
      </c>
      <c r="B14" s="1" t="s">
        <v>1665</v>
      </c>
      <c r="C14" s="1" t="s">
        <v>1778</v>
      </c>
      <c r="D14" s="1" t="s">
        <v>1779</v>
      </c>
      <c r="E14" s="1" t="s">
        <v>161</v>
      </c>
      <c r="F14" s="1" t="s">
        <v>186</v>
      </c>
      <c r="G14" s="1" t="s">
        <v>1780</v>
      </c>
      <c r="H14" s="1" t="s">
        <v>126</v>
      </c>
      <c r="I14" s="1" t="s">
        <v>141</v>
      </c>
      <c r="J14" s="12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1781</v>
      </c>
      <c r="B15" s="1" t="s">
        <v>1782</v>
      </c>
      <c r="C15" s="1" t="s">
        <v>1783</v>
      </c>
      <c r="D15" s="1" t="s">
        <v>1784</v>
      </c>
      <c r="E15" s="1" t="s">
        <v>161</v>
      </c>
      <c r="F15" s="1" t="s">
        <v>196</v>
      </c>
      <c r="G15" s="1" t="s">
        <v>1785</v>
      </c>
      <c r="H15" s="1" t="s">
        <v>128</v>
      </c>
      <c r="I15" s="1" t="s">
        <v>140</v>
      </c>
      <c r="J15" s="12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1786</v>
      </c>
      <c r="B16" s="1" t="s">
        <v>1787</v>
      </c>
      <c r="C16" s="1" t="s">
        <v>830</v>
      </c>
      <c r="D16" s="1" t="s">
        <v>1788</v>
      </c>
      <c r="E16" s="1" t="s">
        <v>161</v>
      </c>
      <c r="F16" s="1" t="s">
        <v>196</v>
      </c>
      <c r="G16" s="1" t="s">
        <v>1785</v>
      </c>
      <c r="H16" s="1" t="s">
        <v>128</v>
      </c>
      <c r="I16" s="1" t="s">
        <v>140</v>
      </c>
      <c r="J16" s="12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1789</v>
      </c>
      <c r="B17" s="1" t="s">
        <v>1155</v>
      </c>
      <c r="C17" s="1" t="s">
        <v>1790</v>
      </c>
      <c r="D17" s="1" t="s">
        <v>1791</v>
      </c>
      <c r="E17" s="1" t="s">
        <v>161</v>
      </c>
      <c r="F17" s="1" t="s">
        <v>186</v>
      </c>
      <c r="G17" s="1" t="s">
        <v>1792</v>
      </c>
      <c r="H17" s="1" t="s">
        <v>126</v>
      </c>
      <c r="I17" s="1" t="s">
        <v>141</v>
      </c>
      <c r="J17" s="12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1793</v>
      </c>
      <c r="B18" s="1" t="s">
        <v>1794</v>
      </c>
      <c r="C18" s="1" t="s">
        <v>1795</v>
      </c>
      <c r="D18" s="1" t="s">
        <v>1796</v>
      </c>
      <c r="E18" s="1" t="s">
        <v>161</v>
      </c>
      <c r="F18" s="1" t="s">
        <v>191</v>
      </c>
      <c r="G18" s="1" t="s">
        <v>1797</v>
      </c>
      <c r="H18" s="1" t="s">
        <v>126</v>
      </c>
      <c r="I18" s="1" t="s">
        <v>141</v>
      </c>
      <c r="J18" s="12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1798</v>
      </c>
      <c r="B19" s="1" t="s">
        <v>1799</v>
      </c>
      <c r="C19" s="1" t="s">
        <v>1800</v>
      </c>
      <c r="D19" s="1" t="s">
        <v>1801</v>
      </c>
      <c r="E19" s="1" t="s">
        <v>161</v>
      </c>
      <c r="F19" s="1" t="s">
        <v>181</v>
      </c>
      <c r="G19" s="1" t="s">
        <v>1797</v>
      </c>
      <c r="H19" s="1" t="s">
        <v>126</v>
      </c>
      <c r="I19" s="1" t="s">
        <v>141</v>
      </c>
      <c r="J19" s="12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1802</v>
      </c>
      <c r="B20" s="1" t="s">
        <v>1803</v>
      </c>
      <c r="C20" s="1" t="s">
        <v>1800</v>
      </c>
      <c r="D20" s="1" t="s">
        <v>1804</v>
      </c>
      <c r="E20" s="1" t="s">
        <v>161</v>
      </c>
      <c r="F20" s="1" t="s">
        <v>186</v>
      </c>
      <c r="G20" s="1" t="s">
        <v>1780</v>
      </c>
      <c r="H20" s="1" t="s">
        <v>126</v>
      </c>
      <c r="I20" s="1" t="s">
        <v>141</v>
      </c>
      <c r="J20" s="12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1805</v>
      </c>
      <c r="B21" s="1" t="s">
        <v>1806</v>
      </c>
      <c r="C21" s="1" t="s">
        <v>33</v>
      </c>
      <c r="D21" s="1" t="s">
        <v>1807</v>
      </c>
      <c r="E21" s="1" t="s">
        <v>161</v>
      </c>
      <c r="F21" s="1" t="s">
        <v>186</v>
      </c>
      <c r="G21" s="1" t="s">
        <v>1780</v>
      </c>
      <c r="H21" s="1" t="s">
        <v>126</v>
      </c>
      <c r="I21" s="1" t="s">
        <v>141</v>
      </c>
      <c r="J21" s="12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1808</v>
      </c>
      <c r="B22" s="1" t="s">
        <v>209</v>
      </c>
      <c r="C22" s="1" t="s">
        <v>1274</v>
      </c>
      <c r="D22" s="1" t="s">
        <v>1809</v>
      </c>
      <c r="E22" s="1" t="s">
        <v>161</v>
      </c>
      <c r="F22" s="1" t="s">
        <v>186</v>
      </c>
      <c r="G22" s="1" t="s">
        <v>1797</v>
      </c>
      <c r="H22" s="1" t="s">
        <v>126</v>
      </c>
      <c r="I22" s="1" t="s">
        <v>141</v>
      </c>
      <c r="J22" s="12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1810</v>
      </c>
      <c r="B23" s="1" t="s">
        <v>200</v>
      </c>
      <c r="C23" s="1" t="s">
        <v>1811</v>
      </c>
      <c r="D23" s="1" t="s">
        <v>1812</v>
      </c>
      <c r="E23" s="1" t="s">
        <v>161</v>
      </c>
      <c r="F23" s="1" t="s">
        <v>186</v>
      </c>
      <c r="G23" s="1" t="s">
        <v>1792</v>
      </c>
      <c r="H23" s="1" t="s">
        <v>126</v>
      </c>
      <c r="I23" s="1" t="s">
        <v>141</v>
      </c>
      <c r="J23" s="12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1813</v>
      </c>
      <c r="B24" s="1" t="s">
        <v>189</v>
      </c>
      <c r="C24" s="1" t="s">
        <v>1274</v>
      </c>
      <c r="D24" s="1" t="s">
        <v>1814</v>
      </c>
      <c r="E24" s="1" t="s">
        <v>161</v>
      </c>
      <c r="F24" s="1" t="s">
        <v>191</v>
      </c>
      <c r="G24" s="1" t="s">
        <v>1780</v>
      </c>
      <c r="H24" s="1" t="s">
        <v>126</v>
      </c>
      <c r="I24" s="1" t="s">
        <v>141</v>
      </c>
      <c r="J24" s="12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1815</v>
      </c>
      <c r="B25" s="1" t="s">
        <v>194</v>
      </c>
      <c r="C25" s="1" t="s">
        <v>58</v>
      </c>
      <c r="D25" s="1" t="s">
        <v>1816</v>
      </c>
      <c r="E25" s="1" t="s">
        <v>161</v>
      </c>
      <c r="F25" s="1" t="s">
        <v>196</v>
      </c>
      <c r="G25" s="1" t="s">
        <v>1785</v>
      </c>
      <c r="H25" s="1" t="s">
        <v>128</v>
      </c>
      <c r="I25" s="1" t="s">
        <v>140</v>
      </c>
      <c r="J25" s="12" t="n">
        <v>46229</v>
      </c>
      <c r="K25" s="1" t="s">
        <v>1817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1818</v>
      </c>
      <c r="B26" s="1" t="s">
        <v>214</v>
      </c>
      <c r="C26" s="1" t="s">
        <v>58</v>
      </c>
      <c r="D26" s="1" t="s">
        <v>1819</v>
      </c>
      <c r="E26" s="1" t="s">
        <v>161</v>
      </c>
      <c r="F26" s="1" t="s">
        <v>202</v>
      </c>
      <c r="G26" s="1" t="s">
        <v>1820</v>
      </c>
      <c r="H26" s="1" t="s">
        <v>120</v>
      </c>
      <c r="I26" s="1" t="s">
        <v>140</v>
      </c>
      <c r="J26" s="12" t="n">
        <v>46229</v>
      </c>
      <c r="K26" s="1" t="s">
        <v>1751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1821</v>
      </c>
      <c r="B27" s="1" t="s">
        <v>218</v>
      </c>
      <c r="C27" s="1" t="s">
        <v>58</v>
      </c>
      <c r="D27" s="1" t="s">
        <v>1822</v>
      </c>
      <c r="E27" s="1" t="s">
        <v>161</v>
      </c>
      <c r="F27" s="1" t="s">
        <v>220</v>
      </c>
      <c r="G27" s="1" t="s">
        <v>1823</v>
      </c>
      <c r="H27" s="1" t="s">
        <v>126</v>
      </c>
      <c r="I27" s="1" t="s">
        <v>141</v>
      </c>
      <c r="J27" s="12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1824</v>
      </c>
      <c r="B28" s="1" t="s">
        <v>223</v>
      </c>
      <c r="C28" s="1" t="s">
        <v>58</v>
      </c>
      <c r="D28" s="1" t="s">
        <v>1825</v>
      </c>
      <c r="E28" s="1" t="s">
        <v>161</v>
      </c>
      <c r="F28" s="1" t="s">
        <v>220</v>
      </c>
      <c r="G28" s="1" t="s">
        <v>1826</v>
      </c>
      <c r="H28" s="1" t="s">
        <v>126</v>
      </c>
      <c r="I28" s="1" t="s">
        <v>141</v>
      </c>
      <c r="J28" s="12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1827</v>
      </c>
      <c r="B29" s="1" t="s">
        <v>649</v>
      </c>
      <c r="C29" s="1" t="s">
        <v>58</v>
      </c>
      <c r="D29" s="1" t="s">
        <v>1828</v>
      </c>
      <c r="E29" s="1" t="s">
        <v>161</v>
      </c>
      <c r="F29" s="1" t="s">
        <v>651</v>
      </c>
      <c r="G29" s="1" t="s">
        <v>1829</v>
      </c>
      <c r="H29" s="1" t="s">
        <v>126</v>
      </c>
      <c r="I29" s="1" t="s">
        <v>141</v>
      </c>
      <c r="J29" s="12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1830</v>
      </c>
      <c r="B30" s="1" t="s">
        <v>227</v>
      </c>
      <c r="C30" s="1" t="s">
        <v>58</v>
      </c>
      <c r="D30" s="1" t="s">
        <v>1831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2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1832</v>
      </c>
      <c r="B31" s="1" t="s">
        <v>232</v>
      </c>
      <c r="C31" s="1" t="s">
        <v>58</v>
      </c>
      <c r="D31" s="1" t="s">
        <v>1833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2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1836</v>
      </c>
      <c r="B9" s="1" t="s">
        <v>118</v>
      </c>
      <c r="C9" s="1" t="s">
        <v>1274</v>
      </c>
      <c r="D9" s="1" t="s">
        <v>1837</v>
      </c>
      <c r="E9" s="1" t="s">
        <v>161</v>
      </c>
      <c r="F9" s="1" t="s">
        <v>162</v>
      </c>
      <c r="G9" s="1" t="s">
        <v>1838</v>
      </c>
      <c r="H9" s="8" t="s">
        <v>126</v>
      </c>
      <c r="I9" s="8" t="s">
        <v>141</v>
      </c>
      <c r="J9" s="12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1839</v>
      </c>
      <c r="B10" s="1" t="s">
        <v>1432</v>
      </c>
      <c r="C10" s="1" t="s">
        <v>1840</v>
      </c>
      <c r="D10" s="1" t="s">
        <v>1841</v>
      </c>
      <c r="E10" s="1" t="s">
        <v>161</v>
      </c>
      <c r="F10" s="1" t="s">
        <v>181</v>
      </c>
      <c r="G10" s="1" t="s">
        <v>1842</v>
      </c>
      <c r="H10" s="8" t="s">
        <v>126</v>
      </c>
      <c r="I10" s="8" t="s">
        <v>141</v>
      </c>
      <c r="J10" s="12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1843</v>
      </c>
      <c r="B11" s="1" t="s">
        <v>165</v>
      </c>
      <c r="C11" s="1" t="s">
        <v>59</v>
      </c>
      <c r="D11" s="1" t="s">
        <v>1844</v>
      </c>
      <c r="E11" s="1" t="s">
        <v>161</v>
      </c>
      <c r="F11" s="1" t="s">
        <v>161</v>
      </c>
      <c r="G11" s="1" t="s">
        <v>167</v>
      </c>
      <c r="H11" s="8" t="s">
        <v>126</v>
      </c>
      <c r="I11" s="8" t="s">
        <v>141</v>
      </c>
      <c r="J11" s="12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1845</v>
      </c>
      <c r="B12" s="1" t="s">
        <v>169</v>
      </c>
      <c r="C12" s="1" t="s">
        <v>1274</v>
      </c>
      <c r="D12" s="1" t="s">
        <v>1846</v>
      </c>
      <c r="E12" s="1" t="s">
        <v>161</v>
      </c>
      <c r="F12" s="1" t="s">
        <v>171</v>
      </c>
      <c r="G12" s="1" t="s">
        <v>1847</v>
      </c>
      <c r="H12" s="8" t="s">
        <v>126</v>
      </c>
      <c r="I12" s="8" t="s">
        <v>141</v>
      </c>
      <c r="J12" s="12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1848</v>
      </c>
      <c r="B13" s="1" t="s">
        <v>174</v>
      </c>
      <c r="C13" s="1" t="s">
        <v>1274</v>
      </c>
      <c r="D13" s="1" t="s">
        <v>1849</v>
      </c>
      <c r="E13" s="1" t="s">
        <v>161</v>
      </c>
      <c r="F13" s="1" t="s">
        <v>176</v>
      </c>
      <c r="G13" s="1" t="s">
        <v>1850</v>
      </c>
      <c r="H13" s="8" t="s">
        <v>126</v>
      </c>
      <c r="I13" s="8" t="s">
        <v>141</v>
      </c>
      <c r="J13" s="12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1851</v>
      </c>
      <c r="B14" s="1" t="s">
        <v>1665</v>
      </c>
      <c r="C14" s="1" t="s">
        <v>1852</v>
      </c>
      <c r="D14" s="1" t="s">
        <v>1853</v>
      </c>
      <c r="E14" s="1" t="s">
        <v>161</v>
      </c>
      <c r="F14" s="1" t="s">
        <v>186</v>
      </c>
      <c r="G14" s="1" t="s">
        <v>1854</v>
      </c>
      <c r="H14" s="8" t="s">
        <v>126</v>
      </c>
      <c r="I14" s="8" t="s">
        <v>141</v>
      </c>
      <c r="J14" s="12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1855</v>
      </c>
      <c r="B15" s="1" t="s">
        <v>1782</v>
      </c>
      <c r="C15" s="1" t="s">
        <v>1274</v>
      </c>
      <c r="D15" s="1" t="s">
        <v>1856</v>
      </c>
      <c r="E15" s="1" t="s">
        <v>161</v>
      </c>
      <c r="F15" s="1" t="s">
        <v>196</v>
      </c>
      <c r="G15" s="1" t="s">
        <v>1857</v>
      </c>
      <c r="H15" s="8" t="s">
        <v>128</v>
      </c>
      <c r="I15" s="8" t="s">
        <v>140</v>
      </c>
      <c r="J15" s="12" t="n">
        <v>46229</v>
      </c>
      <c r="K15" s="1" t="s">
        <v>1858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1859</v>
      </c>
      <c r="B16" s="1" t="s">
        <v>1787</v>
      </c>
      <c r="C16" s="1" t="s">
        <v>1860</v>
      </c>
      <c r="D16" s="1" t="s">
        <v>1861</v>
      </c>
      <c r="E16" s="1" t="s">
        <v>161</v>
      </c>
      <c r="F16" s="1" t="s">
        <v>196</v>
      </c>
      <c r="G16" s="1" t="s">
        <v>1857</v>
      </c>
      <c r="H16" s="8" t="s">
        <v>128</v>
      </c>
      <c r="I16" s="8" t="s">
        <v>140</v>
      </c>
      <c r="J16" s="12" t="n">
        <v>46229</v>
      </c>
      <c r="K16" s="1" t="s">
        <v>1862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1863</v>
      </c>
      <c r="B17" s="1" t="s">
        <v>1864</v>
      </c>
      <c r="C17" s="1" t="s">
        <v>1852</v>
      </c>
      <c r="D17" s="1" t="s">
        <v>1865</v>
      </c>
      <c r="E17" s="1" t="s">
        <v>161</v>
      </c>
      <c r="F17" s="1" t="s">
        <v>186</v>
      </c>
      <c r="G17" s="1" t="s">
        <v>1866</v>
      </c>
      <c r="H17" s="8" t="s">
        <v>126</v>
      </c>
      <c r="I17" s="8" t="s">
        <v>141</v>
      </c>
      <c r="J17" s="12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1867</v>
      </c>
      <c r="B18" s="1" t="s">
        <v>1678</v>
      </c>
      <c r="C18" s="1" t="s">
        <v>1868</v>
      </c>
      <c r="D18" s="1" t="s">
        <v>1869</v>
      </c>
      <c r="E18" s="1" t="s">
        <v>161</v>
      </c>
      <c r="F18" s="1" t="s">
        <v>186</v>
      </c>
      <c r="G18" s="1" t="s">
        <v>1870</v>
      </c>
      <c r="H18" s="8" t="s">
        <v>126</v>
      </c>
      <c r="I18" s="8" t="s">
        <v>141</v>
      </c>
      <c r="J18" s="12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1871</v>
      </c>
      <c r="B19" s="1" t="s">
        <v>1872</v>
      </c>
      <c r="C19" s="1" t="s">
        <v>1873</v>
      </c>
      <c r="D19" s="1" t="s">
        <v>1874</v>
      </c>
      <c r="E19" s="1" t="s">
        <v>161</v>
      </c>
      <c r="F19" s="1" t="s">
        <v>186</v>
      </c>
      <c r="G19" s="1" t="s">
        <v>1854</v>
      </c>
      <c r="H19" s="8" t="s">
        <v>126</v>
      </c>
      <c r="I19" s="8" t="s">
        <v>141</v>
      </c>
      <c r="J19" s="12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1875</v>
      </c>
      <c r="B20" s="1" t="s">
        <v>1876</v>
      </c>
      <c r="C20" s="1" t="s">
        <v>1155</v>
      </c>
      <c r="D20" s="1" t="s">
        <v>1877</v>
      </c>
      <c r="E20" s="1" t="s">
        <v>161</v>
      </c>
      <c r="F20" s="1" t="s">
        <v>181</v>
      </c>
      <c r="G20" s="1" t="s">
        <v>1878</v>
      </c>
      <c r="H20" s="8" t="s">
        <v>126</v>
      </c>
      <c r="I20" s="8" t="s">
        <v>141</v>
      </c>
      <c r="J20" s="12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1879</v>
      </c>
      <c r="B21" s="1" t="s">
        <v>1880</v>
      </c>
      <c r="C21" s="1" t="s">
        <v>1880</v>
      </c>
      <c r="D21" s="1" t="s">
        <v>1881</v>
      </c>
      <c r="E21" s="1" t="s">
        <v>161</v>
      </c>
      <c r="F21" s="1" t="s">
        <v>196</v>
      </c>
      <c r="G21" s="1" t="s">
        <v>1857</v>
      </c>
      <c r="H21" s="8" t="s">
        <v>128</v>
      </c>
      <c r="I21" s="8" t="s">
        <v>140</v>
      </c>
      <c r="J21" s="12" t="n">
        <v>46229</v>
      </c>
      <c r="K21" s="1" t="s">
        <v>1882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1883</v>
      </c>
      <c r="B22" s="1" t="s">
        <v>209</v>
      </c>
      <c r="C22" s="1" t="s">
        <v>1852</v>
      </c>
      <c r="D22" s="1" t="s">
        <v>1884</v>
      </c>
      <c r="E22" s="1" t="s">
        <v>161</v>
      </c>
      <c r="F22" s="1" t="s">
        <v>186</v>
      </c>
      <c r="G22" s="1" t="s">
        <v>1878</v>
      </c>
      <c r="H22" s="8" t="s">
        <v>126</v>
      </c>
      <c r="I22" s="8" t="s">
        <v>141</v>
      </c>
      <c r="J22" s="12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1885</v>
      </c>
      <c r="B23" s="1" t="s">
        <v>200</v>
      </c>
      <c r="C23" s="1" t="s">
        <v>1886</v>
      </c>
      <c r="D23" s="1" t="s">
        <v>1887</v>
      </c>
      <c r="E23" s="1" t="s">
        <v>161</v>
      </c>
      <c r="F23" s="1" t="s">
        <v>186</v>
      </c>
      <c r="G23" s="1" t="s">
        <v>1854</v>
      </c>
      <c r="H23" s="8" t="s">
        <v>126</v>
      </c>
      <c r="I23" s="8" t="s">
        <v>141</v>
      </c>
      <c r="J23" s="12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1888</v>
      </c>
      <c r="B24" s="1" t="s">
        <v>1319</v>
      </c>
      <c r="C24" s="1" t="s">
        <v>1811</v>
      </c>
      <c r="D24" s="1" t="s">
        <v>1889</v>
      </c>
      <c r="E24" s="1" t="s">
        <v>161</v>
      </c>
      <c r="F24" s="1" t="s">
        <v>186</v>
      </c>
      <c r="G24" s="1" t="s">
        <v>1854</v>
      </c>
      <c r="H24" s="8" t="s">
        <v>126</v>
      </c>
      <c r="I24" s="8" t="s">
        <v>141</v>
      </c>
      <c r="J24" s="12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1890</v>
      </c>
      <c r="B25" s="1" t="s">
        <v>189</v>
      </c>
      <c r="C25" s="1" t="s">
        <v>1274</v>
      </c>
      <c r="D25" s="1" t="s">
        <v>1891</v>
      </c>
      <c r="E25" s="1" t="s">
        <v>161</v>
      </c>
      <c r="F25" s="1" t="s">
        <v>191</v>
      </c>
      <c r="G25" s="1" t="s">
        <v>1854</v>
      </c>
      <c r="H25" s="8" t="s">
        <v>126</v>
      </c>
      <c r="I25" s="8" t="s">
        <v>141</v>
      </c>
      <c r="J25" s="12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1892</v>
      </c>
      <c r="B26" s="1" t="s">
        <v>194</v>
      </c>
      <c r="C26" s="1" t="s">
        <v>59</v>
      </c>
      <c r="D26" s="1" t="s">
        <v>1893</v>
      </c>
      <c r="E26" s="1" t="s">
        <v>161</v>
      </c>
      <c r="F26" s="1" t="s">
        <v>196</v>
      </c>
      <c r="G26" s="1" t="s">
        <v>1857</v>
      </c>
      <c r="H26" s="8" t="s">
        <v>128</v>
      </c>
      <c r="I26" s="8" t="s">
        <v>140</v>
      </c>
      <c r="J26" s="12" t="n">
        <v>46229</v>
      </c>
      <c r="K26" s="1" t="s">
        <v>1894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1895</v>
      </c>
      <c r="B27" s="1" t="s">
        <v>214</v>
      </c>
      <c r="C27" s="1" t="s">
        <v>59</v>
      </c>
      <c r="D27" s="1" t="s">
        <v>1896</v>
      </c>
      <c r="E27" s="1" t="s">
        <v>161</v>
      </c>
      <c r="F27" s="1" t="s">
        <v>202</v>
      </c>
      <c r="G27" s="1" t="s">
        <v>1897</v>
      </c>
      <c r="H27" s="8" t="s">
        <v>120</v>
      </c>
      <c r="I27" s="8" t="s">
        <v>140</v>
      </c>
      <c r="J27" s="12" t="n">
        <v>46229</v>
      </c>
      <c r="K27" s="1" t="s">
        <v>1898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1899</v>
      </c>
      <c r="B28" s="1" t="s">
        <v>218</v>
      </c>
      <c r="C28" s="1" t="s">
        <v>59</v>
      </c>
      <c r="D28" s="1" t="s">
        <v>1900</v>
      </c>
      <c r="E28" s="1" t="s">
        <v>161</v>
      </c>
      <c r="F28" s="1" t="s">
        <v>220</v>
      </c>
      <c r="G28" s="1" t="s">
        <v>1901</v>
      </c>
      <c r="H28" s="8" t="s">
        <v>126</v>
      </c>
      <c r="I28" s="8" t="s">
        <v>141</v>
      </c>
      <c r="J28" s="12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1902</v>
      </c>
      <c r="B29" s="1" t="s">
        <v>649</v>
      </c>
      <c r="C29" s="1" t="s">
        <v>59</v>
      </c>
      <c r="D29" s="1" t="s">
        <v>1903</v>
      </c>
      <c r="E29" s="1" t="s">
        <v>161</v>
      </c>
      <c r="F29" s="1" t="s">
        <v>651</v>
      </c>
      <c r="G29" s="1" t="s">
        <v>1904</v>
      </c>
      <c r="H29" s="8" t="s">
        <v>126</v>
      </c>
      <c r="I29" s="8" t="s">
        <v>141</v>
      </c>
      <c r="J29" s="12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1905</v>
      </c>
      <c r="B30" s="1" t="s">
        <v>227</v>
      </c>
      <c r="C30" s="1" t="s">
        <v>59</v>
      </c>
      <c r="D30" s="1" t="s">
        <v>1906</v>
      </c>
      <c r="E30" s="1" t="s">
        <v>229</v>
      </c>
      <c r="F30" s="1" t="s">
        <v>229</v>
      </c>
      <c r="G30" s="1" t="s">
        <v>230</v>
      </c>
      <c r="H30" s="8" t="s">
        <v>126</v>
      </c>
      <c r="I30" s="8" t="s">
        <v>141</v>
      </c>
      <c r="J30" s="12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1907</v>
      </c>
      <c r="B31" s="1" t="s">
        <v>232</v>
      </c>
      <c r="C31" s="1" t="s">
        <v>59</v>
      </c>
      <c r="D31" s="1" t="s">
        <v>1908</v>
      </c>
      <c r="E31" s="1" t="s">
        <v>161</v>
      </c>
      <c r="F31" s="1" t="s">
        <v>161</v>
      </c>
      <c r="G31" s="1" t="s">
        <v>1909</v>
      </c>
      <c r="H31" s="8" t="s">
        <v>126</v>
      </c>
      <c r="I31" s="8" t="s">
        <v>141</v>
      </c>
      <c r="J31" s="12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1911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1912</v>
      </c>
      <c r="B9" s="14" t="s">
        <v>118</v>
      </c>
      <c r="C9" s="14" t="s">
        <v>60</v>
      </c>
      <c r="D9" s="15" t="s">
        <v>1913</v>
      </c>
      <c r="E9" s="14" t="s">
        <v>161</v>
      </c>
      <c r="F9" s="14" t="s">
        <v>162</v>
      </c>
      <c r="G9" s="15" t="s">
        <v>1914</v>
      </c>
      <c r="H9" s="14" t="s">
        <v>126</v>
      </c>
      <c r="I9" s="14" t="s">
        <v>141</v>
      </c>
      <c r="J9" s="16" t="n">
        <v>46229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1915</v>
      </c>
      <c r="B10" s="14" t="s">
        <v>1432</v>
      </c>
      <c r="C10" s="14" t="s">
        <v>60</v>
      </c>
      <c r="D10" s="15" t="s">
        <v>1916</v>
      </c>
      <c r="E10" s="14" t="s">
        <v>161</v>
      </c>
      <c r="F10" s="14" t="s">
        <v>181</v>
      </c>
      <c r="G10" s="15" t="s">
        <v>1917</v>
      </c>
      <c r="H10" s="14" t="s">
        <v>126</v>
      </c>
      <c r="I10" s="14" t="s">
        <v>141</v>
      </c>
      <c r="J10" s="16" t="n">
        <v>46229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1918</v>
      </c>
      <c r="B11" s="14" t="s">
        <v>165</v>
      </c>
      <c r="C11" s="14" t="s">
        <v>60</v>
      </c>
      <c r="D11" s="15" t="s">
        <v>1919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46229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1920</v>
      </c>
      <c r="B12" s="14" t="s">
        <v>169</v>
      </c>
      <c r="C12" s="14" t="s">
        <v>60</v>
      </c>
      <c r="D12" s="15" t="s">
        <v>1921</v>
      </c>
      <c r="E12" s="14" t="s">
        <v>161</v>
      </c>
      <c r="F12" s="14" t="s">
        <v>171</v>
      </c>
      <c r="G12" s="15" t="s">
        <v>1922</v>
      </c>
      <c r="H12" s="14" t="s">
        <v>126</v>
      </c>
      <c r="I12" s="14" t="s">
        <v>141</v>
      </c>
      <c r="J12" s="16" t="n">
        <v>46229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1923</v>
      </c>
      <c r="B13" s="14" t="s">
        <v>174</v>
      </c>
      <c r="C13" s="14" t="s">
        <v>60</v>
      </c>
      <c r="D13" s="15" t="s">
        <v>1924</v>
      </c>
      <c r="E13" s="14" t="s">
        <v>161</v>
      </c>
      <c r="F13" s="14" t="s">
        <v>176</v>
      </c>
      <c r="G13" s="15" t="s">
        <v>1925</v>
      </c>
      <c r="H13" s="14" t="s">
        <v>126</v>
      </c>
      <c r="I13" s="14" t="s">
        <v>141</v>
      </c>
      <c r="J13" s="16" t="n">
        <v>46229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1926</v>
      </c>
      <c r="B14" s="14" t="s">
        <v>1665</v>
      </c>
      <c r="C14" s="14" t="s">
        <v>60</v>
      </c>
      <c r="D14" s="15" t="s">
        <v>1927</v>
      </c>
      <c r="E14" s="14" t="s">
        <v>161</v>
      </c>
      <c r="F14" s="14" t="s">
        <v>186</v>
      </c>
      <c r="G14" s="15" t="s">
        <v>1928</v>
      </c>
      <c r="H14" s="14" t="s">
        <v>126</v>
      </c>
      <c r="I14" s="14" t="s">
        <v>141</v>
      </c>
      <c r="J14" s="16" t="n">
        <v>46229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1929</v>
      </c>
      <c r="B15" s="14" t="s">
        <v>1782</v>
      </c>
      <c r="C15" s="14" t="s">
        <v>60</v>
      </c>
      <c r="D15" s="15" t="s">
        <v>1930</v>
      </c>
      <c r="E15" s="14" t="s">
        <v>161</v>
      </c>
      <c r="F15" s="14" t="s">
        <v>196</v>
      </c>
      <c r="G15" s="15" t="s">
        <v>1931</v>
      </c>
      <c r="H15" s="14" t="s">
        <v>128</v>
      </c>
      <c r="I15" s="14" t="s">
        <v>140</v>
      </c>
      <c r="J15" s="16" t="n">
        <v>46229</v>
      </c>
      <c r="K15" s="15" t="s">
        <v>1858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1932</v>
      </c>
      <c r="B16" s="14" t="s">
        <v>1933</v>
      </c>
      <c r="C16" s="14" t="s">
        <v>60</v>
      </c>
      <c r="D16" s="15" t="s">
        <v>1934</v>
      </c>
      <c r="E16" s="14" t="s">
        <v>161</v>
      </c>
      <c r="F16" s="14" t="s">
        <v>196</v>
      </c>
      <c r="G16" s="15" t="s">
        <v>1931</v>
      </c>
      <c r="H16" s="14" t="s">
        <v>128</v>
      </c>
      <c r="I16" s="14" t="s">
        <v>140</v>
      </c>
      <c r="J16" s="16" t="n">
        <v>46229</v>
      </c>
      <c r="K16" s="15" t="s">
        <v>1935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1936</v>
      </c>
      <c r="B17" s="14" t="s">
        <v>1937</v>
      </c>
      <c r="C17" s="14" t="s">
        <v>60</v>
      </c>
      <c r="D17" s="15" t="s">
        <v>1938</v>
      </c>
      <c r="E17" s="14" t="s">
        <v>161</v>
      </c>
      <c r="F17" s="14" t="s">
        <v>186</v>
      </c>
      <c r="G17" s="15" t="s">
        <v>1939</v>
      </c>
      <c r="H17" s="14" t="s">
        <v>126</v>
      </c>
      <c r="I17" s="14" t="s">
        <v>141</v>
      </c>
      <c r="J17" s="16" t="n">
        <v>46229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1940</v>
      </c>
      <c r="B18" s="14" t="s">
        <v>1941</v>
      </c>
      <c r="C18" s="14" t="s">
        <v>60</v>
      </c>
      <c r="D18" s="15" t="s">
        <v>1942</v>
      </c>
      <c r="E18" s="14" t="s">
        <v>161</v>
      </c>
      <c r="F18" s="14" t="s">
        <v>186</v>
      </c>
      <c r="G18" s="15" t="s">
        <v>1928</v>
      </c>
      <c r="H18" s="14" t="s">
        <v>126</v>
      </c>
      <c r="I18" s="14" t="s">
        <v>141</v>
      </c>
      <c r="J18" s="16" t="n">
        <v>46229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1943</v>
      </c>
      <c r="B19" s="14" t="s">
        <v>1944</v>
      </c>
      <c r="C19" s="14" t="s">
        <v>60</v>
      </c>
      <c r="D19" s="15" t="s">
        <v>1945</v>
      </c>
      <c r="E19" s="14" t="s">
        <v>161</v>
      </c>
      <c r="F19" s="14" t="s">
        <v>186</v>
      </c>
      <c r="G19" s="15" t="s">
        <v>1946</v>
      </c>
      <c r="H19" s="14" t="s">
        <v>126</v>
      </c>
      <c r="I19" s="14" t="s">
        <v>141</v>
      </c>
      <c r="J19" s="16" t="n">
        <v>46229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1947</v>
      </c>
      <c r="B20" s="14" t="s">
        <v>209</v>
      </c>
      <c r="C20" s="14" t="s">
        <v>60</v>
      </c>
      <c r="D20" s="15" t="s">
        <v>1948</v>
      </c>
      <c r="E20" s="14" t="s">
        <v>161</v>
      </c>
      <c r="F20" s="14" t="s">
        <v>196</v>
      </c>
      <c r="G20" s="15" t="s">
        <v>1931</v>
      </c>
      <c r="H20" s="14" t="s">
        <v>128</v>
      </c>
      <c r="I20" s="14" t="s">
        <v>140</v>
      </c>
      <c r="J20" s="16" t="n">
        <v>46229</v>
      </c>
      <c r="K20" s="15" t="s">
        <v>1949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1950</v>
      </c>
      <c r="B21" s="14" t="s">
        <v>189</v>
      </c>
      <c r="C21" s="14" t="s">
        <v>60</v>
      </c>
      <c r="D21" s="15" t="s">
        <v>1951</v>
      </c>
      <c r="E21" s="14" t="s">
        <v>161</v>
      </c>
      <c r="F21" s="14" t="s">
        <v>191</v>
      </c>
      <c r="G21" s="15" t="s">
        <v>1928</v>
      </c>
      <c r="H21" s="14" t="s">
        <v>126</v>
      </c>
      <c r="I21" s="14" t="s">
        <v>141</v>
      </c>
      <c r="J21" s="16" t="n">
        <v>46229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1952</v>
      </c>
      <c r="B22" s="14" t="s">
        <v>200</v>
      </c>
      <c r="C22" s="14" t="s">
        <v>60</v>
      </c>
      <c r="D22" s="15" t="s">
        <v>1953</v>
      </c>
      <c r="E22" s="14" t="s">
        <v>161</v>
      </c>
      <c r="F22" s="14" t="s">
        <v>186</v>
      </c>
      <c r="G22" s="15" t="s">
        <v>1939</v>
      </c>
      <c r="H22" s="14" t="s">
        <v>126</v>
      </c>
      <c r="I22" s="14" t="s">
        <v>141</v>
      </c>
      <c r="J22" s="16" t="n">
        <v>46229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1954</v>
      </c>
      <c r="B23" s="14" t="s">
        <v>94</v>
      </c>
      <c r="C23" s="14" t="s">
        <v>60</v>
      </c>
      <c r="D23" s="15" t="s">
        <v>1955</v>
      </c>
      <c r="E23" s="14" t="s">
        <v>161</v>
      </c>
      <c r="F23" s="14" t="s">
        <v>196</v>
      </c>
      <c r="G23" s="15" t="s">
        <v>1931</v>
      </c>
      <c r="H23" s="14" t="s">
        <v>128</v>
      </c>
      <c r="I23" s="14" t="s">
        <v>140</v>
      </c>
      <c r="J23" s="16" t="n">
        <v>46229</v>
      </c>
      <c r="K23" s="15" t="s">
        <v>1956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1957</v>
      </c>
      <c r="B24" s="14" t="s">
        <v>194</v>
      </c>
      <c r="C24" s="14" t="s">
        <v>60</v>
      </c>
      <c r="D24" s="15" t="s">
        <v>1958</v>
      </c>
      <c r="E24" s="14" t="s">
        <v>161</v>
      </c>
      <c r="F24" s="14" t="s">
        <v>196</v>
      </c>
      <c r="G24" s="15" t="s">
        <v>1931</v>
      </c>
      <c r="H24" s="14" t="s">
        <v>128</v>
      </c>
      <c r="I24" s="14" t="s">
        <v>140</v>
      </c>
      <c r="J24" s="16" t="n">
        <v>46229</v>
      </c>
      <c r="K24" s="15" t="s">
        <v>1959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1960</v>
      </c>
      <c r="B25" s="14" t="s">
        <v>214</v>
      </c>
      <c r="C25" s="14" t="s">
        <v>60</v>
      </c>
      <c r="D25" s="15" t="s">
        <v>1961</v>
      </c>
      <c r="E25" s="14" t="s">
        <v>161</v>
      </c>
      <c r="F25" s="14" t="s">
        <v>202</v>
      </c>
      <c r="G25" s="15" t="s">
        <v>1962</v>
      </c>
      <c r="H25" s="14" t="s">
        <v>120</v>
      </c>
      <c r="I25" s="14" t="s">
        <v>140</v>
      </c>
      <c r="J25" s="16" t="n">
        <v>46229</v>
      </c>
      <c r="K25" s="15" t="s">
        <v>1898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4" t="s">
        <v>1963</v>
      </c>
      <c r="B26" s="14" t="s">
        <v>218</v>
      </c>
      <c r="C26" s="14" t="s">
        <v>60</v>
      </c>
      <c r="D26" s="15" t="s">
        <v>1964</v>
      </c>
      <c r="E26" s="14" t="s">
        <v>161</v>
      </c>
      <c r="F26" s="14" t="s">
        <v>220</v>
      </c>
      <c r="G26" s="15" t="s">
        <v>1965</v>
      </c>
      <c r="H26" s="14" t="s">
        <v>126</v>
      </c>
      <c r="I26" s="14" t="s">
        <v>141</v>
      </c>
      <c r="J26" s="16" t="n">
        <v>46229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1966</v>
      </c>
      <c r="B27" s="14" t="s">
        <v>223</v>
      </c>
      <c r="C27" s="14" t="s">
        <v>60</v>
      </c>
      <c r="D27" s="15" t="s">
        <v>1967</v>
      </c>
      <c r="E27" s="14" t="s">
        <v>161</v>
      </c>
      <c r="F27" s="14" t="s">
        <v>220</v>
      </c>
      <c r="G27" s="15" t="s">
        <v>1968</v>
      </c>
      <c r="H27" s="14" t="s">
        <v>126</v>
      </c>
      <c r="I27" s="14" t="s">
        <v>141</v>
      </c>
      <c r="J27" s="16" t="n">
        <v>46229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1969</v>
      </c>
      <c r="B28" s="14" t="s">
        <v>649</v>
      </c>
      <c r="C28" s="14" t="s">
        <v>60</v>
      </c>
      <c r="D28" s="15" t="s">
        <v>1970</v>
      </c>
      <c r="E28" s="14" t="s">
        <v>161</v>
      </c>
      <c r="F28" s="14" t="s">
        <v>651</v>
      </c>
      <c r="G28" s="15" t="s">
        <v>1971</v>
      </c>
      <c r="H28" s="14" t="s">
        <v>126</v>
      </c>
      <c r="I28" s="14" t="s">
        <v>141</v>
      </c>
      <c r="J28" s="16" t="n">
        <v>46229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1972</v>
      </c>
      <c r="B29" s="14" t="s">
        <v>227</v>
      </c>
      <c r="C29" s="14" t="s">
        <v>60</v>
      </c>
      <c r="D29" s="15" t="s">
        <v>1973</v>
      </c>
      <c r="E29" s="14" t="s">
        <v>229</v>
      </c>
      <c r="F29" s="14" t="s">
        <v>229</v>
      </c>
      <c r="G29" s="15" t="s">
        <v>230</v>
      </c>
      <c r="H29" s="14" t="s">
        <v>126</v>
      </c>
      <c r="I29" s="14" t="s">
        <v>141</v>
      </c>
      <c r="J29" s="16" t="n">
        <v>46229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1974</v>
      </c>
      <c r="B30" s="14" t="s">
        <v>232</v>
      </c>
      <c r="C30" s="14" t="s">
        <v>60</v>
      </c>
      <c r="D30" s="15" t="s">
        <v>1975</v>
      </c>
      <c r="E30" s="14" t="s">
        <v>161</v>
      </c>
      <c r="F30" s="14" t="s">
        <v>161</v>
      </c>
      <c r="G30" s="15" t="s">
        <v>234</v>
      </c>
      <c r="H30" s="14" t="s">
        <v>126</v>
      </c>
      <c r="I30" s="14" t="s">
        <v>141</v>
      </c>
      <c r="J30" s="16" t="n">
        <v>46229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1977</v>
      </c>
      <c r="B9" s="1" t="s">
        <v>118</v>
      </c>
      <c r="C9" s="1" t="s">
        <v>1274</v>
      </c>
      <c r="D9" s="1" t="s">
        <v>1978</v>
      </c>
      <c r="E9" s="1" t="s">
        <v>161</v>
      </c>
      <c r="F9" s="1" t="s">
        <v>162</v>
      </c>
      <c r="G9" s="1" t="s">
        <v>1979</v>
      </c>
      <c r="H9" s="1" t="s">
        <v>126</v>
      </c>
      <c r="I9" s="1" t="s">
        <v>141</v>
      </c>
      <c r="J9" s="12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1980</v>
      </c>
      <c r="B10" s="1" t="s">
        <v>1432</v>
      </c>
      <c r="C10" s="1" t="s">
        <v>1274</v>
      </c>
      <c r="D10" s="1" t="s">
        <v>1981</v>
      </c>
      <c r="E10" s="1" t="s">
        <v>161</v>
      </c>
      <c r="F10" s="1" t="s">
        <v>181</v>
      </c>
      <c r="G10" s="1" t="s">
        <v>1982</v>
      </c>
      <c r="H10" s="1" t="s">
        <v>126</v>
      </c>
      <c r="I10" s="1" t="s">
        <v>141</v>
      </c>
      <c r="J10" s="12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1983</v>
      </c>
      <c r="B11" s="1" t="s">
        <v>165</v>
      </c>
      <c r="C11" s="1" t="s">
        <v>1984</v>
      </c>
      <c r="D11" s="1" t="s">
        <v>1985</v>
      </c>
      <c r="E11" s="1" t="s">
        <v>161</v>
      </c>
      <c r="F11" s="1" t="s">
        <v>161</v>
      </c>
      <c r="G11" s="1" t="s">
        <v>1986</v>
      </c>
      <c r="H11" s="1" t="s">
        <v>126</v>
      </c>
      <c r="I11" s="1" t="s">
        <v>141</v>
      </c>
      <c r="J11" s="12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1987</v>
      </c>
      <c r="B12" s="1" t="s">
        <v>169</v>
      </c>
      <c r="C12" s="1" t="s">
        <v>1274</v>
      </c>
      <c r="D12" s="1" t="s">
        <v>1988</v>
      </c>
      <c r="E12" s="1" t="s">
        <v>161</v>
      </c>
      <c r="F12" s="1" t="s">
        <v>171</v>
      </c>
      <c r="G12" s="1" t="s">
        <v>1989</v>
      </c>
      <c r="H12" s="1" t="s">
        <v>126</v>
      </c>
      <c r="I12" s="1" t="s">
        <v>141</v>
      </c>
      <c r="J12" s="12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1990</v>
      </c>
      <c r="B13" s="1" t="s">
        <v>174</v>
      </c>
      <c r="C13" s="1" t="s">
        <v>1274</v>
      </c>
      <c r="D13" s="1" t="s">
        <v>1991</v>
      </c>
      <c r="E13" s="1" t="s">
        <v>161</v>
      </c>
      <c r="F13" s="1" t="s">
        <v>176</v>
      </c>
      <c r="G13" s="1" t="s">
        <v>1992</v>
      </c>
      <c r="H13" s="1" t="s">
        <v>126</v>
      </c>
      <c r="I13" s="1" t="s">
        <v>141</v>
      </c>
      <c r="J13" s="12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1993</v>
      </c>
      <c r="B14" s="1" t="s">
        <v>1665</v>
      </c>
      <c r="C14" s="1" t="s">
        <v>1994</v>
      </c>
      <c r="D14" s="1" t="s">
        <v>1995</v>
      </c>
      <c r="E14" s="1" t="s">
        <v>161</v>
      </c>
      <c r="F14" s="1" t="s">
        <v>186</v>
      </c>
      <c r="G14" s="1" t="s">
        <v>1996</v>
      </c>
      <c r="H14" s="1" t="s">
        <v>126</v>
      </c>
      <c r="I14" s="1" t="s">
        <v>141</v>
      </c>
      <c r="J14" s="12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1997</v>
      </c>
      <c r="B15" s="1" t="s">
        <v>1787</v>
      </c>
      <c r="C15" s="1" t="s">
        <v>1998</v>
      </c>
      <c r="D15" s="1" t="s">
        <v>1999</v>
      </c>
      <c r="E15" s="1" t="s">
        <v>161</v>
      </c>
      <c r="F15" s="1" t="s">
        <v>196</v>
      </c>
      <c r="G15" s="1" t="s">
        <v>2000</v>
      </c>
      <c r="H15" s="1" t="s">
        <v>128</v>
      </c>
      <c r="I15" s="1" t="s">
        <v>140</v>
      </c>
      <c r="J15" s="12" t="n">
        <v>46230</v>
      </c>
      <c r="K15" s="1" t="s">
        <v>2001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2002</v>
      </c>
      <c r="B16" s="1" t="s">
        <v>1432</v>
      </c>
      <c r="C16" s="1" t="s">
        <v>2003</v>
      </c>
      <c r="D16" s="1" t="s">
        <v>2004</v>
      </c>
      <c r="E16" s="1" t="s">
        <v>161</v>
      </c>
      <c r="F16" s="1" t="s">
        <v>196</v>
      </c>
      <c r="G16" s="1" t="s">
        <v>2000</v>
      </c>
      <c r="H16" s="1" t="s">
        <v>128</v>
      </c>
      <c r="I16" s="1" t="s">
        <v>140</v>
      </c>
      <c r="J16" s="12" t="n">
        <v>46230</v>
      </c>
      <c r="K16" s="1" t="s">
        <v>2005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2006</v>
      </c>
      <c r="B17" s="1" t="s">
        <v>2007</v>
      </c>
      <c r="C17" s="1" t="s">
        <v>2008</v>
      </c>
      <c r="D17" s="1" t="s">
        <v>2009</v>
      </c>
      <c r="E17" s="1" t="s">
        <v>161</v>
      </c>
      <c r="F17" s="1" t="s">
        <v>186</v>
      </c>
      <c r="G17" s="1" t="s">
        <v>1996</v>
      </c>
      <c r="H17" s="1" t="s">
        <v>126</v>
      </c>
      <c r="I17" s="1" t="s">
        <v>141</v>
      </c>
      <c r="J17" s="12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2010</v>
      </c>
      <c r="B18" s="1" t="s">
        <v>1678</v>
      </c>
      <c r="C18" s="1" t="s">
        <v>2011</v>
      </c>
      <c r="D18" s="1" t="s">
        <v>2012</v>
      </c>
      <c r="E18" s="1" t="s">
        <v>161</v>
      </c>
      <c r="F18" s="1" t="s">
        <v>186</v>
      </c>
      <c r="G18" s="1" t="s">
        <v>2013</v>
      </c>
      <c r="H18" s="1" t="s">
        <v>126</v>
      </c>
      <c r="I18" s="1" t="s">
        <v>141</v>
      </c>
      <c r="J18" s="12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2014</v>
      </c>
      <c r="B19" s="1" t="s">
        <v>2015</v>
      </c>
      <c r="C19" s="1" t="s">
        <v>2016</v>
      </c>
      <c r="D19" s="1" t="s">
        <v>2017</v>
      </c>
      <c r="E19" s="1" t="s">
        <v>161</v>
      </c>
      <c r="F19" s="1" t="s">
        <v>186</v>
      </c>
      <c r="G19" s="1" t="s">
        <v>1996</v>
      </c>
      <c r="H19" s="1" t="s">
        <v>126</v>
      </c>
      <c r="I19" s="1" t="s">
        <v>141</v>
      </c>
      <c r="J19" s="12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2018</v>
      </c>
      <c r="B20" s="1" t="s">
        <v>1672</v>
      </c>
      <c r="C20" s="1" t="s">
        <v>1506</v>
      </c>
      <c r="D20" s="1" t="s">
        <v>2019</v>
      </c>
      <c r="E20" s="1" t="s">
        <v>161</v>
      </c>
      <c r="F20" s="1" t="s">
        <v>186</v>
      </c>
      <c r="G20" s="1" t="s">
        <v>1996</v>
      </c>
      <c r="H20" s="1" t="s">
        <v>126</v>
      </c>
      <c r="I20" s="1" t="s">
        <v>141</v>
      </c>
      <c r="J20" s="12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2020</v>
      </c>
      <c r="B21" s="1" t="s">
        <v>209</v>
      </c>
      <c r="C21" s="1" t="s">
        <v>2021</v>
      </c>
      <c r="D21" s="1" t="s">
        <v>2022</v>
      </c>
      <c r="E21" s="1" t="s">
        <v>161</v>
      </c>
      <c r="F21" s="1" t="s">
        <v>186</v>
      </c>
      <c r="G21" s="1" t="s">
        <v>2023</v>
      </c>
      <c r="H21" s="1" t="s">
        <v>126</v>
      </c>
      <c r="I21" s="1" t="s">
        <v>141</v>
      </c>
      <c r="J21" s="12" t="n">
        <v>46230</v>
      </c>
      <c r="K21" s="1" t="s">
        <v>1882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2024</v>
      </c>
      <c r="B22" s="1" t="s">
        <v>200</v>
      </c>
      <c r="C22" s="1" t="s">
        <v>1998</v>
      </c>
      <c r="D22" s="1" t="s">
        <v>2025</v>
      </c>
      <c r="E22" s="1" t="s">
        <v>161</v>
      </c>
      <c r="F22" s="1" t="s">
        <v>186</v>
      </c>
      <c r="G22" s="1" t="s">
        <v>2013</v>
      </c>
      <c r="H22" s="1" t="s">
        <v>126</v>
      </c>
      <c r="I22" s="1" t="s">
        <v>141</v>
      </c>
      <c r="J22" s="12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2026</v>
      </c>
      <c r="B23" s="1" t="s">
        <v>1319</v>
      </c>
      <c r="C23" s="1" t="s">
        <v>1998</v>
      </c>
      <c r="D23" s="1" t="s">
        <v>2027</v>
      </c>
      <c r="E23" s="1" t="s">
        <v>161</v>
      </c>
      <c r="F23" s="1" t="s">
        <v>186</v>
      </c>
      <c r="G23" s="1" t="s">
        <v>1996</v>
      </c>
      <c r="H23" s="1" t="s">
        <v>126</v>
      </c>
      <c r="I23" s="1" t="s">
        <v>141</v>
      </c>
      <c r="J23" s="12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2028</v>
      </c>
      <c r="B24" s="1" t="s">
        <v>189</v>
      </c>
      <c r="C24" s="1" t="s">
        <v>1274</v>
      </c>
      <c r="D24" s="1" t="s">
        <v>2029</v>
      </c>
      <c r="E24" s="1" t="s">
        <v>161</v>
      </c>
      <c r="F24" s="1" t="s">
        <v>191</v>
      </c>
      <c r="G24" s="1" t="s">
        <v>1996</v>
      </c>
      <c r="H24" s="1" t="s">
        <v>126</v>
      </c>
      <c r="I24" s="1" t="s">
        <v>141</v>
      </c>
      <c r="J24" s="12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2030</v>
      </c>
      <c r="B25" s="1" t="s">
        <v>194</v>
      </c>
      <c r="C25" s="1" t="s">
        <v>1984</v>
      </c>
      <c r="D25" s="1" t="s">
        <v>2031</v>
      </c>
      <c r="E25" s="1" t="s">
        <v>161</v>
      </c>
      <c r="F25" s="1" t="s">
        <v>196</v>
      </c>
      <c r="G25" s="1" t="s">
        <v>2000</v>
      </c>
      <c r="H25" s="1" t="s">
        <v>128</v>
      </c>
      <c r="I25" s="1" t="s">
        <v>140</v>
      </c>
      <c r="J25" s="12" t="n">
        <v>46230</v>
      </c>
      <c r="K25" s="1" t="s">
        <v>2032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2033</v>
      </c>
      <c r="B26" s="1" t="s">
        <v>1672</v>
      </c>
      <c r="C26" s="1" t="s">
        <v>2034</v>
      </c>
      <c r="D26" s="1" t="s">
        <v>2035</v>
      </c>
      <c r="E26" s="1" t="s">
        <v>161</v>
      </c>
      <c r="F26" s="1" t="s">
        <v>186</v>
      </c>
      <c r="G26" s="1" t="s">
        <v>1996</v>
      </c>
      <c r="H26" s="1" t="s">
        <v>126</v>
      </c>
      <c r="I26" s="1" t="s">
        <v>141</v>
      </c>
      <c r="J26" s="12" t="n">
        <v>46230</v>
      </c>
      <c r="K26" s="1" t="s">
        <v>1894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2036</v>
      </c>
      <c r="B27" s="1" t="s">
        <v>214</v>
      </c>
      <c r="C27" s="1" t="s">
        <v>61</v>
      </c>
      <c r="D27" s="1" t="s">
        <v>2037</v>
      </c>
      <c r="E27" s="1" t="s">
        <v>161</v>
      </c>
      <c r="F27" s="1" t="s">
        <v>202</v>
      </c>
      <c r="G27" s="1" t="s">
        <v>2038</v>
      </c>
      <c r="H27" s="1" t="s">
        <v>120</v>
      </c>
      <c r="I27" s="1" t="s">
        <v>140</v>
      </c>
      <c r="J27" s="12" t="n">
        <v>46230</v>
      </c>
      <c r="K27" s="1" t="s">
        <v>1898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2039</v>
      </c>
      <c r="B28" s="1" t="s">
        <v>218</v>
      </c>
      <c r="C28" s="1" t="s">
        <v>61</v>
      </c>
      <c r="D28" s="1" t="s">
        <v>2040</v>
      </c>
      <c r="E28" s="1" t="s">
        <v>161</v>
      </c>
      <c r="F28" s="1" t="s">
        <v>220</v>
      </c>
      <c r="G28" s="1" t="s">
        <v>2041</v>
      </c>
      <c r="H28" s="1" t="s">
        <v>126</v>
      </c>
      <c r="I28" s="1" t="s">
        <v>141</v>
      </c>
      <c r="J28" s="12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2042</v>
      </c>
      <c r="B29" s="1" t="s">
        <v>649</v>
      </c>
      <c r="C29" s="1" t="s">
        <v>61</v>
      </c>
      <c r="D29" s="1" t="s">
        <v>2043</v>
      </c>
      <c r="E29" s="1" t="s">
        <v>161</v>
      </c>
      <c r="F29" s="1" t="s">
        <v>651</v>
      </c>
      <c r="G29" s="1" t="s">
        <v>2044</v>
      </c>
      <c r="H29" s="1" t="s">
        <v>126</v>
      </c>
      <c r="I29" s="1" t="s">
        <v>141</v>
      </c>
      <c r="J29" s="12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2045</v>
      </c>
      <c r="B30" s="1" t="s">
        <v>227</v>
      </c>
      <c r="C30" s="1" t="s">
        <v>61</v>
      </c>
      <c r="D30" s="1" t="s">
        <v>2046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2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2047</v>
      </c>
      <c r="B31" s="1" t="s">
        <v>232</v>
      </c>
      <c r="C31" s="1" t="s">
        <v>61</v>
      </c>
      <c r="D31" s="1" t="s">
        <v>2048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2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2050</v>
      </c>
      <c r="B9" s="1" t="s">
        <v>118</v>
      </c>
      <c r="C9" s="1" t="s">
        <v>1274</v>
      </c>
      <c r="D9" s="1" t="s">
        <v>2051</v>
      </c>
      <c r="E9" s="1" t="s">
        <v>161</v>
      </c>
      <c r="F9" s="1" t="s">
        <v>162</v>
      </c>
      <c r="G9" s="1" t="s">
        <v>2052</v>
      </c>
      <c r="H9" s="1" t="s">
        <v>126</v>
      </c>
      <c r="I9" s="1" t="s">
        <v>141</v>
      </c>
      <c r="J9" s="12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2053</v>
      </c>
      <c r="B10" s="1" t="s">
        <v>1432</v>
      </c>
      <c r="C10" s="1" t="s">
        <v>1274</v>
      </c>
      <c r="D10" s="1" t="s">
        <v>2054</v>
      </c>
      <c r="E10" s="1" t="s">
        <v>161</v>
      </c>
      <c r="F10" s="1" t="s">
        <v>181</v>
      </c>
      <c r="G10" s="1" t="s">
        <v>2055</v>
      </c>
      <c r="H10" s="1" t="s">
        <v>126</v>
      </c>
      <c r="I10" s="1" t="s">
        <v>141</v>
      </c>
      <c r="J10" s="12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2056</v>
      </c>
      <c r="B11" s="1" t="s">
        <v>165</v>
      </c>
      <c r="C11" s="1" t="s">
        <v>2057</v>
      </c>
      <c r="D11" s="1" t="s">
        <v>2058</v>
      </c>
      <c r="E11" s="1" t="s">
        <v>161</v>
      </c>
      <c r="F11" s="1" t="s">
        <v>161</v>
      </c>
      <c r="G11" s="1" t="s">
        <v>1986</v>
      </c>
      <c r="H11" s="1" t="s">
        <v>126</v>
      </c>
      <c r="I11" s="1" t="s">
        <v>141</v>
      </c>
      <c r="J11" s="12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2059</v>
      </c>
      <c r="B12" s="1" t="s">
        <v>169</v>
      </c>
      <c r="C12" s="1" t="s">
        <v>1274</v>
      </c>
      <c r="D12" s="1" t="s">
        <v>2060</v>
      </c>
      <c r="E12" s="1" t="s">
        <v>161</v>
      </c>
      <c r="F12" s="1" t="s">
        <v>171</v>
      </c>
      <c r="G12" s="1" t="s">
        <v>2061</v>
      </c>
      <c r="H12" s="1" t="s">
        <v>126</v>
      </c>
      <c r="I12" s="1" t="s">
        <v>141</v>
      </c>
      <c r="J12" s="12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2062</v>
      </c>
      <c r="B13" s="1" t="s">
        <v>174</v>
      </c>
      <c r="C13" s="1" t="s">
        <v>1274</v>
      </c>
      <c r="D13" s="1" t="s">
        <v>2063</v>
      </c>
      <c r="E13" s="1" t="s">
        <v>161</v>
      </c>
      <c r="F13" s="1" t="s">
        <v>176</v>
      </c>
      <c r="G13" s="1" t="s">
        <v>2064</v>
      </c>
      <c r="H13" s="1" t="s">
        <v>126</v>
      </c>
      <c r="I13" s="1" t="s">
        <v>141</v>
      </c>
      <c r="J13" s="12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2065</v>
      </c>
      <c r="B14" s="1" t="s">
        <v>2066</v>
      </c>
      <c r="C14" s="1" t="s">
        <v>1506</v>
      </c>
      <c r="D14" s="1" t="s">
        <v>2067</v>
      </c>
      <c r="E14" s="1" t="s">
        <v>161</v>
      </c>
      <c r="F14" s="1" t="s">
        <v>186</v>
      </c>
      <c r="G14" s="1" t="s">
        <v>2068</v>
      </c>
      <c r="H14" s="1" t="s">
        <v>126</v>
      </c>
      <c r="I14" s="1" t="s">
        <v>141</v>
      </c>
      <c r="J14" s="12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2069</v>
      </c>
      <c r="B15" s="1" t="s">
        <v>1787</v>
      </c>
      <c r="C15" s="1" t="s">
        <v>1998</v>
      </c>
      <c r="D15" s="1" t="s">
        <v>2070</v>
      </c>
      <c r="E15" s="1" t="s">
        <v>161</v>
      </c>
      <c r="F15" s="1" t="s">
        <v>196</v>
      </c>
      <c r="G15" s="1" t="s">
        <v>2071</v>
      </c>
      <c r="H15" s="1" t="s">
        <v>128</v>
      </c>
      <c r="I15" s="1" t="s">
        <v>140</v>
      </c>
      <c r="J15" s="12" t="n">
        <v>46230</v>
      </c>
      <c r="K15" s="1" t="s">
        <v>2072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2073</v>
      </c>
      <c r="B16" s="1" t="s">
        <v>1432</v>
      </c>
      <c r="C16" s="1" t="s">
        <v>2074</v>
      </c>
      <c r="D16" s="1" t="s">
        <v>2075</v>
      </c>
      <c r="E16" s="1" t="s">
        <v>161</v>
      </c>
      <c r="F16" s="1" t="s">
        <v>196</v>
      </c>
      <c r="G16" s="1" t="s">
        <v>2071</v>
      </c>
      <c r="H16" s="1" t="s">
        <v>128</v>
      </c>
      <c r="I16" s="1" t="s">
        <v>140</v>
      </c>
      <c r="J16" s="12" t="n">
        <v>46230</v>
      </c>
      <c r="K16" s="1" t="s">
        <v>2072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2076</v>
      </c>
      <c r="B17" s="1" t="s">
        <v>2007</v>
      </c>
      <c r="C17" s="1" t="s">
        <v>2008</v>
      </c>
      <c r="D17" s="1" t="s">
        <v>2077</v>
      </c>
      <c r="E17" s="1" t="s">
        <v>161</v>
      </c>
      <c r="F17" s="1" t="s">
        <v>186</v>
      </c>
      <c r="G17" s="1" t="s">
        <v>2068</v>
      </c>
      <c r="H17" s="1" t="s">
        <v>126</v>
      </c>
      <c r="I17" s="1" t="s">
        <v>141</v>
      </c>
      <c r="J17" s="12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2078</v>
      </c>
      <c r="B18" s="1" t="s">
        <v>1678</v>
      </c>
      <c r="C18" s="1" t="s">
        <v>2011</v>
      </c>
      <c r="D18" s="1" t="s">
        <v>2079</v>
      </c>
      <c r="E18" s="1" t="s">
        <v>161</v>
      </c>
      <c r="F18" s="1" t="s">
        <v>186</v>
      </c>
      <c r="G18" s="1" t="s">
        <v>2068</v>
      </c>
      <c r="H18" s="1" t="s">
        <v>126</v>
      </c>
      <c r="I18" s="1" t="s">
        <v>141</v>
      </c>
      <c r="J18" s="12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2080</v>
      </c>
      <c r="B19" s="1" t="s">
        <v>2015</v>
      </c>
      <c r="C19" s="1" t="s">
        <v>2016</v>
      </c>
      <c r="D19" s="1" t="s">
        <v>2081</v>
      </c>
      <c r="E19" s="1" t="s">
        <v>161</v>
      </c>
      <c r="F19" s="1" t="s">
        <v>186</v>
      </c>
      <c r="G19" s="1" t="s">
        <v>2068</v>
      </c>
      <c r="H19" s="1" t="s">
        <v>126</v>
      </c>
      <c r="I19" s="1" t="s">
        <v>141</v>
      </c>
      <c r="J19" s="12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2082</v>
      </c>
      <c r="B20" s="1" t="s">
        <v>1672</v>
      </c>
      <c r="C20" s="1" t="s">
        <v>2034</v>
      </c>
      <c r="D20" s="1" t="s">
        <v>2035</v>
      </c>
      <c r="E20" s="1" t="s">
        <v>161</v>
      </c>
      <c r="F20" s="1" t="s">
        <v>186</v>
      </c>
      <c r="G20" s="1" t="s">
        <v>2068</v>
      </c>
      <c r="H20" s="1" t="s">
        <v>126</v>
      </c>
      <c r="I20" s="1" t="s">
        <v>141</v>
      </c>
      <c r="J20" s="12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2083</v>
      </c>
      <c r="B21" s="1" t="s">
        <v>209</v>
      </c>
      <c r="C21" s="1" t="s">
        <v>2084</v>
      </c>
      <c r="D21" s="1" t="s">
        <v>2085</v>
      </c>
      <c r="E21" s="1" t="s">
        <v>161</v>
      </c>
      <c r="F21" s="1" t="s">
        <v>186</v>
      </c>
      <c r="G21" s="1" t="s">
        <v>2068</v>
      </c>
      <c r="H21" s="1" t="s">
        <v>126</v>
      </c>
      <c r="I21" s="1" t="s">
        <v>141</v>
      </c>
      <c r="J21" s="12" t="n">
        <v>46230</v>
      </c>
      <c r="K21" s="1" t="s">
        <v>1882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2086</v>
      </c>
      <c r="B22" s="1" t="s">
        <v>200</v>
      </c>
      <c r="C22" s="1" t="s">
        <v>1274</v>
      </c>
      <c r="D22" s="1" t="s">
        <v>2087</v>
      </c>
      <c r="E22" s="1" t="s">
        <v>161</v>
      </c>
      <c r="F22" s="1" t="s">
        <v>186</v>
      </c>
      <c r="G22" s="1" t="s">
        <v>2068</v>
      </c>
      <c r="H22" s="1" t="s">
        <v>126</v>
      </c>
      <c r="I22" s="1" t="s">
        <v>141</v>
      </c>
      <c r="J22" s="12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2088</v>
      </c>
      <c r="B23" s="1" t="s">
        <v>1319</v>
      </c>
      <c r="C23" s="1" t="s">
        <v>1274</v>
      </c>
      <c r="D23" s="1" t="s">
        <v>2089</v>
      </c>
      <c r="E23" s="1" t="s">
        <v>161</v>
      </c>
      <c r="F23" s="1" t="s">
        <v>186</v>
      </c>
      <c r="G23" s="1" t="s">
        <v>2068</v>
      </c>
      <c r="H23" s="1" t="s">
        <v>126</v>
      </c>
      <c r="I23" s="1" t="s">
        <v>141</v>
      </c>
      <c r="J23" s="12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2090</v>
      </c>
      <c r="B24" s="1" t="s">
        <v>189</v>
      </c>
      <c r="C24" s="1" t="s">
        <v>1274</v>
      </c>
      <c r="D24" s="1" t="s">
        <v>2091</v>
      </c>
      <c r="E24" s="1" t="s">
        <v>161</v>
      </c>
      <c r="F24" s="1" t="s">
        <v>191</v>
      </c>
      <c r="G24" s="1" t="s">
        <v>2068</v>
      </c>
      <c r="H24" s="1" t="s">
        <v>126</v>
      </c>
      <c r="I24" s="1" t="s">
        <v>141</v>
      </c>
      <c r="J24" s="12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2092</v>
      </c>
      <c r="B25" s="1" t="s">
        <v>194</v>
      </c>
      <c r="C25" s="1" t="s">
        <v>1274</v>
      </c>
      <c r="D25" s="1" t="s">
        <v>2093</v>
      </c>
      <c r="E25" s="1" t="s">
        <v>161</v>
      </c>
      <c r="F25" s="1" t="s">
        <v>196</v>
      </c>
      <c r="G25" s="1" t="s">
        <v>2071</v>
      </c>
      <c r="H25" s="1" t="s">
        <v>128</v>
      </c>
      <c r="I25" s="1" t="s">
        <v>140</v>
      </c>
      <c r="J25" s="12" t="n">
        <v>46230</v>
      </c>
      <c r="K25" s="1" t="s">
        <v>2094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2095</v>
      </c>
      <c r="B26" s="1" t="s">
        <v>2096</v>
      </c>
      <c r="C26" s="1" t="s">
        <v>1274</v>
      </c>
      <c r="D26" s="1" t="s">
        <v>2097</v>
      </c>
      <c r="E26" s="1" t="s">
        <v>161</v>
      </c>
      <c r="F26" s="1" t="s">
        <v>186</v>
      </c>
      <c r="G26" s="1" t="s">
        <v>2068</v>
      </c>
      <c r="H26" s="1" t="s">
        <v>126</v>
      </c>
      <c r="I26" s="1" t="s">
        <v>141</v>
      </c>
      <c r="J26" s="12" t="n">
        <v>46230</v>
      </c>
      <c r="K26" s="1" t="s">
        <v>1894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2098</v>
      </c>
      <c r="B27" s="1" t="s">
        <v>214</v>
      </c>
      <c r="C27" s="1" t="s">
        <v>62</v>
      </c>
      <c r="D27" s="1" t="s">
        <v>2037</v>
      </c>
      <c r="E27" s="1" t="s">
        <v>161</v>
      </c>
      <c r="F27" s="1" t="s">
        <v>202</v>
      </c>
      <c r="G27" s="1" t="s">
        <v>2099</v>
      </c>
      <c r="H27" s="1" t="s">
        <v>120</v>
      </c>
      <c r="I27" s="1" t="s">
        <v>140</v>
      </c>
      <c r="J27" s="12" t="n">
        <v>46230</v>
      </c>
      <c r="K27" s="1" t="s">
        <v>1898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2100</v>
      </c>
      <c r="B28" s="1" t="s">
        <v>218</v>
      </c>
      <c r="C28" s="1" t="s">
        <v>62</v>
      </c>
      <c r="D28" s="1" t="s">
        <v>2040</v>
      </c>
      <c r="E28" s="1" t="s">
        <v>161</v>
      </c>
      <c r="F28" s="1" t="s">
        <v>220</v>
      </c>
      <c r="G28" s="1" t="s">
        <v>2101</v>
      </c>
      <c r="H28" s="1" t="s">
        <v>126</v>
      </c>
      <c r="I28" s="1" t="s">
        <v>141</v>
      </c>
      <c r="J28" s="12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2102</v>
      </c>
      <c r="B29" s="1" t="s">
        <v>649</v>
      </c>
      <c r="C29" s="1" t="s">
        <v>62</v>
      </c>
      <c r="D29" s="1" t="s">
        <v>2043</v>
      </c>
      <c r="E29" s="1" t="s">
        <v>161</v>
      </c>
      <c r="F29" s="1" t="s">
        <v>651</v>
      </c>
      <c r="G29" s="1" t="s">
        <v>2103</v>
      </c>
      <c r="H29" s="1" t="s">
        <v>126</v>
      </c>
      <c r="I29" s="1" t="s">
        <v>141</v>
      </c>
      <c r="J29" s="12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2104</v>
      </c>
      <c r="B30" s="1" t="s">
        <v>227</v>
      </c>
      <c r="C30" s="1" t="s">
        <v>62</v>
      </c>
      <c r="D30" s="1" t="s">
        <v>2046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2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2105</v>
      </c>
      <c r="B31" s="1" t="s">
        <v>232</v>
      </c>
      <c r="C31" s="1" t="s">
        <v>62</v>
      </c>
      <c r="D31" s="1" t="s">
        <v>2048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2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2107</v>
      </c>
      <c r="B9" s="1" t="s">
        <v>118</v>
      </c>
      <c r="C9" s="1" t="s">
        <v>1274</v>
      </c>
      <c r="D9" s="1" t="s">
        <v>2108</v>
      </c>
      <c r="E9" s="1" t="s">
        <v>161</v>
      </c>
      <c r="F9" s="1" t="s">
        <v>162</v>
      </c>
      <c r="G9" s="1" t="s">
        <v>2109</v>
      </c>
      <c r="H9" s="1" t="s">
        <v>126</v>
      </c>
      <c r="I9" s="1" t="s">
        <v>141</v>
      </c>
      <c r="J9" s="12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2110</v>
      </c>
      <c r="B10" s="1" t="s">
        <v>1432</v>
      </c>
      <c r="C10" s="1" t="s">
        <v>1274</v>
      </c>
      <c r="D10" s="1" t="s">
        <v>2054</v>
      </c>
      <c r="E10" s="1" t="s">
        <v>161</v>
      </c>
      <c r="F10" s="1" t="s">
        <v>181</v>
      </c>
      <c r="G10" s="1" t="s">
        <v>2111</v>
      </c>
      <c r="H10" s="1" t="s">
        <v>126</v>
      </c>
      <c r="I10" s="1" t="s">
        <v>141</v>
      </c>
      <c r="J10" s="12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2112</v>
      </c>
      <c r="B11" s="1" t="s">
        <v>165</v>
      </c>
      <c r="C11" s="1" t="s">
        <v>63</v>
      </c>
      <c r="D11" s="1" t="s">
        <v>2058</v>
      </c>
      <c r="E11" s="1" t="s">
        <v>161</v>
      </c>
      <c r="F11" s="1" t="s">
        <v>161</v>
      </c>
      <c r="G11" s="1" t="s">
        <v>1986</v>
      </c>
      <c r="H11" s="1" t="s">
        <v>126</v>
      </c>
      <c r="I11" s="1" t="s">
        <v>141</v>
      </c>
      <c r="J11" s="12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2113</v>
      </c>
      <c r="B12" s="1" t="s">
        <v>169</v>
      </c>
      <c r="C12" s="1" t="s">
        <v>1274</v>
      </c>
      <c r="D12" s="1" t="s">
        <v>2060</v>
      </c>
      <c r="E12" s="1" t="s">
        <v>161</v>
      </c>
      <c r="F12" s="1" t="s">
        <v>171</v>
      </c>
      <c r="G12" s="1" t="s">
        <v>2114</v>
      </c>
      <c r="H12" s="1" t="s">
        <v>126</v>
      </c>
      <c r="I12" s="1" t="s">
        <v>141</v>
      </c>
      <c r="J12" s="12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2115</v>
      </c>
      <c r="B13" s="1" t="s">
        <v>174</v>
      </c>
      <c r="C13" s="1" t="s">
        <v>1274</v>
      </c>
      <c r="D13" s="1" t="s">
        <v>2063</v>
      </c>
      <c r="E13" s="1" t="s">
        <v>161</v>
      </c>
      <c r="F13" s="1" t="s">
        <v>176</v>
      </c>
      <c r="G13" s="1" t="s">
        <v>2116</v>
      </c>
      <c r="H13" s="1" t="s">
        <v>126</v>
      </c>
      <c r="I13" s="1" t="s">
        <v>141</v>
      </c>
      <c r="J13" s="12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2117</v>
      </c>
      <c r="B14" s="1" t="s">
        <v>1665</v>
      </c>
      <c r="C14" s="1" t="s">
        <v>2118</v>
      </c>
      <c r="D14" s="1" t="s">
        <v>2119</v>
      </c>
      <c r="E14" s="1" t="s">
        <v>161</v>
      </c>
      <c r="F14" s="1" t="s">
        <v>186</v>
      </c>
      <c r="G14" s="1" t="s">
        <v>2120</v>
      </c>
      <c r="H14" s="1" t="s">
        <v>126</v>
      </c>
      <c r="I14" s="1" t="s">
        <v>141</v>
      </c>
      <c r="J14" s="12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2121</v>
      </c>
      <c r="B15" s="1" t="s">
        <v>2122</v>
      </c>
      <c r="C15" s="1" t="s">
        <v>1473</v>
      </c>
      <c r="D15" s="1" t="s">
        <v>2123</v>
      </c>
      <c r="E15" s="1" t="s">
        <v>161</v>
      </c>
      <c r="F15" s="1" t="s">
        <v>186</v>
      </c>
      <c r="G15" s="1" t="s">
        <v>2120</v>
      </c>
      <c r="H15" s="1" t="s">
        <v>126</v>
      </c>
      <c r="I15" s="1" t="s">
        <v>141</v>
      </c>
      <c r="J15" s="12" t="n">
        <v>46230</v>
      </c>
      <c r="K15" s="1" t="s">
        <v>1858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2124</v>
      </c>
      <c r="B16" s="1" t="s">
        <v>1787</v>
      </c>
      <c r="C16" s="1" t="s">
        <v>2125</v>
      </c>
      <c r="D16" s="1" t="s">
        <v>2126</v>
      </c>
      <c r="E16" s="1" t="s">
        <v>161</v>
      </c>
      <c r="F16" s="1" t="s">
        <v>196</v>
      </c>
      <c r="G16" s="1" t="s">
        <v>2127</v>
      </c>
      <c r="H16" s="1" t="s">
        <v>128</v>
      </c>
      <c r="I16" s="1" t="s">
        <v>140</v>
      </c>
      <c r="J16" s="12" t="n">
        <v>46230</v>
      </c>
      <c r="K16" s="1" t="s">
        <v>2072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2128</v>
      </c>
      <c r="B17" s="1" t="s">
        <v>1678</v>
      </c>
      <c r="C17" s="1" t="s">
        <v>2129</v>
      </c>
      <c r="D17" s="1" t="s">
        <v>2130</v>
      </c>
      <c r="E17" s="1" t="s">
        <v>161</v>
      </c>
      <c r="F17" s="1" t="s">
        <v>186</v>
      </c>
      <c r="G17" s="1" t="s">
        <v>2120</v>
      </c>
      <c r="H17" s="1" t="s">
        <v>126</v>
      </c>
      <c r="I17" s="1" t="s">
        <v>141</v>
      </c>
      <c r="J17" s="12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2131</v>
      </c>
      <c r="B18" s="1" t="s">
        <v>2007</v>
      </c>
      <c r="C18" s="1" t="s">
        <v>2008</v>
      </c>
      <c r="D18" s="1" t="s">
        <v>2132</v>
      </c>
      <c r="E18" s="1" t="s">
        <v>161</v>
      </c>
      <c r="F18" s="1" t="s">
        <v>186</v>
      </c>
      <c r="G18" s="1" t="s">
        <v>2120</v>
      </c>
      <c r="H18" s="1" t="s">
        <v>126</v>
      </c>
      <c r="I18" s="1" t="s">
        <v>141</v>
      </c>
      <c r="J18" s="12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2133</v>
      </c>
      <c r="B19" s="1" t="s">
        <v>2015</v>
      </c>
      <c r="C19" s="1" t="s">
        <v>2016</v>
      </c>
      <c r="D19" s="1" t="s">
        <v>2134</v>
      </c>
      <c r="E19" s="1" t="s">
        <v>161</v>
      </c>
      <c r="F19" s="1" t="s">
        <v>186</v>
      </c>
      <c r="G19" s="1" t="s">
        <v>2120</v>
      </c>
      <c r="H19" s="1" t="s">
        <v>126</v>
      </c>
      <c r="I19" s="1" t="s">
        <v>141</v>
      </c>
      <c r="J19" s="12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2135</v>
      </c>
      <c r="B20" s="1" t="s">
        <v>1672</v>
      </c>
      <c r="C20" s="1" t="s">
        <v>2034</v>
      </c>
      <c r="D20" s="1" t="s">
        <v>2035</v>
      </c>
      <c r="E20" s="1" t="s">
        <v>161</v>
      </c>
      <c r="F20" s="1" t="s">
        <v>186</v>
      </c>
      <c r="G20" s="1" t="s">
        <v>2120</v>
      </c>
      <c r="H20" s="1" t="s">
        <v>126</v>
      </c>
      <c r="I20" s="1" t="s">
        <v>141</v>
      </c>
      <c r="J20" s="12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2136</v>
      </c>
      <c r="B21" s="1" t="s">
        <v>209</v>
      </c>
      <c r="C21" s="1" t="s">
        <v>2084</v>
      </c>
      <c r="D21" s="1" t="s">
        <v>2085</v>
      </c>
      <c r="E21" s="1" t="s">
        <v>161</v>
      </c>
      <c r="F21" s="1" t="s">
        <v>186</v>
      </c>
      <c r="G21" s="1" t="s">
        <v>2120</v>
      </c>
      <c r="H21" s="1" t="s">
        <v>126</v>
      </c>
      <c r="I21" s="1" t="s">
        <v>141</v>
      </c>
      <c r="J21" s="12" t="n">
        <v>46230</v>
      </c>
      <c r="K21" s="1" t="s">
        <v>1882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2137</v>
      </c>
      <c r="B22" s="1" t="s">
        <v>200</v>
      </c>
      <c r="C22" s="1" t="s">
        <v>1274</v>
      </c>
      <c r="D22" s="1" t="s">
        <v>2087</v>
      </c>
      <c r="E22" s="1" t="s">
        <v>161</v>
      </c>
      <c r="F22" s="1" t="s">
        <v>186</v>
      </c>
      <c r="G22" s="1" t="s">
        <v>2120</v>
      </c>
      <c r="H22" s="1" t="s">
        <v>126</v>
      </c>
      <c r="I22" s="1" t="s">
        <v>141</v>
      </c>
      <c r="J22" s="12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2138</v>
      </c>
      <c r="B23" s="1" t="s">
        <v>1319</v>
      </c>
      <c r="C23" s="1" t="s">
        <v>1274</v>
      </c>
      <c r="D23" s="1" t="s">
        <v>2089</v>
      </c>
      <c r="E23" s="1" t="s">
        <v>161</v>
      </c>
      <c r="F23" s="1" t="s">
        <v>186</v>
      </c>
      <c r="G23" s="1" t="s">
        <v>2120</v>
      </c>
      <c r="H23" s="1" t="s">
        <v>126</v>
      </c>
      <c r="I23" s="1" t="s">
        <v>141</v>
      </c>
      <c r="J23" s="12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2139</v>
      </c>
      <c r="B24" s="1" t="s">
        <v>189</v>
      </c>
      <c r="C24" s="1" t="s">
        <v>1274</v>
      </c>
      <c r="D24" s="1" t="s">
        <v>2091</v>
      </c>
      <c r="E24" s="1" t="s">
        <v>161</v>
      </c>
      <c r="F24" s="1" t="s">
        <v>191</v>
      </c>
      <c r="G24" s="1" t="s">
        <v>2120</v>
      </c>
      <c r="H24" s="1" t="s">
        <v>126</v>
      </c>
      <c r="I24" s="1" t="s">
        <v>141</v>
      </c>
      <c r="J24" s="12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2140</v>
      </c>
      <c r="B25" s="1" t="s">
        <v>194</v>
      </c>
      <c r="C25" s="1" t="s">
        <v>1274</v>
      </c>
      <c r="D25" s="1" t="s">
        <v>2093</v>
      </c>
      <c r="E25" s="1" t="s">
        <v>161</v>
      </c>
      <c r="F25" s="1" t="s">
        <v>196</v>
      </c>
      <c r="G25" s="1" t="s">
        <v>2127</v>
      </c>
      <c r="H25" s="1" t="s">
        <v>128</v>
      </c>
      <c r="I25" s="1" t="s">
        <v>140</v>
      </c>
      <c r="J25" s="12" t="n">
        <v>46230</v>
      </c>
      <c r="K25" s="1" t="s">
        <v>2094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2141</v>
      </c>
      <c r="B26" s="1" t="s">
        <v>2096</v>
      </c>
      <c r="C26" s="1" t="s">
        <v>1274</v>
      </c>
      <c r="D26" s="1" t="s">
        <v>2097</v>
      </c>
      <c r="E26" s="1" t="s">
        <v>161</v>
      </c>
      <c r="F26" s="1" t="s">
        <v>186</v>
      </c>
      <c r="G26" s="1" t="s">
        <v>2120</v>
      </c>
      <c r="H26" s="1" t="s">
        <v>126</v>
      </c>
      <c r="I26" s="1" t="s">
        <v>141</v>
      </c>
      <c r="J26" s="12" t="n">
        <v>46230</v>
      </c>
      <c r="K26" s="1" t="s">
        <v>1894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2142</v>
      </c>
      <c r="B27" s="1" t="s">
        <v>214</v>
      </c>
      <c r="C27" s="1" t="s">
        <v>63</v>
      </c>
      <c r="D27" s="1" t="s">
        <v>2037</v>
      </c>
      <c r="E27" s="1" t="s">
        <v>161</v>
      </c>
      <c r="F27" s="1" t="s">
        <v>202</v>
      </c>
      <c r="G27" s="1" t="s">
        <v>2143</v>
      </c>
      <c r="H27" s="1" t="s">
        <v>120</v>
      </c>
      <c r="I27" s="1" t="s">
        <v>140</v>
      </c>
      <c r="J27" s="12" t="n">
        <v>46230</v>
      </c>
      <c r="K27" s="1" t="s">
        <v>1898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2144</v>
      </c>
      <c r="B28" s="1" t="s">
        <v>218</v>
      </c>
      <c r="C28" s="1" t="s">
        <v>63</v>
      </c>
      <c r="D28" s="1" t="s">
        <v>2040</v>
      </c>
      <c r="E28" s="1" t="s">
        <v>161</v>
      </c>
      <c r="F28" s="1" t="s">
        <v>220</v>
      </c>
      <c r="G28" s="1" t="s">
        <v>2145</v>
      </c>
      <c r="H28" s="1" t="s">
        <v>126</v>
      </c>
      <c r="I28" s="1" t="s">
        <v>141</v>
      </c>
      <c r="J28" s="12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2146</v>
      </c>
      <c r="B29" s="1" t="s">
        <v>649</v>
      </c>
      <c r="C29" s="1" t="s">
        <v>63</v>
      </c>
      <c r="D29" s="1" t="s">
        <v>2043</v>
      </c>
      <c r="E29" s="1" t="s">
        <v>161</v>
      </c>
      <c r="F29" s="1" t="s">
        <v>651</v>
      </c>
      <c r="G29" s="1" t="s">
        <v>2147</v>
      </c>
      <c r="H29" s="1" t="s">
        <v>126</v>
      </c>
      <c r="I29" s="1" t="s">
        <v>141</v>
      </c>
      <c r="J29" s="12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2148</v>
      </c>
      <c r="B30" s="1" t="s">
        <v>227</v>
      </c>
      <c r="C30" s="1" t="s">
        <v>63</v>
      </c>
      <c r="D30" s="1" t="s">
        <v>2046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2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2149</v>
      </c>
      <c r="B31" s="1" t="s">
        <v>232</v>
      </c>
      <c r="C31" s="1" t="s">
        <v>63</v>
      </c>
      <c r="D31" s="1" t="s">
        <v>2048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2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2151</v>
      </c>
      <c r="B9" s="1" t="s">
        <v>118</v>
      </c>
      <c r="C9" s="1" t="s">
        <v>1274</v>
      </c>
      <c r="D9" s="1" t="s">
        <v>2152</v>
      </c>
      <c r="E9" s="1" t="s">
        <v>161</v>
      </c>
      <c r="F9" s="1" t="s">
        <v>162</v>
      </c>
      <c r="G9" s="1" t="s">
        <v>2153</v>
      </c>
      <c r="H9" s="1" t="s">
        <v>126</v>
      </c>
      <c r="I9" s="1" t="s">
        <v>141</v>
      </c>
      <c r="J9" s="12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2154</v>
      </c>
      <c r="B10" s="1" t="s">
        <v>1432</v>
      </c>
      <c r="C10" s="1" t="s">
        <v>2155</v>
      </c>
      <c r="D10" s="1" t="s">
        <v>2156</v>
      </c>
      <c r="E10" s="1" t="s">
        <v>161</v>
      </c>
      <c r="F10" s="1" t="s">
        <v>181</v>
      </c>
      <c r="G10" s="1" t="s">
        <v>2157</v>
      </c>
      <c r="H10" s="1" t="s">
        <v>126</v>
      </c>
      <c r="I10" s="1" t="s">
        <v>141</v>
      </c>
      <c r="J10" s="12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2158</v>
      </c>
      <c r="B11" s="1" t="s">
        <v>165</v>
      </c>
      <c r="C11" s="1" t="s">
        <v>2159</v>
      </c>
      <c r="D11" s="1" t="s">
        <v>2160</v>
      </c>
      <c r="E11" s="1" t="s">
        <v>161</v>
      </c>
      <c r="F11" s="1" t="s">
        <v>161</v>
      </c>
      <c r="G11" s="1" t="s">
        <v>1986</v>
      </c>
      <c r="H11" s="1" t="s">
        <v>126</v>
      </c>
      <c r="I11" s="1" t="s">
        <v>141</v>
      </c>
      <c r="J11" s="12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2161</v>
      </c>
      <c r="B12" s="1" t="s">
        <v>169</v>
      </c>
      <c r="C12" s="1" t="s">
        <v>1274</v>
      </c>
      <c r="D12" s="1" t="s">
        <v>2060</v>
      </c>
      <c r="E12" s="1" t="s">
        <v>161</v>
      </c>
      <c r="F12" s="1" t="s">
        <v>171</v>
      </c>
      <c r="G12" s="1" t="s">
        <v>2162</v>
      </c>
      <c r="H12" s="1" t="s">
        <v>126</v>
      </c>
      <c r="I12" s="1" t="s">
        <v>141</v>
      </c>
      <c r="J12" s="12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2163</v>
      </c>
      <c r="B13" s="1" t="s">
        <v>174</v>
      </c>
      <c r="C13" s="1" t="s">
        <v>1274</v>
      </c>
      <c r="D13" s="1" t="s">
        <v>2063</v>
      </c>
      <c r="E13" s="1" t="s">
        <v>161</v>
      </c>
      <c r="F13" s="1" t="s">
        <v>176</v>
      </c>
      <c r="G13" s="1" t="s">
        <v>2164</v>
      </c>
      <c r="H13" s="1" t="s">
        <v>126</v>
      </c>
      <c r="I13" s="1" t="s">
        <v>141</v>
      </c>
      <c r="J13" s="12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2165</v>
      </c>
      <c r="B14" s="1" t="s">
        <v>1665</v>
      </c>
      <c r="C14" s="1" t="s">
        <v>2166</v>
      </c>
      <c r="D14" s="1" t="s">
        <v>2167</v>
      </c>
      <c r="E14" s="1" t="s">
        <v>161</v>
      </c>
      <c r="F14" s="1" t="s">
        <v>186</v>
      </c>
      <c r="G14" s="1" t="s">
        <v>2168</v>
      </c>
      <c r="H14" s="1" t="s">
        <v>126</v>
      </c>
      <c r="I14" s="1" t="s">
        <v>141</v>
      </c>
      <c r="J14" s="12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2169</v>
      </c>
      <c r="B15" s="1" t="s">
        <v>2170</v>
      </c>
      <c r="C15" s="1" t="s">
        <v>2171</v>
      </c>
      <c r="D15" s="1" t="s">
        <v>2172</v>
      </c>
      <c r="E15" s="1" t="s">
        <v>161</v>
      </c>
      <c r="F15" s="1" t="s">
        <v>186</v>
      </c>
      <c r="G15" s="1" t="s">
        <v>2168</v>
      </c>
      <c r="H15" s="1" t="s">
        <v>126</v>
      </c>
      <c r="I15" s="1" t="s">
        <v>141</v>
      </c>
      <c r="J15" s="12" t="n">
        <v>46230</v>
      </c>
      <c r="K15" s="1" t="s">
        <v>1858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2173</v>
      </c>
      <c r="B16" s="1" t="s">
        <v>1787</v>
      </c>
      <c r="C16" s="1" t="s">
        <v>2174</v>
      </c>
      <c r="D16" s="1" t="s">
        <v>2175</v>
      </c>
      <c r="E16" s="1" t="s">
        <v>161</v>
      </c>
      <c r="F16" s="1" t="s">
        <v>196</v>
      </c>
      <c r="G16" s="1" t="s">
        <v>2176</v>
      </c>
      <c r="H16" s="1" t="s">
        <v>128</v>
      </c>
      <c r="I16" s="1" t="s">
        <v>140</v>
      </c>
      <c r="J16" s="12" t="n">
        <v>46230</v>
      </c>
      <c r="K16" s="1" t="s">
        <v>2072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2177</v>
      </c>
      <c r="B17" s="1" t="s">
        <v>2122</v>
      </c>
      <c r="C17" s="1" t="s">
        <v>2178</v>
      </c>
      <c r="D17" s="1" t="s">
        <v>2179</v>
      </c>
      <c r="E17" s="1" t="s">
        <v>161</v>
      </c>
      <c r="F17" s="1" t="s">
        <v>186</v>
      </c>
      <c r="G17" s="1" t="s">
        <v>2168</v>
      </c>
      <c r="H17" s="1" t="s">
        <v>126</v>
      </c>
      <c r="I17" s="1" t="s">
        <v>141</v>
      </c>
      <c r="J17" s="12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2180</v>
      </c>
      <c r="B18" s="1" t="s">
        <v>2181</v>
      </c>
      <c r="C18" s="1" t="s">
        <v>2182</v>
      </c>
      <c r="D18" s="1" t="s">
        <v>2183</v>
      </c>
      <c r="E18" s="1" t="s">
        <v>161</v>
      </c>
      <c r="F18" s="1" t="s">
        <v>186</v>
      </c>
      <c r="G18" s="1" t="s">
        <v>2168</v>
      </c>
      <c r="H18" s="1" t="s">
        <v>126</v>
      </c>
      <c r="I18" s="1" t="s">
        <v>141</v>
      </c>
      <c r="J18" s="12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2184</v>
      </c>
      <c r="B19" s="1" t="s">
        <v>1678</v>
      </c>
      <c r="C19" s="1" t="s">
        <v>2185</v>
      </c>
      <c r="D19" s="1" t="s">
        <v>2186</v>
      </c>
      <c r="E19" s="1" t="s">
        <v>161</v>
      </c>
      <c r="F19" s="1" t="s">
        <v>186</v>
      </c>
      <c r="G19" s="1" t="s">
        <v>2168</v>
      </c>
      <c r="H19" s="1" t="s">
        <v>126</v>
      </c>
      <c r="I19" s="1" t="s">
        <v>141</v>
      </c>
      <c r="J19" s="12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2187</v>
      </c>
      <c r="B20" s="1" t="s">
        <v>1672</v>
      </c>
      <c r="C20" s="1" t="s">
        <v>2034</v>
      </c>
      <c r="D20" s="1" t="s">
        <v>2035</v>
      </c>
      <c r="E20" s="1" t="s">
        <v>161</v>
      </c>
      <c r="F20" s="1" t="s">
        <v>186</v>
      </c>
      <c r="G20" s="1" t="s">
        <v>2168</v>
      </c>
      <c r="H20" s="1" t="s">
        <v>126</v>
      </c>
      <c r="I20" s="1" t="s">
        <v>141</v>
      </c>
      <c r="J20" s="12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2188</v>
      </c>
      <c r="B21" s="1" t="s">
        <v>209</v>
      </c>
      <c r="C21" s="1" t="s">
        <v>2084</v>
      </c>
      <c r="D21" s="1" t="s">
        <v>2085</v>
      </c>
      <c r="E21" s="1" t="s">
        <v>161</v>
      </c>
      <c r="F21" s="1" t="s">
        <v>186</v>
      </c>
      <c r="G21" s="1" t="s">
        <v>2168</v>
      </c>
      <c r="H21" s="1" t="s">
        <v>126</v>
      </c>
      <c r="I21" s="1" t="s">
        <v>141</v>
      </c>
      <c r="J21" s="12" t="n">
        <v>46230</v>
      </c>
      <c r="K21" s="1" t="s">
        <v>1882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2189</v>
      </c>
      <c r="B22" s="1" t="s">
        <v>200</v>
      </c>
      <c r="C22" s="1" t="s">
        <v>1274</v>
      </c>
      <c r="D22" s="1" t="s">
        <v>2087</v>
      </c>
      <c r="E22" s="1" t="s">
        <v>161</v>
      </c>
      <c r="F22" s="1" t="s">
        <v>186</v>
      </c>
      <c r="G22" s="1" t="s">
        <v>2168</v>
      </c>
      <c r="H22" s="1" t="s">
        <v>126</v>
      </c>
      <c r="I22" s="1" t="s">
        <v>141</v>
      </c>
      <c r="J22" s="12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2190</v>
      </c>
      <c r="B23" s="1" t="s">
        <v>1319</v>
      </c>
      <c r="C23" s="1" t="s">
        <v>1274</v>
      </c>
      <c r="D23" s="1" t="s">
        <v>2089</v>
      </c>
      <c r="E23" s="1" t="s">
        <v>161</v>
      </c>
      <c r="F23" s="1" t="s">
        <v>186</v>
      </c>
      <c r="G23" s="1" t="s">
        <v>2168</v>
      </c>
      <c r="H23" s="1" t="s">
        <v>126</v>
      </c>
      <c r="I23" s="1" t="s">
        <v>141</v>
      </c>
      <c r="J23" s="12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2191</v>
      </c>
      <c r="B24" s="1" t="s">
        <v>189</v>
      </c>
      <c r="C24" s="1" t="s">
        <v>1274</v>
      </c>
      <c r="D24" s="1" t="s">
        <v>2091</v>
      </c>
      <c r="E24" s="1" t="s">
        <v>161</v>
      </c>
      <c r="F24" s="1" t="s">
        <v>191</v>
      </c>
      <c r="G24" s="1" t="s">
        <v>2168</v>
      </c>
      <c r="H24" s="1" t="s">
        <v>126</v>
      </c>
      <c r="I24" s="1" t="s">
        <v>141</v>
      </c>
      <c r="J24" s="12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2192</v>
      </c>
      <c r="B25" s="1" t="s">
        <v>194</v>
      </c>
      <c r="C25" s="1" t="s">
        <v>1274</v>
      </c>
      <c r="D25" s="1" t="s">
        <v>2193</v>
      </c>
      <c r="E25" s="1" t="s">
        <v>161</v>
      </c>
      <c r="F25" s="1" t="s">
        <v>196</v>
      </c>
      <c r="G25" s="1" t="s">
        <v>2176</v>
      </c>
      <c r="H25" s="1" t="s">
        <v>128</v>
      </c>
      <c r="I25" s="1" t="s">
        <v>140</v>
      </c>
      <c r="J25" s="12" t="n">
        <v>46230</v>
      </c>
      <c r="K25" s="1" t="s">
        <v>2094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2194</v>
      </c>
      <c r="B26" s="1" t="s">
        <v>2096</v>
      </c>
      <c r="C26" s="1" t="s">
        <v>1274</v>
      </c>
      <c r="D26" s="1" t="s">
        <v>2097</v>
      </c>
      <c r="E26" s="1" t="s">
        <v>161</v>
      </c>
      <c r="F26" s="1" t="s">
        <v>186</v>
      </c>
      <c r="G26" s="1" t="s">
        <v>2168</v>
      </c>
      <c r="H26" s="1" t="s">
        <v>126</v>
      </c>
      <c r="I26" s="1" t="s">
        <v>141</v>
      </c>
      <c r="J26" s="12" t="n">
        <v>46230</v>
      </c>
      <c r="K26" s="1" t="s">
        <v>1894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2195</v>
      </c>
      <c r="B27" s="1" t="s">
        <v>214</v>
      </c>
      <c r="C27" s="1" t="s">
        <v>64</v>
      </c>
      <c r="D27" s="1" t="s">
        <v>2037</v>
      </c>
      <c r="E27" s="1" t="s">
        <v>161</v>
      </c>
      <c r="F27" s="1" t="s">
        <v>202</v>
      </c>
      <c r="G27" s="1" t="s">
        <v>2196</v>
      </c>
      <c r="H27" s="1" t="s">
        <v>120</v>
      </c>
      <c r="I27" s="1" t="s">
        <v>140</v>
      </c>
      <c r="J27" s="12" t="n">
        <v>46230</v>
      </c>
      <c r="K27" s="1" t="s">
        <v>1898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2197</v>
      </c>
      <c r="B28" s="1" t="s">
        <v>218</v>
      </c>
      <c r="C28" s="1" t="s">
        <v>64</v>
      </c>
      <c r="D28" s="1" t="s">
        <v>2040</v>
      </c>
      <c r="E28" s="1" t="s">
        <v>161</v>
      </c>
      <c r="F28" s="1" t="s">
        <v>220</v>
      </c>
      <c r="G28" s="1" t="s">
        <v>2198</v>
      </c>
      <c r="H28" s="1" t="s">
        <v>126</v>
      </c>
      <c r="I28" s="1" t="s">
        <v>141</v>
      </c>
      <c r="J28" s="12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2199</v>
      </c>
      <c r="B29" s="1" t="s">
        <v>649</v>
      </c>
      <c r="C29" s="1" t="s">
        <v>64</v>
      </c>
      <c r="D29" s="1" t="s">
        <v>2043</v>
      </c>
      <c r="E29" s="1" t="s">
        <v>161</v>
      </c>
      <c r="F29" s="1" t="s">
        <v>651</v>
      </c>
      <c r="G29" s="1" t="s">
        <v>2200</v>
      </c>
      <c r="H29" s="1" t="s">
        <v>126</v>
      </c>
      <c r="I29" s="1" t="s">
        <v>141</v>
      </c>
      <c r="J29" s="12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2201</v>
      </c>
      <c r="B30" s="1" t="s">
        <v>227</v>
      </c>
      <c r="C30" s="1" t="s">
        <v>64</v>
      </c>
      <c r="D30" s="1" t="s">
        <v>2046</v>
      </c>
      <c r="E30" s="1" t="s">
        <v>229</v>
      </c>
      <c r="F30" s="1" t="s">
        <v>229</v>
      </c>
      <c r="G30" s="1" t="s">
        <v>230</v>
      </c>
      <c r="H30" s="1" t="s">
        <v>126</v>
      </c>
      <c r="I30" s="1" t="s">
        <v>141</v>
      </c>
      <c r="J30" s="12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2202</v>
      </c>
      <c r="B31" s="1" t="s">
        <v>232</v>
      </c>
      <c r="C31" s="1" t="s">
        <v>64</v>
      </c>
      <c r="D31" s="1" t="s">
        <v>2048</v>
      </c>
      <c r="E31" s="1" t="s">
        <v>161</v>
      </c>
      <c r="F31" s="1" t="s">
        <v>161</v>
      </c>
      <c r="G31" s="1" t="s">
        <v>234</v>
      </c>
      <c r="H31" s="1" t="s">
        <v>126</v>
      </c>
      <c r="I31" s="1" t="s">
        <v>141</v>
      </c>
      <c r="J31" s="12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144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2205</v>
      </c>
      <c r="B9" s="14" t="s">
        <v>118</v>
      </c>
      <c r="C9" s="14" t="s">
        <v>1274</v>
      </c>
      <c r="D9" s="15" t="s">
        <v>2206</v>
      </c>
      <c r="E9" s="14" t="s">
        <v>161</v>
      </c>
      <c r="F9" s="14" t="s">
        <v>162</v>
      </c>
      <c r="G9" s="15" t="s">
        <v>2207</v>
      </c>
      <c r="H9" s="14" t="s">
        <v>126</v>
      </c>
      <c r="I9" s="14" t="s">
        <v>141</v>
      </c>
      <c r="J9" s="16" t="n">
        <v>46230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2208</v>
      </c>
      <c r="B10" s="14" t="s">
        <v>1432</v>
      </c>
      <c r="C10" s="14" t="s">
        <v>2209</v>
      </c>
      <c r="D10" s="15" t="s">
        <v>2210</v>
      </c>
      <c r="E10" s="14" t="s">
        <v>161</v>
      </c>
      <c r="F10" s="14" t="s">
        <v>181</v>
      </c>
      <c r="G10" s="15" t="s">
        <v>2211</v>
      </c>
      <c r="H10" s="14" t="s">
        <v>126</v>
      </c>
      <c r="I10" s="14" t="s">
        <v>141</v>
      </c>
      <c r="J10" s="16" t="n">
        <v>46230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2212</v>
      </c>
      <c r="B11" s="14" t="s">
        <v>165</v>
      </c>
      <c r="C11" s="14" t="s">
        <v>2213</v>
      </c>
      <c r="D11" s="15" t="s">
        <v>2214</v>
      </c>
      <c r="E11" s="14" t="s">
        <v>161</v>
      </c>
      <c r="F11" s="14" t="s">
        <v>161</v>
      </c>
      <c r="G11" s="15" t="s">
        <v>1986</v>
      </c>
      <c r="H11" s="14" t="s">
        <v>126</v>
      </c>
      <c r="I11" s="14" t="s">
        <v>141</v>
      </c>
      <c r="J11" s="16" t="n">
        <v>46230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2215</v>
      </c>
      <c r="B12" s="14" t="s">
        <v>169</v>
      </c>
      <c r="C12" s="14" t="s">
        <v>1274</v>
      </c>
      <c r="D12" s="15" t="s">
        <v>2216</v>
      </c>
      <c r="E12" s="14" t="s">
        <v>161</v>
      </c>
      <c r="F12" s="14" t="s">
        <v>171</v>
      </c>
      <c r="G12" s="15" t="s">
        <v>2217</v>
      </c>
      <c r="H12" s="14" t="s">
        <v>126</v>
      </c>
      <c r="I12" s="14" t="s">
        <v>141</v>
      </c>
      <c r="J12" s="16" t="n">
        <v>46230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2218</v>
      </c>
      <c r="B13" s="14" t="s">
        <v>174</v>
      </c>
      <c r="C13" s="14" t="s">
        <v>1274</v>
      </c>
      <c r="D13" s="15" t="s">
        <v>2219</v>
      </c>
      <c r="E13" s="14" t="s">
        <v>161</v>
      </c>
      <c r="F13" s="14" t="s">
        <v>176</v>
      </c>
      <c r="G13" s="15" t="s">
        <v>2220</v>
      </c>
      <c r="H13" s="14" t="s">
        <v>126</v>
      </c>
      <c r="I13" s="14" t="s">
        <v>141</v>
      </c>
      <c r="J13" s="16" t="n">
        <v>46230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2221</v>
      </c>
      <c r="B14" s="14" t="s">
        <v>1665</v>
      </c>
      <c r="C14" s="14" t="s">
        <v>2209</v>
      </c>
      <c r="D14" s="15" t="s">
        <v>2222</v>
      </c>
      <c r="E14" s="14" t="s">
        <v>161</v>
      </c>
      <c r="F14" s="14" t="s">
        <v>186</v>
      </c>
      <c r="G14" s="15" t="s">
        <v>2223</v>
      </c>
      <c r="H14" s="14" t="s">
        <v>126</v>
      </c>
      <c r="I14" s="14" t="s">
        <v>141</v>
      </c>
      <c r="J14" s="16" t="n">
        <v>46230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2224</v>
      </c>
      <c r="B15" s="14" t="s">
        <v>1222</v>
      </c>
      <c r="C15" s="14" t="s">
        <v>830</v>
      </c>
      <c r="D15" s="15" t="s">
        <v>2225</v>
      </c>
      <c r="E15" s="14" t="s">
        <v>161</v>
      </c>
      <c r="F15" s="14" t="s">
        <v>186</v>
      </c>
      <c r="G15" s="15" t="s">
        <v>2226</v>
      </c>
      <c r="H15" s="14" t="s">
        <v>126</v>
      </c>
      <c r="I15" s="14" t="s">
        <v>141</v>
      </c>
      <c r="J15" s="16" t="n">
        <v>46230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2227</v>
      </c>
      <c r="B16" s="14" t="s">
        <v>1864</v>
      </c>
      <c r="C16" s="14" t="s">
        <v>1649</v>
      </c>
      <c r="D16" s="15" t="s">
        <v>2228</v>
      </c>
      <c r="E16" s="14" t="s">
        <v>161</v>
      </c>
      <c r="F16" s="14" t="s">
        <v>186</v>
      </c>
      <c r="G16" s="15" t="s">
        <v>2226</v>
      </c>
      <c r="H16" s="14" t="s">
        <v>126</v>
      </c>
      <c r="I16" s="14" t="s">
        <v>141</v>
      </c>
      <c r="J16" s="16" t="n">
        <v>46230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2229</v>
      </c>
      <c r="B17" s="14" t="s">
        <v>1787</v>
      </c>
      <c r="C17" s="14" t="s">
        <v>1274</v>
      </c>
      <c r="D17" s="15" t="s">
        <v>2230</v>
      </c>
      <c r="E17" s="14" t="s">
        <v>161</v>
      </c>
      <c r="F17" s="14" t="s">
        <v>186</v>
      </c>
      <c r="G17" s="15" t="s">
        <v>2223</v>
      </c>
      <c r="H17" s="14" t="s">
        <v>126</v>
      </c>
      <c r="I17" s="14" t="s">
        <v>141</v>
      </c>
      <c r="J17" s="16" t="n">
        <v>46230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2231</v>
      </c>
      <c r="B18" s="14" t="s">
        <v>1380</v>
      </c>
      <c r="C18" s="14" t="s">
        <v>830</v>
      </c>
      <c r="D18" s="15" t="s">
        <v>2232</v>
      </c>
      <c r="E18" s="14" t="s">
        <v>161</v>
      </c>
      <c r="F18" s="14" t="s">
        <v>186</v>
      </c>
      <c r="G18" s="15" t="s">
        <v>2233</v>
      </c>
      <c r="H18" s="14" t="s">
        <v>126</v>
      </c>
      <c r="I18" s="14" t="s">
        <v>141</v>
      </c>
      <c r="J18" s="16" t="n">
        <v>46230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2234</v>
      </c>
      <c r="B19" s="14" t="s">
        <v>2007</v>
      </c>
      <c r="C19" s="14" t="s">
        <v>2235</v>
      </c>
      <c r="D19" s="15" t="s">
        <v>2236</v>
      </c>
      <c r="E19" s="14" t="s">
        <v>161</v>
      </c>
      <c r="F19" s="14" t="s">
        <v>186</v>
      </c>
      <c r="G19" s="15" t="s">
        <v>2226</v>
      </c>
      <c r="H19" s="14" t="s">
        <v>126</v>
      </c>
      <c r="I19" s="14" t="s">
        <v>141</v>
      </c>
      <c r="J19" s="16" t="n">
        <v>46230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2237</v>
      </c>
      <c r="B20" s="14" t="s">
        <v>1485</v>
      </c>
      <c r="C20" s="14" t="s">
        <v>2238</v>
      </c>
      <c r="D20" s="15" t="s">
        <v>2239</v>
      </c>
      <c r="E20" s="14" t="s">
        <v>161</v>
      </c>
      <c r="F20" s="14" t="s">
        <v>186</v>
      </c>
      <c r="G20" s="15" t="s">
        <v>2223</v>
      </c>
      <c r="H20" s="14" t="s">
        <v>126</v>
      </c>
      <c r="I20" s="14" t="s">
        <v>141</v>
      </c>
      <c r="J20" s="16" t="n">
        <v>46230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2240</v>
      </c>
      <c r="B21" s="14" t="s">
        <v>2241</v>
      </c>
      <c r="C21" s="14" t="s">
        <v>1649</v>
      </c>
      <c r="D21" s="15" t="s">
        <v>2242</v>
      </c>
      <c r="E21" s="14" t="s">
        <v>161</v>
      </c>
      <c r="F21" s="14" t="s">
        <v>181</v>
      </c>
      <c r="G21" s="15" t="s">
        <v>2243</v>
      </c>
      <c r="H21" s="14" t="s">
        <v>126</v>
      </c>
      <c r="I21" s="14" t="s">
        <v>141</v>
      </c>
      <c r="J21" s="16" t="n">
        <v>46230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2244</v>
      </c>
      <c r="B22" s="14" t="s">
        <v>2245</v>
      </c>
      <c r="C22" s="14" t="s">
        <v>933</v>
      </c>
      <c r="D22" s="15" t="s">
        <v>2246</v>
      </c>
      <c r="E22" s="14" t="s">
        <v>161</v>
      </c>
      <c r="F22" s="14" t="s">
        <v>186</v>
      </c>
      <c r="G22" s="15" t="s">
        <v>2233</v>
      </c>
      <c r="H22" s="14" t="s">
        <v>126</v>
      </c>
      <c r="I22" s="14" t="s">
        <v>141</v>
      </c>
      <c r="J22" s="16" t="n">
        <v>46230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2247</v>
      </c>
      <c r="B23" s="14" t="s">
        <v>1155</v>
      </c>
      <c r="C23" s="14" t="s">
        <v>2248</v>
      </c>
      <c r="D23" s="15" t="s">
        <v>2249</v>
      </c>
      <c r="E23" s="14" t="s">
        <v>161</v>
      </c>
      <c r="F23" s="14" t="s">
        <v>186</v>
      </c>
      <c r="G23" s="15" t="s">
        <v>2223</v>
      </c>
      <c r="H23" s="14" t="s">
        <v>126</v>
      </c>
      <c r="I23" s="14" t="s">
        <v>141</v>
      </c>
      <c r="J23" s="16" t="n">
        <v>46230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2250</v>
      </c>
      <c r="B24" s="14" t="s">
        <v>209</v>
      </c>
      <c r="C24" s="14" t="s">
        <v>1274</v>
      </c>
      <c r="D24" s="15" t="s">
        <v>2251</v>
      </c>
      <c r="E24" s="14" t="s">
        <v>161</v>
      </c>
      <c r="F24" s="14" t="s">
        <v>186</v>
      </c>
      <c r="G24" s="15" t="s">
        <v>2243</v>
      </c>
      <c r="H24" s="14" t="s">
        <v>126</v>
      </c>
      <c r="I24" s="14" t="s">
        <v>141</v>
      </c>
      <c r="J24" s="16" t="n">
        <v>46230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2252</v>
      </c>
      <c r="B25" s="14" t="s">
        <v>2253</v>
      </c>
      <c r="C25" s="14" t="s">
        <v>830</v>
      </c>
      <c r="D25" s="15" t="s">
        <v>2254</v>
      </c>
      <c r="E25" s="14" t="s">
        <v>161</v>
      </c>
      <c r="F25" s="14" t="s">
        <v>186</v>
      </c>
      <c r="G25" s="15" t="s">
        <v>2226</v>
      </c>
      <c r="H25" s="14" t="s">
        <v>126</v>
      </c>
      <c r="I25" s="14" t="s">
        <v>141</v>
      </c>
      <c r="J25" s="16" t="n">
        <v>46230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2255</v>
      </c>
      <c r="B26" s="14" t="s">
        <v>1620</v>
      </c>
      <c r="C26" s="14" t="s">
        <v>830</v>
      </c>
      <c r="D26" s="15" t="s">
        <v>2256</v>
      </c>
      <c r="E26" s="14" t="s">
        <v>161</v>
      </c>
      <c r="F26" s="14" t="s">
        <v>196</v>
      </c>
      <c r="G26" s="15" t="s">
        <v>2257</v>
      </c>
      <c r="H26" s="14" t="s">
        <v>128</v>
      </c>
      <c r="I26" s="14" t="s">
        <v>140</v>
      </c>
      <c r="J26" s="16" t="n">
        <v>46230</v>
      </c>
      <c r="K26" s="15" t="s">
        <v>2258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2259</v>
      </c>
      <c r="B27" s="14" t="s">
        <v>200</v>
      </c>
      <c r="C27" s="14" t="s">
        <v>1274</v>
      </c>
      <c r="D27" s="15" t="s">
        <v>2260</v>
      </c>
      <c r="E27" s="14" t="s">
        <v>161</v>
      </c>
      <c r="F27" s="14" t="s">
        <v>186</v>
      </c>
      <c r="G27" s="15" t="s">
        <v>2226</v>
      </c>
      <c r="H27" s="14" t="s">
        <v>126</v>
      </c>
      <c r="I27" s="14" t="s">
        <v>141</v>
      </c>
      <c r="J27" s="16" t="n">
        <v>46230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2261</v>
      </c>
      <c r="B28" s="14" t="s">
        <v>2262</v>
      </c>
      <c r="C28" s="14" t="s">
        <v>1274</v>
      </c>
      <c r="D28" s="15" t="s">
        <v>2263</v>
      </c>
      <c r="E28" s="14" t="s">
        <v>161</v>
      </c>
      <c r="F28" s="14" t="s">
        <v>186</v>
      </c>
      <c r="G28" s="15" t="s">
        <v>2226</v>
      </c>
      <c r="H28" s="14" t="s">
        <v>126</v>
      </c>
      <c r="I28" s="14" t="s">
        <v>141</v>
      </c>
      <c r="J28" s="16" t="n">
        <v>46230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2264</v>
      </c>
      <c r="B29" s="14" t="s">
        <v>189</v>
      </c>
      <c r="C29" s="14" t="s">
        <v>1274</v>
      </c>
      <c r="D29" s="15" t="s">
        <v>2265</v>
      </c>
      <c r="E29" s="14" t="s">
        <v>161</v>
      </c>
      <c r="F29" s="14" t="s">
        <v>191</v>
      </c>
      <c r="G29" s="15" t="s">
        <v>2223</v>
      </c>
      <c r="H29" s="14" t="s">
        <v>126</v>
      </c>
      <c r="I29" s="14" t="s">
        <v>141</v>
      </c>
      <c r="J29" s="16" t="n">
        <v>46230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2266</v>
      </c>
      <c r="B30" s="14" t="s">
        <v>194</v>
      </c>
      <c r="C30" s="14" t="s">
        <v>1274</v>
      </c>
      <c r="D30" s="15" t="s">
        <v>2267</v>
      </c>
      <c r="E30" s="14" t="s">
        <v>161</v>
      </c>
      <c r="F30" s="14" t="s">
        <v>196</v>
      </c>
      <c r="G30" s="15" t="s">
        <v>2268</v>
      </c>
      <c r="H30" s="14" t="s">
        <v>128</v>
      </c>
      <c r="I30" s="14" t="s">
        <v>140</v>
      </c>
      <c r="J30" s="16" t="n">
        <v>46230</v>
      </c>
      <c r="K30" s="15" t="s">
        <v>2269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2270</v>
      </c>
      <c r="B31" s="14" t="s">
        <v>214</v>
      </c>
      <c r="C31" s="14" t="s">
        <v>65</v>
      </c>
      <c r="D31" s="15" t="s">
        <v>2271</v>
      </c>
      <c r="E31" s="14" t="s">
        <v>161</v>
      </c>
      <c r="F31" s="14" t="s">
        <v>202</v>
      </c>
      <c r="G31" s="15" t="s">
        <v>2272</v>
      </c>
      <c r="H31" s="14" t="s">
        <v>120</v>
      </c>
      <c r="I31" s="14" t="s">
        <v>140</v>
      </c>
      <c r="J31" s="16" t="n">
        <v>46230</v>
      </c>
      <c r="K31" s="15" t="s">
        <v>1898</v>
      </c>
      <c r="L31" s="14" t="n">
        <v>1</v>
      </c>
      <c r="M31" s="14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4" t="s">
        <v>2273</v>
      </c>
      <c r="B32" s="14" t="s">
        <v>218</v>
      </c>
      <c r="C32" s="14" t="s">
        <v>65</v>
      </c>
      <c r="D32" s="15" t="s">
        <v>2274</v>
      </c>
      <c r="E32" s="14" t="s">
        <v>161</v>
      </c>
      <c r="F32" s="14" t="s">
        <v>220</v>
      </c>
      <c r="G32" s="15" t="s">
        <v>2275</v>
      </c>
      <c r="H32" s="14" t="s">
        <v>126</v>
      </c>
      <c r="I32" s="14" t="s">
        <v>141</v>
      </c>
      <c r="J32" s="16" t="n">
        <v>46230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2276</v>
      </c>
      <c r="B33" s="14" t="s">
        <v>223</v>
      </c>
      <c r="C33" s="14" t="s">
        <v>65</v>
      </c>
      <c r="D33" s="15" t="s">
        <v>2277</v>
      </c>
      <c r="E33" s="14" t="s">
        <v>161</v>
      </c>
      <c r="F33" s="14" t="s">
        <v>220</v>
      </c>
      <c r="G33" s="15" t="s">
        <v>2278</v>
      </c>
      <c r="H33" s="14" t="s">
        <v>126</v>
      </c>
      <c r="I33" s="14" t="s">
        <v>141</v>
      </c>
      <c r="J33" s="16" t="n">
        <v>46230</v>
      </c>
      <c r="K33" s="15"/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2279</v>
      </c>
      <c r="B34" s="14" t="s">
        <v>649</v>
      </c>
      <c r="C34" s="14" t="s">
        <v>65</v>
      </c>
      <c r="D34" s="15" t="s">
        <v>2280</v>
      </c>
      <c r="E34" s="14" t="s">
        <v>161</v>
      </c>
      <c r="F34" s="14" t="s">
        <v>651</v>
      </c>
      <c r="G34" s="15" t="s">
        <v>2281</v>
      </c>
      <c r="H34" s="14" t="s">
        <v>126</v>
      </c>
      <c r="I34" s="14" t="s">
        <v>141</v>
      </c>
      <c r="J34" s="16" t="n">
        <v>46230</v>
      </c>
      <c r="K34" s="15"/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 t="s">
        <v>2282</v>
      </c>
      <c r="B35" s="14" t="s">
        <v>227</v>
      </c>
      <c r="C35" s="14" t="s">
        <v>65</v>
      </c>
      <c r="D35" s="15" t="s">
        <v>2283</v>
      </c>
      <c r="E35" s="14" t="s">
        <v>229</v>
      </c>
      <c r="F35" s="14" t="s">
        <v>229</v>
      </c>
      <c r="G35" s="15" t="s">
        <v>230</v>
      </c>
      <c r="H35" s="14" t="s">
        <v>126</v>
      </c>
      <c r="I35" s="14" t="s">
        <v>141</v>
      </c>
      <c r="J35" s="16" t="n">
        <v>46230</v>
      </c>
      <c r="K35" s="15"/>
      <c r="L35" s="14" t="n">
        <v>1</v>
      </c>
      <c r="M35" s="14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4" t="s">
        <v>2284</v>
      </c>
      <c r="B36" s="14" t="s">
        <v>232</v>
      </c>
      <c r="C36" s="14" t="s">
        <v>65</v>
      </c>
      <c r="D36" s="15" t="s">
        <v>2285</v>
      </c>
      <c r="E36" s="14" t="s">
        <v>161</v>
      </c>
      <c r="F36" s="14" t="s">
        <v>161</v>
      </c>
      <c r="G36" s="15" t="s">
        <v>234</v>
      </c>
      <c r="H36" s="14" t="s">
        <v>126</v>
      </c>
      <c r="I36" s="14" t="s">
        <v>141</v>
      </c>
      <c r="J36" s="16" t="n">
        <v>46230</v>
      </c>
      <c r="K36" s="15"/>
      <c r="L36" s="14" t="n">
        <v>1</v>
      </c>
      <c r="M36" s="14" t="n">
        <f aca="false">IF(OR(AND(I36="yes",H36="verified"),AND(I36="no",OR(H36="tested",H36="verified")),AND(H36="not applicable",K36&lt;&gt;"")),1,0)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2288</v>
      </c>
      <c r="B9" s="14" t="s">
        <v>118</v>
      </c>
      <c r="C9" s="14" t="s">
        <v>830</v>
      </c>
      <c r="D9" s="15" t="s">
        <v>2289</v>
      </c>
      <c r="E9" s="14" t="s">
        <v>161</v>
      </c>
      <c r="F9" s="14" t="s">
        <v>162</v>
      </c>
      <c r="G9" s="15" t="s">
        <v>2290</v>
      </c>
      <c r="H9" s="14" t="s">
        <v>126</v>
      </c>
      <c r="I9" s="14" t="s">
        <v>141</v>
      </c>
      <c r="J9" s="16" t="n">
        <v>46230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2291</v>
      </c>
      <c r="B10" s="14" t="s">
        <v>1432</v>
      </c>
      <c r="C10" s="14" t="s">
        <v>830</v>
      </c>
      <c r="D10" s="15" t="s">
        <v>2292</v>
      </c>
      <c r="E10" s="14" t="s">
        <v>161</v>
      </c>
      <c r="F10" s="14" t="s">
        <v>181</v>
      </c>
      <c r="G10" s="15" t="s">
        <v>2293</v>
      </c>
      <c r="H10" s="14" t="s">
        <v>126</v>
      </c>
      <c r="I10" s="14" t="s">
        <v>141</v>
      </c>
      <c r="J10" s="16" t="n">
        <v>46230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2294</v>
      </c>
      <c r="B11" s="14" t="s">
        <v>165</v>
      </c>
      <c r="C11" s="14" t="s">
        <v>2295</v>
      </c>
      <c r="D11" s="15" t="s">
        <v>2296</v>
      </c>
      <c r="E11" s="14" t="s">
        <v>161</v>
      </c>
      <c r="F11" s="14" t="s">
        <v>161</v>
      </c>
      <c r="G11" s="15" t="s">
        <v>1986</v>
      </c>
      <c r="H11" s="14" t="s">
        <v>126</v>
      </c>
      <c r="I11" s="14" t="s">
        <v>141</v>
      </c>
      <c r="J11" s="16" t="n">
        <v>46230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2297</v>
      </c>
      <c r="B12" s="14" t="s">
        <v>169</v>
      </c>
      <c r="C12" s="14" t="s">
        <v>830</v>
      </c>
      <c r="D12" s="15" t="s">
        <v>2298</v>
      </c>
      <c r="E12" s="14" t="s">
        <v>161</v>
      </c>
      <c r="F12" s="14" t="s">
        <v>171</v>
      </c>
      <c r="G12" s="15" t="s">
        <v>2299</v>
      </c>
      <c r="H12" s="14" t="s">
        <v>126</v>
      </c>
      <c r="I12" s="14" t="s">
        <v>141</v>
      </c>
      <c r="J12" s="16" t="n">
        <v>46230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2300</v>
      </c>
      <c r="B13" s="14" t="s">
        <v>2301</v>
      </c>
      <c r="C13" s="14" t="s">
        <v>830</v>
      </c>
      <c r="D13" s="15" t="s">
        <v>2302</v>
      </c>
      <c r="E13" s="14" t="s">
        <v>161</v>
      </c>
      <c r="F13" s="14" t="s">
        <v>181</v>
      </c>
      <c r="G13" s="15" t="s">
        <v>2293</v>
      </c>
      <c r="H13" s="14" t="s">
        <v>126</v>
      </c>
      <c r="I13" s="14" t="s">
        <v>141</v>
      </c>
      <c r="J13" s="16" t="n">
        <v>46230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2303</v>
      </c>
      <c r="B14" s="14" t="s">
        <v>1383</v>
      </c>
      <c r="C14" s="14" t="s">
        <v>830</v>
      </c>
      <c r="D14" s="15" t="s">
        <v>2304</v>
      </c>
      <c r="E14" s="14" t="s">
        <v>161</v>
      </c>
      <c r="F14" s="14" t="s">
        <v>186</v>
      </c>
      <c r="G14" s="15" t="s">
        <v>2305</v>
      </c>
      <c r="H14" s="14" t="s">
        <v>126</v>
      </c>
      <c r="I14" s="14" t="s">
        <v>141</v>
      </c>
      <c r="J14" s="16" t="n">
        <v>46230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2306</v>
      </c>
      <c r="B15" s="14" t="s">
        <v>2307</v>
      </c>
      <c r="C15" s="14" t="s">
        <v>830</v>
      </c>
      <c r="D15" s="15" t="s">
        <v>2308</v>
      </c>
      <c r="E15" s="14" t="s">
        <v>161</v>
      </c>
      <c r="F15" s="14" t="s">
        <v>186</v>
      </c>
      <c r="G15" s="15" t="s">
        <v>2305</v>
      </c>
      <c r="H15" s="14" t="s">
        <v>126</v>
      </c>
      <c r="I15" s="14" t="s">
        <v>141</v>
      </c>
      <c r="J15" s="16" t="n">
        <v>46230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2309</v>
      </c>
      <c r="B16" s="14" t="s">
        <v>2310</v>
      </c>
      <c r="C16" s="14" t="s">
        <v>830</v>
      </c>
      <c r="D16" s="15" t="s">
        <v>2311</v>
      </c>
      <c r="E16" s="14" t="s">
        <v>161</v>
      </c>
      <c r="F16" s="14" t="s">
        <v>186</v>
      </c>
      <c r="G16" s="15" t="s">
        <v>2305</v>
      </c>
      <c r="H16" s="14" t="s">
        <v>126</v>
      </c>
      <c r="I16" s="14" t="s">
        <v>141</v>
      </c>
      <c r="J16" s="16" t="n">
        <v>46230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2312</v>
      </c>
      <c r="B17" s="14" t="s">
        <v>209</v>
      </c>
      <c r="C17" s="14" t="s">
        <v>830</v>
      </c>
      <c r="D17" s="15" t="s">
        <v>2313</v>
      </c>
      <c r="E17" s="14" t="s">
        <v>161</v>
      </c>
      <c r="F17" s="14" t="s">
        <v>186</v>
      </c>
      <c r="G17" s="15" t="s">
        <v>2314</v>
      </c>
      <c r="H17" s="14" t="s">
        <v>126</v>
      </c>
      <c r="I17" s="14" t="s">
        <v>141</v>
      </c>
      <c r="J17" s="16" t="n">
        <v>46230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2315</v>
      </c>
      <c r="B18" s="14" t="s">
        <v>2316</v>
      </c>
      <c r="C18" s="14" t="s">
        <v>830</v>
      </c>
      <c r="D18" s="15" t="s">
        <v>2317</v>
      </c>
      <c r="E18" s="14" t="s">
        <v>161</v>
      </c>
      <c r="F18" s="14" t="s">
        <v>186</v>
      </c>
      <c r="G18" s="15" t="s">
        <v>2305</v>
      </c>
      <c r="H18" s="14" t="s">
        <v>126</v>
      </c>
      <c r="I18" s="14" t="s">
        <v>141</v>
      </c>
      <c r="J18" s="16" t="n">
        <v>46230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2318</v>
      </c>
      <c r="B19" s="14" t="s">
        <v>200</v>
      </c>
      <c r="C19" s="14" t="s">
        <v>830</v>
      </c>
      <c r="D19" s="15" t="s">
        <v>2319</v>
      </c>
      <c r="E19" s="14" t="s">
        <v>161</v>
      </c>
      <c r="F19" s="14" t="s">
        <v>186</v>
      </c>
      <c r="G19" s="15" t="s">
        <v>2320</v>
      </c>
      <c r="H19" s="14" t="s">
        <v>126</v>
      </c>
      <c r="I19" s="14" t="s">
        <v>141</v>
      </c>
      <c r="J19" s="16" t="n">
        <v>46230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2321</v>
      </c>
      <c r="B20" s="14" t="s">
        <v>189</v>
      </c>
      <c r="C20" s="14" t="s">
        <v>830</v>
      </c>
      <c r="D20" s="15" t="s">
        <v>2322</v>
      </c>
      <c r="E20" s="14" t="s">
        <v>161</v>
      </c>
      <c r="F20" s="14" t="s">
        <v>191</v>
      </c>
      <c r="G20" s="15" t="s">
        <v>2305</v>
      </c>
      <c r="H20" s="14" t="s">
        <v>126</v>
      </c>
      <c r="I20" s="14" t="s">
        <v>141</v>
      </c>
      <c r="J20" s="16" t="n">
        <v>46230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2323</v>
      </c>
      <c r="B21" s="14" t="s">
        <v>194</v>
      </c>
      <c r="C21" s="14" t="s">
        <v>830</v>
      </c>
      <c r="D21" s="15" t="s">
        <v>2324</v>
      </c>
      <c r="E21" s="14" t="s">
        <v>161</v>
      </c>
      <c r="F21" s="14" t="s">
        <v>196</v>
      </c>
      <c r="G21" s="15" t="s">
        <v>2325</v>
      </c>
      <c r="H21" s="14" t="s">
        <v>128</v>
      </c>
      <c r="I21" s="14" t="s">
        <v>140</v>
      </c>
      <c r="J21" s="16" t="n">
        <v>46230</v>
      </c>
      <c r="K21" s="15" t="s">
        <v>2326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2327</v>
      </c>
      <c r="B22" s="14" t="s">
        <v>214</v>
      </c>
      <c r="C22" s="14" t="s">
        <v>66</v>
      </c>
      <c r="D22" s="15" t="s">
        <v>2328</v>
      </c>
      <c r="E22" s="14" t="s">
        <v>161</v>
      </c>
      <c r="F22" s="14" t="s">
        <v>202</v>
      </c>
      <c r="G22" s="15" t="s">
        <v>2329</v>
      </c>
      <c r="H22" s="14" t="s">
        <v>120</v>
      </c>
      <c r="I22" s="14" t="s">
        <v>140</v>
      </c>
      <c r="J22" s="16" t="n">
        <v>46230</v>
      </c>
      <c r="K22" s="15" t="s">
        <v>1898</v>
      </c>
      <c r="L22" s="14" t="n">
        <v>1</v>
      </c>
      <c r="M22" s="14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4" t="s">
        <v>2330</v>
      </c>
      <c r="B23" s="14" t="s">
        <v>218</v>
      </c>
      <c r="C23" s="14" t="s">
        <v>66</v>
      </c>
      <c r="D23" s="15" t="s">
        <v>2331</v>
      </c>
      <c r="E23" s="14" t="s">
        <v>161</v>
      </c>
      <c r="F23" s="14" t="s">
        <v>220</v>
      </c>
      <c r="G23" s="15" t="s">
        <v>2332</v>
      </c>
      <c r="H23" s="14" t="s">
        <v>126</v>
      </c>
      <c r="I23" s="14" t="s">
        <v>141</v>
      </c>
      <c r="J23" s="16" t="n">
        <v>46230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2333</v>
      </c>
      <c r="B24" s="14" t="s">
        <v>223</v>
      </c>
      <c r="C24" s="14" t="s">
        <v>66</v>
      </c>
      <c r="D24" s="15" t="s">
        <v>2334</v>
      </c>
      <c r="E24" s="14" t="s">
        <v>161</v>
      </c>
      <c r="F24" s="14" t="s">
        <v>220</v>
      </c>
      <c r="G24" s="15" t="s">
        <v>2335</v>
      </c>
      <c r="H24" s="14" t="s">
        <v>126</v>
      </c>
      <c r="I24" s="14" t="s">
        <v>141</v>
      </c>
      <c r="J24" s="16" t="n">
        <v>46230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2336</v>
      </c>
      <c r="B25" s="14" t="s">
        <v>649</v>
      </c>
      <c r="C25" s="14" t="s">
        <v>66</v>
      </c>
      <c r="D25" s="15" t="s">
        <v>2337</v>
      </c>
      <c r="E25" s="14" t="s">
        <v>161</v>
      </c>
      <c r="F25" s="14" t="s">
        <v>651</v>
      </c>
      <c r="G25" s="15" t="s">
        <v>2338</v>
      </c>
      <c r="H25" s="14" t="s">
        <v>126</v>
      </c>
      <c r="I25" s="14" t="s">
        <v>141</v>
      </c>
      <c r="J25" s="16" t="n">
        <v>46230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2339</v>
      </c>
      <c r="B26" s="14" t="s">
        <v>227</v>
      </c>
      <c r="C26" s="14" t="s">
        <v>66</v>
      </c>
      <c r="D26" s="15" t="s">
        <v>2340</v>
      </c>
      <c r="E26" s="14" t="s">
        <v>229</v>
      </c>
      <c r="F26" s="14" t="s">
        <v>229</v>
      </c>
      <c r="G26" s="15" t="s">
        <v>230</v>
      </c>
      <c r="H26" s="14" t="s">
        <v>126</v>
      </c>
      <c r="I26" s="14" t="s">
        <v>141</v>
      </c>
      <c r="J26" s="16" t="n">
        <v>46230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2341</v>
      </c>
      <c r="B27" s="14" t="s">
        <v>232</v>
      </c>
      <c r="C27" s="14" t="s">
        <v>66</v>
      </c>
      <c r="D27" s="15" t="s">
        <v>2342</v>
      </c>
      <c r="E27" s="14" t="s">
        <v>161</v>
      </c>
      <c r="F27" s="14" t="s">
        <v>161</v>
      </c>
      <c r="G27" s="15" t="s">
        <v>234</v>
      </c>
      <c r="H27" s="14" t="s">
        <v>126</v>
      </c>
      <c r="I27" s="14" t="s">
        <v>141</v>
      </c>
      <c r="J27" s="16" t="n">
        <v>46230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144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1106</v>
      </c>
      <c r="B9" s="14" t="s">
        <v>118</v>
      </c>
      <c r="C9" s="14" t="s">
        <v>830</v>
      </c>
      <c r="D9" s="15" t="s">
        <v>2345</v>
      </c>
      <c r="E9" s="14" t="s">
        <v>161</v>
      </c>
      <c r="F9" s="14" t="s">
        <v>162</v>
      </c>
      <c r="G9" s="15" t="s">
        <v>2346</v>
      </c>
      <c r="H9" s="14" t="s">
        <v>126</v>
      </c>
      <c r="I9" s="14" t="s">
        <v>141</v>
      </c>
      <c r="J9" s="16" t="n">
        <v>46230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1109</v>
      </c>
      <c r="B10" s="14" t="s">
        <v>1432</v>
      </c>
      <c r="C10" s="14" t="s">
        <v>1274</v>
      </c>
      <c r="D10" s="15" t="s">
        <v>2347</v>
      </c>
      <c r="E10" s="14" t="s">
        <v>161</v>
      </c>
      <c r="F10" s="14" t="s">
        <v>181</v>
      </c>
      <c r="G10" s="15" t="s">
        <v>2348</v>
      </c>
      <c r="H10" s="14" t="s">
        <v>126</v>
      </c>
      <c r="I10" s="14" t="s">
        <v>141</v>
      </c>
      <c r="J10" s="16" t="n">
        <v>46230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1111</v>
      </c>
      <c r="B11" s="14" t="s">
        <v>165</v>
      </c>
      <c r="C11" s="14" t="s">
        <v>1274</v>
      </c>
      <c r="D11" s="15" t="s">
        <v>2349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46230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1114</v>
      </c>
      <c r="B12" s="14" t="s">
        <v>169</v>
      </c>
      <c r="C12" s="14" t="s">
        <v>1274</v>
      </c>
      <c r="D12" s="15" t="s">
        <v>2350</v>
      </c>
      <c r="E12" s="14" t="s">
        <v>161</v>
      </c>
      <c r="F12" s="14" t="s">
        <v>171</v>
      </c>
      <c r="G12" s="15" t="s">
        <v>2351</v>
      </c>
      <c r="H12" s="14" t="s">
        <v>126</v>
      </c>
      <c r="I12" s="14" t="s">
        <v>141</v>
      </c>
      <c r="J12" s="16" t="n">
        <v>46230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1117</v>
      </c>
      <c r="B13" s="14" t="s">
        <v>174</v>
      </c>
      <c r="C13" s="14" t="s">
        <v>1274</v>
      </c>
      <c r="D13" s="15" t="s">
        <v>2352</v>
      </c>
      <c r="E13" s="14" t="s">
        <v>161</v>
      </c>
      <c r="F13" s="14" t="s">
        <v>176</v>
      </c>
      <c r="G13" s="15" t="s">
        <v>2353</v>
      </c>
      <c r="H13" s="14" t="s">
        <v>126</v>
      </c>
      <c r="I13" s="14" t="s">
        <v>141</v>
      </c>
      <c r="J13" s="16" t="n">
        <v>46230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1120</v>
      </c>
      <c r="B14" s="14" t="s">
        <v>1665</v>
      </c>
      <c r="C14" s="14" t="s">
        <v>830</v>
      </c>
      <c r="D14" s="15" t="s">
        <v>2354</v>
      </c>
      <c r="E14" s="14" t="s">
        <v>161</v>
      </c>
      <c r="F14" s="14" t="s">
        <v>186</v>
      </c>
      <c r="G14" s="15" t="s">
        <v>2355</v>
      </c>
      <c r="H14" s="14" t="s">
        <v>126</v>
      </c>
      <c r="I14" s="14" t="s">
        <v>141</v>
      </c>
      <c r="J14" s="16" t="n">
        <v>46230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1123</v>
      </c>
      <c r="B15" s="14" t="s">
        <v>1782</v>
      </c>
      <c r="C15" s="14" t="s">
        <v>830</v>
      </c>
      <c r="D15" s="15" t="s">
        <v>2356</v>
      </c>
      <c r="E15" s="14" t="s">
        <v>161</v>
      </c>
      <c r="F15" s="14" t="s">
        <v>196</v>
      </c>
      <c r="G15" s="15" t="s">
        <v>2357</v>
      </c>
      <c r="H15" s="14" t="s">
        <v>128</v>
      </c>
      <c r="I15" s="14" t="s">
        <v>140</v>
      </c>
      <c r="J15" s="16" t="n">
        <v>46230</v>
      </c>
      <c r="K15" s="15" t="s">
        <v>2358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1125</v>
      </c>
      <c r="B16" s="14" t="s">
        <v>1787</v>
      </c>
      <c r="C16" s="14" t="s">
        <v>830</v>
      </c>
      <c r="D16" s="15" t="s">
        <v>2359</v>
      </c>
      <c r="E16" s="14" t="s">
        <v>161</v>
      </c>
      <c r="F16" s="14" t="s">
        <v>196</v>
      </c>
      <c r="G16" s="15" t="s">
        <v>2357</v>
      </c>
      <c r="H16" s="14" t="s">
        <v>128</v>
      </c>
      <c r="I16" s="14" t="s">
        <v>140</v>
      </c>
      <c r="J16" s="16" t="n">
        <v>46230</v>
      </c>
      <c r="K16" s="15" t="s">
        <v>2360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1129</v>
      </c>
      <c r="B17" s="14" t="s">
        <v>1263</v>
      </c>
      <c r="C17" s="14" t="s">
        <v>830</v>
      </c>
      <c r="D17" s="15" t="s">
        <v>2361</v>
      </c>
      <c r="E17" s="14" t="s">
        <v>161</v>
      </c>
      <c r="F17" s="14" t="s">
        <v>181</v>
      </c>
      <c r="G17" s="15" t="s">
        <v>2362</v>
      </c>
      <c r="H17" s="14" t="s">
        <v>126</v>
      </c>
      <c r="I17" s="14" t="s">
        <v>141</v>
      </c>
      <c r="J17" s="16" t="n">
        <v>46230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1133</v>
      </c>
      <c r="B18" s="14" t="s">
        <v>2363</v>
      </c>
      <c r="C18" s="14" t="s">
        <v>2364</v>
      </c>
      <c r="D18" s="15" t="s">
        <v>2365</v>
      </c>
      <c r="E18" s="14" t="s">
        <v>161</v>
      </c>
      <c r="F18" s="14" t="s">
        <v>186</v>
      </c>
      <c r="G18" s="15" t="s">
        <v>2362</v>
      </c>
      <c r="H18" s="14" t="s">
        <v>126</v>
      </c>
      <c r="I18" s="14" t="s">
        <v>141</v>
      </c>
      <c r="J18" s="16" t="n">
        <v>46230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1135</v>
      </c>
      <c r="B19" s="14" t="s">
        <v>2366</v>
      </c>
      <c r="C19" s="14" t="s">
        <v>1155</v>
      </c>
      <c r="D19" s="15" t="s">
        <v>2367</v>
      </c>
      <c r="E19" s="14" t="s">
        <v>161</v>
      </c>
      <c r="F19" s="14" t="s">
        <v>186</v>
      </c>
      <c r="G19" s="15" t="s">
        <v>2362</v>
      </c>
      <c r="H19" s="14" t="s">
        <v>126</v>
      </c>
      <c r="I19" s="14" t="s">
        <v>141</v>
      </c>
      <c r="J19" s="16" t="n">
        <v>46230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1138</v>
      </c>
      <c r="B20" s="14" t="s">
        <v>2368</v>
      </c>
      <c r="C20" s="14" t="s">
        <v>2369</v>
      </c>
      <c r="D20" s="15" t="s">
        <v>2370</v>
      </c>
      <c r="E20" s="14" t="s">
        <v>161</v>
      </c>
      <c r="F20" s="14" t="s">
        <v>186</v>
      </c>
      <c r="G20" s="15" t="s">
        <v>2371</v>
      </c>
      <c r="H20" s="14" t="s">
        <v>126</v>
      </c>
      <c r="I20" s="14" t="s">
        <v>141</v>
      </c>
      <c r="J20" s="16" t="n">
        <v>46230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1141</v>
      </c>
      <c r="B21" s="14" t="s">
        <v>1880</v>
      </c>
      <c r="C21" s="14" t="s">
        <v>1880</v>
      </c>
      <c r="D21" s="15" t="s">
        <v>2372</v>
      </c>
      <c r="E21" s="14" t="s">
        <v>161</v>
      </c>
      <c r="F21" s="14" t="s">
        <v>196</v>
      </c>
      <c r="G21" s="15" t="s">
        <v>2357</v>
      </c>
      <c r="H21" s="14" t="s">
        <v>128</v>
      </c>
      <c r="I21" s="14" t="s">
        <v>140</v>
      </c>
      <c r="J21" s="16" t="n">
        <v>46230</v>
      </c>
      <c r="K21" s="15" t="s">
        <v>2373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1143</v>
      </c>
      <c r="B22" s="14" t="s">
        <v>209</v>
      </c>
      <c r="C22" s="14" t="s">
        <v>2374</v>
      </c>
      <c r="D22" s="15" t="s">
        <v>2375</v>
      </c>
      <c r="E22" s="14" t="s">
        <v>161</v>
      </c>
      <c r="F22" s="14" t="s">
        <v>181</v>
      </c>
      <c r="G22" s="15" t="s">
        <v>2362</v>
      </c>
      <c r="H22" s="14" t="s">
        <v>126</v>
      </c>
      <c r="I22" s="14" t="s">
        <v>141</v>
      </c>
      <c r="J22" s="16" t="n">
        <v>46230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1146</v>
      </c>
      <c r="B23" s="14" t="s">
        <v>2376</v>
      </c>
      <c r="C23" s="14" t="s">
        <v>1155</v>
      </c>
      <c r="D23" s="15" t="s">
        <v>2377</v>
      </c>
      <c r="E23" s="14" t="s">
        <v>161</v>
      </c>
      <c r="F23" s="14" t="s">
        <v>186</v>
      </c>
      <c r="G23" s="15" t="s">
        <v>2378</v>
      </c>
      <c r="H23" s="14" t="s">
        <v>126</v>
      </c>
      <c r="I23" s="14" t="s">
        <v>141</v>
      </c>
      <c r="J23" s="16" t="n">
        <v>46230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2379</v>
      </c>
      <c r="B24" s="14" t="s">
        <v>189</v>
      </c>
      <c r="C24" s="14" t="s">
        <v>1274</v>
      </c>
      <c r="D24" s="15" t="s">
        <v>2380</v>
      </c>
      <c r="E24" s="14" t="s">
        <v>161</v>
      </c>
      <c r="F24" s="14" t="s">
        <v>191</v>
      </c>
      <c r="G24" s="15" t="s">
        <v>2355</v>
      </c>
      <c r="H24" s="14" t="s">
        <v>126</v>
      </c>
      <c r="I24" s="14" t="s">
        <v>141</v>
      </c>
      <c r="J24" s="16" t="n">
        <v>46230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2381</v>
      </c>
      <c r="B25" s="14" t="s">
        <v>200</v>
      </c>
      <c r="C25" s="14" t="s">
        <v>1274</v>
      </c>
      <c r="D25" s="15" t="s">
        <v>2382</v>
      </c>
      <c r="E25" s="14" t="s">
        <v>161</v>
      </c>
      <c r="F25" s="14" t="s">
        <v>186</v>
      </c>
      <c r="G25" s="15" t="s">
        <v>2383</v>
      </c>
      <c r="H25" s="14" t="s">
        <v>126</v>
      </c>
      <c r="I25" s="14" t="s">
        <v>141</v>
      </c>
      <c r="J25" s="16" t="n">
        <v>46230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2384</v>
      </c>
      <c r="B26" s="14" t="s">
        <v>94</v>
      </c>
      <c r="C26" s="14" t="s">
        <v>1274</v>
      </c>
      <c r="D26" s="15" t="s">
        <v>2385</v>
      </c>
      <c r="E26" s="14" t="s">
        <v>161</v>
      </c>
      <c r="F26" s="14" t="s">
        <v>196</v>
      </c>
      <c r="G26" s="15" t="s">
        <v>2357</v>
      </c>
      <c r="H26" s="14" t="s">
        <v>128</v>
      </c>
      <c r="I26" s="14" t="s">
        <v>140</v>
      </c>
      <c r="J26" s="16" t="n">
        <v>46230</v>
      </c>
      <c r="K26" s="15" t="s">
        <v>2386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2387</v>
      </c>
      <c r="B27" s="14" t="s">
        <v>194</v>
      </c>
      <c r="C27" s="14" t="s">
        <v>1274</v>
      </c>
      <c r="D27" s="15" t="s">
        <v>2388</v>
      </c>
      <c r="E27" s="14" t="s">
        <v>161</v>
      </c>
      <c r="F27" s="14" t="s">
        <v>196</v>
      </c>
      <c r="G27" s="15" t="s">
        <v>2357</v>
      </c>
      <c r="H27" s="14" t="s">
        <v>128</v>
      </c>
      <c r="I27" s="14" t="s">
        <v>140</v>
      </c>
      <c r="J27" s="16" t="n">
        <v>46230</v>
      </c>
      <c r="K27" s="15" t="s">
        <v>2389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2390</v>
      </c>
      <c r="B28" s="14" t="s">
        <v>649</v>
      </c>
      <c r="C28" s="14" t="s">
        <v>1274</v>
      </c>
      <c r="D28" s="15" t="s">
        <v>2391</v>
      </c>
      <c r="E28" s="14" t="s">
        <v>161</v>
      </c>
      <c r="F28" s="14" t="s">
        <v>651</v>
      </c>
      <c r="G28" s="15" t="s">
        <v>2392</v>
      </c>
      <c r="H28" s="14" t="s">
        <v>126</v>
      </c>
      <c r="I28" s="14" t="s">
        <v>141</v>
      </c>
      <c r="J28" s="16" t="n">
        <v>46230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2393</v>
      </c>
      <c r="B29" s="14" t="s">
        <v>214</v>
      </c>
      <c r="C29" s="14" t="s">
        <v>1274</v>
      </c>
      <c r="D29" s="15" t="s">
        <v>2394</v>
      </c>
      <c r="E29" s="14" t="s">
        <v>161</v>
      </c>
      <c r="F29" s="14" t="s">
        <v>202</v>
      </c>
      <c r="G29" s="15" t="s">
        <v>2395</v>
      </c>
      <c r="H29" s="14" t="s">
        <v>120</v>
      </c>
      <c r="I29" s="14" t="s">
        <v>140</v>
      </c>
      <c r="J29" s="16" t="n">
        <v>46230</v>
      </c>
      <c r="K29" s="15" t="s">
        <v>1898</v>
      </c>
      <c r="L29" s="14" t="n">
        <v>1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2396</v>
      </c>
      <c r="B30" s="14" t="s">
        <v>218</v>
      </c>
      <c r="C30" s="14" t="s">
        <v>1274</v>
      </c>
      <c r="D30" s="15" t="s">
        <v>2397</v>
      </c>
      <c r="E30" s="14" t="s">
        <v>161</v>
      </c>
      <c r="F30" s="14" t="s">
        <v>220</v>
      </c>
      <c r="G30" s="15" t="s">
        <v>2398</v>
      </c>
      <c r="H30" s="14" t="s">
        <v>126</v>
      </c>
      <c r="I30" s="14" t="s">
        <v>141</v>
      </c>
      <c r="J30" s="16" t="n">
        <v>46230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4" t="s">
        <v>2399</v>
      </c>
      <c r="B31" s="14" t="s">
        <v>223</v>
      </c>
      <c r="C31" s="14" t="s">
        <v>67</v>
      </c>
      <c r="D31" s="15" t="s">
        <v>2400</v>
      </c>
      <c r="E31" s="14" t="s">
        <v>161</v>
      </c>
      <c r="F31" s="14" t="s">
        <v>220</v>
      </c>
      <c r="G31" s="15" t="s">
        <v>2401</v>
      </c>
      <c r="H31" s="14" t="s">
        <v>126</v>
      </c>
      <c r="I31" s="14" t="s">
        <v>141</v>
      </c>
      <c r="J31" s="16" t="n">
        <v>46230</v>
      </c>
      <c r="K31" s="15"/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4" t="s">
        <v>2402</v>
      </c>
      <c r="B32" s="14" t="s">
        <v>227</v>
      </c>
      <c r="C32" s="14" t="s">
        <v>67</v>
      </c>
      <c r="D32" s="15" t="s">
        <v>2403</v>
      </c>
      <c r="E32" s="14" t="s">
        <v>229</v>
      </c>
      <c r="F32" s="14" t="s">
        <v>229</v>
      </c>
      <c r="G32" s="15" t="s">
        <v>230</v>
      </c>
      <c r="H32" s="14" t="s">
        <v>126</v>
      </c>
      <c r="I32" s="14" t="s">
        <v>141</v>
      </c>
      <c r="J32" s="16" t="n">
        <v>46230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4" t="s">
        <v>2404</v>
      </c>
      <c r="B33" s="14" t="s">
        <v>232</v>
      </c>
      <c r="C33" s="14" t="s">
        <v>67</v>
      </c>
      <c r="D33" s="15" t="s">
        <v>2405</v>
      </c>
      <c r="E33" s="14" t="s">
        <v>161</v>
      </c>
      <c r="F33" s="14" t="s">
        <v>161</v>
      </c>
      <c r="G33" s="15" t="s">
        <v>2406</v>
      </c>
      <c r="H33" s="14" t="s">
        <v>126</v>
      </c>
      <c r="I33" s="14" t="s">
        <v>141</v>
      </c>
      <c r="J33" s="16" t="n">
        <v>46230</v>
      </c>
      <c r="K33" s="15"/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2409</v>
      </c>
      <c r="B9" s="14" t="s">
        <v>118</v>
      </c>
      <c r="C9" s="14" t="s">
        <v>830</v>
      </c>
      <c r="D9" s="15" t="s">
        <v>2410</v>
      </c>
      <c r="E9" s="14" t="s">
        <v>161</v>
      </c>
      <c r="F9" s="14" t="s">
        <v>162</v>
      </c>
      <c r="G9" s="15" t="s">
        <v>2411</v>
      </c>
      <c r="H9" s="14" t="s">
        <v>126</v>
      </c>
      <c r="I9" s="14" t="s">
        <v>141</v>
      </c>
      <c r="J9" s="16" t="n">
        <v>46230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2412</v>
      </c>
      <c r="B10" s="14" t="s">
        <v>1432</v>
      </c>
      <c r="C10" s="14" t="s">
        <v>1274</v>
      </c>
      <c r="D10" s="15" t="s">
        <v>2413</v>
      </c>
      <c r="E10" s="14" t="s">
        <v>161</v>
      </c>
      <c r="F10" s="14" t="s">
        <v>181</v>
      </c>
      <c r="G10" s="15" t="s">
        <v>2414</v>
      </c>
      <c r="H10" s="14" t="s">
        <v>126</v>
      </c>
      <c r="I10" s="14" t="s">
        <v>141</v>
      </c>
      <c r="J10" s="16" t="n">
        <v>46230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2415</v>
      </c>
      <c r="B11" s="14" t="s">
        <v>165</v>
      </c>
      <c r="C11" s="14" t="s">
        <v>1274</v>
      </c>
      <c r="D11" s="15" t="s">
        <v>2416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46230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2417</v>
      </c>
      <c r="B12" s="14" t="s">
        <v>169</v>
      </c>
      <c r="C12" s="14" t="s">
        <v>1274</v>
      </c>
      <c r="D12" s="15" t="s">
        <v>2418</v>
      </c>
      <c r="E12" s="14" t="s">
        <v>161</v>
      </c>
      <c r="F12" s="14" t="s">
        <v>171</v>
      </c>
      <c r="G12" s="15" t="s">
        <v>2419</v>
      </c>
      <c r="H12" s="14" t="s">
        <v>126</v>
      </c>
      <c r="I12" s="14" t="s">
        <v>141</v>
      </c>
      <c r="J12" s="16" t="n">
        <v>46230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2420</v>
      </c>
      <c r="B13" s="14" t="s">
        <v>174</v>
      </c>
      <c r="C13" s="14" t="s">
        <v>1274</v>
      </c>
      <c r="D13" s="15" t="s">
        <v>2421</v>
      </c>
      <c r="E13" s="14" t="s">
        <v>161</v>
      </c>
      <c r="F13" s="14" t="s">
        <v>176</v>
      </c>
      <c r="G13" s="15" t="s">
        <v>2422</v>
      </c>
      <c r="H13" s="14" t="s">
        <v>126</v>
      </c>
      <c r="I13" s="14" t="s">
        <v>141</v>
      </c>
      <c r="J13" s="16" t="n">
        <v>46230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2423</v>
      </c>
      <c r="B14" s="14" t="s">
        <v>1665</v>
      </c>
      <c r="C14" s="14" t="s">
        <v>830</v>
      </c>
      <c r="D14" s="15" t="s">
        <v>2424</v>
      </c>
      <c r="E14" s="14" t="s">
        <v>161</v>
      </c>
      <c r="F14" s="14" t="s">
        <v>186</v>
      </c>
      <c r="G14" s="15" t="s">
        <v>2425</v>
      </c>
      <c r="H14" s="14" t="s">
        <v>126</v>
      </c>
      <c r="I14" s="14" t="s">
        <v>141</v>
      </c>
      <c r="J14" s="16" t="n">
        <v>46230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2426</v>
      </c>
      <c r="B15" s="14" t="s">
        <v>1782</v>
      </c>
      <c r="C15" s="14" t="s">
        <v>830</v>
      </c>
      <c r="D15" s="15" t="s">
        <v>2427</v>
      </c>
      <c r="E15" s="14" t="s">
        <v>161</v>
      </c>
      <c r="F15" s="14" t="s">
        <v>196</v>
      </c>
      <c r="G15" s="15" t="s">
        <v>2428</v>
      </c>
      <c r="H15" s="14" t="s">
        <v>128</v>
      </c>
      <c r="I15" s="14" t="s">
        <v>140</v>
      </c>
      <c r="J15" s="16" t="n">
        <v>46230</v>
      </c>
      <c r="K15" s="15" t="s">
        <v>2358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2429</v>
      </c>
      <c r="B16" s="14" t="s">
        <v>1787</v>
      </c>
      <c r="C16" s="14" t="s">
        <v>830</v>
      </c>
      <c r="D16" s="15" t="s">
        <v>2430</v>
      </c>
      <c r="E16" s="14" t="s">
        <v>161</v>
      </c>
      <c r="F16" s="14" t="s">
        <v>196</v>
      </c>
      <c r="G16" s="15" t="s">
        <v>2428</v>
      </c>
      <c r="H16" s="14" t="s">
        <v>128</v>
      </c>
      <c r="I16" s="14" t="s">
        <v>140</v>
      </c>
      <c r="J16" s="16" t="n">
        <v>46230</v>
      </c>
      <c r="K16" s="15" t="s">
        <v>2360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2431</v>
      </c>
      <c r="B17" s="14" t="s">
        <v>2432</v>
      </c>
      <c r="C17" s="14" t="s">
        <v>921</v>
      </c>
      <c r="D17" s="15" t="s">
        <v>2433</v>
      </c>
      <c r="E17" s="14" t="s">
        <v>161</v>
      </c>
      <c r="F17" s="14" t="s">
        <v>181</v>
      </c>
      <c r="G17" s="15" t="s">
        <v>2434</v>
      </c>
      <c r="H17" s="14" t="s">
        <v>126</v>
      </c>
      <c r="I17" s="14" t="s">
        <v>141</v>
      </c>
      <c r="J17" s="16" t="n">
        <v>46230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2435</v>
      </c>
      <c r="B18" s="14" t="s">
        <v>2436</v>
      </c>
      <c r="C18" s="14" t="s">
        <v>921</v>
      </c>
      <c r="D18" s="15" t="s">
        <v>2437</v>
      </c>
      <c r="E18" s="14" t="s">
        <v>161</v>
      </c>
      <c r="F18" s="14" t="s">
        <v>181</v>
      </c>
      <c r="G18" s="15" t="s">
        <v>2434</v>
      </c>
      <c r="H18" s="14" t="s">
        <v>126</v>
      </c>
      <c r="I18" s="14" t="s">
        <v>141</v>
      </c>
      <c r="J18" s="16" t="n">
        <v>46230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2438</v>
      </c>
      <c r="B19" s="14" t="s">
        <v>2439</v>
      </c>
      <c r="C19" s="14" t="s">
        <v>830</v>
      </c>
      <c r="D19" s="15" t="s">
        <v>2440</v>
      </c>
      <c r="E19" s="14" t="s">
        <v>161</v>
      </c>
      <c r="F19" s="14" t="s">
        <v>181</v>
      </c>
      <c r="G19" s="15" t="s">
        <v>2414</v>
      </c>
      <c r="H19" s="14" t="s">
        <v>126</v>
      </c>
      <c r="I19" s="14" t="s">
        <v>141</v>
      </c>
      <c r="J19" s="16" t="n">
        <v>46230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2441</v>
      </c>
      <c r="B20" s="14" t="s">
        <v>2442</v>
      </c>
      <c r="C20" s="14" t="s">
        <v>1868</v>
      </c>
      <c r="D20" s="15" t="s">
        <v>2443</v>
      </c>
      <c r="E20" s="14" t="s">
        <v>161</v>
      </c>
      <c r="F20" s="14" t="s">
        <v>186</v>
      </c>
      <c r="G20" s="15" t="s">
        <v>2434</v>
      </c>
      <c r="H20" s="14" t="s">
        <v>126</v>
      </c>
      <c r="I20" s="14" t="s">
        <v>141</v>
      </c>
      <c r="J20" s="16" t="n">
        <v>46230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2444</v>
      </c>
      <c r="B21" s="14" t="s">
        <v>2363</v>
      </c>
      <c r="C21" s="14" t="s">
        <v>2445</v>
      </c>
      <c r="D21" s="15" t="s">
        <v>2446</v>
      </c>
      <c r="E21" s="14" t="s">
        <v>161</v>
      </c>
      <c r="F21" s="14" t="s">
        <v>186</v>
      </c>
      <c r="G21" s="15" t="s">
        <v>2434</v>
      </c>
      <c r="H21" s="14" t="s">
        <v>126</v>
      </c>
      <c r="I21" s="14" t="s">
        <v>141</v>
      </c>
      <c r="J21" s="16" t="n">
        <v>46230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2447</v>
      </c>
      <c r="B22" s="14" t="s">
        <v>2366</v>
      </c>
      <c r="C22" s="14" t="s">
        <v>1155</v>
      </c>
      <c r="D22" s="15" t="s">
        <v>2448</v>
      </c>
      <c r="E22" s="14" t="s">
        <v>161</v>
      </c>
      <c r="F22" s="14" t="s">
        <v>186</v>
      </c>
      <c r="G22" s="15" t="s">
        <v>2434</v>
      </c>
      <c r="H22" s="14" t="s">
        <v>126</v>
      </c>
      <c r="I22" s="14" t="s">
        <v>141</v>
      </c>
      <c r="J22" s="16" t="n">
        <v>46230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2449</v>
      </c>
      <c r="B23" s="14" t="s">
        <v>2368</v>
      </c>
      <c r="C23" s="14" t="s">
        <v>2450</v>
      </c>
      <c r="D23" s="15" t="s">
        <v>2451</v>
      </c>
      <c r="E23" s="14" t="s">
        <v>161</v>
      </c>
      <c r="F23" s="14" t="s">
        <v>186</v>
      </c>
      <c r="G23" s="15" t="s">
        <v>2452</v>
      </c>
      <c r="H23" s="14" t="s">
        <v>126</v>
      </c>
      <c r="I23" s="14" t="s">
        <v>141</v>
      </c>
      <c r="J23" s="16" t="n">
        <v>46230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2453</v>
      </c>
      <c r="B24" s="14" t="s">
        <v>1672</v>
      </c>
      <c r="C24" s="14" t="s">
        <v>1868</v>
      </c>
      <c r="D24" s="15" t="s">
        <v>2454</v>
      </c>
      <c r="E24" s="14" t="s">
        <v>161</v>
      </c>
      <c r="F24" s="14" t="s">
        <v>186</v>
      </c>
      <c r="G24" s="15" t="s">
        <v>2425</v>
      </c>
      <c r="H24" s="14" t="s">
        <v>126</v>
      </c>
      <c r="I24" s="14" t="s">
        <v>141</v>
      </c>
      <c r="J24" s="16" t="n">
        <v>46230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2455</v>
      </c>
      <c r="B25" s="14" t="s">
        <v>2122</v>
      </c>
      <c r="C25" s="14" t="s">
        <v>1274</v>
      </c>
      <c r="D25" s="15" t="s">
        <v>2456</v>
      </c>
      <c r="E25" s="14" t="s">
        <v>161</v>
      </c>
      <c r="F25" s="14" t="s">
        <v>196</v>
      </c>
      <c r="G25" s="15" t="s">
        <v>2457</v>
      </c>
      <c r="H25" s="14" t="s">
        <v>128</v>
      </c>
      <c r="I25" s="14" t="s">
        <v>140</v>
      </c>
      <c r="J25" s="16" t="n">
        <v>46230</v>
      </c>
      <c r="K25" s="15" t="s">
        <v>2458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2459</v>
      </c>
      <c r="B26" s="14" t="s">
        <v>209</v>
      </c>
      <c r="C26" s="14" t="s">
        <v>2460</v>
      </c>
      <c r="D26" s="15" t="s">
        <v>2461</v>
      </c>
      <c r="E26" s="14" t="s">
        <v>161</v>
      </c>
      <c r="F26" s="14" t="s">
        <v>181</v>
      </c>
      <c r="G26" s="15" t="s">
        <v>2414</v>
      </c>
      <c r="H26" s="14" t="s">
        <v>126</v>
      </c>
      <c r="I26" s="14" t="s">
        <v>141</v>
      </c>
      <c r="J26" s="16" t="n">
        <v>46230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2462</v>
      </c>
      <c r="B27" s="14" t="s">
        <v>2463</v>
      </c>
      <c r="C27" s="14" t="s">
        <v>1274</v>
      </c>
      <c r="D27" s="15" t="s">
        <v>2464</v>
      </c>
      <c r="E27" s="14" t="s">
        <v>161</v>
      </c>
      <c r="F27" s="14" t="s">
        <v>191</v>
      </c>
      <c r="G27" s="15" t="s">
        <v>2425</v>
      </c>
      <c r="H27" s="14" t="s">
        <v>126</v>
      </c>
      <c r="I27" s="14" t="s">
        <v>141</v>
      </c>
      <c r="J27" s="16" t="n">
        <v>46230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2465</v>
      </c>
      <c r="B28" s="14" t="s">
        <v>94</v>
      </c>
      <c r="C28" s="14" t="s">
        <v>1274</v>
      </c>
      <c r="D28" s="15" t="s">
        <v>2385</v>
      </c>
      <c r="E28" s="14" t="s">
        <v>161</v>
      </c>
      <c r="F28" s="14" t="s">
        <v>196</v>
      </c>
      <c r="G28" s="15" t="s">
        <v>2428</v>
      </c>
      <c r="H28" s="14" t="s">
        <v>128</v>
      </c>
      <c r="I28" s="14" t="s">
        <v>140</v>
      </c>
      <c r="J28" s="16" t="n">
        <v>46230</v>
      </c>
      <c r="K28" s="15" t="s">
        <v>2386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2466</v>
      </c>
      <c r="B29" s="14" t="s">
        <v>194</v>
      </c>
      <c r="C29" s="14" t="s">
        <v>1274</v>
      </c>
      <c r="D29" s="15" t="s">
        <v>2467</v>
      </c>
      <c r="E29" s="14" t="s">
        <v>161</v>
      </c>
      <c r="F29" s="14" t="s">
        <v>196</v>
      </c>
      <c r="G29" s="15" t="s">
        <v>2428</v>
      </c>
      <c r="H29" s="14" t="s">
        <v>128</v>
      </c>
      <c r="I29" s="14" t="s">
        <v>140</v>
      </c>
      <c r="J29" s="16" t="n">
        <v>46230</v>
      </c>
      <c r="K29" s="15" t="s">
        <v>2468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2469</v>
      </c>
      <c r="B30" s="14" t="s">
        <v>649</v>
      </c>
      <c r="C30" s="14" t="s">
        <v>1274</v>
      </c>
      <c r="D30" s="15" t="s">
        <v>2470</v>
      </c>
      <c r="E30" s="14" t="s">
        <v>161</v>
      </c>
      <c r="F30" s="14" t="s">
        <v>651</v>
      </c>
      <c r="G30" s="15" t="s">
        <v>2471</v>
      </c>
      <c r="H30" s="14" t="s">
        <v>126</v>
      </c>
      <c r="I30" s="14" t="s">
        <v>141</v>
      </c>
      <c r="J30" s="16" t="n">
        <v>46230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4" t="s">
        <v>2472</v>
      </c>
      <c r="B31" s="14" t="s">
        <v>214</v>
      </c>
      <c r="C31" s="14" t="s">
        <v>1274</v>
      </c>
      <c r="D31" s="15" t="s">
        <v>2394</v>
      </c>
      <c r="E31" s="14" t="s">
        <v>161</v>
      </c>
      <c r="F31" s="14" t="s">
        <v>202</v>
      </c>
      <c r="G31" s="15" t="s">
        <v>2473</v>
      </c>
      <c r="H31" s="14" t="s">
        <v>120</v>
      </c>
      <c r="I31" s="14" t="s">
        <v>140</v>
      </c>
      <c r="J31" s="16" t="n">
        <v>46230</v>
      </c>
      <c r="K31" s="15" t="s">
        <v>1898</v>
      </c>
      <c r="L31" s="14" t="n">
        <v>1</v>
      </c>
      <c r="M31" s="14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4" t="s">
        <v>2474</v>
      </c>
      <c r="B32" s="14" t="s">
        <v>2475</v>
      </c>
      <c r="C32" s="14" t="s">
        <v>1274</v>
      </c>
      <c r="D32" s="15" t="s">
        <v>2476</v>
      </c>
      <c r="E32" s="14" t="s">
        <v>161</v>
      </c>
      <c r="F32" s="14" t="s">
        <v>220</v>
      </c>
      <c r="G32" s="15" t="s">
        <v>2477</v>
      </c>
      <c r="H32" s="14" t="s">
        <v>126</v>
      </c>
      <c r="I32" s="14" t="s">
        <v>141</v>
      </c>
      <c r="J32" s="16" t="n">
        <v>46230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4" t="s">
        <v>2478</v>
      </c>
      <c r="B33" s="14" t="s">
        <v>227</v>
      </c>
      <c r="C33" s="14" t="s">
        <v>68</v>
      </c>
      <c r="D33" s="15" t="s">
        <v>2479</v>
      </c>
      <c r="E33" s="14" t="s">
        <v>229</v>
      </c>
      <c r="F33" s="14" t="s">
        <v>229</v>
      </c>
      <c r="G33" s="15" t="s">
        <v>230</v>
      </c>
      <c r="H33" s="14" t="s">
        <v>126</v>
      </c>
      <c r="I33" s="14" t="s">
        <v>141</v>
      </c>
      <c r="J33" s="16" t="n">
        <v>46230</v>
      </c>
      <c r="K33" s="15"/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4" t="s">
        <v>2480</v>
      </c>
      <c r="B34" s="14" t="s">
        <v>232</v>
      </c>
      <c r="C34" s="14" t="s">
        <v>68</v>
      </c>
      <c r="D34" s="15" t="s">
        <v>2481</v>
      </c>
      <c r="E34" s="14" t="s">
        <v>161</v>
      </c>
      <c r="F34" s="14" t="s">
        <v>161</v>
      </c>
      <c r="G34" s="15" t="s">
        <v>2406</v>
      </c>
      <c r="H34" s="14" t="s">
        <v>126</v>
      </c>
      <c r="I34" s="14" t="s">
        <v>141</v>
      </c>
      <c r="J34" s="16" t="n">
        <v>46230</v>
      </c>
      <c r="K34" s="15"/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2484</v>
      </c>
      <c r="B9" s="14" t="s">
        <v>118</v>
      </c>
      <c r="C9" s="14" t="s">
        <v>1274</v>
      </c>
      <c r="D9" s="15" t="s">
        <v>2485</v>
      </c>
      <c r="E9" s="14" t="s">
        <v>161</v>
      </c>
      <c r="F9" s="14" t="s">
        <v>162</v>
      </c>
      <c r="G9" s="15" t="s">
        <v>2486</v>
      </c>
      <c r="H9" s="14" t="s">
        <v>126</v>
      </c>
      <c r="I9" s="14" t="s">
        <v>141</v>
      </c>
      <c r="J9" s="16" t="n">
        <v>46230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2487</v>
      </c>
      <c r="B10" s="14" t="s">
        <v>2488</v>
      </c>
      <c r="C10" s="14" t="s">
        <v>2489</v>
      </c>
      <c r="D10" s="15" t="s">
        <v>2490</v>
      </c>
      <c r="E10" s="14" t="s">
        <v>161</v>
      </c>
      <c r="F10" s="14" t="s">
        <v>181</v>
      </c>
      <c r="G10" s="15" t="s">
        <v>2491</v>
      </c>
      <c r="H10" s="14" t="s">
        <v>126</v>
      </c>
      <c r="I10" s="14" t="s">
        <v>141</v>
      </c>
      <c r="J10" s="16" t="n">
        <v>46230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2492</v>
      </c>
      <c r="B11" s="14" t="s">
        <v>1432</v>
      </c>
      <c r="C11" s="14" t="s">
        <v>1274</v>
      </c>
      <c r="D11" s="15" t="s">
        <v>2493</v>
      </c>
      <c r="E11" s="14" t="s">
        <v>161</v>
      </c>
      <c r="F11" s="14" t="s">
        <v>181</v>
      </c>
      <c r="G11" s="15" t="s">
        <v>2491</v>
      </c>
      <c r="H11" s="14" t="s">
        <v>126</v>
      </c>
      <c r="I11" s="14" t="s">
        <v>141</v>
      </c>
      <c r="J11" s="16" t="n">
        <v>46230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2494</v>
      </c>
      <c r="B12" s="14" t="s">
        <v>165</v>
      </c>
      <c r="C12" s="14" t="s">
        <v>1274</v>
      </c>
      <c r="D12" s="15" t="s">
        <v>2495</v>
      </c>
      <c r="E12" s="14" t="s">
        <v>161</v>
      </c>
      <c r="F12" s="14" t="s">
        <v>161</v>
      </c>
      <c r="G12" s="15" t="s">
        <v>609</v>
      </c>
      <c r="H12" s="14" t="s">
        <v>126</v>
      </c>
      <c r="I12" s="14" t="s">
        <v>141</v>
      </c>
      <c r="J12" s="16" t="n">
        <v>46230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2496</v>
      </c>
      <c r="B13" s="14" t="s">
        <v>169</v>
      </c>
      <c r="C13" s="14" t="s">
        <v>2497</v>
      </c>
      <c r="D13" s="15" t="s">
        <v>2498</v>
      </c>
      <c r="E13" s="14" t="s">
        <v>161</v>
      </c>
      <c r="F13" s="14" t="s">
        <v>171</v>
      </c>
      <c r="G13" s="15" t="s">
        <v>2499</v>
      </c>
      <c r="H13" s="14" t="s">
        <v>126</v>
      </c>
      <c r="I13" s="14" t="s">
        <v>141</v>
      </c>
      <c r="J13" s="16" t="n">
        <v>46230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2500</v>
      </c>
      <c r="B14" s="14" t="s">
        <v>174</v>
      </c>
      <c r="C14" s="14" t="s">
        <v>1274</v>
      </c>
      <c r="D14" s="15" t="s">
        <v>2501</v>
      </c>
      <c r="E14" s="14" t="s">
        <v>161</v>
      </c>
      <c r="F14" s="14" t="s">
        <v>176</v>
      </c>
      <c r="G14" s="15" t="s">
        <v>2502</v>
      </c>
      <c r="H14" s="14" t="s">
        <v>126</v>
      </c>
      <c r="I14" s="14" t="s">
        <v>141</v>
      </c>
      <c r="J14" s="16" t="n">
        <v>46230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2503</v>
      </c>
      <c r="B15" s="14" t="s">
        <v>1665</v>
      </c>
      <c r="C15" s="14" t="s">
        <v>2504</v>
      </c>
      <c r="D15" s="15" t="s">
        <v>2505</v>
      </c>
      <c r="E15" s="14" t="s">
        <v>161</v>
      </c>
      <c r="F15" s="14" t="s">
        <v>186</v>
      </c>
      <c r="G15" s="15" t="s">
        <v>2506</v>
      </c>
      <c r="H15" s="14" t="s">
        <v>126</v>
      </c>
      <c r="I15" s="14" t="s">
        <v>141</v>
      </c>
      <c r="J15" s="16" t="n">
        <v>46230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2507</v>
      </c>
      <c r="B16" s="14" t="s">
        <v>169</v>
      </c>
      <c r="C16" s="14" t="s">
        <v>2508</v>
      </c>
      <c r="D16" s="15" t="s">
        <v>2509</v>
      </c>
      <c r="E16" s="14" t="s">
        <v>161</v>
      </c>
      <c r="F16" s="14" t="s">
        <v>196</v>
      </c>
      <c r="G16" s="15" t="s">
        <v>2510</v>
      </c>
      <c r="H16" s="14" t="s">
        <v>128</v>
      </c>
      <c r="I16" s="14" t="s">
        <v>140</v>
      </c>
      <c r="J16" s="16" t="n">
        <v>46230</v>
      </c>
      <c r="K16" s="15" t="s">
        <v>2511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2512</v>
      </c>
      <c r="B17" s="14" t="s">
        <v>1155</v>
      </c>
      <c r="C17" s="14" t="s">
        <v>2513</v>
      </c>
      <c r="D17" s="15" t="s">
        <v>2514</v>
      </c>
      <c r="E17" s="14" t="s">
        <v>161</v>
      </c>
      <c r="F17" s="14" t="s">
        <v>196</v>
      </c>
      <c r="G17" s="15" t="s">
        <v>2515</v>
      </c>
      <c r="H17" s="14" t="s">
        <v>128</v>
      </c>
      <c r="I17" s="14" t="s">
        <v>140</v>
      </c>
      <c r="J17" s="16" t="n">
        <v>46230</v>
      </c>
      <c r="K17" s="15" t="s">
        <v>2516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2517</v>
      </c>
      <c r="B18" s="14" t="s">
        <v>2518</v>
      </c>
      <c r="C18" s="14" t="s">
        <v>2519</v>
      </c>
      <c r="D18" s="15" t="s">
        <v>2520</v>
      </c>
      <c r="E18" s="14" t="s">
        <v>161</v>
      </c>
      <c r="F18" s="14" t="s">
        <v>186</v>
      </c>
      <c r="G18" s="15" t="s">
        <v>2506</v>
      </c>
      <c r="H18" s="14" t="s">
        <v>126</v>
      </c>
      <c r="I18" s="14" t="s">
        <v>141</v>
      </c>
      <c r="J18" s="16" t="n">
        <v>46230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2521</v>
      </c>
      <c r="B19" s="14" t="s">
        <v>2522</v>
      </c>
      <c r="C19" s="14" t="s">
        <v>2523</v>
      </c>
      <c r="D19" s="15" t="s">
        <v>2524</v>
      </c>
      <c r="E19" s="14" t="s">
        <v>161</v>
      </c>
      <c r="F19" s="14" t="s">
        <v>186</v>
      </c>
      <c r="G19" s="15" t="s">
        <v>2525</v>
      </c>
      <c r="H19" s="14" t="s">
        <v>126</v>
      </c>
      <c r="I19" s="14" t="s">
        <v>141</v>
      </c>
      <c r="J19" s="16" t="n">
        <v>46230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2526</v>
      </c>
      <c r="B20" s="14" t="s">
        <v>2527</v>
      </c>
      <c r="C20" s="14" t="s">
        <v>2181</v>
      </c>
      <c r="D20" s="15" t="s">
        <v>2528</v>
      </c>
      <c r="E20" s="14" t="s">
        <v>161</v>
      </c>
      <c r="F20" s="14" t="s">
        <v>196</v>
      </c>
      <c r="G20" s="15" t="s">
        <v>2525</v>
      </c>
      <c r="H20" s="14" t="s">
        <v>128</v>
      </c>
      <c r="I20" s="14" t="s">
        <v>140</v>
      </c>
      <c r="J20" s="16" t="n">
        <v>46230</v>
      </c>
      <c r="K20" s="15" t="s">
        <v>2529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2530</v>
      </c>
      <c r="B21" s="14" t="s">
        <v>2531</v>
      </c>
      <c r="C21" s="14" t="s">
        <v>2523</v>
      </c>
      <c r="D21" s="15" t="s">
        <v>2532</v>
      </c>
      <c r="E21" s="14" t="s">
        <v>161</v>
      </c>
      <c r="F21" s="14" t="s">
        <v>186</v>
      </c>
      <c r="G21" s="15" t="s">
        <v>2525</v>
      </c>
      <c r="H21" s="14" t="s">
        <v>126</v>
      </c>
      <c r="I21" s="14" t="s">
        <v>141</v>
      </c>
      <c r="J21" s="16" t="n">
        <v>46230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2533</v>
      </c>
      <c r="B22" s="14" t="s">
        <v>2534</v>
      </c>
      <c r="C22" s="14" t="s">
        <v>2535</v>
      </c>
      <c r="D22" s="15" t="s">
        <v>2536</v>
      </c>
      <c r="E22" s="14" t="s">
        <v>161</v>
      </c>
      <c r="F22" s="14" t="s">
        <v>186</v>
      </c>
      <c r="G22" s="15" t="s">
        <v>2537</v>
      </c>
      <c r="H22" s="14" t="s">
        <v>126</v>
      </c>
      <c r="I22" s="14" t="s">
        <v>141</v>
      </c>
      <c r="J22" s="16" t="n">
        <v>46230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2538</v>
      </c>
      <c r="B23" s="14" t="s">
        <v>2539</v>
      </c>
      <c r="C23" s="14" t="s">
        <v>2540</v>
      </c>
      <c r="D23" s="15" t="s">
        <v>2541</v>
      </c>
      <c r="E23" s="14" t="s">
        <v>161</v>
      </c>
      <c r="F23" s="14" t="s">
        <v>181</v>
      </c>
      <c r="G23" s="15" t="s">
        <v>2542</v>
      </c>
      <c r="H23" s="14" t="s">
        <v>126</v>
      </c>
      <c r="I23" s="14" t="s">
        <v>141</v>
      </c>
      <c r="J23" s="16" t="n">
        <v>46230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2543</v>
      </c>
      <c r="B24" s="14" t="s">
        <v>2544</v>
      </c>
      <c r="C24" s="14" t="s">
        <v>2535</v>
      </c>
      <c r="D24" s="15" t="s">
        <v>2545</v>
      </c>
      <c r="E24" s="14" t="s">
        <v>161</v>
      </c>
      <c r="F24" s="14" t="s">
        <v>191</v>
      </c>
      <c r="G24" s="15" t="s">
        <v>2506</v>
      </c>
      <c r="H24" s="14" t="s">
        <v>126</v>
      </c>
      <c r="I24" s="14" t="s">
        <v>141</v>
      </c>
      <c r="J24" s="16" t="n">
        <v>46230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2546</v>
      </c>
      <c r="B25" s="14" t="s">
        <v>1672</v>
      </c>
      <c r="C25" s="14" t="s">
        <v>2547</v>
      </c>
      <c r="D25" s="15" t="s">
        <v>2548</v>
      </c>
      <c r="E25" s="14" t="s">
        <v>161</v>
      </c>
      <c r="F25" s="14" t="s">
        <v>186</v>
      </c>
      <c r="G25" s="15" t="s">
        <v>2537</v>
      </c>
      <c r="H25" s="14" t="s">
        <v>126</v>
      </c>
      <c r="I25" s="14" t="s">
        <v>141</v>
      </c>
      <c r="J25" s="16" t="n">
        <v>46230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2549</v>
      </c>
      <c r="B26" s="14" t="s">
        <v>2550</v>
      </c>
      <c r="C26" s="14" t="s">
        <v>830</v>
      </c>
      <c r="D26" s="15" t="s">
        <v>2551</v>
      </c>
      <c r="E26" s="14" t="s">
        <v>161</v>
      </c>
      <c r="F26" s="14" t="s">
        <v>162</v>
      </c>
      <c r="G26" s="15" t="s">
        <v>2552</v>
      </c>
      <c r="H26" s="14" t="s">
        <v>126</v>
      </c>
      <c r="I26" s="14" t="s">
        <v>141</v>
      </c>
      <c r="J26" s="16" t="n">
        <v>46230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2553</v>
      </c>
      <c r="B27" s="14" t="s">
        <v>2554</v>
      </c>
      <c r="C27" s="14" t="s">
        <v>2555</v>
      </c>
      <c r="D27" s="15" t="s">
        <v>2556</v>
      </c>
      <c r="E27" s="14" t="s">
        <v>161</v>
      </c>
      <c r="F27" s="14" t="s">
        <v>181</v>
      </c>
      <c r="G27" s="15" t="s">
        <v>2557</v>
      </c>
      <c r="H27" s="14" t="s">
        <v>126</v>
      </c>
      <c r="I27" s="14" t="s">
        <v>141</v>
      </c>
      <c r="J27" s="16" t="n">
        <v>46230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2558</v>
      </c>
      <c r="B28" s="14" t="s">
        <v>1620</v>
      </c>
      <c r="C28" s="14" t="s">
        <v>1274</v>
      </c>
      <c r="D28" s="15" t="s">
        <v>2559</v>
      </c>
      <c r="E28" s="14" t="s">
        <v>161</v>
      </c>
      <c r="F28" s="14" t="s">
        <v>181</v>
      </c>
      <c r="G28" s="15" t="s">
        <v>2560</v>
      </c>
      <c r="H28" s="14" t="s">
        <v>126</v>
      </c>
      <c r="I28" s="14" t="s">
        <v>141</v>
      </c>
      <c r="J28" s="16" t="n">
        <v>46230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2561</v>
      </c>
      <c r="B29" s="14" t="s">
        <v>2562</v>
      </c>
      <c r="C29" s="14" t="s">
        <v>1274</v>
      </c>
      <c r="D29" s="15" t="s">
        <v>2563</v>
      </c>
      <c r="E29" s="14" t="s">
        <v>161</v>
      </c>
      <c r="F29" s="14" t="s">
        <v>196</v>
      </c>
      <c r="G29" s="15" t="s">
        <v>2525</v>
      </c>
      <c r="H29" s="14" t="s">
        <v>128</v>
      </c>
      <c r="I29" s="14" t="s">
        <v>140</v>
      </c>
      <c r="J29" s="16" t="n">
        <v>46230</v>
      </c>
      <c r="K29" s="15" t="s">
        <v>2564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2565</v>
      </c>
      <c r="B30" s="14" t="s">
        <v>94</v>
      </c>
      <c r="C30" s="14" t="s">
        <v>1274</v>
      </c>
      <c r="D30" s="15" t="s">
        <v>2566</v>
      </c>
      <c r="E30" s="14" t="s">
        <v>161</v>
      </c>
      <c r="F30" s="14" t="s">
        <v>196</v>
      </c>
      <c r="G30" s="15" t="s">
        <v>2510</v>
      </c>
      <c r="H30" s="14" t="s">
        <v>128</v>
      </c>
      <c r="I30" s="14" t="s">
        <v>140</v>
      </c>
      <c r="J30" s="16" t="n">
        <v>46230</v>
      </c>
      <c r="K30" s="15" t="s">
        <v>2567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2568</v>
      </c>
      <c r="B31" s="14" t="s">
        <v>2569</v>
      </c>
      <c r="C31" s="14" t="s">
        <v>2508</v>
      </c>
      <c r="D31" s="15" t="s">
        <v>2570</v>
      </c>
      <c r="E31" s="14" t="s">
        <v>161</v>
      </c>
      <c r="F31" s="14" t="s">
        <v>196</v>
      </c>
      <c r="G31" s="15" t="s">
        <v>2510</v>
      </c>
      <c r="H31" s="14" t="s">
        <v>128</v>
      </c>
      <c r="I31" s="14" t="s">
        <v>140</v>
      </c>
      <c r="J31" s="16" t="n">
        <v>46230</v>
      </c>
      <c r="K31" s="15" t="s">
        <v>2571</v>
      </c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2572</v>
      </c>
      <c r="B32" s="14" t="s">
        <v>189</v>
      </c>
      <c r="C32" s="14" t="s">
        <v>1274</v>
      </c>
      <c r="D32" s="15" t="s">
        <v>2573</v>
      </c>
      <c r="E32" s="14" t="s">
        <v>161</v>
      </c>
      <c r="F32" s="14" t="s">
        <v>191</v>
      </c>
      <c r="G32" s="15" t="s">
        <v>2537</v>
      </c>
      <c r="H32" s="14" t="s">
        <v>126</v>
      </c>
      <c r="I32" s="14" t="s">
        <v>141</v>
      </c>
      <c r="J32" s="16" t="n">
        <v>46230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2574</v>
      </c>
      <c r="B33" s="14" t="s">
        <v>194</v>
      </c>
      <c r="C33" s="14" t="s">
        <v>1274</v>
      </c>
      <c r="D33" s="15" t="s">
        <v>2575</v>
      </c>
      <c r="E33" s="14" t="s">
        <v>161</v>
      </c>
      <c r="F33" s="14" t="s">
        <v>196</v>
      </c>
      <c r="G33" s="15" t="s">
        <v>2510</v>
      </c>
      <c r="H33" s="14" t="s">
        <v>128</v>
      </c>
      <c r="I33" s="14" t="s">
        <v>140</v>
      </c>
      <c r="J33" s="16" t="n">
        <v>46230</v>
      </c>
      <c r="K33" s="15" t="s">
        <v>2576</v>
      </c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2577</v>
      </c>
      <c r="B34" s="14" t="s">
        <v>649</v>
      </c>
      <c r="C34" s="14" t="s">
        <v>1274</v>
      </c>
      <c r="D34" s="15" t="s">
        <v>2578</v>
      </c>
      <c r="E34" s="14" t="s">
        <v>161</v>
      </c>
      <c r="F34" s="14" t="s">
        <v>651</v>
      </c>
      <c r="G34" s="15" t="s">
        <v>2579</v>
      </c>
      <c r="H34" s="14" t="s">
        <v>126</v>
      </c>
      <c r="I34" s="14" t="s">
        <v>141</v>
      </c>
      <c r="J34" s="16" t="n">
        <v>46230</v>
      </c>
      <c r="K34" s="15"/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 t="s">
        <v>2580</v>
      </c>
      <c r="B35" s="14" t="s">
        <v>214</v>
      </c>
      <c r="C35" s="14" t="s">
        <v>1274</v>
      </c>
      <c r="D35" s="15" t="s">
        <v>2581</v>
      </c>
      <c r="E35" s="14" t="s">
        <v>161</v>
      </c>
      <c r="F35" s="14" t="s">
        <v>202</v>
      </c>
      <c r="G35" s="15" t="s">
        <v>2582</v>
      </c>
      <c r="H35" s="14" t="s">
        <v>120</v>
      </c>
      <c r="I35" s="14" t="s">
        <v>140</v>
      </c>
      <c r="J35" s="16" t="n">
        <v>46230</v>
      </c>
      <c r="K35" s="15" t="s">
        <v>1898</v>
      </c>
      <c r="L35" s="14" t="n">
        <v>1</v>
      </c>
      <c r="M35" s="14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4" t="s">
        <v>2583</v>
      </c>
      <c r="B36" s="14" t="s">
        <v>2475</v>
      </c>
      <c r="C36" s="14" t="s">
        <v>69</v>
      </c>
      <c r="D36" s="15" t="s">
        <v>2584</v>
      </c>
      <c r="E36" s="14" t="s">
        <v>161</v>
      </c>
      <c r="F36" s="14" t="s">
        <v>220</v>
      </c>
      <c r="G36" s="15" t="s">
        <v>2585</v>
      </c>
      <c r="H36" s="14" t="s">
        <v>126</v>
      </c>
      <c r="I36" s="14" t="s">
        <v>141</v>
      </c>
      <c r="J36" s="16" t="n">
        <v>46230</v>
      </c>
      <c r="K36" s="15"/>
      <c r="L36" s="14" t="n">
        <v>1</v>
      </c>
      <c r="M36" s="14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4" t="s">
        <v>2586</v>
      </c>
      <c r="B37" s="14" t="s">
        <v>223</v>
      </c>
      <c r="C37" s="14" t="s">
        <v>69</v>
      </c>
      <c r="D37" s="15" t="s">
        <v>2587</v>
      </c>
      <c r="E37" s="14" t="s">
        <v>161</v>
      </c>
      <c r="F37" s="14" t="s">
        <v>220</v>
      </c>
      <c r="G37" s="15" t="s">
        <v>2588</v>
      </c>
      <c r="H37" s="14" t="s">
        <v>126</v>
      </c>
      <c r="I37" s="14" t="s">
        <v>141</v>
      </c>
      <c r="J37" s="16" t="n">
        <v>46230</v>
      </c>
      <c r="K37" s="15"/>
      <c r="L37" s="14" t="n">
        <v>1</v>
      </c>
      <c r="M37" s="14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4" t="s">
        <v>2589</v>
      </c>
      <c r="B38" s="14" t="s">
        <v>227</v>
      </c>
      <c r="C38" s="14" t="s">
        <v>2489</v>
      </c>
      <c r="D38" s="15" t="s">
        <v>2590</v>
      </c>
      <c r="E38" s="14" t="s">
        <v>229</v>
      </c>
      <c r="F38" s="14" t="s">
        <v>229</v>
      </c>
      <c r="G38" s="15" t="s">
        <v>230</v>
      </c>
      <c r="H38" s="14" t="s">
        <v>126</v>
      </c>
      <c r="I38" s="14" t="s">
        <v>141</v>
      </c>
      <c r="J38" s="16" t="n">
        <v>46230</v>
      </c>
      <c r="K38" s="15"/>
      <c r="L38" s="14" t="n">
        <v>1</v>
      </c>
      <c r="M38" s="14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4" t="s">
        <v>2591</v>
      </c>
      <c r="B39" s="14" t="s">
        <v>232</v>
      </c>
      <c r="C39" s="14" t="s">
        <v>69</v>
      </c>
      <c r="D39" s="15" t="s">
        <v>2592</v>
      </c>
      <c r="E39" s="14" t="s">
        <v>161</v>
      </c>
      <c r="F39" s="14" t="s">
        <v>161</v>
      </c>
      <c r="G39" s="15" t="s">
        <v>2593</v>
      </c>
      <c r="H39" s="14" t="s">
        <v>126</v>
      </c>
      <c r="I39" s="14" t="s">
        <v>141</v>
      </c>
      <c r="J39" s="16" t="n">
        <v>46230</v>
      </c>
      <c r="K39" s="15"/>
      <c r="L39" s="14" t="n">
        <v>1</v>
      </c>
      <c r="M39" s="14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144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1584</v>
      </c>
      <c r="B9" s="14" t="s">
        <v>118</v>
      </c>
      <c r="C9" s="14" t="s">
        <v>1274</v>
      </c>
      <c r="D9" s="15" t="s">
        <v>2596</v>
      </c>
      <c r="E9" s="14" t="s">
        <v>161</v>
      </c>
      <c r="F9" s="14" t="s">
        <v>162</v>
      </c>
      <c r="G9" s="15" t="s">
        <v>2597</v>
      </c>
      <c r="H9" s="14" t="s">
        <v>126</v>
      </c>
      <c r="I9" s="14" t="s">
        <v>141</v>
      </c>
      <c r="J9" s="16" t="n">
        <v>46230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1587</v>
      </c>
      <c r="B10" s="14" t="s">
        <v>2488</v>
      </c>
      <c r="C10" s="14" t="s">
        <v>1274</v>
      </c>
      <c r="D10" s="15" t="s">
        <v>2598</v>
      </c>
      <c r="E10" s="14" t="s">
        <v>161</v>
      </c>
      <c r="F10" s="14" t="s">
        <v>181</v>
      </c>
      <c r="G10" s="15" t="s">
        <v>2599</v>
      </c>
      <c r="H10" s="14" t="s">
        <v>126</v>
      </c>
      <c r="I10" s="14" t="s">
        <v>141</v>
      </c>
      <c r="J10" s="16" t="n">
        <v>46230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1591</v>
      </c>
      <c r="B11" s="14" t="s">
        <v>1432</v>
      </c>
      <c r="C11" s="14" t="s">
        <v>2600</v>
      </c>
      <c r="D11" s="15" t="s">
        <v>2601</v>
      </c>
      <c r="E11" s="14" t="s">
        <v>161</v>
      </c>
      <c r="F11" s="14" t="s">
        <v>181</v>
      </c>
      <c r="G11" s="15" t="s">
        <v>2599</v>
      </c>
      <c r="H11" s="14" t="s">
        <v>126</v>
      </c>
      <c r="I11" s="14" t="s">
        <v>141</v>
      </c>
      <c r="J11" s="16" t="n">
        <v>46230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1593</v>
      </c>
      <c r="B12" s="14" t="s">
        <v>169</v>
      </c>
      <c r="C12" s="14" t="s">
        <v>2497</v>
      </c>
      <c r="D12" s="15" t="s">
        <v>2602</v>
      </c>
      <c r="E12" s="14" t="s">
        <v>161</v>
      </c>
      <c r="F12" s="14" t="s">
        <v>171</v>
      </c>
      <c r="G12" s="15" t="s">
        <v>2603</v>
      </c>
      <c r="H12" s="14" t="s">
        <v>126</v>
      </c>
      <c r="I12" s="14" t="s">
        <v>141</v>
      </c>
      <c r="J12" s="16" t="n">
        <v>46230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1596</v>
      </c>
      <c r="B13" s="14" t="s">
        <v>165</v>
      </c>
      <c r="C13" s="14" t="s">
        <v>1274</v>
      </c>
      <c r="D13" s="15" t="s">
        <v>2604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46230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1599</v>
      </c>
      <c r="B14" s="14" t="s">
        <v>1400</v>
      </c>
      <c r="C14" s="14" t="s">
        <v>830</v>
      </c>
      <c r="D14" s="15" t="s">
        <v>2605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46230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1602</v>
      </c>
      <c r="B15" s="14" t="s">
        <v>1665</v>
      </c>
      <c r="C15" s="14" t="s">
        <v>830</v>
      </c>
      <c r="D15" s="15" t="s">
        <v>2606</v>
      </c>
      <c r="E15" s="14" t="s">
        <v>161</v>
      </c>
      <c r="F15" s="14" t="s">
        <v>181</v>
      </c>
      <c r="G15" s="15" t="s">
        <v>2599</v>
      </c>
      <c r="H15" s="14" t="s">
        <v>126</v>
      </c>
      <c r="I15" s="14" t="s">
        <v>141</v>
      </c>
      <c r="J15" s="16" t="n">
        <v>46230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1605</v>
      </c>
      <c r="B16" s="14" t="s">
        <v>1222</v>
      </c>
      <c r="C16" s="14" t="s">
        <v>830</v>
      </c>
      <c r="D16" s="15" t="s">
        <v>2607</v>
      </c>
      <c r="E16" s="14" t="s">
        <v>161</v>
      </c>
      <c r="F16" s="14" t="s">
        <v>186</v>
      </c>
      <c r="G16" s="15" t="s">
        <v>2608</v>
      </c>
      <c r="H16" s="14" t="s">
        <v>126</v>
      </c>
      <c r="I16" s="14" t="s">
        <v>141</v>
      </c>
      <c r="J16" s="16" t="n">
        <v>46230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1609</v>
      </c>
      <c r="B17" s="14" t="s">
        <v>689</v>
      </c>
      <c r="C17" s="14" t="s">
        <v>2609</v>
      </c>
      <c r="D17" s="15" t="s">
        <v>2610</v>
      </c>
      <c r="E17" s="14" t="s">
        <v>161</v>
      </c>
      <c r="F17" s="14" t="s">
        <v>181</v>
      </c>
      <c r="G17" s="15" t="s">
        <v>2599</v>
      </c>
      <c r="H17" s="14" t="s">
        <v>126</v>
      </c>
      <c r="I17" s="14" t="s">
        <v>141</v>
      </c>
      <c r="J17" s="16" t="n">
        <v>46230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1612</v>
      </c>
      <c r="B18" s="14" t="s">
        <v>2611</v>
      </c>
      <c r="C18" s="14" t="s">
        <v>2609</v>
      </c>
      <c r="D18" s="15" t="s">
        <v>2612</v>
      </c>
      <c r="E18" s="14" t="s">
        <v>161</v>
      </c>
      <c r="F18" s="14" t="s">
        <v>186</v>
      </c>
      <c r="G18" s="15" t="s">
        <v>2608</v>
      </c>
      <c r="H18" s="14" t="s">
        <v>126</v>
      </c>
      <c r="I18" s="14" t="s">
        <v>141</v>
      </c>
      <c r="J18" s="16" t="n">
        <v>46230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1614</v>
      </c>
      <c r="B19" s="14" t="s">
        <v>2613</v>
      </c>
      <c r="C19" s="14" t="s">
        <v>2614</v>
      </c>
      <c r="D19" s="15" t="s">
        <v>2615</v>
      </c>
      <c r="E19" s="14" t="s">
        <v>161</v>
      </c>
      <c r="F19" s="14" t="s">
        <v>186</v>
      </c>
      <c r="G19" s="15" t="s">
        <v>2608</v>
      </c>
      <c r="H19" s="14" t="s">
        <v>126</v>
      </c>
      <c r="I19" s="14" t="s">
        <v>141</v>
      </c>
      <c r="J19" s="16" t="n">
        <v>46230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1617</v>
      </c>
      <c r="B20" s="14" t="s">
        <v>200</v>
      </c>
      <c r="C20" s="14" t="s">
        <v>42</v>
      </c>
      <c r="D20" s="15" t="s">
        <v>2616</v>
      </c>
      <c r="E20" s="14" t="s">
        <v>161</v>
      </c>
      <c r="F20" s="14" t="s">
        <v>186</v>
      </c>
      <c r="G20" s="15" t="s">
        <v>2608</v>
      </c>
      <c r="H20" s="14" t="s">
        <v>126</v>
      </c>
      <c r="I20" s="14" t="s">
        <v>141</v>
      </c>
      <c r="J20" s="16" t="n">
        <v>46230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1619</v>
      </c>
      <c r="B21" s="14" t="s">
        <v>2617</v>
      </c>
      <c r="C21" s="14" t="s">
        <v>2618</v>
      </c>
      <c r="D21" s="15" t="s">
        <v>2619</v>
      </c>
      <c r="E21" s="14" t="s">
        <v>161</v>
      </c>
      <c r="F21" s="14" t="s">
        <v>186</v>
      </c>
      <c r="G21" s="15" t="s">
        <v>2608</v>
      </c>
      <c r="H21" s="14" t="s">
        <v>126</v>
      </c>
      <c r="I21" s="14" t="s">
        <v>141</v>
      </c>
      <c r="J21" s="16" t="n">
        <v>46230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1623</v>
      </c>
      <c r="B22" s="14" t="s">
        <v>2620</v>
      </c>
      <c r="C22" s="14" t="s">
        <v>1274</v>
      </c>
      <c r="D22" s="15" t="s">
        <v>2621</v>
      </c>
      <c r="E22" s="14" t="s">
        <v>161</v>
      </c>
      <c r="F22" s="14" t="s">
        <v>196</v>
      </c>
      <c r="G22" s="15" t="s">
        <v>2622</v>
      </c>
      <c r="H22" s="14" t="s">
        <v>128</v>
      </c>
      <c r="I22" s="14" t="s">
        <v>140</v>
      </c>
      <c r="J22" s="16" t="n">
        <v>46230</v>
      </c>
      <c r="K22" s="15" t="s">
        <v>2623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1626</v>
      </c>
      <c r="B23" s="14" t="s">
        <v>94</v>
      </c>
      <c r="C23" s="14" t="s">
        <v>1274</v>
      </c>
      <c r="D23" s="15" t="s">
        <v>2624</v>
      </c>
      <c r="E23" s="14" t="s">
        <v>161</v>
      </c>
      <c r="F23" s="14" t="s">
        <v>196</v>
      </c>
      <c r="G23" s="15" t="s">
        <v>2622</v>
      </c>
      <c r="H23" s="14" t="s">
        <v>128</v>
      </c>
      <c r="I23" s="14" t="s">
        <v>140</v>
      </c>
      <c r="J23" s="16" t="n">
        <v>46230</v>
      </c>
      <c r="K23" s="15" t="s">
        <v>2625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1630</v>
      </c>
      <c r="B24" s="14" t="s">
        <v>194</v>
      </c>
      <c r="C24" s="14" t="s">
        <v>1274</v>
      </c>
      <c r="D24" s="15" t="s">
        <v>2626</v>
      </c>
      <c r="E24" s="14" t="s">
        <v>161</v>
      </c>
      <c r="F24" s="14" t="s">
        <v>196</v>
      </c>
      <c r="G24" s="15" t="s">
        <v>2622</v>
      </c>
      <c r="H24" s="14" t="s">
        <v>128</v>
      </c>
      <c r="I24" s="14" t="s">
        <v>140</v>
      </c>
      <c r="J24" s="16" t="n">
        <v>46231</v>
      </c>
      <c r="K24" s="15" t="s">
        <v>2627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1633</v>
      </c>
      <c r="B25" s="14" t="s">
        <v>189</v>
      </c>
      <c r="C25" s="14" t="s">
        <v>1274</v>
      </c>
      <c r="D25" s="15" t="s">
        <v>2628</v>
      </c>
      <c r="E25" s="14" t="s">
        <v>161</v>
      </c>
      <c r="F25" s="14" t="s">
        <v>191</v>
      </c>
      <c r="G25" s="15" t="s">
        <v>2608</v>
      </c>
      <c r="H25" s="14" t="s">
        <v>126</v>
      </c>
      <c r="I25" s="14" t="s">
        <v>141</v>
      </c>
      <c r="J25" s="16" t="n">
        <v>46230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1635</v>
      </c>
      <c r="B26" s="14" t="s">
        <v>649</v>
      </c>
      <c r="C26" s="14" t="s">
        <v>1274</v>
      </c>
      <c r="D26" s="15" t="s">
        <v>2629</v>
      </c>
      <c r="E26" s="14" t="s">
        <v>161</v>
      </c>
      <c r="F26" s="14" t="s">
        <v>651</v>
      </c>
      <c r="G26" s="15" t="s">
        <v>2630</v>
      </c>
      <c r="H26" s="14" t="s">
        <v>126</v>
      </c>
      <c r="I26" s="14" t="s">
        <v>141</v>
      </c>
      <c r="J26" s="16" t="n">
        <v>46230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1637</v>
      </c>
      <c r="B27" s="14" t="s">
        <v>2475</v>
      </c>
      <c r="C27" s="14" t="s">
        <v>89</v>
      </c>
      <c r="D27" s="15" t="s">
        <v>2631</v>
      </c>
      <c r="E27" s="14" t="s">
        <v>161</v>
      </c>
      <c r="F27" s="14" t="s">
        <v>220</v>
      </c>
      <c r="G27" s="15" t="s">
        <v>2632</v>
      </c>
      <c r="H27" s="14" t="s">
        <v>126</v>
      </c>
      <c r="I27" s="14" t="s">
        <v>141</v>
      </c>
      <c r="J27" s="16" t="n">
        <v>46230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1640</v>
      </c>
      <c r="B28" s="14" t="s">
        <v>223</v>
      </c>
      <c r="C28" s="14" t="s">
        <v>89</v>
      </c>
      <c r="D28" s="15" t="s">
        <v>2633</v>
      </c>
      <c r="E28" s="14" t="s">
        <v>161</v>
      </c>
      <c r="F28" s="14" t="s">
        <v>220</v>
      </c>
      <c r="G28" s="15" t="s">
        <v>2634</v>
      </c>
      <c r="H28" s="14" t="s">
        <v>126</v>
      </c>
      <c r="I28" s="14" t="s">
        <v>141</v>
      </c>
      <c r="J28" s="16" t="n">
        <v>46230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1643</v>
      </c>
      <c r="B29" s="14" t="s">
        <v>227</v>
      </c>
      <c r="C29" s="14" t="s">
        <v>89</v>
      </c>
      <c r="D29" s="15" t="s">
        <v>2635</v>
      </c>
      <c r="E29" s="14" t="s">
        <v>229</v>
      </c>
      <c r="F29" s="14" t="s">
        <v>229</v>
      </c>
      <c r="G29" s="15" t="s">
        <v>2636</v>
      </c>
      <c r="H29" s="14" t="s">
        <v>126</v>
      </c>
      <c r="I29" s="14" t="s">
        <v>141</v>
      </c>
      <c r="J29" s="16" t="n">
        <v>46230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1645</v>
      </c>
      <c r="B30" s="14" t="s">
        <v>214</v>
      </c>
      <c r="C30" s="14" t="s">
        <v>1274</v>
      </c>
      <c r="D30" s="15" t="s">
        <v>2637</v>
      </c>
      <c r="E30" s="14" t="s">
        <v>161</v>
      </c>
      <c r="F30" s="14" t="s">
        <v>202</v>
      </c>
      <c r="G30" s="15" t="s">
        <v>2638</v>
      </c>
      <c r="H30" s="14" t="s">
        <v>120</v>
      </c>
      <c r="I30" s="14" t="s">
        <v>140</v>
      </c>
      <c r="J30" s="16" t="n">
        <v>46230</v>
      </c>
      <c r="K30" s="15" t="s">
        <v>1898</v>
      </c>
      <c r="L30" s="14" t="n">
        <v>1</v>
      </c>
      <c r="M30" s="14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4" t="s">
        <v>2639</v>
      </c>
      <c r="B31" s="14" t="s">
        <v>232</v>
      </c>
      <c r="C31" s="14" t="s">
        <v>89</v>
      </c>
      <c r="D31" s="15" t="s">
        <v>2640</v>
      </c>
      <c r="E31" s="14" t="s">
        <v>161</v>
      </c>
      <c r="F31" s="14" t="s">
        <v>161</v>
      </c>
      <c r="G31" s="15" t="s">
        <v>2641</v>
      </c>
      <c r="H31" s="14" t="s">
        <v>126</v>
      </c>
      <c r="I31" s="14" t="s">
        <v>141</v>
      </c>
      <c r="J31" s="16" t="n">
        <v>46231</v>
      </c>
      <c r="K31" s="15" t="s">
        <v>2642</v>
      </c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/>
      <c r="B32" s="14"/>
      <c r="C32" s="14"/>
      <c r="D32" s="15"/>
      <c r="E32" s="14"/>
      <c r="F32" s="14"/>
      <c r="G32" s="15"/>
      <c r="H32" s="14"/>
      <c r="I32" s="14"/>
      <c r="J32" s="16"/>
      <c r="K32" s="15"/>
      <c r="L32" s="14"/>
      <c r="M32" s="14"/>
    </row>
    <row r="33" customFormat="false" ht="54" hidden="false" customHeight="true" outlineLevel="0" collapsed="false">
      <c r="A33" s="14"/>
      <c r="B33" s="14"/>
      <c r="C33" s="14"/>
      <c r="D33" s="15"/>
      <c r="E33" s="14"/>
      <c r="F33" s="14"/>
      <c r="G33" s="15"/>
      <c r="H33" s="14"/>
      <c r="I33" s="14"/>
      <c r="J33" s="16"/>
      <c r="K33" s="15"/>
      <c r="L33" s="14"/>
      <c r="M33" s="14"/>
    </row>
    <row r="34" customFormat="false" ht="54" hidden="false" customHeight="true" outlineLevel="0" collapsed="false">
      <c r="A34" s="14"/>
      <c r="B34" s="14"/>
      <c r="C34" s="14"/>
      <c r="D34" s="15"/>
      <c r="E34" s="14"/>
      <c r="F34" s="14"/>
      <c r="G34" s="15"/>
      <c r="H34" s="14"/>
      <c r="I34" s="14"/>
      <c r="J34" s="16"/>
      <c r="K34" s="15"/>
      <c r="L34" s="14"/>
      <c r="M34" s="14"/>
    </row>
    <row r="35" customFormat="false" ht="54" hidden="false" customHeight="true" outlineLevel="0" collapsed="false">
      <c r="A35" s="14"/>
      <c r="B35" s="14"/>
      <c r="C35" s="14"/>
      <c r="D35" s="15"/>
      <c r="E35" s="14"/>
      <c r="F35" s="14"/>
      <c r="G35" s="15"/>
      <c r="H35" s="14"/>
      <c r="I35" s="14"/>
      <c r="J35" s="16"/>
      <c r="K35" s="15"/>
      <c r="L35" s="14"/>
      <c r="M35" s="14"/>
    </row>
    <row r="36" customFormat="false" ht="54" hidden="false" customHeight="true" outlineLevel="0" collapsed="false">
      <c r="A36" s="14"/>
      <c r="B36" s="14"/>
      <c r="C36" s="14"/>
      <c r="D36" s="15"/>
      <c r="E36" s="14"/>
      <c r="F36" s="14"/>
      <c r="G36" s="15"/>
      <c r="H36" s="14"/>
      <c r="I36" s="14"/>
      <c r="J36" s="16"/>
      <c r="K36" s="15"/>
      <c r="L36" s="14"/>
      <c r="M36" s="14"/>
    </row>
    <row r="37" customFormat="false" ht="54" hidden="false" customHeight="true" outlineLevel="0" collapsed="false">
      <c r="A37" s="14"/>
      <c r="B37" s="14"/>
      <c r="C37" s="14"/>
      <c r="D37" s="15"/>
      <c r="E37" s="14"/>
      <c r="F37" s="14"/>
      <c r="G37" s="15"/>
      <c r="H37" s="14"/>
      <c r="I37" s="14"/>
      <c r="J37" s="16"/>
      <c r="K37" s="15"/>
      <c r="L37" s="14"/>
      <c r="M37" s="14"/>
    </row>
    <row r="38" customFormat="false" ht="54" hidden="false" customHeight="true" outlineLevel="0" collapsed="false">
      <c r="A38" s="14"/>
      <c r="B38" s="14"/>
      <c r="C38" s="14"/>
      <c r="D38" s="15"/>
      <c r="E38" s="14"/>
      <c r="F38" s="14"/>
      <c r="G38" s="15"/>
      <c r="H38" s="14"/>
      <c r="I38" s="14"/>
      <c r="J38" s="16"/>
      <c r="K38" s="15"/>
      <c r="L38" s="14"/>
      <c r="M38" s="14"/>
    </row>
    <row r="39" customFormat="false" ht="54" hidden="false" customHeight="true" outlineLevel="0" collapsed="false">
      <c r="A39" s="14"/>
      <c r="B39" s="14"/>
      <c r="C39" s="14"/>
      <c r="D39" s="15"/>
      <c r="E39" s="14"/>
      <c r="F39" s="14"/>
      <c r="G39" s="15"/>
      <c r="H39" s="14"/>
      <c r="I39" s="14"/>
      <c r="J39" s="16"/>
      <c r="K39" s="15"/>
      <c r="L39" s="14"/>
      <c r="M39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144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2645</v>
      </c>
      <c r="B9" s="14" t="s">
        <v>118</v>
      </c>
      <c r="C9" s="14" t="s">
        <v>1274</v>
      </c>
      <c r="D9" s="15" t="s">
        <v>2646</v>
      </c>
      <c r="E9" s="14" t="s">
        <v>161</v>
      </c>
      <c r="F9" s="14" t="s">
        <v>162</v>
      </c>
      <c r="G9" s="15" t="s">
        <v>2647</v>
      </c>
      <c r="H9" s="14" t="s">
        <v>126</v>
      </c>
      <c r="I9" s="14" t="s">
        <v>141</v>
      </c>
      <c r="J9" s="16" t="n">
        <v>46231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2648</v>
      </c>
      <c r="B10" s="14" t="s">
        <v>2488</v>
      </c>
      <c r="C10" s="14" t="s">
        <v>1274</v>
      </c>
      <c r="D10" s="15" t="s">
        <v>2649</v>
      </c>
      <c r="E10" s="14" t="s">
        <v>161</v>
      </c>
      <c r="F10" s="14" t="s">
        <v>181</v>
      </c>
      <c r="G10" s="15" t="s">
        <v>2650</v>
      </c>
      <c r="H10" s="14" t="s">
        <v>126</v>
      </c>
      <c r="I10" s="14" t="s">
        <v>141</v>
      </c>
      <c r="J10" s="16" t="n">
        <v>46231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2651</v>
      </c>
      <c r="B11" s="14" t="s">
        <v>1432</v>
      </c>
      <c r="C11" s="14" t="s">
        <v>1274</v>
      </c>
      <c r="D11" s="15" t="s">
        <v>2652</v>
      </c>
      <c r="E11" s="14" t="s">
        <v>161</v>
      </c>
      <c r="F11" s="14" t="s">
        <v>181</v>
      </c>
      <c r="G11" s="15" t="s">
        <v>2650</v>
      </c>
      <c r="H11" s="14" t="s">
        <v>126</v>
      </c>
      <c r="I11" s="14" t="s">
        <v>141</v>
      </c>
      <c r="J11" s="16" t="n">
        <v>46231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2653</v>
      </c>
      <c r="B12" s="14" t="s">
        <v>169</v>
      </c>
      <c r="C12" s="14" t="s">
        <v>2497</v>
      </c>
      <c r="D12" s="15" t="s">
        <v>2654</v>
      </c>
      <c r="E12" s="14" t="s">
        <v>161</v>
      </c>
      <c r="F12" s="14" t="s">
        <v>171</v>
      </c>
      <c r="G12" s="15" t="s">
        <v>2655</v>
      </c>
      <c r="H12" s="14" t="s">
        <v>126</v>
      </c>
      <c r="I12" s="14" t="s">
        <v>141</v>
      </c>
      <c r="J12" s="16" t="n">
        <v>46231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2656</v>
      </c>
      <c r="B13" s="14" t="s">
        <v>165</v>
      </c>
      <c r="C13" s="14" t="s">
        <v>1274</v>
      </c>
      <c r="D13" s="15" t="s">
        <v>2657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46231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2658</v>
      </c>
      <c r="B14" s="14" t="s">
        <v>1400</v>
      </c>
      <c r="C14" s="14" t="s">
        <v>1274</v>
      </c>
      <c r="D14" s="15" t="s">
        <v>2659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46231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2660</v>
      </c>
      <c r="B15" s="14" t="s">
        <v>1665</v>
      </c>
      <c r="C15" s="14" t="s">
        <v>830</v>
      </c>
      <c r="D15" s="15" t="s">
        <v>2661</v>
      </c>
      <c r="E15" s="14" t="s">
        <v>161</v>
      </c>
      <c r="F15" s="14" t="s">
        <v>181</v>
      </c>
      <c r="G15" s="15" t="s">
        <v>2650</v>
      </c>
      <c r="H15" s="14" t="s">
        <v>126</v>
      </c>
      <c r="I15" s="14" t="s">
        <v>141</v>
      </c>
      <c r="J15" s="16" t="n">
        <v>46231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2662</v>
      </c>
      <c r="B16" s="14" t="s">
        <v>1222</v>
      </c>
      <c r="C16" s="14" t="s">
        <v>830</v>
      </c>
      <c r="D16" s="15" t="s">
        <v>2663</v>
      </c>
      <c r="E16" s="14" t="s">
        <v>161</v>
      </c>
      <c r="F16" s="14" t="s">
        <v>186</v>
      </c>
      <c r="G16" s="15" t="s">
        <v>2664</v>
      </c>
      <c r="H16" s="14" t="s">
        <v>126</v>
      </c>
      <c r="I16" s="14" t="s">
        <v>141</v>
      </c>
      <c r="J16" s="16" t="n">
        <v>46231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2665</v>
      </c>
      <c r="B17" s="14" t="s">
        <v>2666</v>
      </c>
      <c r="C17" s="14" t="s">
        <v>2667</v>
      </c>
      <c r="D17" s="15" t="s">
        <v>2668</v>
      </c>
      <c r="E17" s="14" t="s">
        <v>161</v>
      </c>
      <c r="F17" s="14" t="s">
        <v>181</v>
      </c>
      <c r="G17" s="15" t="s">
        <v>2650</v>
      </c>
      <c r="H17" s="14" t="s">
        <v>126</v>
      </c>
      <c r="I17" s="14" t="s">
        <v>141</v>
      </c>
      <c r="J17" s="16" t="n">
        <v>46231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2669</v>
      </c>
      <c r="B18" s="14" t="s">
        <v>1263</v>
      </c>
      <c r="C18" s="14" t="s">
        <v>2670</v>
      </c>
      <c r="D18" s="15" t="s">
        <v>2671</v>
      </c>
      <c r="E18" s="14" t="s">
        <v>161</v>
      </c>
      <c r="F18" s="14" t="s">
        <v>186</v>
      </c>
      <c r="G18" s="15" t="s">
        <v>2664</v>
      </c>
      <c r="H18" s="14" t="s">
        <v>126</v>
      </c>
      <c r="I18" s="14" t="s">
        <v>141</v>
      </c>
      <c r="J18" s="16" t="n">
        <v>46231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2672</v>
      </c>
      <c r="B19" s="14" t="s">
        <v>2673</v>
      </c>
      <c r="C19" s="14" t="s">
        <v>2670</v>
      </c>
      <c r="D19" s="15" t="s">
        <v>2674</v>
      </c>
      <c r="E19" s="14" t="s">
        <v>161</v>
      </c>
      <c r="F19" s="14" t="s">
        <v>186</v>
      </c>
      <c r="G19" s="15" t="s">
        <v>2664</v>
      </c>
      <c r="H19" s="14" t="s">
        <v>126</v>
      </c>
      <c r="I19" s="14" t="s">
        <v>141</v>
      </c>
      <c r="J19" s="16" t="n">
        <v>46231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2675</v>
      </c>
      <c r="B20" s="14" t="s">
        <v>2676</v>
      </c>
      <c r="C20" s="14" t="s">
        <v>2677</v>
      </c>
      <c r="D20" s="15" t="s">
        <v>2678</v>
      </c>
      <c r="E20" s="14" t="s">
        <v>161</v>
      </c>
      <c r="F20" s="14" t="s">
        <v>186</v>
      </c>
      <c r="G20" s="15" t="s">
        <v>2664</v>
      </c>
      <c r="H20" s="14" t="s">
        <v>126</v>
      </c>
      <c r="I20" s="14" t="s">
        <v>141</v>
      </c>
      <c r="J20" s="16" t="n">
        <v>46231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2679</v>
      </c>
      <c r="B21" s="14" t="s">
        <v>189</v>
      </c>
      <c r="C21" s="14" t="s">
        <v>1274</v>
      </c>
      <c r="D21" s="15" t="s">
        <v>2680</v>
      </c>
      <c r="E21" s="14" t="s">
        <v>161</v>
      </c>
      <c r="F21" s="14" t="s">
        <v>186</v>
      </c>
      <c r="G21" s="15" t="s">
        <v>2664</v>
      </c>
      <c r="H21" s="14" t="s">
        <v>126</v>
      </c>
      <c r="I21" s="14" t="s">
        <v>141</v>
      </c>
      <c r="J21" s="16" t="n">
        <v>46231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2681</v>
      </c>
      <c r="B22" s="14" t="s">
        <v>200</v>
      </c>
      <c r="C22" s="14" t="s">
        <v>2682</v>
      </c>
      <c r="D22" s="15" t="s">
        <v>2683</v>
      </c>
      <c r="E22" s="14" t="s">
        <v>161</v>
      </c>
      <c r="F22" s="14" t="s">
        <v>186</v>
      </c>
      <c r="G22" s="15" t="s">
        <v>2664</v>
      </c>
      <c r="H22" s="14" t="s">
        <v>126</v>
      </c>
      <c r="I22" s="14" t="s">
        <v>141</v>
      </c>
      <c r="J22" s="16" t="n">
        <v>46231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2684</v>
      </c>
      <c r="B23" s="14" t="s">
        <v>94</v>
      </c>
      <c r="C23" s="14" t="s">
        <v>1274</v>
      </c>
      <c r="D23" s="15" t="s">
        <v>2685</v>
      </c>
      <c r="E23" s="14" t="s">
        <v>161</v>
      </c>
      <c r="F23" s="14" t="s">
        <v>196</v>
      </c>
      <c r="G23" s="15" t="s">
        <v>2686</v>
      </c>
      <c r="H23" s="14" t="s">
        <v>124</v>
      </c>
      <c r="I23" s="14" t="s">
        <v>140</v>
      </c>
      <c r="J23" s="16" t="n">
        <v>46231</v>
      </c>
      <c r="K23" s="15" t="s">
        <v>2687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 t="s">
        <v>2688</v>
      </c>
      <c r="B24" s="14" t="s">
        <v>2569</v>
      </c>
      <c r="C24" s="14" t="s">
        <v>2670</v>
      </c>
      <c r="D24" s="15" t="s">
        <v>2689</v>
      </c>
      <c r="E24" s="14" t="s">
        <v>161</v>
      </c>
      <c r="F24" s="14" t="s">
        <v>202</v>
      </c>
      <c r="G24" s="15" t="s">
        <v>2690</v>
      </c>
      <c r="H24" s="14" t="s">
        <v>124</v>
      </c>
      <c r="I24" s="14" t="s">
        <v>140</v>
      </c>
      <c r="J24" s="16" t="n">
        <v>46231</v>
      </c>
      <c r="K24" s="15" t="s">
        <v>2691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4" t="s">
        <v>2692</v>
      </c>
      <c r="B25" s="14" t="s">
        <v>194</v>
      </c>
      <c r="C25" s="14" t="s">
        <v>1274</v>
      </c>
      <c r="D25" s="15" t="s">
        <v>2693</v>
      </c>
      <c r="E25" s="14" t="s">
        <v>161</v>
      </c>
      <c r="F25" s="14" t="s">
        <v>196</v>
      </c>
      <c r="G25" s="15" t="s">
        <v>2686</v>
      </c>
      <c r="H25" s="14" t="s">
        <v>124</v>
      </c>
      <c r="I25" s="14" t="s">
        <v>140</v>
      </c>
      <c r="J25" s="16" t="n">
        <v>46231</v>
      </c>
      <c r="K25" s="15" t="s">
        <v>2694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4" t="s">
        <v>2695</v>
      </c>
      <c r="B26" s="14" t="s">
        <v>1620</v>
      </c>
      <c r="C26" s="14" t="s">
        <v>2696</v>
      </c>
      <c r="D26" s="15" t="s">
        <v>2697</v>
      </c>
      <c r="E26" s="14" t="s">
        <v>161</v>
      </c>
      <c r="F26" s="14" t="s">
        <v>181</v>
      </c>
      <c r="G26" s="15" t="s">
        <v>2650</v>
      </c>
      <c r="H26" s="14" t="s">
        <v>126</v>
      </c>
      <c r="I26" s="14" t="s">
        <v>141</v>
      </c>
      <c r="J26" s="16" t="n">
        <v>46231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2698</v>
      </c>
      <c r="B27" s="14" t="s">
        <v>2475</v>
      </c>
      <c r="C27" s="14" t="s">
        <v>2699</v>
      </c>
      <c r="D27" s="15" t="s">
        <v>2700</v>
      </c>
      <c r="E27" s="14" t="s">
        <v>161</v>
      </c>
      <c r="F27" s="14" t="s">
        <v>2701</v>
      </c>
      <c r="G27" s="15" t="s">
        <v>2702</v>
      </c>
      <c r="H27" s="14" t="s">
        <v>126</v>
      </c>
      <c r="I27" s="14" t="s">
        <v>141</v>
      </c>
      <c r="J27" s="16" t="n">
        <v>46231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2703</v>
      </c>
      <c r="B28" s="14" t="s">
        <v>223</v>
      </c>
      <c r="C28" s="14" t="s">
        <v>2704</v>
      </c>
      <c r="D28" s="15" t="s">
        <v>2705</v>
      </c>
      <c r="E28" s="14" t="s">
        <v>161</v>
      </c>
      <c r="F28" s="14" t="s">
        <v>2701</v>
      </c>
      <c r="G28" s="15" t="s">
        <v>2706</v>
      </c>
      <c r="H28" s="14" t="s">
        <v>126</v>
      </c>
      <c r="I28" s="14" t="s">
        <v>141</v>
      </c>
      <c r="J28" s="16" t="n">
        <v>46231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2707</v>
      </c>
      <c r="B29" s="14" t="s">
        <v>649</v>
      </c>
      <c r="C29" s="14" t="s">
        <v>1274</v>
      </c>
      <c r="D29" s="15" t="s">
        <v>2708</v>
      </c>
      <c r="E29" s="14" t="s">
        <v>161</v>
      </c>
      <c r="F29" s="14" t="s">
        <v>651</v>
      </c>
      <c r="G29" s="15" t="s">
        <v>2709</v>
      </c>
      <c r="H29" s="14" t="s">
        <v>126</v>
      </c>
      <c r="I29" s="14" t="s">
        <v>141</v>
      </c>
      <c r="J29" s="16" t="n">
        <v>46231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2710</v>
      </c>
      <c r="B30" s="14" t="s">
        <v>214</v>
      </c>
      <c r="C30" s="14" t="s">
        <v>1274</v>
      </c>
      <c r="D30" s="15" t="s">
        <v>2711</v>
      </c>
      <c r="E30" s="14" t="s">
        <v>161</v>
      </c>
      <c r="F30" s="14" t="s">
        <v>202</v>
      </c>
      <c r="G30" s="15" t="s">
        <v>2690</v>
      </c>
      <c r="H30" s="14" t="s">
        <v>120</v>
      </c>
      <c r="I30" s="14" t="s">
        <v>140</v>
      </c>
      <c r="J30" s="16" t="n">
        <v>46231</v>
      </c>
      <c r="K30" s="15" t="s">
        <v>2712</v>
      </c>
      <c r="L30" s="14" t="n">
        <v>1</v>
      </c>
      <c r="M30" s="14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4" t="s">
        <v>2713</v>
      </c>
      <c r="B31" s="14" t="s">
        <v>227</v>
      </c>
      <c r="C31" s="14" t="s">
        <v>2714</v>
      </c>
      <c r="D31" s="15" t="s">
        <v>2715</v>
      </c>
      <c r="E31" s="14" t="s">
        <v>229</v>
      </c>
      <c r="F31" s="14" t="s">
        <v>229</v>
      </c>
      <c r="G31" s="15" t="s">
        <v>230</v>
      </c>
      <c r="H31" s="14" t="s">
        <v>126</v>
      </c>
      <c r="I31" s="14" t="s">
        <v>141</v>
      </c>
      <c r="J31" s="16" t="n">
        <v>46231</v>
      </c>
      <c r="K31" s="15"/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2716</v>
      </c>
      <c r="B32" s="14" t="s">
        <v>232</v>
      </c>
      <c r="C32" s="14" t="s">
        <v>2717</v>
      </c>
      <c r="D32" s="15" t="s">
        <v>2718</v>
      </c>
      <c r="E32" s="14" t="s">
        <v>161</v>
      </c>
      <c r="F32" s="14" t="s">
        <v>161</v>
      </c>
      <c r="G32" s="15" t="s">
        <v>234</v>
      </c>
      <c r="H32" s="14" t="s">
        <v>126</v>
      </c>
      <c r="I32" s="14" t="s">
        <v>141</v>
      </c>
      <c r="J32" s="16" t="n">
        <v>46231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2719</v>
      </c>
      <c r="B33" s="14" t="s">
        <v>2720</v>
      </c>
      <c r="C33" s="14" t="s">
        <v>1274</v>
      </c>
      <c r="D33" s="15" t="s">
        <v>2721</v>
      </c>
      <c r="E33" s="14" t="s">
        <v>161</v>
      </c>
      <c r="F33" s="14" t="s">
        <v>2701</v>
      </c>
      <c r="G33" s="15" t="s">
        <v>2702</v>
      </c>
      <c r="H33" s="14" t="s">
        <v>126</v>
      </c>
      <c r="I33" s="14" t="s">
        <v>141</v>
      </c>
      <c r="J33" s="16" t="n">
        <v>46231</v>
      </c>
      <c r="K33" s="15"/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2724</v>
      </c>
      <c r="B9" s="14" t="s">
        <v>118</v>
      </c>
      <c r="C9" s="14" t="s">
        <v>1274</v>
      </c>
      <c r="D9" s="15" t="s">
        <v>2725</v>
      </c>
      <c r="E9" s="14" t="s">
        <v>161</v>
      </c>
      <c r="F9" s="14" t="s">
        <v>162</v>
      </c>
      <c r="G9" s="15" t="s">
        <v>2726</v>
      </c>
      <c r="H9" s="14" t="s">
        <v>126</v>
      </c>
      <c r="I9" s="14" t="s">
        <v>141</v>
      </c>
      <c r="J9" s="16" t="n">
        <v>46231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2727</v>
      </c>
      <c r="B10" s="14" t="s">
        <v>2488</v>
      </c>
      <c r="C10" s="14" t="s">
        <v>1274</v>
      </c>
      <c r="D10" s="15" t="s">
        <v>2728</v>
      </c>
      <c r="E10" s="14" t="s">
        <v>161</v>
      </c>
      <c r="F10" s="14" t="s">
        <v>181</v>
      </c>
      <c r="G10" s="15" t="s">
        <v>2729</v>
      </c>
      <c r="H10" s="14" t="s">
        <v>126</v>
      </c>
      <c r="I10" s="14" t="s">
        <v>141</v>
      </c>
      <c r="J10" s="16" t="n">
        <v>46231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2730</v>
      </c>
      <c r="B11" s="14" t="s">
        <v>1432</v>
      </c>
      <c r="C11" s="14" t="s">
        <v>1274</v>
      </c>
      <c r="D11" s="15" t="s">
        <v>2731</v>
      </c>
      <c r="E11" s="14" t="s">
        <v>161</v>
      </c>
      <c r="F11" s="14" t="s">
        <v>181</v>
      </c>
      <c r="G11" s="15" t="s">
        <v>2729</v>
      </c>
      <c r="H11" s="14" t="s">
        <v>126</v>
      </c>
      <c r="I11" s="14" t="s">
        <v>141</v>
      </c>
      <c r="J11" s="16" t="n">
        <v>46231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2732</v>
      </c>
      <c r="B12" s="14" t="s">
        <v>169</v>
      </c>
      <c r="C12" s="14" t="s">
        <v>2497</v>
      </c>
      <c r="D12" s="15" t="s">
        <v>2733</v>
      </c>
      <c r="E12" s="14" t="s">
        <v>161</v>
      </c>
      <c r="F12" s="14" t="s">
        <v>171</v>
      </c>
      <c r="G12" s="15" t="s">
        <v>2734</v>
      </c>
      <c r="H12" s="14" t="s">
        <v>126</v>
      </c>
      <c r="I12" s="14" t="s">
        <v>141</v>
      </c>
      <c r="J12" s="16" t="n">
        <v>46231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2735</v>
      </c>
      <c r="B13" s="14" t="s">
        <v>165</v>
      </c>
      <c r="C13" s="14" t="s">
        <v>1274</v>
      </c>
      <c r="D13" s="15" t="s">
        <v>2736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46231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2737</v>
      </c>
      <c r="B14" s="14" t="s">
        <v>1400</v>
      </c>
      <c r="C14" s="14" t="s">
        <v>2738</v>
      </c>
      <c r="D14" s="15" t="s">
        <v>2739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46231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2740</v>
      </c>
      <c r="B15" s="14" t="s">
        <v>1665</v>
      </c>
      <c r="C15" s="14" t="s">
        <v>2741</v>
      </c>
      <c r="D15" s="15" t="s">
        <v>2742</v>
      </c>
      <c r="E15" s="14" t="s">
        <v>161</v>
      </c>
      <c r="F15" s="14" t="s">
        <v>181</v>
      </c>
      <c r="G15" s="15" t="s">
        <v>2729</v>
      </c>
      <c r="H15" s="14" t="s">
        <v>126</v>
      </c>
      <c r="I15" s="14" t="s">
        <v>141</v>
      </c>
      <c r="J15" s="16" t="n">
        <v>46231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2743</v>
      </c>
      <c r="B16" s="14" t="s">
        <v>1222</v>
      </c>
      <c r="C16" s="14" t="s">
        <v>830</v>
      </c>
      <c r="D16" s="15" t="s">
        <v>2744</v>
      </c>
      <c r="E16" s="14" t="s">
        <v>161</v>
      </c>
      <c r="F16" s="14" t="s">
        <v>186</v>
      </c>
      <c r="G16" s="15" t="s">
        <v>2745</v>
      </c>
      <c r="H16" s="14" t="s">
        <v>126</v>
      </c>
      <c r="I16" s="14" t="s">
        <v>141</v>
      </c>
      <c r="J16" s="16" t="n">
        <v>46231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2746</v>
      </c>
      <c r="B17" s="14" t="s">
        <v>2747</v>
      </c>
      <c r="C17" s="14" t="s">
        <v>2738</v>
      </c>
      <c r="D17" s="15" t="s">
        <v>2748</v>
      </c>
      <c r="E17" s="14" t="s">
        <v>161</v>
      </c>
      <c r="F17" s="14" t="s">
        <v>186</v>
      </c>
      <c r="G17" s="15" t="s">
        <v>2749</v>
      </c>
      <c r="H17" s="14" t="s">
        <v>126</v>
      </c>
      <c r="I17" s="14" t="s">
        <v>141</v>
      </c>
      <c r="J17" s="16" t="n">
        <v>46231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2750</v>
      </c>
      <c r="B18" s="14" t="s">
        <v>2007</v>
      </c>
      <c r="C18" s="14" t="s">
        <v>2751</v>
      </c>
      <c r="D18" s="15" t="s">
        <v>2752</v>
      </c>
      <c r="E18" s="14" t="s">
        <v>161</v>
      </c>
      <c r="F18" s="14" t="s">
        <v>186</v>
      </c>
      <c r="G18" s="15" t="s">
        <v>2749</v>
      </c>
      <c r="H18" s="14" t="s">
        <v>126</v>
      </c>
      <c r="I18" s="14" t="s">
        <v>141</v>
      </c>
      <c r="J18" s="16" t="n">
        <v>46231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2753</v>
      </c>
      <c r="B19" s="14" t="s">
        <v>2613</v>
      </c>
      <c r="C19" s="14" t="s">
        <v>2754</v>
      </c>
      <c r="D19" s="15" t="s">
        <v>2755</v>
      </c>
      <c r="E19" s="14" t="s">
        <v>161</v>
      </c>
      <c r="F19" s="14" t="s">
        <v>186</v>
      </c>
      <c r="G19" s="15" t="s">
        <v>2745</v>
      </c>
      <c r="H19" s="14" t="s">
        <v>126</v>
      </c>
      <c r="I19" s="14" t="s">
        <v>141</v>
      </c>
      <c r="J19" s="16" t="n">
        <v>46231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2756</v>
      </c>
      <c r="B20" s="14" t="s">
        <v>2611</v>
      </c>
      <c r="C20" s="14" t="s">
        <v>2757</v>
      </c>
      <c r="D20" s="15" t="s">
        <v>2758</v>
      </c>
      <c r="E20" s="14" t="s">
        <v>161</v>
      </c>
      <c r="F20" s="14" t="s">
        <v>181</v>
      </c>
      <c r="G20" s="15" t="s">
        <v>2729</v>
      </c>
      <c r="H20" s="14" t="s">
        <v>126</v>
      </c>
      <c r="I20" s="14" t="s">
        <v>141</v>
      </c>
      <c r="J20" s="16" t="n">
        <v>46231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2759</v>
      </c>
      <c r="B21" s="14" t="s">
        <v>1678</v>
      </c>
      <c r="C21" s="14" t="s">
        <v>2760</v>
      </c>
      <c r="D21" s="15" t="s">
        <v>2761</v>
      </c>
      <c r="E21" s="14" t="s">
        <v>161</v>
      </c>
      <c r="F21" s="14" t="s">
        <v>186</v>
      </c>
      <c r="G21" s="15" t="s">
        <v>2745</v>
      </c>
      <c r="H21" s="14" t="s">
        <v>126</v>
      </c>
      <c r="I21" s="14" t="s">
        <v>141</v>
      </c>
      <c r="J21" s="16" t="n">
        <v>46231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2762</v>
      </c>
      <c r="B22" s="14" t="s">
        <v>200</v>
      </c>
      <c r="C22" s="14" t="s">
        <v>42</v>
      </c>
      <c r="D22" s="15" t="s">
        <v>2763</v>
      </c>
      <c r="E22" s="14" t="s">
        <v>161</v>
      </c>
      <c r="F22" s="14" t="s">
        <v>186</v>
      </c>
      <c r="G22" s="15" t="s">
        <v>2745</v>
      </c>
      <c r="H22" s="14" t="s">
        <v>126</v>
      </c>
      <c r="I22" s="14" t="s">
        <v>141</v>
      </c>
      <c r="J22" s="16" t="n">
        <v>46231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2764</v>
      </c>
      <c r="B23" s="14" t="s">
        <v>2620</v>
      </c>
      <c r="C23" s="14" t="s">
        <v>1274</v>
      </c>
      <c r="D23" s="15" t="s">
        <v>2765</v>
      </c>
      <c r="E23" s="14" t="s">
        <v>161</v>
      </c>
      <c r="F23" s="14" t="s">
        <v>196</v>
      </c>
      <c r="G23" s="15" t="s">
        <v>2766</v>
      </c>
      <c r="H23" s="14" t="s">
        <v>124</v>
      </c>
      <c r="I23" s="14" t="s">
        <v>140</v>
      </c>
      <c r="J23" s="16" t="n">
        <v>46231</v>
      </c>
      <c r="K23" s="15" t="s">
        <v>2687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 t="s">
        <v>2767</v>
      </c>
      <c r="B24" s="14" t="s">
        <v>94</v>
      </c>
      <c r="C24" s="14" t="s">
        <v>1274</v>
      </c>
      <c r="D24" s="15" t="s">
        <v>2768</v>
      </c>
      <c r="E24" s="14" t="s">
        <v>161</v>
      </c>
      <c r="F24" s="14" t="s">
        <v>196</v>
      </c>
      <c r="G24" s="15" t="s">
        <v>2766</v>
      </c>
      <c r="H24" s="14" t="s">
        <v>124</v>
      </c>
      <c r="I24" s="14" t="s">
        <v>140</v>
      </c>
      <c r="J24" s="16" t="n">
        <v>46231</v>
      </c>
      <c r="K24" s="15" t="s">
        <v>2687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4" t="s">
        <v>2769</v>
      </c>
      <c r="B25" s="14" t="s">
        <v>194</v>
      </c>
      <c r="C25" s="14" t="s">
        <v>1274</v>
      </c>
      <c r="D25" s="15" t="s">
        <v>2770</v>
      </c>
      <c r="E25" s="14" t="s">
        <v>161</v>
      </c>
      <c r="F25" s="14" t="s">
        <v>196</v>
      </c>
      <c r="G25" s="15" t="s">
        <v>2766</v>
      </c>
      <c r="H25" s="14" t="s">
        <v>124</v>
      </c>
      <c r="I25" s="14" t="s">
        <v>140</v>
      </c>
      <c r="J25" s="16" t="n">
        <v>46231</v>
      </c>
      <c r="K25" s="15" t="s">
        <v>2771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4" t="s">
        <v>2772</v>
      </c>
      <c r="B26" s="14" t="s">
        <v>1620</v>
      </c>
      <c r="C26" s="14" t="s">
        <v>1274</v>
      </c>
      <c r="D26" s="15" t="s">
        <v>2773</v>
      </c>
      <c r="E26" s="14" t="s">
        <v>161</v>
      </c>
      <c r="F26" s="14" t="s">
        <v>181</v>
      </c>
      <c r="G26" s="15" t="s">
        <v>2774</v>
      </c>
      <c r="H26" s="14" t="s">
        <v>126</v>
      </c>
      <c r="I26" s="14" t="s">
        <v>141</v>
      </c>
      <c r="J26" s="16" t="n">
        <v>46231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2775</v>
      </c>
      <c r="B27" s="14" t="s">
        <v>189</v>
      </c>
      <c r="C27" s="14" t="s">
        <v>1274</v>
      </c>
      <c r="D27" s="15" t="s">
        <v>2776</v>
      </c>
      <c r="E27" s="14" t="s">
        <v>161</v>
      </c>
      <c r="F27" s="14" t="s">
        <v>191</v>
      </c>
      <c r="G27" s="15" t="s">
        <v>2745</v>
      </c>
      <c r="H27" s="14" t="s">
        <v>126</v>
      </c>
      <c r="I27" s="14" t="s">
        <v>141</v>
      </c>
      <c r="J27" s="16" t="n">
        <v>46231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2777</v>
      </c>
      <c r="B28" s="14" t="s">
        <v>649</v>
      </c>
      <c r="C28" s="14" t="s">
        <v>1274</v>
      </c>
      <c r="D28" s="15" t="s">
        <v>2778</v>
      </c>
      <c r="E28" s="14" t="s">
        <v>161</v>
      </c>
      <c r="F28" s="14" t="s">
        <v>651</v>
      </c>
      <c r="G28" s="15" t="s">
        <v>2779</v>
      </c>
      <c r="H28" s="14" t="s">
        <v>126</v>
      </c>
      <c r="I28" s="14" t="s">
        <v>141</v>
      </c>
      <c r="J28" s="16" t="n">
        <v>46231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2780</v>
      </c>
      <c r="B29" s="14" t="s">
        <v>2475</v>
      </c>
      <c r="C29" s="14" t="s">
        <v>2699</v>
      </c>
      <c r="D29" s="15" t="s">
        <v>2781</v>
      </c>
      <c r="E29" s="14" t="s">
        <v>161</v>
      </c>
      <c r="F29" s="14" t="s">
        <v>2701</v>
      </c>
      <c r="G29" s="15" t="s">
        <v>2782</v>
      </c>
      <c r="H29" s="14" t="s">
        <v>126</v>
      </c>
      <c r="I29" s="14" t="s">
        <v>141</v>
      </c>
      <c r="J29" s="16" t="n">
        <v>46231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2783</v>
      </c>
      <c r="B30" s="14" t="s">
        <v>223</v>
      </c>
      <c r="C30" s="14" t="s">
        <v>2704</v>
      </c>
      <c r="D30" s="15" t="s">
        <v>2784</v>
      </c>
      <c r="E30" s="14" t="s">
        <v>161</v>
      </c>
      <c r="F30" s="14" t="s">
        <v>2701</v>
      </c>
      <c r="G30" s="15" t="s">
        <v>2785</v>
      </c>
      <c r="H30" s="14" t="s">
        <v>126</v>
      </c>
      <c r="I30" s="14" t="s">
        <v>141</v>
      </c>
      <c r="J30" s="16" t="n">
        <v>46231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2786</v>
      </c>
      <c r="B31" s="14" t="s">
        <v>227</v>
      </c>
      <c r="C31" s="14" t="s">
        <v>1274</v>
      </c>
      <c r="D31" s="15" t="s">
        <v>2787</v>
      </c>
      <c r="E31" s="14" t="s">
        <v>229</v>
      </c>
      <c r="F31" s="14" t="s">
        <v>229</v>
      </c>
      <c r="G31" s="15" t="s">
        <v>230</v>
      </c>
      <c r="H31" s="14" t="s">
        <v>126</v>
      </c>
      <c r="I31" s="14" t="s">
        <v>141</v>
      </c>
      <c r="J31" s="16" t="n">
        <v>46231</v>
      </c>
      <c r="K31" s="15" t="s">
        <v>2788</v>
      </c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2789</v>
      </c>
      <c r="B32" s="14" t="s">
        <v>214</v>
      </c>
      <c r="C32" s="14" t="s">
        <v>1274</v>
      </c>
      <c r="D32" s="15" t="s">
        <v>2790</v>
      </c>
      <c r="E32" s="14" t="s">
        <v>161</v>
      </c>
      <c r="F32" s="14" t="s">
        <v>202</v>
      </c>
      <c r="G32" s="15" t="s">
        <v>2791</v>
      </c>
      <c r="H32" s="14" t="s">
        <v>120</v>
      </c>
      <c r="I32" s="14" t="s">
        <v>140</v>
      </c>
      <c r="J32" s="16" t="n">
        <v>46231</v>
      </c>
      <c r="K32" s="15" t="s">
        <v>1898</v>
      </c>
      <c r="L32" s="14" t="n">
        <v>1</v>
      </c>
      <c r="M32" s="14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4" t="s">
        <v>2792</v>
      </c>
      <c r="B33" s="14" t="s">
        <v>232</v>
      </c>
      <c r="C33" s="14" t="s">
        <v>2717</v>
      </c>
      <c r="D33" s="15" t="s">
        <v>2640</v>
      </c>
      <c r="E33" s="14" t="s">
        <v>161</v>
      </c>
      <c r="F33" s="14" t="s">
        <v>161</v>
      </c>
      <c r="G33" s="15" t="s">
        <v>2641</v>
      </c>
      <c r="H33" s="14" t="s">
        <v>126</v>
      </c>
      <c r="I33" s="14" t="s">
        <v>141</v>
      </c>
      <c r="J33" s="16" t="n">
        <v>46231</v>
      </c>
      <c r="K33" s="15" t="s">
        <v>2793</v>
      </c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2794</v>
      </c>
      <c r="B34" s="14" t="s">
        <v>2795</v>
      </c>
      <c r="C34" s="14" t="s">
        <v>1274</v>
      </c>
      <c r="D34" s="15" t="s">
        <v>2796</v>
      </c>
      <c r="E34" s="14" t="s">
        <v>161</v>
      </c>
      <c r="F34" s="14" t="s">
        <v>2701</v>
      </c>
      <c r="G34" s="15" t="s">
        <v>2782</v>
      </c>
      <c r="H34" s="14" t="s">
        <v>126</v>
      </c>
      <c r="I34" s="14" t="s">
        <v>141</v>
      </c>
      <c r="J34" s="16" t="n">
        <v>46231</v>
      </c>
      <c r="K34" s="15"/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/>
      <c r="B35" s="14"/>
      <c r="C35" s="14"/>
      <c r="D35" s="15"/>
      <c r="E35" s="14"/>
      <c r="F35" s="14"/>
      <c r="G35" s="15"/>
      <c r="H35" s="14"/>
      <c r="I35" s="14"/>
      <c r="J35" s="16"/>
      <c r="K35" s="15"/>
      <c r="L35" s="14"/>
      <c r="M35" s="14"/>
    </row>
    <row r="36" customFormat="false" ht="54" hidden="false" customHeight="true" outlineLevel="0" collapsed="false">
      <c r="A36" s="14"/>
      <c r="B36" s="14"/>
      <c r="C36" s="14"/>
      <c r="D36" s="15"/>
      <c r="E36" s="14"/>
      <c r="F36" s="14"/>
      <c r="G36" s="15"/>
      <c r="H36" s="14"/>
      <c r="I36" s="14"/>
      <c r="J36" s="16"/>
      <c r="K36" s="15"/>
      <c r="L36" s="14"/>
      <c r="M36" s="14"/>
    </row>
    <row r="37" customFormat="false" ht="54" hidden="false" customHeight="true" outlineLevel="0" collapsed="false">
      <c r="A37" s="14"/>
      <c r="B37" s="14"/>
      <c r="C37" s="14"/>
      <c r="D37" s="15"/>
      <c r="E37" s="14"/>
      <c r="F37" s="14"/>
      <c r="G37" s="15"/>
      <c r="H37" s="14"/>
      <c r="I37" s="14"/>
      <c r="J37" s="16"/>
      <c r="K37" s="15"/>
      <c r="L37" s="14"/>
      <c r="M37" s="14"/>
    </row>
    <row r="38" customFormat="false" ht="54" hidden="false" customHeight="true" outlineLevel="0" collapsed="false">
      <c r="A38" s="14"/>
      <c r="B38" s="14"/>
      <c r="C38" s="14"/>
      <c r="D38" s="15"/>
      <c r="E38" s="14"/>
      <c r="F38" s="14"/>
      <c r="G38" s="15"/>
      <c r="H38" s="14"/>
      <c r="I38" s="14"/>
      <c r="J38" s="16"/>
      <c r="K38" s="15"/>
      <c r="L38" s="14"/>
      <c r="M38" s="14"/>
    </row>
    <row r="39" customFormat="false" ht="54" hidden="false" customHeight="true" outlineLevel="0" collapsed="false">
      <c r="A39" s="14"/>
      <c r="B39" s="14"/>
      <c r="C39" s="14"/>
      <c r="D39" s="15"/>
      <c r="E39" s="14"/>
      <c r="F39" s="14"/>
      <c r="G39" s="15"/>
      <c r="H39" s="14"/>
      <c r="I39" s="14"/>
      <c r="J39" s="16"/>
      <c r="K39" s="15"/>
      <c r="L39" s="14"/>
      <c r="M39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144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770</v>
      </c>
      <c r="B9" s="14" t="s">
        <v>118</v>
      </c>
      <c r="C9" s="14" t="s">
        <v>1274</v>
      </c>
      <c r="D9" s="15" t="s">
        <v>2799</v>
      </c>
      <c r="E9" s="14" t="s">
        <v>161</v>
      </c>
      <c r="F9" s="14" t="s">
        <v>162</v>
      </c>
      <c r="G9" s="15" t="s">
        <v>2800</v>
      </c>
      <c r="H9" s="14" t="s">
        <v>126</v>
      </c>
      <c r="I9" s="14" t="s">
        <v>141</v>
      </c>
      <c r="J9" s="16" t="n">
        <v>46231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773</v>
      </c>
      <c r="B10" s="14" t="s">
        <v>2488</v>
      </c>
      <c r="C10" s="14" t="s">
        <v>1274</v>
      </c>
      <c r="D10" s="15" t="s">
        <v>2801</v>
      </c>
      <c r="E10" s="14" t="s">
        <v>161</v>
      </c>
      <c r="F10" s="14" t="s">
        <v>181</v>
      </c>
      <c r="G10" s="15" t="s">
        <v>2802</v>
      </c>
      <c r="H10" s="14" t="s">
        <v>126</v>
      </c>
      <c r="I10" s="14" t="s">
        <v>141</v>
      </c>
      <c r="J10" s="16" t="n">
        <v>46231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774</v>
      </c>
      <c r="B11" s="14" t="s">
        <v>1432</v>
      </c>
      <c r="C11" s="14" t="s">
        <v>1274</v>
      </c>
      <c r="D11" s="15" t="s">
        <v>2803</v>
      </c>
      <c r="E11" s="14" t="s">
        <v>161</v>
      </c>
      <c r="F11" s="14" t="s">
        <v>181</v>
      </c>
      <c r="G11" s="15" t="s">
        <v>2802</v>
      </c>
      <c r="H11" s="14" t="s">
        <v>126</v>
      </c>
      <c r="I11" s="14" t="s">
        <v>141</v>
      </c>
      <c r="J11" s="16" t="n">
        <v>46231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776</v>
      </c>
      <c r="B12" s="14" t="s">
        <v>169</v>
      </c>
      <c r="C12" s="14" t="s">
        <v>2497</v>
      </c>
      <c r="D12" s="15" t="s">
        <v>2804</v>
      </c>
      <c r="E12" s="14" t="s">
        <v>161</v>
      </c>
      <c r="F12" s="14" t="s">
        <v>171</v>
      </c>
      <c r="G12" s="15" t="s">
        <v>2805</v>
      </c>
      <c r="H12" s="14" t="s">
        <v>126</v>
      </c>
      <c r="I12" s="14" t="s">
        <v>141</v>
      </c>
      <c r="J12" s="16" t="n">
        <v>46231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778</v>
      </c>
      <c r="B13" s="14" t="s">
        <v>165</v>
      </c>
      <c r="C13" s="14" t="s">
        <v>1274</v>
      </c>
      <c r="D13" s="15" t="s">
        <v>2806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46231</v>
      </c>
      <c r="K13" s="15" t="s">
        <v>2807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780</v>
      </c>
      <c r="B14" s="14" t="s">
        <v>1400</v>
      </c>
      <c r="C14" s="14" t="s">
        <v>2738</v>
      </c>
      <c r="D14" s="15" t="s">
        <v>2808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46231</v>
      </c>
      <c r="K14" s="15" t="s">
        <v>2809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782</v>
      </c>
      <c r="B15" s="14" t="s">
        <v>1665</v>
      </c>
      <c r="C15" s="14" t="s">
        <v>2741</v>
      </c>
      <c r="D15" s="15" t="s">
        <v>2742</v>
      </c>
      <c r="E15" s="14" t="s">
        <v>161</v>
      </c>
      <c r="F15" s="14" t="s">
        <v>181</v>
      </c>
      <c r="G15" s="15" t="s">
        <v>2802</v>
      </c>
      <c r="H15" s="14" t="s">
        <v>126</v>
      </c>
      <c r="I15" s="14" t="s">
        <v>141</v>
      </c>
      <c r="J15" s="16" t="n">
        <v>46231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784</v>
      </c>
      <c r="B16" s="14" t="s">
        <v>1222</v>
      </c>
      <c r="C16" s="14" t="s">
        <v>830</v>
      </c>
      <c r="D16" s="15" t="s">
        <v>2744</v>
      </c>
      <c r="E16" s="14" t="s">
        <v>161</v>
      </c>
      <c r="F16" s="14" t="s">
        <v>186</v>
      </c>
      <c r="G16" s="15" t="s">
        <v>2810</v>
      </c>
      <c r="H16" s="14" t="s">
        <v>126</v>
      </c>
      <c r="I16" s="14" t="s">
        <v>141</v>
      </c>
      <c r="J16" s="16" t="n">
        <v>46231</v>
      </c>
      <c r="K16" s="15" t="s">
        <v>2811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786</v>
      </c>
      <c r="B17" s="14" t="s">
        <v>2812</v>
      </c>
      <c r="C17" s="14" t="s">
        <v>2813</v>
      </c>
      <c r="D17" s="15" t="s">
        <v>2814</v>
      </c>
      <c r="E17" s="14" t="s">
        <v>161</v>
      </c>
      <c r="F17" s="14" t="s">
        <v>186</v>
      </c>
      <c r="G17" s="15" t="s">
        <v>2815</v>
      </c>
      <c r="H17" s="14" t="s">
        <v>126</v>
      </c>
      <c r="I17" s="14" t="s">
        <v>141</v>
      </c>
      <c r="J17" s="16" t="n">
        <v>46231</v>
      </c>
      <c r="K17" s="15" t="s">
        <v>2816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788</v>
      </c>
      <c r="B18" s="14" t="s">
        <v>2747</v>
      </c>
      <c r="C18" s="14" t="s">
        <v>2738</v>
      </c>
      <c r="D18" s="15" t="s">
        <v>2817</v>
      </c>
      <c r="E18" s="14" t="s">
        <v>161</v>
      </c>
      <c r="F18" s="14" t="s">
        <v>186</v>
      </c>
      <c r="G18" s="15" t="s">
        <v>2815</v>
      </c>
      <c r="H18" s="14" t="s">
        <v>126</v>
      </c>
      <c r="I18" s="14" t="s">
        <v>141</v>
      </c>
      <c r="J18" s="16" t="n">
        <v>46231</v>
      </c>
      <c r="K18" s="15" t="s">
        <v>2818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789</v>
      </c>
      <c r="B19" s="14" t="s">
        <v>1167</v>
      </c>
      <c r="C19" s="14" t="s">
        <v>2751</v>
      </c>
      <c r="D19" s="15" t="s">
        <v>2819</v>
      </c>
      <c r="E19" s="14" t="s">
        <v>161</v>
      </c>
      <c r="F19" s="14" t="s">
        <v>186</v>
      </c>
      <c r="G19" s="15" t="s">
        <v>2815</v>
      </c>
      <c r="H19" s="14" t="s">
        <v>126</v>
      </c>
      <c r="I19" s="14" t="s">
        <v>141</v>
      </c>
      <c r="J19" s="16" t="n">
        <v>46231</v>
      </c>
      <c r="K19" s="15" t="s">
        <v>2816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791</v>
      </c>
      <c r="B20" s="14" t="s">
        <v>2007</v>
      </c>
      <c r="C20" s="14" t="s">
        <v>2751</v>
      </c>
      <c r="D20" s="15" t="s">
        <v>2820</v>
      </c>
      <c r="E20" s="14" t="s">
        <v>161</v>
      </c>
      <c r="F20" s="14" t="s">
        <v>186</v>
      </c>
      <c r="G20" s="15" t="s">
        <v>2815</v>
      </c>
      <c r="H20" s="14" t="s">
        <v>126</v>
      </c>
      <c r="I20" s="14" t="s">
        <v>141</v>
      </c>
      <c r="J20" s="16" t="n">
        <v>46231</v>
      </c>
      <c r="K20" s="15" t="s">
        <v>2821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792</v>
      </c>
      <c r="B21" s="14" t="s">
        <v>2613</v>
      </c>
      <c r="C21" s="14" t="s">
        <v>2754</v>
      </c>
      <c r="D21" s="15" t="s">
        <v>2755</v>
      </c>
      <c r="E21" s="14" t="s">
        <v>161</v>
      </c>
      <c r="F21" s="14" t="s">
        <v>186</v>
      </c>
      <c r="G21" s="15" t="s">
        <v>2810</v>
      </c>
      <c r="H21" s="14" t="s">
        <v>126</v>
      </c>
      <c r="I21" s="14" t="s">
        <v>141</v>
      </c>
      <c r="J21" s="16" t="n">
        <v>46231</v>
      </c>
      <c r="K21" s="15" t="s">
        <v>2822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794</v>
      </c>
      <c r="B22" s="14" t="s">
        <v>2611</v>
      </c>
      <c r="C22" s="14" t="s">
        <v>2823</v>
      </c>
      <c r="D22" s="15" t="s">
        <v>2758</v>
      </c>
      <c r="E22" s="14" t="s">
        <v>161</v>
      </c>
      <c r="F22" s="14" t="s">
        <v>181</v>
      </c>
      <c r="G22" s="15" t="s">
        <v>2802</v>
      </c>
      <c r="H22" s="14" t="s">
        <v>126</v>
      </c>
      <c r="I22" s="14" t="s">
        <v>141</v>
      </c>
      <c r="J22" s="16" t="n">
        <v>46231</v>
      </c>
      <c r="K22" s="15" t="s">
        <v>2824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796</v>
      </c>
      <c r="B23" s="14" t="s">
        <v>1678</v>
      </c>
      <c r="C23" s="14" t="s">
        <v>2760</v>
      </c>
      <c r="D23" s="15" t="s">
        <v>2825</v>
      </c>
      <c r="E23" s="14" t="s">
        <v>161</v>
      </c>
      <c r="F23" s="14" t="s">
        <v>186</v>
      </c>
      <c r="G23" s="15" t="s">
        <v>2810</v>
      </c>
      <c r="H23" s="14" t="s">
        <v>126</v>
      </c>
      <c r="I23" s="14" t="s">
        <v>141</v>
      </c>
      <c r="J23" s="16" t="n">
        <v>46231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797</v>
      </c>
      <c r="B24" s="14" t="s">
        <v>200</v>
      </c>
      <c r="C24" s="14" t="s">
        <v>42</v>
      </c>
      <c r="D24" s="15" t="s">
        <v>2826</v>
      </c>
      <c r="E24" s="14" t="s">
        <v>161</v>
      </c>
      <c r="F24" s="14" t="s">
        <v>186</v>
      </c>
      <c r="G24" s="15" t="s">
        <v>2810</v>
      </c>
      <c r="H24" s="14" t="s">
        <v>126</v>
      </c>
      <c r="I24" s="14" t="s">
        <v>141</v>
      </c>
      <c r="J24" s="16" t="n">
        <v>46231</v>
      </c>
      <c r="K24" s="15" t="s">
        <v>2827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2828</v>
      </c>
      <c r="B25" s="14" t="s">
        <v>2620</v>
      </c>
      <c r="C25" s="14" t="s">
        <v>1274</v>
      </c>
      <c r="D25" s="15" t="s">
        <v>2829</v>
      </c>
      <c r="E25" s="14" t="s">
        <v>161</v>
      </c>
      <c r="F25" s="14" t="s">
        <v>196</v>
      </c>
      <c r="G25" s="15" t="s">
        <v>2830</v>
      </c>
      <c r="H25" s="14" t="s">
        <v>124</v>
      </c>
      <c r="I25" s="14" t="s">
        <v>140</v>
      </c>
      <c r="J25" s="16" t="n">
        <v>46231</v>
      </c>
      <c r="K25" s="15" t="s">
        <v>2831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4" t="s">
        <v>2832</v>
      </c>
      <c r="B26" s="14" t="s">
        <v>94</v>
      </c>
      <c r="C26" s="14" t="s">
        <v>1274</v>
      </c>
      <c r="D26" s="15" t="s">
        <v>2833</v>
      </c>
      <c r="E26" s="14" t="s">
        <v>161</v>
      </c>
      <c r="F26" s="14" t="s">
        <v>196</v>
      </c>
      <c r="G26" s="15" t="s">
        <v>2830</v>
      </c>
      <c r="H26" s="14" t="s">
        <v>124</v>
      </c>
      <c r="I26" s="14" t="s">
        <v>140</v>
      </c>
      <c r="J26" s="16" t="n">
        <v>46231</v>
      </c>
      <c r="K26" s="15" t="s">
        <v>2687</v>
      </c>
      <c r="L26" s="14" t="n">
        <v>1</v>
      </c>
      <c r="M26" s="14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4" t="s">
        <v>2834</v>
      </c>
      <c r="B27" s="14" t="s">
        <v>194</v>
      </c>
      <c r="C27" s="14" t="s">
        <v>1274</v>
      </c>
      <c r="D27" s="15" t="s">
        <v>2835</v>
      </c>
      <c r="E27" s="14" t="s">
        <v>161</v>
      </c>
      <c r="F27" s="14" t="s">
        <v>196</v>
      </c>
      <c r="G27" s="15" t="s">
        <v>2830</v>
      </c>
      <c r="H27" s="14" t="s">
        <v>124</v>
      </c>
      <c r="I27" s="14" t="s">
        <v>140</v>
      </c>
      <c r="J27" s="16" t="n">
        <v>46231</v>
      </c>
      <c r="K27" s="15" t="s">
        <v>2771</v>
      </c>
      <c r="L27" s="14" t="n">
        <v>1</v>
      </c>
      <c r="M27" s="14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4" t="s">
        <v>2836</v>
      </c>
      <c r="B28" s="14" t="s">
        <v>1620</v>
      </c>
      <c r="C28" s="14" t="s">
        <v>1274</v>
      </c>
      <c r="D28" s="15" t="s">
        <v>2837</v>
      </c>
      <c r="E28" s="14" t="s">
        <v>161</v>
      </c>
      <c r="F28" s="14" t="s">
        <v>181</v>
      </c>
      <c r="G28" s="15" t="s">
        <v>2838</v>
      </c>
      <c r="H28" s="14" t="s">
        <v>126</v>
      </c>
      <c r="I28" s="14" t="s">
        <v>141</v>
      </c>
      <c r="J28" s="16" t="n">
        <v>46231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2839</v>
      </c>
      <c r="B29" s="14" t="s">
        <v>189</v>
      </c>
      <c r="C29" s="14" t="s">
        <v>1274</v>
      </c>
      <c r="D29" s="15" t="s">
        <v>2840</v>
      </c>
      <c r="E29" s="14" t="s">
        <v>161</v>
      </c>
      <c r="F29" s="14" t="s">
        <v>191</v>
      </c>
      <c r="G29" s="15" t="s">
        <v>2810</v>
      </c>
      <c r="H29" s="14" t="s">
        <v>126</v>
      </c>
      <c r="I29" s="14" t="s">
        <v>141</v>
      </c>
      <c r="J29" s="16" t="n">
        <v>46231</v>
      </c>
      <c r="K29" s="15" t="s">
        <v>2841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2842</v>
      </c>
      <c r="B30" s="14" t="s">
        <v>649</v>
      </c>
      <c r="C30" s="14" t="s">
        <v>1274</v>
      </c>
      <c r="D30" s="15" t="s">
        <v>2843</v>
      </c>
      <c r="E30" s="14" t="s">
        <v>161</v>
      </c>
      <c r="F30" s="14" t="s">
        <v>651</v>
      </c>
      <c r="G30" s="15" t="s">
        <v>2844</v>
      </c>
      <c r="H30" s="14" t="s">
        <v>126</v>
      </c>
      <c r="I30" s="14" t="s">
        <v>141</v>
      </c>
      <c r="J30" s="16" t="n">
        <v>46231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2845</v>
      </c>
      <c r="B31" s="14" t="s">
        <v>2475</v>
      </c>
      <c r="C31" s="14" t="s">
        <v>2699</v>
      </c>
      <c r="D31" s="15" t="s">
        <v>2846</v>
      </c>
      <c r="E31" s="14" t="s">
        <v>161</v>
      </c>
      <c r="F31" s="14" t="s">
        <v>2701</v>
      </c>
      <c r="G31" s="15" t="s">
        <v>2847</v>
      </c>
      <c r="H31" s="14" t="s">
        <v>126</v>
      </c>
      <c r="I31" s="14" t="s">
        <v>141</v>
      </c>
      <c r="J31" s="16" t="n">
        <v>46231</v>
      </c>
      <c r="K31" s="15"/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2848</v>
      </c>
      <c r="B32" s="14" t="s">
        <v>223</v>
      </c>
      <c r="C32" s="14" t="s">
        <v>2704</v>
      </c>
      <c r="D32" s="15" t="s">
        <v>2849</v>
      </c>
      <c r="E32" s="14" t="s">
        <v>161</v>
      </c>
      <c r="F32" s="14" t="s">
        <v>2701</v>
      </c>
      <c r="G32" s="15" t="s">
        <v>2850</v>
      </c>
      <c r="H32" s="14" t="s">
        <v>126</v>
      </c>
      <c r="I32" s="14" t="s">
        <v>141</v>
      </c>
      <c r="J32" s="16" t="n">
        <v>46231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2851</v>
      </c>
      <c r="B33" s="14" t="s">
        <v>227</v>
      </c>
      <c r="C33" s="14" t="s">
        <v>1274</v>
      </c>
      <c r="D33" s="15" t="s">
        <v>2852</v>
      </c>
      <c r="E33" s="14" t="s">
        <v>229</v>
      </c>
      <c r="F33" s="14" t="s">
        <v>229</v>
      </c>
      <c r="G33" s="15" t="s">
        <v>230</v>
      </c>
      <c r="H33" s="14" t="s">
        <v>126</v>
      </c>
      <c r="I33" s="14" t="s">
        <v>141</v>
      </c>
      <c r="J33" s="16" t="n">
        <v>46231</v>
      </c>
      <c r="K33" s="15" t="s">
        <v>2853</v>
      </c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2854</v>
      </c>
      <c r="B34" s="14" t="s">
        <v>214</v>
      </c>
      <c r="C34" s="14" t="s">
        <v>1274</v>
      </c>
      <c r="D34" s="15" t="s">
        <v>2855</v>
      </c>
      <c r="E34" s="14" t="s">
        <v>161</v>
      </c>
      <c r="F34" s="14" t="s">
        <v>202</v>
      </c>
      <c r="G34" s="15" t="s">
        <v>2856</v>
      </c>
      <c r="H34" s="14" t="s">
        <v>120</v>
      </c>
      <c r="I34" s="14" t="s">
        <v>140</v>
      </c>
      <c r="J34" s="16" t="n">
        <v>46231</v>
      </c>
      <c r="K34" s="15" t="s">
        <v>1898</v>
      </c>
      <c r="L34" s="14" t="n">
        <v>1</v>
      </c>
      <c r="M34" s="14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4" t="s">
        <v>2857</v>
      </c>
      <c r="B35" s="14" t="s">
        <v>232</v>
      </c>
      <c r="C35" s="14" t="s">
        <v>2717</v>
      </c>
      <c r="D35" s="15" t="s">
        <v>2858</v>
      </c>
      <c r="E35" s="14" t="s">
        <v>161</v>
      </c>
      <c r="F35" s="14" t="s">
        <v>161</v>
      </c>
      <c r="G35" s="15" t="s">
        <v>2641</v>
      </c>
      <c r="H35" s="14" t="s">
        <v>126</v>
      </c>
      <c r="I35" s="14" t="s">
        <v>141</v>
      </c>
      <c r="J35" s="16" t="n">
        <v>46231</v>
      </c>
      <c r="K35" s="15" t="s">
        <v>2859</v>
      </c>
      <c r="L35" s="14" t="n">
        <v>1</v>
      </c>
      <c r="M35" s="14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4" t="s">
        <v>2860</v>
      </c>
      <c r="B36" s="14" t="s">
        <v>2795</v>
      </c>
      <c r="C36" s="14" t="s">
        <v>1274</v>
      </c>
      <c r="D36" s="15" t="s">
        <v>2861</v>
      </c>
      <c r="E36" s="14" t="s">
        <v>161</v>
      </c>
      <c r="F36" s="14" t="s">
        <v>2701</v>
      </c>
      <c r="G36" s="15" t="s">
        <v>2847</v>
      </c>
      <c r="H36" s="14" t="s">
        <v>126</v>
      </c>
      <c r="I36" s="14" t="s">
        <v>141</v>
      </c>
      <c r="J36" s="16" t="n">
        <v>46231</v>
      </c>
      <c r="K36" s="15"/>
      <c r="L36" s="14" t="n">
        <v>1</v>
      </c>
      <c r="M36" s="14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4"/>
      <c r="B37" s="14"/>
      <c r="C37" s="14"/>
      <c r="D37" s="15"/>
      <c r="E37" s="14"/>
      <c r="F37" s="14"/>
      <c r="G37" s="15"/>
      <c r="H37" s="14"/>
      <c r="I37" s="14"/>
      <c r="J37" s="16"/>
      <c r="K37" s="15"/>
      <c r="L37" s="14"/>
      <c r="M37" s="14"/>
    </row>
    <row r="38" customFormat="false" ht="54" hidden="false" customHeight="true" outlineLevel="0" collapsed="false">
      <c r="A38" s="14"/>
      <c r="B38" s="14"/>
      <c r="C38" s="14"/>
      <c r="D38" s="15"/>
      <c r="E38" s="14"/>
      <c r="F38" s="14"/>
      <c r="G38" s="15"/>
      <c r="H38" s="14"/>
      <c r="I38" s="14"/>
      <c r="J38" s="16"/>
      <c r="K38" s="15"/>
      <c r="L38" s="14"/>
      <c r="M38" s="14"/>
    </row>
    <row r="39" customFormat="false" ht="54" hidden="false" customHeight="true" outlineLevel="0" collapsed="false">
      <c r="A39" s="14"/>
      <c r="B39" s="14"/>
      <c r="C39" s="14"/>
      <c r="D39" s="15"/>
      <c r="E39" s="14"/>
      <c r="F39" s="14"/>
      <c r="G39" s="15"/>
      <c r="H39" s="14"/>
      <c r="I39" s="14"/>
      <c r="J39" s="16"/>
      <c r="K39" s="15"/>
      <c r="L39" s="14"/>
      <c r="M39" s="14"/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2863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2864</v>
      </c>
      <c r="B9" s="14" t="s">
        <v>118</v>
      </c>
      <c r="C9" s="14" t="s">
        <v>1274</v>
      </c>
      <c r="D9" s="15" t="s">
        <v>2865</v>
      </c>
      <c r="E9" s="14" t="s">
        <v>161</v>
      </c>
      <c r="F9" s="14" t="s">
        <v>162</v>
      </c>
      <c r="G9" s="15" t="s">
        <v>2866</v>
      </c>
      <c r="H9" s="14" t="s">
        <v>126</v>
      </c>
      <c r="I9" s="14" t="s">
        <v>141</v>
      </c>
      <c r="J9" s="16" t="n">
        <v>46231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2867</v>
      </c>
      <c r="B10" s="14" t="s">
        <v>2488</v>
      </c>
      <c r="C10" s="14" t="s">
        <v>1274</v>
      </c>
      <c r="D10" s="15" t="s">
        <v>2868</v>
      </c>
      <c r="E10" s="14" t="s">
        <v>161</v>
      </c>
      <c r="F10" s="14" t="s">
        <v>181</v>
      </c>
      <c r="G10" s="15" t="s">
        <v>2869</v>
      </c>
      <c r="H10" s="14" t="s">
        <v>126</v>
      </c>
      <c r="I10" s="14" t="s">
        <v>141</v>
      </c>
      <c r="J10" s="16" t="n">
        <v>46231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2870</v>
      </c>
      <c r="B11" s="14" t="s">
        <v>1432</v>
      </c>
      <c r="C11" s="14" t="s">
        <v>1274</v>
      </c>
      <c r="D11" s="15" t="s">
        <v>2871</v>
      </c>
      <c r="E11" s="14" t="s">
        <v>161</v>
      </c>
      <c r="F11" s="14" t="s">
        <v>181</v>
      </c>
      <c r="G11" s="15" t="s">
        <v>2869</v>
      </c>
      <c r="H11" s="14" t="s">
        <v>126</v>
      </c>
      <c r="I11" s="14" t="s">
        <v>141</v>
      </c>
      <c r="J11" s="16" t="n">
        <v>46231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2872</v>
      </c>
      <c r="B12" s="14" t="s">
        <v>169</v>
      </c>
      <c r="C12" s="14" t="s">
        <v>2497</v>
      </c>
      <c r="D12" s="15" t="s">
        <v>2873</v>
      </c>
      <c r="E12" s="14" t="s">
        <v>161</v>
      </c>
      <c r="F12" s="14" t="s">
        <v>171</v>
      </c>
      <c r="G12" s="15" t="s">
        <v>2874</v>
      </c>
      <c r="H12" s="14" t="s">
        <v>126</v>
      </c>
      <c r="I12" s="14" t="s">
        <v>141</v>
      </c>
      <c r="J12" s="16" t="n">
        <v>46231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2875</v>
      </c>
      <c r="B13" s="14" t="s">
        <v>165</v>
      </c>
      <c r="C13" s="14" t="s">
        <v>1274</v>
      </c>
      <c r="D13" s="15" t="s">
        <v>2876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46231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2877</v>
      </c>
      <c r="B14" s="14" t="s">
        <v>1400</v>
      </c>
      <c r="C14" s="14" t="s">
        <v>1274</v>
      </c>
      <c r="D14" s="15" t="s">
        <v>2878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46231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2879</v>
      </c>
      <c r="B15" s="14" t="s">
        <v>1665</v>
      </c>
      <c r="C15" s="14" t="s">
        <v>830</v>
      </c>
      <c r="D15" s="15" t="s">
        <v>2880</v>
      </c>
      <c r="E15" s="14" t="s">
        <v>161</v>
      </c>
      <c r="F15" s="14" t="s">
        <v>181</v>
      </c>
      <c r="G15" s="15" t="s">
        <v>2881</v>
      </c>
      <c r="H15" s="14" t="s">
        <v>126</v>
      </c>
      <c r="I15" s="14" t="s">
        <v>141</v>
      </c>
      <c r="J15" s="16" t="n">
        <v>46231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2882</v>
      </c>
      <c r="B16" s="14" t="s">
        <v>1222</v>
      </c>
      <c r="C16" s="14" t="s">
        <v>830</v>
      </c>
      <c r="D16" s="15" t="s">
        <v>2883</v>
      </c>
      <c r="E16" s="14" t="s">
        <v>161</v>
      </c>
      <c r="F16" s="14" t="s">
        <v>186</v>
      </c>
      <c r="G16" s="15" t="s">
        <v>2884</v>
      </c>
      <c r="H16" s="14" t="s">
        <v>126</v>
      </c>
      <c r="I16" s="14" t="s">
        <v>141</v>
      </c>
      <c r="J16" s="16" t="n">
        <v>46231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2885</v>
      </c>
      <c r="B17" s="14" t="s">
        <v>2886</v>
      </c>
      <c r="C17" s="14" t="s">
        <v>921</v>
      </c>
      <c r="D17" s="15" t="s">
        <v>2887</v>
      </c>
      <c r="E17" s="14" t="s">
        <v>161</v>
      </c>
      <c r="F17" s="14" t="s">
        <v>186</v>
      </c>
      <c r="G17" s="15" t="s">
        <v>2888</v>
      </c>
      <c r="H17" s="14" t="s">
        <v>126</v>
      </c>
      <c r="I17" s="14" t="s">
        <v>141</v>
      </c>
      <c r="J17" s="16" t="n">
        <v>46231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2889</v>
      </c>
      <c r="B18" s="14" t="s">
        <v>2747</v>
      </c>
      <c r="C18" s="14" t="s">
        <v>921</v>
      </c>
      <c r="D18" s="15" t="s">
        <v>2890</v>
      </c>
      <c r="E18" s="14" t="s">
        <v>161</v>
      </c>
      <c r="F18" s="14" t="s">
        <v>186</v>
      </c>
      <c r="G18" s="15" t="s">
        <v>2888</v>
      </c>
      <c r="H18" s="14" t="s">
        <v>126</v>
      </c>
      <c r="I18" s="14" t="s">
        <v>141</v>
      </c>
      <c r="J18" s="16" t="n">
        <v>46231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2891</v>
      </c>
      <c r="B19" s="14" t="s">
        <v>2007</v>
      </c>
      <c r="C19" s="14" t="s">
        <v>921</v>
      </c>
      <c r="D19" s="15" t="s">
        <v>2892</v>
      </c>
      <c r="E19" s="14" t="s">
        <v>161</v>
      </c>
      <c r="F19" s="14" t="s">
        <v>186</v>
      </c>
      <c r="G19" s="15" t="s">
        <v>2884</v>
      </c>
      <c r="H19" s="14" t="s">
        <v>126</v>
      </c>
      <c r="I19" s="14" t="s">
        <v>141</v>
      </c>
      <c r="J19" s="16" t="n">
        <v>46231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2893</v>
      </c>
      <c r="B20" s="14" t="s">
        <v>2894</v>
      </c>
      <c r="C20" s="14" t="s">
        <v>2895</v>
      </c>
      <c r="D20" s="15" t="s">
        <v>2896</v>
      </c>
      <c r="E20" s="14" t="s">
        <v>161</v>
      </c>
      <c r="F20" s="14" t="s">
        <v>186</v>
      </c>
      <c r="G20" s="15" t="s">
        <v>2884</v>
      </c>
      <c r="H20" s="14" t="s">
        <v>126</v>
      </c>
      <c r="I20" s="14" t="s">
        <v>141</v>
      </c>
      <c r="J20" s="16" t="n">
        <v>46231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2897</v>
      </c>
      <c r="B21" s="14" t="s">
        <v>1678</v>
      </c>
      <c r="C21" s="14" t="s">
        <v>2898</v>
      </c>
      <c r="D21" s="15" t="s">
        <v>2899</v>
      </c>
      <c r="E21" s="14" t="s">
        <v>161</v>
      </c>
      <c r="F21" s="14" t="s">
        <v>186</v>
      </c>
      <c r="G21" s="15" t="s">
        <v>2884</v>
      </c>
      <c r="H21" s="14" t="s">
        <v>126</v>
      </c>
      <c r="I21" s="14" t="s">
        <v>141</v>
      </c>
      <c r="J21" s="16" t="n">
        <v>46231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2900</v>
      </c>
      <c r="B22" s="14" t="s">
        <v>200</v>
      </c>
      <c r="C22" s="14" t="s">
        <v>2901</v>
      </c>
      <c r="D22" s="15" t="s">
        <v>2902</v>
      </c>
      <c r="E22" s="14" t="s">
        <v>161</v>
      </c>
      <c r="F22" s="14" t="s">
        <v>186</v>
      </c>
      <c r="G22" s="15" t="s">
        <v>2884</v>
      </c>
      <c r="H22" s="14" t="s">
        <v>126</v>
      </c>
      <c r="I22" s="14" t="s">
        <v>141</v>
      </c>
      <c r="J22" s="16" t="n">
        <v>46231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2903</v>
      </c>
      <c r="B23" s="14" t="s">
        <v>2620</v>
      </c>
      <c r="C23" s="14" t="s">
        <v>1274</v>
      </c>
      <c r="D23" s="15" t="s">
        <v>2904</v>
      </c>
      <c r="E23" s="14" t="s">
        <v>161</v>
      </c>
      <c r="F23" s="14" t="s">
        <v>196</v>
      </c>
      <c r="G23" s="15" t="s">
        <v>2905</v>
      </c>
      <c r="H23" s="14" t="s">
        <v>124</v>
      </c>
      <c r="I23" s="14" t="s">
        <v>140</v>
      </c>
      <c r="J23" s="16" t="n">
        <v>46231</v>
      </c>
      <c r="K23" s="15" t="s">
        <v>2687</v>
      </c>
      <c r="L23" s="14" t="n">
        <v>1</v>
      </c>
      <c r="M23" s="14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4" t="s">
        <v>2906</v>
      </c>
      <c r="B24" s="14" t="s">
        <v>94</v>
      </c>
      <c r="C24" s="14" t="s">
        <v>1274</v>
      </c>
      <c r="D24" s="15" t="s">
        <v>2907</v>
      </c>
      <c r="E24" s="14" t="s">
        <v>161</v>
      </c>
      <c r="F24" s="14" t="s">
        <v>196</v>
      </c>
      <c r="G24" s="15" t="s">
        <v>2905</v>
      </c>
      <c r="H24" s="14" t="s">
        <v>124</v>
      </c>
      <c r="I24" s="14" t="s">
        <v>140</v>
      </c>
      <c r="J24" s="16" t="n">
        <v>46231</v>
      </c>
      <c r="K24" s="15" t="s">
        <v>2687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4" t="s">
        <v>2908</v>
      </c>
      <c r="B25" s="14" t="s">
        <v>194</v>
      </c>
      <c r="C25" s="14" t="s">
        <v>1274</v>
      </c>
      <c r="D25" s="15" t="s">
        <v>2909</v>
      </c>
      <c r="E25" s="14" t="s">
        <v>161</v>
      </c>
      <c r="F25" s="14" t="s">
        <v>196</v>
      </c>
      <c r="G25" s="15" t="s">
        <v>2905</v>
      </c>
      <c r="H25" s="14" t="s">
        <v>124</v>
      </c>
      <c r="I25" s="14" t="s">
        <v>140</v>
      </c>
      <c r="J25" s="16" t="n">
        <v>46231</v>
      </c>
      <c r="K25" s="15" t="s">
        <v>2771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4" t="s">
        <v>2910</v>
      </c>
      <c r="B26" s="14" t="s">
        <v>1620</v>
      </c>
      <c r="C26" s="14" t="s">
        <v>1274</v>
      </c>
      <c r="D26" s="15" t="s">
        <v>2911</v>
      </c>
      <c r="E26" s="14" t="s">
        <v>161</v>
      </c>
      <c r="F26" s="14" t="s">
        <v>181</v>
      </c>
      <c r="G26" s="15" t="s">
        <v>2912</v>
      </c>
      <c r="H26" s="14" t="s">
        <v>126</v>
      </c>
      <c r="I26" s="14" t="s">
        <v>141</v>
      </c>
      <c r="J26" s="16" t="n">
        <v>46231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2913</v>
      </c>
      <c r="B27" s="14" t="s">
        <v>189</v>
      </c>
      <c r="C27" s="14" t="s">
        <v>1274</v>
      </c>
      <c r="D27" s="15" t="s">
        <v>2914</v>
      </c>
      <c r="E27" s="14" t="s">
        <v>161</v>
      </c>
      <c r="F27" s="14" t="s">
        <v>191</v>
      </c>
      <c r="G27" s="15" t="s">
        <v>2884</v>
      </c>
      <c r="H27" s="14" t="s">
        <v>126</v>
      </c>
      <c r="I27" s="14" t="s">
        <v>141</v>
      </c>
      <c r="J27" s="16" t="n">
        <v>46231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2915</v>
      </c>
      <c r="B28" s="14" t="s">
        <v>649</v>
      </c>
      <c r="C28" s="14" t="s">
        <v>1274</v>
      </c>
      <c r="D28" s="15" t="s">
        <v>2916</v>
      </c>
      <c r="E28" s="14" t="s">
        <v>161</v>
      </c>
      <c r="F28" s="14" t="s">
        <v>651</v>
      </c>
      <c r="G28" s="15" t="s">
        <v>2917</v>
      </c>
      <c r="H28" s="14" t="s">
        <v>126</v>
      </c>
      <c r="I28" s="14" t="s">
        <v>141</v>
      </c>
      <c r="J28" s="16" t="n">
        <v>46231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2918</v>
      </c>
      <c r="B29" s="14" t="s">
        <v>2475</v>
      </c>
      <c r="C29" s="14" t="s">
        <v>2699</v>
      </c>
      <c r="D29" s="15" t="s">
        <v>2919</v>
      </c>
      <c r="E29" s="14" t="s">
        <v>161</v>
      </c>
      <c r="F29" s="14" t="s">
        <v>2701</v>
      </c>
      <c r="G29" s="15" t="s">
        <v>2920</v>
      </c>
      <c r="H29" s="14" t="s">
        <v>126</v>
      </c>
      <c r="I29" s="14" t="s">
        <v>141</v>
      </c>
      <c r="J29" s="16" t="n">
        <v>46231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2921</v>
      </c>
      <c r="B30" s="14" t="s">
        <v>223</v>
      </c>
      <c r="C30" s="14" t="s">
        <v>2704</v>
      </c>
      <c r="D30" s="15" t="s">
        <v>2922</v>
      </c>
      <c r="E30" s="14" t="s">
        <v>161</v>
      </c>
      <c r="F30" s="14" t="s">
        <v>2701</v>
      </c>
      <c r="G30" s="15" t="s">
        <v>2923</v>
      </c>
      <c r="H30" s="14" t="s">
        <v>126</v>
      </c>
      <c r="I30" s="14" t="s">
        <v>141</v>
      </c>
      <c r="J30" s="16" t="n">
        <v>46231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2924</v>
      </c>
      <c r="B31" s="14" t="s">
        <v>227</v>
      </c>
      <c r="C31" s="14" t="s">
        <v>1274</v>
      </c>
      <c r="D31" s="15" t="s">
        <v>2925</v>
      </c>
      <c r="E31" s="14" t="s">
        <v>229</v>
      </c>
      <c r="F31" s="14" t="s">
        <v>229</v>
      </c>
      <c r="G31" s="15" t="s">
        <v>230</v>
      </c>
      <c r="H31" s="14" t="s">
        <v>126</v>
      </c>
      <c r="I31" s="14" t="s">
        <v>141</v>
      </c>
      <c r="J31" s="16" t="n">
        <v>46231</v>
      </c>
      <c r="K31" s="15"/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2926</v>
      </c>
      <c r="B32" s="14" t="s">
        <v>214</v>
      </c>
      <c r="C32" s="14" t="s">
        <v>1274</v>
      </c>
      <c r="D32" s="15" t="s">
        <v>2927</v>
      </c>
      <c r="E32" s="14" t="s">
        <v>161</v>
      </c>
      <c r="F32" s="14" t="s">
        <v>202</v>
      </c>
      <c r="G32" s="15" t="s">
        <v>2928</v>
      </c>
      <c r="H32" s="14" t="s">
        <v>120</v>
      </c>
      <c r="I32" s="14" t="s">
        <v>140</v>
      </c>
      <c r="J32" s="16" t="n">
        <v>46231</v>
      </c>
      <c r="K32" s="15" t="s">
        <v>1898</v>
      </c>
      <c r="L32" s="14" t="n">
        <v>1</v>
      </c>
      <c r="M32" s="14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4" t="s">
        <v>2929</v>
      </c>
      <c r="B33" s="14" t="s">
        <v>232</v>
      </c>
      <c r="C33" s="14" t="s">
        <v>2717</v>
      </c>
      <c r="D33" s="15" t="s">
        <v>2640</v>
      </c>
      <c r="E33" s="14" t="s">
        <v>161</v>
      </c>
      <c r="F33" s="14" t="s">
        <v>161</v>
      </c>
      <c r="G33" s="15" t="s">
        <v>2641</v>
      </c>
      <c r="H33" s="14" t="s">
        <v>126</v>
      </c>
      <c r="I33" s="14" t="s">
        <v>141</v>
      </c>
      <c r="J33" s="16" t="n">
        <v>46231</v>
      </c>
      <c r="K33" s="15"/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2930</v>
      </c>
      <c r="B34" s="14" t="s">
        <v>2795</v>
      </c>
      <c r="C34" s="14" t="s">
        <v>1274</v>
      </c>
      <c r="D34" s="15" t="s">
        <v>2931</v>
      </c>
      <c r="E34" s="14" t="s">
        <v>161</v>
      </c>
      <c r="F34" s="14" t="s">
        <v>2701</v>
      </c>
      <c r="G34" s="15" t="s">
        <v>2920</v>
      </c>
      <c r="H34" s="14" t="s">
        <v>126</v>
      </c>
      <c r="I34" s="14" t="s">
        <v>141</v>
      </c>
      <c r="J34" s="16" t="n">
        <v>46231</v>
      </c>
      <c r="K34" s="15"/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/>
      <c r="B35" s="14"/>
      <c r="C35" s="14"/>
      <c r="D35" s="15"/>
      <c r="E35" s="14"/>
      <c r="F35" s="14"/>
      <c r="G35" s="15"/>
      <c r="H35" s="14"/>
      <c r="I35" s="14"/>
      <c r="J35" s="16"/>
      <c r="K35" s="15"/>
      <c r="L35" s="14"/>
      <c r="M35" s="14"/>
    </row>
    <row r="36" customFormat="false" ht="54" hidden="false" customHeight="true" outlineLevel="0" collapsed="false">
      <c r="A36" s="14"/>
      <c r="B36" s="14"/>
      <c r="C36" s="14"/>
      <c r="D36" s="15"/>
      <c r="E36" s="14"/>
      <c r="F36" s="14"/>
      <c r="G36" s="15"/>
      <c r="H36" s="14"/>
      <c r="I36" s="14"/>
      <c r="J36" s="16"/>
      <c r="K36" s="15"/>
      <c r="L36" s="14"/>
      <c r="M36" s="14"/>
    </row>
    <row r="37" customFormat="false" ht="54" hidden="false" customHeight="true" outlineLevel="0" collapsed="false">
      <c r="A37" s="14"/>
      <c r="B37" s="14"/>
      <c r="C37" s="14"/>
      <c r="D37" s="15"/>
      <c r="E37" s="14"/>
      <c r="F37" s="14"/>
      <c r="G37" s="15"/>
      <c r="H37" s="14"/>
      <c r="I37" s="14"/>
      <c r="J37" s="16"/>
      <c r="K37" s="15"/>
      <c r="L37" s="14"/>
      <c r="M37" s="14"/>
    </row>
    <row r="38" customFormat="false" ht="54" hidden="false" customHeight="true" outlineLevel="0" collapsed="false">
      <c r="A38" s="14"/>
      <c r="B38" s="14"/>
      <c r="C38" s="14"/>
      <c r="D38" s="15"/>
      <c r="E38" s="14"/>
      <c r="F38" s="14"/>
      <c r="G38" s="15"/>
      <c r="H38" s="14"/>
      <c r="I38" s="14"/>
      <c r="J38" s="16"/>
      <c r="K38" s="15"/>
      <c r="L38" s="14"/>
      <c r="M38" s="14"/>
    </row>
    <row r="39" customFormat="false" ht="54" hidden="false" customHeight="true" outlineLevel="0" collapsed="false">
      <c r="A39" s="14"/>
      <c r="B39" s="14"/>
      <c r="C39" s="14"/>
      <c r="D39" s="15"/>
      <c r="E39" s="14"/>
      <c r="F39" s="14"/>
      <c r="G39" s="15"/>
      <c r="H39" s="14"/>
      <c r="I39" s="14"/>
      <c r="J39" s="16"/>
      <c r="K39" s="15"/>
      <c r="L39" s="14"/>
      <c r="M39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2934</v>
      </c>
      <c r="B9" s="14" t="s">
        <v>2935</v>
      </c>
      <c r="C9" s="14" t="s">
        <v>921</v>
      </c>
      <c r="D9" s="15" t="s">
        <v>2936</v>
      </c>
      <c r="E9" s="14" t="s">
        <v>161</v>
      </c>
      <c r="F9" s="14" t="s">
        <v>162</v>
      </c>
      <c r="G9" s="15" t="s">
        <v>2937</v>
      </c>
      <c r="H9" s="14" t="s">
        <v>126</v>
      </c>
      <c r="I9" s="14" t="s">
        <v>141</v>
      </c>
      <c r="J9" s="16" t="n">
        <v>46232</v>
      </c>
      <c r="K9" s="15" t="s">
        <v>2938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2939</v>
      </c>
      <c r="B10" s="14" t="s">
        <v>2488</v>
      </c>
      <c r="C10" s="14" t="s">
        <v>921</v>
      </c>
      <c r="D10" s="15" t="s">
        <v>2940</v>
      </c>
      <c r="E10" s="14" t="s">
        <v>161</v>
      </c>
      <c r="F10" s="14" t="s">
        <v>181</v>
      </c>
      <c r="G10" s="15" t="s">
        <v>2941</v>
      </c>
      <c r="H10" s="14" t="s">
        <v>126</v>
      </c>
      <c r="I10" s="14" t="s">
        <v>141</v>
      </c>
      <c r="J10" s="16" t="n">
        <v>46232</v>
      </c>
      <c r="K10" s="15" t="s">
        <v>2942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2943</v>
      </c>
      <c r="B11" s="14" t="s">
        <v>1432</v>
      </c>
      <c r="C11" s="14" t="s">
        <v>921</v>
      </c>
      <c r="D11" s="15" t="s">
        <v>2944</v>
      </c>
      <c r="E11" s="14" t="s">
        <v>161</v>
      </c>
      <c r="F11" s="14" t="s">
        <v>181</v>
      </c>
      <c r="G11" s="15" t="s">
        <v>2945</v>
      </c>
      <c r="H11" s="14" t="s">
        <v>126</v>
      </c>
      <c r="I11" s="14" t="s">
        <v>141</v>
      </c>
      <c r="J11" s="16" t="n">
        <v>46232</v>
      </c>
      <c r="K11" s="15" t="s">
        <v>2946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2947</v>
      </c>
      <c r="B12" s="14" t="s">
        <v>2948</v>
      </c>
      <c r="C12" s="14" t="s">
        <v>830</v>
      </c>
      <c r="D12" s="15" t="s">
        <v>2949</v>
      </c>
      <c r="E12" s="14" t="s">
        <v>186</v>
      </c>
      <c r="F12" s="14" t="s">
        <v>186</v>
      </c>
      <c r="G12" s="15" t="s">
        <v>2950</v>
      </c>
      <c r="H12" s="14" t="s">
        <v>126</v>
      </c>
      <c r="I12" s="14" t="s">
        <v>141</v>
      </c>
      <c r="J12" s="16" t="n">
        <v>46232</v>
      </c>
      <c r="K12" s="15" t="s">
        <v>2951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2952</v>
      </c>
      <c r="B13" s="14" t="s">
        <v>2953</v>
      </c>
      <c r="C13" s="14" t="s">
        <v>933</v>
      </c>
      <c r="D13" s="15" t="s">
        <v>2954</v>
      </c>
      <c r="E13" s="14" t="s">
        <v>186</v>
      </c>
      <c r="F13" s="14" t="s">
        <v>186</v>
      </c>
      <c r="G13" s="15" t="s">
        <v>2950</v>
      </c>
      <c r="H13" s="14" t="s">
        <v>126</v>
      </c>
      <c r="I13" s="14" t="s">
        <v>141</v>
      </c>
      <c r="J13" s="16" t="n">
        <v>46232</v>
      </c>
      <c r="K13" s="15" t="s">
        <v>2955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2956</v>
      </c>
      <c r="B14" s="14" t="s">
        <v>2957</v>
      </c>
      <c r="C14" s="14" t="s">
        <v>921</v>
      </c>
      <c r="D14" s="15" t="s">
        <v>2958</v>
      </c>
      <c r="E14" s="14" t="s">
        <v>186</v>
      </c>
      <c r="F14" s="14" t="s">
        <v>186</v>
      </c>
      <c r="G14" s="15" t="s">
        <v>2959</v>
      </c>
      <c r="H14" s="14" t="s">
        <v>126</v>
      </c>
      <c r="I14" s="14" t="s">
        <v>141</v>
      </c>
      <c r="J14" s="16" t="n">
        <v>46232</v>
      </c>
      <c r="K14" s="15" t="s">
        <v>2960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2961</v>
      </c>
      <c r="B15" s="14" t="s">
        <v>1672</v>
      </c>
      <c r="C15" s="14" t="s">
        <v>921</v>
      </c>
      <c r="D15" s="15" t="s">
        <v>2962</v>
      </c>
      <c r="E15" s="14" t="s">
        <v>186</v>
      </c>
      <c r="F15" s="14" t="s">
        <v>186</v>
      </c>
      <c r="G15" s="15" t="s">
        <v>2950</v>
      </c>
      <c r="H15" s="14" t="s">
        <v>126</v>
      </c>
      <c r="I15" s="14" t="s">
        <v>141</v>
      </c>
      <c r="J15" s="16" t="n">
        <v>46232</v>
      </c>
      <c r="K15" s="15" t="s">
        <v>2963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2964</v>
      </c>
      <c r="B16" s="14" t="s">
        <v>2965</v>
      </c>
      <c r="C16" s="14" t="s">
        <v>921</v>
      </c>
      <c r="D16" s="15" t="s">
        <v>2966</v>
      </c>
      <c r="E16" s="14" t="s">
        <v>186</v>
      </c>
      <c r="F16" s="14" t="s">
        <v>186</v>
      </c>
      <c r="G16" s="15" t="s">
        <v>2950</v>
      </c>
      <c r="H16" s="14" t="s">
        <v>126</v>
      </c>
      <c r="I16" s="14" t="s">
        <v>141</v>
      </c>
      <c r="J16" s="16" t="n">
        <v>46232</v>
      </c>
      <c r="K16" s="15" t="s">
        <v>2967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2968</v>
      </c>
      <c r="B17" s="14" t="s">
        <v>2969</v>
      </c>
      <c r="C17" s="14" t="s">
        <v>933</v>
      </c>
      <c r="D17" s="15" t="s">
        <v>2970</v>
      </c>
      <c r="E17" s="14" t="s">
        <v>186</v>
      </c>
      <c r="F17" s="14" t="s">
        <v>186</v>
      </c>
      <c r="G17" s="15" t="s">
        <v>2950</v>
      </c>
      <c r="H17" s="14" t="s">
        <v>126</v>
      </c>
      <c r="I17" s="14" t="s">
        <v>141</v>
      </c>
      <c r="J17" s="16" t="n">
        <v>46232</v>
      </c>
      <c r="K17" s="15" t="s">
        <v>2971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2972</v>
      </c>
      <c r="B18" s="14" t="s">
        <v>2973</v>
      </c>
      <c r="C18" s="14" t="s">
        <v>830</v>
      </c>
      <c r="D18" s="15" t="s">
        <v>2974</v>
      </c>
      <c r="E18" s="14" t="s">
        <v>186</v>
      </c>
      <c r="F18" s="14" t="s">
        <v>186</v>
      </c>
      <c r="G18" s="15" t="s">
        <v>2950</v>
      </c>
      <c r="H18" s="14" t="s">
        <v>126</v>
      </c>
      <c r="I18" s="14" t="s">
        <v>141</v>
      </c>
      <c r="J18" s="16" t="n">
        <v>46232</v>
      </c>
      <c r="K18" s="15" t="s">
        <v>2975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2976</v>
      </c>
      <c r="B19" s="14" t="s">
        <v>165</v>
      </c>
      <c r="C19" s="14" t="s">
        <v>74</v>
      </c>
      <c r="D19" s="15" t="s">
        <v>2977</v>
      </c>
      <c r="E19" s="14" t="s">
        <v>161</v>
      </c>
      <c r="F19" s="14" t="s">
        <v>161</v>
      </c>
      <c r="G19" s="15" t="s">
        <v>2978</v>
      </c>
      <c r="H19" s="14" t="s">
        <v>126</v>
      </c>
      <c r="I19" s="14" t="s">
        <v>141</v>
      </c>
      <c r="J19" s="16" t="n">
        <v>46232</v>
      </c>
      <c r="K19" s="15" t="s">
        <v>2979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2980</v>
      </c>
      <c r="B20" s="14" t="s">
        <v>169</v>
      </c>
      <c r="C20" s="14" t="s">
        <v>2497</v>
      </c>
      <c r="D20" s="15" t="s">
        <v>2981</v>
      </c>
      <c r="E20" s="14" t="s">
        <v>161</v>
      </c>
      <c r="F20" s="14" t="s">
        <v>171</v>
      </c>
      <c r="G20" s="15" t="s">
        <v>2982</v>
      </c>
      <c r="H20" s="14" t="s">
        <v>126</v>
      </c>
      <c r="I20" s="14" t="s">
        <v>141</v>
      </c>
      <c r="J20" s="16" t="n">
        <v>46232</v>
      </c>
      <c r="K20" s="15" t="s">
        <v>2983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2984</v>
      </c>
      <c r="B21" s="14" t="s">
        <v>1400</v>
      </c>
      <c r="C21" s="14" t="s">
        <v>921</v>
      </c>
      <c r="D21" s="15" t="s">
        <v>2985</v>
      </c>
      <c r="E21" s="14" t="s">
        <v>161</v>
      </c>
      <c r="F21" s="14" t="s">
        <v>161</v>
      </c>
      <c r="G21" s="15" t="s">
        <v>1402</v>
      </c>
      <c r="H21" s="14" t="s">
        <v>126</v>
      </c>
      <c r="I21" s="14" t="s">
        <v>141</v>
      </c>
      <c r="J21" s="16" t="n">
        <v>46232</v>
      </c>
      <c r="K21" s="15" t="s">
        <v>2986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2987</v>
      </c>
      <c r="B22" s="14" t="s">
        <v>174</v>
      </c>
      <c r="C22" s="14" t="s">
        <v>921</v>
      </c>
      <c r="D22" s="15" t="s">
        <v>2988</v>
      </c>
      <c r="E22" s="14" t="s">
        <v>161</v>
      </c>
      <c r="F22" s="14" t="s">
        <v>176</v>
      </c>
      <c r="G22" s="15" t="s">
        <v>2989</v>
      </c>
      <c r="H22" s="14" t="s">
        <v>126</v>
      </c>
      <c r="I22" s="14" t="s">
        <v>141</v>
      </c>
      <c r="J22" s="16" t="n">
        <v>46232</v>
      </c>
      <c r="K22" s="15" t="s">
        <v>2990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2991</v>
      </c>
      <c r="B23" s="14" t="s">
        <v>1782</v>
      </c>
      <c r="C23" s="14" t="s">
        <v>921</v>
      </c>
      <c r="D23" s="15" t="s">
        <v>2992</v>
      </c>
      <c r="E23" s="14" t="s">
        <v>186</v>
      </c>
      <c r="F23" s="14" t="s">
        <v>196</v>
      </c>
      <c r="G23" s="15" t="s">
        <v>2993</v>
      </c>
      <c r="H23" s="14" t="s">
        <v>126</v>
      </c>
      <c r="I23" s="14" t="s">
        <v>141</v>
      </c>
      <c r="J23" s="16" t="n">
        <v>46232</v>
      </c>
      <c r="K23" s="15" t="s">
        <v>2994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2995</v>
      </c>
      <c r="B24" s="14" t="s">
        <v>2996</v>
      </c>
      <c r="C24" s="14" t="s">
        <v>921</v>
      </c>
      <c r="D24" s="15" t="s">
        <v>2997</v>
      </c>
      <c r="E24" s="14" t="s">
        <v>186</v>
      </c>
      <c r="F24" s="14" t="s">
        <v>196</v>
      </c>
      <c r="G24" s="15" t="s">
        <v>2993</v>
      </c>
      <c r="H24" s="14" t="s">
        <v>126</v>
      </c>
      <c r="I24" s="14" t="s">
        <v>141</v>
      </c>
      <c r="J24" s="16" t="n">
        <v>46232</v>
      </c>
      <c r="K24" s="15" t="s">
        <v>2998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2999</v>
      </c>
      <c r="B25" s="14" t="s">
        <v>3000</v>
      </c>
      <c r="C25" s="14" t="s">
        <v>3001</v>
      </c>
      <c r="D25" s="15" t="s">
        <v>3002</v>
      </c>
      <c r="E25" s="14" t="s">
        <v>186</v>
      </c>
      <c r="F25" s="14" t="s">
        <v>196</v>
      </c>
      <c r="G25" s="15" t="s">
        <v>2993</v>
      </c>
      <c r="H25" s="14" t="s">
        <v>126</v>
      </c>
      <c r="I25" s="14" t="s">
        <v>141</v>
      </c>
      <c r="J25" s="16" t="n">
        <v>46232</v>
      </c>
      <c r="K25" s="15" t="s">
        <v>3003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3004</v>
      </c>
      <c r="B26" s="14" t="s">
        <v>3005</v>
      </c>
      <c r="C26" s="14" t="s">
        <v>921</v>
      </c>
      <c r="D26" s="15" t="s">
        <v>3006</v>
      </c>
      <c r="E26" s="14" t="s">
        <v>161</v>
      </c>
      <c r="F26" s="14" t="s">
        <v>181</v>
      </c>
      <c r="G26" s="15" t="s">
        <v>2945</v>
      </c>
      <c r="H26" s="14" t="s">
        <v>126</v>
      </c>
      <c r="I26" s="14" t="s">
        <v>141</v>
      </c>
      <c r="J26" s="16" t="n">
        <v>46232</v>
      </c>
      <c r="K26" s="15" t="s">
        <v>3007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3008</v>
      </c>
      <c r="B27" s="14" t="s">
        <v>3009</v>
      </c>
      <c r="C27" s="14" t="s">
        <v>3010</v>
      </c>
      <c r="D27" s="15" t="s">
        <v>3011</v>
      </c>
      <c r="E27" s="14" t="s">
        <v>186</v>
      </c>
      <c r="F27" s="14" t="s">
        <v>186</v>
      </c>
      <c r="G27" s="15" t="s">
        <v>3012</v>
      </c>
      <c r="H27" s="14" t="s">
        <v>126</v>
      </c>
      <c r="I27" s="14" t="s">
        <v>141</v>
      </c>
      <c r="J27" s="16" t="n">
        <v>46232</v>
      </c>
      <c r="K27" s="15" t="s">
        <v>3013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3014</v>
      </c>
      <c r="B28" s="14" t="s">
        <v>200</v>
      </c>
      <c r="C28" s="14" t="s">
        <v>921</v>
      </c>
      <c r="D28" s="15" t="s">
        <v>3015</v>
      </c>
      <c r="E28" s="14" t="s">
        <v>186</v>
      </c>
      <c r="F28" s="14" t="s">
        <v>186</v>
      </c>
      <c r="G28" s="15" t="s">
        <v>2993</v>
      </c>
      <c r="H28" s="14" t="s">
        <v>126</v>
      </c>
      <c r="I28" s="14" t="s">
        <v>141</v>
      </c>
      <c r="J28" s="16" t="n">
        <v>46232</v>
      </c>
      <c r="K28" s="15" t="s">
        <v>3016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3017</v>
      </c>
      <c r="B29" s="14" t="s">
        <v>2620</v>
      </c>
      <c r="C29" s="14" t="s">
        <v>921</v>
      </c>
      <c r="D29" s="15" t="s">
        <v>3018</v>
      </c>
      <c r="E29" s="14" t="s">
        <v>186</v>
      </c>
      <c r="F29" s="14" t="s">
        <v>186</v>
      </c>
      <c r="G29" s="15" t="s">
        <v>2993</v>
      </c>
      <c r="H29" s="14" t="s">
        <v>126</v>
      </c>
      <c r="I29" s="14" t="s">
        <v>141</v>
      </c>
      <c r="J29" s="16" t="n">
        <v>46232</v>
      </c>
      <c r="K29" s="15" t="s">
        <v>3019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3020</v>
      </c>
      <c r="B30" s="14" t="s">
        <v>3021</v>
      </c>
      <c r="C30" s="14" t="s">
        <v>921</v>
      </c>
      <c r="D30" s="15" t="s">
        <v>3022</v>
      </c>
      <c r="E30" s="14" t="s">
        <v>186</v>
      </c>
      <c r="F30" s="14" t="s">
        <v>196</v>
      </c>
      <c r="G30" s="15" t="s">
        <v>2993</v>
      </c>
      <c r="H30" s="14" t="s">
        <v>126</v>
      </c>
      <c r="I30" s="14" t="s">
        <v>141</v>
      </c>
      <c r="J30" s="16" t="n">
        <v>46232</v>
      </c>
      <c r="K30" s="15" t="s">
        <v>3023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3024</v>
      </c>
      <c r="B31" s="14" t="s">
        <v>1620</v>
      </c>
      <c r="C31" s="14" t="s">
        <v>921</v>
      </c>
      <c r="D31" s="15" t="s">
        <v>3025</v>
      </c>
      <c r="E31" s="14" t="s">
        <v>161</v>
      </c>
      <c r="F31" s="14" t="s">
        <v>181</v>
      </c>
      <c r="G31" s="15" t="s">
        <v>3026</v>
      </c>
      <c r="H31" s="14" t="s">
        <v>126</v>
      </c>
      <c r="I31" s="14" t="s">
        <v>141</v>
      </c>
      <c r="J31" s="16" t="n">
        <v>46232</v>
      </c>
      <c r="K31" s="15" t="s">
        <v>3027</v>
      </c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3028</v>
      </c>
      <c r="B32" s="14" t="s">
        <v>189</v>
      </c>
      <c r="C32" s="14" t="s">
        <v>921</v>
      </c>
      <c r="D32" s="15" t="s">
        <v>3029</v>
      </c>
      <c r="E32" s="14" t="s">
        <v>186</v>
      </c>
      <c r="F32" s="14" t="s">
        <v>191</v>
      </c>
      <c r="G32" s="15" t="s">
        <v>2950</v>
      </c>
      <c r="H32" s="14" t="s">
        <v>126</v>
      </c>
      <c r="I32" s="14" t="s">
        <v>141</v>
      </c>
      <c r="J32" s="16" t="n">
        <v>46232</v>
      </c>
      <c r="K32" s="15" t="s">
        <v>3030</v>
      </c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3031</v>
      </c>
      <c r="B33" s="14" t="s">
        <v>649</v>
      </c>
      <c r="C33" s="14" t="s">
        <v>921</v>
      </c>
      <c r="D33" s="15" t="s">
        <v>3032</v>
      </c>
      <c r="E33" s="14" t="s">
        <v>161</v>
      </c>
      <c r="F33" s="14" t="s">
        <v>651</v>
      </c>
      <c r="G33" s="15" t="s">
        <v>3033</v>
      </c>
      <c r="H33" s="14" t="s">
        <v>126</v>
      </c>
      <c r="I33" s="14" t="s">
        <v>141</v>
      </c>
      <c r="J33" s="16" t="n">
        <v>46232</v>
      </c>
      <c r="K33" s="15" t="s">
        <v>3034</v>
      </c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3035</v>
      </c>
      <c r="B34" s="14" t="s">
        <v>3036</v>
      </c>
      <c r="C34" s="14" t="s">
        <v>921</v>
      </c>
      <c r="D34" s="15" t="s">
        <v>3037</v>
      </c>
      <c r="E34" s="14" t="s">
        <v>186</v>
      </c>
      <c r="F34" s="14" t="s">
        <v>196</v>
      </c>
      <c r="G34" s="15" t="s">
        <v>3038</v>
      </c>
      <c r="H34" s="14" t="s">
        <v>128</v>
      </c>
      <c r="I34" s="14" t="s">
        <v>140</v>
      </c>
      <c r="J34" s="16" t="n">
        <v>46232</v>
      </c>
      <c r="K34" s="15" t="s">
        <v>3039</v>
      </c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 t="s">
        <v>3040</v>
      </c>
      <c r="B35" s="14" t="s">
        <v>2475</v>
      </c>
      <c r="C35" s="14" t="s">
        <v>3041</v>
      </c>
      <c r="D35" s="15" t="s">
        <v>3042</v>
      </c>
      <c r="E35" s="14" t="s">
        <v>161</v>
      </c>
      <c r="F35" s="14" t="s">
        <v>2701</v>
      </c>
      <c r="G35" s="15" t="s">
        <v>3043</v>
      </c>
      <c r="H35" s="14" t="s">
        <v>126</v>
      </c>
      <c r="I35" s="14" t="s">
        <v>141</v>
      </c>
      <c r="J35" s="16" t="n">
        <v>46232</v>
      </c>
      <c r="K35" s="15" t="s">
        <v>3044</v>
      </c>
      <c r="L35" s="14" t="n">
        <v>1</v>
      </c>
      <c r="M35" s="14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4" t="s">
        <v>3045</v>
      </c>
      <c r="B36" s="14" t="s">
        <v>227</v>
      </c>
      <c r="C36" s="14" t="s">
        <v>921</v>
      </c>
      <c r="D36" s="15" t="s">
        <v>3046</v>
      </c>
      <c r="E36" s="14" t="s">
        <v>229</v>
      </c>
      <c r="F36" s="14" t="s">
        <v>229</v>
      </c>
      <c r="G36" s="15" t="s">
        <v>230</v>
      </c>
      <c r="H36" s="14" t="s">
        <v>126</v>
      </c>
      <c r="I36" s="14" t="s">
        <v>141</v>
      </c>
      <c r="J36" s="16" t="n">
        <v>46232</v>
      </c>
      <c r="K36" s="15" t="s">
        <v>3047</v>
      </c>
      <c r="L36" s="14" t="n">
        <v>1</v>
      </c>
      <c r="M36" s="14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4" t="s">
        <v>3048</v>
      </c>
      <c r="B37" s="14" t="s">
        <v>214</v>
      </c>
      <c r="C37" s="14" t="s">
        <v>921</v>
      </c>
      <c r="D37" s="15" t="s">
        <v>3049</v>
      </c>
      <c r="E37" s="14" t="s">
        <v>3050</v>
      </c>
      <c r="F37" s="14" t="s">
        <v>202</v>
      </c>
      <c r="G37" s="15" t="s">
        <v>3051</v>
      </c>
      <c r="H37" s="14" t="s">
        <v>120</v>
      </c>
      <c r="I37" s="14" t="s">
        <v>140</v>
      </c>
      <c r="J37" s="16"/>
      <c r="K37" s="15" t="s">
        <v>3052</v>
      </c>
      <c r="L37" s="14" t="n">
        <v>1</v>
      </c>
      <c r="M37" s="14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4" t="s">
        <v>3053</v>
      </c>
      <c r="B38" s="14" t="s">
        <v>232</v>
      </c>
      <c r="C38" s="14" t="s">
        <v>2717</v>
      </c>
      <c r="D38" s="15" t="s">
        <v>3054</v>
      </c>
      <c r="E38" s="14" t="s">
        <v>161</v>
      </c>
      <c r="F38" s="14" t="s">
        <v>161</v>
      </c>
      <c r="G38" s="15" t="s">
        <v>3055</v>
      </c>
      <c r="H38" s="14" t="s">
        <v>126</v>
      </c>
      <c r="I38" s="14" t="s">
        <v>141</v>
      </c>
      <c r="J38" s="16" t="n">
        <v>46232</v>
      </c>
      <c r="K38" s="15" t="s">
        <v>3056</v>
      </c>
      <c r="L38" s="14" t="n">
        <v>1</v>
      </c>
      <c r="M38" s="14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4" t="s">
        <v>3057</v>
      </c>
      <c r="B39" s="14" t="s">
        <v>2795</v>
      </c>
      <c r="C39" s="14" t="s">
        <v>921</v>
      </c>
      <c r="D39" s="15" t="s">
        <v>3058</v>
      </c>
      <c r="E39" s="14" t="s">
        <v>161</v>
      </c>
      <c r="F39" s="14" t="s">
        <v>2701</v>
      </c>
      <c r="G39" s="15" t="s">
        <v>3059</v>
      </c>
      <c r="H39" s="14" t="s">
        <v>126</v>
      </c>
      <c r="I39" s="14" t="s">
        <v>141</v>
      </c>
      <c r="J39" s="16" t="n">
        <v>46232</v>
      </c>
      <c r="K39" s="15" t="s">
        <v>3060</v>
      </c>
      <c r="L39" s="14" t="n">
        <v>1</v>
      </c>
      <c r="M39" s="14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144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3063</v>
      </c>
      <c r="B9" s="14" t="s">
        <v>118</v>
      </c>
      <c r="C9" s="14" t="s">
        <v>830</v>
      </c>
      <c r="D9" s="15" t="s">
        <v>3064</v>
      </c>
      <c r="E9" s="14" t="s">
        <v>161</v>
      </c>
      <c r="F9" s="14" t="s">
        <v>162</v>
      </c>
      <c r="G9" s="15" t="s">
        <v>3065</v>
      </c>
      <c r="H9" s="14" t="s">
        <v>126</v>
      </c>
      <c r="I9" s="14" t="s">
        <v>141</v>
      </c>
      <c r="J9" s="16" t="n">
        <v>46231</v>
      </c>
      <c r="K9" s="15" t="s">
        <v>3066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3067</v>
      </c>
      <c r="B10" s="14" t="s">
        <v>2488</v>
      </c>
      <c r="C10" s="14" t="s">
        <v>830</v>
      </c>
      <c r="D10" s="15" t="s">
        <v>3068</v>
      </c>
      <c r="E10" s="14" t="s">
        <v>161</v>
      </c>
      <c r="F10" s="14" t="s">
        <v>181</v>
      </c>
      <c r="G10" s="15" t="s">
        <v>3069</v>
      </c>
      <c r="H10" s="14" t="s">
        <v>126</v>
      </c>
      <c r="I10" s="14" t="s">
        <v>141</v>
      </c>
      <c r="J10" s="16" t="n">
        <v>46231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3070</v>
      </c>
      <c r="B11" s="14" t="s">
        <v>1432</v>
      </c>
      <c r="C11" s="14" t="s">
        <v>830</v>
      </c>
      <c r="D11" s="15" t="s">
        <v>3071</v>
      </c>
      <c r="E11" s="14" t="s">
        <v>161</v>
      </c>
      <c r="F11" s="14" t="s">
        <v>181</v>
      </c>
      <c r="G11" s="15" t="s">
        <v>3069</v>
      </c>
      <c r="H11" s="14" t="s">
        <v>126</v>
      </c>
      <c r="I11" s="14" t="s">
        <v>141</v>
      </c>
      <c r="J11" s="16" t="n">
        <v>46231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3072</v>
      </c>
      <c r="B12" s="14" t="s">
        <v>169</v>
      </c>
      <c r="C12" s="14" t="s">
        <v>2497</v>
      </c>
      <c r="D12" s="15" t="s">
        <v>3073</v>
      </c>
      <c r="E12" s="14" t="s">
        <v>161</v>
      </c>
      <c r="F12" s="14" t="s">
        <v>171</v>
      </c>
      <c r="G12" s="15" t="s">
        <v>3074</v>
      </c>
      <c r="H12" s="14" t="s">
        <v>126</v>
      </c>
      <c r="I12" s="14" t="s">
        <v>141</v>
      </c>
      <c r="J12" s="16" t="n">
        <v>46231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3075</v>
      </c>
      <c r="B13" s="14" t="s">
        <v>165</v>
      </c>
      <c r="C13" s="14" t="s">
        <v>830</v>
      </c>
      <c r="D13" s="15" t="s">
        <v>3076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46231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3077</v>
      </c>
      <c r="B14" s="14" t="s">
        <v>1400</v>
      </c>
      <c r="C14" s="14" t="s">
        <v>830</v>
      </c>
      <c r="D14" s="15" t="s">
        <v>3078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46231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3079</v>
      </c>
      <c r="B15" s="14" t="s">
        <v>1383</v>
      </c>
      <c r="C15" s="14" t="s">
        <v>830</v>
      </c>
      <c r="D15" s="15" t="s">
        <v>3080</v>
      </c>
      <c r="E15" s="14" t="s">
        <v>161</v>
      </c>
      <c r="F15" s="14" t="s">
        <v>186</v>
      </c>
      <c r="G15" s="15" t="s">
        <v>3081</v>
      </c>
      <c r="H15" s="14" t="s">
        <v>126</v>
      </c>
      <c r="I15" s="14" t="s">
        <v>141</v>
      </c>
      <c r="J15" s="16" t="n">
        <v>46231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3082</v>
      </c>
      <c r="B16" s="14" t="s">
        <v>1782</v>
      </c>
      <c r="C16" s="14" t="s">
        <v>830</v>
      </c>
      <c r="D16" s="15" t="s">
        <v>3083</v>
      </c>
      <c r="E16" s="14" t="s">
        <v>161</v>
      </c>
      <c r="F16" s="14" t="s">
        <v>186</v>
      </c>
      <c r="G16" s="15" t="s">
        <v>3084</v>
      </c>
      <c r="H16" s="14" t="s">
        <v>126</v>
      </c>
      <c r="I16" s="14" t="s">
        <v>141</v>
      </c>
      <c r="J16" s="16" t="n">
        <v>46231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3085</v>
      </c>
      <c r="B17" s="14" t="s">
        <v>3086</v>
      </c>
      <c r="C17" s="14" t="s">
        <v>830</v>
      </c>
      <c r="D17" s="15" t="s">
        <v>3087</v>
      </c>
      <c r="E17" s="14" t="s">
        <v>161</v>
      </c>
      <c r="F17" s="14" t="s">
        <v>186</v>
      </c>
      <c r="G17" s="15" t="s">
        <v>3084</v>
      </c>
      <c r="H17" s="14" t="s">
        <v>126</v>
      </c>
      <c r="I17" s="14" t="s">
        <v>141</v>
      </c>
      <c r="J17" s="16" t="n">
        <v>46231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3088</v>
      </c>
      <c r="B18" s="14" t="s">
        <v>3089</v>
      </c>
      <c r="C18" s="14" t="s">
        <v>830</v>
      </c>
      <c r="D18" s="15" t="s">
        <v>3090</v>
      </c>
      <c r="E18" s="14" t="s">
        <v>161</v>
      </c>
      <c r="F18" s="14" t="s">
        <v>186</v>
      </c>
      <c r="G18" s="15" t="s">
        <v>3084</v>
      </c>
      <c r="H18" s="14" t="s">
        <v>126</v>
      </c>
      <c r="I18" s="14" t="s">
        <v>141</v>
      </c>
      <c r="J18" s="16" t="n">
        <v>46231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3091</v>
      </c>
      <c r="B19" s="14" t="s">
        <v>1155</v>
      </c>
      <c r="C19" s="14" t="s">
        <v>3092</v>
      </c>
      <c r="D19" s="15" t="s">
        <v>3093</v>
      </c>
      <c r="E19" s="14" t="s">
        <v>161</v>
      </c>
      <c r="F19" s="14" t="s">
        <v>186</v>
      </c>
      <c r="G19" s="15" t="s">
        <v>3084</v>
      </c>
      <c r="H19" s="14" t="s">
        <v>126</v>
      </c>
      <c r="I19" s="14" t="s">
        <v>141</v>
      </c>
      <c r="J19" s="16" t="n">
        <v>46231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3094</v>
      </c>
      <c r="B20" s="14" t="s">
        <v>209</v>
      </c>
      <c r="C20" s="14" t="s">
        <v>830</v>
      </c>
      <c r="D20" s="15" t="s">
        <v>3095</v>
      </c>
      <c r="E20" s="14" t="s">
        <v>161</v>
      </c>
      <c r="F20" s="14" t="s">
        <v>181</v>
      </c>
      <c r="G20" s="15" t="s">
        <v>3069</v>
      </c>
      <c r="H20" s="14" t="s">
        <v>126</v>
      </c>
      <c r="I20" s="14" t="s">
        <v>141</v>
      </c>
      <c r="J20" s="16" t="n">
        <v>46231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3096</v>
      </c>
      <c r="B21" s="14" t="s">
        <v>689</v>
      </c>
      <c r="C21" s="14" t="s">
        <v>3097</v>
      </c>
      <c r="D21" s="15" t="s">
        <v>3098</v>
      </c>
      <c r="E21" s="14" t="s">
        <v>161</v>
      </c>
      <c r="F21" s="14" t="s">
        <v>186</v>
      </c>
      <c r="G21" s="15" t="s">
        <v>3084</v>
      </c>
      <c r="H21" s="14" t="s">
        <v>126</v>
      </c>
      <c r="I21" s="14" t="s">
        <v>141</v>
      </c>
      <c r="J21" s="16" t="n">
        <v>46231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3099</v>
      </c>
      <c r="B22" s="14" t="s">
        <v>189</v>
      </c>
      <c r="C22" s="14" t="s">
        <v>3097</v>
      </c>
      <c r="D22" s="15" t="s">
        <v>3100</v>
      </c>
      <c r="E22" s="14" t="s">
        <v>161</v>
      </c>
      <c r="F22" s="14" t="s">
        <v>191</v>
      </c>
      <c r="G22" s="15" t="s">
        <v>3084</v>
      </c>
      <c r="H22" s="14" t="s">
        <v>126</v>
      </c>
      <c r="I22" s="14" t="s">
        <v>141</v>
      </c>
      <c r="J22" s="16" t="n">
        <v>46231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3101</v>
      </c>
      <c r="B23" s="14" t="s">
        <v>200</v>
      </c>
      <c r="C23" s="14" t="s">
        <v>830</v>
      </c>
      <c r="D23" s="15" t="s">
        <v>3102</v>
      </c>
      <c r="E23" s="14" t="s">
        <v>161</v>
      </c>
      <c r="F23" s="14" t="s">
        <v>186</v>
      </c>
      <c r="G23" s="15" t="s">
        <v>3084</v>
      </c>
      <c r="H23" s="14" t="s">
        <v>126</v>
      </c>
      <c r="I23" s="14" t="s">
        <v>141</v>
      </c>
      <c r="J23" s="16" t="n">
        <v>46231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3103</v>
      </c>
      <c r="B24" s="14" t="s">
        <v>2620</v>
      </c>
      <c r="C24" s="14" t="s">
        <v>3097</v>
      </c>
      <c r="D24" s="15" t="s">
        <v>3104</v>
      </c>
      <c r="E24" s="14" t="s">
        <v>161</v>
      </c>
      <c r="F24" s="14" t="s">
        <v>196</v>
      </c>
      <c r="G24" s="15" t="s">
        <v>3105</v>
      </c>
      <c r="H24" s="14" t="s">
        <v>124</v>
      </c>
      <c r="I24" s="14" t="s">
        <v>140</v>
      </c>
      <c r="J24" s="16" t="n">
        <v>46231</v>
      </c>
      <c r="K24" s="15" t="s">
        <v>3106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4" t="s">
        <v>3107</v>
      </c>
      <c r="B25" s="14" t="s">
        <v>94</v>
      </c>
      <c r="C25" s="14" t="s">
        <v>830</v>
      </c>
      <c r="D25" s="15" t="s">
        <v>3108</v>
      </c>
      <c r="E25" s="14" t="s">
        <v>161</v>
      </c>
      <c r="F25" s="14" t="s">
        <v>196</v>
      </c>
      <c r="G25" s="15" t="s">
        <v>3105</v>
      </c>
      <c r="H25" s="14" t="s">
        <v>124</v>
      </c>
      <c r="I25" s="14" t="s">
        <v>140</v>
      </c>
      <c r="J25" s="16" t="n">
        <v>46231</v>
      </c>
      <c r="K25" s="15" t="s">
        <v>3109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4" t="s">
        <v>3110</v>
      </c>
      <c r="B26" s="14" t="s">
        <v>2569</v>
      </c>
      <c r="C26" s="14" t="s">
        <v>830</v>
      </c>
      <c r="D26" s="15" t="s">
        <v>3111</v>
      </c>
      <c r="E26" s="14" t="s">
        <v>161</v>
      </c>
      <c r="F26" s="14" t="s">
        <v>196</v>
      </c>
      <c r="G26" s="15" t="s">
        <v>3112</v>
      </c>
      <c r="H26" s="14" t="s">
        <v>124</v>
      </c>
      <c r="I26" s="14" t="s">
        <v>140</v>
      </c>
      <c r="J26" s="16" t="n">
        <v>46231</v>
      </c>
      <c r="K26" s="15" t="s">
        <v>3113</v>
      </c>
      <c r="L26" s="14" t="n">
        <v>1</v>
      </c>
      <c r="M26" s="14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4" t="s">
        <v>3114</v>
      </c>
      <c r="B27" s="14" t="s">
        <v>1620</v>
      </c>
      <c r="C27" s="14" t="s">
        <v>830</v>
      </c>
      <c r="D27" s="15" t="s">
        <v>3115</v>
      </c>
      <c r="E27" s="14" t="s">
        <v>161</v>
      </c>
      <c r="F27" s="14" t="s">
        <v>181</v>
      </c>
      <c r="G27" s="15" t="s">
        <v>3116</v>
      </c>
      <c r="H27" s="14" t="s">
        <v>126</v>
      </c>
      <c r="I27" s="14" t="s">
        <v>141</v>
      </c>
      <c r="J27" s="16" t="n">
        <v>46231</v>
      </c>
      <c r="K27" s="15"/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3117</v>
      </c>
      <c r="B28" s="14" t="s">
        <v>649</v>
      </c>
      <c r="C28" s="14" t="s">
        <v>830</v>
      </c>
      <c r="D28" s="15" t="s">
        <v>3118</v>
      </c>
      <c r="E28" s="14" t="s">
        <v>161</v>
      </c>
      <c r="F28" s="14" t="s">
        <v>651</v>
      </c>
      <c r="G28" s="15" t="s">
        <v>3119</v>
      </c>
      <c r="H28" s="14" t="s">
        <v>126</v>
      </c>
      <c r="I28" s="14" t="s">
        <v>141</v>
      </c>
      <c r="J28" s="16" t="n">
        <v>46231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3120</v>
      </c>
      <c r="B29" s="14" t="s">
        <v>2475</v>
      </c>
      <c r="C29" s="14" t="s">
        <v>2699</v>
      </c>
      <c r="D29" s="15" t="s">
        <v>3121</v>
      </c>
      <c r="E29" s="14" t="s">
        <v>161</v>
      </c>
      <c r="F29" s="14" t="s">
        <v>2701</v>
      </c>
      <c r="G29" s="15" t="s">
        <v>3122</v>
      </c>
      <c r="H29" s="14" t="s">
        <v>126</v>
      </c>
      <c r="I29" s="14" t="s">
        <v>141</v>
      </c>
      <c r="J29" s="16" t="n">
        <v>46231</v>
      </c>
      <c r="K29" s="15"/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3123</v>
      </c>
      <c r="B30" s="14" t="s">
        <v>223</v>
      </c>
      <c r="C30" s="14" t="s">
        <v>2704</v>
      </c>
      <c r="D30" s="15" t="s">
        <v>3124</v>
      </c>
      <c r="E30" s="14" t="s">
        <v>161</v>
      </c>
      <c r="F30" s="14" t="s">
        <v>2701</v>
      </c>
      <c r="G30" s="15" t="s">
        <v>3125</v>
      </c>
      <c r="H30" s="14" t="s">
        <v>126</v>
      </c>
      <c r="I30" s="14" t="s">
        <v>141</v>
      </c>
      <c r="J30" s="16" t="n">
        <v>46231</v>
      </c>
      <c r="K30" s="15"/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3126</v>
      </c>
      <c r="B31" s="14" t="s">
        <v>227</v>
      </c>
      <c r="C31" s="14" t="s">
        <v>830</v>
      </c>
      <c r="D31" s="15" t="s">
        <v>3127</v>
      </c>
      <c r="E31" s="14" t="s">
        <v>229</v>
      </c>
      <c r="F31" s="14" t="s">
        <v>229</v>
      </c>
      <c r="G31" s="15" t="s">
        <v>230</v>
      </c>
      <c r="H31" s="14" t="s">
        <v>126</v>
      </c>
      <c r="I31" s="14" t="s">
        <v>141</v>
      </c>
      <c r="J31" s="16" t="s">
        <v>3128</v>
      </c>
      <c r="K31" s="15" t="s">
        <v>3129</v>
      </c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3130</v>
      </c>
      <c r="B32" s="14" t="s">
        <v>194</v>
      </c>
      <c r="C32" s="14" t="s">
        <v>3097</v>
      </c>
      <c r="D32" s="15" t="s">
        <v>3131</v>
      </c>
      <c r="E32" s="14" t="s">
        <v>161</v>
      </c>
      <c r="F32" s="14" t="s">
        <v>196</v>
      </c>
      <c r="G32" s="15" t="s">
        <v>3105</v>
      </c>
      <c r="H32" s="14" t="s">
        <v>124</v>
      </c>
      <c r="I32" s="14" t="s">
        <v>140</v>
      </c>
      <c r="J32" s="16" t="n">
        <v>46231</v>
      </c>
      <c r="K32" s="15" t="s">
        <v>3132</v>
      </c>
      <c r="L32" s="14" t="n">
        <v>1</v>
      </c>
      <c r="M32" s="14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4" t="s">
        <v>3133</v>
      </c>
      <c r="B33" s="14" t="s">
        <v>214</v>
      </c>
      <c r="C33" s="14" t="s">
        <v>3097</v>
      </c>
      <c r="D33" s="15" t="s">
        <v>3134</v>
      </c>
      <c r="E33" s="14" t="s">
        <v>161</v>
      </c>
      <c r="F33" s="14" t="s">
        <v>202</v>
      </c>
      <c r="G33" s="15" t="s">
        <v>3135</v>
      </c>
      <c r="H33" s="14" t="s">
        <v>120</v>
      </c>
      <c r="I33" s="14" t="s">
        <v>140</v>
      </c>
      <c r="J33" s="16"/>
      <c r="K33" s="15" t="s">
        <v>1898</v>
      </c>
      <c r="L33" s="14" t="n">
        <v>1</v>
      </c>
      <c r="M33" s="14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4" t="s">
        <v>3136</v>
      </c>
      <c r="B34" s="14" t="s">
        <v>232</v>
      </c>
      <c r="C34" s="14" t="s">
        <v>2717</v>
      </c>
      <c r="D34" s="15" t="s">
        <v>3137</v>
      </c>
      <c r="E34" s="14" t="s">
        <v>161</v>
      </c>
      <c r="F34" s="14" t="s">
        <v>161</v>
      </c>
      <c r="G34" s="15" t="s">
        <v>2641</v>
      </c>
      <c r="H34" s="14" t="s">
        <v>126</v>
      </c>
      <c r="I34" s="14" t="s">
        <v>141</v>
      </c>
      <c r="J34" s="16" t="s">
        <v>3128</v>
      </c>
      <c r="K34" s="15" t="s">
        <v>3138</v>
      </c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144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1836</v>
      </c>
      <c r="B9" s="14" t="s">
        <v>118</v>
      </c>
      <c r="C9" s="14" t="s">
        <v>1274</v>
      </c>
      <c r="D9" s="15" t="s">
        <v>3141</v>
      </c>
      <c r="E9" s="14" t="s">
        <v>161</v>
      </c>
      <c r="F9" s="14" t="s">
        <v>162</v>
      </c>
      <c r="G9" s="15" t="s">
        <v>3142</v>
      </c>
      <c r="H9" s="14" t="s">
        <v>126</v>
      </c>
      <c r="I9" s="14" t="s">
        <v>141</v>
      </c>
      <c r="J9" s="16" t="n">
        <v>46231</v>
      </c>
      <c r="K9" s="15" t="s">
        <v>3143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1839</v>
      </c>
      <c r="B10" s="14" t="s">
        <v>2488</v>
      </c>
      <c r="C10" s="14" t="s">
        <v>2497</v>
      </c>
      <c r="D10" s="15" t="s">
        <v>3144</v>
      </c>
      <c r="E10" s="14" t="s">
        <v>161</v>
      </c>
      <c r="F10" s="14" t="s">
        <v>181</v>
      </c>
      <c r="G10" s="15" t="s">
        <v>3145</v>
      </c>
      <c r="H10" s="14" t="s">
        <v>126</v>
      </c>
      <c r="I10" s="14" t="s">
        <v>141</v>
      </c>
      <c r="J10" s="16" t="n">
        <v>46231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1843</v>
      </c>
      <c r="B11" s="14" t="s">
        <v>1432</v>
      </c>
      <c r="C11" s="14" t="s">
        <v>1274</v>
      </c>
      <c r="D11" s="15" t="s">
        <v>3146</v>
      </c>
      <c r="E11" s="14" t="s">
        <v>161</v>
      </c>
      <c r="F11" s="14" t="s">
        <v>181</v>
      </c>
      <c r="G11" s="15" t="s">
        <v>3145</v>
      </c>
      <c r="H11" s="14" t="s">
        <v>126</v>
      </c>
      <c r="I11" s="14" t="s">
        <v>141</v>
      </c>
      <c r="J11" s="16" t="n">
        <v>46231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1845</v>
      </c>
      <c r="B12" s="14" t="s">
        <v>169</v>
      </c>
      <c r="C12" s="14" t="s">
        <v>2497</v>
      </c>
      <c r="D12" s="15" t="s">
        <v>3147</v>
      </c>
      <c r="E12" s="14" t="s">
        <v>161</v>
      </c>
      <c r="F12" s="14" t="s">
        <v>171</v>
      </c>
      <c r="G12" s="15" t="s">
        <v>3148</v>
      </c>
      <c r="H12" s="14" t="s">
        <v>126</v>
      </c>
      <c r="I12" s="14" t="s">
        <v>141</v>
      </c>
      <c r="J12" s="16" t="n">
        <v>46231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1848</v>
      </c>
      <c r="B13" s="14" t="s">
        <v>165</v>
      </c>
      <c r="C13" s="14" t="s">
        <v>1274</v>
      </c>
      <c r="D13" s="15" t="s">
        <v>3149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46231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1851</v>
      </c>
      <c r="B14" s="14" t="s">
        <v>1400</v>
      </c>
      <c r="C14" s="14" t="s">
        <v>1274</v>
      </c>
      <c r="D14" s="15" t="s">
        <v>3150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46231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1855</v>
      </c>
      <c r="B15" s="14" t="s">
        <v>1665</v>
      </c>
      <c r="C15" s="14" t="s">
        <v>830</v>
      </c>
      <c r="D15" s="15" t="s">
        <v>3151</v>
      </c>
      <c r="E15" s="14" t="s">
        <v>161</v>
      </c>
      <c r="F15" s="14" t="s">
        <v>186</v>
      </c>
      <c r="G15" s="15" t="s">
        <v>3152</v>
      </c>
      <c r="H15" s="14" t="s">
        <v>126</v>
      </c>
      <c r="I15" s="14" t="s">
        <v>141</v>
      </c>
      <c r="J15" s="16" t="n">
        <v>46231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1859</v>
      </c>
      <c r="B16" s="14" t="s">
        <v>1782</v>
      </c>
      <c r="C16" s="14" t="s">
        <v>830</v>
      </c>
      <c r="D16" s="15" t="s">
        <v>3153</v>
      </c>
      <c r="E16" s="14" t="s">
        <v>161</v>
      </c>
      <c r="F16" s="14" t="s">
        <v>196</v>
      </c>
      <c r="G16" s="15" t="s">
        <v>3154</v>
      </c>
      <c r="H16" s="14" t="s">
        <v>124</v>
      </c>
      <c r="I16" s="14" t="s">
        <v>140</v>
      </c>
      <c r="J16" s="16" t="n">
        <v>46231</v>
      </c>
      <c r="K16" s="15" t="s">
        <v>3155</v>
      </c>
      <c r="L16" s="14" t="n">
        <v>1</v>
      </c>
      <c r="M16" s="14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4" t="s">
        <v>1863</v>
      </c>
      <c r="B17" s="14" t="s">
        <v>1787</v>
      </c>
      <c r="C17" s="14" t="s">
        <v>3156</v>
      </c>
      <c r="D17" s="15" t="s">
        <v>3157</v>
      </c>
      <c r="E17" s="14" t="s">
        <v>161</v>
      </c>
      <c r="F17" s="14" t="s">
        <v>196</v>
      </c>
      <c r="G17" s="15" t="s">
        <v>3154</v>
      </c>
      <c r="H17" s="14" t="s">
        <v>124</v>
      </c>
      <c r="I17" s="14" t="s">
        <v>140</v>
      </c>
      <c r="J17" s="16" t="n">
        <v>46231</v>
      </c>
      <c r="K17" s="15" t="s">
        <v>3158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1867</v>
      </c>
      <c r="B18" s="14" t="s">
        <v>3159</v>
      </c>
      <c r="C18" s="14" t="s">
        <v>21</v>
      </c>
      <c r="D18" s="15" t="s">
        <v>3160</v>
      </c>
      <c r="E18" s="14" t="s">
        <v>161</v>
      </c>
      <c r="F18" s="14" t="s">
        <v>181</v>
      </c>
      <c r="G18" s="15" t="s">
        <v>3161</v>
      </c>
      <c r="H18" s="14" t="s">
        <v>126</v>
      </c>
      <c r="I18" s="14" t="s">
        <v>141</v>
      </c>
      <c r="J18" s="16" t="n">
        <v>46231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1871</v>
      </c>
      <c r="B19" s="14" t="s">
        <v>3162</v>
      </c>
      <c r="C19" s="14" t="s">
        <v>33</v>
      </c>
      <c r="D19" s="15" t="s">
        <v>3163</v>
      </c>
      <c r="E19" s="14" t="s">
        <v>161</v>
      </c>
      <c r="F19" s="14" t="s">
        <v>186</v>
      </c>
      <c r="G19" s="15" t="s">
        <v>3152</v>
      </c>
      <c r="H19" s="14" t="s">
        <v>126</v>
      </c>
      <c r="I19" s="14" t="s">
        <v>141</v>
      </c>
      <c r="J19" s="16" t="n">
        <v>46231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1875</v>
      </c>
      <c r="B20" s="14" t="s">
        <v>3164</v>
      </c>
      <c r="C20" s="14" t="s">
        <v>3165</v>
      </c>
      <c r="D20" s="15" t="s">
        <v>3166</v>
      </c>
      <c r="E20" s="14" t="s">
        <v>161</v>
      </c>
      <c r="F20" s="14" t="s">
        <v>181</v>
      </c>
      <c r="G20" s="15" t="s">
        <v>3145</v>
      </c>
      <c r="H20" s="14" t="s">
        <v>126</v>
      </c>
      <c r="I20" s="14" t="s">
        <v>141</v>
      </c>
      <c r="J20" s="16" t="n">
        <v>46231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1879</v>
      </c>
      <c r="B21" s="14" t="s">
        <v>3167</v>
      </c>
      <c r="C21" s="14" t="s">
        <v>3168</v>
      </c>
      <c r="D21" s="15" t="s">
        <v>3169</v>
      </c>
      <c r="E21" s="14" t="s">
        <v>161</v>
      </c>
      <c r="F21" s="14" t="s">
        <v>181</v>
      </c>
      <c r="G21" s="15" t="s">
        <v>3145</v>
      </c>
      <c r="H21" s="14" t="s">
        <v>126</v>
      </c>
      <c r="I21" s="14" t="s">
        <v>141</v>
      </c>
      <c r="J21" s="16" t="n">
        <v>46231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1883</v>
      </c>
      <c r="B22" s="14" t="s">
        <v>3170</v>
      </c>
      <c r="C22" s="14" t="s">
        <v>3168</v>
      </c>
      <c r="D22" s="15" t="s">
        <v>3171</v>
      </c>
      <c r="E22" s="14" t="s">
        <v>161</v>
      </c>
      <c r="F22" s="14" t="s">
        <v>186</v>
      </c>
      <c r="G22" s="15" t="s">
        <v>3152</v>
      </c>
      <c r="H22" s="14" t="s">
        <v>126</v>
      </c>
      <c r="I22" s="14" t="s">
        <v>141</v>
      </c>
      <c r="J22" s="16" t="n">
        <v>46231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1885</v>
      </c>
      <c r="B23" s="14" t="s">
        <v>1672</v>
      </c>
      <c r="C23" s="14" t="s">
        <v>3172</v>
      </c>
      <c r="D23" s="15" t="s">
        <v>3173</v>
      </c>
      <c r="E23" s="14" t="s">
        <v>161</v>
      </c>
      <c r="F23" s="14" t="s">
        <v>186</v>
      </c>
      <c r="G23" s="15" t="s">
        <v>3174</v>
      </c>
      <c r="H23" s="14" t="s">
        <v>126</v>
      </c>
      <c r="I23" s="14" t="s">
        <v>141</v>
      </c>
      <c r="J23" s="16" t="n">
        <v>46231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1888</v>
      </c>
      <c r="B24" s="14" t="s">
        <v>2122</v>
      </c>
      <c r="C24" s="14" t="s">
        <v>3175</v>
      </c>
      <c r="D24" s="15" t="s">
        <v>3176</v>
      </c>
      <c r="E24" s="14" t="s">
        <v>161</v>
      </c>
      <c r="F24" s="14" t="s">
        <v>186</v>
      </c>
      <c r="G24" s="15" t="s">
        <v>3152</v>
      </c>
      <c r="H24" s="14" t="s">
        <v>126</v>
      </c>
      <c r="I24" s="14" t="s">
        <v>141</v>
      </c>
      <c r="J24" s="16" t="n">
        <v>46231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1890</v>
      </c>
      <c r="B25" s="14" t="s">
        <v>209</v>
      </c>
      <c r="C25" s="14" t="s">
        <v>3156</v>
      </c>
      <c r="D25" s="15" t="s">
        <v>3177</v>
      </c>
      <c r="E25" s="14" t="s">
        <v>161</v>
      </c>
      <c r="F25" s="14" t="s">
        <v>181</v>
      </c>
      <c r="G25" s="15" t="s">
        <v>3178</v>
      </c>
      <c r="H25" s="14" t="s">
        <v>126</v>
      </c>
      <c r="I25" s="14" t="s">
        <v>141</v>
      </c>
      <c r="J25" s="16" t="n">
        <v>46231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1892</v>
      </c>
      <c r="B26" s="14" t="s">
        <v>200</v>
      </c>
      <c r="C26" s="14" t="s">
        <v>830</v>
      </c>
      <c r="D26" s="15" t="s">
        <v>3179</v>
      </c>
      <c r="E26" s="14" t="s">
        <v>161</v>
      </c>
      <c r="F26" s="14" t="s">
        <v>186</v>
      </c>
      <c r="G26" s="15" t="s">
        <v>3152</v>
      </c>
      <c r="H26" s="14" t="s">
        <v>126</v>
      </c>
      <c r="I26" s="14" t="s">
        <v>141</v>
      </c>
      <c r="J26" s="16" t="n">
        <v>46231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1895</v>
      </c>
      <c r="B27" s="14" t="s">
        <v>2620</v>
      </c>
      <c r="C27" s="14" t="s">
        <v>3156</v>
      </c>
      <c r="D27" s="15" t="s">
        <v>3180</v>
      </c>
      <c r="E27" s="14" t="s">
        <v>161</v>
      </c>
      <c r="F27" s="14" t="s">
        <v>196</v>
      </c>
      <c r="G27" s="15" t="s">
        <v>3181</v>
      </c>
      <c r="H27" s="14" t="s">
        <v>124</v>
      </c>
      <c r="I27" s="14" t="s">
        <v>140</v>
      </c>
      <c r="J27" s="16" t="n">
        <v>46231</v>
      </c>
      <c r="K27" s="15" t="s">
        <v>3182</v>
      </c>
      <c r="L27" s="14" t="n">
        <v>1</v>
      </c>
      <c r="M27" s="14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4" t="s">
        <v>1899</v>
      </c>
      <c r="B28" s="14" t="s">
        <v>189</v>
      </c>
      <c r="C28" s="14" t="s">
        <v>1274</v>
      </c>
      <c r="D28" s="15" t="s">
        <v>3183</v>
      </c>
      <c r="E28" s="14" t="s">
        <v>161</v>
      </c>
      <c r="F28" s="14" t="s">
        <v>191</v>
      </c>
      <c r="G28" s="15" t="s">
        <v>3152</v>
      </c>
      <c r="H28" s="14" t="s">
        <v>126</v>
      </c>
      <c r="I28" s="14" t="s">
        <v>141</v>
      </c>
      <c r="J28" s="16" t="n">
        <v>46231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1902</v>
      </c>
      <c r="B29" s="14" t="s">
        <v>94</v>
      </c>
      <c r="C29" s="14" t="s">
        <v>1274</v>
      </c>
      <c r="D29" s="15" t="s">
        <v>3184</v>
      </c>
      <c r="E29" s="14" t="s">
        <v>161</v>
      </c>
      <c r="F29" s="14" t="s">
        <v>196</v>
      </c>
      <c r="G29" s="15" t="s">
        <v>3154</v>
      </c>
      <c r="H29" s="14" t="s">
        <v>124</v>
      </c>
      <c r="I29" s="14" t="s">
        <v>140</v>
      </c>
      <c r="J29" s="16" t="n">
        <v>46231</v>
      </c>
      <c r="K29" s="15" t="s">
        <v>3109</v>
      </c>
      <c r="L29" s="14" t="n">
        <v>1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1905</v>
      </c>
      <c r="B30" s="14" t="s">
        <v>2569</v>
      </c>
      <c r="C30" s="14" t="s">
        <v>1274</v>
      </c>
      <c r="D30" s="15" t="s">
        <v>3185</v>
      </c>
      <c r="E30" s="14" t="s">
        <v>161</v>
      </c>
      <c r="F30" s="14" t="s">
        <v>196</v>
      </c>
      <c r="G30" s="15" t="s">
        <v>3186</v>
      </c>
      <c r="H30" s="14" t="s">
        <v>124</v>
      </c>
      <c r="I30" s="14" t="s">
        <v>140</v>
      </c>
      <c r="J30" s="16" t="n">
        <v>46231</v>
      </c>
      <c r="K30" s="15" t="s">
        <v>3187</v>
      </c>
      <c r="L30" s="14" t="n">
        <v>1</v>
      </c>
      <c r="M30" s="14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4" t="s">
        <v>1907</v>
      </c>
      <c r="B31" s="14" t="s">
        <v>1620</v>
      </c>
      <c r="C31" s="14" t="s">
        <v>1274</v>
      </c>
      <c r="D31" s="15" t="s">
        <v>3188</v>
      </c>
      <c r="E31" s="14" t="s">
        <v>161</v>
      </c>
      <c r="F31" s="14" t="s">
        <v>2701</v>
      </c>
      <c r="G31" s="15" t="s">
        <v>3189</v>
      </c>
      <c r="H31" s="14" t="s">
        <v>126</v>
      </c>
      <c r="I31" s="14" t="s">
        <v>141</v>
      </c>
      <c r="J31" s="16" t="n">
        <v>46231</v>
      </c>
      <c r="K31" s="15"/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3190</v>
      </c>
      <c r="B32" s="14" t="s">
        <v>649</v>
      </c>
      <c r="C32" s="14" t="s">
        <v>1274</v>
      </c>
      <c r="D32" s="15" t="s">
        <v>3191</v>
      </c>
      <c r="E32" s="14" t="s">
        <v>161</v>
      </c>
      <c r="F32" s="14" t="s">
        <v>651</v>
      </c>
      <c r="G32" s="15" t="s">
        <v>3192</v>
      </c>
      <c r="H32" s="14" t="s">
        <v>126</v>
      </c>
      <c r="I32" s="14" t="s">
        <v>141</v>
      </c>
      <c r="J32" s="16" t="n">
        <v>46231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3193</v>
      </c>
      <c r="B33" s="14" t="s">
        <v>2475</v>
      </c>
      <c r="C33" s="14" t="s">
        <v>2699</v>
      </c>
      <c r="D33" s="15" t="s">
        <v>3194</v>
      </c>
      <c r="E33" s="14" t="s">
        <v>161</v>
      </c>
      <c r="F33" s="14" t="s">
        <v>2701</v>
      </c>
      <c r="G33" s="15" t="s">
        <v>3195</v>
      </c>
      <c r="H33" s="14" t="s">
        <v>126</v>
      </c>
      <c r="I33" s="14" t="s">
        <v>141</v>
      </c>
      <c r="J33" s="16" t="n">
        <v>46231</v>
      </c>
      <c r="K33" s="15"/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3196</v>
      </c>
      <c r="B34" s="14" t="s">
        <v>223</v>
      </c>
      <c r="C34" s="14" t="s">
        <v>2704</v>
      </c>
      <c r="D34" s="15" t="s">
        <v>3197</v>
      </c>
      <c r="E34" s="14" t="s">
        <v>161</v>
      </c>
      <c r="F34" s="14" t="s">
        <v>2701</v>
      </c>
      <c r="G34" s="15" t="s">
        <v>3198</v>
      </c>
      <c r="H34" s="14" t="s">
        <v>126</v>
      </c>
      <c r="I34" s="14" t="s">
        <v>141</v>
      </c>
      <c r="J34" s="16" t="n">
        <v>46231</v>
      </c>
      <c r="K34" s="15"/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 t="s">
        <v>3199</v>
      </c>
      <c r="B35" s="14" t="s">
        <v>227</v>
      </c>
      <c r="C35" s="14" t="s">
        <v>1274</v>
      </c>
      <c r="D35" s="15" t="s">
        <v>3200</v>
      </c>
      <c r="E35" s="14" t="s">
        <v>229</v>
      </c>
      <c r="F35" s="14" t="s">
        <v>229</v>
      </c>
      <c r="G35" s="15" t="s">
        <v>230</v>
      </c>
      <c r="H35" s="14" t="s">
        <v>126</v>
      </c>
      <c r="I35" s="14" t="s">
        <v>141</v>
      </c>
      <c r="J35" s="16" t="n">
        <v>46231</v>
      </c>
      <c r="K35" s="15" t="s">
        <v>3201</v>
      </c>
      <c r="L35" s="14" t="n">
        <v>1</v>
      </c>
      <c r="M35" s="14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4" t="s">
        <v>3202</v>
      </c>
      <c r="B36" s="14" t="s">
        <v>194</v>
      </c>
      <c r="C36" s="14" t="s">
        <v>1274</v>
      </c>
      <c r="D36" s="15" t="s">
        <v>3203</v>
      </c>
      <c r="E36" s="14" t="s">
        <v>161</v>
      </c>
      <c r="F36" s="14" t="s">
        <v>196</v>
      </c>
      <c r="G36" s="15" t="s">
        <v>3154</v>
      </c>
      <c r="H36" s="14" t="s">
        <v>124</v>
      </c>
      <c r="I36" s="14" t="s">
        <v>140</v>
      </c>
      <c r="J36" s="16" t="n">
        <v>46231</v>
      </c>
      <c r="K36" s="15" t="s">
        <v>3132</v>
      </c>
      <c r="L36" s="14" t="n">
        <v>1</v>
      </c>
      <c r="M36" s="14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4" t="s">
        <v>3204</v>
      </c>
      <c r="B37" s="14" t="s">
        <v>214</v>
      </c>
      <c r="C37" s="14" t="s">
        <v>1274</v>
      </c>
      <c r="D37" s="15" t="s">
        <v>3205</v>
      </c>
      <c r="E37" s="14" t="s">
        <v>161</v>
      </c>
      <c r="F37" s="14" t="s">
        <v>202</v>
      </c>
      <c r="G37" s="15" t="s">
        <v>3206</v>
      </c>
      <c r="H37" s="14" t="s">
        <v>120</v>
      </c>
      <c r="I37" s="14" t="s">
        <v>140</v>
      </c>
      <c r="J37" s="16"/>
      <c r="K37" s="15" t="s">
        <v>1898</v>
      </c>
      <c r="L37" s="14" t="n">
        <v>1</v>
      </c>
      <c r="M37" s="14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4" t="s">
        <v>3207</v>
      </c>
      <c r="B38" s="14" t="s">
        <v>232</v>
      </c>
      <c r="C38" s="14" t="s">
        <v>2717</v>
      </c>
      <c r="D38" s="15" t="s">
        <v>3208</v>
      </c>
      <c r="E38" s="14" t="s">
        <v>161</v>
      </c>
      <c r="F38" s="14" t="s">
        <v>161</v>
      </c>
      <c r="G38" s="15" t="s">
        <v>2641</v>
      </c>
      <c r="H38" s="14" t="s">
        <v>126</v>
      </c>
      <c r="I38" s="14" t="s">
        <v>141</v>
      </c>
      <c r="J38" s="16" t="n">
        <v>46231</v>
      </c>
      <c r="K38" s="15" t="s">
        <v>3209</v>
      </c>
      <c r="L38" s="14" t="n">
        <v>1</v>
      </c>
      <c r="M38" s="14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3212</v>
      </c>
      <c r="B9" s="14" t="s">
        <v>118</v>
      </c>
      <c r="C9" s="14" t="s">
        <v>1274</v>
      </c>
      <c r="D9" s="15" t="s">
        <v>3213</v>
      </c>
      <c r="E9" s="14" t="s">
        <v>161</v>
      </c>
      <c r="F9" s="14" t="s">
        <v>162</v>
      </c>
      <c r="G9" s="15" t="s">
        <v>3214</v>
      </c>
      <c r="H9" s="14" t="s">
        <v>126</v>
      </c>
      <c r="I9" s="14" t="s">
        <v>141</v>
      </c>
      <c r="J9" s="16" t="n">
        <v>46231</v>
      </c>
      <c r="K9" s="15" t="s">
        <v>3143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3215</v>
      </c>
      <c r="B10" s="14" t="s">
        <v>2488</v>
      </c>
      <c r="C10" s="14" t="s">
        <v>2497</v>
      </c>
      <c r="D10" s="15" t="s">
        <v>3216</v>
      </c>
      <c r="E10" s="14" t="s">
        <v>161</v>
      </c>
      <c r="F10" s="14" t="s">
        <v>181</v>
      </c>
      <c r="G10" s="15" t="s">
        <v>3217</v>
      </c>
      <c r="H10" s="14" t="s">
        <v>126</v>
      </c>
      <c r="I10" s="14" t="s">
        <v>141</v>
      </c>
      <c r="J10" s="16" t="n">
        <v>46231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3218</v>
      </c>
      <c r="B11" s="14" t="s">
        <v>1432</v>
      </c>
      <c r="C11" s="14" t="s">
        <v>3219</v>
      </c>
      <c r="D11" s="15" t="s">
        <v>3220</v>
      </c>
      <c r="E11" s="14" t="s">
        <v>161</v>
      </c>
      <c r="F11" s="14" t="s">
        <v>181</v>
      </c>
      <c r="G11" s="15" t="s">
        <v>3217</v>
      </c>
      <c r="H11" s="14" t="s">
        <v>126</v>
      </c>
      <c r="I11" s="14" t="s">
        <v>141</v>
      </c>
      <c r="J11" s="16" t="n">
        <v>46231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3221</v>
      </c>
      <c r="B12" s="14" t="s">
        <v>169</v>
      </c>
      <c r="C12" s="14" t="s">
        <v>2497</v>
      </c>
      <c r="D12" s="15" t="s">
        <v>3222</v>
      </c>
      <c r="E12" s="14" t="s">
        <v>161</v>
      </c>
      <c r="F12" s="14" t="s">
        <v>171</v>
      </c>
      <c r="G12" s="15" t="s">
        <v>3223</v>
      </c>
      <c r="H12" s="14" t="s">
        <v>126</v>
      </c>
      <c r="I12" s="14" t="s">
        <v>141</v>
      </c>
      <c r="J12" s="16" t="n">
        <v>46231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3224</v>
      </c>
      <c r="B13" s="14" t="s">
        <v>165</v>
      </c>
      <c r="C13" s="14" t="s">
        <v>1274</v>
      </c>
      <c r="D13" s="15" t="s">
        <v>3225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46231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3226</v>
      </c>
      <c r="B14" s="14" t="s">
        <v>1400</v>
      </c>
      <c r="C14" s="14" t="s">
        <v>1274</v>
      </c>
      <c r="D14" s="15" t="s">
        <v>3227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46231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3228</v>
      </c>
      <c r="B15" s="14" t="s">
        <v>1665</v>
      </c>
      <c r="C15" s="14" t="s">
        <v>830</v>
      </c>
      <c r="D15" s="15" t="s">
        <v>3229</v>
      </c>
      <c r="E15" s="14" t="s">
        <v>161</v>
      </c>
      <c r="F15" s="14" t="s">
        <v>186</v>
      </c>
      <c r="G15" s="15" t="s">
        <v>3230</v>
      </c>
      <c r="H15" s="14" t="s">
        <v>126</v>
      </c>
      <c r="I15" s="14" t="s">
        <v>141</v>
      </c>
      <c r="J15" s="16" t="n">
        <v>46231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3231</v>
      </c>
      <c r="B16" s="14" t="s">
        <v>1782</v>
      </c>
      <c r="C16" s="14" t="s">
        <v>830</v>
      </c>
      <c r="D16" s="15" t="s">
        <v>3232</v>
      </c>
      <c r="E16" s="14" t="s">
        <v>161</v>
      </c>
      <c r="F16" s="14" t="s">
        <v>196</v>
      </c>
      <c r="G16" s="15" t="s">
        <v>3233</v>
      </c>
      <c r="H16" s="14" t="s">
        <v>124</v>
      </c>
      <c r="I16" s="14" t="s">
        <v>140</v>
      </c>
      <c r="J16" s="16" t="n">
        <v>46231</v>
      </c>
      <c r="K16" s="15" t="s">
        <v>3155</v>
      </c>
      <c r="L16" s="14" t="n">
        <v>1</v>
      </c>
      <c r="M16" s="14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4" t="s">
        <v>3234</v>
      </c>
      <c r="B17" s="14" t="s">
        <v>3235</v>
      </c>
      <c r="C17" s="14" t="s">
        <v>830</v>
      </c>
      <c r="D17" s="15" t="s">
        <v>3236</v>
      </c>
      <c r="E17" s="14" t="s">
        <v>161</v>
      </c>
      <c r="F17" s="14" t="s">
        <v>196</v>
      </c>
      <c r="G17" s="15" t="s">
        <v>3233</v>
      </c>
      <c r="H17" s="14" t="s">
        <v>124</v>
      </c>
      <c r="I17" s="14" t="s">
        <v>140</v>
      </c>
      <c r="J17" s="16" t="n">
        <v>46231</v>
      </c>
      <c r="K17" s="15" t="s">
        <v>3237</v>
      </c>
      <c r="L17" s="14" t="n">
        <v>1</v>
      </c>
      <c r="M17" s="14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4" t="s">
        <v>3238</v>
      </c>
      <c r="B18" s="14" t="s">
        <v>1787</v>
      </c>
      <c r="C18" s="14" t="s">
        <v>3239</v>
      </c>
      <c r="D18" s="15" t="s">
        <v>3240</v>
      </c>
      <c r="E18" s="14" t="s">
        <v>161</v>
      </c>
      <c r="F18" s="14" t="s">
        <v>196</v>
      </c>
      <c r="G18" s="15" t="s">
        <v>3241</v>
      </c>
      <c r="H18" s="14" t="s">
        <v>124</v>
      </c>
      <c r="I18" s="14" t="s">
        <v>140</v>
      </c>
      <c r="J18" s="16" t="n">
        <v>46231</v>
      </c>
      <c r="K18" s="15" t="s">
        <v>3242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3243</v>
      </c>
      <c r="B19" s="14" t="s">
        <v>3244</v>
      </c>
      <c r="C19" s="14" t="s">
        <v>830</v>
      </c>
      <c r="D19" s="15" t="s">
        <v>3245</v>
      </c>
      <c r="E19" s="14" t="s">
        <v>161</v>
      </c>
      <c r="F19" s="14" t="s">
        <v>196</v>
      </c>
      <c r="G19" s="15" t="s">
        <v>3233</v>
      </c>
      <c r="H19" s="14" t="s">
        <v>124</v>
      </c>
      <c r="I19" s="14" t="s">
        <v>140</v>
      </c>
      <c r="J19" s="16" t="n">
        <v>46231</v>
      </c>
      <c r="K19" s="15" t="s">
        <v>3246</v>
      </c>
      <c r="L19" s="14" t="n">
        <v>1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3247</v>
      </c>
      <c r="B20" s="14" t="s">
        <v>3248</v>
      </c>
      <c r="C20" s="14" t="s">
        <v>3248</v>
      </c>
      <c r="D20" s="15" t="s">
        <v>3249</v>
      </c>
      <c r="E20" s="14" t="s">
        <v>161</v>
      </c>
      <c r="F20" s="14" t="s">
        <v>186</v>
      </c>
      <c r="G20" s="15" t="s">
        <v>3230</v>
      </c>
      <c r="H20" s="14" t="s">
        <v>126</v>
      </c>
      <c r="I20" s="14" t="s">
        <v>141</v>
      </c>
      <c r="J20" s="16" t="n">
        <v>46231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3250</v>
      </c>
      <c r="B21" s="14" t="s">
        <v>3251</v>
      </c>
      <c r="C21" s="14" t="s">
        <v>3252</v>
      </c>
      <c r="D21" s="15" t="s">
        <v>3253</v>
      </c>
      <c r="E21" s="14" t="s">
        <v>161</v>
      </c>
      <c r="F21" s="14" t="s">
        <v>196</v>
      </c>
      <c r="G21" s="15" t="s">
        <v>3233</v>
      </c>
      <c r="H21" s="14" t="s">
        <v>124</v>
      </c>
      <c r="I21" s="14" t="s">
        <v>140</v>
      </c>
      <c r="J21" s="16" t="n">
        <v>46231</v>
      </c>
      <c r="K21" s="15" t="s">
        <v>3254</v>
      </c>
      <c r="L21" s="14" t="n">
        <v>1</v>
      </c>
      <c r="M21" s="14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4" t="s">
        <v>3255</v>
      </c>
      <c r="B22" s="14" t="s">
        <v>3256</v>
      </c>
      <c r="C22" s="14" t="s">
        <v>3257</v>
      </c>
      <c r="D22" s="15" t="s">
        <v>3258</v>
      </c>
      <c r="E22" s="14" t="s">
        <v>161</v>
      </c>
      <c r="F22" s="14" t="s">
        <v>186</v>
      </c>
      <c r="G22" s="15" t="s">
        <v>3230</v>
      </c>
      <c r="H22" s="14" t="s">
        <v>126</v>
      </c>
      <c r="I22" s="14" t="s">
        <v>141</v>
      </c>
      <c r="J22" s="16" t="n">
        <v>46231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3259</v>
      </c>
      <c r="B23" s="14" t="s">
        <v>2363</v>
      </c>
      <c r="C23" s="14" t="s">
        <v>3257</v>
      </c>
      <c r="D23" s="15" t="s">
        <v>3260</v>
      </c>
      <c r="E23" s="14" t="s">
        <v>161</v>
      </c>
      <c r="F23" s="14" t="s">
        <v>181</v>
      </c>
      <c r="G23" s="15" t="s">
        <v>3261</v>
      </c>
      <c r="H23" s="14" t="s">
        <v>126</v>
      </c>
      <c r="I23" s="14" t="s">
        <v>141</v>
      </c>
      <c r="J23" s="16" t="n">
        <v>46231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3262</v>
      </c>
      <c r="B24" s="14" t="s">
        <v>209</v>
      </c>
      <c r="C24" s="14" t="s">
        <v>1274</v>
      </c>
      <c r="D24" s="15" t="s">
        <v>3263</v>
      </c>
      <c r="E24" s="14" t="s">
        <v>161</v>
      </c>
      <c r="F24" s="14" t="s">
        <v>181</v>
      </c>
      <c r="G24" s="15" t="s">
        <v>3217</v>
      </c>
      <c r="H24" s="14" t="s">
        <v>126</v>
      </c>
      <c r="I24" s="14" t="s">
        <v>141</v>
      </c>
      <c r="J24" s="16" t="n">
        <v>46231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3264</v>
      </c>
      <c r="B25" s="14" t="s">
        <v>200</v>
      </c>
      <c r="C25" s="14" t="s">
        <v>3252</v>
      </c>
      <c r="D25" s="15" t="s">
        <v>3265</v>
      </c>
      <c r="E25" s="14" t="s">
        <v>161</v>
      </c>
      <c r="F25" s="14" t="s">
        <v>186</v>
      </c>
      <c r="G25" s="15" t="s">
        <v>3230</v>
      </c>
      <c r="H25" s="14" t="s">
        <v>126</v>
      </c>
      <c r="I25" s="14" t="s">
        <v>141</v>
      </c>
      <c r="J25" s="16" t="n">
        <v>46231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3266</v>
      </c>
      <c r="B26" s="14" t="s">
        <v>2673</v>
      </c>
      <c r="C26" s="14" t="s">
        <v>3252</v>
      </c>
      <c r="D26" s="15" t="s">
        <v>3267</v>
      </c>
      <c r="E26" s="14" t="s">
        <v>161</v>
      </c>
      <c r="F26" s="14" t="s">
        <v>196</v>
      </c>
      <c r="G26" s="15" t="s">
        <v>3241</v>
      </c>
      <c r="H26" s="14" t="s">
        <v>124</v>
      </c>
      <c r="I26" s="14" t="s">
        <v>140</v>
      </c>
      <c r="J26" s="16" t="n">
        <v>46231</v>
      </c>
      <c r="K26" s="15" t="s">
        <v>3268</v>
      </c>
      <c r="L26" s="14" t="n">
        <v>1</v>
      </c>
      <c r="M26" s="14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4" t="s">
        <v>3269</v>
      </c>
      <c r="B27" s="14" t="s">
        <v>2620</v>
      </c>
      <c r="C27" s="14" t="s">
        <v>1274</v>
      </c>
      <c r="D27" s="15" t="s">
        <v>3270</v>
      </c>
      <c r="E27" s="14" t="s">
        <v>161</v>
      </c>
      <c r="F27" s="14" t="s">
        <v>196</v>
      </c>
      <c r="G27" s="15" t="s">
        <v>3241</v>
      </c>
      <c r="H27" s="14" t="s">
        <v>124</v>
      </c>
      <c r="I27" s="14" t="s">
        <v>140</v>
      </c>
      <c r="J27" s="16" t="n">
        <v>46231</v>
      </c>
      <c r="K27" s="15" t="s">
        <v>3271</v>
      </c>
      <c r="L27" s="14" t="n">
        <v>1</v>
      </c>
      <c r="M27" s="14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4" t="s">
        <v>3272</v>
      </c>
      <c r="B28" s="14" t="s">
        <v>189</v>
      </c>
      <c r="C28" s="14" t="s">
        <v>1274</v>
      </c>
      <c r="D28" s="15" t="s">
        <v>3273</v>
      </c>
      <c r="E28" s="14" t="s">
        <v>161</v>
      </c>
      <c r="F28" s="14" t="s">
        <v>191</v>
      </c>
      <c r="G28" s="15" t="s">
        <v>3230</v>
      </c>
      <c r="H28" s="14" t="s">
        <v>126</v>
      </c>
      <c r="I28" s="14" t="s">
        <v>141</v>
      </c>
      <c r="J28" s="16" t="n">
        <v>46231</v>
      </c>
      <c r="K28" s="15"/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3274</v>
      </c>
      <c r="B29" s="14" t="s">
        <v>94</v>
      </c>
      <c r="C29" s="14" t="s">
        <v>1274</v>
      </c>
      <c r="D29" s="15" t="s">
        <v>3275</v>
      </c>
      <c r="E29" s="14" t="s">
        <v>161</v>
      </c>
      <c r="F29" s="14" t="s">
        <v>196</v>
      </c>
      <c r="G29" s="15" t="s">
        <v>3233</v>
      </c>
      <c r="H29" s="14" t="s">
        <v>124</v>
      </c>
      <c r="I29" s="14" t="s">
        <v>140</v>
      </c>
      <c r="J29" s="16" t="n">
        <v>46231</v>
      </c>
      <c r="K29" s="15" t="s">
        <v>3109</v>
      </c>
      <c r="L29" s="14" t="n">
        <v>1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3276</v>
      </c>
      <c r="B30" s="14" t="s">
        <v>2569</v>
      </c>
      <c r="C30" s="14" t="s">
        <v>1274</v>
      </c>
      <c r="D30" s="15" t="s">
        <v>3277</v>
      </c>
      <c r="E30" s="14" t="s">
        <v>161</v>
      </c>
      <c r="F30" s="14" t="s">
        <v>202</v>
      </c>
      <c r="G30" s="15" t="s">
        <v>3278</v>
      </c>
      <c r="H30" s="14" t="s">
        <v>124</v>
      </c>
      <c r="I30" s="14" t="s">
        <v>140</v>
      </c>
      <c r="J30" s="16" t="n">
        <v>46231</v>
      </c>
      <c r="K30" s="15" t="s">
        <v>3279</v>
      </c>
      <c r="L30" s="14" t="n">
        <v>1</v>
      </c>
      <c r="M30" s="14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4" t="s">
        <v>3280</v>
      </c>
      <c r="B31" s="14" t="s">
        <v>1620</v>
      </c>
      <c r="C31" s="14" t="s">
        <v>1274</v>
      </c>
      <c r="D31" s="15" t="s">
        <v>3281</v>
      </c>
      <c r="E31" s="14" t="s">
        <v>161</v>
      </c>
      <c r="F31" s="14" t="s">
        <v>2701</v>
      </c>
      <c r="G31" s="15" t="s">
        <v>3282</v>
      </c>
      <c r="H31" s="14" t="s">
        <v>126</v>
      </c>
      <c r="I31" s="14" t="s">
        <v>141</v>
      </c>
      <c r="J31" s="16" t="n">
        <v>46231</v>
      </c>
      <c r="K31" s="15"/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3283</v>
      </c>
      <c r="B32" s="14" t="s">
        <v>2795</v>
      </c>
      <c r="C32" s="14" t="s">
        <v>3284</v>
      </c>
      <c r="D32" s="15" t="s">
        <v>3285</v>
      </c>
      <c r="E32" s="14" t="s">
        <v>161</v>
      </c>
      <c r="F32" s="14" t="s">
        <v>2701</v>
      </c>
      <c r="G32" s="15" t="s">
        <v>3282</v>
      </c>
      <c r="H32" s="14" t="s">
        <v>126</v>
      </c>
      <c r="I32" s="14" t="s">
        <v>141</v>
      </c>
      <c r="J32" s="16" t="n">
        <v>46231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3286</v>
      </c>
      <c r="B33" s="14" t="s">
        <v>649</v>
      </c>
      <c r="C33" s="14" t="s">
        <v>1274</v>
      </c>
      <c r="D33" s="15" t="s">
        <v>3287</v>
      </c>
      <c r="E33" s="14" t="s">
        <v>161</v>
      </c>
      <c r="F33" s="14" t="s">
        <v>651</v>
      </c>
      <c r="G33" s="15" t="s">
        <v>3288</v>
      </c>
      <c r="H33" s="14" t="s">
        <v>126</v>
      </c>
      <c r="I33" s="14" t="s">
        <v>141</v>
      </c>
      <c r="J33" s="16" t="n">
        <v>46231</v>
      </c>
      <c r="K33" s="15"/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3289</v>
      </c>
      <c r="B34" s="14" t="s">
        <v>2475</v>
      </c>
      <c r="C34" s="14" t="s">
        <v>2699</v>
      </c>
      <c r="D34" s="15" t="s">
        <v>3290</v>
      </c>
      <c r="E34" s="14" t="s">
        <v>161</v>
      </c>
      <c r="F34" s="14" t="s">
        <v>2701</v>
      </c>
      <c r="G34" s="15" t="s">
        <v>3291</v>
      </c>
      <c r="H34" s="14" t="s">
        <v>126</v>
      </c>
      <c r="I34" s="14" t="s">
        <v>141</v>
      </c>
      <c r="J34" s="16" t="n">
        <v>46231</v>
      </c>
      <c r="K34" s="15"/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 t="s">
        <v>3292</v>
      </c>
      <c r="B35" s="14" t="s">
        <v>223</v>
      </c>
      <c r="C35" s="14" t="s">
        <v>2704</v>
      </c>
      <c r="D35" s="15" t="s">
        <v>3293</v>
      </c>
      <c r="E35" s="14" t="s">
        <v>161</v>
      </c>
      <c r="F35" s="14" t="s">
        <v>2701</v>
      </c>
      <c r="G35" s="15" t="s">
        <v>3294</v>
      </c>
      <c r="H35" s="14" t="s">
        <v>126</v>
      </c>
      <c r="I35" s="14" t="s">
        <v>141</v>
      </c>
      <c r="J35" s="16" t="n">
        <v>46231</v>
      </c>
      <c r="K35" s="15"/>
      <c r="L35" s="14" t="n">
        <v>1</v>
      </c>
      <c r="M35" s="14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4" t="s">
        <v>3295</v>
      </c>
      <c r="B36" s="14" t="s">
        <v>227</v>
      </c>
      <c r="C36" s="14" t="s">
        <v>1274</v>
      </c>
      <c r="D36" s="15" t="s">
        <v>3296</v>
      </c>
      <c r="E36" s="14" t="s">
        <v>229</v>
      </c>
      <c r="F36" s="14" t="s">
        <v>229</v>
      </c>
      <c r="G36" s="15" t="s">
        <v>230</v>
      </c>
      <c r="H36" s="14" t="s">
        <v>126</v>
      </c>
      <c r="I36" s="14" t="s">
        <v>141</v>
      </c>
      <c r="J36" s="16" t="n">
        <v>46231</v>
      </c>
      <c r="K36" s="15" t="s">
        <v>3201</v>
      </c>
      <c r="L36" s="14" t="n">
        <v>1</v>
      </c>
      <c r="M36" s="14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4" t="s">
        <v>3297</v>
      </c>
      <c r="B37" s="14" t="s">
        <v>194</v>
      </c>
      <c r="C37" s="14" t="s">
        <v>1274</v>
      </c>
      <c r="D37" s="15" t="s">
        <v>3298</v>
      </c>
      <c r="E37" s="14" t="s">
        <v>161</v>
      </c>
      <c r="F37" s="14" t="s">
        <v>196</v>
      </c>
      <c r="G37" s="15" t="s">
        <v>3233</v>
      </c>
      <c r="H37" s="14" t="s">
        <v>124</v>
      </c>
      <c r="I37" s="14" t="s">
        <v>140</v>
      </c>
      <c r="J37" s="16" t="n">
        <v>46231</v>
      </c>
      <c r="K37" s="15" t="s">
        <v>3132</v>
      </c>
      <c r="L37" s="14" t="n">
        <v>1</v>
      </c>
      <c r="M37" s="14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4" t="s">
        <v>3299</v>
      </c>
      <c r="B38" s="14" t="s">
        <v>214</v>
      </c>
      <c r="C38" s="14" t="s">
        <v>1274</v>
      </c>
      <c r="D38" s="15" t="s">
        <v>3300</v>
      </c>
      <c r="E38" s="14" t="s">
        <v>161</v>
      </c>
      <c r="F38" s="14" t="s">
        <v>202</v>
      </c>
      <c r="G38" s="15" t="s">
        <v>3278</v>
      </c>
      <c r="H38" s="14" t="s">
        <v>120</v>
      </c>
      <c r="I38" s="14" t="s">
        <v>140</v>
      </c>
      <c r="J38" s="16"/>
      <c r="K38" s="15" t="s">
        <v>1898</v>
      </c>
      <c r="L38" s="14" t="n">
        <v>1</v>
      </c>
      <c r="M38" s="14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4" t="s">
        <v>3301</v>
      </c>
      <c r="B39" s="14" t="s">
        <v>232</v>
      </c>
      <c r="C39" s="14" t="s">
        <v>2717</v>
      </c>
      <c r="D39" s="15" t="s">
        <v>3302</v>
      </c>
      <c r="E39" s="14" t="s">
        <v>161</v>
      </c>
      <c r="F39" s="14" t="s">
        <v>161</v>
      </c>
      <c r="G39" s="15" t="s">
        <v>2641</v>
      </c>
      <c r="H39" s="14" t="s">
        <v>126</v>
      </c>
      <c r="I39" s="14" t="s">
        <v>141</v>
      </c>
      <c r="J39" s="16" t="n">
        <v>46231</v>
      </c>
      <c r="K39" s="15" t="s">
        <v>3303</v>
      </c>
      <c r="L39" s="14" t="n">
        <v>1</v>
      </c>
      <c r="M39" s="14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1150</v>
      </c>
      <c r="B9" s="14" t="s">
        <v>158</v>
      </c>
      <c r="C9" s="14" t="s">
        <v>3306</v>
      </c>
      <c r="D9" s="15" t="s">
        <v>3307</v>
      </c>
      <c r="E9" s="14" t="s">
        <v>161</v>
      </c>
      <c r="F9" s="14" t="s">
        <v>162</v>
      </c>
      <c r="G9" s="15" t="s">
        <v>3308</v>
      </c>
      <c r="H9" s="14" t="s">
        <v>126</v>
      </c>
      <c r="I9" s="14" t="s">
        <v>141</v>
      </c>
      <c r="J9" s="16" t="s">
        <v>3309</v>
      </c>
      <c r="K9" s="15"/>
      <c r="L9" s="14"/>
      <c r="M9" s="14" t="n">
        <f aca="false">IF(OR(H9="tested",H9="verified",H9="not applicable"),1,0)</f>
        <v>1</v>
      </c>
    </row>
    <row r="10" customFormat="false" ht="54" hidden="false" customHeight="true" outlineLevel="0" collapsed="false">
      <c r="A10" s="14" t="s">
        <v>1154</v>
      </c>
      <c r="B10" s="14" t="s">
        <v>1432</v>
      </c>
      <c r="C10" s="14" t="s">
        <v>1274</v>
      </c>
      <c r="D10" s="15" t="s">
        <v>3310</v>
      </c>
      <c r="E10" s="14" t="s">
        <v>161</v>
      </c>
      <c r="F10" s="14" t="s">
        <v>181</v>
      </c>
      <c r="G10" s="15" t="s">
        <v>3311</v>
      </c>
      <c r="H10" s="14" t="s">
        <v>126</v>
      </c>
      <c r="I10" s="14" t="s">
        <v>141</v>
      </c>
      <c r="J10" s="16" t="s">
        <v>3309</v>
      </c>
      <c r="K10" s="15"/>
      <c r="L10" s="14"/>
      <c r="M10" s="14" t="n">
        <f aca="false">IF(OR(H10="tested",H10="verified",H10="not applicable"),1,0)</f>
        <v>1</v>
      </c>
    </row>
    <row r="11" customFormat="false" ht="54" hidden="false" customHeight="true" outlineLevel="0" collapsed="false">
      <c r="A11" s="14" t="s">
        <v>1158</v>
      </c>
      <c r="B11" s="14" t="s">
        <v>165</v>
      </c>
      <c r="C11" s="14" t="s">
        <v>78</v>
      </c>
      <c r="D11" s="15" t="s">
        <v>3312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s">
        <v>3309</v>
      </c>
      <c r="K11" s="15"/>
      <c r="L11" s="14"/>
      <c r="M11" s="14" t="n">
        <f aca="false">IF(OR(H11="tested",H11="verified",H11="not applicable"),1,0)</f>
        <v>1</v>
      </c>
    </row>
    <row r="12" customFormat="false" ht="54" hidden="false" customHeight="true" outlineLevel="0" collapsed="false">
      <c r="A12" s="14" t="s">
        <v>1162</v>
      </c>
      <c r="B12" s="14" t="s">
        <v>169</v>
      </c>
      <c r="C12" s="14" t="s">
        <v>1479</v>
      </c>
      <c r="D12" s="15" t="s">
        <v>3313</v>
      </c>
      <c r="E12" s="14" t="s">
        <v>161</v>
      </c>
      <c r="F12" s="14" t="s">
        <v>171</v>
      </c>
      <c r="G12" s="15" t="s">
        <v>3314</v>
      </c>
      <c r="H12" s="14" t="s">
        <v>126</v>
      </c>
      <c r="I12" s="14" t="s">
        <v>141</v>
      </c>
      <c r="J12" s="16" t="s">
        <v>3309</v>
      </c>
      <c r="K12" s="15"/>
      <c r="L12" s="14"/>
      <c r="M12" s="14" t="n">
        <f aca="false">IF(OR(H12="tested",H12="verified",H12="not applicable"),1,0)</f>
        <v>1</v>
      </c>
    </row>
    <row r="13" customFormat="false" ht="54" hidden="false" customHeight="true" outlineLevel="0" collapsed="false">
      <c r="A13" s="14" t="s">
        <v>1166</v>
      </c>
      <c r="B13" s="14" t="s">
        <v>174</v>
      </c>
      <c r="C13" s="14" t="s">
        <v>3315</v>
      </c>
      <c r="D13" s="15" t="s">
        <v>1483</v>
      </c>
      <c r="E13" s="14" t="s">
        <v>161</v>
      </c>
      <c r="F13" s="14" t="s">
        <v>176</v>
      </c>
      <c r="G13" s="15" t="s">
        <v>3316</v>
      </c>
      <c r="H13" s="14" t="s">
        <v>126</v>
      </c>
      <c r="I13" s="14" t="s">
        <v>141</v>
      </c>
      <c r="J13" s="16" t="s">
        <v>3309</v>
      </c>
      <c r="K13" s="15"/>
      <c r="L13" s="14"/>
      <c r="M13" s="14" t="n">
        <f aca="false">IF(OR(H13="tested",H13="verified",H13="not applicable"),1,0)</f>
        <v>1</v>
      </c>
    </row>
    <row r="14" customFormat="false" ht="54" hidden="false" customHeight="true" outlineLevel="0" collapsed="false">
      <c r="A14" s="14" t="s">
        <v>1171</v>
      </c>
      <c r="B14" s="14" t="s">
        <v>3317</v>
      </c>
      <c r="C14" s="14" t="s">
        <v>3318</v>
      </c>
      <c r="D14" s="15" t="s">
        <v>3319</v>
      </c>
      <c r="E14" s="14" t="s">
        <v>186</v>
      </c>
      <c r="F14" s="14" t="s">
        <v>186</v>
      </c>
      <c r="G14" s="15" t="s">
        <v>3320</v>
      </c>
      <c r="H14" s="14" t="s">
        <v>126</v>
      </c>
      <c r="I14" s="14" t="s">
        <v>141</v>
      </c>
      <c r="J14" s="16" t="s">
        <v>3309</v>
      </c>
      <c r="K14" s="15"/>
      <c r="L14" s="14"/>
      <c r="M14" s="14" t="n">
        <f aca="false">IF(OR(H14="tested",H14="verified",H14="not applicable"),1,0)</f>
        <v>1</v>
      </c>
    </row>
    <row r="15" customFormat="false" ht="54" hidden="false" customHeight="true" outlineLevel="0" collapsed="false">
      <c r="A15" s="14" t="s">
        <v>1175</v>
      </c>
      <c r="B15" s="14" t="s">
        <v>2007</v>
      </c>
      <c r="C15" s="14" t="s">
        <v>3321</v>
      </c>
      <c r="D15" s="15" t="s">
        <v>3322</v>
      </c>
      <c r="E15" s="14" t="s">
        <v>186</v>
      </c>
      <c r="F15" s="14" t="s">
        <v>186</v>
      </c>
      <c r="G15" s="15" t="s">
        <v>3320</v>
      </c>
      <c r="H15" s="14" t="s">
        <v>126</v>
      </c>
      <c r="I15" s="14" t="s">
        <v>141</v>
      </c>
      <c r="J15" s="16" t="s">
        <v>3309</v>
      </c>
      <c r="K15" s="15"/>
      <c r="L15" s="14"/>
      <c r="M15" s="14" t="n">
        <f aca="false">IF(OR(H15="tested",H15="verified",H15="not applicable"),1,0)</f>
        <v>1</v>
      </c>
    </row>
    <row r="16" customFormat="false" ht="54" hidden="false" customHeight="true" outlineLevel="0" collapsed="false">
      <c r="A16" s="14" t="s">
        <v>1177</v>
      </c>
      <c r="B16" s="14" t="s">
        <v>3323</v>
      </c>
      <c r="C16" s="14" t="s">
        <v>3324</v>
      </c>
      <c r="D16" s="15" t="s">
        <v>3325</v>
      </c>
      <c r="E16" s="14" t="s">
        <v>161</v>
      </c>
      <c r="F16" s="14" t="s">
        <v>181</v>
      </c>
      <c r="G16" s="15" t="s">
        <v>3311</v>
      </c>
      <c r="H16" s="14" t="s">
        <v>126</v>
      </c>
      <c r="I16" s="14" t="s">
        <v>141</v>
      </c>
      <c r="J16" s="16" t="s">
        <v>3309</v>
      </c>
      <c r="K16" s="15"/>
      <c r="L16" s="14"/>
      <c r="M16" s="14" t="n">
        <f aca="false">IF(OR(H16="tested",H16="verified",H16="not applicable"),1,0)</f>
        <v>1</v>
      </c>
    </row>
    <row r="17" customFormat="false" ht="54" hidden="false" customHeight="true" outlineLevel="0" collapsed="false">
      <c r="A17" s="14" t="s">
        <v>1180</v>
      </c>
      <c r="B17" s="14" t="s">
        <v>1678</v>
      </c>
      <c r="C17" s="14" t="s">
        <v>3326</v>
      </c>
      <c r="D17" s="15" t="s">
        <v>3327</v>
      </c>
      <c r="E17" s="14" t="s">
        <v>3050</v>
      </c>
      <c r="F17" s="14" t="s">
        <v>196</v>
      </c>
      <c r="G17" s="15" t="s">
        <v>3328</v>
      </c>
      <c r="H17" s="14" t="s">
        <v>124</v>
      </c>
      <c r="I17" s="14" t="s">
        <v>140</v>
      </c>
      <c r="J17" s="16" t="s">
        <v>3329</v>
      </c>
      <c r="K17" s="15"/>
      <c r="L17" s="14"/>
      <c r="M17" s="14" t="n">
        <f aca="false">IF(OR(H17="tested",H17="verified",H17="not applicable"),1,0)</f>
        <v>0</v>
      </c>
    </row>
    <row r="18" customFormat="false" ht="54" hidden="false" customHeight="true" outlineLevel="0" collapsed="false">
      <c r="A18" s="14" t="s">
        <v>1183</v>
      </c>
      <c r="B18" s="14" t="s">
        <v>1222</v>
      </c>
      <c r="C18" s="14" t="s">
        <v>3330</v>
      </c>
      <c r="D18" s="15" t="s">
        <v>3331</v>
      </c>
      <c r="E18" s="14" t="s">
        <v>186</v>
      </c>
      <c r="F18" s="14" t="s">
        <v>186</v>
      </c>
      <c r="G18" s="15" t="s">
        <v>3320</v>
      </c>
      <c r="H18" s="14" t="s">
        <v>126</v>
      </c>
      <c r="I18" s="14" t="s">
        <v>141</v>
      </c>
      <c r="J18" s="16" t="s">
        <v>3309</v>
      </c>
      <c r="K18" s="15"/>
      <c r="L18" s="14"/>
      <c r="M18" s="14" t="n">
        <f aca="false">IF(OR(H18="tested",H18="verified",H18="not applicable"),1,0)</f>
        <v>1</v>
      </c>
    </row>
    <row r="19" customFormat="false" ht="54" hidden="false" customHeight="true" outlineLevel="0" collapsed="false">
      <c r="A19" s="14" t="s">
        <v>1185</v>
      </c>
      <c r="B19" s="14" t="s">
        <v>3332</v>
      </c>
      <c r="C19" s="14" t="s">
        <v>1155</v>
      </c>
      <c r="D19" s="15" t="s">
        <v>3333</v>
      </c>
      <c r="E19" s="14" t="s">
        <v>186</v>
      </c>
      <c r="F19" s="14" t="s">
        <v>186</v>
      </c>
      <c r="G19" s="15" t="s">
        <v>3320</v>
      </c>
      <c r="H19" s="14" t="s">
        <v>126</v>
      </c>
      <c r="I19" s="14" t="s">
        <v>141</v>
      </c>
      <c r="J19" s="16" t="s">
        <v>3309</v>
      </c>
      <c r="K19" s="15"/>
      <c r="L19" s="14"/>
      <c r="M19" s="14" t="n">
        <f aca="false">IF(OR(H19="tested",H19="verified",H19="not applicable"),1,0)</f>
        <v>1</v>
      </c>
    </row>
    <row r="20" customFormat="false" ht="54" hidden="false" customHeight="true" outlineLevel="0" collapsed="false">
      <c r="A20" s="14" t="s">
        <v>1187</v>
      </c>
      <c r="B20" s="14" t="s">
        <v>3334</v>
      </c>
      <c r="C20" s="14" t="s">
        <v>1155</v>
      </c>
      <c r="D20" s="15" t="s">
        <v>3335</v>
      </c>
      <c r="E20" s="14" t="s">
        <v>3050</v>
      </c>
      <c r="F20" s="14" t="s">
        <v>202</v>
      </c>
      <c r="G20" s="15" t="s">
        <v>3336</v>
      </c>
      <c r="H20" s="14" t="s">
        <v>124</v>
      </c>
      <c r="I20" s="14" t="s">
        <v>140</v>
      </c>
      <c r="J20" s="16" t="s">
        <v>3329</v>
      </c>
      <c r="K20" s="15"/>
      <c r="L20" s="14"/>
      <c r="M20" s="14" t="n">
        <f aca="false">IF(OR(H20="tested",H20="verified",H20="not applicable"),1,0)</f>
        <v>0</v>
      </c>
    </row>
    <row r="21" customFormat="false" ht="54" hidden="false" customHeight="true" outlineLevel="0" collapsed="false">
      <c r="A21" s="14" t="s">
        <v>1190</v>
      </c>
      <c r="B21" s="14" t="s">
        <v>189</v>
      </c>
      <c r="C21" s="14" t="s">
        <v>1274</v>
      </c>
      <c r="D21" s="15" t="s">
        <v>3337</v>
      </c>
      <c r="E21" s="14" t="s">
        <v>186</v>
      </c>
      <c r="F21" s="14" t="s">
        <v>191</v>
      </c>
      <c r="G21" s="15" t="s">
        <v>3320</v>
      </c>
      <c r="H21" s="14" t="s">
        <v>126</v>
      </c>
      <c r="I21" s="14" t="s">
        <v>141</v>
      </c>
      <c r="J21" s="16" t="s">
        <v>3309</v>
      </c>
      <c r="K21" s="15"/>
      <c r="L21" s="14"/>
      <c r="M21" s="14" t="n">
        <f aca="false">IF(OR(H21="tested",H21="verified",H21="not applicable"),1,0)</f>
        <v>1</v>
      </c>
    </row>
    <row r="22" customFormat="false" ht="54" hidden="false" customHeight="true" outlineLevel="0" collapsed="false">
      <c r="A22" s="14" t="s">
        <v>1194</v>
      </c>
      <c r="B22" s="14" t="s">
        <v>94</v>
      </c>
      <c r="C22" s="14" t="s">
        <v>1274</v>
      </c>
      <c r="D22" s="15" t="s">
        <v>3338</v>
      </c>
      <c r="E22" s="14" t="s">
        <v>3050</v>
      </c>
      <c r="F22" s="14" t="s">
        <v>196</v>
      </c>
      <c r="G22" s="15" t="s">
        <v>3328</v>
      </c>
      <c r="H22" s="14" t="s">
        <v>124</v>
      </c>
      <c r="I22" s="14" t="s">
        <v>140</v>
      </c>
      <c r="J22" s="16" t="s">
        <v>3329</v>
      </c>
      <c r="K22" s="15"/>
      <c r="L22" s="14"/>
      <c r="M22" s="14" t="n">
        <f aca="false">IF(OR(H22="tested",H22="verified",H22="not applicable"),1,0)</f>
        <v>0</v>
      </c>
    </row>
    <row r="23" customFormat="false" ht="54" hidden="false" customHeight="true" outlineLevel="0" collapsed="false">
      <c r="A23" s="14" t="s">
        <v>1198</v>
      </c>
      <c r="B23" s="14" t="s">
        <v>200</v>
      </c>
      <c r="C23" s="14" t="s">
        <v>3339</v>
      </c>
      <c r="D23" s="15" t="s">
        <v>3340</v>
      </c>
      <c r="E23" s="14" t="s">
        <v>3050</v>
      </c>
      <c r="F23" s="14" t="s">
        <v>202</v>
      </c>
      <c r="G23" s="15" t="s">
        <v>3336</v>
      </c>
      <c r="H23" s="14" t="s">
        <v>124</v>
      </c>
      <c r="I23" s="14" t="s">
        <v>140</v>
      </c>
      <c r="J23" s="16" t="s">
        <v>3329</v>
      </c>
      <c r="K23" s="15"/>
      <c r="L23" s="14"/>
      <c r="M23" s="14" t="n">
        <f aca="false">IF(OR(H23="tested",H23="verified",H23="not applicable"),1,0)</f>
        <v>0</v>
      </c>
    </row>
    <row r="24" customFormat="false" ht="54" hidden="false" customHeight="true" outlineLevel="0" collapsed="false">
      <c r="A24" s="14" t="s">
        <v>1202</v>
      </c>
      <c r="B24" s="14" t="s">
        <v>2620</v>
      </c>
      <c r="C24" s="14" t="s">
        <v>3339</v>
      </c>
      <c r="D24" s="15" t="s">
        <v>3341</v>
      </c>
      <c r="E24" s="14" t="s">
        <v>3050</v>
      </c>
      <c r="F24" s="14" t="s">
        <v>196</v>
      </c>
      <c r="G24" s="15" t="s">
        <v>3328</v>
      </c>
      <c r="H24" s="14" t="s">
        <v>124</v>
      </c>
      <c r="I24" s="14" t="s">
        <v>140</v>
      </c>
      <c r="J24" s="16" t="s">
        <v>3329</v>
      </c>
      <c r="K24" s="15"/>
      <c r="L24" s="14"/>
      <c r="M24" s="14" t="n">
        <f aca="false">IF(OR(H24="tested",H24="verified",H24="not applicable"),1,0)</f>
        <v>0</v>
      </c>
    </row>
    <row r="25" customFormat="false" ht="23.25" hidden="false" customHeight="true" outlineLevel="0" collapsed="false">
      <c r="A25" s="14" t="s">
        <v>1205</v>
      </c>
      <c r="B25" s="14" t="s">
        <v>1620</v>
      </c>
      <c r="C25" s="14" t="s">
        <v>3330</v>
      </c>
      <c r="D25" s="15" t="s">
        <v>3342</v>
      </c>
      <c r="E25" s="14" t="s">
        <v>3050</v>
      </c>
      <c r="F25" s="14" t="s">
        <v>202</v>
      </c>
      <c r="G25" s="15" t="s">
        <v>3336</v>
      </c>
      <c r="H25" s="14" t="s">
        <v>124</v>
      </c>
      <c r="I25" s="14" t="s">
        <v>140</v>
      </c>
      <c r="J25" s="16" t="s">
        <v>3329</v>
      </c>
      <c r="K25" s="15"/>
      <c r="L25" s="14"/>
      <c r="M25" s="14" t="n">
        <f aca="false">IF(OR(H25="tested",H25="verified",H25="not applicable"),1,0)</f>
        <v>0</v>
      </c>
    </row>
    <row r="26" customFormat="false" ht="23.25" hidden="false" customHeight="true" outlineLevel="0" collapsed="false">
      <c r="A26" s="14" t="s">
        <v>1208</v>
      </c>
      <c r="B26" s="14" t="s">
        <v>2475</v>
      </c>
      <c r="C26" s="14" t="s">
        <v>78</v>
      </c>
      <c r="D26" s="15" t="s">
        <v>3343</v>
      </c>
      <c r="E26" s="14" t="s">
        <v>161</v>
      </c>
      <c r="F26" s="14" t="s">
        <v>220</v>
      </c>
      <c r="G26" s="15" t="s">
        <v>3344</v>
      </c>
      <c r="H26" s="14" t="s">
        <v>126</v>
      </c>
      <c r="I26" s="14" t="s">
        <v>141</v>
      </c>
      <c r="J26" s="16" t="s">
        <v>3309</v>
      </c>
      <c r="K26" s="15"/>
      <c r="L26" s="14"/>
      <c r="M26" s="14" t="n">
        <f aca="false">IF(OR(H26="tested",H26="verified",H26="not applicable"),1,0)</f>
        <v>1</v>
      </c>
    </row>
    <row r="27" customFormat="false" ht="23.25" hidden="false" customHeight="true" outlineLevel="0" collapsed="false">
      <c r="A27" s="14" t="s">
        <v>1211</v>
      </c>
      <c r="B27" s="14" t="s">
        <v>227</v>
      </c>
      <c r="C27" s="14" t="s">
        <v>78</v>
      </c>
      <c r="D27" s="15" t="s">
        <v>3345</v>
      </c>
      <c r="E27" s="14" t="s">
        <v>229</v>
      </c>
      <c r="F27" s="14" t="s">
        <v>229</v>
      </c>
      <c r="G27" s="15" t="s">
        <v>3346</v>
      </c>
      <c r="H27" s="14" t="s">
        <v>126</v>
      </c>
      <c r="I27" s="14" t="s">
        <v>141</v>
      </c>
      <c r="J27" s="16" t="s">
        <v>3309</v>
      </c>
      <c r="K27" s="15"/>
      <c r="L27" s="14"/>
      <c r="M27" s="14" t="n">
        <f aca="false">IF(OR(H27="tested",H27="verified",H27="not applicable"),1,0)</f>
        <v>1</v>
      </c>
    </row>
    <row r="28" customFormat="false" ht="23.25" hidden="false" customHeight="true" outlineLevel="0" collapsed="false">
      <c r="A28" s="14" t="s">
        <v>1213</v>
      </c>
      <c r="B28" s="14" t="s">
        <v>232</v>
      </c>
      <c r="C28" s="14" t="s">
        <v>78</v>
      </c>
      <c r="D28" s="15" t="s">
        <v>3347</v>
      </c>
      <c r="E28" s="14" t="s">
        <v>229</v>
      </c>
      <c r="F28" s="14" t="s">
        <v>161</v>
      </c>
      <c r="G28" s="15" t="s">
        <v>3348</v>
      </c>
      <c r="H28" s="14" t="s">
        <v>126</v>
      </c>
      <c r="I28" s="14" t="s">
        <v>141</v>
      </c>
      <c r="J28" s="16" t="s">
        <v>3309</v>
      </c>
      <c r="K28" s="15"/>
      <c r="L28" s="14"/>
      <c r="M28" s="14" t="n">
        <f aca="false">IF(OR(H28="tested",H28="verified",H28="not applicable"),1,0)</f>
        <v>1</v>
      </c>
    </row>
    <row r="29" customFormat="false" ht="23.25" hidden="false" customHeight="true" outlineLevel="0" collapsed="false">
      <c r="A29" s="14" t="s">
        <v>3349</v>
      </c>
      <c r="B29" s="14" t="s">
        <v>214</v>
      </c>
      <c r="C29" s="14" t="s">
        <v>1274</v>
      </c>
      <c r="D29" s="15" t="s">
        <v>3350</v>
      </c>
      <c r="E29" s="14" t="s">
        <v>3050</v>
      </c>
      <c r="F29" s="14" t="s">
        <v>202</v>
      </c>
      <c r="G29" s="15" t="s">
        <v>3336</v>
      </c>
      <c r="H29" s="14" t="s">
        <v>124</v>
      </c>
      <c r="I29" s="14" t="s">
        <v>140</v>
      </c>
      <c r="J29" s="16" t="s">
        <v>3329</v>
      </c>
      <c r="K29" s="15"/>
      <c r="L29" s="14"/>
      <c r="M29" s="14" t="n">
        <f aca="false">IF(OR(H29="tested",H29="verified",H29="not applicable"),1,0)</f>
        <v>0</v>
      </c>
    </row>
    <row r="30" customFormat="false" ht="23.25" hidden="false" customHeight="true" outlineLevel="0" collapsed="false">
      <c r="A30" s="14" t="s">
        <v>3351</v>
      </c>
      <c r="B30" s="14" t="s">
        <v>194</v>
      </c>
      <c r="C30" s="14" t="s">
        <v>1274</v>
      </c>
      <c r="D30" s="15" t="s">
        <v>3352</v>
      </c>
      <c r="E30" s="14" t="s">
        <v>3050</v>
      </c>
      <c r="F30" s="14" t="s">
        <v>196</v>
      </c>
      <c r="G30" s="15" t="s">
        <v>3328</v>
      </c>
      <c r="H30" s="14" t="s">
        <v>124</v>
      </c>
      <c r="I30" s="14" t="s">
        <v>140</v>
      </c>
      <c r="J30" s="16" t="s">
        <v>3329</v>
      </c>
      <c r="K30" s="15"/>
      <c r="L30" s="14"/>
      <c r="M30" s="14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3355</v>
      </c>
      <c r="B9" s="14" t="s">
        <v>158</v>
      </c>
      <c r="C9" s="14" t="s">
        <v>830</v>
      </c>
      <c r="D9" s="15" t="s">
        <v>3356</v>
      </c>
      <c r="E9" s="14" t="s">
        <v>161</v>
      </c>
      <c r="F9" s="14" t="s">
        <v>162</v>
      </c>
      <c r="G9" s="15" t="s">
        <v>3357</v>
      </c>
      <c r="H9" s="14" t="s">
        <v>126</v>
      </c>
      <c r="I9" s="14" t="s">
        <v>141</v>
      </c>
      <c r="J9" s="16" t="s">
        <v>3309</v>
      </c>
      <c r="K9" s="15"/>
      <c r="L9" s="14"/>
      <c r="M9" s="14" t="n">
        <f aca="false">IF(OR(H9="tested",H9="verified",H9="not applicable"),1,0)</f>
        <v>1</v>
      </c>
    </row>
    <row r="10" customFormat="false" ht="54" hidden="false" customHeight="true" outlineLevel="0" collapsed="false">
      <c r="A10" s="14" t="s">
        <v>3358</v>
      </c>
      <c r="B10" s="14" t="s">
        <v>1432</v>
      </c>
      <c r="C10" s="14" t="s">
        <v>1274</v>
      </c>
      <c r="D10" s="15" t="s">
        <v>3359</v>
      </c>
      <c r="E10" s="14" t="s">
        <v>161</v>
      </c>
      <c r="F10" s="14" t="s">
        <v>181</v>
      </c>
      <c r="G10" s="15" t="s">
        <v>3360</v>
      </c>
      <c r="H10" s="14" t="s">
        <v>126</v>
      </c>
      <c r="I10" s="14" t="s">
        <v>141</v>
      </c>
      <c r="J10" s="16" t="s">
        <v>3309</v>
      </c>
      <c r="K10" s="15"/>
      <c r="L10" s="14"/>
      <c r="M10" s="14" t="n">
        <f aca="false">IF(OR(H10="tested",H10="verified",H10="not applicable"),1,0)</f>
        <v>1</v>
      </c>
    </row>
    <row r="11" customFormat="false" ht="54" hidden="false" customHeight="true" outlineLevel="0" collapsed="false">
      <c r="A11" s="14" t="s">
        <v>3361</v>
      </c>
      <c r="B11" s="14" t="s">
        <v>165</v>
      </c>
      <c r="C11" s="14" t="s">
        <v>3362</v>
      </c>
      <c r="D11" s="15" t="s">
        <v>3363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s">
        <v>3309</v>
      </c>
      <c r="K11" s="15"/>
      <c r="L11" s="14"/>
      <c r="M11" s="14" t="n">
        <f aca="false">IF(OR(H11="tested",H11="verified",H11="not applicable"),1,0)</f>
        <v>1</v>
      </c>
    </row>
    <row r="12" customFormat="false" ht="54" hidden="false" customHeight="true" outlineLevel="0" collapsed="false">
      <c r="A12" s="14" t="s">
        <v>3364</v>
      </c>
      <c r="B12" s="14" t="s">
        <v>169</v>
      </c>
      <c r="C12" s="14" t="s">
        <v>1479</v>
      </c>
      <c r="D12" s="15" t="s">
        <v>3313</v>
      </c>
      <c r="E12" s="14" t="s">
        <v>161</v>
      </c>
      <c r="F12" s="14" t="s">
        <v>171</v>
      </c>
      <c r="G12" s="15" t="s">
        <v>3365</v>
      </c>
      <c r="H12" s="14" t="s">
        <v>126</v>
      </c>
      <c r="I12" s="14" t="s">
        <v>141</v>
      </c>
      <c r="J12" s="16" t="s">
        <v>3309</v>
      </c>
      <c r="K12" s="15"/>
      <c r="L12" s="14"/>
      <c r="M12" s="14" t="n">
        <f aca="false">IF(OR(H12="tested",H12="verified",H12="not applicable"),1,0)</f>
        <v>1</v>
      </c>
    </row>
    <row r="13" customFormat="false" ht="54" hidden="false" customHeight="true" outlineLevel="0" collapsed="false">
      <c r="A13" s="14" t="s">
        <v>3366</v>
      </c>
      <c r="B13" s="14" t="s">
        <v>174</v>
      </c>
      <c r="C13" s="14" t="s">
        <v>1274</v>
      </c>
      <c r="D13" s="15" t="s">
        <v>3367</v>
      </c>
      <c r="E13" s="14" t="s">
        <v>161</v>
      </c>
      <c r="F13" s="14" t="s">
        <v>176</v>
      </c>
      <c r="G13" s="15" t="s">
        <v>3368</v>
      </c>
      <c r="H13" s="14" t="s">
        <v>126</v>
      </c>
      <c r="I13" s="14" t="s">
        <v>141</v>
      </c>
      <c r="J13" s="16" t="s">
        <v>3309</v>
      </c>
      <c r="K13" s="15"/>
      <c r="L13" s="14"/>
      <c r="M13" s="14" t="n">
        <f aca="false">IF(OR(H13="tested",H13="verified",H13="not applicable"),1,0)</f>
        <v>1</v>
      </c>
    </row>
    <row r="14" customFormat="false" ht="54" hidden="false" customHeight="true" outlineLevel="0" collapsed="false">
      <c r="A14" s="14" t="s">
        <v>3369</v>
      </c>
      <c r="B14" s="14" t="s">
        <v>3370</v>
      </c>
      <c r="C14" s="14" t="s">
        <v>3371</v>
      </c>
      <c r="D14" s="15" t="s">
        <v>3372</v>
      </c>
      <c r="E14" s="14" t="s">
        <v>186</v>
      </c>
      <c r="F14" s="14" t="s">
        <v>186</v>
      </c>
      <c r="G14" s="15" t="s">
        <v>3373</v>
      </c>
      <c r="H14" s="14" t="s">
        <v>126</v>
      </c>
      <c r="I14" s="14" t="s">
        <v>141</v>
      </c>
      <c r="J14" s="16" t="s">
        <v>3309</v>
      </c>
      <c r="K14" s="15"/>
      <c r="L14" s="14"/>
      <c r="M14" s="14" t="n">
        <f aca="false">IF(OR(H14="tested",H14="verified",H14="not applicable"),1,0)</f>
        <v>1</v>
      </c>
    </row>
    <row r="15" customFormat="false" ht="54" hidden="false" customHeight="true" outlineLevel="0" collapsed="false">
      <c r="A15" s="14" t="s">
        <v>3374</v>
      </c>
      <c r="B15" s="14" t="s">
        <v>1498</v>
      </c>
      <c r="C15" s="14" t="s">
        <v>3324</v>
      </c>
      <c r="D15" s="15" t="s">
        <v>3375</v>
      </c>
      <c r="E15" s="14" t="s">
        <v>186</v>
      </c>
      <c r="F15" s="14" t="s">
        <v>186</v>
      </c>
      <c r="G15" s="15" t="s">
        <v>3373</v>
      </c>
      <c r="H15" s="14" t="s">
        <v>126</v>
      </c>
      <c r="I15" s="14" t="s">
        <v>141</v>
      </c>
      <c r="J15" s="16" t="s">
        <v>3309</v>
      </c>
      <c r="K15" s="15"/>
      <c r="L15" s="14"/>
      <c r="M15" s="14" t="n">
        <f aca="false">IF(OR(H15="tested",H15="verified",H15="not applicable"),1,0)</f>
        <v>1</v>
      </c>
    </row>
    <row r="16" customFormat="false" ht="54" hidden="false" customHeight="true" outlineLevel="0" collapsed="false">
      <c r="A16" s="14" t="s">
        <v>3376</v>
      </c>
      <c r="B16" s="14" t="s">
        <v>1678</v>
      </c>
      <c r="C16" s="14" t="s">
        <v>1274</v>
      </c>
      <c r="D16" s="15" t="s">
        <v>3377</v>
      </c>
      <c r="E16" s="14" t="s">
        <v>3050</v>
      </c>
      <c r="F16" s="14" t="s">
        <v>196</v>
      </c>
      <c r="G16" s="15" t="s">
        <v>3378</v>
      </c>
      <c r="H16" s="14" t="s">
        <v>128</v>
      </c>
      <c r="I16" s="14" t="s">
        <v>140</v>
      </c>
      <c r="J16" s="16" t="s">
        <v>3379</v>
      </c>
      <c r="K16" s="15"/>
      <c r="L16" s="14"/>
      <c r="M16" s="14" t="n">
        <f aca="false">IF(OR(H16="tested",H16="verified",H16="not applicable"),1,0)</f>
        <v>1</v>
      </c>
    </row>
    <row r="17" customFormat="false" ht="54" hidden="false" customHeight="true" outlineLevel="0" collapsed="false">
      <c r="A17" s="14" t="s">
        <v>3380</v>
      </c>
      <c r="B17" s="14" t="s">
        <v>1222</v>
      </c>
      <c r="C17" s="14" t="s">
        <v>830</v>
      </c>
      <c r="D17" s="15" t="s">
        <v>3381</v>
      </c>
      <c r="E17" s="14" t="s">
        <v>186</v>
      </c>
      <c r="F17" s="14" t="s">
        <v>186</v>
      </c>
      <c r="G17" s="15" t="s">
        <v>3373</v>
      </c>
      <c r="H17" s="14" t="s">
        <v>126</v>
      </c>
      <c r="I17" s="14" t="s">
        <v>141</v>
      </c>
      <c r="J17" s="16" t="s">
        <v>3309</v>
      </c>
      <c r="K17" s="15"/>
      <c r="L17" s="14"/>
      <c r="M17" s="14" t="n">
        <f aca="false">IF(OR(H17="tested",H17="verified",H17="not applicable"),1,0)</f>
        <v>1</v>
      </c>
    </row>
    <row r="18" customFormat="false" ht="54" hidden="false" customHeight="true" outlineLevel="0" collapsed="false">
      <c r="A18" s="14" t="s">
        <v>3382</v>
      </c>
      <c r="B18" s="14" t="s">
        <v>189</v>
      </c>
      <c r="C18" s="14" t="s">
        <v>1274</v>
      </c>
      <c r="D18" s="15" t="s">
        <v>3383</v>
      </c>
      <c r="E18" s="14" t="s">
        <v>186</v>
      </c>
      <c r="F18" s="14" t="s">
        <v>191</v>
      </c>
      <c r="G18" s="15" t="s">
        <v>3373</v>
      </c>
      <c r="H18" s="14" t="s">
        <v>126</v>
      </c>
      <c r="I18" s="14" t="s">
        <v>141</v>
      </c>
      <c r="J18" s="16" t="s">
        <v>3309</v>
      </c>
      <c r="K18" s="15"/>
      <c r="L18" s="14"/>
      <c r="M18" s="14" t="n">
        <f aca="false">IF(OR(H18="tested",H18="verified",H18="not applicable"),1,0)</f>
        <v>1</v>
      </c>
    </row>
    <row r="19" customFormat="false" ht="54" hidden="false" customHeight="true" outlineLevel="0" collapsed="false">
      <c r="A19" s="14" t="s">
        <v>3384</v>
      </c>
      <c r="B19" s="14" t="s">
        <v>94</v>
      </c>
      <c r="C19" s="14" t="s">
        <v>1274</v>
      </c>
      <c r="D19" s="15" t="s">
        <v>3385</v>
      </c>
      <c r="E19" s="14" t="s">
        <v>3050</v>
      </c>
      <c r="F19" s="14" t="s">
        <v>196</v>
      </c>
      <c r="G19" s="15" t="s">
        <v>3378</v>
      </c>
      <c r="H19" s="14" t="s">
        <v>128</v>
      </c>
      <c r="I19" s="14" t="s">
        <v>140</v>
      </c>
      <c r="J19" s="16" t="s">
        <v>3379</v>
      </c>
      <c r="K19" s="15"/>
      <c r="L19" s="14"/>
      <c r="M19" s="14" t="n">
        <f aca="false">IF(OR(H19="tested",H19="verified",H19="not applicable"),1,0)</f>
        <v>1</v>
      </c>
    </row>
    <row r="20" customFormat="false" ht="54" hidden="false" customHeight="true" outlineLevel="0" collapsed="false">
      <c r="A20" s="14" t="s">
        <v>3386</v>
      </c>
      <c r="B20" s="14" t="s">
        <v>200</v>
      </c>
      <c r="C20" s="14" t="s">
        <v>830</v>
      </c>
      <c r="D20" s="15" t="s">
        <v>3387</v>
      </c>
      <c r="E20" s="14" t="s">
        <v>3050</v>
      </c>
      <c r="F20" s="14" t="s">
        <v>202</v>
      </c>
      <c r="G20" s="15" t="s">
        <v>3388</v>
      </c>
      <c r="H20" s="14" t="s">
        <v>124</v>
      </c>
      <c r="I20" s="14" t="s">
        <v>140</v>
      </c>
      <c r="J20" s="16" t="s">
        <v>3389</v>
      </c>
      <c r="K20" s="15"/>
      <c r="L20" s="14"/>
      <c r="M20" s="14" t="n">
        <f aca="false">IF(OR(H20="tested",H20="verified",H20="not applicable"),1,0)</f>
        <v>0</v>
      </c>
    </row>
    <row r="21" customFormat="false" ht="54" hidden="false" customHeight="true" outlineLevel="0" collapsed="false">
      <c r="A21" s="14" t="s">
        <v>3390</v>
      </c>
      <c r="B21" s="14" t="s">
        <v>2620</v>
      </c>
      <c r="C21" s="14" t="s">
        <v>3391</v>
      </c>
      <c r="D21" s="15" t="s">
        <v>3392</v>
      </c>
      <c r="E21" s="14" t="s">
        <v>3050</v>
      </c>
      <c r="F21" s="14" t="s">
        <v>196</v>
      </c>
      <c r="G21" s="15" t="s">
        <v>3378</v>
      </c>
      <c r="H21" s="14" t="s">
        <v>128</v>
      </c>
      <c r="I21" s="14" t="s">
        <v>140</v>
      </c>
      <c r="J21" s="16" t="s">
        <v>3379</v>
      </c>
      <c r="K21" s="15"/>
      <c r="L21" s="14"/>
      <c r="M21" s="14" t="n">
        <f aca="false">IF(OR(H21="tested",H21="verified",H21="not applicable"),1,0)</f>
        <v>1</v>
      </c>
    </row>
    <row r="22" customFormat="false" ht="54" hidden="false" customHeight="true" outlineLevel="0" collapsed="false">
      <c r="A22" s="14" t="s">
        <v>3393</v>
      </c>
      <c r="B22" s="14" t="s">
        <v>1620</v>
      </c>
      <c r="C22" s="14" t="s">
        <v>830</v>
      </c>
      <c r="D22" s="15" t="s">
        <v>3342</v>
      </c>
      <c r="E22" s="14" t="s">
        <v>3050</v>
      </c>
      <c r="F22" s="14" t="s">
        <v>202</v>
      </c>
      <c r="G22" s="15" t="s">
        <v>3388</v>
      </c>
      <c r="H22" s="14" t="s">
        <v>128</v>
      </c>
      <c r="I22" s="14" t="s">
        <v>140</v>
      </c>
      <c r="J22" s="16" t="s">
        <v>3379</v>
      </c>
      <c r="K22" s="15"/>
      <c r="L22" s="14"/>
      <c r="M22" s="14" t="n">
        <f aca="false">IF(OR(H22="tested",H22="verified",H22="not applicable"),1,0)</f>
        <v>1</v>
      </c>
    </row>
    <row r="23" customFormat="false" ht="54" hidden="false" customHeight="true" outlineLevel="0" collapsed="false">
      <c r="A23" s="14" t="s">
        <v>3394</v>
      </c>
      <c r="B23" s="14" t="s">
        <v>2475</v>
      </c>
      <c r="C23" s="14" t="s">
        <v>3362</v>
      </c>
      <c r="D23" s="15" t="s">
        <v>3395</v>
      </c>
      <c r="E23" s="14" t="s">
        <v>161</v>
      </c>
      <c r="F23" s="14" t="s">
        <v>220</v>
      </c>
      <c r="G23" s="15" t="s">
        <v>3396</v>
      </c>
      <c r="H23" s="14" t="s">
        <v>126</v>
      </c>
      <c r="I23" s="14" t="s">
        <v>141</v>
      </c>
      <c r="J23" s="16" t="s">
        <v>3309</v>
      </c>
      <c r="K23" s="15"/>
      <c r="L23" s="14"/>
      <c r="M23" s="14" t="n">
        <f aca="false">IF(OR(H23="tested",H23="verified",H23="not applicable"),1,0)</f>
        <v>1</v>
      </c>
    </row>
    <row r="24" customFormat="false" ht="54" hidden="false" customHeight="true" outlineLevel="0" collapsed="false">
      <c r="A24" s="14" t="s">
        <v>3397</v>
      </c>
      <c r="B24" s="14" t="s">
        <v>227</v>
      </c>
      <c r="C24" s="14" t="s">
        <v>3362</v>
      </c>
      <c r="D24" s="15" t="s">
        <v>3398</v>
      </c>
      <c r="E24" s="14" t="s">
        <v>229</v>
      </c>
      <c r="F24" s="14" t="s">
        <v>229</v>
      </c>
      <c r="G24" s="15" t="s">
        <v>3346</v>
      </c>
      <c r="H24" s="14" t="s">
        <v>126</v>
      </c>
      <c r="I24" s="14" t="s">
        <v>141</v>
      </c>
      <c r="J24" s="16" t="s">
        <v>3399</v>
      </c>
      <c r="K24" s="15"/>
      <c r="L24" s="14"/>
      <c r="M24" s="14" t="n">
        <f aca="false">IF(OR(H24="tested",H24="verified",H24="not applicable"),1,0)</f>
        <v>1</v>
      </c>
    </row>
    <row r="25" customFormat="false" ht="23.25" hidden="false" customHeight="true" outlineLevel="0" collapsed="false">
      <c r="A25" s="14" t="s">
        <v>3400</v>
      </c>
      <c r="B25" s="14" t="s">
        <v>232</v>
      </c>
      <c r="C25" s="14" t="s">
        <v>3362</v>
      </c>
      <c r="D25" s="15" t="s">
        <v>3347</v>
      </c>
      <c r="E25" s="14" t="s">
        <v>229</v>
      </c>
      <c r="F25" s="14" t="s">
        <v>161</v>
      </c>
      <c r="G25" s="15" t="s">
        <v>3348</v>
      </c>
      <c r="H25" s="14" t="s">
        <v>126</v>
      </c>
      <c r="I25" s="14" t="s">
        <v>141</v>
      </c>
      <c r="J25" s="16" t="s">
        <v>3399</v>
      </c>
      <c r="K25" s="15"/>
      <c r="L25" s="14"/>
      <c r="M25" s="14" t="n">
        <f aca="false">IF(OR(H25="tested",H25="verified",H25="not applicable"),1,0)</f>
        <v>1</v>
      </c>
    </row>
    <row r="26" customFormat="false" ht="23.25" hidden="false" customHeight="true" outlineLevel="0" collapsed="false">
      <c r="A26" s="14" t="s">
        <v>3401</v>
      </c>
      <c r="B26" s="14" t="s">
        <v>214</v>
      </c>
      <c r="C26" s="14" t="s">
        <v>1274</v>
      </c>
      <c r="D26" s="15" t="s">
        <v>3402</v>
      </c>
      <c r="E26" s="14" t="s">
        <v>3050</v>
      </c>
      <c r="F26" s="14" t="s">
        <v>202</v>
      </c>
      <c r="G26" s="15" t="s">
        <v>3388</v>
      </c>
      <c r="H26" s="14" t="s">
        <v>124</v>
      </c>
      <c r="I26" s="14" t="s">
        <v>140</v>
      </c>
      <c r="J26" s="16" t="s">
        <v>3389</v>
      </c>
      <c r="K26" s="15"/>
      <c r="L26" s="14"/>
      <c r="M26" s="14" t="n">
        <f aca="false">IF(OR(H26="tested",H26="verified",H26="not applicable"),1,0)</f>
        <v>0</v>
      </c>
    </row>
    <row r="27" customFormat="false" ht="23.25" hidden="false" customHeight="true" outlineLevel="0" collapsed="false">
      <c r="A27" s="14" t="s">
        <v>3403</v>
      </c>
      <c r="B27" s="14" t="s">
        <v>194</v>
      </c>
      <c r="C27" s="14" t="s">
        <v>1274</v>
      </c>
      <c r="D27" s="15" t="s">
        <v>3404</v>
      </c>
      <c r="E27" s="14" t="s">
        <v>3050</v>
      </c>
      <c r="F27" s="14" t="s">
        <v>196</v>
      </c>
      <c r="G27" s="15" t="s">
        <v>3378</v>
      </c>
      <c r="H27" s="14" t="s">
        <v>128</v>
      </c>
      <c r="I27" s="14" t="s">
        <v>140</v>
      </c>
      <c r="J27" s="16" t="s">
        <v>3379</v>
      </c>
      <c r="K27" s="15"/>
      <c r="L27" s="14"/>
      <c r="M27" s="14" t="n">
        <f aca="false">IF(OR(H27="tested",H27="verified",H27="not applicable"),1,0)</f>
        <v>1</v>
      </c>
    </row>
    <row r="28" customFormat="false" ht="23.25" hidden="false" customHeight="true" outlineLevel="0" collapsed="false">
      <c r="A28" s="14"/>
      <c r="B28" s="14"/>
      <c r="C28" s="14"/>
      <c r="D28" s="15"/>
      <c r="E28" s="14"/>
      <c r="F28" s="14"/>
      <c r="G28" s="15"/>
      <c r="H28" s="14"/>
      <c r="I28" s="14"/>
      <c r="J28" s="16"/>
      <c r="K28" s="15"/>
      <c r="L28" s="14"/>
      <c r="M28" s="14"/>
    </row>
    <row r="29" customFormat="false" ht="23.25" hidden="false" customHeight="true" outlineLevel="0" collapsed="false">
      <c r="A29" s="14"/>
      <c r="B29" s="14"/>
      <c r="C29" s="14"/>
      <c r="D29" s="15"/>
      <c r="E29" s="14"/>
      <c r="F29" s="14"/>
      <c r="G29" s="15"/>
      <c r="H29" s="14"/>
      <c r="I29" s="14"/>
      <c r="J29" s="16"/>
      <c r="K29" s="15"/>
      <c r="L29" s="14"/>
      <c r="M29" s="14"/>
    </row>
    <row r="30" customFormat="false" ht="23.25" hidden="false" customHeight="true" outlineLevel="0" collapsed="false">
      <c r="A30" s="14"/>
      <c r="B30" s="14"/>
      <c r="C30" s="14"/>
      <c r="D30" s="15"/>
      <c r="E30" s="14"/>
      <c r="F30" s="14"/>
      <c r="G30" s="15"/>
      <c r="H30" s="14"/>
      <c r="I30" s="14"/>
      <c r="J30" s="16"/>
      <c r="K30" s="15"/>
      <c r="L30" s="14"/>
      <c r="M30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3407</v>
      </c>
      <c r="B9" s="14" t="s">
        <v>158</v>
      </c>
      <c r="C9" s="14" t="s">
        <v>830</v>
      </c>
      <c r="D9" s="15" t="s">
        <v>3408</v>
      </c>
      <c r="E9" s="14" t="s">
        <v>161</v>
      </c>
      <c r="F9" s="14" t="s">
        <v>162</v>
      </c>
      <c r="G9" s="15" t="s">
        <v>3409</v>
      </c>
      <c r="H9" s="14" t="s">
        <v>126</v>
      </c>
      <c r="I9" s="14" t="s">
        <v>141</v>
      </c>
      <c r="J9" s="16" t="s">
        <v>3309</v>
      </c>
      <c r="K9" s="15"/>
      <c r="L9" s="14"/>
      <c r="M9" s="14" t="n">
        <f aca="false">IF(OR(H9="tested",H9="verified",H9="not applicable"),1,0)</f>
        <v>1</v>
      </c>
    </row>
    <row r="10" customFormat="false" ht="54" hidden="false" customHeight="true" outlineLevel="0" collapsed="false">
      <c r="A10" s="14" t="s">
        <v>3410</v>
      </c>
      <c r="B10" s="14" t="s">
        <v>1432</v>
      </c>
      <c r="C10" s="14" t="s">
        <v>1274</v>
      </c>
      <c r="D10" s="15" t="s">
        <v>3411</v>
      </c>
      <c r="E10" s="14" t="s">
        <v>161</v>
      </c>
      <c r="F10" s="14" t="s">
        <v>181</v>
      </c>
      <c r="G10" s="15" t="s">
        <v>3412</v>
      </c>
      <c r="H10" s="14" t="s">
        <v>126</v>
      </c>
      <c r="I10" s="14" t="s">
        <v>141</v>
      </c>
      <c r="J10" s="16" t="s">
        <v>3309</v>
      </c>
      <c r="K10" s="15"/>
      <c r="L10" s="14"/>
      <c r="M10" s="14" t="n">
        <f aca="false">IF(OR(H10="tested",H10="verified",H10="not applicable"),1,0)</f>
        <v>1</v>
      </c>
    </row>
    <row r="11" customFormat="false" ht="54" hidden="false" customHeight="true" outlineLevel="0" collapsed="false">
      <c r="A11" s="14" t="s">
        <v>3413</v>
      </c>
      <c r="B11" s="14" t="s">
        <v>165</v>
      </c>
      <c r="C11" s="14" t="s">
        <v>3414</v>
      </c>
      <c r="D11" s="15" t="s">
        <v>3415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s">
        <v>3309</v>
      </c>
      <c r="K11" s="15"/>
      <c r="L11" s="14"/>
      <c r="M11" s="14" t="n">
        <f aca="false">IF(OR(H11="tested",H11="verified",H11="not applicable"),1,0)</f>
        <v>1</v>
      </c>
    </row>
    <row r="12" customFormat="false" ht="54" hidden="false" customHeight="true" outlineLevel="0" collapsed="false">
      <c r="A12" s="14" t="s">
        <v>3416</v>
      </c>
      <c r="B12" s="14" t="s">
        <v>169</v>
      </c>
      <c r="C12" s="14" t="s">
        <v>1479</v>
      </c>
      <c r="D12" s="15" t="s">
        <v>3417</v>
      </c>
      <c r="E12" s="14" t="s">
        <v>161</v>
      </c>
      <c r="F12" s="14" t="s">
        <v>171</v>
      </c>
      <c r="G12" s="15" t="s">
        <v>3418</v>
      </c>
      <c r="H12" s="14" t="s">
        <v>126</v>
      </c>
      <c r="I12" s="14" t="s">
        <v>141</v>
      </c>
      <c r="J12" s="16" t="s">
        <v>3309</v>
      </c>
      <c r="K12" s="15"/>
      <c r="L12" s="14"/>
      <c r="M12" s="14" t="n">
        <f aca="false">IF(OR(H12="tested",H12="verified",H12="not applicable"),1,0)</f>
        <v>1</v>
      </c>
    </row>
    <row r="13" customFormat="false" ht="54" hidden="false" customHeight="true" outlineLevel="0" collapsed="false">
      <c r="A13" s="14" t="s">
        <v>3419</v>
      </c>
      <c r="B13" s="14" t="s">
        <v>174</v>
      </c>
      <c r="C13" s="14" t="s">
        <v>3420</v>
      </c>
      <c r="D13" s="15" t="s">
        <v>3421</v>
      </c>
      <c r="E13" s="14" t="s">
        <v>161</v>
      </c>
      <c r="F13" s="14" t="s">
        <v>176</v>
      </c>
      <c r="G13" s="15" t="s">
        <v>3422</v>
      </c>
      <c r="H13" s="14" t="s">
        <v>126</v>
      </c>
      <c r="I13" s="14" t="s">
        <v>141</v>
      </c>
      <c r="J13" s="16" t="s">
        <v>3309</v>
      </c>
      <c r="K13" s="15"/>
      <c r="L13" s="14"/>
      <c r="M13" s="14" t="n">
        <f aca="false">IF(OR(H13="tested",H13="verified",H13="not applicable"),1,0)</f>
        <v>1</v>
      </c>
    </row>
    <row r="14" customFormat="false" ht="54" hidden="false" customHeight="true" outlineLevel="0" collapsed="false">
      <c r="A14" s="14" t="s">
        <v>3423</v>
      </c>
      <c r="B14" s="14" t="s">
        <v>3424</v>
      </c>
      <c r="C14" s="14" t="s">
        <v>3425</v>
      </c>
      <c r="D14" s="15" t="s">
        <v>3426</v>
      </c>
      <c r="E14" s="14" t="s">
        <v>186</v>
      </c>
      <c r="F14" s="14" t="s">
        <v>186</v>
      </c>
      <c r="G14" s="15" t="s">
        <v>3427</v>
      </c>
      <c r="H14" s="14" t="s">
        <v>126</v>
      </c>
      <c r="I14" s="14" t="s">
        <v>141</v>
      </c>
      <c r="J14" s="16" t="s">
        <v>3309</v>
      </c>
      <c r="K14" s="15"/>
      <c r="L14" s="14"/>
      <c r="M14" s="14" t="n">
        <f aca="false">IF(OR(H14="tested",H14="verified",H14="not applicable"),1,0)</f>
        <v>1</v>
      </c>
    </row>
    <row r="15" customFormat="false" ht="54" hidden="false" customHeight="true" outlineLevel="0" collapsed="false">
      <c r="A15" s="14" t="s">
        <v>3428</v>
      </c>
      <c r="B15" s="14" t="s">
        <v>1498</v>
      </c>
      <c r="C15" s="14" t="s">
        <v>3324</v>
      </c>
      <c r="D15" s="15" t="s">
        <v>3429</v>
      </c>
      <c r="E15" s="14" t="s">
        <v>186</v>
      </c>
      <c r="F15" s="14" t="s">
        <v>186</v>
      </c>
      <c r="G15" s="15" t="s">
        <v>3427</v>
      </c>
      <c r="H15" s="14" t="s">
        <v>126</v>
      </c>
      <c r="I15" s="14" t="s">
        <v>141</v>
      </c>
      <c r="J15" s="16" t="s">
        <v>3309</v>
      </c>
      <c r="K15" s="15"/>
      <c r="L15" s="14"/>
      <c r="M15" s="14" t="n">
        <f aca="false">IF(OR(H15="tested",H15="verified",H15="not applicable"),1,0)</f>
        <v>1</v>
      </c>
    </row>
    <row r="16" customFormat="false" ht="54" hidden="false" customHeight="true" outlineLevel="0" collapsed="false">
      <c r="A16" s="14" t="s">
        <v>3430</v>
      </c>
      <c r="B16" s="14" t="s">
        <v>2673</v>
      </c>
      <c r="C16" s="14" t="s">
        <v>32</v>
      </c>
      <c r="D16" s="15" t="s">
        <v>3431</v>
      </c>
      <c r="E16" s="14" t="s">
        <v>186</v>
      </c>
      <c r="F16" s="14" t="s">
        <v>186</v>
      </c>
      <c r="G16" s="15" t="s">
        <v>3427</v>
      </c>
      <c r="H16" s="14" t="s">
        <v>126</v>
      </c>
      <c r="I16" s="14" t="s">
        <v>141</v>
      </c>
      <c r="J16" s="16" t="s">
        <v>3309</v>
      </c>
      <c r="K16" s="15"/>
      <c r="L16" s="14"/>
      <c r="M16" s="14" t="n">
        <f aca="false">IF(OR(H16="tested",H16="verified",H16="not applicable"),1,0)</f>
        <v>1</v>
      </c>
    </row>
    <row r="17" customFormat="false" ht="54" hidden="false" customHeight="true" outlineLevel="0" collapsed="false">
      <c r="A17" s="14" t="s">
        <v>3432</v>
      </c>
      <c r="B17" s="14" t="s">
        <v>1678</v>
      </c>
      <c r="C17" s="14" t="s">
        <v>1274</v>
      </c>
      <c r="D17" s="15" t="s">
        <v>3433</v>
      </c>
      <c r="E17" s="14" t="s">
        <v>3050</v>
      </c>
      <c r="F17" s="14" t="s">
        <v>196</v>
      </c>
      <c r="G17" s="15" t="s">
        <v>3434</v>
      </c>
      <c r="H17" s="14" t="s">
        <v>128</v>
      </c>
      <c r="I17" s="14" t="s">
        <v>140</v>
      </c>
      <c r="J17" s="16" t="s">
        <v>3379</v>
      </c>
      <c r="K17" s="15"/>
      <c r="L17" s="14"/>
      <c r="M17" s="14" t="n">
        <f aca="false">IF(OR(H17="tested",H17="verified",H17="not applicable"),1,0)</f>
        <v>1</v>
      </c>
    </row>
    <row r="18" customFormat="false" ht="54" hidden="false" customHeight="true" outlineLevel="0" collapsed="false">
      <c r="A18" s="14" t="s">
        <v>3435</v>
      </c>
      <c r="B18" s="14" t="s">
        <v>1222</v>
      </c>
      <c r="C18" s="14" t="s">
        <v>3436</v>
      </c>
      <c r="D18" s="15" t="s">
        <v>3437</v>
      </c>
      <c r="E18" s="14" t="s">
        <v>186</v>
      </c>
      <c r="F18" s="14" t="s">
        <v>186</v>
      </c>
      <c r="G18" s="15" t="s">
        <v>3427</v>
      </c>
      <c r="H18" s="14" t="s">
        <v>126</v>
      </c>
      <c r="I18" s="14" t="s">
        <v>141</v>
      </c>
      <c r="J18" s="16" t="s">
        <v>3309</v>
      </c>
      <c r="K18" s="15"/>
      <c r="L18" s="14"/>
      <c r="M18" s="14" t="n">
        <f aca="false">IF(OR(H18="tested",H18="verified",H18="not applicable"),1,0)</f>
        <v>1</v>
      </c>
    </row>
    <row r="19" customFormat="false" ht="54" hidden="false" customHeight="true" outlineLevel="0" collapsed="false">
      <c r="A19" s="14" t="s">
        <v>3438</v>
      </c>
      <c r="B19" s="14" t="s">
        <v>189</v>
      </c>
      <c r="C19" s="14" t="s">
        <v>3324</v>
      </c>
      <c r="D19" s="15" t="s">
        <v>3439</v>
      </c>
      <c r="E19" s="14" t="s">
        <v>186</v>
      </c>
      <c r="F19" s="14" t="s">
        <v>191</v>
      </c>
      <c r="G19" s="15" t="s">
        <v>3427</v>
      </c>
      <c r="H19" s="14" t="s">
        <v>126</v>
      </c>
      <c r="I19" s="14" t="s">
        <v>141</v>
      </c>
      <c r="J19" s="16" t="s">
        <v>3309</v>
      </c>
      <c r="K19" s="15"/>
      <c r="L19" s="14"/>
      <c r="M19" s="14" t="n">
        <f aca="false">IF(OR(H19="tested",H19="verified",H19="not applicable"),1,0)</f>
        <v>1</v>
      </c>
    </row>
    <row r="20" customFormat="false" ht="54" hidden="false" customHeight="true" outlineLevel="0" collapsed="false">
      <c r="A20" s="14" t="s">
        <v>3440</v>
      </c>
      <c r="B20" s="14" t="s">
        <v>94</v>
      </c>
      <c r="C20" s="14" t="s">
        <v>1274</v>
      </c>
      <c r="D20" s="15" t="s">
        <v>3385</v>
      </c>
      <c r="E20" s="14" t="s">
        <v>3050</v>
      </c>
      <c r="F20" s="14" t="s">
        <v>196</v>
      </c>
      <c r="G20" s="15" t="s">
        <v>3434</v>
      </c>
      <c r="H20" s="14" t="s">
        <v>128</v>
      </c>
      <c r="I20" s="14" t="s">
        <v>140</v>
      </c>
      <c r="J20" s="16" t="s">
        <v>3379</v>
      </c>
      <c r="K20" s="15"/>
      <c r="L20" s="14"/>
      <c r="M20" s="14" t="n">
        <f aca="false">IF(OR(H20="tested",H20="verified",H20="not applicable"),1,0)</f>
        <v>1</v>
      </c>
    </row>
    <row r="21" customFormat="false" ht="54" hidden="false" customHeight="true" outlineLevel="0" collapsed="false">
      <c r="A21" s="14" t="s">
        <v>3441</v>
      </c>
      <c r="B21" s="14" t="s">
        <v>200</v>
      </c>
      <c r="C21" s="14" t="s">
        <v>98</v>
      </c>
      <c r="D21" s="15" t="s">
        <v>3442</v>
      </c>
      <c r="E21" s="14" t="s">
        <v>3050</v>
      </c>
      <c r="F21" s="14" t="s">
        <v>202</v>
      </c>
      <c r="G21" s="15" t="s">
        <v>3443</v>
      </c>
      <c r="H21" s="14" t="s">
        <v>124</v>
      </c>
      <c r="I21" s="14" t="s">
        <v>140</v>
      </c>
      <c r="J21" s="16" t="s">
        <v>3389</v>
      </c>
      <c r="K21" s="15"/>
      <c r="L21" s="14"/>
      <c r="M21" s="14" t="n">
        <f aca="false">IF(OR(H21="tested",H21="verified",H21="not applicable"),1,0)</f>
        <v>0</v>
      </c>
    </row>
    <row r="22" customFormat="false" ht="54" hidden="false" customHeight="true" outlineLevel="0" collapsed="false">
      <c r="A22" s="14" t="s">
        <v>3444</v>
      </c>
      <c r="B22" s="14" t="s">
        <v>2620</v>
      </c>
      <c r="C22" s="14" t="s">
        <v>98</v>
      </c>
      <c r="D22" s="15" t="s">
        <v>3445</v>
      </c>
      <c r="E22" s="14" t="s">
        <v>3050</v>
      </c>
      <c r="F22" s="14" t="s">
        <v>196</v>
      </c>
      <c r="G22" s="15" t="s">
        <v>3434</v>
      </c>
      <c r="H22" s="14" t="s">
        <v>128</v>
      </c>
      <c r="I22" s="14" t="s">
        <v>140</v>
      </c>
      <c r="J22" s="16" t="s">
        <v>3379</v>
      </c>
      <c r="K22" s="15"/>
      <c r="L22" s="14"/>
      <c r="M22" s="14" t="n">
        <f aca="false">IF(OR(H22="tested",H22="verified",H22="not applicable"),1,0)</f>
        <v>1</v>
      </c>
    </row>
    <row r="23" customFormat="false" ht="54" hidden="false" customHeight="true" outlineLevel="0" collapsed="false">
      <c r="A23" s="14" t="s">
        <v>3446</v>
      </c>
      <c r="B23" s="14" t="s">
        <v>1620</v>
      </c>
      <c r="C23" s="14" t="s">
        <v>32</v>
      </c>
      <c r="D23" s="15" t="s">
        <v>3447</v>
      </c>
      <c r="E23" s="14" t="s">
        <v>3050</v>
      </c>
      <c r="F23" s="14" t="s">
        <v>202</v>
      </c>
      <c r="G23" s="15" t="s">
        <v>3443</v>
      </c>
      <c r="H23" s="14" t="s">
        <v>128</v>
      </c>
      <c r="I23" s="14" t="s">
        <v>140</v>
      </c>
      <c r="J23" s="16" t="s">
        <v>3379</v>
      </c>
      <c r="K23" s="15"/>
      <c r="L23" s="14"/>
      <c r="M23" s="14" t="n">
        <f aca="false">IF(OR(H23="tested",H23="verified",H23="not applicable"),1,0)</f>
        <v>1</v>
      </c>
    </row>
    <row r="24" customFormat="false" ht="54" hidden="false" customHeight="true" outlineLevel="0" collapsed="false">
      <c r="A24" s="14" t="s">
        <v>3448</v>
      </c>
      <c r="B24" s="14" t="s">
        <v>2475</v>
      </c>
      <c r="C24" s="14" t="s">
        <v>3414</v>
      </c>
      <c r="D24" s="15" t="s">
        <v>3395</v>
      </c>
      <c r="E24" s="14" t="s">
        <v>161</v>
      </c>
      <c r="F24" s="14" t="s">
        <v>220</v>
      </c>
      <c r="G24" s="15" t="s">
        <v>3449</v>
      </c>
      <c r="H24" s="14" t="s">
        <v>126</v>
      </c>
      <c r="I24" s="14" t="s">
        <v>141</v>
      </c>
      <c r="J24" s="16" t="s">
        <v>3309</v>
      </c>
      <c r="K24" s="15"/>
      <c r="L24" s="14"/>
      <c r="M24" s="14" t="n">
        <f aca="false">IF(OR(H24="tested",H24="verified",H24="not applicable"),1,0)</f>
        <v>1</v>
      </c>
    </row>
    <row r="25" customFormat="false" ht="23.25" hidden="false" customHeight="true" outlineLevel="0" collapsed="false">
      <c r="A25" s="14" t="s">
        <v>3450</v>
      </c>
      <c r="B25" s="14" t="s">
        <v>227</v>
      </c>
      <c r="C25" s="14" t="s">
        <v>3414</v>
      </c>
      <c r="D25" s="15" t="s">
        <v>3451</v>
      </c>
      <c r="E25" s="14" t="s">
        <v>229</v>
      </c>
      <c r="F25" s="14" t="s">
        <v>229</v>
      </c>
      <c r="G25" s="15" t="s">
        <v>3346</v>
      </c>
      <c r="H25" s="14" t="s">
        <v>126</v>
      </c>
      <c r="I25" s="14" t="s">
        <v>141</v>
      </c>
      <c r="J25" s="16" t="s">
        <v>3399</v>
      </c>
      <c r="K25" s="15"/>
      <c r="L25" s="14"/>
      <c r="M25" s="14" t="n">
        <f aca="false">IF(OR(H25="tested",H25="verified",H25="not applicable"),1,0)</f>
        <v>1</v>
      </c>
    </row>
    <row r="26" customFormat="false" ht="23.25" hidden="false" customHeight="true" outlineLevel="0" collapsed="false">
      <c r="A26" s="14" t="s">
        <v>3452</v>
      </c>
      <c r="B26" s="14" t="s">
        <v>232</v>
      </c>
      <c r="C26" s="14" t="s">
        <v>3414</v>
      </c>
      <c r="D26" s="15" t="s">
        <v>3347</v>
      </c>
      <c r="E26" s="14" t="s">
        <v>229</v>
      </c>
      <c r="F26" s="14" t="s">
        <v>161</v>
      </c>
      <c r="G26" s="15" t="s">
        <v>3348</v>
      </c>
      <c r="H26" s="14" t="s">
        <v>126</v>
      </c>
      <c r="I26" s="14" t="s">
        <v>141</v>
      </c>
      <c r="J26" s="16" t="s">
        <v>3399</v>
      </c>
      <c r="K26" s="15"/>
      <c r="L26" s="14"/>
      <c r="M26" s="14" t="n">
        <f aca="false">IF(OR(H26="tested",H26="verified",H26="not applicable"),1,0)</f>
        <v>1</v>
      </c>
    </row>
    <row r="27" customFormat="false" ht="23.25" hidden="false" customHeight="true" outlineLevel="0" collapsed="false">
      <c r="A27" s="14" t="s">
        <v>3453</v>
      </c>
      <c r="B27" s="14" t="s">
        <v>214</v>
      </c>
      <c r="C27" s="14" t="s">
        <v>1274</v>
      </c>
      <c r="D27" s="15" t="s">
        <v>3454</v>
      </c>
      <c r="E27" s="14" t="s">
        <v>3050</v>
      </c>
      <c r="F27" s="14" t="s">
        <v>202</v>
      </c>
      <c r="G27" s="15" t="s">
        <v>3443</v>
      </c>
      <c r="H27" s="14" t="s">
        <v>124</v>
      </c>
      <c r="I27" s="14" t="s">
        <v>140</v>
      </c>
      <c r="J27" s="16" t="s">
        <v>3389</v>
      </c>
      <c r="K27" s="15"/>
      <c r="L27" s="14"/>
      <c r="M27" s="14" t="n">
        <f aca="false">IF(OR(H27="tested",H27="verified",H27="not applicable"),1,0)</f>
        <v>0</v>
      </c>
    </row>
    <row r="28" customFormat="false" ht="23.25" hidden="false" customHeight="true" outlineLevel="0" collapsed="false">
      <c r="A28" s="14" t="s">
        <v>3455</v>
      </c>
      <c r="B28" s="14" t="s">
        <v>194</v>
      </c>
      <c r="C28" s="14" t="s">
        <v>1274</v>
      </c>
      <c r="D28" s="15" t="s">
        <v>3404</v>
      </c>
      <c r="E28" s="14" t="s">
        <v>3050</v>
      </c>
      <c r="F28" s="14" t="s">
        <v>196</v>
      </c>
      <c r="G28" s="15" t="s">
        <v>3434</v>
      </c>
      <c r="H28" s="14" t="s">
        <v>128</v>
      </c>
      <c r="I28" s="14" t="s">
        <v>140</v>
      </c>
      <c r="J28" s="16" t="s">
        <v>3379</v>
      </c>
      <c r="K28" s="15"/>
      <c r="L28" s="14"/>
      <c r="M28" s="14" t="n">
        <f aca="false">IF(OR(H28="tested",H28="verified",H28="not applicable"),1,0)</f>
        <v>1</v>
      </c>
    </row>
    <row r="29" customFormat="false" ht="23.25" hidden="false" customHeight="true" outlineLevel="0" collapsed="false">
      <c r="A29" s="14"/>
      <c r="B29" s="14"/>
      <c r="C29" s="14"/>
      <c r="D29" s="15"/>
      <c r="E29" s="14"/>
      <c r="F29" s="14"/>
      <c r="G29" s="15"/>
      <c r="H29" s="14"/>
      <c r="I29" s="14"/>
      <c r="J29" s="16"/>
      <c r="K29" s="15"/>
      <c r="L29" s="14"/>
      <c r="M29" s="14"/>
    </row>
    <row r="30" customFormat="false" ht="23.25" hidden="false" customHeight="true" outlineLevel="0" collapsed="false">
      <c r="A30" s="14"/>
      <c r="B30" s="14"/>
      <c r="C30" s="14"/>
      <c r="D30" s="15"/>
      <c r="E30" s="14"/>
      <c r="F30" s="14"/>
      <c r="G30" s="15"/>
      <c r="H30" s="14"/>
      <c r="I30" s="14"/>
      <c r="J30" s="16"/>
      <c r="K30" s="15"/>
      <c r="L30" s="14"/>
      <c r="M30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3458</v>
      </c>
      <c r="B9" s="14" t="s">
        <v>158</v>
      </c>
      <c r="C9" s="14" t="s">
        <v>830</v>
      </c>
      <c r="D9" s="15" t="s">
        <v>3459</v>
      </c>
      <c r="E9" s="14" t="s">
        <v>161</v>
      </c>
      <c r="F9" s="14" t="s">
        <v>162</v>
      </c>
      <c r="G9" s="15" t="s">
        <v>3460</v>
      </c>
      <c r="H9" s="14" t="s">
        <v>126</v>
      </c>
      <c r="I9" s="14" t="s">
        <v>141</v>
      </c>
      <c r="J9" s="16" t="s">
        <v>3309</v>
      </c>
      <c r="K9" s="15"/>
      <c r="L9" s="14"/>
      <c r="M9" s="14" t="n">
        <f aca="false">IF(OR(H9="tested",H9="verified",H9="not applicable"),1,0)</f>
        <v>1</v>
      </c>
    </row>
    <row r="10" customFormat="false" ht="54" hidden="false" customHeight="true" outlineLevel="0" collapsed="false">
      <c r="A10" s="14" t="s">
        <v>3461</v>
      </c>
      <c r="B10" s="14" t="s">
        <v>1432</v>
      </c>
      <c r="C10" s="14" t="s">
        <v>1274</v>
      </c>
      <c r="D10" s="15" t="s">
        <v>3462</v>
      </c>
      <c r="E10" s="14" t="s">
        <v>161</v>
      </c>
      <c r="F10" s="14" t="s">
        <v>181</v>
      </c>
      <c r="G10" s="15" t="s">
        <v>3463</v>
      </c>
      <c r="H10" s="14" t="s">
        <v>126</v>
      </c>
      <c r="I10" s="14" t="s">
        <v>141</v>
      </c>
      <c r="J10" s="16" t="s">
        <v>3309</v>
      </c>
      <c r="K10" s="15"/>
      <c r="L10" s="14"/>
      <c r="M10" s="14" t="n">
        <f aca="false">IF(OR(H10="tested",H10="verified",H10="not applicable"),1,0)</f>
        <v>1</v>
      </c>
    </row>
    <row r="11" customFormat="false" ht="54" hidden="false" customHeight="true" outlineLevel="0" collapsed="false">
      <c r="A11" s="14" t="s">
        <v>3464</v>
      </c>
      <c r="B11" s="14" t="s">
        <v>165</v>
      </c>
      <c r="C11" s="14" t="s">
        <v>3465</v>
      </c>
      <c r="D11" s="15" t="s">
        <v>3466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s">
        <v>3309</v>
      </c>
      <c r="K11" s="15"/>
      <c r="L11" s="14"/>
      <c r="M11" s="14" t="n">
        <f aca="false">IF(OR(H11="tested",H11="verified",H11="not applicable"),1,0)</f>
        <v>1</v>
      </c>
    </row>
    <row r="12" customFormat="false" ht="54" hidden="false" customHeight="true" outlineLevel="0" collapsed="false">
      <c r="A12" s="14" t="s">
        <v>3467</v>
      </c>
      <c r="B12" s="14" t="s">
        <v>169</v>
      </c>
      <c r="C12" s="14" t="s">
        <v>1479</v>
      </c>
      <c r="D12" s="15" t="s">
        <v>3468</v>
      </c>
      <c r="E12" s="14" t="s">
        <v>161</v>
      </c>
      <c r="F12" s="14" t="s">
        <v>171</v>
      </c>
      <c r="G12" s="15" t="s">
        <v>3469</v>
      </c>
      <c r="H12" s="14" t="s">
        <v>126</v>
      </c>
      <c r="I12" s="14" t="s">
        <v>141</v>
      </c>
      <c r="J12" s="16" t="s">
        <v>3309</v>
      </c>
      <c r="K12" s="15"/>
      <c r="L12" s="14"/>
      <c r="M12" s="14" t="n">
        <f aca="false">IF(OR(H12="tested",H12="verified",H12="not applicable"),1,0)</f>
        <v>1</v>
      </c>
    </row>
    <row r="13" customFormat="false" ht="54" hidden="false" customHeight="true" outlineLevel="0" collapsed="false">
      <c r="A13" s="14" t="s">
        <v>3470</v>
      </c>
      <c r="B13" s="14" t="s">
        <v>174</v>
      </c>
      <c r="C13" s="14" t="s">
        <v>1274</v>
      </c>
      <c r="D13" s="15" t="s">
        <v>3471</v>
      </c>
      <c r="E13" s="14" t="s">
        <v>161</v>
      </c>
      <c r="F13" s="14" t="s">
        <v>176</v>
      </c>
      <c r="G13" s="15" t="s">
        <v>3472</v>
      </c>
      <c r="H13" s="14" t="s">
        <v>126</v>
      </c>
      <c r="I13" s="14" t="s">
        <v>141</v>
      </c>
      <c r="J13" s="16" t="s">
        <v>3309</v>
      </c>
      <c r="K13" s="15"/>
      <c r="L13" s="14"/>
      <c r="M13" s="14" t="n">
        <f aca="false">IF(OR(H13="tested",H13="verified",H13="not applicable"),1,0)</f>
        <v>1</v>
      </c>
    </row>
    <row r="14" customFormat="false" ht="54" hidden="false" customHeight="true" outlineLevel="0" collapsed="false">
      <c r="A14" s="14" t="s">
        <v>3473</v>
      </c>
      <c r="B14" s="14" t="s">
        <v>3474</v>
      </c>
      <c r="C14" s="14" t="s">
        <v>3475</v>
      </c>
      <c r="D14" s="15" t="s">
        <v>3476</v>
      </c>
      <c r="E14" s="14" t="s">
        <v>186</v>
      </c>
      <c r="F14" s="14" t="s">
        <v>186</v>
      </c>
      <c r="G14" s="15" t="s">
        <v>3477</v>
      </c>
      <c r="H14" s="14" t="s">
        <v>126</v>
      </c>
      <c r="I14" s="14" t="s">
        <v>141</v>
      </c>
      <c r="J14" s="16" t="s">
        <v>3309</v>
      </c>
      <c r="K14" s="15"/>
      <c r="L14" s="14"/>
      <c r="M14" s="14" t="n">
        <f aca="false">IF(OR(H14="tested",H14="verified",H14="not applicable"),1,0)</f>
        <v>1</v>
      </c>
    </row>
    <row r="15" customFormat="false" ht="54" hidden="false" customHeight="true" outlineLevel="0" collapsed="false">
      <c r="A15" s="14" t="s">
        <v>3478</v>
      </c>
      <c r="B15" s="14" t="s">
        <v>1498</v>
      </c>
      <c r="C15" s="14" t="s">
        <v>3324</v>
      </c>
      <c r="D15" s="15" t="s">
        <v>3479</v>
      </c>
      <c r="E15" s="14" t="s">
        <v>186</v>
      </c>
      <c r="F15" s="14" t="s">
        <v>186</v>
      </c>
      <c r="G15" s="15" t="s">
        <v>3477</v>
      </c>
      <c r="H15" s="14" t="s">
        <v>126</v>
      </c>
      <c r="I15" s="14" t="s">
        <v>141</v>
      </c>
      <c r="J15" s="16" t="s">
        <v>3309</v>
      </c>
      <c r="K15" s="15"/>
      <c r="L15" s="14"/>
      <c r="M15" s="14" t="n">
        <f aca="false">IF(OR(H15="tested",H15="verified",H15="not applicable"),1,0)</f>
        <v>1</v>
      </c>
    </row>
    <row r="16" customFormat="false" ht="54" hidden="false" customHeight="true" outlineLevel="0" collapsed="false">
      <c r="A16" s="14" t="s">
        <v>3480</v>
      </c>
      <c r="B16" s="14" t="s">
        <v>2673</v>
      </c>
      <c r="C16" s="14" t="s">
        <v>36</v>
      </c>
      <c r="D16" s="15" t="s">
        <v>3481</v>
      </c>
      <c r="E16" s="14" t="s">
        <v>186</v>
      </c>
      <c r="F16" s="14" t="s">
        <v>186</v>
      </c>
      <c r="G16" s="15" t="s">
        <v>3477</v>
      </c>
      <c r="H16" s="14" t="s">
        <v>126</v>
      </c>
      <c r="I16" s="14" t="s">
        <v>141</v>
      </c>
      <c r="J16" s="16" t="s">
        <v>3309</v>
      </c>
      <c r="K16" s="15"/>
      <c r="L16" s="14"/>
      <c r="M16" s="14" t="n">
        <f aca="false">IF(OR(H16="tested",H16="verified",H16="not applicable"),1,0)</f>
        <v>1</v>
      </c>
    </row>
    <row r="17" customFormat="false" ht="54" hidden="false" customHeight="true" outlineLevel="0" collapsed="false">
      <c r="A17" s="14" t="s">
        <v>3482</v>
      </c>
      <c r="B17" s="14" t="s">
        <v>1678</v>
      </c>
      <c r="C17" s="14" t="s">
        <v>1274</v>
      </c>
      <c r="D17" s="15" t="s">
        <v>3483</v>
      </c>
      <c r="E17" s="14" t="s">
        <v>3050</v>
      </c>
      <c r="F17" s="14" t="s">
        <v>196</v>
      </c>
      <c r="G17" s="15" t="s">
        <v>3484</v>
      </c>
      <c r="H17" s="14" t="s">
        <v>128</v>
      </c>
      <c r="I17" s="14" t="s">
        <v>140</v>
      </c>
      <c r="J17" s="16" t="s">
        <v>3379</v>
      </c>
      <c r="K17" s="15"/>
      <c r="L17" s="14"/>
      <c r="M17" s="14" t="n">
        <f aca="false">IF(OR(H17="tested",H17="verified",H17="not applicable"),1,0)</f>
        <v>1</v>
      </c>
    </row>
    <row r="18" customFormat="false" ht="54" hidden="false" customHeight="true" outlineLevel="0" collapsed="false">
      <c r="A18" s="14" t="s">
        <v>3485</v>
      </c>
      <c r="B18" s="14" t="s">
        <v>1222</v>
      </c>
      <c r="C18" s="14" t="s">
        <v>830</v>
      </c>
      <c r="D18" s="15" t="s">
        <v>3381</v>
      </c>
      <c r="E18" s="14" t="s">
        <v>186</v>
      </c>
      <c r="F18" s="14" t="s">
        <v>186</v>
      </c>
      <c r="G18" s="15" t="s">
        <v>3477</v>
      </c>
      <c r="H18" s="14" t="s">
        <v>126</v>
      </c>
      <c r="I18" s="14" t="s">
        <v>141</v>
      </c>
      <c r="J18" s="16" t="s">
        <v>3309</v>
      </c>
      <c r="K18" s="15"/>
      <c r="L18" s="14"/>
      <c r="M18" s="14" t="n">
        <f aca="false">IF(OR(H18="tested",H18="verified",H18="not applicable"),1,0)</f>
        <v>1</v>
      </c>
    </row>
    <row r="19" customFormat="false" ht="54" hidden="false" customHeight="true" outlineLevel="0" collapsed="false">
      <c r="A19" s="14" t="s">
        <v>3486</v>
      </c>
      <c r="B19" s="14" t="s">
        <v>189</v>
      </c>
      <c r="C19" s="14" t="s">
        <v>3487</v>
      </c>
      <c r="D19" s="15" t="s">
        <v>3488</v>
      </c>
      <c r="E19" s="14" t="s">
        <v>186</v>
      </c>
      <c r="F19" s="14" t="s">
        <v>191</v>
      </c>
      <c r="G19" s="15" t="s">
        <v>3477</v>
      </c>
      <c r="H19" s="14" t="s">
        <v>126</v>
      </c>
      <c r="I19" s="14" t="s">
        <v>141</v>
      </c>
      <c r="J19" s="16" t="s">
        <v>3309</v>
      </c>
      <c r="K19" s="15"/>
      <c r="L19" s="14"/>
      <c r="M19" s="14" t="n">
        <f aca="false">IF(OR(H19="tested",H19="verified",H19="not applicable"),1,0)</f>
        <v>1</v>
      </c>
    </row>
    <row r="20" customFormat="false" ht="54" hidden="false" customHeight="true" outlineLevel="0" collapsed="false">
      <c r="A20" s="14" t="s">
        <v>3489</v>
      </c>
      <c r="B20" s="14" t="s">
        <v>94</v>
      </c>
      <c r="C20" s="14" t="s">
        <v>1274</v>
      </c>
      <c r="D20" s="15" t="s">
        <v>3385</v>
      </c>
      <c r="E20" s="14" t="s">
        <v>3050</v>
      </c>
      <c r="F20" s="14" t="s">
        <v>196</v>
      </c>
      <c r="G20" s="15" t="s">
        <v>3484</v>
      </c>
      <c r="H20" s="14" t="s">
        <v>128</v>
      </c>
      <c r="I20" s="14" t="s">
        <v>140</v>
      </c>
      <c r="J20" s="16" t="s">
        <v>3379</v>
      </c>
      <c r="K20" s="15"/>
      <c r="L20" s="14"/>
      <c r="M20" s="14" t="n">
        <f aca="false">IF(OR(H20="tested",H20="verified",H20="not applicable"),1,0)</f>
        <v>1</v>
      </c>
    </row>
    <row r="21" customFormat="false" ht="54" hidden="false" customHeight="true" outlineLevel="0" collapsed="false">
      <c r="A21" s="14" t="s">
        <v>3490</v>
      </c>
      <c r="B21" s="14" t="s">
        <v>200</v>
      </c>
      <c r="C21" s="14" t="s">
        <v>830</v>
      </c>
      <c r="D21" s="15" t="s">
        <v>3491</v>
      </c>
      <c r="E21" s="14" t="s">
        <v>3050</v>
      </c>
      <c r="F21" s="14" t="s">
        <v>202</v>
      </c>
      <c r="G21" s="15" t="s">
        <v>3492</v>
      </c>
      <c r="H21" s="14" t="s">
        <v>124</v>
      </c>
      <c r="I21" s="14" t="s">
        <v>140</v>
      </c>
      <c r="J21" s="16" t="s">
        <v>3389</v>
      </c>
      <c r="K21" s="15"/>
      <c r="L21" s="14"/>
      <c r="M21" s="14" t="n">
        <f aca="false">IF(OR(H21="tested",H21="verified",H21="not applicable"),1,0)</f>
        <v>0</v>
      </c>
    </row>
    <row r="22" customFormat="false" ht="54" hidden="false" customHeight="true" outlineLevel="0" collapsed="false">
      <c r="A22" s="14" t="s">
        <v>3493</v>
      </c>
      <c r="B22" s="14" t="s">
        <v>2620</v>
      </c>
      <c r="C22" s="14" t="s">
        <v>3494</v>
      </c>
      <c r="D22" s="15" t="s">
        <v>3495</v>
      </c>
      <c r="E22" s="14" t="s">
        <v>3050</v>
      </c>
      <c r="F22" s="14" t="s">
        <v>196</v>
      </c>
      <c r="G22" s="15" t="s">
        <v>3484</v>
      </c>
      <c r="H22" s="14" t="s">
        <v>128</v>
      </c>
      <c r="I22" s="14" t="s">
        <v>140</v>
      </c>
      <c r="J22" s="16" t="s">
        <v>3379</v>
      </c>
      <c r="K22" s="15"/>
      <c r="L22" s="14"/>
      <c r="M22" s="14" t="n">
        <f aca="false">IF(OR(H22="tested",H22="verified",H22="not applicable"),1,0)</f>
        <v>1</v>
      </c>
    </row>
    <row r="23" customFormat="false" ht="54" hidden="false" customHeight="true" outlineLevel="0" collapsed="false">
      <c r="A23" s="14" t="s">
        <v>3496</v>
      </c>
      <c r="B23" s="14" t="s">
        <v>1620</v>
      </c>
      <c r="C23" s="14" t="s">
        <v>830</v>
      </c>
      <c r="D23" s="15" t="s">
        <v>3497</v>
      </c>
      <c r="E23" s="14" t="s">
        <v>3050</v>
      </c>
      <c r="F23" s="14" t="s">
        <v>202</v>
      </c>
      <c r="G23" s="15" t="s">
        <v>3492</v>
      </c>
      <c r="H23" s="14" t="s">
        <v>128</v>
      </c>
      <c r="I23" s="14" t="s">
        <v>140</v>
      </c>
      <c r="J23" s="16" t="s">
        <v>3379</v>
      </c>
      <c r="K23" s="15"/>
      <c r="L23" s="14"/>
      <c r="M23" s="14" t="n">
        <f aca="false">IF(OR(H23="tested",H23="verified",H23="not applicable"),1,0)</f>
        <v>1</v>
      </c>
    </row>
    <row r="24" customFormat="false" ht="54" hidden="false" customHeight="true" outlineLevel="0" collapsed="false">
      <c r="A24" s="14" t="s">
        <v>3498</v>
      </c>
      <c r="B24" s="14" t="s">
        <v>2475</v>
      </c>
      <c r="C24" s="14" t="s">
        <v>3465</v>
      </c>
      <c r="D24" s="15" t="s">
        <v>3395</v>
      </c>
      <c r="E24" s="14" t="s">
        <v>161</v>
      </c>
      <c r="F24" s="14" t="s">
        <v>220</v>
      </c>
      <c r="G24" s="15" t="s">
        <v>3499</v>
      </c>
      <c r="H24" s="14" t="s">
        <v>126</v>
      </c>
      <c r="I24" s="14" t="s">
        <v>141</v>
      </c>
      <c r="J24" s="16" t="s">
        <v>3309</v>
      </c>
      <c r="K24" s="15"/>
      <c r="L24" s="14"/>
      <c r="M24" s="14" t="n">
        <f aca="false">IF(OR(H24="tested",H24="verified",H24="not applicable"),1,0)</f>
        <v>1</v>
      </c>
    </row>
    <row r="25" customFormat="false" ht="23.25" hidden="false" customHeight="true" outlineLevel="0" collapsed="false">
      <c r="A25" s="14" t="s">
        <v>3500</v>
      </c>
      <c r="B25" s="14" t="s">
        <v>227</v>
      </c>
      <c r="C25" s="14" t="s">
        <v>3465</v>
      </c>
      <c r="D25" s="15" t="s">
        <v>3501</v>
      </c>
      <c r="E25" s="14" t="s">
        <v>229</v>
      </c>
      <c r="F25" s="14" t="s">
        <v>229</v>
      </c>
      <c r="G25" s="15" t="s">
        <v>3346</v>
      </c>
      <c r="H25" s="14" t="s">
        <v>126</v>
      </c>
      <c r="I25" s="14" t="s">
        <v>141</v>
      </c>
      <c r="J25" s="16" t="s">
        <v>3399</v>
      </c>
      <c r="K25" s="15"/>
      <c r="L25" s="14"/>
      <c r="M25" s="14" t="n">
        <f aca="false">IF(OR(H25="tested",H25="verified",H25="not applicable"),1,0)</f>
        <v>1</v>
      </c>
    </row>
    <row r="26" customFormat="false" ht="23.25" hidden="false" customHeight="true" outlineLevel="0" collapsed="false">
      <c r="A26" s="14" t="s">
        <v>3502</v>
      </c>
      <c r="B26" s="14" t="s">
        <v>232</v>
      </c>
      <c r="C26" s="14" t="s">
        <v>3465</v>
      </c>
      <c r="D26" s="15" t="s">
        <v>3347</v>
      </c>
      <c r="E26" s="14" t="s">
        <v>229</v>
      </c>
      <c r="F26" s="14" t="s">
        <v>161</v>
      </c>
      <c r="G26" s="15" t="s">
        <v>3348</v>
      </c>
      <c r="H26" s="14" t="s">
        <v>126</v>
      </c>
      <c r="I26" s="14" t="s">
        <v>141</v>
      </c>
      <c r="J26" s="16" t="s">
        <v>3399</v>
      </c>
      <c r="K26" s="15"/>
      <c r="L26" s="14"/>
      <c r="M26" s="14" t="n">
        <f aca="false">IF(OR(H26="tested",H26="verified",H26="not applicable"),1,0)</f>
        <v>1</v>
      </c>
    </row>
    <row r="27" customFormat="false" ht="23.25" hidden="false" customHeight="true" outlineLevel="0" collapsed="false">
      <c r="A27" s="14" t="s">
        <v>3503</v>
      </c>
      <c r="B27" s="14" t="s">
        <v>214</v>
      </c>
      <c r="C27" s="14" t="s">
        <v>1274</v>
      </c>
      <c r="D27" s="15" t="s">
        <v>3504</v>
      </c>
      <c r="E27" s="14" t="s">
        <v>3050</v>
      </c>
      <c r="F27" s="14" t="s">
        <v>202</v>
      </c>
      <c r="G27" s="15" t="s">
        <v>3492</v>
      </c>
      <c r="H27" s="14" t="s">
        <v>124</v>
      </c>
      <c r="I27" s="14" t="s">
        <v>140</v>
      </c>
      <c r="J27" s="16" t="s">
        <v>3389</v>
      </c>
      <c r="K27" s="15"/>
      <c r="L27" s="14"/>
      <c r="M27" s="14" t="n">
        <f aca="false">IF(OR(H27="tested",H27="verified",H27="not applicable"),1,0)</f>
        <v>0</v>
      </c>
    </row>
    <row r="28" customFormat="false" ht="23.25" hidden="false" customHeight="true" outlineLevel="0" collapsed="false">
      <c r="A28" s="14" t="s">
        <v>3505</v>
      </c>
      <c r="B28" s="14" t="s">
        <v>194</v>
      </c>
      <c r="C28" s="14" t="s">
        <v>1274</v>
      </c>
      <c r="D28" s="15" t="s">
        <v>3404</v>
      </c>
      <c r="E28" s="14" t="s">
        <v>3050</v>
      </c>
      <c r="F28" s="14" t="s">
        <v>196</v>
      </c>
      <c r="G28" s="15" t="s">
        <v>3484</v>
      </c>
      <c r="H28" s="14" t="s">
        <v>128</v>
      </c>
      <c r="I28" s="14" t="s">
        <v>140</v>
      </c>
      <c r="J28" s="16" t="s">
        <v>3379</v>
      </c>
      <c r="K28" s="15"/>
      <c r="L28" s="14"/>
      <c r="M28" s="14" t="n">
        <f aca="false">IF(OR(H28="tested",H28="verified",H28="not applicable"),1,0)</f>
        <v>1</v>
      </c>
    </row>
    <row r="29" customFormat="false" ht="23.25" hidden="false" customHeight="true" outlineLevel="0" collapsed="false">
      <c r="A29" s="14"/>
      <c r="B29" s="14"/>
      <c r="C29" s="14"/>
      <c r="D29" s="15"/>
      <c r="E29" s="14"/>
      <c r="F29" s="14"/>
      <c r="G29" s="15"/>
      <c r="H29" s="14"/>
      <c r="I29" s="14"/>
      <c r="J29" s="16"/>
      <c r="K29" s="15"/>
      <c r="L29" s="14"/>
      <c r="M29" s="14"/>
    </row>
    <row r="30" customFormat="false" ht="23.25" hidden="false" customHeight="true" outlineLevel="0" collapsed="false">
      <c r="A30" s="14"/>
      <c r="B30" s="14"/>
      <c r="C30" s="14"/>
      <c r="D30" s="15"/>
      <c r="E30" s="14"/>
      <c r="F30" s="14"/>
      <c r="G30" s="15"/>
      <c r="H30" s="14"/>
      <c r="I30" s="14"/>
      <c r="J30" s="16"/>
      <c r="K30" s="15"/>
      <c r="L30" s="14"/>
      <c r="M30" s="14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3508</v>
      </c>
      <c r="B9" s="14" t="s">
        <v>158</v>
      </c>
      <c r="C9" s="14" t="s">
        <v>1479</v>
      </c>
      <c r="D9" s="15" t="s">
        <v>3509</v>
      </c>
      <c r="E9" s="14" t="s">
        <v>161</v>
      </c>
      <c r="F9" s="14" t="s">
        <v>162</v>
      </c>
      <c r="G9" s="15" t="s">
        <v>3510</v>
      </c>
      <c r="H9" s="14" t="s">
        <v>126</v>
      </c>
      <c r="I9" s="14" t="s">
        <v>141</v>
      </c>
      <c r="J9" s="16" t="s">
        <v>3511</v>
      </c>
      <c r="K9" s="15"/>
      <c r="L9" s="14"/>
      <c r="M9" s="14" t="n">
        <f aca="false">IF(OR(H9="tested",H9="verified",H9="not applicable"),1,0)</f>
        <v>1</v>
      </c>
    </row>
    <row r="10" customFormat="false" ht="54" hidden="false" customHeight="true" outlineLevel="0" collapsed="false">
      <c r="A10" s="14" t="s">
        <v>3512</v>
      </c>
      <c r="B10" s="14" t="s">
        <v>1432</v>
      </c>
      <c r="C10" s="14" t="s">
        <v>1274</v>
      </c>
      <c r="D10" s="15" t="s">
        <v>3513</v>
      </c>
      <c r="E10" s="14" t="s">
        <v>161</v>
      </c>
      <c r="F10" s="14" t="s">
        <v>181</v>
      </c>
      <c r="G10" s="15" t="s">
        <v>3514</v>
      </c>
      <c r="H10" s="14" t="s">
        <v>126</v>
      </c>
      <c r="I10" s="14" t="s">
        <v>141</v>
      </c>
      <c r="J10" s="16" t="s">
        <v>3515</v>
      </c>
      <c r="K10" s="15"/>
      <c r="L10" s="14"/>
      <c r="M10" s="14" t="n">
        <f aca="false">IF(OR(H10="tested",H10="verified",H10="not applicable"),1,0)</f>
        <v>1</v>
      </c>
    </row>
    <row r="11" customFormat="false" ht="54" hidden="false" customHeight="true" outlineLevel="0" collapsed="false">
      <c r="A11" s="14" t="s">
        <v>3516</v>
      </c>
      <c r="B11" s="14" t="s">
        <v>165</v>
      </c>
      <c r="C11" s="14" t="s">
        <v>82</v>
      </c>
      <c r="D11" s="15" t="s">
        <v>3517</v>
      </c>
      <c r="E11" s="14" t="s">
        <v>161</v>
      </c>
      <c r="F11" s="14" t="s">
        <v>161</v>
      </c>
      <c r="G11" s="15" t="s">
        <v>3518</v>
      </c>
      <c r="H11" s="14" t="s">
        <v>126</v>
      </c>
      <c r="I11" s="14" t="s">
        <v>141</v>
      </c>
      <c r="J11" s="16" t="s">
        <v>3519</v>
      </c>
      <c r="K11" s="15"/>
      <c r="L11" s="14"/>
      <c r="M11" s="14" t="n">
        <f aca="false">IF(OR(H11="tested",H11="verified",H11="not applicable"),1,0)</f>
        <v>1</v>
      </c>
    </row>
    <row r="12" customFormat="false" ht="54" hidden="false" customHeight="true" outlineLevel="0" collapsed="false">
      <c r="A12" s="14" t="s">
        <v>3520</v>
      </c>
      <c r="B12" s="14" t="s">
        <v>169</v>
      </c>
      <c r="C12" s="14" t="s">
        <v>1479</v>
      </c>
      <c r="D12" s="15" t="s">
        <v>3521</v>
      </c>
      <c r="E12" s="14" t="s">
        <v>161</v>
      </c>
      <c r="F12" s="14" t="s">
        <v>171</v>
      </c>
      <c r="G12" s="15" t="s">
        <v>3522</v>
      </c>
      <c r="H12" s="14" t="s">
        <v>126</v>
      </c>
      <c r="I12" s="14" t="s">
        <v>141</v>
      </c>
      <c r="J12" s="16" t="s">
        <v>3523</v>
      </c>
      <c r="K12" s="15"/>
      <c r="L12" s="14"/>
      <c r="M12" s="14" t="n">
        <f aca="false">IF(OR(H12="tested",H12="verified",H12="not applicable"),1,0)</f>
        <v>1</v>
      </c>
    </row>
    <row r="13" customFormat="false" ht="54" hidden="false" customHeight="true" outlineLevel="0" collapsed="false">
      <c r="A13" s="14" t="s">
        <v>3524</v>
      </c>
      <c r="B13" s="14" t="s">
        <v>174</v>
      </c>
      <c r="C13" s="14" t="s">
        <v>1274</v>
      </c>
      <c r="D13" s="15" t="s">
        <v>3525</v>
      </c>
      <c r="E13" s="14" t="s">
        <v>161</v>
      </c>
      <c r="F13" s="14" t="s">
        <v>176</v>
      </c>
      <c r="G13" s="15" t="s">
        <v>3526</v>
      </c>
      <c r="H13" s="14" t="s">
        <v>126</v>
      </c>
      <c r="I13" s="14" t="s">
        <v>141</v>
      </c>
      <c r="J13" s="16" t="s">
        <v>3527</v>
      </c>
      <c r="K13" s="15"/>
      <c r="L13" s="14"/>
      <c r="M13" s="14" t="n">
        <f aca="false">IF(OR(H13="tested",H13="verified",H13="not applicable"),1,0)</f>
        <v>1</v>
      </c>
    </row>
    <row r="14" customFormat="false" ht="54" hidden="false" customHeight="true" outlineLevel="0" collapsed="false">
      <c r="A14" s="14" t="s">
        <v>3528</v>
      </c>
      <c r="B14" s="14" t="s">
        <v>3529</v>
      </c>
      <c r="C14" s="14" t="s">
        <v>1710</v>
      </c>
      <c r="D14" s="15" t="s">
        <v>3530</v>
      </c>
      <c r="E14" s="14" t="s">
        <v>186</v>
      </c>
      <c r="F14" s="14" t="s">
        <v>186</v>
      </c>
      <c r="G14" s="15" t="s">
        <v>3531</v>
      </c>
      <c r="H14" s="14" t="s">
        <v>126</v>
      </c>
      <c r="I14" s="14" t="s">
        <v>141</v>
      </c>
      <c r="J14" s="16" t="s">
        <v>3532</v>
      </c>
      <c r="K14" s="15"/>
      <c r="L14" s="14"/>
      <c r="M14" s="14" t="n">
        <f aca="false">IF(OR(H14="tested",H14="verified",H14="not applicable"),1,0)</f>
        <v>1</v>
      </c>
    </row>
    <row r="15" customFormat="false" ht="54" hidden="false" customHeight="true" outlineLevel="0" collapsed="false">
      <c r="A15" s="14" t="s">
        <v>3533</v>
      </c>
      <c r="B15" s="14" t="s">
        <v>32</v>
      </c>
      <c r="C15" s="14" t="s">
        <v>3534</v>
      </c>
      <c r="D15" s="15" t="s">
        <v>3535</v>
      </c>
      <c r="E15" s="14" t="s">
        <v>186</v>
      </c>
      <c r="F15" s="14" t="s">
        <v>186</v>
      </c>
      <c r="G15" s="15" t="s">
        <v>3531</v>
      </c>
      <c r="H15" s="14" t="s">
        <v>126</v>
      </c>
      <c r="I15" s="14" t="s">
        <v>141</v>
      </c>
      <c r="J15" s="16" t="s">
        <v>3536</v>
      </c>
      <c r="K15" s="15"/>
      <c r="L15" s="14"/>
      <c r="M15" s="14" t="n">
        <f aca="false">IF(OR(H15="tested",H15="verified",H15="not applicable"),1,0)</f>
        <v>1</v>
      </c>
    </row>
    <row r="16" customFormat="false" ht="54" hidden="false" customHeight="true" outlineLevel="0" collapsed="false">
      <c r="A16" s="14" t="s">
        <v>3537</v>
      </c>
      <c r="B16" s="14" t="s">
        <v>3538</v>
      </c>
      <c r="C16" s="14" t="s">
        <v>830</v>
      </c>
      <c r="D16" s="15" t="s">
        <v>3539</v>
      </c>
      <c r="E16" s="14" t="s">
        <v>161</v>
      </c>
      <c r="F16" s="14" t="s">
        <v>181</v>
      </c>
      <c r="G16" s="15" t="s">
        <v>3514</v>
      </c>
      <c r="H16" s="14" t="s">
        <v>126</v>
      </c>
      <c r="I16" s="14" t="s">
        <v>141</v>
      </c>
      <c r="J16" s="16" t="s">
        <v>3540</v>
      </c>
      <c r="K16" s="15"/>
      <c r="L16" s="14"/>
      <c r="M16" s="14" t="n">
        <f aca="false">IF(OR(H16="tested",H16="verified",H16="not applicable"),1,0)</f>
        <v>1</v>
      </c>
    </row>
    <row r="17" customFormat="false" ht="54" hidden="false" customHeight="true" outlineLevel="0" collapsed="false">
      <c r="A17" s="14" t="s">
        <v>3541</v>
      </c>
      <c r="B17" s="14" t="s">
        <v>1222</v>
      </c>
      <c r="C17" s="14" t="s">
        <v>830</v>
      </c>
      <c r="D17" s="15" t="s">
        <v>3542</v>
      </c>
      <c r="E17" s="14" t="s">
        <v>186</v>
      </c>
      <c r="F17" s="14" t="s">
        <v>186</v>
      </c>
      <c r="G17" s="15" t="s">
        <v>3531</v>
      </c>
      <c r="H17" s="14" t="s">
        <v>126</v>
      </c>
      <c r="I17" s="14" t="s">
        <v>141</v>
      </c>
      <c r="J17" s="16" t="s">
        <v>3543</v>
      </c>
      <c r="K17" s="15"/>
      <c r="L17" s="14"/>
      <c r="M17" s="14" t="n">
        <f aca="false">IF(OR(H17="tested",H17="verified",H17="not applicable"),1,0)</f>
        <v>1</v>
      </c>
    </row>
    <row r="18" customFormat="false" ht="54" hidden="false" customHeight="true" outlineLevel="0" collapsed="false">
      <c r="A18" s="14" t="s">
        <v>3544</v>
      </c>
      <c r="B18" s="14" t="s">
        <v>1155</v>
      </c>
      <c r="C18" s="14" t="s">
        <v>3545</v>
      </c>
      <c r="D18" s="15" t="s">
        <v>3546</v>
      </c>
      <c r="E18" s="14" t="s">
        <v>161</v>
      </c>
      <c r="F18" s="14" t="s">
        <v>181</v>
      </c>
      <c r="G18" s="15" t="s">
        <v>3514</v>
      </c>
      <c r="H18" s="14" t="s">
        <v>126</v>
      </c>
      <c r="I18" s="14" t="s">
        <v>141</v>
      </c>
      <c r="J18" s="16" t="s">
        <v>3547</v>
      </c>
      <c r="K18" s="15"/>
      <c r="L18" s="14"/>
      <c r="M18" s="14" t="n">
        <f aca="false">IF(OR(H18="tested",H18="verified",H18="not applicable"),1,0)</f>
        <v>1</v>
      </c>
    </row>
    <row r="19" customFormat="false" ht="54" hidden="false" customHeight="true" outlineLevel="0" collapsed="false">
      <c r="A19" s="14" t="s">
        <v>3548</v>
      </c>
      <c r="B19" s="14" t="s">
        <v>94</v>
      </c>
      <c r="C19" s="14" t="s">
        <v>1274</v>
      </c>
      <c r="D19" s="15" t="s">
        <v>3549</v>
      </c>
      <c r="E19" s="14" t="s">
        <v>3050</v>
      </c>
      <c r="F19" s="14" t="s">
        <v>196</v>
      </c>
      <c r="G19" s="15" t="s">
        <v>3550</v>
      </c>
      <c r="H19" s="14" t="s">
        <v>128</v>
      </c>
      <c r="I19" s="14" t="s">
        <v>140</v>
      </c>
      <c r="J19" s="16" t="s">
        <v>3551</v>
      </c>
      <c r="K19" s="15"/>
      <c r="L19" s="14"/>
      <c r="M19" s="14" t="n">
        <f aca="false">IF(OR(H19="tested",H19="verified",H19="not applicable"),1,0)</f>
        <v>1</v>
      </c>
    </row>
    <row r="20" customFormat="false" ht="54" hidden="false" customHeight="true" outlineLevel="0" collapsed="false">
      <c r="A20" s="14" t="s">
        <v>3552</v>
      </c>
      <c r="B20" s="14" t="s">
        <v>200</v>
      </c>
      <c r="C20" s="14" t="s">
        <v>3553</v>
      </c>
      <c r="D20" s="15" t="s">
        <v>3554</v>
      </c>
      <c r="E20" s="14" t="s">
        <v>3050</v>
      </c>
      <c r="F20" s="14" t="s">
        <v>196</v>
      </c>
      <c r="G20" s="15" t="s">
        <v>3550</v>
      </c>
      <c r="H20" s="14" t="s">
        <v>128</v>
      </c>
      <c r="I20" s="14" t="s">
        <v>140</v>
      </c>
      <c r="J20" s="16" t="s">
        <v>3555</v>
      </c>
      <c r="K20" s="15"/>
      <c r="L20" s="14"/>
      <c r="M20" s="14" t="n">
        <f aca="false">IF(OR(H20="tested",H20="verified",H20="not applicable"),1,0)</f>
        <v>1</v>
      </c>
    </row>
    <row r="21" customFormat="false" ht="54" hidden="false" customHeight="true" outlineLevel="0" collapsed="false">
      <c r="A21" s="14" t="s">
        <v>3556</v>
      </c>
      <c r="B21" s="14" t="s">
        <v>189</v>
      </c>
      <c r="C21" s="14" t="s">
        <v>3534</v>
      </c>
      <c r="D21" s="15" t="s">
        <v>3557</v>
      </c>
      <c r="E21" s="14" t="s">
        <v>186</v>
      </c>
      <c r="F21" s="14" t="s">
        <v>191</v>
      </c>
      <c r="G21" s="15" t="s">
        <v>3531</v>
      </c>
      <c r="H21" s="14" t="s">
        <v>126</v>
      </c>
      <c r="I21" s="14" t="s">
        <v>141</v>
      </c>
      <c r="J21" s="16" t="s">
        <v>3558</v>
      </c>
      <c r="K21" s="15"/>
      <c r="L21" s="14"/>
      <c r="M21" s="14" t="n">
        <f aca="false">IF(OR(H21="tested",H21="verified",H21="not applicable"),1,0)</f>
        <v>1</v>
      </c>
    </row>
    <row r="22" customFormat="false" ht="54" hidden="false" customHeight="true" outlineLevel="0" collapsed="false">
      <c r="A22" s="14" t="s">
        <v>3559</v>
      </c>
      <c r="B22" s="14" t="s">
        <v>214</v>
      </c>
      <c r="C22" s="14" t="s">
        <v>82</v>
      </c>
      <c r="D22" s="15" t="s">
        <v>3560</v>
      </c>
      <c r="E22" s="14" t="s">
        <v>3050</v>
      </c>
      <c r="F22" s="14" t="s">
        <v>202</v>
      </c>
      <c r="G22" s="15" t="s">
        <v>3561</v>
      </c>
      <c r="H22" s="14" t="s">
        <v>124</v>
      </c>
      <c r="I22" s="14" t="s">
        <v>140</v>
      </c>
      <c r="J22" s="16" t="s">
        <v>3562</v>
      </c>
      <c r="K22" s="15"/>
      <c r="L22" s="14"/>
      <c r="M22" s="14" t="n">
        <f aca="false">IF(OR(H22="tested",H22="verified",H22="not applicable"),1,0)</f>
        <v>0</v>
      </c>
    </row>
    <row r="23" customFormat="false" ht="54" hidden="false" customHeight="true" outlineLevel="0" collapsed="false">
      <c r="A23" s="14" t="s">
        <v>3563</v>
      </c>
      <c r="B23" s="14" t="s">
        <v>2475</v>
      </c>
      <c r="C23" s="14" t="s">
        <v>82</v>
      </c>
      <c r="D23" s="15" t="s">
        <v>3564</v>
      </c>
      <c r="E23" s="14" t="s">
        <v>161</v>
      </c>
      <c r="F23" s="14" t="s">
        <v>220</v>
      </c>
      <c r="G23" s="15" t="s">
        <v>3565</v>
      </c>
      <c r="H23" s="14" t="s">
        <v>126</v>
      </c>
      <c r="I23" s="14" t="s">
        <v>141</v>
      </c>
      <c r="J23" s="16" t="s">
        <v>3566</v>
      </c>
      <c r="K23" s="15"/>
      <c r="L23" s="14"/>
      <c r="M23" s="14" t="n">
        <f aca="false">IF(OR(H23="tested",H23="verified",H23="not applicable"),1,0)</f>
        <v>1</v>
      </c>
    </row>
    <row r="24" customFormat="false" ht="54" hidden="false" customHeight="true" outlineLevel="0" collapsed="false">
      <c r="A24" s="14" t="s">
        <v>3567</v>
      </c>
      <c r="B24" s="14" t="s">
        <v>227</v>
      </c>
      <c r="C24" s="14" t="s">
        <v>1479</v>
      </c>
      <c r="D24" s="15" t="s">
        <v>3568</v>
      </c>
      <c r="E24" s="14" t="s">
        <v>229</v>
      </c>
      <c r="F24" s="14" t="s">
        <v>229</v>
      </c>
      <c r="G24" s="15" t="s">
        <v>2636</v>
      </c>
      <c r="H24" s="14" t="s">
        <v>126</v>
      </c>
      <c r="I24" s="14" t="s">
        <v>141</v>
      </c>
      <c r="J24" s="16" t="s">
        <v>3569</v>
      </c>
      <c r="K24" s="15"/>
      <c r="L24" s="14"/>
      <c r="M24" s="14" t="n">
        <f aca="false">IF(OR(H24="tested",H24="verified",H24="not applicable"),1,0)</f>
        <v>1</v>
      </c>
    </row>
    <row r="25" customFormat="false" ht="23.25" hidden="false" customHeight="true" outlineLevel="0" collapsed="false">
      <c r="A25" s="14"/>
      <c r="B25" s="14"/>
      <c r="C25" s="14"/>
      <c r="D25" s="15"/>
      <c r="E25" s="14"/>
      <c r="F25" s="14"/>
      <c r="G25" s="15"/>
      <c r="H25" s="14"/>
      <c r="I25" s="14"/>
      <c r="J25" s="16"/>
      <c r="K25" s="15"/>
      <c r="L25" s="14"/>
      <c r="M25" s="14"/>
    </row>
    <row r="26" customFormat="false" ht="23.25" hidden="false" customHeight="true" outlineLevel="0" collapsed="false">
      <c r="A26" s="14"/>
      <c r="B26" s="14"/>
      <c r="C26" s="14"/>
      <c r="D26" s="15"/>
      <c r="E26" s="14"/>
      <c r="F26" s="14"/>
      <c r="G26" s="15"/>
      <c r="H26" s="14"/>
      <c r="I26" s="14"/>
      <c r="J26" s="16"/>
      <c r="K26" s="15"/>
      <c r="L26" s="14"/>
      <c r="M26" s="14"/>
    </row>
    <row r="27" customFormat="false" ht="23.25" hidden="false" customHeight="true" outlineLevel="0" collapsed="false">
      <c r="A27" s="14"/>
      <c r="B27" s="14"/>
      <c r="C27" s="14"/>
      <c r="D27" s="15"/>
      <c r="E27" s="14"/>
      <c r="F27" s="14"/>
      <c r="G27" s="15"/>
      <c r="H27" s="14"/>
      <c r="I27" s="14"/>
      <c r="J27" s="16"/>
      <c r="K27" s="15"/>
      <c r="L27" s="14"/>
      <c r="M27" s="14"/>
    </row>
    <row r="28" customFormat="false" ht="23.25" hidden="false" customHeight="true" outlineLevel="0" collapsed="false">
      <c r="A28" s="14"/>
      <c r="B28" s="14"/>
      <c r="C28" s="14"/>
      <c r="D28" s="15"/>
      <c r="E28" s="14"/>
      <c r="F28" s="14"/>
      <c r="G28" s="15"/>
      <c r="H28" s="14"/>
      <c r="I28" s="14"/>
      <c r="J28" s="16"/>
      <c r="K28" s="15"/>
      <c r="L28" s="14"/>
      <c r="M28" s="14"/>
    </row>
    <row r="29" customFormat="false" ht="23.25" hidden="false" customHeight="true" outlineLevel="0" collapsed="false">
      <c r="A29" s="14"/>
      <c r="B29" s="14"/>
      <c r="C29" s="14"/>
      <c r="D29" s="15"/>
      <c r="E29" s="14"/>
      <c r="F29" s="14"/>
      <c r="G29" s="15"/>
      <c r="H29" s="14"/>
      <c r="I29" s="14"/>
      <c r="J29" s="16"/>
      <c r="K29" s="15"/>
      <c r="L29" s="14"/>
      <c r="M29" s="14"/>
    </row>
    <row r="30" customFormat="false" ht="23.25" hidden="false" customHeight="true" outlineLevel="0" collapsed="false">
      <c r="A30" s="14"/>
      <c r="B30" s="14"/>
      <c r="C30" s="14"/>
      <c r="D30" s="15"/>
      <c r="E30" s="14"/>
      <c r="F30" s="14"/>
      <c r="G30" s="15"/>
      <c r="H30" s="14"/>
      <c r="I30" s="14"/>
      <c r="J30" s="16"/>
      <c r="K30" s="15"/>
      <c r="L30" s="14"/>
      <c r="M30" s="14"/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3572</v>
      </c>
      <c r="B9" s="14" t="s">
        <v>158</v>
      </c>
      <c r="C9" s="14" t="s">
        <v>1649</v>
      </c>
      <c r="D9" s="15" t="s">
        <v>3573</v>
      </c>
      <c r="E9" s="14" t="s">
        <v>161</v>
      </c>
      <c r="F9" s="14" t="s">
        <v>162</v>
      </c>
      <c r="G9" s="15" t="s">
        <v>3574</v>
      </c>
      <c r="H9" s="14" t="s">
        <v>126</v>
      </c>
      <c r="I9" s="14" t="s">
        <v>141</v>
      </c>
      <c r="J9" s="16" t="s">
        <v>3511</v>
      </c>
      <c r="K9" s="15"/>
      <c r="L9" s="14"/>
      <c r="M9" s="14" t="n">
        <f aca="false">IF(OR(H9="tested",H9="verified",H9="not applicable"),1,0)</f>
        <v>1</v>
      </c>
    </row>
    <row r="10" customFormat="false" ht="54" hidden="false" customHeight="true" outlineLevel="0" collapsed="false">
      <c r="A10" s="14" t="s">
        <v>3575</v>
      </c>
      <c r="B10" s="14" t="s">
        <v>1432</v>
      </c>
      <c r="C10" s="14" t="s">
        <v>1649</v>
      </c>
      <c r="D10" s="15" t="s">
        <v>3576</v>
      </c>
      <c r="E10" s="14" t="s">
        <v>161</v>
      </c>
      <c r="F10" s="14" t="s">
        <v>181</v>
      </c>
      <c r="G10" s="15" t="s">
        <v>3577</v>
      </c>
      <c r="H10" s="14" t="s">
        <v>126</v>
      </c>
      <c r="I10" s="14" t="s">
        <v>141</v>
      </c>
      <c r="J10" s="16" t="s">
        <v>3515</v>
      </c>
      <c r="K10" s="15"/>
      <c r="L10" s="14"/>
      <c r="M10" s="14" t="n">
        <f aca="false">IF(OR(H10="tested",H10="verified",H10="not applicable"),1,0)</f>
        <v>1</v>
      </c>
    </row>
    <row r="11" customFormat="false" ht="54" hidden="false" customHeight="true" outlineLevel="0" collapsed="false">
      <c r="A11" s="14" t="s">
        <v>3578</v>
      </c>
      <c r="B11" s="14" t="s">
        <v>165</v>
      </c>
      <c r="C11" s="14" t="s">
        <v>83</v>
      </c>
      <c r="D11" s="15" t="s">
        <v>3579</v>
      </c>
      <c r="E11" s="14" t="s">
        <v>161</v>
      </c>
      <c r="F11" s="14" t="s">
        <v>161</v>
      </c>
      <c r="G11" s="15" t="s">
        <v>3518</v>
      </c>
      <c r="H11" s="14" t="s">
        <v>126</v>
      </c>
      <c r="I11" s="14" t="s">
        <v>141</v>
      </c>
      <c r="J11" s="16" t="s">
        <v>3519</v>
      </c>
      <c r="K11" s="15"/>
      <c r="L11" s="14"/>
      <c r="M11" s="14" t="n">
        <f aca="false">IF(OR(H11="tested",H11="verified",H11="not applicable"),1,0)</f>
        <v>1</v>
      </c>
    </row>
    <row r="12" customFormat="false" ht="54" hidden="false" customHeight="true" outlineLevel="0" collapsed="false">
      <c r="A12" s="14" t="s">
        <v>3580</v>
      </c>
      <c r="B12" s="14" t="s">
        <v>169</v>
      </c>
      <c r="C12" s="14" t="s">
        <v>1649</v>
      </c>
      <c r="D12" s="15" t="s">
        <v>3581</v>
      </c>
      <c r="E12" s="14" t="s">
        <v>161</v>
      </c>
      <c r="F12" s="14" t="s">
        <v>171</v>
      </c>
      <c r="G12" s="15" t="s">
        <v>3582</v>
      </c>
      <c r="H12" s="14" t="s">
        <v>126</v>
      </c>
      <c r="I12" s="14" t="s">
        <v>141</v>
      </c>
      <c r="J12" s="16" t="s">
        <v>3523</v>
      </c>
      <c r="K12" s="15"/>
      <c r="L12" s="14"/>
      <c r="M12" s="14" t="n">
        <f aca="false">IF(OR(H12="tested",H12="verified",H12="not applicable"),1,0)</f>
        <v>1</v>
      </c>
    </row>
    <row r="13" customFormat="false" ht="54" hidden="false" customHeight="true" outlineLevel="0" collapsed="false">
      <c r="A13" s="14" t="s">
        <v>3583</v>
      </c>
      <c r="B13" s="14" t="s">
        <v>174</v>
      </c>
      <c r="C13" s="14" t="s">
        <v>1649</v>
      </c>
      <c r="D13" s="15" t="s">
        <v>3584</v>
      </c>
      <c r="E13" s="14" t="s">
        <v>161</v>
      </c>
      <c r="F13" s="14" t="s">
        <v>176</v>
      </c>
      <c r="G13" s="15" t="s">
        <v>3585</v>
      </c>
      <c r="H13" s="14" t="s">
        <v>126</v>
      </c>
      <c r="I13" s="14" t="s">
        <v>141</v>
      </c>
      <c r="J13" s="16" t="s">
        <v>3527</v>
      </c>
      <c r="K13" s="15"/>
      <c r="L13" s="14"/>
      <c r="M13" s="14" t="n">
        <f aca="false">IF(OR(H13="tested",H13="verified",H13="not applicable"),1,0)</f>
        <v>1</v>
      </c>
    </row>
    <row r="14" customFormat="false" ht="54" hidden="false" customHeight="true" outlineLevel="0" collapsed="false">
      <c r="A14" s="14" t="s">
        <v>3586</v>
      </c>
      <c r="B14" s="14" t="s">
        <v>689</v>
      </c>
      <c r="C14" s="14" t="s">
        <v>830</v>
      </c>
      <c r="D14" s="15" t="s">
        <v>3587</v>
      </c>
      <c r="E14" s="14" t="s">
        <v>186</v>
      </c>
      <c r="F14" s="14" t="s">
        <v>186</v>
      </c>
      <c r="G14" s="15" t="s">
        <v>3588</v>
      </c>
      <c r="H14" s="14" t="s">
        <v>126</v>
      </c>
      <c r="I14" s="14" t="s">
        <v>141</v>
      </c>
      <c r="J14" s="16" t="s">
        <v>3589</v>
      </c>
      <c r="K14" s="15"/>
      <c r="L14" s="14"/>
      <c r="M14" s="14" t="n">
        <f aca="false">IF(OR(H14="tested",H14="verified",H14="not applicable"),1,0)</f>
        <v>1</v>
      </c>
    </row>
    <row r="15" customFormat="false" ht="54" hidden="false" customHeight="true" outlineLevel="0" collapsed="false">
      <c r="A15" s="14" t="s">
        <v>3590</v>
      </c>
      <c r="B15" s="14" t="s">
        <v>3591</v>
      </c>
      <c r="C15" s="14" t="s">
        <v>1649</v>
      </c>
      <c r="D15" s="15" t="s">
        <v>3592</v>
      </c>
      <c r="E15" s="14" t="s">
        <v>186</v>
      </c>
      <c r="F15" s="14" t="s">
        <v>186</v>
      </c>
      <c r="G15" s="15" t="s">
        <v>3588</v>
      </c>
      <c r="H15" s="14" t="s">
        <v>126</v>
      </c>
      <c r="I15" s="14" t="s">
        <v>141</v>
      </c>
      <c r="J15" s="16" t="s">
        <v>3593</v>
      </c>
      <c r="K15" s="15"/>
      <c r="L15" s="14"/>
      <c r="M15" s="14" t="n">
        <f aca="false">IF(OR(H15="tested",H15="verified",H15="not applicable"),1,0)</f>
        <v>1</v>
      </c>
    </row>
    <row r="16" customFormat="false" ht="54" hidden="false" customHeight="true" outlineLevel="0" collapsed="false">
      <c r="A16" s="14" t="s">
        <v>3594</v>
      </c>
      <c r="B16" s="14" t="s">
        <v>32</v>
      </c>
      <c r="C16" s="14" t="s">
        <v>830</v>
      </c>
      <c r="D16" s="15" t="s">
        <v>3595</v>
      </c>
      <c r="E16" s="14" t="s">
        <v>186</v>
      </c>
      <c r="F16" s="14" t="s">
        <v>186</v>
      </c>
      <c r="G16" s="15" t="s">
        <v>3588</v>
      </c>
      <c r="H16" s="14" t="s">
        <v>126</v>
      </c>
      <c r="I16" s="14" t="s">
        <v>141</v>
      </c>
      <c r="J16" s="16" t="s">
        <v>3596</v>
      </c>
      <c r="K16" s="15"/>
      <c r="L16" s="14"/>
      <c r="M16" s="14" t="n">
        <f aca="false">IF(OR(H16="tested",H16="verified",H16="not applicable"),1,0)</f>
        <v>1</v>
      </c>
    </row>
    <row r="17" customFormat="false" ht="54" hidden="false" customHeight="true" outlineLevel="0" collapsed="false">
      <c r="A17" s="14" t="s">
        <v>3597</v>
      </c>
      <c r="B17" s="14" t="s">
        <v>3538</v>
      </c>
      <c r="C17" s="14" t="s">
        <v>830</v>
      </c>
      <c r="D17" s="15" t="s">
        <v>3598</v>
      </c>
      <c r="E17" s="14" t="s">
        <v>161</v>
      </c>
      <c r="F17" s="14" t="s">
        <v>181</v>
      </c>
      <c r="G17" s="15" t="s">
        <v>3577</v>
      </c>
      <c r="H17" s="14" t="s">
        <v>126</v>
      </c>
      <c r="I17" s="14" t="s">
        <v>141</v>
      </c>
      <c r="J17" s="16" t="s">
        <v>3540</v>
      </c>
      <c r="K17" s="15"/>
      <c r="L17" s="14"/>
      <c r="M17" s="14" t="n">
        <f aca="false">IF(OR(H17="tested",H17="verified",H17="not applicable"),1,0)</f>
        <v>1</v>
      </c>
    </row>
    <row r="18" customFormat="false" ht="54" hidden="false" customHeight="true" outlineLevel="0" collapsed="false">
      <c r="A18" s="14" t="s">
        <v>3599</v>
      </c>
      <c r="B18" s="14" t="s">
        <v>1222</v>
      </c>
      <c r="C18" s="14" t="s">
        <v>830</v>
      </c>
      <c r="D18" s="15" t="s">
        <v>3600</v>
      </c>
      <c r="E18" s="14" t="s">
        <v>186</v>
      </c>
      <c r="F18" s="14" t="s">
        <v>186</v>
      </c>
      <c r="G18" s="15" t="s">
        <v>3588</v>
      </c>
      <c r="H18" s="14" t="s">
        <v>126</v>
      </c>
      <c r="I18" s="14" t="s">
        <v>141</v>
      </c>
      <c r="J18" s="16" t="s">
        <v>3543</v>
      </c>
      <c r="K18" s="15"/>
      <c r="L18" s="14"/>
      <c r="M18" s="14" t="n">
        <f aca="false">IF(OR(H18="tested",H18="verified",H18="not applicable"),1,0)</f>
        <v>1</v>
      </c>
    </row>
    <row r="19" customFormat="false" ht="54" hidden="false" customHeight="true" outlineLevel="0" collapsed="false">
      <c r="A19" s="14" t="s">
        <v>3601</v>
      </c>
      <c r="B19" s="14" t="s">
        <v>3602</v>
      </c>
      <c r="C19" s="14" t="s">
        <v>933</v>
      </c>
      <c r="D19" s="15" t="s">
        <v>3603</v>
      </c>
      <c r="E19" s="14" t="s">
        <v>161</v>
      </c>
      <c r="F19" s="14" t="s">
        <v>181</v>
      </c>
      <c r="G19" s="15" t="s">
        <v>3577</v>
      </c>
      <c r="H19" s="14" t="s">
        <v>126</v>
      </c>
      <c r="I19" s="14" t="s">
        <v>141</v>
      </c>
      <c r="J19" s="16" t="s">
        <v>3604</v>
      </c>
      <c r="K19" s="15"/>
      <c r="L19" s="14"/>
      <c r="M19" s="14" t="n">
        <f aca="false">IF(OR(H19="tested",H19="verified",H19="not applicable"),1,0)</f>
        <v>1</v>
      </c>
    </row>
    <row r="20" customFormat="false" ht="54" hidden="false" customHeight="true" outlineLevel="0" collapsed="false">
      <c r="A20" s="14" t="s">
        <v>3605</v>
      </c>
      <c r="B20" s="14" t="s">
        <v>94</v>
      </c>
      <c r="C20" s="14" t="s">
        <v>1649</v>
      </c>
      <c r="D20" s="15" t="s">
        <v>3549</v>
      </c>
      <c r="E20" s="14" t="s">
        <v>3050</v>
      </c>
      <c r="F20" s="14" t="s">
        <v>196</v>
      </c>
      <c r="G20" s="15" t="s">
        <v>3606</v>
      </c>
      <c r="H20" s="14" t="s">
        <v>128</v>
      </c>
      <c r="I20" s="14" t="s">
        <v>140</v>
      </c>
      <c r="J20" s="16" t="s">
        <v>3607</v>
      </c>
      <c r="K20" s="15"/>
      <c r="L20" s="14"/>
      <c r="M20" s="14" t="n">
        <f aca="false">IF(OR(H20="tested",H20="verified",H20="not applicable"),1,0)</f>
        <v>1</v>
      </c>
    </row>
    <row r="21" customFormat="false" ht="54" hidden="false" customHeight="true" outlineLevel="0" collapsed="false">
      <c r="A21" s="14" t="s">
        <v>3608</v>
      </c>
      <c r="B21" s="14" t="s">
        <v>200</v>
      </c>
      <c r="C21" s="14" t="s">
        <v>1649</v>
      </c>
      <c r="D21" s="15" t="s">
        <v>3609</v>
      </c>
      <c r="E21" s="14" t="s">
        <v>3050</v>
      </c>
      <c r="F21" s="14" t="s">
        <v>196</v>
      </c>
      <c r="G21" s="15" t="s">
        <v>3606</v>
      </c>
      <c r="H21" s="14" t="s">
        <v>128</v>
      </c>
      <c r="I21" s="14" t="s">
        <v>140</v>
      </c>
      <c r="J21" s="16" t="s">
        <v>3610</v>
      </c>
      <c r="K21" s="15"/>
      <c r="L21" s="14"/>
      <c r="M21" s="14" t="n">
        <f aca="false">IF(OR(H21="tested",H21="verified",H21="not applicable"),1,0)</f>
        <v>1</v>
      </c>
    </row>
    <row r="22" customFormat="false" ht="54" hidden="false" customHeight="true" outlineLevel="0" collapsed="false">
      <c r="A22" s="14" t="s">
        <v>3611</v>
      </c>
      <c r="B22" s="14" t="s">
        <v>189</v>
      </c>
      <c r="C22" s="14" t="s">
        <v>1649</v>
      </c>
      <c r="D22" s="15" t="s">
        <v>3612</v>
      </c>
      <c r="E22" s="14" t="s">
        <v>186</v>
      </c>
      <c r="F22" s="14" t="s">
        <v>191</v>
      </c>
      <c r="G22" s="15" t="s">
        <v>3588</v>
      </c>
      <c r="H22" s="14" t="s">
        <v>126</v>
      </c>
      <c r="I22" s="14" t="s">
        <v>141</v>
      </c>
      <c r="J22" s="16" t="s">
        <v>3558</v>
      </c>
      <c r="K22" s="15"/>
      <c r="L22" s="14"/>
      <c r="M22" s="14" t="n">
        <f aca="false">IF(OR(H22="tested",H22="verified",H22="not applicable"),1,0)</f>
        <v>1</v>
      </c>
    </row>
    <row r="23" customFormat="false" ht="54" hidden="false" customHeight="true" outlineLevel="0" collapsed="false">
      <c r="A23" s="14" t="s">
        <v>3613</v>
      </c>
      <c r="B23" s="14" t="s">
        <v>214</v>
      </c>
      <c r="C23" s="14" t="s">
        <v>83</v>
      </c>
      <c r="D23" s="15" t="s">
        <v>3614</v>
      </c>
      <c r="E23" s="14" t="s">
        <v>3050</v>
      </c>
      <c r="F23" s="14" t="s">
        <v>202</v>
      </c>
      <c r="G23" s="15" t="s">
        <v>3615</v>
      </c>
      <c r="H23" s="14" t="s">
        <v>124</v>
      </c>
      <c r="I23" s="14" t="s">
        <v>140</v>
      </c>
      <c r="J23" s="16" t="s">
        <v>3616</v>
      </c>
      <c r="K23" s="15"/>
      <c r="L23" s="14"/>
      <c r="M23" s="14" t="n">
        <f aca="false">IF(OR(H23="tested",H23="verified",H23="not applicable"),1,0)</f>
        <v>0</v>
      </c>
    </row>
    <row r="24" customFormat="false" ht="54" hidden="false" customHeight="true" outlineLevel="0" collapsed="false">
      <c r="A24" s="14" t="s">
        <v>3617</v>
      </c>
      <c r="B24" s="14" t="s">
        <v>2475</v>
      </c>
      <c r="C24" s="14" t="s">
        <v>83</v>
      </c>
      <c r="D24" s="15" t="s">
        <v>3618</v>
      </c>
      <c r="E24" s="14" t="s">
        <v>161</v>
      </c>
      <c r="F24" s="14" t="s">
        <v>220</v>
      </c>
      <c r="G24" s="15" t="s">
        <v>3619</v>
      </c>
      <c r="H24" s="14" t="s">
        <v>126</v>
      </c>
      <c r="I24" s="14" t="s">
        <v>141</v>
      </c>
      <c r="J24" s="16" t="s">
        <v>3566</v>
      </c>
      <c r="K24" s="15"/>
      <c r="L24" s="14"/>
      <c r="M24" s="14" t="n">
        <f aca="false">IF(OR(H24="tested",H24="verified",H24="not applicable"),1,0)</f>
        <v>1</v>
      </c>
    </row>
    <row r="25" customFormat="false" ht="23.25" hidden="false" customHeight="true" outlineLevel="0" collapsed="false">
      <c r="A25" s="14" t="s">
        <v>3620</v>
      </c>
      <c r="B25" s="14" t="s">
        <v>227</v>
      </c>
      <c r="C25" s="14" t="s">
        <v>1649</v>
      </c>
      <c r="D25" s="15" t="s">
        <v>3621</v>
      </c>
      <c r="E25" s="14" t="s">
        <v>229</v>
      </c>
      <c r="F25" s="14" t="s">
        <v>229</v>
      </c>
      <c r="G25" s="15" t="s">
        <v>2636</v>
      </c>
      <c r="H25" s="14" t="s">
        <v>126</v>
      </c>
      <c r="I25" s="14" t="s">
        <v>141</v>
      </c>
      <c r="J25" s="16" t="s">
        <v>3569</v>
      </c>
      <c r="K25" s="15"/>
      <c r="L25" s="14"/>
      <c r="M25" s="14" t="n">
        <f aca="false">IF(OR(H25="tested",H25="verified",H25="not applicable"),1,0)</f>
        <v>1</v>
      </c>
    </row>
    <row r="26" customFormat="false" ht="23.25" hidden="false" customHeight="true" outlineLevel="0" collapsed="false">
      <c r="A26" s="14"/>
      <c r="B26" s="14"/>
      <c r="C26" s="14"/>
      <c r="D26" s="15"/>
      <c r="E26" s="14"/>
      <c r="F26" s="14"/>
      <c r="G26" s="15"/>
      <c r="H26" s="14"/>
      <c r="I26" s="14"/>
      <c r="J26" s="16"/>
      <c r="K26" s="15"/>
      <c r="L26" s="14"/>
      <c r="M26" s="14"/>
    </row>
    <row r="27" customFormat="false" ht="23.25" hidden="false" customHeight="true" outlineLevel="0" collapsed="false">
      <c r="A27" s="14"/>
      <c r="B27" s="14"/>
      <c r="C27" s="14"/>
      <c r="D27" s="15"/>
      <c r="E27" s="14"/>
      <c r="F27" s="14"/>
      <c r="G27" s="15"/>
      <c r="H27" s="14"/>
      <c r="I27" s="14"/>
      <c r="J27" s="16"/>
      <c r="K27" s="15"/>
      <c r="L27" s="14"/>
      <c r="M27" s="14"/>
    </row>
    <row r="28" customFormat="false" ht="23.25" hidden="false" customHeight="true" outlineLevel="0" collapsed="false">
      <c r="A28" s="14"/>
      <c r="B28" s="14"/>
      <c r="C28" s="14"/>
      <c r="D28" s="15"/>
      <c r="E28" s="14"/>
      <c r="F28" s="14"/>
      <c r="G28" s="15"/>
      <c r="H28" s="14"/>
      <c r="I28" s="14"/>
      <c r="J28" s="16"/>
      <c r="K28" s="15"/>
      <c r="L28" s="14"/>
      <c r="M28" s="14"/>
    </row>
    <row r="29" customFormat="false" ht="23.25" hidden="false" customHeight="true" outlineLevel="0" collapsed="false">
      <c r="A29" s="14"/>
      <c r="B29" s="14"/>
      <c r="C29" s="14"/>
      <c r="D29" s="15"/>
      <c r="E29" s="14"/>
      <c r="F29" s="14"/>
      <c r="G29" s="15"/>
      <c r="H29" s="14"/>
      <c r="I29" s="14"/>
      <c r="J29" s="16"/>
      <c r="K29" s="15"/>
      <c r="L29" s="14"/>
      <c r="M29" s="14"/>
    </row>
    <row r="30" customFormat="false" ht="23.25" hidden="false" customHeight="true" outlineLevel="0" collapsed="false">
      <c r="A30" s="14"/>
      <c r="B30" s="14"/>
      <c r="C30" s="14"/>
      <c r="D30" s="15"/>
      <c r="E30" s="14"/>
      <c r="F30" s="14"/>
      <c r="G30" s="15"/>
      <c r="H30" s="14"/>
      <c r="I30" s="14"/>
      <c r="J30" s="16"/>
      <c r="K30" s="15"/>
      <c r="L30" s="14"/>
      <c r="M30" s="14"/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144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3624</v>
      </c>
      <c r="B9" s="14" t="s">
        <v>118</v>
      </c>
      <c r="C9" s="14" t="s">
        <v>1274</v>
      </c>
      <c r="D9" s="15" t="s">
        <v>3625</v>
      </c>
      <c r="E9" s="14" t="s">
        <v>161</v>
      </c>
      <c r="F9" s="14" t="s">
        <v>162</v>
      </c>
      <c r="G9" s="15" t="s">
        <v>3626</v>
      </c>
      <c r="H9" s="14" t="s">
        <v>126</v>
      </c>
      <c r="I9" s="14" t="s">
        <v>141</v>
      </c>
      <c r="J9" s="16" t="n">
        <v>46232</v>
      </c>
      <c r="K9" s="15" t="s">
        <v>3627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3628</v>
      </c>
      <c r="B10" s="14" t="s">
        <v>2488</v>
      </c>
      <c r="C10" s="14" t="s">
        <v>1274</v>
      </c>
      <c r="D10" s="15" t="s">
        <v>3629</v>
      </c>
      <c r="E10" s="14" t="s">
        <v>161</v>
      </c>
      <c r="F10" s="14" t="s">
        <v>181</v>
      </c>
      <c r="G10" s="15" t="s">
        <v>3630</v>
      </c>
      <c r="H10" s="14" t="s">
        <v>126</v>
      </c>
      <c r="I10" s="14" t="s">
        <v>141</v>
      </c>
      <c r="J10" s="16" t="n">
        <v>46232</v>
      </c>
      <c r="K10" s="15" t="s">
        <v>3515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3631</v>
      </c>
      <c r="B11" s="14" t="s">
        <v>1432</v>
      </c>
      <c r="C11" s="14" t="s">
        <v>1274</v>
      </c>
      <c r="D11" s="15" t="s">
        <v>3632</v>
      </c>
      <c r="E11" s="14" t="s">
        <v>161</v>
      </c>
      <c r="F11" s="14" t="s">
        <v>181</v>
      </c>
      <c r="G11" s="15" t="s">
        <v>3630</v>
      </c>
      <c r="H11" s="14" t="s">
        <v>126</v>
      </c>
      <c r="I11" s="14" t="s">
        <v>141</v>
      </c>
      <c r="J11" s="16" t="n">
        <v>46232</v>
      </c>
      <c r="K11" s="15" t="s">
        <v>3633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3634</v>
      </c>
      <c r="B12" s="14" t="s">
        <v>169</v>
      </c>
      <c r="C12" s="14" t="s">
        <v>2497</v>
      </c>
      <c r="D12" s="15" t="s">
        <v>3635</v>
      </c>
      <c r="E12" s="14" t="s">
        <v>161</v>
      </c>
      <c r="F12" s="14" t="s">
        <v>171</v>
      </c>
      <c r="G12" s="15" t="s">
        <v>3636</v>
      </c>
      <c r="H12" s="14" t="s">
        <v>126</v>
      </c>
      <c r="I12" s="14" t="s">
        <v>141</v>
      </c>
      <c r="J12" s="16" t="n">
        <v>46232</v>
      </c>
      <c r="K12" s="15" t="s">
        <v>3637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3638</v>
      </c>
      <c r="B13" s="14" t="s">
        <v>165</v>
      </c>
      <c r="C13" s="14" t="s">
        <v>1274</v>
      </c>
      <c r="D13" s="15" t="s">
        <v>3639</v>
      </c>
      <c r="E13" s="14" t="s">
        <v>161</v>
      </c>
      <c r="F13" s="14" t="s">
        <v>161</v>
      </c>
      <c r="G13" s="15" t="s">
        <v>2978</v>
      </c>
      <c r="H13" s="14" t="s">
        <v>126</v>
      </c>
      <c r="I13" s="14" t="s">
        <v>141</v>
      </c>
      <c r="J13" s="16" t="n">
        <v>46232</v>
      </c>
      <c r="K13" s="15" t="s">
        <v>3640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3641</v>
      </c>
      <c r="B14" s="14" t="s">
        <v>1400</v>
      </c>
      <c r="C14" s="14" t="s">
        <v>3642</v>
      </c>
      <c r="D14" s="15" t="s">
        <v>3643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46232</v>
      </c>
      <c r="K14" s="15" t="s">
        <v>3644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3645</v>
      </c>
      <c r="B15" s="14" t="s">
        <v>174</v>
      </c>
      <c r="C15" s="14" t="s">
        <v>1274</v>
      </c>
      <c r="D15" s="15" t="s">
        <v>3646</v>
      </c>
      <c r="E15" s="14" t="s">
        <v>161</v>
      </c>
      <c r="F15" s="14" t="s">
        <v>176</v>
      </c>
      <c r="G15" s="15" t="s">
        <v>3647</v>
      </c>
      <c r="H15" s="14" t="s">
        <v>126</v>
      </c>
      <c r="I15" s="14" t="s">
        <v>141</v>
      </c>
      <c r="J15" s="16" t="n">
        <v>46232</v>
      </c>
      <c r="K15" s="15" t="s">
        <v>3648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3649</v>
      </c>
      <c r="B16" s="14" t="s">
        <v>3650</v>
      </c>
      <c r="C16" s="14" t="s">
        <v>3651</v>
      </c>
      <c r="D16" s="15" t="s">
        <v>3652</v>
      </c>
      <c r="E16" s="14" t="s">
        <v>186</v>
      </c>
      <c r="F16" s="14" t="s">
        <v>186</v>
      </c>
      <c r="G16" s="15" t="s">
        <v>3653</v>
      </c>
      <c r="H16" s="14" t="s">
        <v>126</v>
      </c>
      <c r="I16" s="14" t="s">
        <v>141</v>
      </c>
      <c r="J16" s="16" t="n">
        <v>46232</v>
      </c>
      <c r="K16" s="15" t="s">
        <v>3654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3655</v>
      </c>
      <c r="B17" s="14" t="s">
        <v>3656</v>
      </c>
      <c r="C17" s="14" t="s">
        <v>3657</v>
      </c>
      <c r="D17" s="15" t="s">
        <v>3658</v>
      </c>
      <c r="E17" s="14" t="s">
        <v>186</v>
      </c>
      <c r="F17" s="14" t="s">
        <v>186</v>
      </c>
      <c r="G17" s="15" t="s">
        <v>3659</v>
      </c>
      <c r="H17" s="14" t="s">
        <v>126</v>
      </c>
      <c r="I17" s="14" t="s">
        <v>141</v>
      </c>
      <c r="J17" s="16" t="n">
        <v>46232</v>
      </c>
      <c r="K17" s="15" t="s">
        <v>3660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3661</v>
      </c>
      <c r="B18" s="14" t="s">
        <v>3662</v>
      </c>
      <c r="C18" s="14" t="s">
        <v>3663</v>
      </c>
      <c r="D18" s="15" t="s">
        <v>3664</v>
      </c>
      <c r="E18" s="14" t="s">
        <v>186</v>
      </c>
      <c r="F18" s="14" t="s">
        <v>186</v>
      </c>
      <c r="G18" s="15" t="s">
        <v>3653</v>
      </c>
      <c r="H18" s="14" t="s">
        <v>126</v>
      </c>
      <c r="I18" s="14" t="s">
        <v>141</v>
      </c>
      <c r="J18" s="16" t="n">
        <v>46232</v>
      </c>
      <c r="K18" s="15" t="s">
        <v>3665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3666</v>
      </c>
      <c r="B19" s="14" t="s">
        <v>3667</v>
      </c>
      <c r="C19" s="14" t="s">
        <v>3668</v>
      </c>
      <c r="D19" s="15" t="s">
        <v>3669</v>
      </c>
      <c r="E19" s="14" t="s">
        <v>186</v>
      </c>
      <c r="F19" s="14" t="s">
        <v>186</v>
      </c>
      <c r="G19" s="15" t="s">
        <v>3670</v>
      </c>
      <c r="H19" s="14" t="s">
        <v>126</v>
      </c>
      <c r="I19" s="14" t="s">
        <v>141</v>
      </c>
      <c r="J19" s="16" t="n">
        <v>46232</v>
      </c>
      <c r="K19" s="15" t="s">
        <v>3671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3672</v>
      </c>
      <c r="B20" s="14" t="s">
        <v>1678</v>
      </c>
      <c r="C20" s="14" t="s">
        <v>3673</v>
      </c>
      <c r="D20" s="15" t="s">
        <v>3674</v>
      </c>
      <c r="E20" s="14" t="s">
        <v>161</v>
      </c>
      <c r="F20" s="14" t="s">
        <v>181</v>
      </c>
      <c r="G20" s="15" t="s">
        <v>3675</v>
      </c>
      <c r="H20" s="14" t="s">
        <v>126</v>
      </c>
      <c r="I20" s="14" t="s">
        <v>141</v>
      </c>
      <c r="J20" s="16" t="n">
        <v>46232</v>
      </c>
      <c r="K20" s="15" t="s">
        <v>3676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3677</v>
      </c>
      <c r="B21" s="14" t="s">
        <v>1782</v>
      </c>
      <c r="C21" s="14" t="s">
        <v>3663</v>
      </c>
      <c r="D21" s="15" t="s">
        <v>3678</v>
      </c>
      <c r="E21" s="14" t="s">
        <v>186</v>
      </c>
      <c r="F21" s="14" t="s">
        <v>196</v>
      </c>
      <c r="G21" s="15" t="s">
        <v>3679</v>
      </c>
      <c r="H21" s="14" t="s">
        <v>126</v>
      </c>
      <c r="I21" s="14" t="s">
        <v>141</v>
      </c>
      <c r="J21" s="16" t="n">
        <v>46232</v>
      </c>
      <c r="K21" s="15" t="s">
        <v>3680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3681</v>
      </c>
      <c r="B22" s="14" t="s">
        <v>3682</v>
      </c>
      <c r="C22" s="14" t="s">
        <v>3683</v>
      </c>
      <c r="D22" s="15" t="s">
        <v>3684</v>
      </c>
      <c r="E22" s="14" t="s">
        <v>186</v>
      </c>
      <c r="F22" s="14" t="s">
        <v>186</v>
      </c>
      <c r="G22" s="15" t="s">
        <v>3685</v>
      </c>
      <c r="H22" s="14" t="s">
        <v>126</v>
      </c>
      <c r="I22" s="14" t="s">
        <v>141</v>
      </c>
      <c r="J22" s="16" t="n">
        <v>46232</v>
      </c>
      <c r="K22" s="15" t="s">
        <v>3686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3687</v>
      </c>
      <c r="B23" s="14" t="s">
        <v>3688</v>
      </c>
      <c r="C23" s="14" t="s">
        <v>3689</v>
      </c>
      <c r="D23" s="15" t="s">
        <v>3690</v>
      </c>
      <c r="E23" s="14" t="s">
        <v>186</v>
      </c>
      <c r="F23" s="14" t="s">
        <v>196</v>
      </c>
      <c r="G23" s="15" t="s">
        <v>3679</v>
      </c>
      <c r="H23" s="14" t="s">
        <v>126</v>
      </c>
      <c r="I23" s="14" t="s">
        <v>141</v>
      </c>
      <c r="J23" s="16" t="n">
        <v>46232</v>
      </c>
      <c r="K23" s="15" t="s">
        <v>3691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3692</v>
      </c>
      <c r="B24" s="14" t="s">
        <v>200</v>
      </c>
      <c r="C24" s="14" t="s">
        <v>3156</v>
      </c>
      <c r="D24" s="15" t="s">
        <v>3693</v>
      </c>
      <c r="E24" s="14" t="s">
        <v>186</v>
      </c>
      <c r="F24" s="14" t="s">
        <v>186</v>
      </c>
      <c r="G24" s="15" t="s">
        <v>3653</v>
      </c>
      <c r="H24" s="14" t="s">
        <v>126</v>
      </c>
      <c r="I24" s="14" t="s">
        <v>141</v>
      </c>
      <c r="J24" s="16" t="n">
        <v>46232</v>
      </c>
      <c r="K24" s="15" t="s">
        <v>3694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3695</v>
      </c>
      <c r="B25" s="14" t="s">
        <v>2620</v>
      </c>
      <c r="C25" s="14" t="s">
        <v>1274</v>
      </c>
      <c r="D25" s="15" t="s">
        <v>3696</v>
      </c>
      <c r="E25" s="14" t="s">
        <v>186</v>
      </c>
      <c r="F25" s="14" t="s">
        <v>186</v>
      </c>
      <c r="G25" s="15" t="s">
        <v>3653</v>
      </c>
      <c r="H25" s="14" t="s">
        <v>126</v>
      </c>
      <c r="I25" s="14" t="s">
        <v>141</v>
      </c>
      <c r="J25" s="16" t="n">
        <v>46232</v>
      </c>
      <c r="K25" s="15" t="s">
        <v>3697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3698</v>
      </c>
      <c r="B26" s="14" t="s">
        <v>3021</v>
      </c>
      <c r="C26" s="14" t="s">
        <v>1274</v>
      </c>
      <c r="D26" s="15" t="s">
        <v>3699</v>
      </c>
      <c r="E26" s="14" t="s">
        <v>186</v>
      </c>
      <c r="F26" s="14" t="s">
        <v>196</v>
      </c>
      <c r="G26" s="15" t="s">
        <v>3679</v>
      </c>
      <c r="H26" s="14" t="s">
        <v>126</v>
      </c>
      <c r="I26" s="14" t="s">
        <v>141</v>
      </c>
      <c r="J26" s="16" t="n">
        <v>46232</v>
      </c>
      <c r="K26" s="15" t="s">
        <v>3700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3701</v>
      </c>
      <c r="B27" s="14" t="s">
        <v>1620</v>
      </c>
      <c r="C27" s="14" t="s">
        <v>1274</v>
      </c>
      <c r="D27" s="15" t="s">
        <v>3702</v>
      </c>
      <c r="E27" s="14" t="s">
        <v>161</v>
      </c>
      <c r="F27" s="14" t="s">
        <v>181</v>
      </c>
      <c r="G27" s="15" t="s">
        <v>3703</v>
      </c>
      <c r="H27" s="14" t="s">
        <v>126</v>
      </c>
      <c r="I27" s="14" t="s">
        <v>141</v>
      </c>
      <c r="J27" s="16" t="n">
        <v>46232</v>
      </c>
      <c r="K27" s="15" t="s">
        <v>3704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3705</v>
      </c>
      <c r="B28" s="14" t="s">
        <v>189</v>
      </c>
      <c r="C28" s="14" t="s">
        <v>3706</v>
      </c>
      <c r="D28" s="15" t="s">
        <v>3707</v>
      </c>
      <c r="E28" s="14" t="s">
        <v>186</v>
      </c>
      <c r="F28" s="14" t="s">
        <v>191</v>
      </c>
      <c r="G28" s="15" t="s">
        <v>3659</v>
      </c>
      <c r="H28" s="14" t="s">
        <v>126</v>
      </c>
      <c r="I28" s="14" t="s">
        <v>141</v>
      </c>
      <c r="J28" s="16" t="n">
        <v>46232</v>
      </c>
      <c r="K28" s="15" t="s">
        <v>3708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3709</v>
      </c>
      <c r="B29" s="14" t="s">
        <v>649</v>
      </c>
      <c r="C29" s="14" t="s">
        <v>1274</v>
      </c>
      <c r="D29" s="15" t="s">
        <v>3710</v>
      </c>
      <c r="E29" s="14" t="s">
        <v>161</v>
      </c>
      <c r="F29" s="14" t="s">
        <v>651</v>
      </c>
      <c r="G29" s="15" t="s">
        <v>3711</v>
      </c>
      <c r="H29" s="14" t="s">
        <v>126</v>
      </c>
      <c r="I29" s="14" t="s">
        <v>141</v>
      </c>
      <c r="J29" s="16" t="n">
        <v>46232</v>
      </c>
      <c r="K29" s="15" t="s">
        <v>3712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3713</v>
      </c>
      <c r="B30" s="14" t="s">
        <v>3036</v>
      </c>
      <c r="C30" s="14" t="s">
        <v>1274</v>
      </c>
      <c r="D30" s="15" t="s">
        <v>3714</v>
      </c>
      <c r="E30" s="14" t="s">
        <v>186</v>
      </c>
      <c r="F30" s="14" t="s">
        <v>196</v>
      </c>
      <c r="G30" s="15" t="s">
        <v>3715</v>
      </c>
      <c r="H30" s="14" t="s">
        <v>126</v>
      </c>
      <c r="I30" s="14" t="s">
        <v>141</v>
      </c>
      <c r="J30" s="16" t="n">
        <v>46232</v>
      </c>
      <c r="K30" s="15" t="s">
        <v>3716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3717</v>
      </c>
      <c r="B31" s="14" t="s">
        <v>2475</v>
      </c>
      <c r="C31" s="14" t="s">
        <v>2699</v>
      </c>
      <c r="D31" s="15" t="s">
        <v>3718</v>
      </c>
      <c r="E31" s="14" t="s">
        <v>161</v>
      </c>
      <c r="F31" s="14" t="s">
        <v>2701</v>
      </c>
      <c r="G31" s="15" t="s">
        <v>3719</v>
      </c>
      <c r="H31" s="14" t="s">
        <v>126</v>
      </c>
      <c r="I31" s="14" t="s">
        <v>141</v>
      </c>
      <c r="J31" s="16" t="n">
        <v>46232</v>
      </c>
      <c r="K31" s="15" t="s">
        <v>3720</v>
      </c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3721</v>
      </c>
      <c r="B32" s="14" t="s">
        <v>223</v>
      </c>
      <c r="C32" s="14" t="s">
        <v>2704</v>
      </c>
      <c r="D32" s="15" t="s">
        <v>3722</v>
      </c>
      <c r="E32" s="14" t="s">
        <v>161</v>
      </c>
      <c r="F32" s="14" t="s">
        <v>2701</v>
      </c>
      <c r="G32" s="15" t="s">
        <v>3723</v>
      </c>
      <c r="H32" s="14" t="s">
        <v>126</v>
      </c>
      <c r="I32" s="14" t="s">
        <v>141</v>
      </c>
      <c r="J32" s="16" t="n">
        <v>46232</v>
      </c>
      <c r="K32" s="15" t="s">
        <v>3724</v>
      </c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3725</v>
      </c>
      <c r="B33" s="14" t="s">
        <v>227</v>
      </c>
      <c r="C33" s="14" t="s">
        <v>3726</v>
      </c>
      <c r="D33" s="15" t="s">
        <v>3727</v>
      </c>
      <c r="E33" s="14" t="s">
        <v>229</v>
      </c>
      <c r="F33" s="14" t="s">
        <v>229</v>
      </c>
      <c r="G33" s="15" t="s">
        <v>230</v>
      </c>
      <c r="H33" s="14" t="s">
        <v>126</v>
      </c>
      <c r="I33" s="14" t="s">
        <v>141</v>
      </c>
      <c r="J33" s="16" t="n">
        <v>46232</v>
      </c>
      <c r="K33" s="15" t="s">
        <v>3728</v>
      </c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3729</v>
      </c>
      <c r="B34" s="14" t="s">
        <v>214</v>
      </c>
      <c r="C34" s="14" t="s">
        <v>1274</v>
      </c>
      <c r="D34" s="15" t="s">
        <v>3730</v>
      </c>
      <c r="E34" s="14" t="s">
        <v>3050</v>
      </c>
      <c r="F34" s="14" t="s">
        <v>202</v>
      </c>
      <c r="G34" s="15" t="s">
        <v>3731</v>
      </c>
      <c r="H34" s="14" t="s">
        <v>120</v>
      </c>
      <c r="I34" s="14" t="s">
        <v>140</v>
      </c>
      <c r="J34" s="16" t="n">
        <v>46232</v>
      </c>
      <c r="K34" s="15" t="s">
        <v>3732</v>
      </c>
      <c r="L34" s="14" t="n">
        <v>1</v>
      </c>
      <c r="M34" s="14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4" t="s">
        <v>3733</v>
      </c>
      <c r="B35" s="14" t="s">
        <v>232</v>
      </c>
      <c r="C35" s="14" t="s">
        <v>2717</v>
      </c>
      <c r="D35" s="15" t="s">
        <v>3734</v>
      </c>
      <c r="E35" s="14" t="s">
        <v>161</v>
      </c>
      <c r="F35" s="14" t="s">
        <v>161</v>
      </c>
      <c r="G35" s="15" t="s">
        <v>234</v>
      </c>
      <c r="H35" s="14" t="s">
        <v>126</v>
      </c>
      <c r="I35" s="14" t="s">
        <v>141</v>
      </c>
      <c r="J35" s="16" t="n">
        <v>46232</v>
      </c>
      <c r="K35" s="15" t="s">
        <v>3735</v>
      </c>
      <c r="L35" s="14" t="n">
        <v>1</v>
      </c>
      <c r="M35" s="14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4" t="s">
        <v>3736</v>
      </c>
      <c r="B36" s="14" t="s">
        <v>2795</v>
      </c>
      <c r="C36" s="14" t="s">
        <v>1274</v>
      </c>
      <c r="D36" s="15" t="s">
        <v>3737</v>
      </c>
      <c r="E36" s="14" t="s">
        <v>161</v>
      </c>
      <c r="F36" s="14" t="s">
        <v>2701</v>
      </c>
      <c r="G36" s="15" t="s">
        <v>3719</v>
      </c>
      <c r="H36" s="14" t="s">
        <v>126</v>
      </c>
      <c r="I36" s="14" t="s">
        <v>141</v>
      </c>
      <c r="J36" s="16" t="n">
        <v>46232</v>
      </c>
      <c r="K36" s="15" t="s">
        <v>3060</v>
      </c>
      <c r="L36" s="14" t="n">
        <v>1</v>
      </c>
      <c r="M36" s="14" t="n">
        <f aca="false">IF(OR(AND(I36="yes",H36="verified"),AND(I36="no",OR(H36="tested",H36="verified")),AND(H36="not applicable",K36&lt;&gt;"")),1,0)</f>
        <v>1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3508</v>
      </c>
      <c r="B9" s="14" t="s">
        <v>118</v>
      </c>
      <c r="C9" s="14" t="s">
        <v>3740</v>
      </c>
      <c r="D9" s="15" t="s">
        <v>3741</v>
      </c>
      <c r="E9" s="14" t="s">
        <v>161</v>
      </c>
      <c r="F9" s="14" t="s">
        <v>162</v>
      </c>
      <c r="G9" s="15" t="s">
        <v>3742</v>
      </c>
      <c r="H9" s="14" t="s">
        <v>126</v>
      </c>
      <c r="I9" s="14" t="s">
        <v>141</v>
      </c>
      <c r="J9" s="16" t="n">
        <v>46232</v>
      </c>
      <c r="K9" s="15" t="s">
        <v>3743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3512</v>
      </c>
      <c r="B10" s="14" t="s">
        <v>1432</v>
      </c>
      <c r="C10" s="14" t="s">
        <v>3740</v>
      </c>
      <c r="D10" s="15" t="s">
        <v>3744</v>
      </c>
      <c r="E10" s="14" t="s">
        <v>161</v>
      </c>
      <c r="F10" s="14" t="s">
        <v>181</v>
      </c>
      <c r="G10" s="15" t="s">
        <v>3745</v>
      </c>
      <c r="H10" s="14" t="s">
        <v>126</v>
      </c>
      <c r="I10" s="14" t="s">
        <v>141</v>
      </c>
      <c r="J10" s="16" t="n">
        <v>46232</v>
      </c>
      <c r="K10" s="15" t="s">
        <v>3746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3516</v>
      </c>
      <c r="B11" s="14" t="s">
        <v>165</v>
      </c>
      <c r="C11" s="14" t="s">
        <v>3747</v>
      </c>
      <c r="D11" s="15" t="s">
        <v>3748</v>
      </c>
      <c r="E11" s="14" t="s">
        <v>161</v>
      </c>
      <c r="F11" s="14" t="s">
        <v>161</v>
      </c>
      <c r="G11" s="15" t="s">
        <v>2978</v>
      </c>
      <c r="H11" s="14" t="s">
        <v>126</v>
      </c>
      <c r="I11" s="14" t="s">
        <v>141</v>
      </c>
      <c r="J11" s="16" t="n">
        <v>46232</v>
      </c>
      <c r="K11" s="15" t="s">
        <v>3749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3520</v>
      </c>
      <c r="B12" s="14" t="s">
        <v>169</v>
      </c>
      <c r="C12" s="14" t="s">
        <v>3740</v>
      </c>
      <c r="D12" s="15" t="s">
        <v>3750</v>
      </c>
      <c r="E12" s="14" t="s">
        <v>161</v>
      </c>
      <c r="F12" s="14" t="s">
        <v>171</v>
      </c>
      <c r="G12" s="15" t="s">
        <v>3751</v>
      </c>
      <c r="H12" s="14" t="s">
        <v>126</v>
      </c>
      <c r="I12" s="14" t="s">
        <v>141</v>
      </c>
      <c r="J12" s="16" t="n">
        <v>46232</v>
      </c>
      <c r="K12" s="15" t="s">
        <v>3752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3524</v>
      </c>
      <c r="B13" s="14" t="s">
        <v>1400</v>
      </c>
      <c r="C13" s="14" t="s">
        <v>3740</v>
      </c>
      <c r="D13" s="15" t="s">
        <v>3753</v>
      </c>
      <c r="E13" s="14" t="s">
        <v>161</v>
      </c>
      <c r="F13" s="14" t="s">
        <v>161</v>
      </c>
      <c r="G13" s="15" t="s">
        <v>609</v>
      </c>
      <c r="H13" s="14" t="s">
        <v>126</v>
      </c>
      <c r="I13" s="14" t="s">
        <v>141</v>
      </c>
      <c r="J13" s="16" t="n">
        <v>46232</v>
      </c>
      <c r="K13" s="15" t="s">
        <v>3754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3528</v>
      </c>
      <c r="B14" s="14" t="s">
        <v>174</v>
      </c>
      <c r="C14" s="14" t="s">
        <v>830</v>
      </c>
      <c r="D14" s="15" t="s">
        <v>3755</v>
      </c>
      <c r="E14" s="14" t="s">
        <v>161</v>
      </c>
      <c r="F14" s="14" t="s">
        <v>176</v>
      </c>
      <c r="G14" s="15" t="s">
        <v>3756</v>
      </c>
      <c r="H14" s="14" t="s">
        <v>126</v>
      </c>
      <c r="I14" s="14" t="s">
        <v>141</v>
      </c>
      <c r="J14" s="16" t="n">
        <v>46232</v>
      </c>
      <c r="K14" s="15" t="s">
        <v>3757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3533</v>
      </c>
      <c r="B15" s="14" t="s">
        <v>3758</v>
      </c>
      <c r="C15" s="14" t="s">
        <v>830</v>
      </c>
      <c r="D15" s="15" t="s">
        <v>3759</v>
      </c>
      <c r="E15" s="14" t="s">
        <v>186</v>
      </c>
      <c r="F15" s="14" t="s">
        <v>186</v>
      </c>
      <c r="G15" s="15" t="s">
        <v>3760</v>
      </c>
      <c r="H15" s="14" t="s">
        <v>126</v>
      </c>
      <c r="I15" s="14" t="s">
        <v>141</v>
      </c>
      <c r="J15" s="16" t="n">
        <v>46232</v>
      </c>
      <c r="K15" s="15" t="s">
        <v>3761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3537</v>
      </c>
      <c r="B16" s="14" t="s">
        <v>1872</v>
      </c>
      <c r="C16" s="14" t="s">
        <v>3740</v>
      </c>
      <c r="D16" s="15" t="s">
        <v>3762</v>
      </c>
      <c r="E16" s="14" t="s">
        <v>186</v>
      </c>
      <c r="F16" s="14" t="s">
        <v>186</v>
      </c>
      <c r="G16" s="15" t="s">
        <v>3763</v>
      </c>
      <c r="H16" s="14" t="s">
        <v>126</v>
      </c>
      <c r="I16" s="14" t="s">
        <v>141</v>
      </c>
      <c r="J16" s="16" t="n">
        <v>46232</v>
      </c>
      <c r="K16" s="15" t="s">
        <v>3764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3541</v>
      </c>
      <c r="B17" s="14" t="s">
        <v>3765</v>
      </c>
      <c r="C17" s="14" t="s">
        <v>3740</v>
      </c>
      <c r="D17" s="15" t="s">
        <v>3766</v>
      </c>
      <c r="E17" s="14" t="s">
        <v>186</v>
      </c>
      <c r="F17" s="14" t="s">
        <v>186</v>
      </c>
      <c r="G17" s="15" t="s">
        <v>3760</v>
      </c>
      <c r="H17" s="14" t="s">
        <v>126</v>
      </c>
      <c r="I17" s="14" t="s">
        <v>141</v>
      </c>
      <c r="J17" s="16" t="n">
        <v>46232</v>
      </c>
      <c r="K17" s="15" t="s">
        <v>3767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3544</v>
      </c>
      <c r="B18" s="14" t="s">
        <v>209</v>
      </c>
      <c r="C18" s="14" t="s">
        <v>3740</v>
      </c>
      <c r="D18" s="15" t="s">
        <v>3768</v>
      </c>
      <c r="E18" s="14" t="s">
        <v>186</v>
      </c>
      <c r="F18" s="14" t="s">
        <v>186</v>
      </c>
      <c r="G18" s="15" t="s">
        <v>3769</v>
      </c>
      <c r="H18" s="14" t="s">
        <v>126</v>
      </c>
      <c r="I18" s="14" t="s">
        <v>141</v>
      </c>
      <c r="J18" s="16" t="n">
        <v>46232</v>
      </c>
      <c r="K18" s="15" t="s">
        <v>3007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3548</v>
      </c>
      <c r="B19" s="14" t="s">
        <v>3770</v>
      </c>
      <c r="C19" s="14" t="s">
        <v>830</v>
      </c>
      <c r="D19" s="15" t="s">
        <v>3771</v>
      </c>
      <c r="E19" s="14" t="s">
        <v>186</v>
      </c>
      <c r="F19" s="14" t="s">
        <v>186</v>
      </c>
      <c r="G19" s="15" t="s">
        <v>3772</v>
      </c>
      <c r="H19" s="14" t="s">
        <v>126</v>
      </c>
      <c r="I19" s="14" t="s">
        <v>141</v>
      </c>
      <c r="J19" s="16" t="n">
        <v>46232</v>
      </c>
      <c r="K19" s="15" t="s">
        <v>3773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3552</v>
      </c>
      <c r="B20" s="14" t="s">
        <v>3774</v>
      </c>
      <c r="C20" s="14" t="s">
        <v>830</v>
      </c>
      <c r="D20" s="15" t="s">
        <v>3775</v>
      </c>
      <c r="E20" s="14" t="s">
        <v>186</v>
      </c>
      <c r="F20" s="14" t="s">
        <v>186</v>
      </c>
      <c r="G20" s="15" t="s">
        <v>3772</v>
      </c>
      <c r="H20" s="14" t="s">
        <v>126</v>
      </c>
      <c r="I20" s="14" t="s">
        <v>141</v>
      </c>
      <c r="J20" s="16" t="n">
        <v>46232</v>
      </c>
      <c r="K20" s="15" t="s">
        <v>3776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3556</v>
      </c>
      <c r="B21" s="14" t="s">
        <v>189</v>
      </c>
      <c r="C21" s="14" t="s">
        <v>3740</v>
      </c>
      <c r="D21" s="15" t="s">
        <v>3777</v>
      </c>
      <c r="E21" s="14" t="s">
        <v>186</v>
      </c>
      <c r="F21" s="14" t="s">
        <v>191</v>
      </c>
      <c r="G21" s="15" t="s">
        <v>3760</v>
      </c>
      <c r="H21" s="14" t="s">
        <v>126</v>
      </c>
      <c r="I21" s="14" t="s">
        <v>141</v>
      </c>
      <c r="J21" s="16" t="n">
        <v>46232</v>
      </c>
      <c r="K21" s="15" t="s">
        <v>3778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3559</v>
      </c>
      <c r="B22" s="14" t="s">
        <v>194</v>
      </c>
      <c r="C22" s="14" t="s">
        <v>830</v>
      </c>
      <c r="D22" s="15" t="s">
        <v>3779</v>
      </c>
      <c r="E22" s="14" t="s">
        <v>186</v>
      </c>
      <c r="F22" s="14" t="s">
        <v>196</v>
      </c>
      <c r="G22" s="15" t="s">
        <v>3780</v>
      </c>
      <c r="H22" s="14" t="s">
        <v>128</v>
      </c>
      <c r="I22" s="14" t="s">
        <v>140</v>
      </c>
      <c r="J22" s="16" t="n">
        <v>46232</v>
      </c>
      <c r="K22" s="15" t="s">
        <v>3781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3563</v>
      </c>
      <c r="B23" s="14" t="s">
        <v>649</v>
      </c>
      <c r="C23" s="14" t="s">
        <v>3747</v>
      </c>
      <c r="D23" s="15" t="s">
        <v>3782</v>
      </c>
      <c r="E23" s="14" t="s">
        <v>161</v>
      </c>
      <c r="F23" s="14" t="s">
        <v>651</v>
      </c>
      <c r="G23" s="15" t="s">
        <v>3783</v>
      </c>
      <c r="H23" s="14" t="s">
        <v>126</v>
      </c>
      <c r="I23" s="14" t="s">
        <v>141</v>
      </c>
      <c r="J23" s="16" t="n">
        <v>46232</v>
      </c>
      <c r="K23" s="15" t="s">
        <v>3784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3567</v>
      </c>
      <c r="B24" s="14" t="s">
        <v>218</v>
      </c>
      <c r="C24" s="14" t="s">
        <v>3747</v>
      </c>
      <c r="D24" s="15" t="s">
        <v>3785</v>
      </c>
      <c r="E24" s="14" t="s">
        <v>161</v>
      </c>
      <c r="F24" s="14" t="s">
        <v>220</v>
      </c>
      <c r="G24" s="15" t="s">
        <v>3786</v>
      </c>
      <c r="H24" s="14" t="s">
        <v>126</v>
      </c>
      <c r="I24" s="14" t="s">
        <v>141</v>
      </c>
      <c r="J24" s="16" t="n">
        <v>46232</v>
      </c>
      <c r="K24" s="15" t="s">
        <v>3787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3788</v>
      </c>
      <c r="B25" s="14" t="s">
        <v>223</v>
      </c>
      <c r="C25" s="14" t="s">
        <v>3747</v>
      </c>
      <c r="D25" s="15" t="s">
        <v>3789</v>
      </c>
      <c r="E25" s="14" t="s">
        <v>161</v>
      </c>
      <c r="F25" s="14" t="s">
        <v>220</v>
      </c>
      <c r="G25" s="15" t="s">
        <v>3790</v>
      </c>
      <c r="H25" s="14" t="s">
        <v>126</v>
      </c>
      <c r="I25" s="14" t="s">
        <v>141</v>
      </c>
      <c r="J25" s="16" t="n">
        <v>46232</v>
      </c>
      <c r="K25" s="15" t="s">
        <v>3791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3792</v>
      </c>
      <c r="B26" s="14" t="s">
        <v>227</v>
      </c>
      <c r="C26" s="14" t="s">
        <v>3740</v>
      </c>
      <c r="D26" s="15" t="s">
        <v>3793</v>
      </c>
      <c r="E26" s="14" t="s">
        <v>229</v>
      </c>
      <c r="F26" s="14" t="s">
        <v>229</v>
      </c>
      <c r="G26" s="15" t="s">
        <v>230</v>
      </c>
      <c r="H26" s="14" t="s">
        <v>126</v>
      </c>
      <c r="I26" s="14" t="s">
        <v>141</v>
      </c>
      <c r="J26" s="16" t="n">
        <v>46232</v>
      </c>
      <c r="K26" s="15" t="s">
        <v>3794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3795</v>
      </c>
      <c r="B27" s="14" t="s">
        <v>214</v>
      </c>
      <c r="C27" s="14" t="s">
        <v>3747</v>
      </c>
      <c r="D27" s="15" t="s">
        <v>3796</v>
      </c>
      <c r="E27" s="14" t="s">
        <v>161</v>
      </c>
      <c r="F27" s="14" t="s">
        <v>202</v>
      </c>
      <c r="G27" s="15" t="s">
        <v>3797</v>
      </c>
      <c r="H27" s="14" t="s">
        <v>120</v>
      </c>
      <c r="I27" s="14" t="s">
        <v>140</v>
      </c>
      <c r="J27" s="16" t="n">
        <v>46232</v>
      </c>
      <c r="K27" s="15" t="s">
        <v>3798</v>
      </c>
      <c r="L27" s="14" t="n">
        <v>1</v>
      </c>
      <c r="M27" s="14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4" t="s">
        <v>3799</v>
      </c>
      <c r="B28" s="14" t="s">
        <v>232</v>
      </c>
      <c r="C28" s="14" t="s">
        <v>3747</v>
      </c>
      <c r="D28" s="15" t="s">
        <v>2342</v>
      </c>
      <c r="E28" s="14" t="s">
        <v>161</v>
      </c>
      <c r="F28" s="14" t="s">
        <v>161</v>
      </c>
      <c r="G28" s="15" t="s">
        <v>234</v>
      </c>
      <c r="H28" s="14" t="s">
        <v>126</v>
      </c>
      <c r="I28" s="14" t="s">
        <v>141</v>
      </c>
      <c r="J28" s="16" t="n">
        <v>46232</v>
      </c>
      <c r="K28" s="15" t="s">
        <v>3800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3802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3803</v>
      </c>
      <c r="B9" s="14" t="s">
        <v>118</v>
      </c>
      <c r="C9" s="14" t="s">
        <v>86</v>
      </c>
      <c r="D9" s="15" t="s">
        <v>3804</v>
      </c>
      <c r="E9" s="14" t="s">
        <v>161</v>
      </c>
      <c r="F9" s="14" t="s">
        <v>162</v>
      </c>
      <c r="G9" s="15" t="s">
        <v>3805</v>
      </c>
      <c r="H9" s="14" t="s">
        <v>126</v>
      </c>
      <c r="I9" s="14" t="s">
        <v>141</v>
      </c>
      <c r="J9" s="16" t="n">
        <v>46232</v>
      </c>
      <c r="K9" s="15" t="s">
        <v>3806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3807</v>
      </c>
      <c r="B10" s="14" t="s">
        <v>1432</v>
      </c>
      <c r="C10" s="14" t="s">
        <v>830</v>
      </c>
      <c r="D10" s="15" t="s">
        <v>3808</v>
      </c>
      <c r="E10" s="14" t="s">
        <v>161</v>
      </c>
      <c r="F10" s="14" t="s">
        <v>181</v>
      </c>
      <c r="G10" s="15" t="s">
        <v>3809</v>
      </c>
      <c r="H10" s="14" t="s">
        <v>126</v>
      </c>
      <c r="I10" s="14" t="s">
        <v>141</v>
      </c>
      <c r="J10" s="16" t="n">
        <v>46232</v>
      </c>
      <c r="K10" s="15" t="s">
        <v>3810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3811</v>
      </c>
      <c r="B11" s="14" t="s">
        <v>165</v>
      </c>
      <c r="C11" s="14" t="s">
        <v>86</v>
      </c>
      <c r="D11" s="15" t="s">
        <v>3812</v>
      </c>
      <c r="E11" s="14" t="s">
        <v>161</v>
      </c>
      <c r="F11" s="14" t="s">
        <v>161</v>
      </c>
      <c r="G11" s="15" t="s">
        <v>2978</v>
      </c>
      <c r="H11" s="14" t="s">
        <v>126</v>
      </c>
      <c r="I11" s="14" t="s">
        <v>141</v>
      </c>
      <c r="J11" s="16" t="n">
        <v>46232</v>
      </c>
      <c r="K11" s="15" t="s">
        <v>3813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3814</v>
      </c>
      <c r="B12" s="14" t="s">
        <v>169</v>
      </c>
      <c r="C12" s="14" t="s">
        <v>2497</v>
      </c>
      <c r="D12" s="15" t="s">
        <v>3815</v>
      </c>
      <c r="E12" s="14" t="s">
        <v>161</v>
      </c>
      <c r="F12" s="14" t="s">
        <v>171</v>
      </c>
      <c r="G12" s="15" t="s">
        <v>3816</v>
      </c>
      <c r="H12" s="14" t="s">
        <v>126</v>
      </c>
      <c r="I12" s="14" t="s">
        <v>141</v>
      </c>
      <c r="J12" s="16" t="n">
        <v>46232</v>
      </c>
      <c r="K12" s="15" t="s">
        <v>3817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3818</v>
      </c>
      <c r="B13" s="14" t="s">
        <v>1400</v>
      </c>
      <c r="C13" s="14" t="s">
        <v>830</v>
      </c>
      <c r="D13" s="15" t="s">
        <v>3819</v>
      </c>
      <c r="E13" s="14" t="s">
        <v>161</v>
      </c>
      <c r="F13" s="14" t="s">
        <v>161</v>
      </c>
      <c r="G13" s="15" t="s">
        <v>1402</v>
      </c>
      <c r="H13" s="14" t="s">
        <v>126</v>
      </c>
      <c r="I13" s="14" t="s">
        <v>141</v>
      </c>
      <c r="J13" s="16" t="n">
        <v>46232</v>
      </c>
      <c r="K13" s="15" t="s">
        <v>3820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3821</v>
      </c>
      <c r="B14" s="14" t="s">
        <v>174</v>
      </c>
      <c r="C14" s="14" t="s">
        <v>830</v>
      </c>
      <c r="D14" s="15" t="s">
        <v>3822</v>
      </c>
      <c r="E14" s="14" t="s">
        <v>161</v>
      </c>
      <c r="F14" s="14" t="s">
        <v>176</v>
      </c>
      <c r="G14" s="15" t="s">
        <v>3823</v>
      </c>
      <c r="H14" s="14" t="s">
        <v>126</v>
      </c>
      <c r="I14" s="14" t="s">
        <v>141</v>
      </c>
      <c r="J14" s="16" t="n">
        <v>46232</v>
      </c>
      <c r="K14" s="15" t="s">
        <v>3824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3825</v>
      </c>
      <c r="B15" s="14" t="s">
        <v>3826</v>
      </c>
      <c r="C15" s="14" t="s">
        <v>830</v>
      </c>
      <c r="D15" s="15" t="s">
        <v>3827</v>
      </c>
      <c r="E15" s="14" t="s">
        <v>186</v>
      </c>
      <c r="F15" s="14" t="s">
        <v>186</v>
      </c>
      <c r="G15" s="15" t="s">
        <v>3828</v>
      </c>
      <c r="H15" s="14" t="s">
        <v>126</v>
      </c>
      <c r="I15" s="14" t="s">
        <v>141</v>
      </c>
      <c r="J15" s="16" t="n">
        <v>46232</v>
      </c>
      <c r="K15" s="15" t="s">
        <v>3829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3830</v>
      </c>
      <c r="B16" s="14" t="s">
        <v>3831</v>
      </c>
      <c r="C16" s="14" t="s">
        <v>830</v>
      </c>
      <c r="D16" s="15" t="s">
        <v>3832</v>
      </c>
      <c r="E16" s="14" t="s">
        <v>186</v>
      </c>
      <c r="F16" s="14" t="s">
        <v>186</v>
      </c>
      <c r="G16" s="15" t="s">
        <v>3828</v>
      </c>
      <c r="H16" s="14" t="s">
        <v>126</v>
      </c>
      <c r="I16" s="14" t="s">
        <v>141</v>
      </c>
      <c r="J16" s="16" t="n">
        <v>46232</v>
      </c>
      <c r="K16" s="15" t="s">
        <v>3833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3834</v>
      </c>
      <c r="B17" s="14" t="s">
        <v>3835</v>
      </c>
      <c r="C17" s="14" t="s">
        <v>3097</v>
      </c>
      <c r="D17" s="15" t="s">
        <v>3836</v>
      </c>
      <c r="E17" s="14" t="s">
        <v>186</v>
      </c>
      <c r="F17" s="14" t="s">
        <v>186</v>
      </c>
      <c r="G17" s="15" t="s">
        <v>3828</v>
      </c>
      <c r="H17" s="14" t="s">
        <v>126</v>
      </c>
      <c r="I17" s="14" t="s">
        <v>141</v>
      </c>
      <c r="J17" s="16" t="n">
        <v>46232</v>
      </c>
      <c r="K17" s="15" t="s">
        <v>3837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3838</v>
      </c>
      <c r="B18" s="14" t="s">
        <v>3839</v>
      </c>
      <c r="C18" s="14" t="s">
        <v>3097</v>
      </c>
      <c r="D18" s="15" t="s">
        <v>3840</v>
      </c>
      <c r="E18" s="14" t="s">
        <v>186</v>
      </c>
      <c r="F18" s="14" t="s">
        <v>191</v>
      </c>
      <c r="G18" s="15" t="s">
        <v>3828</v>
      </c>
      <c r="H18" s="14" t="s">
        <v>126</v>
      </c>
      <c r="I18" s="14" t="s">
        <v>141</v>
      </c>
      <c r="J18" s="16" t="n">
        <v>46232</v>
      </c>
      <c r="K18" s="15" t="s">
        <v>3841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3842</v>
      </c>
      <c r="B19" s="14" t="s">
        <v>209</v>
      </c>
      <c r="C19" s="14" t="s">
        <v>3843</v>
      </c>
      <c r="D19" s="15" t="s">
        <v>3844</v>
      </c>
      <c r="E19" s="14" t="s">
        <v>186</v>
      </c>
      <c r="F19" s="14" t="s">
        <v>186</v>
      </c>
      <c r="G19" s="15" t="s">
        <v>3828</v>
      </c>
      <c r="H19" s="14" t="s">
        <v>126</v>
      </c>
      <c r="I19" s="14" t="s">
        <v>141</v>
      </c>
      <c r="J19" s="16" t="n">
        <v>46232</v>
      </c>
      <c r="K19" s="15" t="s">
        <v>3845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3846</v>
      </c>
      <c r="B20" s="14" t="s">
        <v>3847</v>
      </c>
      <c r="C20" s="14" t="s">
        <v>830</v>
      </c>
      <c r="D20" s="15" t="s">
        <v>3848</v>
      </c>
      <c r="E20" s="14" t="s">
        <v>161</v>
      </c>
      <c r="F20" s="14" t="s">
        <v>181</v>
      </c>
      <c r="G20" s="15" t="s">
        <v>3809</v>
      </c>
      <c r="H20" s="14" t="s">
        <v>126</v>
      </c>
      <c r="I20" s="14" t="s">
        <v>141</v>
      </c>
      <c r="J20" s="16" t="n">
        <v>46232</v>
      </c>
      <c r="K20" s="15" t="s">
        <v>3849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3850</v>
      </c>
      <c r="B21" s="14" t="s">
        <v>3005</v>
      </c>
      <c r="C21" s="14" t="s">
        <v>830</v>
      </c>
      <c r="D21" s="15" t="s">
        <v>3851</v>
      </c>
      <c r="E21" s="14" t="s">
        <v>161</v>
      </c>
      <c r="F21" s="14" t="s">
        <v>181</v>
      </c>
      <c r="G21" s="15" t="s">
        <v>3852</v>
      </c>
      <c r="H21" s="14" t="s">
        <v>126</v>
      </c>
      <c r="I21" s="14" t="s">
        <v>141</v>
      </c>
      <c r="J21" s="16" t="n">
        <v>46232</v>
      </c>
      <c r="K21" s="15" t="s">
        <v>3853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3854</v>
      </c>
      <c r="B22" s="14" t="s">
        <v>2562</v>
      </c>
      <c r="C22" s="14" t="s">
        <v>3097</v>
      </c>
      <c r="D22" s="15" t="s">
        <v>3855</v>
      </c>
      <c r="E22" s="14" t="s">
        <v>186</v>
      </c>
      <c r="F22" s="14" t="s">
        <v>186</v>
      </c>
      <c r="G22" s="15" t="s">
        <v>3856</v>
      </c>
      <c r="H22" s="14" t="s">
        <v>126</v>
      </c>
      <c r="I22" s="14" t="s">
        <v>141</v>
      </c>
      <c r="J22" s="16" t="n">
        <v>46232</v>
      </c>
      <c r="K22" s="15" t="s">
        <v>3857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3858</v>
      </c>
      <c r="B23" s="14" t="s">
        <v>189</v>
      </c>
      <c r="C23" s="14" t="s">
        <v>3097</v>
      </c>
      <c r="D23" s="15" t="s">
        <v>3859</v>
      </c>
      <c r="E23" s="14" t="s">
        <v>186</v>
      </c>
      <c r="F23" s="14" t="s">
        <v>191</v>
      </c>
      <c r="G23" s="15" t="s">
        <v>3828</v>
      </c>
      <c r="H23" s="14" t="s">
        <v>126</v>
      </c>
      <c r="I23" s="14" t="s">
        <v>141</v>
      </c>
      <c r="J23" s="16" t="n">
        <v>46232</v>
      </c>
      <c r="K23" s="15" t="s">
        <v>3860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3861</v>
      </c>
      <c r="B24" s="14" t="s">
        <v>649</v>
      </c>
      <c r="C24" s="14" t="s">
        <v>86</v>
      </c>
      <c r="D24" s="15" t="s">
        <v>3862</v>
      </c>
      <c r="E24" s="14" t="s">
        <v>161</v>
      </c>
      <c r="F24" s="14" t="s">
        <v>651</v>
      </c>
      <c r="G24" s="15" t="s">
        <v>3863</v>
      </c>
      <c r="H24" s="14" t="s">
        <v>126</v>
      </c>
      <c r="I24" s="14" t="s">
        <v>141</v>
      </c>
      <c r="J24" s="16" t="n">
        <v>46232</v>
      </c>
      <c r="K24" s="15" t="s">
        <v>3864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3865</v>
      </c>
      <c r="B25" s="14" t="s">
        <v>194</v>
      </c>
      <c r="C25" s="14" t="s">
        <v>3097</v>
      </c>
      <c r="D25" s="15" t="s">
        <v>3866</v>
      </c>
      <c r="E25" s="14" t="s">
        <v>186</v>
      </c>
      <c r="F25" s="14" t="s">
        <v>196</v>
      </c>
      <c r="G25" s="15" t="s">
        <v>3867</v>
      </c>
      <c r="H25" s="14" t="s">
        <v>128</v>
      </c>
      <c r="I25" s="14" t="s">
        <v>140</v>
      </c>
      <c r="J25" s="16" t="n">
        <v>46232</v>
      </c>
      <c r="K25" s="15" t="s">
        <v>3868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3869</v>
      </c>
      <c r="B26" s="14" t="s">
        <v>2475</v>
      </c>
      <c r="C26" s="14" t="s">
        <v>2699</v>
      </c>
      <c r="D26" s="15" t="s">
        <v>3870</v>
      </c>
      <c r="E26" s="14" t="s">
        <v>161</v>
      </c>
      <c r="F26" s="14" t="s">
        <v>2701</v>
      </c>
      <c r="G26" s="15" t="s">
        <v>3871</v>
      </c>
      <c r="H26" s="14" t="s">
        <v>126</v>
      </c>
      <c r="I26" s="14" t="s">
        <v>141</v>
      </c>
      <c r="J26" s="16" t="n">
        <v>46232</v>
      </c>
      <c r="K26" s="15" t="s">
        <v>3872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3873</v>
      </c>
      <c r="B27" s="14" t="s">
        <v>223</v>
      </c>
      <c r="C27" s="14" t="s">
        <v>2704</v>
      </c>
      <c r="D27" s="15" t="s">
        <v>3874</v>
      </c>
      <c r="E27" s="14" t="s">
        <v>161</v>
      </c>
      <c r="F27" s="14" t="s">
        <v>2701</v>
      </c>
      <c r="G27" s="15" t="s">
        <v>3875</v>
      </c>
      <c r="H27" s="14" t="s">
        <v>126</v>
      </c>
      <c r="I27" s="14" t="s">
        <v>141</v>
      </c>
      <c r="J27" s="16" t="n">
        <v>46232</v>
      </c>
      <c r="K27" s="15" t="s">
        <v>3791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3876</v>
      </c>
      <c r="B28" s="14" t="s">
        <v>227</v>
      </c>
      <c r="C28" s="14" t="s">
        <v>830</v>
      </c>
      <c r="D28" s="15" t="s">
        <v>3877</v>
      </c>
      <c r="E28" s="14" t="s">
        <v>229</v>
      </c>
      <c r="F28" s="14" t="s">
        <v>229</v>
      </c>
      <c r="G28" s="15" t="s">
        <v>3878</v>
      </c>
      <c r="H28" s="14" t="s">
        <v>126</v>
      </c>
      <c r="I28" s="14" t="s">
        <v>141</v>
      </c>
      <c r="J28" s="16" t="n">
        <v>46232</v>
      </c>
      <c r="K28" s="15" t="s">
        <v>3879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3880</v>
      </c>
      <c r="B29" s="14" t="s">
        <v>214</v>
      </c>
      <c r="C29" s="14" t="s">
        <v>86</v>
      </c>
      <c r="D29" s="15" t="s">
        <v>3881</v>
      </c>
      <c r="E29" s="14" t="s">
        <v>161</v>
      </c>
      <c r="F29" s="14" t="s">
        <v>202</v>
      </c>
      <c r="G29" s="15" t="s">
        <v>3882</v>
      </c>
      <c r="H29" s="14" t="s">
        <v>120</v>
      </c>
      <c r="I29" s="14" t="s">
        <v>140</v>
      </c>
      <c r="J29" s="16"/>
      <c r="K29" s="15" t="s">
        <v>3883</v>
      </c>
      <c r="L29" s="14" t="n">
        <v>1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3884</v>
      </c>
      <c r="B30" s="14" t="s">
        <v>232</v>
      </c>
      <c r="C30" s="14" t="s">
        <v>86</v>
      </c>
      <c r="D30" s="15" t="s">
        <v>3885</v>
      </c>
      <c r="E30" s="14" t="s">
        <v>161</v>
      </c>
      <c r="F30" s="14" t="s">
        <v>161</v>
      </c>
      <c r="G30" s="15" t="s">
        <v>234</v>
      </c>
      <c r="H30" s="14" t="s">
        <v>126</v>
      </c>
      <c r="I30" s="14" t="s">
        <v>141</v>
      </c>
      <c r="J30" s="16" t="n">
        <v>46232</v>
      </c>
      <c r="K30" s="15" t="s">
        <v>3886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3802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3888</v>
      </c>
      <c r="B9" s="14" t="s">
        <v>118</v>
      </c>
      <c r="C9" s="14" t="s">
        <v>87</v>
      </c>
      <c r="D9" s="15" t="s">
        <v>3889</v>
      </c>
      <c r="E9" s="14" t="s">
        <v>161</v>
      </c>
      <c r="F9" s="14" t="s">
        <v>162</v>
      </c>
      <c r="G9" s="15" t="s">
        <v>3890</v>
      </c>
      <c r="H9" s="14" t="s">
        <v>126</v>
      </c>
      <c r="I9" s="14" t="s">
        <v>141</v>
      </c>
      <c r="J9" s="16" t="n">
        <v>46232</v>
      </c>
      <c r="K9" s="15" t="s">
        <v>3806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3891</v>
      </c>
      <c r="B10" s="14" t="s">
        <v>1432</v>
      </c>
      <c r="C10" s="14" t="s">
        <v>830</v>
      </c>
      <c r="D10" s="15" t="s">
        <v>3892</v>
      </c>
      <c r="E10" s="14" t="s">
        <v>161</v>
      </c>
      <c r="F10" s="14" t="s">
        <v>181</v>
      </c>
      <c r="G10" s="15" t="s">
        <v>3893</v>
      </c>
      <c r="H10" s="14" t="s">
        <v>126</v>
      </c>
      <c r="I10" s="14" t="s">
        <v>141</v>
      </c>
      <c r="J10" s="16" t="n">
        <v>46232</v>
      </c>
      <c r="K10" s="15" t="s">
        <v>3810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3894</v>
      </c>
      <c r="B11" s="14" t="s">
        <v>165</v>
      </c>
      <c r="C11" s="14" t="s">
        <v>87</v>
      </c>
      <c r="D11" s="15" t="s">
        <v>3895</v>
      </c>
      <c r="E11" s="14" t="s">
        <v>161</v>
      </c>
      <c r="F11" s="14" t="s">
        <v>161</v>
      </c>
      <c r="G11" s="15" t="s">
        <v>2978</v>
      </c>
      <c r="H11" s="14" t="s">
        <v>126</v>
      </c>
      <c r="I11" s="14" t="s">
        <v>141</v>
      </c>
      <c r="J11" s="16" t="n">
        <v>46232</v>
      </c>
      <c r="K11" s="15" t="s">
        <v>3813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3896</v>
      </c>
      <c r="B12" s="14" t="s">
        <v>169</v>
      </c>
      <c r="C12" s="14" t="s">
        <v>2497</v>
      </c>
      <c r="D12" s="15" t="s">
        <v>3815</v>
      </c>
      <c r="E12" s="14" t="s">
        <v>161</v>
      </c>
      <c r="F12" s="14" t="s">
        <v>171</v>
      </c>
      <c r="G12" s="15" t="s">
        <v>3897</v>
      </c>
      <c r="H12" s="14" t="s">
        <v>126</v>
      </c>
      <c r="I12" s="14" t="s">
        <v>141</v>
      </c>
      <c r="J12" s="16" t="n">
        <v>46232</v>
      </c>
      <c r="K12" s="15" t="s">
        <v>3817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3898</v>
      </c>
      <c r="B13" s="14" t="s">
        <v>1400</v>
      </c>
      <c r="C13" s="14" t="s">
        <v>830</v>
      </c>
      <c r="D13" s="15" t="s">
        <v>3899</v>
      </c>
      <c r="E13" s="14" t="s">
        <v>161</v>
      </c>
      <c r="F13" s="14" t="s">
        <v>161</v>
      </c>
      <c r="G13" s="15" t="s">
        <v>1402</v>
      </c>
      <c r="H13" s="14" t="s">
        <v>126</v>
      </c>
      <c r="I13" s="14" t="s">
        <v>141</v>
      </c>
      <c r="J13" s="16" t="n">
        <v>46232</v>
      </c>
      <c r="K13" s="15" t="s">
        <v>3820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3900</v>
      </c>
      <c r="B14" s="14" t="s">
        <v>174</v>
      </c>
      <c r="C14" s="14" t="s">
        <v>830</v>
      </c>
      <c r="D14" s="15" t="s">
        <v>3901</v>
      </c>
      <c r="E14" s="14" t="s">
        <v>161</v>
      </c>
      <c r="F14" s="14" t="s">
        <v>176</v>
      </c>
      <c r="G14" s="15" t="s">
        <v>3902</v>
      </c>
      <c r="H14" s="14" t="s">
        <v>126</v>
      </c>
      <c r="I14" s="14" t="s">
        <v>141</v>
      </c>
      <c r="J14" s="16" t="n">
        <v>46232</v>
      </c>
      <c r="K14" s="15" t="s">
        <v>3824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3903</v>
      </c>
      <c r="B15" s="14" t="s">
        <v>3826</v>
      </c>
      <c r="C15" s="14" t="s">
        <v>830</v>
      </c>
      <c r="D15" s="15" t="s">
        <v>3904</v>
      </c>
      <c r="E15" s="14" t="s">
        <v>186</v>
      </c>
      <c r="F15" s="14" t="s">
        <v>186</v>
      </c>
      <c r="G15" s="15" t="s">
        <v>3905</v>
      </c>
      <c r="H15" s="14" t="s">
        <v>126</v>
      </c>
      <c r="I15" s="14" t="s">
        <v>141</v>
      </c>
      <c r="J15" s="16" t="n">
        <v>46232</v>
      </c>
      <c r="K15" s="15" t="s">
        <v>3829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3906</v>
      </c>
      <c r="B16" s="14" t="s">
        <v>3831</v>
      </c>
      <c r="C16" s="14" t="s">
        <v>830</v>
      </c>
      <c r="D16" s="15" t="s">
        <v>3832</v>
      </c>
      <c r="E16" s="14" t="s">
        <v>186</v>
      </c>
      <c r="F16" s="14" t="s">
        <v>186</v>
      </c>
      <c r="G16" s="15" t="s">
        <v>3905</v>
      </c>
      <c r="H16" s="14" t="s">
        <v>126</v>
      </c>
      <c r="I16" s="14" t="s">
        <v>141</v>
      </c>
      <c r="J16" s="16" t="n">
        <v>46232</v>
      </c>
      <c r="K16" s="15" t="s">
        <v>3833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3907</v>
      </c>
      <c r="B17" s="14" t="s">
        <v>3835</v>
      </c>
      <c r="C17" s="14" t="s">
        <v>3097</v>
      </c>
      <c r="D17" s="15" t="s">
        <v>3908</v>
      </c>
      <c r="E17" s="14" t="s">
        <v>186</v>
      </c>
      <c r="F17" s="14" t="s">
        <v>186</v>
      </c>
      <c r="G17" s="15" t="s">
        <v>3905</v>
      </c>
      <c r="H17" s="14" t="s">
        <v>126</v>
      </c>
      <c r="I17" s="14" t="s">
        <v>141</v>
      </c>
      <c r="J17" s="16" t="n">
        <v>46232</v>
      </c>
      <c r="K17" s="15" t="s">
        <v>3837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3909</v>
      </c>
      <c r="B18" s="14" t="s">
        <v>3839</v>
      </c>
      <c r="C18" s="14" t="s">
        <v>3097</v>
      </c>
      <c r="D18" s="15" t="s">
        <v>3840</v>
      </c>
      <c r="E18" s="14" t="s">
        <v>186</v>
      </c>
      <c r="F18" s="14" t="s">
        <v>191</v>
      </c>
      <c r="G18" s="15" t="s">
        <v>3905</v>
      </c>
      <c r="H18" s="14" t="s">
        <v>126</v>
      </c>
      <c r="I18" s="14" t="s">
        <v>141</v>
      </c>
      <c r="J18" s="16" t="n">
        <v>46232</v>
      </c>
      <c r="K18" s="15" t="s">
        <v>3841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3910</v>
      </c>
      <c r="B19" s="14" t="s">
        <v>209</v>
      </c>
      <c r="C19" s="14" t="s">
        <v>3911</v>
      </c>
      <c r="D19" s="15" t="s">
        <v>3912</v>
      </c>
      <c r="E19" s="14" t="s">
        <v>186</v>
      </c>
      <c r="F19" s="14" t="s">
        <v>186</v>
      </c>
      <c r="G19" s="15" t="s">
        <v>3905</v>
      </c>
      <c r="H19" s="14" t="s">
        <v>126</v>
      </c>
      <c r="I19" s="14" t="s">
        <v>141</v>
      </c>
      <c r="J19" s="16" t="n">
        <v>46232</v>
      </c>
      <c r="K19" s="15" t="s">
        <v>3845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3913</v>
      </c>
      <c r="B20" s="14" t="s">
        <v>3847</v>
      </c>
      <c r="C20" s="14" t="s">
        <v>830</v>
      </c>
      <c r="D20" s="15" t="s">
        <v>3848</v>
      </c>
      <c r="E20" s="14" t="s">
        <v>161</v>
      </c>
      <c r="F20" s="14" t="s">
        <v>181</v>
      </c>
      <c r="G20" s="15" t="s">
        <v>3893</v>
      </c>
      <c r="H20" s="14" t="s">
        <v>126</v>
      </c>
      <c r="I20" s="14" t="s">
        <v>141</v>
      </c>
      <c r="J20" s="16" t="n">
        <v>46232</v>
      </c>
      <c r="K20" s="15" t="s">
        <v>3849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3914</v>
      </c>
      <c r="B21" s="14" t="s">
        <v>3005</v>
      </c>
      <c r="C21" s="14" t="s">
        <v>830</v>
      </c>
      <c r="D21" s="15" t="s">
        <v>3851</v>
      </c>
      <c r="E21" s="14" t="s">
        <v>161</v>
      </c>
      <c r="F21" s="14" t="s">
        <v>181</v>
      </c>
      <c r="G21" s="15" t="s">
        <v>3915</v>
      </c>
      <c r="H21" s="14" t="s">
        <v>126</v>
      </c>
      <c r="I21" s="14" t="s">
        <v>141</v>
      </c>
      <c r="J21" s="16" t="n">
        <v>46232</v>
      </c>
      <c r="K21" s="15" t="s">
        <v>3853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3916</v>
      </c>
      <c r="B22" s="14" t="s">
        <v>2562</v>
      </c>
      <c r="C22" s="14" t="s">
        <v>3097</v>
      </c>
      <c r="D22" s="15" t="s">
        <v>3855</v>
      </c>
      <c r="E22" s="14" t="s">
        <v>186</v>
      </c>
      <c r="F22" s="14" t="s">
        <v>186</v>
      </c>
      <c r="G22" s="15" t="s">
        <v>3917</v>
      </c>
      <c r="H22" s="14" t="s">
        <v>126</v>
      </c>
      <c r="I22" s="14" t="s">
        <v>141</v>
      </c>
      <c r="J22" s="16" t="n">
        <v>46232</v>
      </c>
      <c r="K22" s="15" t="s">
        <v>3857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3918</v>
      </c>
      <c r="B23" s="14" t="s">
        <v>189</v>
      </c>
      <c r="C23" s="14" t="s">
        <v>3097</v>
      </c>
      <c r="D23" s="15" t="s">
        <v>3859</v>
      </c>
      <c r="E23" s="14" t="s">
        <v>186</v>
      </c>
      <c r="F23" s="14" t="s">
        <v>191</v>
      </c>
      <c r="G23" s="15" t="s">
        <v>3905</v>
      </c>
      <c r="H23" s="14" t="s">
        <v>126</v>
      </c>
      <c r="I23" s="14" t="s">
        <v>141</v>
      </c>
      <c r="J23" s="16" t="n">
        <v>46232</v>
      </c>
      <c r="K23" s="15" t="s">
        <v>3860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3919</v>
      </c>
      <c r="B24" s="14" t="s">
        <v>649</v>
      </c>
      <c r="C24" s="14" t="s">
        <v>87</v>
      </c>
      <c r="D24" s="15" t="s">
        <v>3862</v>
      </c>
      <c r="E24" s="14" t="s">
        <v>161</v>
      </c>
      <c r="F24" s="14" t="s">
        <v>651</v>
      </c>
      <c r="G24" s="15" t="s">
        <v>3920</v>
      </c>
      <c r="H24" s="14" t="s">
        <v>126</v>
      </c>
      <c r="I24" s="14" t="s">
        <v>141</v>
      </c>
      <c r="J24" s="16" t="n">
        <v>46232</v>
      </c>
      <c r="K24" s="15" t="s">
        <v>3864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3921</v>
      </c>
      <c r="B25" s="14" t="s">
        <v>194</v>
      </c>
      <c r="C25" s="14" t="s">
        <v>3097</v>
      </c>
      <c r="D25" s="15" t="s">
        <v>3866</v>
      </c>
      <c r="E25" s="14" t="s">
        <v>186</v>
      </c>
      <c r="F25" s="14" t="s">
        <v>196</v>
      </c>
      <c r="G25" s="15" t="s">
        <v>3922</v>
      </c>
      <c r="H25" s="14" t="s">
        <v>128</v>
      </c>
      <c r="I25" s="14" t="s">
        <v>140</v>
      </c>
      <c r="J25" s="16" t="n">
        <v>46232</v>
      </c>
      <c r="K25" s="15" t="s">
        <v>3868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3923</v>
      </c>
      <c r="B26" s="14" t="s">
        <v>2475</v>
      </c>
      <c r="C26" s="14" t="s">
        <v>2699</v>
      </c>
      <c r="D26" s="15" t="s">
        <v>3870</v>
      </c>
      <c r="E26" s="14" t="s">
        <v>161</v>
      </c>
      <c r="F26" s="14" t="s">
        <v>2701</v>
      </c>
      <c r="G26" s="15" t="s">
        <v>3924</v>
      </c>
      <c r="H26" s="14" t="s">
        <v>126</v>
      </c>
      <c r="I26" s="14" t="s">
        <v>141</v>
      </c>
      <c r="J26" s="16" t="n">
        <v>46232</v>
      </c>
      <c r="K26" s="15" t="s">
        <v>3872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3925</v>
      </c>
      <c r="B27" s="14" t="s">
        <v>223</v>
      </c>
      <c r="C27" s="14" t="s">
        <v>2704</v>
      </c>
      <c r="D27" s="15" t="s">
        <v>3926</v>
      </c>
      <c r="E27" s="14" t="s">
        <v>161</v>
      </c>
      <c r="F27" s="14" t="s">
        <v>2701</v>
      </c>
      <c r="G27" s="15" t="s">
        <v>3927</v>
      </c>
      <c r="H27" s="14" t="s">
        <v>126</v>
      </c>
      <c r="I27" s="14" t="s">
        <v>141</v>
      </c>
      <c r="J27" s="16" t="n">
        <v>46232</v>
      </c>
      <c r="K27" s="15" t="s">
        <v>3791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3928</v>
      </c>
      <c r="B28" s="14" t="s">
        <v>227</v>
      </c>
      <c r="C28" s="14" t="s">
        <v>830</v>
      </c>
      <c r="D28" s="15" t="s">
        <v>3929</v>
      </c>
      <c r="E28" s="14" t="s">
        <v>229</v>
      </c>
      <c r="F28" s="14" t="s">
        <v>229</v>
      </c>
      <c r="G28" s="15" t="s">
        <v>3878</v>
      </c>
      <c r="H28" s="14" t="s">
        <v>126</v>
      </c>
      <c r="I28" s="14" t="s">
        <v>141</v>
      </c>
      <c r="J28" s="16" t="n">
        <v>46232</v>
      </c>
      <c r="K28" s="15" t="s">
        <v>3879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3930</v>
      </c>
      <c r="B29" s="14" t="s">
        <v>214</v>
      </c>
      <c r="C29" s="14" t="s">
        <v>87</v>
      </c>
      <c r="D29" s="15" t="s">
        <v>3881</v>
      </c>
      <c r="E29" s="14" t="s">
        <v>161</v>
      </c>
      <c r="F29" s="14" t="s">
        <v>202</v>
      </c>
      <c r="G29" s="15" t="s">
        <v>3931</v>
      </c>
      <c r="H29" s="14" t="s">
        <v>120</v>
      </c>
      <c r="I29" s="14" t="s">
        <v>140</v>
      </c>
      <c r="J29" s="16"/>
      <c r="K29" s="15" t="s">
        <v>3883</v>
      </c>
      <c r="L29" s="14" t="n">
        <v>1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3932</v>
      </c>
      <c r="B30" s="14" t="s">
        <v>232</v>
      </c>
      <c r="C30" s="14" t="s">
        <v>87</v>
      </c>
      <c r="D30" s="15" t="s">
        <v>3885</v>
      </c>
      <c r="E30" s="14" t="s">
        <v>161</v>
      </c>
      <c r="F30" s="14" t="s">
        <v>161</v>
      </c>
      <c r="G30" s="15" t="s">
        <v>234</v>
      </c>
      <c r="H30" s="14" t="s">
        <v>126</v>
      </c>
      <c r="I30" s="14" t="s">
        <v>141</v>
      </c>
      <c r="J30" s="16" t="n">
        <v>46232</v>
      </c>
      <c r="K30" s="15" t="s">
        <v>3886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144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1709</v>
      </c>
      <c r="B9" s="14" t="s">
        <v>2935</v>
      </c>
      <c r="C9" s="14" t="s">
        <v>3935</v>
      </c>
      <c r="D9" s="15" t="s">
        <v>3936</v>
      </c>
      <c r="E9" s="14" t="s">
        <v>161</v>
      </c>
      <c r="F9" s="14" t="s">
        <v>162</v>
      </c>
      <c r="G9" s="15" t="s">
        <v>3937</v>
      </c>
      <c r="H9" s="14" t="s">
        <v>126</v>
      </c>
      <c r="I9" s="14" t="s">
        <v>141</v>
      </c>
      <c r="J9" s="16" t="n">
        <v>46232</v>
      </c>
      <c r="K9" s="15" t="s">
        <v>2938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1713</v>
      </c>
      <c r="B10" s="14" t="s">
        <v>2488</v>
      </c>
      <c r="C10" s="14" t="s">
        <v>3938</v>
      </c>
      <c r="D10" s="15" t="s">
        <v>3939</v>
      </c>
      <c r="E10" s="14" t="s">
        <v>161</v>
      </c>
      <c r="F10" s="14" t="s">
        <v>181</v>
      </c>
      <c r="G10" s="15" t="s">
        <v>3940</v>
      </c>
      <c r="H10" s="14" t="s">
        <v>126</v>
      </c>
      <c r="I10" s="14" t="s">
        <v>141</v>
      </c>
      <c r="J10" s="16" t="n">
        <v>46232</v>
      </c>
      <c r="K10" s="15" t="s">
        <v>3941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1716</v>
      </c>
      <c r="B11" s="14" t="s">
        <v>1432</v>
      </c>
      <c r="C11" s="14" t="s">
        <v>3935</v>
      </c>
      <c r="D11" s="15" t="s">
        <v>3942</v>
      </c>
      <c r="E11" s="14" t="s">
        <v>161</v>
      </c>
      <c r="F11" s="14" t="s">
        <v>181</v>
      </c>
      <c r="G11" s="15" t="s">
        <v>3943</v>
      </c>
      <c r="H11" s="14" t="s">
        <v>126</v>
      </c>
      <c r="I11" s="14" t="s">
        <v>141</v>
      </c>
      <c r="J11" s="16" t="n">
        <v>46232</v>
      </c>
      <c r="K11" s="15" t="s">
        <v>3944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1718</v>
      </c>
      <c r="B12" s="14" t="s">
        <v>1263</v>
      </c>
      <c r="C12" s="14" t="s">
        <v>830</v>
      </c>
      <c r="D12" s="15" t="s">
        <v>3945</v>
      </c>
      <c r="E12" s="14" t="s">
        <v>186</v>
      </c>
      <c r="F12" s="14" t="s">
        <v>186</v>
      </c>
      <c r="G12" s="15" t="s">
        <v>3946</v>
      </c>
      <c r="H12" s="14" t="s">
        <v>126</v>
      </c>
      <c r="I12" s="14" t="s">
        <v>141</v>
      </c>
      <c r="J12" s="16" t="n">
        <v>46232</v>
      </c>
      <c r="K12" s="15" t="s">
        <v>3947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1721</v>
      </c>
      <c r="B13" s="14" t="s">
        <v>3948</v>
      </c>
      <c r="C13" s="14" t="s">
        <v>1155</v>
      </c>
      <c r="D13" s="15" t="s">
        <v>3949</v>
      </c>
      <c r="E13" s="14" t="s">
        <v>186</v>
      </c>
      <c r="F13" s="14" t="s">
        <v>186</v>
      </c>
      <c r="G13" s="15" t="s">
        <v>3950</v>
      </c>
      <c r="H13" s="14" t="s">
        <v>126</v>
      </c>
      <c r="I13" s="14" t="s">
        <v>141</v>
      </c>
      <c r="J13" s="16" t="n">
        <v>46232</v>
      </c>
      <c r="K13" s="15" t="s">
        <v>3951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1724</v>
      </c>
      <c r="B14" s="14" t="s">
        <v>3952</v>
      </c>
      <c r="C14" s="14" t="s">
        <v>2518</v>
      </c>
      <c r="D14" s="15" t="s">
        <v>3953</v>
      </c>
      <c r="E14" s="14" t="s">
        <v>186</v>
      </c>
      <c r="F14" s="14" t="s">
        <v>186</v>
      </c>
      <c r="G14" s="15" t="s">
        <v>3954</v>
      </c>
      <c r="H14" s="14" t="s">
        <v>126</v>
      </c>
      <c r="I14" s="14" t="s">
        <v>141</v>
      </c>
      <c r="J14" s="16" t="n">
        <v>46232</v>
      </c>
      <c r="K14" s="15" t="s">
        <v>3955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1727</v>
      </c>
      <c r="B15" s="14" t="s">
        <v>3956</v>
      </c>
      <c r="C15" s="14" t="s">
        <v>1155</v>
      </c>
      <c r="D15" s="15" t="s">
        <v>3957</v>
      </c>
      <c r="E15" s="14" t="s">
        <v>186</v>
      </c>
      <c r="F15" s="14" t="s">
        <v>186</v>
      </c>
      <c r="G15" s="15" t="s">
        <v>3958</v>
      </c>
      <c r="H15" s="14" t="s">
        <v>126</v>
      </c>
      <c r="I15" s="14" t="s">
        <v>141</v>
      </c>
      <c r="J15" s="16" t="n">
        <v>46232</v>
      </c>
      <c r="K15" s="15" t="s">
        <v>3959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1729</v>
      </c>
      <c r="B16" s="14" t="s">
        <v>3960</v>
      </c>
      <c r="C16" s="14" t="s">
        <v>3961</v>
      </c>
      <c r="D16" s="15" t="s">
        <v>3962</v>
      </c>
      <c r="E16" s="14" t="s">
        <v>186</v>
      </c>
      <c r="F16" s="14" t="s">
        <v>186</v>
      </c>
      <c r="G16" s="15" t="s">
        <v>3958</v>
      </c>
      <c r="H16" s="14" t="s">
        <v>126</v>
      </c>
      <c r="I16" s="14" t="s">
        <v>141</v>
      </c>
      <c r="J16" s="16" t="n">
        <v>46232</v>
      </c>
      <c r="K16" s="15" t="s">
        <v>3963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1731</v>
      </c>
      <c r="B17" s="14" t="s">
        <v>1672</v>
      </c>
      <c r="C17" s="14" t="s">
        <v>1155</v>
      </c>
      <c r="D17" s="15" t="s">
        <v>3964</v>
      </c>
      <c r="E17" s="14" t="s">
        <v>186</v>
      </c>
      <c r="F17" s="14" t="s">
        <v>186</v>
      </c>
      <c r="G17" s="15" t="s">
        <v>3958</v>
      </c>
      <c r="H17" s="14" t="s">
        <v>126</v>
      </c>
      <c r="I17" s="14" t="s">
        <v>141</v>
      </c>
      <c r="J17" s="16" t="n">
        <v>46232</v>
      </c>
      <c r="K17" s="15" t="s">
        <v>3965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1734</v>
      </c>
      <c r="B18" s="14" t="s">
        <v>1319</v>
      </c>
      <c r="C18" s="14" t="s">
        <v>3966</v>
      </c>
      <c r="D18" s="15" t="s">
        <v>3967</v>
      </c>
      <c r="E18" s="14" t="s">
        <v>186</v>
      </c>
      <c r="F18" s="14" t="s">
        <v>186</v>
      </c>
      <c r="G18" s="15" t="s">
        <v>3968</v>
      </c>
      <c r="H18" s="14" t="s">
        <v>126</v>
      </c>
      <c r="I18" s="14" t="s">
        <v>141</v>
      </c>
      <c r="J18" s="16" t="n">
        <v>46232</v>
      </c>
      <c r="K18" s="15" t="s">
        <v>3969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1736</v>
      </c>
      <c r="B19" s="14" t="s">
        <v>3970</v>
      </c>
      <c r="C19" s="14" t="s">
        <v>830</v>
      </c>
      <c r="D19" s="15" t="s">
        <v>3971</v>
      </c>
      <c r="E19" s="14" t="s">
        <v>186</v>
      </c>
      <c r="F19" s="14" t="s">
        <v>186</v>
      </c>
      <c r="G19" s="15" t="s">
        <v>3946</v>
      </c>
      <c r="H19" s="14" t="s">
        <v>126</v>
      </c>
      <c r="I19" s="14" t="s">
        <v>141</v>
      </c>
      <c r="J19" s="16" t="n">
        <v>46232</v>
      </c>
      <c r="K19" s="15" t="s">
        <v>3972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1738</v>
      </c>
      <c r="B20" s="14" t="s">
        <v>3973</v>
      </c>
      <c r="C20" s="14" t="s">
        <v>1155</v>
      </c>
      <c r="D20" s="15" t="s">
        <v>3974</v>
      </c>
      <c r="E20" s="14" t="s">
        <v>229</v>
      </c>
      <c r="F20" s="14" t="s">
        <v>229</v>
      </c>
      <c r="G20" s="15" t="s">
        <v>3975</v>
      </c>
      <c r="H20" s="14" t="s">
        <v>126</v>
      </c>
      <c r="I20" s="14" t="s">
        <v>141</v>
      </c>
      <c r="J20" s="16" t="n">
        <v>46232</v>
      </c>
      <c r="K20" s="15" t="s">
        <v>3976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1740</v>
      </c>
      <c r="B21" s="14" t="s">
        <v>3977</v>
      </c>
      <c r="C21" s="14" t="s">
        <v>830</v>
      </c>
      <c r="D21" s="15" t="s">
        <v>3978</v>
      </c>
      <c r="E21" s="14" t="s">
        <v>161</v>
      </c>
      <c r="F21" s="14" t="s">
        <v>171</v>
      </c>
      <c r="G21" s="15" t="s">
        <v>3979</v>
      </c>
      <c r="H21" s="14" t="s">
        <v>126</v>
      </c>
      <c r="I21" s="14" t="s">
        <v>141</v>
      </c>
      <c r="J21" s="16" t="n">
        <v>46232</v>
      </c>
      <c r="K21" s="15" t="s">
        <v>3980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1742</v>
      </c>
      <c r="B22" s="14" t="s">
        <v>165</v>
      </c>
      <c r="C22" s="14" t="s">
        <v>88</v>
      </c>
      <c r="D22" s="15" t="s">
        <v>3981</v>
      </c>
      <c r="E22" s="14" t="s">
        <v>161</v>
      </c>
      <c r="F22" s="14" t="s">
        <v>161</v>
      </c>
      <c r="G22" s="15" t="s">
        <v>3982</v>
      </c>
      <c r="H22" s="14" t="s">
        <v>126</v>
      </c>
      <c r="I22" s="14" t="s">
        <v>141</v>
      </c>
      <c r="J22" s="16" t="n">
        <v>46232</v>
      </c>
      <c r="K22" s="15" t="s">
        <v>3983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1744</v>
      </c>
      <c r="B23" s="14" t="s">
        <v>169</v>
      </c>
      <c r="C23" s="14" t="s">
        <v>2497</v>
      </c>
      <c r="D23" s="15" t="s">
        <v>3984</v>
      </c>
      <c r="E23" s="14" t="s">
        <v>161</v>
      </c>
      <c r="F23" s="14" t="s">
        <v>171</v>
      </c>
      <c r="G23" s="15" t="s">
        <v>3985</v>
      </c>
      <c r="H23" s="14" t="s">
        <v>126</v>
      </c>
      <c r="I23" s="14" t="s">
        <v>141</v>
      </c>
      <c r="J23" s="16" t="n">
        <v>46232</v>
      </c>
      <c r="K23" s="15" t="s">
        <v>2983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1748</v>
      </c>
      <c r="B24" s="14" t="s">
        <v>1400</v>
      </c>
      <c r="C24" s="14" t="s">
        <v>3935</v>
      </c>
      <c r="D24" s="15" t="s">
        <v>3986</v>
      </c>
      <c r="E24" s="14" t="s">
        <v>161</v>
      </c>
      <c r="F24" s="14" t="s">
        <v>161</v>
      </c>
      <c r="G24" s="15" t="s">
        <v>3987</v>
      </c>
      <c r="H24" s="14" t="s">
        <v>126</v>
      </c>
      <c r="I24" s="14" t="s">
        <v>141</v>
      </c>
      <c r="J24" s="16" t="n">
        <v>46232</v>
      </c>
      <c r="K24" s="15" t="s">
        <v>2986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1752</v>
      </c>
      <c r="B25" s="14" t="s">
        <v>174</v>
      </c>
      <c r="C25" s="14" t="s">
        <v>3935</v>
      </c>
      <c r="D25" s="15" t="s">
        <v>3988</v>
      </c>
      <c r="E25" s="14" t="s">
        <v>161</v>
      </c>
      <c r="F25" s="14" t="s">
        <v>176</v>
      </c>
      <c r="G25" s="15" t="s">
        <v>3989</v>
      </c>
      <c r="H25" s="14" t="s">
        <v>126</v>
      </c>
      <c r="I25" s="14" t="s">
        <v>141</v>
      </c>
      <c r="J25" s="16" t="n">
        <v>46232</v>
      </c>
      <c r="K25" s="15" t="s">
        <v>3990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1754</v>
      </c>
      <c r="B26" s="14" t="s">
        <v>1782</v>
      </c>
      <c r="C26" s="14" t="s">
        <v>830</v>
      </c>
      <c r="D26" s="15" t="s">
        <v>3991</v>
      </c>
      <c r="E26" s="14" t="s">
        <v>186</v>
      </c>
      <c r="F26" s="14" t="s">
        <v>196</v>
      </c>
      <c r="G26" s="15" t="s">
        <v>3968</v>
      </c>
      <c r="H26" s="14" t="s">
        <v>126</v>
      </c>
      <c r="I26" s="14" t="s">
        <v>141</v>
      </c>
      <c r="J26" s="16" t="n">
        <v>46232</v>
      </c>
      <c r="K26" s="15" t="s">
        <v>3992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1756</v>
      </c>
      <c r="B27" s="14" t="s">
        <v>3993</v>
      </c>
      <c r="C27" s="14" t="s">
        <v>3935</v>
      </c>
      <c r="D27" s="15" t="s">
        <v>3994</v>
      </c>
      <c r="E27" s="14" t="s">
        <v>186</v>
      </c>
      <c r="F27" s="14" t="s">
        <v>196</v>
      </c>
      <c r="G27" s="15" t="s">
        <v>3995</v>
      </c>
      <c r="H27" s="14" t="s">
        <v>126</v>
      </c>
      <c r="I27" s="14" t="s">
        <v>141</v>
      </c>
      <c r="J27" s="16" t="n">
        <v>46232</v>
      </c>
      <c r="K27" s="15" t="s">
        <v>3996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1758</v>
      </c>
      <c r="B28" s="14" t="s">
        <v>3997</v>
      </c>
      <c r="C28" s="14" t="s">
        <v>3998</v>
      </c>
      <c r="D28" s="15" t="s">
        <v>3999</v>
      </c>
      <c r="E28" s="14" t="s">
        <v>186</v>
      </c>
      <c r="F28" s="14" t="s">
        <v>196</v>
      </c>
      <c r="G28" s="15" t="s">
        <v>3995</v>
      </c>
      <c r="H28" s="14" t="s">
        <v>126</v>
      </c>
      <c r="I28" s="14" t="s">
        <v>141</v>
      </c>
      <c r="J28" s="16" t="n">
        <v>46232</v>
      </c>
      <c r="K28" s="15" t="s">
        <v>4000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4001</v>
      </c>
      <c r="B29" s="14" t="s">
        <v>3005</v>
      </c>
      <c r="C29" s="14" t="s">
        <v>1274</v>
      </c>
      <c r="D29" s="15" t="s">
        <v>4002</v>
      </c>
      <c r="E29" s="14" t="s">
        <v>161</v>
      </c>
      <c r="F29" s="14" t="s">
        <v>181</v>
      </c>
      <c r="G29" s="15" t="s">
        <v>3940</v>
      </c>
      <c r="H29" s="14" t="s">
        <v>126</v>
      </c>
      <c r="I29" s="14" t="s">
        <v>141</v>
      </c>
      <c r="J29" s="16" t="n">
        <v>46232</v>
      </c>
      <c r="K29" s="15" t="s">
        <v>4003</v>
      </c>
      <c r="L29" s="14" t="n">
        <v>1</v>
      </c>
      <c r="M29" s="14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4" t="s">
        <v>4004</v>
      </c>
      <c r="B30" s="14" t="s">
        <v>200</v>
      </c>
      <c r="C30" s="14" t="s">
        <v>3961</v>
      </c>
      <c r="D30" s="15" t="s">
        <v>4005</v>
      </c>
      <c r="E30" s="14" t="s">
        <v>186</v>
      </c>
      <c r="F30" s="14" t="s">
        <v>186</v>
      </c>
      <c r="G30" s="15" t="s">
        <v>3968</v>
      </c>
      <c r="H30" s="14" t="s">
        <v>126</v>
      </c>
      <c r="I30" s="14" t="s">
        <v>141</v>
      </c>
      <c r="J30" s="16" t="n">
        <v>46232</v>
      </c>
      <c r="K30" s="15" t="s">
        <v>4006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4" t="s">
        <v>4007</v>
      </c>
      <c r="B31" s="14" t="s">
        <v>3021</v>
      </c>
      <c r="C31" s="14" t="s">
        <v>3935</v>
      </c>
      <c r="D31" s="15" t="s">
        <v>4008</v>
      </c>
      <c r="E31" s="14" t="s">
        <v>186</v>
      </c>
      <c r="F31" s="14" t="s">
        <v>196</v>
      </c>
      <c r="G31" s="15" t="s">
        <v>3995</v>
      </c>
      <c r="H31" s="14" t="s">
        <v>126</v>
      </c>
      <c r="I31" s="14" t="s">
        <v>141</v>
      </c>
      <c r="J31" s="16" t="n">
        <v>46232</v>
      </c>
      <c r="K31" s="15" t="s">
        <v>4009</v>
      </c>
      <c r="L31" s="14" t="n">
        <v>1</v>
      </c>
      <c r="M31" s="14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4" t="s">
        <v>4010</v>
      </c>
      <c r="B32" s="14" t="s">
        <v>1620</v>
      </c>
      <c r="C32" s="14" t="s">
        <v>3935</v>
      </c>
      <c r="D32" s="15" t="s">
        <v>4011</v>
      </c>
      <c r="E32" s="14" t="s">
        <v>161</v>
      </c>
      <c r="F32" s="14" t="s">
        <v>181</v>
      </c>
      <c r="G32" s="15" t="s">
        <v>4012</v>
      </c>
      <c r="H32" s="14" t="s">
        <v>126</v>
      </c>
      <c r="I32" s="14" t="s">
        <v>141</v>
      </c>
      <c r="J32" s="16" t="n">
        <v>46232</v>
      </c>
      <c r="K32" s="15" t="s">
        <v>4013</v>
      </c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4014</v>
      </c>
      <c r="B33" s="14" t="s">
        <v>189</v>
      </c>
      <c r="C33" s="14" t="s">
        <v>3935</v>
      </c>
      <c r="D33" s="15" t="s">
        <v>4015</v>
      </c>
      <c r="E33" s="14" t="s">
        <v>186</v>
      </c>
      <c r="F33" s="14" t="s">
        <v>191</v>
      </c>
      <c r="G33" s="15" t="s">
        <v>3958</v>
      </c>
      <c r="H33" s="14" t="s">
        <v>126</v>
      </c>
      <c r="I33" s="14" t="s">
        <v>141</v>
      </c>
      <c r="J33" s="16" t="n">
        <v>46232</v>
      </c>
      <c r="K33" s="15" t="s">
        <v>4016</v>
      </c>
      <c r="L33" s="14" t="n">
        <v>1</v>
      </c>
      <c r="M33" s="14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4" t="s">
        <v>4017</v>
      </c>
      <c r="B34" s="14" t="s">
        <v>649</v>
      </c>
      <c r="C34" s="14" t="s">
        <v>1274</v>
      </c>
      <c r="D34" s="15" t="s">
        <v>4018</v>
      </c>
      <c r="E34" s="14" t="s">
        <v>161</v>
      </c>
      <c r="F34" s="14" t="s">
        <v>651</v>
      </c>
      <c r="G34" s="15" t="s">
        <v>4019</v>
      </c>
      <c r="H34" s="14" t="s">
        <v>126</v>
      </c>
      <c r="I34" s="14" t="s">
        <v>141</v>
      </c>
      <c r="J34" s="16" t="n">
        <v>46232</v>
      </c>
      <c r="K34" s="15" t="s">
        <v>4020</v>
      </c>
      <c r="L34" s="14" t="n">
        <v>1</v>
      </c>
      <c r="M34" s="14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4" t="s">
        <v>4021</v>
      </c>
      <c r="B35" s="14" t="s">
        <v>3036</v>
      </c>
      <c r="C35" s="14" t="s">
        <v>1274</v>
      </c>
      <c r="D35" s="15" t="s">
        <v>4022</v>
      </c>
      <c r="E35" s="14" t="s">
        <v>186</v>
      </c>
      <c r="F35" s="14" t="s">
        <v>196</v>
      </c>
      <c r="G35" s="15" t="s">
        <v>4023</v>
      </c>
      <c r="H35" s="14" t="s">
        <v>128</v>
      </c>
      <c r="I35" s="14" t="s">
        <v>140</v>
      </c>
      <c r="J35" s="16" t="n">
        <v>46232</v>
      </c>
      <c r="K35" s="15" t="s">
        <v>4024</v>
      </c>
      <c r="L35" s="14" t="n">
        <v>1</v>
      </c>
      <c r="M35" s="14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4" t="s">
        <v>4025</v>
      </c>
      <c r="B36" s="14" t="s">
        <v>2475</v>
      </c>
      <c r="C36" s="14" t="s">
        <v>3041</v>
      </c>
      <c r="D36" s="15" t="s">
        <v>4026</v>
      </c>
      <c r="E36" s="14" t="s">
        <v>161</v>
      </c>
      <c r="F36" s="14" t="s">
        <v>2701</v>
      </c>
      <c r="G36" s="15" t="s">
        <v>4027</v>
      </c>
      <c r="H36" s="14" t="s">
        <v>126</v>
      </c>
      <c r="I36" s="14" t="s">
        <v>141</v>
      </c>
      <c r="J36" s="16" t="n">
        <v>46232</v>
      </c>
      <c r="K36" s="15" t="s">
        <v>3044</v>
      </c>
      <c r="L36" s="14" t="n">
        <v>1</v>
      </c>
      <c r="M36" s="14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4" t="s">
        <v>4028</v>
      </c>
      <c r="B37" s="14" t="s">
        <v>227</v>
      </c>
      <c r="C37" s="14" t="s">
        <v>3935</v>
      </c>
      <c r="D37" s="15" t="s">
        <v>4029</v>
      </c>
      <c r="E37" s="14" t="s">
        <v>229</v>
      </c>
      <c r="F37" s="14" t="s">
        <v>229</v>
      </c>
      <c r="G37" s="15" t="s">
        <v>4030</v>
      </c>
      <c r="H37" s="14" t="s">
        <v>126</v>
      </c>
      <c r="I37" s="14" t="s">
        <v>141</v>
      </c>
      <c r="J37" s="16" t="n">
        <v>46232</v>
      </c>
      <c r="K37" s="15" t="s">
        <v>4031</v>
      </c>
      <c r="L37" s="14" t="n">
        <v>1</v>
      </c>
      <c r="M37" s="14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4" t="s">
        <v>4032</v>
      </c>
      <c r="B38" s="14" t="s">
        <v>214</v>
      </c>
      <c r="C38" s="14" t="s">
        <v>3935</v>
      </c>
      <c r="D38" s="15" t="s">
        <v>4033</v>
      </c>
      <c r="E38" s="14" t="s">
        <v>3050</v>
      </c>
      <c r="F38" s="14" t="s">
        <v>202</v>
      </c>
      <c r="G38" s="15" t="s">
        <v>4034</v>
      </c>
      <c r="H38" s="14" t="s">
        <v>120</v>
      </c>
      <c r="I38" s="14" t="s">
        <v>140</v>
      </c>
      <c r="J38" s="16"/>
      <c r="K38" s="15" t="s">
        <v>4035</v>
      </c>
      <c r="L38" s="14" t="n">
        <v>1</v>
      </c>
      <c r="M38" s="14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4" t="s">
        <v>4036</v>
      </c>
      <c r="B39" s="14" t="s">
        <v>232</v>
      </c>
      <c r="C39" s="14" t="s">
        <v>2717</v>
      </c>
      <c r="D39" s="15" t="s">
        <v>4037</v>
      </c>
      <c r="E39" s="14" t="s">
        <v>161</v>
      </c>
      <c r="F39" s="14" t="s">
        <v>161</v>
      </c>
      <c r="G39" s="15" t="s">
        <v>3055</v>
      </c>
      <c r="H39" s="14" t="s">
        <v>126</v>
      </c>
      <c r="I39" s="14" t="s">
        <v>141</v>
      </c>
      <c r="J39" s="16" t="n">
        <v>46232</v>
      </c>
      <c r="K39" s="15" t="s">
        <v>4038</v>
      </c>
      <c r="L39" s="14" t="n">
        <v>1</v>
      </c>
      <c r="M39" s="14" t="n">
        <f aca="false">IF(OR(AND(I39="yes",H39="verified"),AND(I39="no",OR(H39="tested",H39="verified")),AND(H39="not applicable",K39&lt;&gt;"")),1,0)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4041</v>
      </c>
      <c r="B9" s="14" t="s">
        <v>118</v>
      </c>
      <c r="C9" s="14" t="s">
        <v>1274</v>
      </c>
      <c r="D9" s="15" t="s">
        <v>4042</v>
      </c>
      <c r="E9" s="14" t="s">
        <v>161</v>
      </c>
      <c r="F9" s="14" t="s">
        <v>162</v>
      </c>
      <c r="G9" s="15" t="s">
        <v>4043</v>
      </c>
      <c r="H9" s="14" t="s">
        <v>126</v>
      </c>
      <c r="I9" s="14" t="s">
        <v>141</v>
      </c>
      <c r="J9" s="16" t="n">
        <v>46230</v>
      </c>
      <c r="K9" s="15" t="s">
        <v>4044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4045</v>
      </c>
      <c r="B10" s="14" t="s">
        <v>2488</v>
      </c>
      <c r="C10" s="14" t="s">
        <v>1274</v>
      </c>
      <c r="D10" s="15" t="s">
        <v>4046</v>
      </c>
      <c r="E10" s="14" t="s">
        <v>161</v>
      </c>
      <c r="F10" s="14" t="s">
        <v>181</v>
      </c>
      <c r="G10" s="15" t="s">
        <v>4047</v>
      </c>
      <c r="H10" s="14" t="s">
        <v>126</v>
      </c>
      <c r="I10" s="14" t="s">
        <v>141</v>
      </c>
      <c r="J10" s="16" t="n">
        <v>46230</v>
      </c>
      <c r="K10" s="15" t="s">
        <v>4048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4049</v>
      </c>
      <c r="B11" s="14" t="s">
        <v>1432</v>
      </c>
      <c r="C11" s="14" t="s">
        <v>1274</v>
      </c>
      <c r="D11" s="15" t="s">
        <v>4050</v>
      </c>
      <c r="E11" s="14" t="s">
        <v>161</v>
      </c>
      <c r="F11" s="14" t="s">
        <v>181</v>
      </c>
      <c r="G11" s="15" t="s">
        <v>4047</v>
      </c>
      <c r="H11" s="14" t="s">
        <v>126</v>
      </c>
      <c r="I11" s="14" t="s">
        <v>141</v>
      </c>
      <c r="J11" s="16" t="n">
        <v>46230</v>
      </c>
      <c r="K11" s="15" t="s">
        <v>4051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4052</v>
      </c>
      <c r="B12" s="14" t="s">
        <v>169</v>
      </c>
      <c r="C12" s="14" t="s">
        <v>2497</v>
      </c>
      <c r="D12" s="15" t="s">
        <v>4053</v>
      </c>
      <c r="E12" s="14" t="s">
        <v>161</v>
      </c>
      <c r="F12" s="14" t="s">
        <v>171</v>
      </c>
      <c r="G12" s="15" t="s">
        <v>4054</v>
      </c>
      <c r="H12" s="14" t="s">
        <v>126</v>
      </c>
      <c r="I12" s="14" t="s">
        <v>141</v>
      </c>
      <c r="J12" s="16" t="n">
        <v>46230</v>
      </c>
      <c r="K12" s="15" t="s">
        <v>4055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4056</v>
      </c>
      <c r="B13" s="14" t="s">
        <v>165</v>
      </c>
      <c r="C13" s="14" t="s">
        <v>90</v>
      </c>
      <c r="D13" s="15" t="s">
        <v>4057</v>
      </c>
      <c r="E13" s="14" t="s">
        <v>161</v>
      </c>
      <c r="F13" s="14" t="s">
        <v>161</v>
      </c>
      <c r="G13" s="15" t="s">
        <v>2978</v>
      </c>
      <c r="H13" s="14" t="s">
        <v>126</v>
      </c>
      <c r="I13" s="14" t="s">
        <v>141</v>
      </c>
      <c r="J13" s="16" t="n">
        <v>46230</v>
      </c>
      <c r="K13" s="15" t="s">
        <v>4058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4059</v>
      </c>
      <c r="B14" s="14" t="s">
        <v>1400</v>
      </c>
      <c r="C14" s="14" t="s">
        <v>830</v>
      </c>
      <c r="D14" s="15" t="s">
        <v>4060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46230</v>
      </c>
      <c r="K14" s="15" t="s">
        <v>4061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4062</v>
      </c>
      <c r="B15" s="14" t="s">
        <v>1665</v>
      </c>
      <c r="C15" s="14" t="s">
        <v>830</v>
      </c>
      <c r="D15" s="15" t="s">
        <v>4063</v>
      </c>
      <c r="E15" s="14" t="s">
        <v>161</v>
      </c>
      <c r="F15" s="14" t="s">
        <v>181</v>
      </c>
      <c r="G15" s="15" t="s">
        <v>4047</v>
      </c>
      <c r="H15" s="14" t="s">
        <v>126</v>
      </c>
      <c r="I15" s="14" t="s">
        <v>141</v>
      </c>
      <c r="J15" s="16" t="n">
        <v>46230</v>
      </c>
      <c r="K15" s="15" t="s">
        <v>4064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4065</v>
      </c>
      <c r="B16" s="14" t="s">
        <v>3529</v>
      </c>
      <c r="C16" s="14" t="s">
        <v>4066</v>
      </c>
      <c r="D16" s="15" t="s">
        <v>4067</v>
      </c>
      <c r="E16" s="14" t="s">
        <v>186</v>
      </c>
      <c r="F16" s="14" t="s">
        <v>186</v>
      </c>
      <c r="G16" s="15" t="s">
        <v>4068</v>
      </c>
      <c r="H16" s="14" t="s">
        <v>126</v>
      </c>
      <c r="I16" s="14" t="s">
        <v>141</v>
      </c>
      <c r="J16" s="16" t="n">
        <v>46230</v>
      </c>
      <c r="K16" s="15" t="s">
        <v>4069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4070</v>
      </c>
      <c r="B17" s="14" t="s">
        <v>1678</v>
      </c>
      <c r="C17" s="14" t="s">
        <v>4066</v>
      </c>
      <c r="D17" s="15" t="s">
        <v>4071</v>
      </c>
      <c r="E17" s="14" t="s">
        <v>186</v>
      </c>
      <c r="F17" s="14" t="s">
        <v>196</v>
      </c>
      <c r="G17" s="15" t="s">
        <v>4072</v>
      </c>
      <c r="H17" s="14" t="s">
        <v>126</v>
      </c>
      <c r="I17" s="14" t="s">
        <v>141</v>
      </c>
      <c r="J17" s="16" t="n">
        <v>46230</v>
      </c>
      <c r="K17" s="15" t="s">
        <v>4073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4074</v>
      </c>
      <c r="B18" s="14" t="s">
        <v>1222</v>
      </c>
      <c r="C18" s="14" t="s">
        <v>830</v>
      </c>
      <c r="D18" s="15" t="s">
        <v>4075</v>
      </c>
      <c r="E18" s="14" t="s">
        <v>186</v>
      </c>
      <c r="F18" s="14" t="s">
        <v>186</v>
      </c>
      <c r="G18" s="15" t="s">
        <v>4068</v>
      </c>
      <c r="H18" s="14" t="s">
        <v>126</v>
      </c>
      <c r="I18" s="14" t="s">
        <v>141</v>
      </c>
      <c r="J18" s="16" t="n">
        <v>46230</v>
      </c>
      <c r="K18" s="15" t="s">
        <v>4076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4077</v>
      </c>
      <c r="B19" s="14" t="s">
        <v>1319</v>
      </c>
      <c r="C19" s="14" t="s">
        <v>4078</v>
      </c>
      <c r="D19" s="15" t="s">
        <v>4079</v>
      </c>
      <c r="E19" s="14" t="s">
        <v>186</v>
      </c>
      <c r="F19" s="14" t="s">
        <v>186</v>
      </c>
      <c r="G19" s="15" t="s">
        <v>4068</v>
      </c>
      <c r="H19" s="14" t="s">
        <v>126</v>
      </c>
      <c r="I19" s="14" t="s">
        <v>141</v>
      </c>
      <c r="J19" s="16" t="n">
        <v>46230</v>
      </c>
      <c r="K19" s="15" t="s">
        <v>4080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4081</v>
      </c>
      <c r="B20" s="14" t="s">
        <v>4082</v>
      </c>
      <c r="C20" s="14" t="s">
        <v>4082</v>
      </c>
      <c r="D20" s="15" t="s">
        <v>4083</v>
      </c>
      <c r="E20" s="14" t="s">
        <v>161</v>
      </c>
      <c r="F20" s="14" t="s">
        <v>181</v>
      </c>
      <c r="G20" s="15" t="s">
        <v>4084</v>
      </c>
      <c r="H20" s="14" t="s">
        <v>126</v>
      </c>
      <c r="I20" s="14" t="s">
        <v>141</v>
      </c>
      <c r="J20" s="16" t="n">
        <v>46230</v>
      </c>
      <c r="K20" s="15" t="s">
        <v>4085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4086</v>
      </c>
      <c r="B21" s="14" t="s">
        <v>4087</v>
      </c>
      <c r="C21" s="14" t="s">
        <v>4088</v>
      </c>
      <c r="D21" s="15" t="s">
        <v>4089</v>
      </c>
      <c r="E21" s="14" t="s">
        <v>186</v>
      </c>
      <c r="F21" s="14" t="s">
        <v>186</v>
      </c>
      <c r="G21" s="15" t="s">
        <v>4068</v>
      </c>
      <c r="H21" s="14" t="s">
        <v>126</v>
      </c>
      <c r="I21" s="14" t="s">
        <v>141</v>
      </c>
      <c r="J21" s="16" t="n">
        <v>46230</v>
      </c>
      <c r="K21" s="15" t="s">
        <v>4090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4091</v>
      </c>
      <c r="B22" s="14" t="s">
        <v>200</v>
      </c>
      <c r="C22" s="14" t="s">
        <v>1274</v>
      </c>
      <c r="D22" s="15" t="s">
        <v>4092</v>
      </c>
      <c r="E22" s="14" t="s">
        <v>186</v>
      </c>
      <c r="F22" s="14" t="s">
        <v>196</v>
      </c>
      <c r="G22" s="15" t="s">
        <v>4072</v>
      </c>
      <c r="H22" s="14" t="s">
        <v>126</v>
      </c>
      <c r="I22" s="14" t="s">
        <v>141</v>
      </c>
      <c r="J22" s="16" t="n">
        <v>46230</v>
      </c>
      <c r="K22" s="15" t="s">
        <v>4093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4094</v>
      </c>
      <c r="B23" s="14" t="s">
        <v>2569</v>
      </c>
      <c r="C23" s="14" t="s">
        <v>4078</v>
      </c>
      <c r="D23" s="15" t="s">
        <v>4095</v>
      </c>
      <c r="E23" s="14" t="s">
        <v>186</v>
      </c>
      <c r="F23" s="14" t="s">
        <v>196</v>
      </c>
      <c r="G23" s="15" t="s">
        <v>4096</v>
      </c>
      <c r="H23" s="14" t="s">
        <v>126</v>
      </c>
      <c r="I23" s="14" t="s">
        <v>141</v>
      </c>
      <c r="J23" s="16" t="n">
        <v>46230</v>
      </c>
      <c r="K23" s="15" t="s">
        <v>4097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4098</v>
      </c>
      <c r="B24" s="14" t="s">
        <v>189</v>
      </c>
      <c r="C24" s="14" t="s">
        <v>830</v>
      </c>
      <c r="D24" s="15" t="s">
        <v>4099</v>
      </c>
      <c r="E24" s="14" t="s">
        <v>186</v>
      </c>
      <c r="F24" s="14" t="s">
        <v>191</v>
      </c>
      <c r="G24" s="15" t="s">
        <v>4068</v>
      </c>
      <c r="H24" s="14" t="s">
        <v>126</v>
      </c>
      <c r="I24" s="14" t="s">
        <v>141</v>
      </c>
      <c r="J24" s="16" t="n">
        <v>46230</v>
      </c>
      <c r="K24" s="15" t="s">
        <v>4100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4101</v>
      </c>
      <c r="B25" s="14" t="s">
        <v>649</v>
      </c>
      <c r="C25" s="14" t="s">
        <v>90</v>
      </c>
      <c r="D25" s="15" t="s">
        <v>4102</v>
      </c>
      <c r="E25" s="14" t="s">
        <v>161</v>
      </c>
      <c r="F25" s="14" t="s">
        <v>651</v>
      </c>
      <c r="G25" s="15" t="s">
        <v>4103</v>
      </c>
      <c r="H25" s="14" t="s">
        <v>126</v>
      </c>
      <c r="I25" s="14" t="s">
        <v>141</v>
      </c>
      <c r="J25" s="16" t="n">
        <v>46230</v>
      </c>
      <c r="K25" s="15" t="s">
        <v>4104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4105</v>
      </c>
      <c r="B26" s="14" t="s">
        <v>2475</v>
      </c>
      <c r="C26" s="14" t="s">
        <v>90</v>
      </c>
      <c r="D26" s="15" t="s">
        <v>4106</v>
      </c>
      <c r="E26" s="14" t="s">
        <v>161</v>
      </c>
      <c r="F26" s="14" t="s">
        <v>220</v>
      </c>
      <c r="G26" s="15" t="s">
        <v>4107</v>
      </c>
      <c r="H26" s="14" t="s">
        <v>126</v>
      </c>
      <c r="I26" s="14" t="s">
        <v>141</v>
      </c>
      <c r="J26" s="16" t="n">
        <v>46230</v>
      </c>
      <c r="K26" s="15" t="s">
        <v>3566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4108</v>
      </c>
      <c r="B27" s="14" t="s">
        <v>223</v>
      </c>
      <c r="C27" s="14" t="s">
        <v>90</v>
      </c>
      <c r="D27" s="15" t="s">
        <v>4109</v>
      </c>
      <c r="E27" s="14" t="s">
        <v>161</v>
      </c>
      <c r="F27" s="14" t="s">
        <v>220</v>
      </c>
      <c r="G27" s="15" t="s">
        <v>4110</v>
      </c>
      <c r="H27" s="14" t="s">
        <v>126</v>
      </c>
      <c r="I27" s="14" t="s">
        <v>141</v>
      </c>
      <c r="J27" s="16" t="n">
        <v>46230</v>
      </c>
      <c r="K27" s="15" t="s">
        <v>4111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4112</v>
      </c>
      <c r="B28" s="14" t="s">
        <v>227</v>
      </c>
      <c r="C28" s="14" t="s">
        <v>90</v>
      </c>
      <c r="D28" s="15" t="s">
        <v>4113</v>
      </c>
      <c r="E28" s="14" t="s">
        <v>229</v>
      </c>
      <c r="F28" s="14" t="s">
        <v>229</v>
      </c>
      <c r="G28" s="15" t="s">
        <v>2636</v>
      </c>
      <c r="H28" s="14" t="s">
        <v>126</v>
      </c>
      <c r="I28" s="14" t="s">
        <v>141</v>
      </c>
      <c r="J28" s="16" t="n">
        <v>46230</v>
      </c>
      <c r="K28" s="15" t="s">
        <v>4114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4115</v>
      </c>
      <c r="B29" s="14" t="s">
        <v>214</v>
      </c>
      <c r="C29" s="14" t="s">
        <v>90</v>
      </c>
      <c r="D29" s="15" t="s">
        <v>4116</v>
      </c>
      <c r="E29" s="14" t="s">
        <v>3050</v>
      </c>
      <c r="F29" s="14" t="s">
        <v>202</v>
      </c>
      <c r="G29" s="15" t="s">
        <v>4117</v>
      </c>
      <c r="H29" s="14" t="s">
        <v>120</v>
      </c>
      <c r="I29" s="14" t="s">
        <v>140</v>
      </c>
      <c r="J29" s="16" t="n">
        <v>46230</v>
      </c>
      <c r="K29" s="15" t="s">
        <v>1898</v>
      </c>
      <c r="L29" s="14" t="n">
        <v>1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4118</v>
      </c>
      <c r="B30" s="14" t="s">
        <v>232</v>
      </c>
      <c r="C30" s="14" t="s">
        <v>90</v>
      </c>
      <c r="D30" s="15" t="s">
        <v>2640</v>
      </c>
      <c r="E30" s="14" t="s">
        <v>161</v>
      </c>
      <c r="F30" s="14" t="s">
        <v>161</v>
      </c>
      <c r="G30" s="15" t="s">
        <v>4119</v>
      </c>
      <c r="H30" s="14" t="s">
        <v>126</v>
      </c>
      <c r="I30" s="14" t="s">
        <v>141</v>
      </c>
      <c r="J30" s="16" t="n">
        <v>46230</v>
      </c>
      <c r="K30" s="15" t="s">
        <v>4120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144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4123</v>
      </c>
      <c r="B9" s="14" t="s">
        <v>118</v>
      </c>
      <c r="C9" s="14" t="s">
        <v>1274</v>
      </c>
      <c r="D9" s="15" t="s">
        <v>4124</v>
      </c>
      <c r="E9" s="14" t="s">
        <v>161</v>
      </c>
      <c r="F9" s="14" t="s">
        <v>162</v>
      </c>
      <c r="G9" s="15" t="s">
        <v>4125</v>
      </c>
      <c r="H9" s="14" t="s">
        <v>126</v>
      </c>
      <c r="I9" s="14" t="s">
        <v>141</v>
      </c>
      <c r="J9" s="16" t="n">
        <v>46230</v>
      </c>
      <c r="K9" s="15" t="s">
        <v>4044</v>
      </c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4126</v>
      </c>
      <c r="B10" s="14" t="s">
        <v>2488</v>
      </c>
      <c r="C10" s="14" t="s">
        <v>1274</v>
      </c>
      <c r="D10" s="15" t="s">
        <v>4127</v>
      </c>
      <c r="E10" s="14" t="s">
        <v>161</v>
      </c>
      <c r="F10" s="14" t="s">
        <v>181</v>
      </c>
      <c r="G10" s="15" t="s">
        <v>4128</v>
      </c>
      <c r="H10" s="14" t="s">
        <v>126</v>
      </c>
      <c r="I10" s="14" t="s">
        <v>141</v>
      </c>
      <c r="J10" s="16" t="n">
        <v>46230</v>
      </c>
      <c r="K10" s="15" t="s">
        <v>4048</v>
      </c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4129</v>
      </c>
      <c r="B11" s="14" t="s">
        <v>1432</v>
      </c>
      <c r="C11" s="14" t="s">
        <v>1274</v>
      </c>
      <c r="D11" s="15" t="s">
        <v>4130</v>
      </c>
      <c r="E11" s="14" t="s">
        <v>161</v>
      </c>
      <c r="F11" s="14" t="s">
        <v>181</v>
      </c>
      <c r="G11" s="15" t="s">
        <v>4128</v>
      </c>
      <c r="H11" s="14" t="s">
        <v>126</v>
      </c>
      <c r="I11" s="14" t="s">
        <v>141</v>
      </c>
      <c r="J11" s="16" t="n">
        <v>46230</v>
      </c>
      <c r="K11" s="15" t="s">
        <v>4131</v>
      </c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4132</v>
      </c>
      <c r="B12" s="14" t="s">
        <v>169</v>
      </c>
      <c r="C12" s="14" t="s">
        <v>2497</v>
      </c>
      <c r="D12" s="15" t="s">
        <v>4133</v>
      </c>
      <c r="E12" s="14" t="s">
        <v>161</v>
      </c>
      <c r="F12" s="14" t="s">
        <v>171</v>
      </c>
      <c r="G12" s="15" t="s">
        <v>4134</v>
      </c>
      <c r="H12" s="14" t="s">
        <v>126</v>
      </c>
      <c r="I12" s="14" t="s">
        <v>141</v>
      </c>
      <c r="J12" s="16" t="n">
        <v>46230</v>
      </c>
      <c r="K12" s="15" t="s">
        <v>4135</v>
      </c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4136</v>
      </c>
      <c r="B13" s="14" t="s">
        <v>165</v>
      </c>
      <c r="C13" s="14" t="s">
        <v>91</v>
      </c>
      <c r="D13" s="15" t="s">
        <v>4137</v>
      </c>
      <c r="E13" s="14" t="s">
        <v>161</v>
      </c>
      <c r="F13" s="14" t="s">
        <v>161</v>
      </c>
      <c r="G13" s="15" t="s">
        <v>2978</v>
      </c>
      <c r="H13" s="14" t="s">
        <v>126</v>
      </c>
      <c r="I13" s="14" t="s">
        <v>141</v>
      </c>
      <c r="J13" s="16" t="n">
        <v>46230</v>
      </c>
      <c r="K13" s="15" t="s">
        <v>4058</v>
      </c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4138</v>
      </c>
      <c r="B14" s="14" t="s">
        <v>1400</v>
      </c>
      <c r="C14" s="14" t="s">
        <v>830</v>
      </c>
      <c r="D14" s="15" t="s">
        <v>4139</v>
      </c>
      <c r="E14" s="14" t="s">
        <v>161</v>
      </c>
      <c r="F14" s="14" t="s">
        <v>161</v>
      </c>
      <c r="G14" s="15" t="s">
        <v>1402</v>
      </c>
      <c r="H14" s="14" t="s">
        <v>126</v>
      </c>
      <c r="I14" s="14" t="s">
        <v>141</v>
      </c>
      <c r="J14" s="16" t="n">
        <v>46230</v>
      </c>
      <c r="K14" s="15" t="s">
        <v>4061</v>
      </c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4140</v>
      </c>
      <c r="B15" s="14" t="s">
        <v>1665</v>
      </c>
      <c r="C15" s="14" t="s">
        <v>830</v>
      </c>
      <c r="D15" s="15" t="s">
        <v>4141</v>
      </c>
      <c r="E15" s="14" t="s">
        <v>161</v>
      </c>
      <c r="F15" s="14" t="s">
        <v>181</v>
      </c>
      <c r="G15" s="15" t="s">
        <v>4128</v>
      </c>
      <c r="H15" s="14" t="s">
        <v>126</v>
      </c>
      <c r="I15" s="14" t="s">
        <v>141</v>
      </c>
      <c r="J15" s="16" t="n">
        <v>46230</v>
      </c>
      <c r="K15" s="15" t="s">
        <v>4064</v>
      </c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4142</v>
      </c>
      <c r="B16" s="14" t="s">
        <v>3529</v>
      </c>
      <c r="C16" s="14" t="s">
        <v>4066</v>
      </c>
      <c r="D16" s="15" t="s">
        <v>4067</v>
      </c>
      <c r="E16" s="14" t="s">
        <v>186</v>
      </c>
      <c r="F16" s="14" t="s">
        <v>186</v>
      </c>
      <c r="G16" s="15" t="s">
        <v>4143</v>
      </c>
      <c r="H16" s="14" t="s">
        <v>126</v>
      </c>
      <c r="I16" s="14" t="s">
        <v>141</v>
      </c>
      <c r="J16" s="16" t="n">
        <v>46230</v>
      </c>
      <c r="K16" s="15" t="s">
        <v>4069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4144</v>
      </c>
      <c r="B17" s="14" t="s">
        <v>1383</v>
      </c>
      <c r="C17" s="14" t="s">
        <v>4145</v>
      </c>
      <c r="D17" s="15" t="s">
        <v>4146</v>
      </c>
      <c r="E17" s="14" t="s">
        <v>186</v>
      </c>
      <c r="F17" s="14" t="s">
        <v>186</v>
      </c>
      <c r="G17" s="15" t="s">
        <v>4143</v>
      </c>
      <c r="H17" s="14" t="s">
        <v>126</v>
      </c>
      <c r="I17" s="14" t="s">
        <v>141</v>
      </c>
      <c r="J17" s="16" t="n">
        <v>46230</v>
      </c>
      <c r="K17" s="15" t="s">
        <v>4147</v>
      </c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4148</v>
      </c>
      <c r="B18" s="14" t="s">
        <v>1222</v>
      </c>
      <c r="C18" s="14" t="s">
        <v>830</v>
      </c>
      <c r="D18" s="15" t="s">
        <v>4149</v>
      </c>
      <c r="E18" s="14" t="s">
        <v>186</v>
      </c>
      <c r="F18" s="14" t="s">
        <v>186</v>
      </c>
      <c r="G18" s="15" t="s">
        <v>4143</v>
      </c>
      <c r="H18" s="14" t="s">
        <v>126</v>
      </c>
      <c r="I18" s="14" t="s">
        <v>141</v>
      </c>
      <c r="J18" s="16" t="n">
        <v>46230</v>
      </c>
      <c r="K18" s="15" t="s">
        <v>4076</v>
      </c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4150</v>
      </c>
      <c r="B19" s="14" t="s">
        <v>1319</v>
      </c>
      <c r="C19" s="14" t="s">
        <v>4145</v>
      </c>
      <c r="D19" s="15" t="s">
        <v>4151</v>
      </c>
      <c r="E19" s="14" t="s">
        <v>186</v>
      </c>
      <c r="F19" s="14" t="s">
        <v>186</v>
      </c>
      <c r="G19" s="15" t="s">
        <v>4143</v>
      </c>
      <c r="H19" s="14" t="s">
        <v>126</v>
      </c>
      <c r="I19" s="14" t="s">
        <v>141</v>
      </c>
      <c r="J19" s="16" t="n">
        <v>46230</v>
      </c>
      <c r="K19" s="15" t="s">
        <v>4152</v>
      </c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4153</v>
      </c>
      <c r="B20" s="14" t="s">
        <v>1678</v>
      </c>
      <c r="C20" s="14" t="s">
        <v>1880</v>
      </c>
      <c r="D20" s="15" t="s">
        <v>4154</v>
      </c>
      <c r="E20" s="14" t="s">
        <v>186</v>
      </c>
      <c r="F20" s="14" t="s">
        <v>196</v>
      </c>
      <c r="G20" s="15" t="s">
        <v>4155</v>
      </c>
      <c r="H20" s="14" t="s">
        <v>126</v>
      </c>
      <c r="I20" s="14" t="s">
        <v>141</v>
      </c>
      <c r="J20" s="16" t="n">
        <v>46230</v>
      </c>
      <c r="K20" s="15" t="s">
        <v>4073</v>
      </c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4156</v>
      </c>
      <c r="B21" s="14" t="s">
        <v>4087</v>
      </c>
      <c r="C21" s="14" t="s">
        <v>4088</v>
      </c>
      <c r="D21" s="15" t="s">
        <v>4089</v>
      </c>
      <c r="E21" s="14" t="s">
        <v>186</v>
      </c>
      <c r="F21" s="14" t="s">
        <v>186</v>
      </c>
      <c r="G21" s="15" t="s">
        <v>4143</v>
      </c>
      <c r="H21" s="14" t="s">
        <v>126</v>
      </c>
      <c r="I21" s="14" t="s">
        <v>141</v>
      </c>
      <c r="J21" s="16" t="n">
        <v>46230</v>
      </c>
      <c r="K21" s="15" t="s">
        <v>4157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4158</v>
      </c>
      <c r="B22" s="14" t="s">
        <v>200</v>
      </c>
      <c r="C22" s="14" t="s">
        <v>1274</v>
      </c>
      <c r="D22" s="15" t="s">
        <v>4159</v>
      </c>
      <c r="E22" s="14" t="s">
        <v>186</v>
      </c>
      <c r="F22" s="14" t="s">
        <v>196</v>
      </c>
      <c r="G22" s="15" t="s">
        <v>4155</v>
      </c>
      <c r="H22" s="14" t="s">
        <v>126</v>
      </c>
      <c r="I22" s="14" t="s">
        <v>141</v>
      </c>
      <c r="J22" s="16" t="n">
        <v>46230</v>
      </c>
      <c r="K22" s="15" t="s">
        <v>4093</v>
      </c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4160</v>
      </c>
      <c r="B23" s="14" t="s">
        <v>2569</v>
      </c>
      <c r="C23" s="14" t="s">
        <v>4145</v>
      </c>
      <c r="D23" s="15" t="s">
        <v>4161</v>
      </c>
      <c r="E23" s="14" t="s">
        <v>186</v>
      </c>
      <c r="F23" s="14" t="s">
        <v>196</v>
      </c>
      <c r="G23" s="15" t="s">
        <v>4162</v>
      </c>
      <c r="H23" s="14" t="s">
        <v>126</v>
      </c>
      <c r="I23" s="14" t="s">
        <v>141</v>
      </c>
      <c r="J23" s="16" t="n">
        <v>46230</v>
      </c>
      <c r="K23" s="15" t="s">
        <v>4097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4163</v>
      </c>
      <c r="B24" s="14" t="s">
        <v>189</v>
      </c>
      <c r="C24" s="14" t="s">
        <v>4164</v>
      </c>
      <c r="D24" s="15" t="s">
        <v>4165</v>
      </c>
      <c r="E24" s="14" t="s">
        <v>186</v>
      </c>
      <c r="F24" s="14" t="s">
        <v>191</v>
      </c>
      <c r="G24" s="15" t="s">
        <v>4143</v>
      </c>
      <c r="H24" s="14" t="s">
        <v>126</v>
      </c>
      <c r="I24" s="14" t="s">
        <v>141</v>
      </c>
      <c r="J24" s="16" t="n">
        <v>46230</v>
      </c>
      <c r="K24" s="15" t="s">
        <v>4100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4166</v>
      </c>
      <c r="B25" s="14" t="s">
        <v>649</v>
      </c>
      <c r="C25" s="14" t="s">
        <v>91</v>
      </c>
      <c r="D25" s="15" t="s">
        <v>4102</v>
      </c>
      <c r="E25" s="14" t="s">
        <v>161</v>
      </c>
      <c r="F25" s="14" t="s">
        <v>651</v>
      </c>
      <c r="G25" s="15" t="s">
        <v>4167</v>
      </c>
      <c r="H25" s="14" t="s">
        <v>126</v>
      </c>
      <c r="I25" s="14" t="s">
        <v>141</v>
      </c>
      <c r="J25" s="16" t="n">
        <v>46230</v>
      </c>
      <c r="K25" s="15" t="s">
        <v>4104</v>
      </c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4168</v>
      </c>
      <c r="B26" s="14" t="s">
        <v>2475</v>
      </c>
      <c r="C26" s="14" t="s">
        <v>91</v>
      </c>
      <c r="D26" s="15" t="s">
        <v>4169</v>
      </c>
      <c r="E26" s="14" t="s">
        <v>161</v>
      </c>
      <c r="F26" s="14" t="s">
        <v>220</v>
      </c>
      <c r="G26" s="15" t="s">
        <v>4170</v>
      </c>
      <c r="H26" s="14" t="s">
        <v>126</v>
      </c>
      <c r="I26" s="14" t="s">
        <v>141</v>
      </c>
      <c r="J26" s="16" t="n">
        <v>46230</v>
      </c>
      <c r="K26" s="15" t="s">
        <v>3566</v>
      </c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4171</v>
      </c>
      <c r="B27" s="14" t="s">
        <v>223</v>
      </c>
      <c r="C27" s="14" t="s">
        <v>91</v>
      </c>
      <c r="D27" s="15" t="s">
        <v>4172</v>
      </c>
      <c r="E27" s="14" t="s">
        <v>161</v>
      </c>
      <c r="F27" s="14" t="s">
        <v>220</v>
      </c>
      <c r="G27" s="15" t="s">
        <v>4173</v>
      </c>
      <c r="H27" s="14" t="s">
        <v>126</v>
      </c>
      <c r="I27" s="14" t="s">
        <v>141</v>
      </c>
      <c r="J27" s="16" t="n">
        <v>46230</v>
      </c>
      <c r="K27" s="15" t="s">
        <v>4111</v>
      </c>
      <c r="L27" s="14" t="n">
        <v>1</v>
      </c>
      <c r="M27" s="14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4" t="s">
        <v>4174</v>
      </c>
      <c r="B28" s="14" t="s">
        <v>227</v>
      </c>
      <c r="C28" s="14" t="s">
        <v>91</v>
      </c>
      <c r="D28" s="15" t="s">
        <v>4175</v>
      </c>
      <c r="E28" s="14" t="s">
        <v>229</v>
      </c>
      <c r="F28" s="14" t="s">
        <v>229</v>
      </c>
      <c r="G28" s="15" t="s">
        <v>2636</v>
      </c>
      <c r="H28" s="14" t="s">
        <v>126</v>
      </c>
      <c r="I28" s="14" t="s">
        <v>141</v>
      </c>
      <c r="J28" s="16" t="n">
        <v>46230</v>
      </c>
      <c r="K28" s="15" t="s">
        <v>4114</v>
      </c>
      <c r="L28" s="14" t="n">
        <v>1</v>
      </c>
      <c r="M28" s="14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4" t="s">
        <v>4176</v>
      </c>
      <c r="B29" s="14" t="s">
        <v>214</v>
      </c>
      <c r="C29" s="14" t="s">
        <v>91</v>
      </c>
      <c r="D29" s="15" t="s">
        <v>4116</v>
      </c>
      <c r="E29" s="14" t="s">
        <v>3050</v>
      </c>
      <c r="F29" s="14" t="s">
        <v>202</v>
      </c>
      <c r="G29" s="15" t="s">
        <v>4177</v>
      </c>
      <c r="H29" s="14" t="s">
        <v>120</v>
      </c>
      <c r="I29" s="14" t="s">
        <v>140</v>
      </c>
      <c r="J29" s="16" t="n">
        <v>46230</v>
      </c>
      <c r="K29" s="15" t="s">
        <v>1898</v>
      </c>
      <c r="L29" s="14" t="n">
        <v>1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4178</v>
      </c>
      <c r="B30" s="14" t="s">
        <v>232</v>
      </c>
      <c r="C30" s="14" t="s">
        <v>91</v>
      </c>
      <c r="D30" s="15" t="s">
        <v>2640</v>
      </c>
      <c r="E30" s="14" t="s">
        <v>161</v>
      </c>
      <c r="F30" s="14" t="s">
        <v>161</v>
      </c>
      <c r="G30" s="15" t="s">
        <v>4119</v>
      </c>
      <c r="H30" s="14" t="s">
        <v>126</v>
      </c>
      <c r="I30" s="14" t="s">
        <v>141</v>
      </c>
      <c r="J30" s="16" t="n">
        <v>46230</v>
      </c>
      <c r="K30" s="15" t="s">
        <v>4120</v>
      </c>
      <c r="L30" s="14" t="n">
        <v>1</v>
      </c>
      <c r="M30" s="14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144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145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54" hidden="false" customHeight="true" outlineLevel="0" collapsed="false">
      <c r="A9" s="14" t="s">
        <v>4181</v>
      </c>
      <c r="B9" s="14" t="s">
        <v>118</v>
      </c>
      <c r="C9" s="14" t="s">
        <v>1274</v>
      </c>
      <c r="D9" s="15" t="s">
        <v>4182</v>
      </c>
      <c r="E9" s="14" t="s">
        <v>161</v>
      </c>
      <c r="F9" s="14" t="s">
        <v>162</v>
      </c>
      <c r="G9" s="15" t="s">
        <v>4183</v>
      </c>
      <c r="H9" s="14" t="s">
        <v>126</v>
      </c>
      <c r="I9" s="14" t="s">
        <v>141</v>
      </c>
      <c r="J9" s="16" t="n">
        <v>46241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4184</v>
      </c>
      <c r="B10" s="14" t="s">
        <v>2488</v>
      </c>
      <c r="C10" s="14" t="s">
        <v>1274</v>
      </c>
      <c r="D10" s="15" t="s">
        <v>4185</v>
      </c>
      <c r="E10" s="14" t="s">
        <v>161</v>
      </c>
      <c r="F10" s="14" t="s">
        <v>181</v>
      </c>
      <c r="G10" s="15" t="s">
        <v>4186</v>
      </c>
      <c r="H10" s="14" t="s">
        <v>126</v>
      </c>
      <c r="I10" s="14" t="s">
        <v>141</v>
      </c>
      <c r="J10" s="16" t="n">
        <v>46241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4187</v>
      </c>
      <c r="B11" s="14" t="s">
        <v>1432</v>
      </c>
      <c r="C11" s="14" t="s">
        <v>1274</v>
      </c>
      <c r="D11" s="15" t="s">
        <v>4188</v>
      </c>
      <c r="E11" s="14" t="s">
        <v>161</v>
      </c>
      <c r="F11" s="14" t="s">
        <v>181</v>
      </c>
      <c r="G11" s="15" t="s">
        <v>4186</v>
      </c>
      <c r="H11" s="14" t="s">
        <v>126</v>
      </c>
      <c r="I11" s="14" t="s">
        <v>141</v>
      </c>
      <c r="J11" s="16" t="n">
        <v>46241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4189</v>
      </c>
      <c r="B12" s="14" t="s">
        <v>169</v>
      </c>
      <c r="C12" s="14" t="s">
        <v>2497</v>
      </c>
      <c r="D12" s="15" t="s">
        <v>4190</v>
      </c>
      <c r="E12" s="14" t="s">
        <v>161</v>
      </c>
      <c r="F12" s="14" t="s">
        <v>171</v>
      </c>
      <c r="G12" s="15" t="s">
        <v>4191</v>
      </c>
      <c r="H12" s="14" t="s">
        <v>126</v>
      </c>
      <c r="I12" s="14" t="s">
        <v>141</v>
      </c>
      <c r="J12" s="16" t="n">
        <v>46241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4192</v>
      </c>
      <c r="B13" s="14" t="s">
        <v>165</v>
      </c>
      <c r="C13" s="14" t="s">
        <v>1274</v>
      </c>
      <c r="D13" s="15" t="s">
        <v>4193</v>
      </c>
      <c r="E13" s="14" t="s">
        <v>161</v>
      </c>
      <c r="F13" s="14" t="s">
        <v>161</v>
      </c>
      <c r="G13" s="15" t="s">
        <v>167</v>
      </c>
      <c r="H13" s="14" t="s">
        <v>126</v>
      </c>
      <c r="I13" s="14" t="s">
        <v>141</v>
      </c>
      <c r="J13" s="16" t="n">
        <v>46241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4194</v>
      </c>
      <c r="B14" s="14" t="s">
        <v>4195</v>
      </c>
      <c r="C14" s="14" t="s">
        <v>4196</v>
      </c>
      <c r="D14" s="15" t="s">
        <v>4197</v>
      </c>
      <c r="E14" s="14" t="s">
        <v>161</v>
      </c>
      <c r="F14" s="14" t="s">
        <v>161</v>
      </c>
      <c r="G14" s="15" t="s">
        <v>4198</v>
      </c>
      <c r="H14" s="14" t="s">
        <v>126</v>
      </c>
      <c r="I14" s="14" t="s">
        <v>141</v>
      </c>
      <c r="J14" s="16" t="n">
        <v>46241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4199</v>
      </c>
      <c r="B15" s="14" t="s">
        <v>1665</v>
      </c>
      <c r="C15" s="14" t="s">
        <v>830</v>
      </c>
      <c r="D15" s="15" t="s">
        <v>4200</v>
      </c>
      <c r="E15" s="14" t="s">
        <v>161</v>
      </c>
      <c r="F15" s="14" t="s">
        <v>181</v>
      </c>
      <c r="G15" s="15" t="s">
        <v>4186</v>
      </c>
      <c r="H15" s="14" t="s">
        <v>126</v>
      </c>
      <c r="I15" s="14" t="s">
        <v>141</v>
      </c>
      <c r="J15" s="16" t="n">
        <v>46241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4201</v>
      </c>
      <c r="B16" s="14" t="s">
        <v>2670</v>
      </c>
      <c r="C16" s="14" t="s">
        <v>4202</v>
      </c>
      <c r="D16" s="15" t="s">
        <v>4203</v>
      </c>
      <c r="E16" s="14" t="s">
        <v>161</v>
      </c>
      <c r="F16" s="14" t="s">
        <v>186</v>
      </c>
      <c r="G16" s="15" t="s">
        <v>4204</v>
      </c>
      <c r="H16" s="14" t="s">
        <v>126</v>
      </c>
      <c r="I16" s="14" t="s">
        <v>141</v>
      </c>
      <c r="J16" s="16" t="n">
        <v>46241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4205</v>
      </c>
      <c r="B17" s="14" t="s">
        <v>4206</v>
      </c>
      <c r="C17" s="14" t="s">
        <v>4207</v>
      </c>
      <c r="D17" s="15" t="s">
        <v>4208</v>
      </c>
      <c r="E17" s="14" t="s">
        <v>161</v>
      </c>
      <c r="F17" s="14" t="s">
        <v>186</v>
      </c>
      <c r="G17" s="15" t="s">
        <v>4204</v>
      </c>
      <c r="H17" s="14" t="s">
        <v>126</v>
      </c>
      <c r="I17" s="14" t="s">
        <v>141</v>
      </c>
      <c r="J17" s="16" t="n">
        <v>46241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4209</v>
      </c>
      <c r="B18" s="14" t="s">
        <v>2007</v>
      </c>
      <c r="C18" s="14" t="s">
        <v>3650</v>
      </c>
      <c r="D18" s="15" t="s">
        <v>4210</v>
      </c>
      <c r="E18" s="14" t="s">
        <v>161</v>
      </c>
      <c r="F18" s="14" t="s">
        <v>186</v>
      </c>
      <c r="G18" s="15" t="s">
        <v>4204</v>
      </c>
      <c r="H18" s="14" t="s">
        <v>126</v>
      </c>
      <c r="I18" s="14" t="s">
        <v>141</v>
      </c>
      <c r="J18" s="16" t="n">
        <v>46241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4211</v>
      </c>
      <c r="B19" s="14" t="s">
        <v>2747</v>
      </c>
      <c r="C19" s="14" t="s">
        <v>2677</v>
      </c>
      <c r="D19" s="15" t="s">
        <v>4212</v>
      </c>
      <c r="E19" s="14" t="s">
        <v>161</v>
      </c>
      <c r="F19" s="14" t="s">
        <v>186</v>
      </c>
      <c r="G19" s="15" t="s">
        <v>4204</v>
      </c>
      <c r="H19" s="14" t="s">
        <v>126</v>
      </c>
      <c r="I19" s="14" t="s">
        <v>141</v>
      </c>
      <c r="J19" s="16" t="n">
        <v>46241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4213</v>
      </c>
      <c r="B20" s="14" t="s">
        <v>4214</v>
      </c>
      <c r="C20" s="14" t="s">
        <v>4215</v>
      </c>
      <c r="D20" s="15" t="s">
        <v>4216</v>
      </c>
      <c r="E20" s="14" t="s">
        <v>161</v>
      </c>
      <c r="F20" s="14" t="s">
        <v>186</v>
      </c>
      <c r="G20" s="15" t="s">
        <v>4204</v>
      </c>
      <c r="H20" s="14" t="s">
        <v>126</v>
      </c>
      <c r="I20" s="14" t="s">
        <v>141</v>
      </c>
      <c r="J20" s="16" t="n">
        <v>46241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4217</v>
      </c>
      <c r="B21" s="14" t="s">
        <v>189</v>
      </c>
      <c r="C21" s="14" t="s">
        <v>4218</v>
      </c>
      <c r="D21" s="15" t="s">
        <v>4219</v>
      </c>
      <c r="E21" s="14" t="s">
        <v>161</v>
      </c>
      <c r="F21" s="14" t="s">
        <v>181</v>
      </c>
      <c r="G21" s="15" t="s">
        <v>4186</v>
      </c>
      <c r="H21" s="14" t="s">
        <v>126</v>
      </c>
      <c r="I21" s="14" t="s">
        <v>141</v>
      </c>
      <c r="J21" s="16" t="n">
        <v>46241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4220</v>
      </c>
      <c r="B22" s="14" t="s">
        <v>189</v>
      </c>
      <c r="C22" s="14" t="s">
        <v>2670</v>
      </c>
      <c r="D22" s="15" t="s">
        <v>4221</v>
      </c>
      <c r="E22" s="14" t="s">
        <v>161</v>
      </c>
      <c r="F22" s="14" t="s">
        <v>186</v>
      </c>
      <c r="G22" s="15" t="s">
        <v>4204</v>
      </c>
      <c r="H22" s="14" t="s">
        <v>126</v>
      </c>
      <c r="I22" s="14" t="s">
        <v>141</v>
      </c>
      <c r="J22" s="16" t="n">
        <v>46241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4222</v>
      </c>
      <c r="B23" s="14" t="s">
        <v>189</v>
      </c>
      <c r="C23" s="14" t="s">
        <v>4223</v>
      </c>
      <c r="D23" s="15" t="s">
        <v>4224</v>
      </c>
      <c r="E23" s="14" t="s">
        <v>161</v>
      </c>
      <c r="F23" s="14" t="s">
        <v>186</v>
      </c>
      <c r="G23" s="15" t="s">
        <v>4204</v>
      </c>
      <c r="H23" s="14" t="s">
        <v>126</v>
      </c>
      <c r="I23" s="14" t="s">
        <v>141</v>
      </c>
      <c r="J23" s="16" t="n">
        <v>46241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4225</v>
      </c>
      <c r="B24" s="14" t="s">
        <v>1222</v>
      </c>
      <c r="C24" s="14" t="s">
        <v>830</v>
      </c>
      <c r="D24" s="15" t="s">
        <v>4226</v>
      </c>
      <c r="E24" s="14" t="s">
        <v>651</v>
      </c>
      <c r="F24" s="14" t="s">
        <v>196</v>
      </c>
      <c r="G24" s="15" t="s">
        <v>4227</v>
      </c>
      <c r="H24" s="14" t="s">
        <v>124</v>
      </c>
      <c r="I24" s="14" t="s">
        <v>140</v>
      </c>
      <c r="J24" s="16"/>
      <c r="K24" s="15"/>
      <c r="L24" s="14" t="n">
        <v>0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4" t="s">
        <v>4228</v>
      </c>
      <c r="B25" s="14" t="s">
        <v>4229</v>
      </c>
      <c r="C25" s="14" t="s">
        <v>830</v>
      </c>
      <c r="D25" s="15" t="s">
        <v>4230</v>
      </c>
      <c r="E25" s="14" t="s">
        <v>651</v>
      </c>
      <c r="F25" s="14" t="s">
        <v>196</v>
      </c>
      <c r="G25" s="15" t="s">
        <v>4227</v>
      </c>
      <c r="H25" s="14" t="s">
        <v>124</v>
      </c>
      <c r="I25" s="14" t="s">
        <v>140</v>
      </c>
      <c r="J25" s="16"/>
      <c r="K25" s="15"/>
      <c r="L25" s="14" t="n">
        <v>0</v>
      </c>
      <c r="M25" s="14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4" t="s">
        <v>4231</v>
      </c>
      <c r="B26" s="14" t="s">
        <v>94</v>
      </c>
      <c r="C26" s="14" t="s">
        <v>1274</v>
      </c>
      <c r="D26" s="15" t="s">
        <v>4232</v>
      </c>
      <c r="E26" s="14" t="s">
        <v>651</v>
      </c>
      <c r="F26" s="14" t="s">
        <v>196</v>
      </c>
      <c r="G26" s="15" t="s">
        <v>4227</v>
      </c>
      <c r="H26" s="14" t="s">
        <v>124</v>
      </c>
      <c r="I26" s="14" t="s">
        <v>140</v>
      </c>
      <c r="J26" s="16"/>
      <c r="K26" s="15"/>
      <c r="L26" s="14" t="n">
        <v>0</v>
      </c>
      <c r="M26" s="14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4" t="s">
        <v>4233</v>
      </c>
      <c r="B27" s="14" t="s">
        <v>2376</v>
      </c>
      <c r="C27" s="14" t="s">
        <v>1274</v>
      </c>
      <c r="D27" s="15" t="s">
        <v>4234</v>
      </c>
      <c r="E27" s="14" t="s">
        <v>202</v>
      </c>
      <c r="F27" s="14" t="s">
        <v>202</v>
      </c>
      <c r="G27" s="15" t="s">
        <v>4235</v>
      </c>
      <c r="H27" s="14" t="s">
        <v>120</v>
      </c>
      <c r="I27" s="14" t="s">
        <v>140</v>
      </c>
      <c r="J27" s="16"/>
      <c r="K27" s="15"/>
      <c r="L27" s="14" t="n">
        <v>0</v>
      </c>
      <c r="M27" s="14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4" t="s">
        <v>4236</v>
      </c>
      <c r="B28" s="14" t="s">
        <v>1319</v>
      </c>
      <c r="C28" s="14" t="s">
        <v>1274</v>
      </c>
      <c r="D28" s="15" t="s">
        <v>4237</v>
      </c>
      <c r="E28" s="14" t="s">
        <v>202</v>
      </c>
      <c r="F28" s="14" t="s">
        <v>202</v>
      </c>
      <c r="G28" s="15" t="s">
        <v>4235</v>
      </c>
      <c r="H28" s="14" t="s">
        <v>120</v>
      </c>
      <c r="I28" s="14" t="s">
        <v>140</v>
      </c>
      <c r="J28" s="16"/>
      <c r="K28" s="15"/>
      <c r="L28" s="14" t="n">
        <v>0</v>
      </c>
      <c r="M28" s="14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4" t="s">
        <v>4238</v>
      </c>
      <c r="B29" s="14" t="s">
        <v>4239</v>
      </c>
      <c r="C29" s="14" t="s">
        <v>1274</v>
      </c>
      <c r="D29" s="15" t="s">
        <v>4240</v>
      </c>
      <c r="E29" s="14" t="s">
        <v>202</v>
      </c>
      <c r="F29" s="14" t="s">
        <v>202</v>
      </c>
      <c r="G29" s="15" t="s">
        <v>4235</v>
      </c>
      <c r="H29" s="14" t="s">
        <v>120</v>
      </c>
      <c r="I29" s="14" t="s">
        <v>140</v>
      </c>
      <c r="J29" s="16"/>
      <c r="K29" s="15"/>
      <c r="L29" s="14" t="n">
        <v>0</v>
      </c>
      <c r="M29" s="14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4" t="s">
        <v>4241</v>
      </c>
      <c r="B30" s="14" t="s">
        <v>4242</v>
      </c>
      <c r="C30" s="14" t="s">
        <v>2670</v>
      </c>
      <c r="D30" s="15" t="s">
        <v>4243</v>
      </c>
      <c r="E30" s="14" t="s">
        <v>202</v>
      </c>
      <c r="F30" s="14" t="s">
        <v>202</v>
      </c>
      <c r="G30" s="15" t="s">
        <v>4235</v>
      </c>
      <c r="H30" s="14" t="s">
        <v>120</v>
      </c>
      <c r="I30" s="14" t="s">
        <v>140</v>
      </c>
      <c r="J30" s="16"/>
      <c r="K30" s="15"/>
      <c r="L30" s="14" t="n">
        <v>0</v>
      </c>
      <c r="M30" s="14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4" t="s">
        <v>4244</v>
      </c>
      <c r="B31" s="14" t="s">
        <v>4245</v>
      </c>
      <c r="C31" s="14" t="s">
        <v>1274</v>
      </c>
      <c r="D31" s="15" t="s">
        <v>4246</v>
      </c>
      <c r="E31" s="14" t="s">
        <v>202</v>
      </c>
      <c r="F31" s="14" t="s">
        <v>202</v>
      </c>
      <c r="G31" s="15" t="s">
        <v>4235</v>
      </c>
      <c r="H31" s="14" t="s">
        <v>120</v>
      </c>
      <c r="I31" s="14" t="s">
        <v>140</v>
      </c>
      <c r="J31" s="16"/>
      <c r="K31" s="15"/>
      <c r="L31" s="14" t="n">
        <v>0</v>
      </c>
      <c r="M31" s="14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4" t="s">
        <v>4247</v>
      </c>
      <c r="B32" s="14" t="s">
        <v>4248</v>
      </c>
      <c r="C32" s="14" t="s">
        <v>2007</v>
      </c>
      <c r="D32" s="15" t="s">
        <v>4249</v>
      </c>
      <c r="E32" s="14" t="s">
        <v>161</v>
      </c>
      <c r="F32" s="14" t="s">
        <v>2701</v>
      </c>
      <c r="G32" s="15" t="s">
        <v>4250</v>
      </c>
      <c r="H32" s="14" t="s">
        <v>126</v>
      </c>
      <c r="I32" s="14" t="s">
        <v>141</v>
      </c>
      <c r="J32" s="16" t="n">
        <v>46241</v>
      </c>
      <c r="K32" s="15"/>
      <c r="L32" s="14" t="n">
        <v>1</v>
      </c>
      <c r="M32" s="14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4" t="s">
        <v>4251</v>
      </c>
      <c r="B33" s="14" t="s">
        <v>227</v>
      </c>
      <c r="C33" s="14" t="s">
        <v>209</v>
      </c>
      <c r="D33" s="15" t="s">
        <v>4252</v>
      </c>
      <c r="E33" s="14" t="s">
        <v>229</v>
      </c>
      <c r="F33" s="14" t="s">
        <v>229</v>
      </c>
      <c r="G33" s="15" t="s">
        <v>4253</v>
      </c>
      <c r="H33" s="14" t="s">
        <v>124</v>
      </c>
      <c r="I33" s="14" t="s">
        <v>141</v>
      </c>
      <c r="J33" s="16"/>
      <c r="K33" s="15"/>
      <c r="L33" s="14" t="n">
        <v>0</v>
      </c>
      <c r="M33" s="14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4255</v>
      </c>
      <c r="B9" s="14" t="s">
        <v>158</v>
      </c>
      <c r="C9" s="14" t="s">
        <v>1649</v>
      </c>
      <c r="D9" s="15" t="s">
        <v>4256</v>
      </c>
      <c r="E9" s="14" t="s">
        <v>161</v>
      </c>
      <c r="F9" s="14" t="s">
        <v>162</v>
      </c>
      <c r="G9" s="15" t="s">
        <v>4257</v>
      </c>
      <c r="H9" s="14" t="s">
        <v>126</v>
      </c>
      <c r="I9" s="14" t="s">
        <v>141</v>
      </c>
      <c r="J9" s="16" t="n">
        <v>46244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4258</v>
      </c>
      <c r="B10" s="14" t="s">
        <v>1432</v>
      </c>
      <c r="C10" s="14" t="s">
        <v>1649</v>
      </c>
      <c r="D10" s="15" t="s">
        <v>4259</v>
      </c>
      <c r="E10" s="14" t="s">
        <v>161</v>
      </c>
      <c r="F10" s="14" t="s">
        <v>181</v>
      </c>
      <c r="G10" s="15" t="s">
        <v>4260</v>
      </c>
      <c r="H10" s="14" t="s">
        <v>126</v>
      </c>
      <c r="I10" s="14" t="s">
        <v>141</v>
      </c>
      <c r="J10" s="16" t="n">
        <v>46244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4261</v>
      </c>
      <c r="B11" s="14" t="s">
        <v>165</v>
      </c>
      <c r="C11" s="14" t="s">
        <v>93</v>
      </c>
      <c r="D11" s="15" t="s">
        <v>4262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46244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4263</v>
      </c>
      <c r="B12" s="14" t="s">
        <v>169</v>
      </c>
      <c r="C12" s="14" t="s">
        <v>1649</v>
      </c>
      <c r="D12" s="15" t="s">
        <v>4264</v>
      </c>
      <c r="E12" s="14" t="s">
        <v>161</v>
      </c>
      <c r="F12" s="14" t="s">
        <v>171</v>
      </c>
      <c r="G12" s="15" t="s">
        <v>4265</v>
      </c>
      <c r="H12" s="14" t="s">
        <v>126</v>
      </c>
      <c r="I12" s="14" t="s">
        <v>141</v>
      </c>
      <c r="J12" s="16" t="n">
        <v>46244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4266</v>
      </c>
      <c r="B13" s="14" t="s">
        <v>174</v>
      </c>
      <c r="C13" s="14" t="s">
        <v>1649</v>
      </c>
      <c r="D13" s="15" t="s">
        <v>4267</v>
      </c>
      <c r="E13" s="14" t="s">
        <v>161</v>
      </c>
      <c r="F13" s="14" t="s">
        <v>176</v>
      </c>
      <c r="G13" s="15" t="s">
        <v>4268</v>
      </c>
      <c r="H13" s="14" t="s">
        <v>126</v>
      </c>
      <c r="I13" s="14" t="s">
        <v>141</v>
      </c>
      <c r="J13" s="16" t="n">
        <v>46244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4269</v>
      </c>
      <c r="B14" s="14" t="s">
        <v>179</v>
      </c>
      <c r="C14" s="14" t="s">
        <v>1649</v>
      </c>
      <c r="D14" s="15" t="s">
        <v>4270</v>
      </c>
      <c r="E14" s="14" t="s">
        <v>161</v>
      </c>
      <c r="F14" s="14" t="s">
        <v>181</v>
      </c>
      <c r="G14" s="15" t="s">
        <v>4260</v>
      </c>
      <c r="H14" s="14" t="s">
        <v>126</v>
      </c>
      <c r="I14" s="14" t="s">
        <v>141</v>
      </c>
      <c r="J14" s="16" t="n">
        <v>46244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4271</v>
      </c>
      <c r="B15" s="14" t="s">
        <v>184</v>
      </c>
      <c r="C15" s="14" t="s">
        <v>1649</v>
      </c>
      <c r="D15" s="15" t="s">
        <v>4272</v>
      </c>
      <c r="E15" s="14" t="s">
        <v>161</v>
      </c>
      <c r="F15" s="14" t="s">
        <v>186</v>
      </c>
      <c r="G15" s="15" t="s">
        <v>4273</v>
      </c>
      <c r="H15" s="14" t="s">
        <v>126</v>
      </c>
      <c r="I15" s="14" t="s">
        <v>141</v>
      </c>
      <c r="J15" s="16" t="n">
        <v>46244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4274</v>
      </c>
      <c r="B16" s="14" t="s">
        <v>4229</v>
      </c>
      <c r="C16" s="14" t="s">
        <v>933</v>
      </c>
      <c r="D16" s="15" t="s">
        <v>4275</v>
      </c>
      <c r="E16" s="14" t="s">
        <v>161</v>
      </c>
      <c r="F16" s="14" t="s">
        <v>196</v>
      </c>
      <c r="G16" s="15" t="s">
        <v>4276</v>
      </c>
      <c r="H16" s="14" t="s">
        <v>128</v>
      </c>
      <c r="I16" s="14" t="s">
        <v>140</v>
      </c>
      <c r="J16" s="16" t="n">
        <v>46244</v>
      </c>
      <c r="K16" s="15" t="s">
        <v>4277</v>
      </c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4278</v>
      </c>
      <c r="B17" s="14" t="s">
        <v>209</v>
      </c>
      <c r="C17" s="14" t="s">
        <v>933</v>
      </c>
      <c r="D17" s="15" t="s">
        <v>4279</v>
      </c>
      <c r="E17" s="14" t="s">
        <v>161</v>
      </c>
      <c r="F17" s="14" t="s">
        <v>186</v>
      </c>
      <c r="G17" s="15" t="s">
        <v>4273</v>
      </c>
      <c r="H17" s="14" t="s">
        <v>126</v>
      </c>
      <c r="I17" s="14" t="s">
        <v>141</v>
      </c>
      <c r="J17" s="16" t="n">
        <v>46244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4280</v>
      </c>
      <c r="B18" s="14" t="s">
        <v>189</v>
      </c>
      <c r="C18" s="14" t="s">
        <v>1649</v>
      </c>
      <c r="D18" s="15" t="s">
        <v>4281</v>
      </c>
      <c r="E18" s="14" t="s">
        <v>161</v>
      </c>
      <c r="F18" s="14" t="s">
        <v>191</v>
      </c>
      <c r="G18" s="15" t="s">
        <v>4273</v>
      </c>
      <c r="H18" s="14" t="s">
        <v>126</v>
      </c>
      <c r="I18" s="14" t="s">
        <v>141</v>
      </c>
      <c r="J18" s="16" t="n">
        <v>46244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4282</v>
      </c>
      <c r="B19" s="14" t="s">
        <v>200</v>
      </c>
      <c r="C19" s="14" t="s">
        <v>1649</v>
      </c>
      <c r="D19" s="15" t="s">
        <v>4283</v>
      </c>
      <c r="E19" s="14" t="s">
        <v>161</v>
      </c>
      <c r="F19" s="14" t="s">
        <v>202</v>
      </c>
      <c r="G19" s="15" t="s">
        <v>4284</v>
      </c>
      <c r="H19" s="14" t="s">
        <v>124</v>
      </c>
      <c r="I19" s="14" t="s">
        <v>140</v>
      </c>
      <c r="J19" s="16"/>
      <c r="K19" s="15" t="s">
        <v>4285</v>
      </c>
      <c r="L19" s="14" t="n">
        <v>1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4286</v>
      </c>
      <c r="B20" s="14" t="s">
        <v>214</v>
      </c>
      <c r="C20" s="14" t="s">
        <v>93</v>
      </c>
      <c r="D20" s="15" t="s">
        <v>4287</v>
      </c>
      <c r="E20" s="14" t="s">
        <v>161</v>
      </c>
      <c r="F20" s="14" t="s">
        <v>202</v>
      </c>
      <c r="G20" s="15" t="s">
        <v>4284</v>
      </c>
      <c r="H20" s="14" t="s">
        <v>124</v>
      </c>
      <c r="I20" s="14" t="s">
        <v>140</v>
      </c>
      <c r="J20" s="16"/>
      <c r="K20" s="15" t="s">
        <v>4288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4289</v>
      </c>
      <c r="B21" s="14" t="s">
        <v>218</v>
      </c>
      <c r="C21" s="14" t="s">
        <v>93</v>
      </c>
      <c r="D21" s="15" t="s">
        <v>4290</v>
      </c>
      <c r="E21" s="14" t="s">
        <v>161</v>
      </c>
      <c r="F21" s="14" t="s">
        <v>220</v>
      </c>
      <c r="G21" s="15" t="s">
        <v>4291</v>
      </c>
      <c r="H21" s="14" t="s">
        <v>126</v>
      </c>
      <c r="I21" s="14" t="s">
        <v>141</v>
      </c>
      <c r="J21" s="16" t="n">
        <v>46244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4292</v>
      </c>
      <c r="B22" s="14" t="s">
        <v>223</v>
      </c>
      <c r="C22" s="14" t="s">
        <v>93</v>
      </c>
      <c r="D22" s="15" t="s">
        <v>4293</v>
      </c>
      <c r="E22" s="14" t="s">
        <v>161</v>
      </c>
      <c r="F22" s="14" t="s">
        <v>220</v>
      </c>
      <c r="G22" s="15" t="s">
        <v>4294</v>
      </c>
      <c r="H22" s="14" t="s">
        <v>126</v>
      </c>
      <c r="I22" s="14" t="s">
        <v>141</v>
      </c>
      <c r="J22" s="16" t="n">
        <v>46244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4295</v>
      </c>
      <c r="B23" s="14" t="s">
        <v>227</v>
      </c>
      <c r="C23" s="14" t="s">
        <v>93</v>
      </c>
      <c r="D23" s="15" t="s">
        <v>4296</v>
      </c>
      <c r="E23" s="14" t="s">
        <v>229</v>
      </c>
      <c r="F23" s="14" t="s">
        <v>229</v>
      </c>
      <c r="G23" s="15" t="s">
        <v>4297</v>
      </c>
      <c r="H23" s="14" t="s">
        <v>126</v>
      </c>
      <c r="I23" s="14" t="s">
        <v>141</v>
      </c>
      <c r="J23" s="16" t="n">
        <v>46244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4298</v>
      </c>
      <c r="B24" s="14" t="s">
        <v>232</v>
      </c>
      <c r="C24" s="14" t="s">
        <v>93</v>
      </c>
      <c r="D24" s="15" t="s">
        <v>4299</v>
      </c>
      <c r="E24" s="14" t="s">
        <v>161</v>
      </c>
      <c r="F24" s="14" t="s">
        <v>161</v>
      </c>
      <c r="G24" s="15" t="s">
        <v>601</v>
      </c>
      <c r="H24" s="14" t="s">
        <v>124</v>
      </c>
      <c r="I24" s="14" t="s">
        <v>140</v>
      </c>
      <c r="J24" s="16" t="n">
        <v>46244</v>
      </c>
      <c r="K24" s="15" t="s">
        <v>852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4302</v>
      </c>
      <c r="B9" s="14" t="s">
        <v>158</v>
      </c>
      <c r="C9" s="14" t="s">
        <v>2795</v>
      </c>
      <c r="D9" s="15" t="s">
        <v>4303</v>
      </c>
      <c r="E9" s="14" t="s">
        <v>161</v>
      </c>
      <c r="F9" s="14" t="s">
        <v>162</v>
      </c>
      <c r="G9" s="15" t="s">
        <v>4304</v>
      </c>
      <c r="H9" s="14" t="s">
        <v>126</v>
      </c>
      <c r="I9" s="14" t="s">
        <v>141</v>
      </c>
      <c r="J9" s="16" t="n">
        <v>46257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4305</v>
      </c>
      <c r="B10" s="14" t="s">
        <v>165</v>
      </c>
      <c r="C10" s="14" t="s">
        <v>94</v>
      </c>
      <c r="D10" s="15" t="s">
        <v>4306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46257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4307</v>
      </c>
      <c r="B11" s="14" t="s">
        <v>169</v>
      </c>
      <c r="C11" s="14" t="s">
        <v>2497</v>
      </c>
      <c r="D11" s="15" t="s">
        <v>4308</v>
      </c>
      <c r="E11" s="14" t="s">
        <v>161</v>
      </c>
      <c r="F11" s="14" t="s">
        <v>171</v>
      </c>
      <c r="G11" s="15" t="s">
        <v>4309</v>
      </c>
      <c r="H11" s="14" t="s">
        <v>126</v>
      </c>
      <c r="I11" s="14" t="s">
        <v>141</v>
      </c>
      <c r="J11" s="16" t="n">
        <v>46257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4310</v>
      </c>
      <c r="B12" s="14" t="s">
        <v>174</v>
      </c>
      <c r="C12" s="14" t="s">
        <v>2795</v>
      </c>
      <c r="D12" s="15" t="s">
        <v>4311</v>
      </c>
      <c r="E12" s="14" t="s">
        <v>161</v>
      </c>
      <c r="F12" s="14" t="s">
        <v>176</v>
      </c>
      <c r="G12" s="15" t="s">
        <v>4312</v>
      </c>
      <c r="H12" s="14" t="s">
        <v>126</v>
      </c>
      <c r="I12" s="14" t="s">
        <v>141</v>
      </c>
      <c r="J12" s="16" t="n">
        <v>46257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4313</v>
      </c>
      <c r="B13" s="14" t="s">
        <v>179</v>
      </c>
      <c r="C13" s="14" t="s">
        <v>2795</v>
      </c>
      <c r="D13" s="15" t="s">
        <v>4314</v>
      </c>
      <c r="E13" s="14" t="s">
        <v>161</v>
      </c>
      <c r="F13" s="14" t="s">
        <v>181</v>
      </c>
      <c r="G13" s="15" t="s">
        <v>4315</v>
      </c>
      <c r="H13" s="14" t="s">
        <v>126</v>
      </c>
      <c r="I13" s="14" t="s">
        <v>141</v>
      </c>
      <c r="J13" s="16" t="n">
        <v>46257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4316</v>
      </c>
      <c r="B14" s="14" t="s">
        <v>184</v>
      </c>
      <c r="C14" s="14" t="s">
        <v>4317</v>
      </c>
      <c r="D14" s="15" t="s">
        <v>4318</v>
      </c>
      <c r="E14" s="14" t="s">
        <v>161</v>
      </c>
      <c r="F14" s="14" t="s">
        <v>186</v>
      </c>
      <c r="G14" s="15" t="s">
        <v>4319</v>
      </c>
      <c r="H14" s="14" t="s">
        <v>126</v>
      </c>
      <c r="I14" s="14" t="s">
        <v>141</v>
      </c>
      <c r="J14" s="16" t="n">
        <v>46257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4320</v>
      </c>
      <c r="B15" s="14" t="s">
        <v>4321</v>
      </c>
      <c r="C15" s="14" t="s">
        <v>4322</v>
      </c>
      <c r="D15" s="15" t="s">
        <v>4323</v>
      </c>
      <c r="E15" s="14" t="s">
        <v>161</v>
      </c>
      <c r="F15" s="14" t="s">
        <v>186</v>
      </c>
      <c r="G15" s="15" t="s">
        <v>4319</v>
      </c>
      <c r="H15" s="14" t="s">
        <v>126</v>
      </c>
      <c r="I15" s="14" t="s">
        <v>141</v>
      </c>
      <c r="J15" s="16" t="n">
        <v>46257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4324</v>
      </c>
      <c r="B16" s="14" t="s">
        <v>206</v>
      </c>
      <c r="C16" s="14" t="s">
        <v>4325</v>
      </c>
      <c r="D16" s="15" t="s">
        <v>4326</v>
      </c>
      <c r="E16" s="14" t="s">
        <v>161</v>
      </c>
      <c r="F16" s="14" t="s">
        <v>186</v>
      </c>
      <c r="G16" s="15" t="s">
        <v>4327</v>
      </c>
      <c r="H16" s="14" t="s">
        <v>126</v>
      </c>
      <c r="I16" s="14" t="s">
        <v>141</v>
      </c>
      <c r="J16" s="16" t="n">
        <v>46257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4328</v>
      </c>
      <c r="B17" s="14" t="s">
        <v>189</v>
      </c>
      <c r="C17" s="14" t="s">
        <v>2795</v>
      </c>
      <c r="D17" s="15" t="s">
        <v>4329</v>
      </c>
      <c r="E17" s="14" t="s">
        <v>161</v>
      </c>
      <c r="F17" s="14" t="s">
        <v>191</v>
      </c>
      <c r="G17" s="15" t="s">
        <v>4330</v>
      </c>
      <c r="H17" s="14" t="s">
        <v>126</v>
      </c>
      <c r="I17" s="14" t="s">
        <v>141</v>
      </c>
      <c r="J17" s="16" t="n">
        <v>46257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4331</v>
      </c>
      <c r="B18" s="14" t="s">
        <v>194</v>
      </c>
      <c r="C18" s="14" t="s">
        <v>4332</v>
      </c>
      <c r="D18" s="15" t="s">
        <v>4333</v>
      </c>
      <c r="E18" s="14" t="s">
        <v>161</v>
      </c>
      <c r="F18" s="14" t="s">
        <v>196</v>
      </c>
      <c r="G18" s="15" t="s">
        <v>4334</v>
      </c>
      <c r="H18" s="14" t="s">
        <v>124</v>
      </c>
      <c r="I18" s="14" t="s">
        <v>140</v>
      </c>
      <c r="J18" s="16"/>
      <c r="K18" s="15" t="s">
        <v>4335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4336</v>
      </c>
      <c r="B19" s="14" t="s">
        <v>200</v>
      </c>
      <c r="C19" s="14" t="s">
        <v>4332</v>
      </c>
      <c r="D19" s="15" t="s">
        <v>4337</v>
      </c>
      <c r="E19" s="14" t="s">
        <v>161</v>
      </c>
      <c r="F19" s="14" t="s">
        <v>202</v>
      </c>
      <c r="G19" s="15" t="s">
        <v>4338</v>
      </c>
      <c r="H19" s="14" t="s">
        <v>124</v>
      </c>
      <c r="I19" s="14" t="s">
        <v>140</v>
      </c>
      <c r="J19" s="16"/>
      <c r="K19" s="15" t="s">
        <v>4339</v>
      </c>
      <c r="L19" s="14" t="n">
        <v>1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4340</v>
      </c>
      <c r="B20" s="14" t="s">
        <v>214</v>
      </c>
      <c r="C20" s="14" t="s">
        <v>94</v>
      </c>
      <c r="D20" s="15" t="s">
        <v>4341</v>
      </c>
      <c r="E20" s="14" t="s">
        <v>161</v>
      </c>
      <c r="F20" s="14" t="s">
        <v>202</v>
      </c>
      <c r="G20" s="15" t="s">
        <v>4338</v>
      </c>
      <c r="H20" s="14" t="s">
        <v>124</v>
      </c>
      <c r="I20" s="14" t="s">
        <v>140</v>
      </c>
      <c r="J20" s="16"/>
      <c r="K20" s="15" t="s">
        <v>4288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4342</v>
      </c>
      <c r="B21" s="14" t="s">
        <v>218</v>
      </c>
      <c r="C21" s="14" t="s">
        <v>94</v>
      </c>
      <c r="D21" s="15" t="s">
        <v>4343</v>
      </c>
      <c r="E21" s="14" t="s">
        <v>161</v>
      </c>
      <c r="F21" s="14" t="s">
        <v>220</v>
      </c>
      <c r="G21" s="15" t="s">
        <v>4344</v>
      </c>
      <c r="H21" s="14" t="s">
        <v>126</v>
      </c>
      <c r="I21" s="14" t="s">
        <v>141</v>
      </c>
      <c r="J21" s="16" t="n">
        <v>46257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4345</v>
      </c>
      <c r="B22" s="14" t="s">
        <v>4248</v>
      </c>
      <c r="C22" s="14" t="s">
        <v>2007</v>
      </c>
      <c r="D22" s="15" t="s">
        <v>4346</v>
      </c>
      <c r="E22" s="14" t="s">
        <v>161</v>
      </c>
      <c r="F22" s="14" t="s">
        <v>2701</v>
      </c>
      <c r="G22" s="15" t="s">
        <v>4347</v>
      </c>
      <c r="H22" s="14" t="s">
        <v>126</v>
      </c>
      <c r="I22" s="14" t="s">
        <v>141</v>
      </c>
      <c r="J22" s="16" t="n">
        <v>46257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4348</v>
      </c>
      <c r="B23" s="14" t="s">
        <v>223</v>
      </c>
      <c r="C23" s="14" t="s">
        <v>94</v>
      </c>
      <c r="D23" s="15" t="s">
        <v>4349</v>
      </c>
      <c r="E23" s="14" t="s">
        <v>161</v>
      </c>
      <c r="F23" s="14" t="s">
        <v>220</v>
      </c>
      <c r="G23" s="15" t="s">
        <v>4350</v>
      </c>
      <c r="H23" s="14" t="s">
        <v>126</v>
      </c>
      <c r="I23" s="14" t="s">
        <v>141</v>
      </c>
      <c r="J23" s="16" t="n">
        <v>46257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4351</v>
      </c>
      <c r="B24" s="14" t="s">
        <v>227</v>
      </c>
      <c r="C24" s="14" t="s">
        <v>94</v>
      </c>
      <c r="D24" s="15" t="s">
        <v>4352</v>
      </c>
      <c r="E24" s="14" t="s">
        <v>229</v>
      </c>
      <c r="F24" s="14" t="s">
        <v>229</v>
      </c>
      <c r="G24" s="15" t="s">
        <v>4253</v>
      </c>
      <c r="H24" s="14" t="s">
        <v>132</v>
      </c>
      <c r="I24" s="14" t="s">
        <v>141</v>
      </c>
      <c r="J24" s="16"/>
      <c r="K24" s="15" t="s">
        <v>4353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4354</v>
      </c>
      <c r="B25" s="14" t="s">
        <v>232</v>
      </c>
      <c r="C25" s="14" t="s">
        <v>94</v>
      </c>
      <c r="D25" s="15" t="s">
        <v>4355</v>
      </c>
      <c r="E25" s="14" t="s">
        <v>161</v>
      </c>
      <c r="F25" s="14" t="s">
        <v>161</v>
      </c>
      <c r="G25" s="15" t="s">
        <v>4356</v>
      </c>
      <c r="H25" s="14" t="s">
        <v>124</v>
      </c>
      <c r="I25" s="14" t="s">
        <v>140</v>
      </c>
      <c r="J25" s="16"/>
      <c r="K25" s="15" t="s">
        <v>852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4359</v>
      </c>
      <c r="B9" s="14" t="s">
        <v>158</v>
      </c>
      <c r="C9" s="14" t="s">
        <v>95</v>
      </c>
      <c r="D9" s="15" t="s">
        <v>4360</v>
      </c>
      <c r="E9" s="14" t="s">
        <v>161</v>
      </c>
      <c r="F9" s="14" t="s">
        <v>162</v>
      </c>
      <c r="G9" s="15" t="s">
        <v>4361</v>
      </c>
      <c r="H9" s="14" t="s">
        <v>126</v>
      </c>
      <c r="I9" s="14" t="s">
        <v>141</v>
      </c>
      <c r="J9" s="16" t="n">
        <v>46257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4362</v>
      </c>
      <c r="B10" s="14" t="s">
        <v>165</v>
      </c>
      <c r="C10" s="14" t="s">
        <v>95</v>
      </c>
      <c r="D10" s="15" t="s">
        <v>4363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46257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4364</v>
      </c>
      <c r="B11" s="14" t="s">
        <v>169</v>
      </c>
      <c r="C11" s="14" t="s">
        <v>2497</v>
      </c>
      <c r="D11" s="15" t="s">
        <v>4365</v>
      </c>
      <c r="E11" s="14" t="s">
        <v>161</v>
      </c>
      <c r="F11" s="14" t="s">
        <v>171</v>
      </c>
      <c r="G11" s="15" t="s">
        <v>4366</v>
      </c>
      <c r="H11" s="14" t="s">
        <v>126</v>
      </c>
      <c r="I11" s="14" t="s">
        <v>141</v>
      </c>
      <c r="J11" s="16" t="n">
        <v>46257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4367</v>
      </c>
      <c r="B12" s="14" t="s">
        <v>174</v>
      </c>
      <c r="C12" s="14" t="s">
        <v>95</v>
      </c>
      <c r="D12" s="15" t="s">
        <v>4368</v>
      </c>
      <c r="E12" s="14" t="s">
        <v>161</v>
      </c>
      <c r="F12" s="14" t="s">
        <v>176</v>
      </c>
      <c r="G12" s="15" t="s">
        <v>4369</v>
      </c>
      <c r="H12" s="14" t="s">
        <v>126</v>
      </c>
      <c r="I12" s="14" t="s">
        <v>141</v>
      </c>
      <c r="J12" s="16" t="n">
        <v>46257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4370</v>
      </c>
      <c r="B13" s="14" t="s">
        <v>179</v>
      </c>
      <c r="C13" s="14" t="s">
        <v>95</v>
      </c>
      <c r="D13" s="15" t="s">
        <v>4371</v>
      </c>
      <c r="E13" s="14" t="s">
        <v>161</v>
      </c>
      <c r="F13" s="14" t="s">
        <v>181</v>
      </c>
      <c r="G13" s="15" t="s">
        <v>4372</v>
      </c>
      <c r="H13" s="14" t="s">
        <v>126</v>
      </c>
      <c r="I13" s="14" t="s">
        <v>141</v>
      </c>
      <c r="J13" s="16" t="n">
        <v>46257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4373</v>
      </c>
      <c r="B14" s="14" t="s">
        <v>184</v>
      </c>
      <c r="C14" s="14" t="s">
        <v>3662</v>
      </c>
      <c r="D14" s="15" t="s">
        <v>4374</v>
      </c>
      <c r="E14" s="14" t="s">
        <v>161</v>
      </c>
      <c r="F14" s="14" t="s">
        <v>186</v>
      </c>
      <c r="G14" s="15" t="s">
        <v>4375</v>
      </c>
      <c r="H14" s="14" t="s">
        <v>126</v>
      </c>
      <c r="I14" s="14" t="s">
        <v>141</v>
      </c>
      <c r="J14" s="16" t="n">
        <v>46257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4376</v>
      </c>
      <c r="B15" s="14" t="s">
        <v>209</v>
      </c>
      <c r="C15" s="14" t="s">
        <v>4377</v>
      </c>
      <c r="D15" s="15" t="s">
        <v>4378</v>
      </c>
      <c r="E15" s="14" t="s">
        <v>161</v>
      </c>
      <c r="F15" s="14" t="s">
        <v>186</v>
      </c>
      <c r="G15" s="15" t="s">
        <v>4375</v>
      </c>
      <c r="H15" s="14" t="s">
        <v>126</v>
      </c>
      <c r="I15" s="14" t="s">
        <v>141</v>
      </c>
      <c r="J15" s="16" t="n">
        <v>46257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4379</v>
      </c>
      <c r="B16" s="14" t="s">
        <v>4380</v>
      </c>
      <c r="C16" s="14" t="s">
        <v>95</v>
      </c>
      <c r="D16" s="15" t="s">
        <v>4381</v>
      </c>
      <c r="E16" s="14" t="s">
        <v>161</v>
      </c>
      <c r="F16" s="14" t="s">
        <v>186</v>
      </c>
      <c r="G16" s="15" t="s">
        <v>4375</v>
      </c>
      <c r="H16" s="14" t="s">
        <v>126</v>
      </c>
      <c r="I16" s="14" t="s">
        <v>141</v>
      </c>
      <c r="J16" s="16" t="n">
        <v>46257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4382</v>
      </c>
      <c r="B17" s="14" t="s">
        <v>189</v>
      </c>
      <c r="C17" s="14" t="s">
        <v>95</v>
      </c>
      <c r="D17" s="15" t="s">
        <v>4383</v>
      </c>
      <c r="E17" s="14" t="s">
        <v>161</v>
      </c>
      <c r="F17" s="14" t="s">
        <v>191</v>
      </c>
      <c r="G17" s="15" t="s">
        <v>4375</v>
      </c>
      <c r="H17" s="14" t="s">
        <v>126</v>
      </c>
      <c r="I17" s="14" t="s">
        <v>141</v>
      </c>
      <c r="J17" s="16" t="n">
        <v>46257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4384</v>
      </c>
      <c r="B18" s="14" t="s">
        <v>194</v>
      </c>
      <c r="C18" s="14" t="s">
        <v>3662</v>
      </c>
      <c r="D18" s="15" t="s">
        <v>4385</v>
      </c>
      <c r="E18" s="14" t="s">
        <v>161</v>
      </c>
      <c r="F18" s="14" t="s">
        <v>196</v>
      </c>
      <c r="G18" s="15" t="s">
        <v>4386</v>
      </c>
      <c r="H18" s="14" t="s">
        <v>124</v>
      </c>
      <c r="I18" s="14" t="s">
        <v>140</v>
      </c>
      <c r="J18" s="16"/>
      <c r="K18" s="15" t="s">
        <v>4335</v>
      </c>
      <c r="L18" s="14" t="n">
        <v>1</v>
      </c>
      <c r="M18" s="14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4" t="s">
        <v>4387</v>
      </c>
      <c r="B19" s="14" t="s">
        <v>200</v>
      </c>
      <c r="C19" s="14" t="s">
        <v>95</v>
      </c>
      <c r="D19" s="15" t="s">
        <v>4388</v>
      </c>
      <c r="E19" s="14" t="s">
        <v>161</v>
      </c>
      <c r="F19" s="14" t="s">
        <v>202</v>
      </c>
      <c r="G19" s="15" t="s">
        <v>4389</v>
      </c>
      <c r="H19" s="14" t="s">
        <v>124</v>
      </c>
      <c r="I19" s="14" t="s">
        <v>140</v>
      </c>
      <c r="J19" s="16"/>
      <c r="K19" s="15" t="s">
        <v>4390</v>
      </c>
      <c r="L19" s="14" t="n">
        <v>1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4391</v>
      </c>
      <c r="B20" s="14" t="s">
        <v>214</v>
      </c>
      <c r="C20" s="14" t="s">
        <v>95</v>
      </c>
      <c r="D20" s="15" t="s">
        <v>4392</v>
      </c>
      <c r="E20" s="14" t="s">
        <v>161</v>
      </c>
      <c r="F20" s="14" t="s">
        <v>202</v>
      </c>
      <c r="G20" s="15" t="s">
        <v>4389</v>
      </c>
      <c r="H20" s="14" t="s">
        <v>124</v>
      </c>
      <c r="I20" s="14" t="s">
        <v>140</v>
      </c>
      <c r="J20" s="16"/>
      <c r="K20" s="15" t="s">
        <v>4288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4393</v>
      </c>
      <c r="B21" s="14" t="s">
        <v>218</v>
      </c>
      <c r="C21" s="14" t="s">
        <v>95</v>
      </c>
      <c r="D21" s="15" t="s">
        <v>4394</v>
      </c>
      <c r="E21" s="14" t="s">
        <v>161</v>
      </c>
      <c r="F21" s="14" t="s">
        <v>220</v>
      </c>
      <c r="G21" s="15" t="s">
        <v>4395</v>
      </c>
      <c r="H21" s="14" t="s">
        <v>126</v>
      </c>
      <c r="I21" s="14" t="s">
        <v>141</v>
      </c>
      <c r="J21" s="16" t="n">
        <v>46257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4396</v>
      </c>
      <c r="B22" s="14" t="s">
        <v>223</v>
      </c>
      <c r="C22" s="14" t="s">
        <v>95</v>
      </c>
      <c r="D22" s="15" t="s">
        <v>4397</v>
      </c>
      <c r="E22" s="14" t="s">
        <v>161</v>
      </c>
      <c r="F22" s="14" t="s">
        <v>220</v>
      </c>
      <c r="G22" s="15" t="s">
        <v>4398</v>
      </c>
      <c r="H22" s="14" t="s">
        <v>126</v>
      </c>
      <c r="I22" s="14" t="s">
        <v>141</v>
      </c>
      <c r="J22" s="16" t="n">
        <v>46257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4399</v>
      </c>
      <c r="B23" s="14" t="s">
        <v>227</v>
      </c>
      <c r="C23" s="14" t="s">
        <v>95</v>
      </c>
      <c r="D23" s="15" t="s">
        <v>4400</v>
      </c>
      <c r="E23" s="14" t="s">
        <v>229</v>
      </c>
      <c r="F23" s="14" t="s">
        <v>229</v>
      </c>
      <c r="G23" s="15" t="s">
        <v>4253</v>
      </c>
      <c r="H23" s="14" t="s">
        <v>132</v>
      </c>
      <c r="I23" s="14" t="s">
        <v>141</v>
      </c>
      <c r="J23" s="16"/>
      <c r="K23" s="15" t="s">
        <v>4401</v>
      </c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4402</v>
      </c>
      <c r="B24" s="14" t="s">
        <v>232</v>
      </c>
      <c r="C24" s="14" t="s">
        <v>95</v>
      </c>
      <c r="D24" s="15" t="s">
        <v>4403</v>
      </c>
      <c r="E24" s="14" t="s">
        <v>161</v>
      </c>
      <c r="F24" s="14" t="s">
        <v>161</v>
      </c>
      <c r="G24" s="15" t="s">
        <v>4356</v>
      </c>
      <c r="H24" s="14" t="s">
        <v>124</v>
      </c>
      <c r="I24" s="14" t="s">
        <v>140</v>
      </c>
      <c r="J24" s="16"/>
      <c r="K24" s="15" t="s">
        <v>852</v>
      </c>
      <c r="L24" s="14" t="n">
        <v>1</v>
      </c>
      <c r="M24" s="14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144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4406</v>
      </c>
      <c r="B9" s="14" t="s">
        <v>158</v>
      </c>
      <c r="C9" s="14" t="s">
        <v>96</v>
      </c>
      <c r="D9" s="15" t="s">
        <v>4407</v>
      </c>
      <c r="E9" s="14" t="s">
        <v>161</v>
      </c>
      <c r="F9" s="14" t="s">
        <v>162</v>
      </c>
      <c r="G9" s="15" t="s">
        <v>4408</v>
      </c>
      <c r="H9" s="14" t="s">
        <v>126</v>
      </c>
      <c r="I9" s="14" t="s">
        <v>141</v>
      </c>
      <c r="J9" s="16" t="n">
        <v>46257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4409</v>
      </c>
      <c r="B10" s="14" t="s">
        <v>165</v>
      </c>
      <c r="C10" s="14" t="s">
        <v>96</v>
      </c>
      <c r="D10" s="15" t="s">
        <v>4410</v>
      </c>
      <c r="E10" s="14" t="s">
        <v>161</v>
      </c>
      <c r="F10" s="14" t="s">
        <v>161</v>
      </c>
      <c r="G10" s="15" t="s">
        <v>609</v>
      </c>
      <c r="H10" s="14" t="s">
        <v>126</v>
      </c>
      <c r="I10" s="14" t="s">
        <v>141</v>
      </c>
      <c r="J10" s="16" t="n">
        <v>46257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4411</v>
      </c>
      <c r="B11" s="14" t="s">
        <v>169</v>
      </c>
      <c r="C11" s="14" t="s">
        <v>2497</v>
      </c>
      <c r="D11" s="15" t="s">
        <v>4412</v>
      </c>
      <c r="E11" s="14" t="s">
        <v>161</v>
      </c>
      <c r="F11" s="14" t="s">
        <v>171</v>
      </c>
      <c r="G11" s="15" t="s">
        <v>4413</v>
      </c>
      <c r="H11" s="14" t="s">
        <v>126</v>
      </c>
      <c r="I11" s="14" t="s">
        <v>141</v>
      </c>
      <c r="J11" s="16" t="n">
        <v>46257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4414</v>
      </c>
      <c r="B12" s="14" t="s">
        <v>174</v>
      </c>
      <c r="C12" s="14" t="s">
        <v>4415</v>
      </c>
      <c r="D12" s="15" t="s">
        <v>4416</v>
      </c>
      <c r="E12" s="14" t="s">
        <v>161</v>
      </c>
      <c r="F12" s="14" t="s">
        <v>176</v>
      </c>
      <c r="G12" s="15" t="s">
        <v>4417</v>
      </c>
      <c r="H12" s="14" t="s">
        <v>126</v>
      </c>
      <c r="I12" s="14" t="s">
        <v>141</v>
      </c>
      <c r="J12" s="16" t="n">
        <v>46257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4418</v>
      </c>
      <c r="B13" s="14" t="s">
        <v>179</v>
      </c>
      <c r="C13" s="14" t="s">
        <v>96</v>
      </c>
      <c r="D13" s="15" t="s">
        <v>4419</v>
      </c>
      <c r="E13" s="14" t="s">
        <v>161</v>
      </c>
      <c r="F13" s="14" t="s">
        <v>181</v>
      </c>
      <c r="G13" s="15" t="s">
        <v>4420</v>
      </c>
      <c r="H13" s="14" t="s">
        <v>126</v>
      </c>
      <c r="I13" s="14" t="s">
        <v>141</v>
      </c>
      <c r="J13" s="16" t="n">
        <v>46257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4421</v>
      </c>
      <c r="B14" s="14" t="s">
        <v>184</v>
      </c>
      <c r="C14" s="14" t="s">
        <v>4422</v>
      </c>
      <c r="D14" s="15" t="s">
        <v>4423</v>
      </c>
      <c r="E14" s="14" t="s">
        <v>161</v>
      </c>
      <c r="F14" s="14" t="s">
        <v>186</v>
      </c>
      <c r="G14" s="15" t="s">
        <v>4424</v>
      </c>
      <c r="H14" s="14" t="s">
        <v>126</v>
      </c>
      <c r="I14" s="14" t="s">
        <v>141</v>
      </c>
      <c r="J14" s="16" t="n">
        <v>46257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4425</v>
      </c>
      <c r="B15" s="14" t="s">
        <v>200</v>
      </c>
      <c r="C15" s="14" t="s">
        <v>4415</v>
      </c>
      <c r="D15" s="15" t="s">
        <v>4426</v>
      </c>
      <c r="E15" s="14" t="s">
        <v>161</v>
      </c>
      <c r="F15" s="14" t="s">
        <v>186</v>
      </c>
      <c r="G15" s="15" t="s">
        <v>4424</v>
      </c>
      <c r="H15" s="14" t="s">
        <v>126</v>
      </c>
      <c r="I15" s="14" t="s">
        <v>141</v>
      </c>
      <c r="J15" s="16" t="n">
        <v>46257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4427</v>
      </c>
      <c r="B16" s="14" t="s">
        <v>4428</v>
      </c>
      <c r="C16" s="14" t="s">
        <v>96</v>
      </c>
      <c r="D16" s="15" t="s">
        <v>4429</v>
      </c>
      <c r="E16" s="14" t="s">
        <v>161</v>
      </c>
      <c r="F16" s="14" t="s">
        <v>186</v>
      </c>
      <c r="G16" s="15" t="s">
        <v>4424</v>
      </c>
      <c r="H16" s="14" t="s">
        <v>126</v>
      </c>
      <c r="I16" s="14" t="s">
        <v>141</v>
      </c>
      <c r="J16" s="16" t="n">
        <v>46257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4430</v>
      </c>
      <c r="B17" s="14" t="s">
        <v>209</v>
      </c>
      <c r="C17" s="14" t="s">
        <v>4431</v>
      </c>
      <c r="D17" s="15" t="s">
        <v>4432</v>
      </c>
      <c r="E17" s="14" t="s">
        <v>161</v>
      </c>
      <c r="F17" s="14" t="s">
        <v>186</v>
      </c>
      <c r="G17" s="15" t="s">
        <v>4433</v>
      </c>
      <c r="H17" s="14" t="s">
        <v>126</v>
      </c>
      <c r="I17" s="14" t="s">
        <v>141</v>
      </c>
      <c r="J17" s="16" t="n">
        <v>46257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4434</v>
      </c>
      <c r="B18" s="14" t="s">
        <v>189</v>
      </c>
      <c r="C18" s="14" t="s">
        <v>96</v>
      </c>
      <c r="D18" s="15" t="s">
        <v>4435</v>
      </c>
      <c r="E18" s="14" t="s">
        <v>161</v>
      </c>
      <c r="F18" s="14" t="s">
        <v>191</v>
      </c>
      <c r="G18" s="15" t="s">
        <v>4424</v>
      </c>
      <c r="H18" s="14" t="s">
        <v>126</v>
      </c>
      <c r="I18" s="14" t="s">
        <v>141</v>
      </c>
      <c r="J18" s="16" t="n">
        <v>46257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4436</v>
      </c>
      <c r="B19" s="14" t="s">
        <v>194</v>
      </c>
      <c r="C19" s="14" t="s">
        <v>4415</v>
      </c>
      <c r="D19" s="15" t="s">
        <v>4437</v>
      </c>
      <c r="E19" s="14" t="s">
        <v>161</v>
      </c>
      <c r="F19" s="14" t="s">
        <v>196</v>
      </c>
      <c r="G19" s="15" t="s">
        <v>4438</v>
      </c>
      <c r="H19" s="14" t="s">
        <v>124</v>
      </c>
      <c r="I19" s="14" t="s">
        <v>140</v>
      </c>
      <c r="J19" s="16"/>
      <c r="K19" s="15" t="s">
        <v>4335</v>
      </c>
      <c r="L19" s="14" t="n">
        <v>1</v>
      </c>
      <c r="M19" s="14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4" t="s">
        <v>4439</v>
      </c>
      <c r="B20" s="14" t="s">
        <v>214</v>
      </c>
      <c r="C20" s="14" t="s">
        <v>96</v>
      </c>
      <c r="D20" s="15" t="s">
        <v>4440</v>
      </c>
      <c r="E20" s="14" t="s">
        <v>161</v>
      </c>
      <c r="F20" s="14" t="s">
        <v>202</v>
      </c>
      <c r="G20" s="15" t="s">
        <v>4441</v>
      </c>
      <c r="H20" s="14" t="s">
        <v>124</v>
      </c>
      <c r="I20" s="14" t="s">
        <v>140</v>
      </c>
      <c r="J20" s="16"/>
      <c r="K20" s="15" t="s">
        <v>4288</v>
      </c>
      <c r="L20" s="14" t="n">
        <v>1</v>
      </c>
      <c r="M20" s="14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4" t="s">
        <v>4442</v>
      </c>
      <c r="B21" s="14" t="s">
        <v>218</v>
      </c>
      <c r="C21" s="14" t="s">
        <v>96</v>
      </c>
      <c r="D21" s="15" t="s">
        <v>4443</v>
      </c>
      <c r="E21" s="14" t="s">
        <v>161</v>
      </c>
      <c r="F21" s="14" t="s">
        <v>220</v>
      </c>
      <c r="G21" s="15" t="s">
        <v>4444</v>
      </c>
      <c r="H21" s="14" t="s">
        <v>126</v>
      </c>
      <c r="I21" s="14" t="s">
        <v>141</v>
      </c>
      <c r="J21" s="16" t="n">
        <v>46257</v>
      </c>
      <c r="K21" s="15"/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4445</v>
      </c>
      <c r="B22" s="14" t="s">
        <v>4248</v>
      </c>
      <c r="C22" s="14" t="s">
        <v>2007</v>
      </c>
      <c r="D22" s="15" t="s">
        <v>4446</v>
      </c>
      <c r="E22" s="14" t="s">
        <v>161</v>
      </c>
      <c r="F22" s="14" t="s">
        <v>2701</v>
      </c>
      <c r="G22" s="15" t="s">
        <v>4447</v>
      </c>
      <c r="H22" s="14" t="s">
        <v>126</v>
      </c>
      <c r="I22" s="14" t="s">
        <v>141</v>
      </c>
      <c r="J22" s="16" t="n">
        <v>46257</v>
      </c>
      <c r="K22" s="15"/>
      <c r="L22" s="14" t="n">
        <v>1</v>
      </c>
      <c r="M22" s="14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4" t="s">
        <v>4448</v>
      </c>
      <c r="B23" s="14" t="s">
        <v>223</v>
      </c>
      <c r="C23" s="14" t="s">
        <v>96</v>
      </c>
      <c r="D23" s="15" t="s">
        <v>4449</v>
      </c>
      <c r="E23" s="14" t="s">
        <v>161</v>
      </c>
      <c r="F23" s="14" t="s">
        <v>220</v>
      </c>
      <c r="G23" s="15" t="s">
        <v>4450</v>
      </c>
      <c r="H23" s="14" t="s">
        <v>126</v>
      </c>
      <c r="I23" s="14" t="s">
        <v>141</v>
      </c>
      <c r="J23" s="16" t="n">
        <v>46257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4451</v>
      </c>
      <c r="B24" s="14" t="s">
        <v>227</v>
      </c>
      <c r="C24" s="14" t="s">
        <v>96</v>
      </c>
      <c r="D24" s="15" t="s">
        <v>4452</v>
      </c>
      <c r="E24" s="14" t="s">
        <v>229</v>
      </c>
      <c r="F24" s="14" t="s">
        <v>229</v>
      </c>
      <c r="G24" s="15" t="s">
        <v>4253</v>
      </c>
      <c r="H24" s="14" t="s">
        <v>132</v>
      </c>
      <c r="I24" s="14" t="s">
        <v>141</v>
      </c>
      <c r="J24" s="16"/>
      <c r="K24" s="15" t="s">
        <v>4453</v>
      </c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4454</v>
      </c>
      <c r="B25" s="14" t="s">
        <v>232</v>
      </c>
      <c r="C25" s="14" t="s">
        <v>96</v>
      </c>
      <c r="D25" s="15" t="s">
        <v>4403</v>
      </c>
      <c r="E25" s="14" t="s">
        <v>161</v>
      </c>
      <c r="F25" s="14" t="s">
        <v>161</v>
      </c>
      <c r="G25" s="15" t="s">
        <v>4356</v>
      </c>
      <c r="H25" s="14" t="s">
        <v>124</v>
      </c>
      <c r="I25" s="14" t="s">
        <v>140</v>
      </c>
      <c r="J25" s="16"/>
      <c r="K25" s="15" t="s">
        <v>852</v>
      </c>
      <c r="L25" s="14" t="n">
        <v>1</v>
      </c>
      <c r="M25" s="14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144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54" hidden="false" customHeight="true" outlineLevel="0" collapsed="false">
      <c r="A9" s="14" t="s">
        <v>4457</v>
      </c>
      <c r="B9" s="14" t="s">
        <v>118</v>
      </c>
      <c r="C9" s="14" t="s">
        <v>1274</v>
      </c>
      <c r="D9" s="15" t="s">
        <v>4458</v>
      </c>
      <c r="E9" s="14" t="s">
        <v>161</v>
      </c>
      <c r="F9" s="14" t="s">
        <v>162</v>
      </c>
      <c r="G9" s="15" t="s">
        <v>4459</v>
      </c>
      <c r="H9" s="14" t="s">
        <v>126</v>
      </c>
      <c r="I9" s="14" t="s">
        <v>141</v>
      </c>
      <c r="J9" s="16" t="n">
        <v>46257</v>
      </c>
      <c r="K9" s="15"/>
      <c r="L9" s="14" t="n">
        <v>1</v>
      </c>
      <c r="M9" s="14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4" t="s">
        <v>4460</v>
      </c>
      <c r="B10" s="14" t="s">
        <v>1432</v>
      </c>
      <c r="C10" s="14" t="s">
        <v>1274</v>
      </c>
      <c r="D10" s="15" t="s">
        <v>4461</v>
      </c>
      <c r="E10" s="14" t="s">
        <v>161</v>
      </c>
      <c r="F10" s="14" t="s">
        <v>181</v>
      </c>
      <c r="G10" s="15" t="s">
        <v>4462</v>
      </c>
      <c r="H10" s="14" t="s">
        <v>126</v>
      </c>
      <c r="I10" s="14" t="s">
        <v>141</v>
      </c>
      <c r="J10" s="16" t="n">
        <v>46257</v>
      </c>
      <c r="K10" s="15"/>
      <c r="L10" s="14" t="n">
        <v>1</v>
      </c>
      <c r="M10" s="14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4" t="s">
        <v>4463</v>
      </c>
      <c r="B11" s="14" t="s">
        <v>165</v>
      </c>
      <c r="C11" s="14" t="s">
        <v>1274</v>
      </c>
      <c r="D11" s="15" t="s">
        <v>4464</v>
      </c>
      <c r="E11" s="14" t="s">
        <v>161</v>
      </c>
      <c r="F11" s="14" t="s">
        <v>161</v>
      </c>
      <c r="G11" s="15" t="s">
        <v>167</v>
      </c>
      <c r="H11" s="14" t="s">
        <v>126</v>
      </c>
      <c r="I11" s="14" t="s">
        <v>141</v>
      </c>
      <c r="J11" s="16" t="n">
        <v>46257</v>
      </c>
      <c r="K11" s="15"/>
      <c r="L11" s="14" t="n">
        <v>1</v>
      </c>
      <c r="M11" s="14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4" t="s">
        <v>4465</v>
      </c>
      <c r="B12" s="14" t="s">
        <v>169</v>
      </c>
      <c r="C12" s="14" t="s">
        <v>2497</v>
      </c>
      <c r="D12" s="15" t="s">
        <v>4466</v>
      </c>
      <c r="E12" s="14" t="s">
        <v>161</v>
      </c>
      <c r="F12" s="14" t="s">
        <v>171</v>
      </c>
      <c r="G12" s="15" t="s">
        <v>4467</v>
      </c>
      <c r="H12" s="14" t="s">
        <v>126</v>
      </c>
      <c r="I12" s="14" t="s">
        <v>141</v>
      </c>
      <c r="J12" s="16" t="n">
        <v>46257</v>
      </c>
      <c r="K12" s="15"/>
      <c r="L12" s="14" t="n">
        <v>1</v>
      </c>
      <c r="M12" s="14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4" t="s">
        <v>4468</v>
      </c>
      <c r="B13" s="14" t="s">
        <v>174</v>
      </c>
      <c r="C13" s="14" t="s">
        <v>1274</v>
      </c>
      <c r="D13" s="15" t="s">
        <v>4469</v>
      </c>
      <c r="E13" s="14" t="s">
        <v>161</v>
      </c>
      <c r="F13" s="14" t="s">
        <v>176</v>
      </c>
      <c r="G13" s="15" t="s">
        <v>4470</v>
      </c>
      <c r="H13" s="14" t="s">
        <v>126</v>
      </c>
      <c r="I13" s="14" t="s">
        <v>141</v>
      </c>
      <c r="J13" s="16" t="n">
        <v>46257</v>
      </c>
      <c r="K13" s="15"/>
      <c r="L13" s="14" t="n">
        <v>1</v>
      </c>
      <c r="M13" s="14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4" t="s">
        <v>4471</v>
      </c>
      <c r="B14" s="14" t="s">
        <v>179</v>
      </c>
      <c r="C14" s="14" t="s">
        <v>1274</v>
      </c>
      <c r="D14" s="15" t="s">
        <v>4472</v>
      </c>
      <c r="E14" s="14" t="s">
        <v>161</v>
      </c>
      <c r="F14" s="14" t="s">
        <v>181</v>
      </c>
      <c r="G14" s="15" t="s">
        <v>4462</v>
      </c>
      <c r="H14" s="14" t="s">
        <v>126</v>
      </c>
      <c r="I14" s="14" t="s">
        <v>141</v>
      </c>
      <c r="J14" s="16" t="n">
        <v>46257</v>
      </c>
      <c r="K14" s="15"/>
      <c r="L14" s="14" t="n">
        <v>1</v>
      </c>
      <c r="M14" s="14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4" t="s">
        <v>4473</v>
      </c>
      <c r="B15" s="14" t="s">
        <v>4474</v>
      </c>
      <c r="C15" s="14" t="s">
        <v>4475</v>
      </c>
      <c r="D15" s="15" t="s">
        <v>4476</v>
      </c>
      <c r="E15" s="14" t="s">
        <v>161</v>
      </c>
      <c r="F15" s="14" t="s">
        <v>186</v>
      </c>
      <c r="G15" s="15" t="s">
        <v>4477</v>
      </c>
      <c r="H15" s="14" t="s">
        <v>126</v>
      </c>
      <c r="I15" s="14" t="s">
        <v>141</v>
      </c>
      <c r="J15" s="16" t="n">
        <v>46257</v>
      </c>
      <c r="K15" s="15"/>
      <c r="L15" s="14" t="n">
        <v>1</v>
      </c>
      <c r="M15" s="14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4" t="s">
        <v>4478</v>
      </c>
      <c r="B16" s="14" t="s">
        <v>1672</v>
      </c>
      <c r="C16" s="14" t="s">
        <v>4479</v>
      </c>
      <c r="D16" s="15" t="s">
        <v>4480</v>
      </c>
      <c r="E16" s="14" t="s">
        <v>161</v>
      </c>
      <c r="F16" s="14" t="s">
        <v>186</v>
      </c>
      <c r="G16" s="15" t="s">
        <v>4477</v>
      </c>
      <c r="H16" s="14" t="s">
        <v>126</v>
      </c>
      <c r="I16" s="14" t="s">
        <v>141</v>
      </c>
      <c r="J16" s="16" t="n">
        <v>46257</v>
      </c>
      <c r="K16" s="15"/>
      <c r="L16" s="14" t="n">
        <v>1</v>
      </c>
      <c r="M16" s="14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4" t="s">
        <v>4481</v>
      </c>
      <c r="B17" s="14" t="s">
        <v>4482</v>
      </c>
      <c r="C17" s="14" t="s">
        <v>4479</v>
      </c>
      <c r="D17" s="15" t="s">
        <v>4483</v>
      </c>
      <c r="E17" s="14" t="s">
        <v>161</v>
      </c>
      <c r="F17" s="14" t="s">
        <v>186</v>
      </c>
      <c r="G17" s="15" t="s">
        <v>4477</v>
      </c>
      <c r="H17" s="14" t="s">
        <v>126</v>
      </c>
      <c r="I17" s="14" t="s">
        <v>141</v>
      </c>
      <c r="J17" s="16" t="n">
        <v>46257</v>
      </c>
      <c r="K17" s="15"/>
      <c r="L17" s="14" t="n">
        <v>1</v>
      </c>
      <c r="M17" s="14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4" t="s">
        <v>4484</v>
      </c>
      <c r="B18" s="14" t="s">
        <v>1383</v>
      </c>
      <c r="C18" s="14" t="s">
        <v>933</v>
      </c>
      <c r="D18" s="15" t="s">
        <v>4485</v>
      </c>
      <c r="E18" s="14" t="s">
        <v>161</v>
      </c>
      <c r="F18" s="14" t="s">
        <v>186</v>
      </c>
      <c r="G18" s="15" t="s">
        <v>4477</v>
      </c>
      <c r="H18" s="14" t="s">
        <v>126</v>
      </c>
      <c r="I18" s="14" t="s">
        <v>141</v>
      </c>
      <c r="J18" s="16" t="n">
        <v>46257</v>
      </c>
      <c r="K18" s="15"/>
      <c r="L18" s="14" t="n">
        <v>1</v>
      </c>
      <c r="M18" s="14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4" t="s">
        <v>4486</v>
      </c>
      <c r="B19" s="14" t="s">
        <v>1319</v>
      </c>
      <c r="C19" s="14" t="s">
        <v>1649</v>
      </c>
      <c r="D19" s="15" t="s">
        <v>4487</v>
      </c>
      <c r="E19" s="14" t="s">
        <v>161</v>
      </c>
      <c r="F19" s="14" t="s">
        <v>186</v>
      </c>
      <c r="G19" s="15" t="s">
        <v>4477</v>
      </c>
      <c r="H19" s="14" t="s">
        <v>126</v>
      </c>
      <c r="I19" s="14" t="s">
        <v>141</v>
      </c>
      <c r="J19" s="16" t="n">
        <v>46257</v>
      </c>
      <c r="K19" s="15"/>
      <c r="L19" s="14" t="n">
        <v>1</v>
      </c>
      <c r="M19" s="14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4" t="s">
        <v>4488</v>
      </c>
      <c r="B20" s="14" t="s">
        <v>189</v>
      </c>
      <c r="C20" s="14" t="s">
        <v>1274</v>
      </c>
      <c r="D20" s="15" t="s">
        <v>4489</v>
      </c>
      <c r="E20" s="14" t="s">
        <v>161</v>
      </c>
      <c r="F20" s="14" t="s">
        <v>191</v>
      </c>
      <c r="G20" s="15" t="s">
        <v>4477</v>
      </c>
      <c r="H20" s="14" t="s">
        <v>126</v>
      </c>
      <c r="I20" s="14" t="s">
        <v>141</v>
      </c>
      <c r="J20" s="16" t="n">
        <v>46257</v>
      </c>
      <c r="K20" s="15"/>
      <c r="L20" s="14" t="n">
        <v>1</v>
      </c>
      <c r="M20" s="14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4" t="s">
        <v>4490</v>
      </c>
      <c r="B21" s="14" t="s">
        <v>194</v>
      </c>
      <c r="C21" s="14" t="s">
        <v>1274</v>
      </c>
      <c r="D21" s="15" t="s">
        <v>4491</v>
      </c>
      <c r="E21" s="14" t="s">
        <v>161</v>
      </c>
      <c r="F21" s="14" t="s">
        <v>196</v>
      </c>
      <c r="G21" s="15" t="s">
        <v>4492</v>
      </c>
      <c r="H21" s="14" t="s">
        <v>128</v>
      </c>
      <c r="I21" s="14" t="s">
        <v>140</v>
      </c>
      <c r="J21" s="16" t="n">
        <v>46257</v>
      </c>
      <c r="K21" s="15" t="s">
        <v>4493</v>
      </c>
      <c r="L21" s="14" t="n">
        <v>1</v>
      </c>
      <c r="M21" s="14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4" t="s">
        <v>4494</v>
      </c>
      <c r="B22" s="14" t="s">
        <v>214</v>
      </c>
      <c r="C22" s="14" t="s">
        <v>4495</v>
      </c>
      <c r="D22" s="15" t="s">
        <v>4496</v>
      </c>
      <c r="E22" s="14" t="s">
        <v>161</v>
      </c>
      <c r="F22" s="14" t="s">
        <v>202</v>
      </c>
      <c r="G22" s="15" t="s">
        <v>4497</v>
      </c>
      <c r="H22" s="14" t="s">
        <v>124</v>
      </c>
      <c r="I22" s="14" t="s">
        <v>140</v>
      </c>
      <c r="J22" s="16"/>
      <c r="K22" s="15" t="s">
        <v>4498</v>
      </c>
      <c r="L22" s="14" t="n">
        <v>1</v>
      </c>
      <c r="M22" s="14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4" t="s">
        <v>4499</v>
      </c>
      <c r="B23" s="14" t="s">
        <v>218</v>
      </c>
      <c r="C23" s="14" t="s">
        <v>97</v>
      </c>
      <c r="D23" s="15" t="s">
        <v>4500</v>
      </c>
      <c r="E23" s="14" t="s">
        <v>161</v>
      </c>
      <c r="F23" s="14" t="s">
        <v>220</v>
      </c>
      <c r="G23" s="15" t="s">
        <v>4501</v>
      </c>
      <c r="H23" s="14" t="s">
        <v>126</v>
      </c>
      <c r="I23" s="14" t="s">
        <v>141</v>
      </c>
      <c r="J23" s="16" t="n">
        <v>46257</v>
      </c>
      <c r="K23" s="15"/>
      <c r="L23" s="14" t="n">
        <v>1</v>
      </c>
      <c r="M23" s="14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4" t="s">
        <v>4502</v>
      </c>
      <c r="B24" s="14" t="s">
        <v>4248</v>
      </c>
      <c r="C24" s="14" t="s">
        <v>2007</v>
      </c>
      <c r="D24" s="15" t="s">
        <v>4503</v>
      </c>
      <c r="E24" s="14" t="s">
        <v>161</v>
      </c>
      <c r="F24" s="14" t="s">
        <v>2701</v>
      </c>
      <c r="G24" s="15" t="s">
        <v>4504</v>
      </c>
      <c r="H24" s="14" t="s">
        <v>126</v>
      </c>
      <c r="I24" s="14" t="s">
        <v>141</v>
      </c>
      <c r="J24" s="16" t="n">
        <v>46257</v>
      </c>
      <c r="K24" s="15"/>
      <c r="L24" s="14" t="n">
        <v>1</v>
      </c>
      <c r="M24" s="14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4" t="s">
        <v>4505</v>
      </c>
      <c r="B25" s="14" t="s">
        <v>223</v>
      </c>
      <c r="C25" s="14" t="s">
        <v>97</v>
      </c>
      <c r="D25" s="15" t="s">
        <v>4506</v>
      </c>
      <c r="E25" s="14" t="s">
        <v>161</v>
      </c>
      <c r="F25" s="14" t="s">
        <v>220</v>
      </c>
      <c r="G25" s="15" t="s">
        <v>4507</v>
      </c>
      <c r="H25" s="14" t="s">
        <v>126</v>
      </c>
      <c r="I25" s="14" t="s">
        <v>141</v>
      </c>
      <c r="J25" s="16" t="n">
        <v>46257</v>
      </c>
      <c r="K25" s="15"/>
      <c r="L25" s="14" t="n">
        <v>1</v>
      </c>
      <c r="M25" s="14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4" t="s">
        <v>4508</v>
      </c>
      <c r="B26" s="14" t="s">
        <v>227</v>
      </c>
      <c r="C26" s="14" t="s">
        <v>209</v>
      </c>
      <c r="D26" s="15" t="s">
        <v>4509</v>
      </c>
      <c r="E26" s="14" t="s">
        <v>229</v>
      </c>
      <c r="F26" s="14" t="s">
        <v>229</v>
      </c>
      <c r="G26" s="15" t="s">
        <v>230</v>
      </c>
      <c r="H26" s="14" t="s">
        <v>126</v>
      </c>
      <c r="I26" s="14" t="s">
        <v>141</v>
      </c>
      <c r="J26" s="16" t="n">
        <v>46257</v>
      </c>
      <c r="K26" s="15"/>
      <c r="L26" s="14" t="n">
        <v>1</v>
      </c>
      <c r="M26" s="14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4" t="s">
        <v>4510</v>
      </c>
      <c r="B27" s="14" t="s">
        <v>232</v>
      </c>
      <c r="C27" s="14" t="s">
        <v>97</v>
      </c>
      <c r="D27" s="15" t="s">
        <v>4511</v>
      </c>
      <c r="E27" s="14" t="s">
        <v>161</v>
      </c>
      <c r="F27" s="14" t="s">
        <v>161</v>
      </c>
      <c r="G27" s="15" t="s">
        <v>601</v>
      </c>
      <c r="H27" s="14" t="s">
        <v>124</v>
      </c>
      <c r="I27" s="14" t="s">
        <v>140</v>
      </c>
      <c r="J27" s="16"/>
      <c r="K27" s="15" t="s">
        <v>4512</v>
      </c>
      <c r="L27" s="14" t="n">
        <v>1</v>
      </c>
      <c r="M27" s="14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144</v>
      </c>
      <c r="E4" s="6" t="n">
        <f aca="false">SUM(M9:M24)</f>
        <v>11</v>
      </c>
      <c r="G4" s="5" t="s">
        <v>14</v>
      </c>
      <c r="H4" s="7" t="n">
        <f aca="false">IF(B4=0,0,E4/B4)</f>
        <v>0.6875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146</v>
      </c>
      <c r="B8" s="1" t="s">
        <v>147</v>
      </c>
      <c r="C8" s="1" t="s">
        <v>148</v>
      </c>
      <c r="D8" s="1" t="s">
        <v>149</v>
      </c>
      <c r="E8" s="1" t="s">
        <v>150</v>
      </c>
      <c r="F8" s="1" t="s">
        <v>151</v>
      </c>
      <c r="G8" s="1" t="s">
        <v>152</v>
      </c>
      <c r="H8" s="1" t="s">
        <v>104</v>
      </c>
      <c r="I8" s="1" t="s">
        <v>153</v>
      </c>
      <c r="J8" s="12" t="s">
        <v>154</v>
      </c>
      <c r="K8" s="1" t="s">
        <v>155</v>
      </c>
      <c r="L8" s="1" t="s">
        <v>156</v>
      </c>
      <c r="M8" s="1" t="s">
        <v>144</v>
      </c>
    </row>
    <row r="9" customFormat="false" ht="42" hidden="false" customHeight="true" outlineLevel="0" collapsed="false">
      <c r="A9" s="1" t="s">
        <v>4515</v>
      </c>
      <c r="B9" s="1" t="s">
        <v>158</v>
      </c>
      <c r="C9" s="1" t="s">
        <v>4516</v>
      </c>
      <c r="D9" s="1" t="s">
        <v>4517</v>
      </c>
      <c r="E9" s="1" t="s">
        <v>161</v>
      </c>
      <c r="F9" s="1" t="s">
        <v>162</v>
      </c>
      <c r="G9" s="1" t="s">
        <v>4518</v>
      </c>
      <c r="H9" s="8" t="s">
        <v>126</v>
      </c>
      <c r="I9" s="8" t="s">
        <v>141</v>
      </c>
      <c r="J9" s="12" t="n">
        <v>46262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4519</v>
      </c>
      <c r="B10" s="1" t="s">
        <v>165</v>
      </c>
      <c r="C10" s="1" t="s">
        <v>4520</v>
      </c>
      <c r="D10" s="1" t="s">
        <v>4521</v>
      </c>
      <c r="E10" s="1" t="s">
        <v>161</v>
      </c>
      <c r="F10" s="1" t="s">
        <v>161</v>
      </c>
      <c r="G10" s="1" t="s">
        <v>167</v>
      </c>
      <c r="H10" s="8" t="s">
        <v>126</v>
      </c>
      <c r="I10" s="8" t="s">
        <v>141</v>
      </c>
      <c r="J10" s="12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4522</v>
      </c>
      <c r="B11" s="1" t="s">
        <v>169</v>
      </c>
      <c r="C11" s="1" t="s">
        <v>4516</v>
      </c>
      <c r="D11" s="1" t="s">
        <v>4523</v>
      </c>
      <c r="E11" s="1" t="s">
        <v>161</v>
      </c>
      <c r="F11" s="1" t="s">
        <v>171</v>
      </c>
      <c r="G11" s="1" t="s">
        <v>4524</v>
      </c>
      <c r="H11" s="8" t="s">
        <v>126</v>
      </c>
      <c r="I11" s="8" t="s">
        <v>141</v>
      </c>
      <c r="J11" s="12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4525</v>
      </c>
      <c r="B12" s="1" t="s">
        <v>174</v>
      </c>
      <c r="C12" s="1" t="s">
        <v>4516</v>
      </c>
      <c r="D12" s="1" t="s">
        <v>4526</v>
      </c>
      <c r="E12" s="1" t="s">
        <v>161</v>
      </c>
      <c r="F12" s="1" t="s">
        <v>176</v>
      </c>
      <c r="G12" s="1" t="s">
        <v>4527</v>
      </c>
      <c r="H12" s="8" t="s">
        <v>126</v>
      </c>
      <c r="I12" s="8" t="s">
        <v>141</v>
      </c>
      <c r="J12" s="12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4528</v>
      </c>
      <c r="B13" s="1" t="s">
        <v>179</v>
      </c>
      <c r="C13" s="1" t="s">
        <v>4516</v>
      </c>
      <c r="D13" s="1" t="s">
        <v>4529</v>
      </c>
      <c r="E13" s="1" t="s">
        <v>161</v>
      </c>
      <c r="F13" s="1" t="s">
        <v>181</v>
      </c>
      <c r="G13" s="1" t="s">
        <v>4530</v>
      </c>
      <c r="H13" s="8" t="s">
        <v>126</v>
      </c>
      <c r="I13" s="8" t="s">
        <v>141</v>
      </c>
      <c r="J13" s="12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4531</v>
      </c>
      <c r="B14" s="1" t="s">
        <v>184</v>
      </c>
      <c r="C14" s="1" t="s">
        <v>4516</v>
      </c>
      <c r="D14" s="1" t="s">
        <v>4532</v>
      </c>
      <c r="E14" s="1" t="s">
        <v>161</v>
      </c>
      <c r="F14" s="1" t="s">
        <v>186</v>
      </c>
      <c r="G14" s="1" t="s">
        <v>4533</v>
      </c>
      <c r="H14" s="8" t="s">
        <v>126</v>
      </c>
      <c r="I14" s="8" t="s">
        <v>141</v>
      </c>
      <c r="J14" s="12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4534</v>
      </c>
      <c r="B15" s="1" t="s">
        <v>189</v>
      </c>
      <c r="C15" s="1" t="s">
        <v>4516</v>
      </c>
      <c r="D15" s="1" t="s">
        <v>4535</v>
      </c>
      <c r="E15" s="1" t="s">
        <v>161</v>
      </c>
      <c r="F15" s="1" t="s">
        <v>191</v>
      </c>
      <c r="G15" s="1" t="s">
        <v>4533</v>
      </c>
      <c r="H15" s="8" t="s">
        <v>126</v>
      </c>
      <c r="I15" s="8" t="s">
        <v>141</v>
      </c>
      <c r="J15" s="12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4536</v>
      </c>
      <c r="B16" s="1" t="s">
        <v>194</v>
      </c>
      <c r="C16" s="1" t="s">
        <v>4516</v>
      </c>
      <c r="D16" s="1" t="s">
        <v>4537</v>
      </c>
      <c r="E16" s="1" t="s">
        <v>161</v>
      </c>
      <c r="F16" s="1" t="s">
        <v>196</v>
      </c>
      <c r="G16" s="1" t="s">
        <v>4538</v>
      </c>
      <c r="H16" s="8" t="s">
        <v>126</v>
      </c>
      <c r="I16" s="8" t="s">
        <v>140</v>
      </c>
      <c r="J16" s="12" t="n">
        <v>46262</v>
      </c>
      <c r="K16" s="1" t="s">
        <v>2687</v>
      </c>
      <c r="L16" s="1" t="n">
        <v>1</v>
      </c>
      <c r="M16" s="1" t="n">
        <f aca="false">IF(OR(AND(I16="yes",H16="verified"),AND(I16="no",OR(H16="tested",H16="verified")),AND(H16="not applicable",K16&lt;&gt;"")),1,0)</f>
        <v>0</v>
      </c>
    </row>
    <row r="17" customFormat="false" ht="42" hidden="false" customHeight="true" outlineLevel="0" collapsed="false">
      <c r="A17" s="1" t="s">
        <v>4539</v>
      </c>
      <c r="B17" s="1" t="s">
        <v>200</v>
      </c>
      <c r="C17" s="1" t="s">
        <v>4516</v>
      </c>
      <c r="D17" s="1" t="s">
        <v>4540</v>
      </c>
      <c r="E17" s="1" t="s">
        <v>161</v>
      </c>
      <c r="F17" s="1" t="s">
        <v>202</v>
      </c>
      <c r="G17" s="1" t="s">
        <v>4541</v>
      </c>
      <c r="H17" s="8" t="s">
        <v>120</v>
      </c>
      <c r="I17" s="8" t="s">
        <v>140</v>
      </c>
      <c r="K17" s="1" t="s">
        <v>4542</v>
      </c>
      <c r="L17" s="1" t="n">
        <v>1</v>
      </c>
      <c r="M17" s="1" t="n">
        <f aca="false">IF(OR(AND(I17="yes",H17="verified"),AND(I17="no",OR(H17="tested",H17="verified")),AND(H17="not applicable",K17&lt;&gt;"")),1,0)</f>
        <v>0</v>
      </c>
    </row>
    <row r="18" customFormat="false" ht="42" hidden="false" customHeight="true" outlineLevel="0" collapsed="false">
      <c r="A18" s="1" t="s">
        <v>4543</v>
      </c>
      <c r="B18" s="1" t="s">
        <v>206</v>
      </c>
      <c r="C18" s="1" t="s">
        <v>4516</v>
      </c>
      <c r="D18" s="1" t="s">
        <v>4544</v>
      </c>
      <c r="E18" s="1" t="s">
        <v>161</v>
      </c>
      <c r="F18" s="1" t="s">
        <v>202</v>
      </c>
      <c r="G18" s="1" t="s">
        <v>4541</v>
      </c>
      <c r="H18" s="8" t="s">
        <v>120</v>
      </c>
      <c r="I18" s="8" t="s">
        <v>140</v>
      </c>
      <c r="K18" s="1" t="s">
        <v>4542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2" hidden="false" customHeight="true" outlineLevel="0" collapsed="false">
      <c r="A19" s="1" t="s">
        <v>4545</v>
      </c>
      <c r="B19" s="1" t="s">
        <v>209</v>
      </c>
      <c r="C19" s="1" t="s">
        <v>4516</v>
      </c>
      <c r="D19" s="1" t="s">
        <v>4546</v>
      </c>
      <c r="E19" s="1" t="s">
        <v>161</v>
      </c>
      <c r="F19" s="1" t="s">
        <v>202</v>
      </c>
      <c r="G19" s="1" t="s">
        <v>4547</v>
      </c>
      <c r="H19" s="8" t="s">
        <v>126</v>
      </c>
      <c r="I19" s="8" t="s">
        <v>140</v>
      </c>
      <c r="J19" s="12" t="n">
        <v>46262</v>
      </c>
      <c r="K19" s="1" t="s">
        <v>4548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2" hidden="false" customHeight="true" outlineLevel="0" collapsed="false">
      <c r="A20" s="1" t="s">
        <v>4549</v>
      </c>
      <c r="B20" s="1" t="s">
        <v>214</v>
      </c>
      <c r="C20" s="1" t="s">
        <v>4516</v>
      </c>
      <c r="D20" s="1" t="s">
        <v>4550</v>
      </c>
      <c r="E20" s="1" t="s">
        <v>161</v>
      </c>
      <c r="F20" s="1" t="s">
        <v>202</v>
      </c>
      <c r="G20" s="1" t="s">
        <v>4541</v>
      </c>
      <c r="H20" s="8" t="s">
        <v>120</v>
      </c>
      <c r="I20" s="8" t="s">
        <v>140</v>
      </c>
      <c r="K20" s="1" t="s">
        <v>4551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2" hidden="false" customHeight="true" outlineLevel="0" collapsed="false">
      <c r="A21" s="1" t="s">
        <v>4552</v>
      </c>
      <c r="B21" s="1" t="s">
        <v>218</v>
      </c>
      <c r="C21" s="1" t="s">
        <v>4520</v>
      </c>
      <c r="D21" s="1" t="s">
        <v>4553</v>
      </c>
      <c r="E21" s="1" t="s">
        <v>161</v>
      </c>
      <c r="F21" s="1" t="s">
        <v>220</v>
      </c>
      <c r="G21" s="1" t="s">
        <v>4554</v>
      </c>
      <c r="H21" s="8" t="s">
        <v>126</v>
      </c>
      <c r="I21" s="8" t="s">
        <v>141</v>
      </c>
      <c r="J21" s="12" t="n">
        <v>46262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4555</v>
      </c>
      <c r="B22" s="1" t="s">
        <v>223</v>
      </c>
      <c r="C22" s="1" t="s">
        <v>4520</v>
      </c>
      <c r="D22" s="1" t="s">
        <v>4556</v>
      </c>
      <c r="E22" s="1" t="s">
        <v>161</v>
      </c>
      <c r="F22" s="1" t="s">
        <v>220</v>
      </c>
      <c r="G22" s="1" t="s">
        <v>4557</v>
      </c>
      <c r="H22" s="8" t="s">
        <v>126</v>
      </c>
      <c r="I22" s="8" t="s">
        <v>141</v>
      </c>
      <c r="J22" s="12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4558</v>
      </c>
      <c r="B23" s="1" t="s">
        <v>227</v>
      </c>
      <c r="C23" s="1" t="s">
        <v>4520</v>
      </c>
      <c r="D23" s="1" t="s">
        <v>4559</v>
      </c>
      <c r="E23" s="1" t="s">
        <v>229</v>
      </c>
      <c r="F23" s="1" t="s">
        <v>229</v>
      </c>
      <c r="G23" s="1" t="s">
        <v>230</v>
      </c>
      <c r="H23" s="8" t="s">
        <v>126</v>
      </c>
      <c r="I23" s="8" t="s">
        <v>141</v>
      </c>
      <c r="J23" s="12" t="n">
        <v>46262</v>
      </c>
      <c r="K23" s="1" t="s">
        <v>4560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4561</v>
      </c>
      <c r="B24" s="1" t="s">
        <v>232</v>
      </c>
      <c r="C24" s="1" t="s">
        <v>4520</v>
      </c>
      <c r="D24" s="1" t="s">
        <v>4562</v>
      </c>
      <c r="E24" s="1" t="s">
        <v>161</v>
      </c>
      <c r="F24" s="1" t="s">
        <v>161</v>
      </c>
      <c r="G24" s="1" t="s">
        <v>234</v>
      </c>
      <c r="H24" s="8" t="s">
        <v>126</v>
      </c>
      <c r="I24" s="8" t="s">
        <v>141</v>
      </c>
      <c r="J24" s="12" t="n">
        <v>46262</v>
      </c>
      <c r="K24" s="1" t="s">
        <v>4563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8" hidden="false" customHeight="true" outlineLevel="0" collapsed="false">
      <c r="A9" s="1" t="s">
        <v>4566</v>
      </c>
      <c r="B9" s="1" t="s">
        <v>158</v>
      </c>
      <c r="C9" s="15" t="s">
        <v>100</v>
      </c>
      <c r="D9" s="15" t="s">
        <v>4567</v>
      </c>
      <c r="E9" s="1" t="s">
        <v>161</v>
      </c>
      <c r="F9" s="1" t="s">
        <v>162</v>
      </c>
      <c r="G9" s="15" t="s">
        <v>4568</v>
      </c>
      <c r="H9" s="8" t="s">
        <v>126</v>
      </c>
      <c r="I9" s="8" t="s">
        <v>141</v>
      </c>
      <c r="J9" s="12" t="n">
        <v>46262</v>
      </c>
      <c r="K9" s="15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4569</v>
      </c>
      <c r="B10" s="1" t="s">
        <v>1432</v>
      </c>
      <c r="C10" s="15" t="s">
        <v>100</v>
      </c>
      <c r="D10" s="15" t="s">
        <v>4570</v>
      </c>
      <c r="E10" s="1" t="s">
        <v>161</v>
      </c>
      <c r="F10" s="1" t="s">
        <v>181</v>
      </c>
      <c r="G10" s="15" t="s">
        <v>4571</v>
      </c>
      <c r="H10" s="8" t="s">
        <v>126</v>
      </c>
      <c r="I10" s="8" t="s">
        <v>141</v>
      </c>
      <c r="J10" s="12" t="n">
        <v>46262</v>
      </c>
      <c r="K10" s="15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4572</v>
      </c>
      <c r="B11" s="1" t="s">
        <v>165</v>
      </c>
      <c r="C11" s="15" t="s">
        <v>100</v>
      </c>
      <c r="D11" s="15" t="s">
        <v>4573</v>
      </c>
      <c r="E11" s="1" t="s">
        <v>161</v>
      </c>
      <c r="F11" s="1" t="s">
        <v>161</v>
      </c>
      <c r="G11" s="15" t="s">
        <v>167</v>
      </c>
      <c r="H11" s="8" t="s">
        <v>126</v>
      </c>
      <c r="I11" s="8" t="s">
        <v>141</v>
      </c>
      <c r="J11" s="12" t="n">
        <v>46262</v>
      </c>
      <c r="K11" s="15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4574</v>
      </c>
      <c r="B12" s="1" t="s">
        <v>169</v>
      </c>
      <c r="C12" s="15" t="s">
        <v>100</v>
      </c>
      <c r="D12" s="15" t="s">
        <v>4575</v>
      </c>
      <c r="E12" s="1" t="s">
        <v>161</v>
      </c>
      <c r="F12" s="1" t="s">
        <v>171</v>
      </c>
      <c r="G12" s="15" t="s">
        <v>4576</v>
      </c>
      <c r="H12" s="8" t="s">
        <v>126</v>
      </c>
      <c r="I12" s="8" t="s">
        <v>141</v>
      </c>
      <c r="J12" s="12" t="n">
        <v>46262</v>
      </c>
      <c r="K12" s="15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4577</v>
      </c>
      <c r="B13" s="1" t="s">
        <v>174</v>
      </c>
      <c r="C13" s="15" t="s">
        <v>100</v>
      </c>
      <c r="D13" s="15" t="s">
        <v>4578</v>
      </c>
      <c r="E13" s="1" t="s">
        <v>161</v>
      </c>
      <c r="F13" s="1" t="s">
        <v>176</v>
      </c>
      <c r="G13" s="15" t="s">
        <v>4579</v>
      </c>
      <c r="H13" s="8" t="s">
        <v>126</v>
      </c>
      <c r="I13" s="8" t="s">
        <v>141</v>
      </c>
      <c r="J13" s="12" t="n">
        <v>46262</v>
      </c>
      <c r="K13" s="15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4580</v>
      </c>
      <c r="B14" s="1" t="s">
        <v>4581</v>
      </c>
      <c r="C14" s="15" t="s">
        <v>100</v>
      </c>
      <c r="D14" s="15" t="s">
        <v>4582</v>
      </c>
      <c r="E14" s="1" t="s">
        <v>161</v>
      </c>
      <c r="F14" s="1" t="s">
        <v>181</v>
      </c>
      <c r="G14" s="15" t="s">
        <v>4571</v>
      </c>
      <c r="H14" s="8" t="s">
        <v>126</v>
      </c>
      <c r="I14" s="8" t="s">
        <v>141</v>
      </c>
      <c r="J14" s="12" t="n">
        <v>46262</v>
      </c>
      <c r="K14" s="15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4583</v>
      </c>
      <c r="B15" s="1" t="s">
        <v>200</v>
      </c>
      <c r="C15" s="15" t="s">
        <v>100</v>
      </c>
      <c r="D15" s="15" t="s">
        <v>4584</v>
      </c>
      <c r="E15" s="1" t="s">
        <v>161</v>
      </c>
      <c r="F15" s="1" t="s">
        <v>186</v>
      </c>
      <c r="G15" s="15" t="s">
        <v>4585</v>
      </c>
      <c r="H15" s="8" t="s">
        <v>126</v>
      </c>
      <c r="I15" s="8" t="s">
        <v>141</v>
      </c>
      <c r="J15" s="12" t="n">
        <v>46262</v>
      </c>
      <c r="K15" s="15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4586</v>
      </c>
      <c r="B16" s="1" t="s">
        <v>209</v>
      </c>
      <c r="C16" s="15" t="s">
        <v>100</v>
      </c>
      <c r="D16" s="15" t="s">
        <v>4587</v>
      </c>
      <c r="E16" s="1" t="s">
        <v>161</v>
      </c>
      <c r="F16" s="1" t="s">
        <v>181</v>
      </c>
      <c r="G16" s="15" t="s">
        <v>4588</v>
      </c>
      <c r="H16" s="8" t="s">
        <v>126</v>
      </c>
      <c r="I16" s="8" t="s">
        <v>141</v>
      </c>
      <c r="J16" s="12" t="n">
        <v>46262</v>
      </c>
      <c r="K16" s="15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4589</v>
      </c>
      <c r="B17" s="1" t="s">
        <v>189</v>
      </c>
      <c r="C17" s="15" t="s">
        <v>100</v>
      </c>
      <c r="D17" s="15" t="s">
        <v>4590</v>
      </c>
      <c r="E17" s="1" t="s">
        <v>161</v>
      </c>
      <c r="F17" s="1" t="s">
        <v>191</v>
      </c>
      <c r="G17" s="15" t="s">
        <v>4585</v>
      </c>
      <c r="H17" s="8" t="s">
        <v>126</v>
      </c>
      <c r="I17" s="8" t="s">
        <v>141</v>
      </c>
      <c r="J17" s="12" t="n">
        <v>46262</v>
      </c>
      <c r="K17" s="15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4591</v>
      </c>
      <c r="B18" s="1" t="s">
        <v>194</v>
      </c>
      <c r="C18" s="15" t="s">
        <v>100</v>
      </c>
      <c r="D18" s="15" t="s">
        <v>4592</v>
      </c>
      <c r="E18" s="1" t="s">
        <v>161</v>
      </c>
      <c r="F18" s="1" t="s">
        <v>196</v>
      </c>
      <c r="G18" s="15" t="s">
        <v>4593</v>
      </c>
      <c r="H18" s="8" t="s">
        <v>122</v>
      </c>
      <c r="I18" s="8" t="s">
        <v>140</v>
      </c>
      <c r="J18" s="12" t="n">
        <v>46262</v>
      </c>
      <c r="K18" s="15" t="s">
        <v>4594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4595</v>
      </c>
      <c r="B19" s="1" t="s">
        <v>4596</v>
      </c>
      <c r="C19" s="15" t="s">
        <v>100</v>
      </c>
      <c r="D19" s="15" t="s">
        <v>4597</v>
      </c>
      <c r="E19" s="1" t="s">
        <v>161</v>
      </c>
      <c r="F19" s="1" t="s">
        <v>202</v>
      </c>
      <c r="G19" s="15" t="s">
        <v>4598</v>
      </c>
      <c r="H19" s="8" t="s">
        <v>120</v>
      </c>
      <c r="I19" s="8" t="s">
        <v>140</v>
      </c>
      <c r="K19" s="15" t="s">
        <v>4599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4600</v>
      </c>
      <c r="B20" s="1" t="s">
        <v>206</v>
      </c>
      <c r="C20" s="15" t="s">
        <v>100</v>
      </c>
      <c r="D20" s="15" t="s">
        <v>4601</v>
      </c>
      <c r="E20" s="1" t="s">
        <v>161</v>
      </c>
      <c r="F20" s="1" t="s">
        <v>202</v>
      </c>
      <c r="G20" s="15" t="s">
        <v>4598</v>
      </c>
      <c r="H20" s="8" t="s">
        <v>120</v>
      </c>
      <c r="I20" s="8" t="s">
        <v>140</v>
      </c>
      <c r="K20" s="15" t="s">
        <v>4602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4603</v>
      </c>
      <c r="B21" s="1" t="s">
        <v>214</v>
      </c>
      <c r="C21" s="15" t="s">
        <v>100</v>
      </c>
      <c r="D21" s="15" t="s">
        <v>4604</v>
      </c>
      <c r="E21" s="1" t="s">
        <v>161</v>
      </c>
      <c r="F21" s="1" t="s">
        <v>202</v>
      </c>
      <c r="G21" s="15" t="s">
        <v>4598</v>
      </c>
      <c r="H21" s="8" t="s">
        <v>120</v>
      </c>
      <c r="I21" s="8" t="s">
        <v>140</v>
      </c>
      <c r="K21" s="15" t="s">
        <v>4551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4605</v>
      </c>
      <c r="B22" s="1" t="s">
        <v>649</v>
      </c>
      <c r="C22" s="15" t="s">
        <v>100</v>
      </c>
      <c r="D22" s="15" t="s">
        <v>4606</v>
      </c>
      <c r="E22" s="1" t="s">
        <v>161</v>
      </c>
      <c r="F22" s="1" t="s">
        <v>651</v>
      </c>
      <c r="G22" s="15" t="s">
        <v>4607</v>
      </c>
      <c r="H22" s="8" t="s">
        <v>126</v>
      </c>
      <c r="I22" s="8" t="s">
        <v>141</v>
      </c>
      <c r="J22" s="12" t="n">
        <v>46262</v>
      </c>
      <c r="K22" s="15"/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8" hidden="false" customHeight="true" outlineLevel="0" collapsed="false">
      <c r="A23" s="1" t="s">
        <v>4608</v>
      </c>
      <c r="B23" s="1" t="s">
        <v>218</v>
      </c>
      <c r="C23" s="15" t="s">
        <v>100</v>
      </c>
      <c r="D23" s="15" t="s">
        <v>4609</v>
      </c>
      <c r="E23" s="1" t="s">
        <v>161</v>
      </c>
      <c r="F23" s="1" t="s">
        <v>220</v>
      </c>
      <c r="G23" s="15" t="s">
        <v>4610</v>
      </c>
      <c r="H23" s="8" t="s">
        <v>126</v>
      </c>
      <c r="I23" s="8" t="s">
        <v>141</v>
      </c>
      <c r="J23" s="12" t="n">
        <v>46262</v>
      </c>
      <c r="K23" s="15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4611</v>
      </c>
      <c r="B24" s="1" t="s">
        <v>4248</v>
      </c>
      <c r="C24" s="15" t="s">
        <v>100</v>
      </c>
      <c r="D24" s="15" t="s">
        <v>4612</v>
      </c>
      <c r="E24" s="1" t="s">
        <v>161</v>
      </c>
      <c r="F24" s="1" t="s">
        <v>220</v>
      </c>
      <c r="G24" s="15" t="s">
        <v>4613</v>
      </c>
      <c r="H24" s="8" t="s">
        <v>126</v>
      </c>
      <c r="I24" s="8" t="s">
        <v>141</v>
      </c>
      <c r="J24" s="12" t="n">
        <v>46262</v>
      </c>
      <c r="K24" s="15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4614</v>
      </c>
      <c r="B25" s="1" t="s">
        <v>223</v>
      </c>
      <c r="C25" s="15" t="s">
        <v>100</v>
      </c>
      <c r="D25" s="15" t="s">
        <v>4615</v>
      </c>
      <c r="E25" s="1" t="s">
        <v>161</v>
      </c>
      <c r="F25" s="1" t="s">
        <v>220</v>
      </c>
      <c r="G25" s="15" t="s">
        <v>4616</v>
      </c>
      <c r="H25" s="8" t="s">
        <v>126</v>
      </c>
      <c r="I25" s="8" t="s">
        <v>141</v>
      </c>
      <c r="J25" s="12" t="n">
        <v>46262</v>
      </c>
      <c r="K25" s="15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4617</v>
      </c>
      <c r="B26" s="1" t="s">
        <v>227</v>
      </c>
      <c r="C26" s="15" t="s">
        <v>100</v>
      </c>
      <c r="D26" s="15" t="s">
        <v>4618</v>
      </c>
      <c r="E26" s="1" t="s">
        <v>229</v>
      </c>
      <c r="F26" s="1" t="s">
        <v>229</v>
      </c>
      <c r="G26" s="15" t="s">
        <v>230</v>
      </c>
      <c r="H26" s="8" t="s">
        <v>120</v>
      </c>
      <c r="I26" s="8" t="s">
        <v>141</v>
      </c>
      <c r="K26" s="15" t="s">
        <v>4619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48" hidden="false" customHeight="true" outlineLevel="0" collapsed="false">
      <c r="A27" s="1" t="s">
        <v>4620</v>
      </c>
      <c r="B27" s="1" t="s">
        <v>232</v>
      </c>
      <c r="C27" s="15" t="s">
        <v>100</v>
      </c>
      <c r="D27" s="15" t="s">
        <v>4621</v>
      </c>
      <c r="E27" s="1" t="s">
        <v>161</v>
      </c>
      <c r="F27" s="1" t="s">
        <v>161</v>
      </c>
      <c r="G27" s="15" t="s">
        <v>234</v>
      </c>
      <c r="H27" s="8" t="s">
        <v>130</v>
      </c>
      <c r="I27" s="8" t="s">
        <v>141</v>
      </c>
      <c r="J27" s="12" t="n">
        <v>46262</v>
      </c>
      <c r="K27" s="15" t="s">
        <v>4622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4623</v>
      </c>
      <c r="B28" s="1" t="s">
        <v>118</v>
      </c>
      <c r="C28" s="15" t="s">
        <v>100</v>
      </c>
      <c r="D28" s="15" t="s">
        <v>4624</v>
      </c>
      <c r="E28" s="1" t="s">
        <v>161</v>
      </c>
      <c r="F28" s="1" t="s">
        <v>220</v>
      </c>
      <c r="G28" s="15" t="s">
        <v>4625</v>
      </c>
      <c r="H28" s="8" t="s">
        <v>126</v>
      </c>
      <c r="I28" s="8" t="s">
        <v>141</v>
      </c>
      <c r="J28" s="12" t="n">
        <v>46262</v>
      </c>
      <c r="K28" s="15"/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8" hidden="false" customHeight="true" outlineLevel="0" collapsed="false">
      <c r="A9" s="1" t="s">
        <v>4628</v>
      </c>
      <c r="B9" s="1" t="s">
        <v>158</v>
      </c>
      <c r="C9" s="15" t="s">
        <v>4629</v>
      </c>
      <c r="D9" s="15" t="s">
        <v>4630</v>
      </c>
      <c r="E9" s="1" t="s">
        <v>161</v>
      </c>
      <c r="F9" s="1" t="s">
        <v>162</v>
      </c>
      <c r="G9" s="15" t="s">
        <v>4631</v>
      </c>
      <c r="H9" s="8" t="s">
        <v>126</v>
      </c>
      <c r="I9" s="8" t="s">
        <v>141</v>
      </c>
      <c r="J9" s="12" t="n">
        <v>46262</v>
      </c>
      <c r="K9" s="15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4632</v>
      </c>
      <c r="B10" s="1" t="s">
        <v>1432</v>
      </c>
      <c r="C10" s="15" t="s">
        <v>4629</v>
      </c>
      <c r="D10" s="15" t="s">
        <v>4633</v>
      </c>
      <c r="E10" s="1" t="s">
        <v>161</v>
      </c>
      <c r="F10" s="1" t="s">
        <v>181</v>
      </c>
      <c r="G10" s="15" t="s">
        <v>4634</v>
      </c>
      <c r="H10" s="8" t="s">
        <v>126</v>
      </c>
      <c r="I10" s="8" t="s">
        <v>141</v>
      </c>
      <c r="J10" s="12" t="n">
        <v>46262</v>
      </c>
      <c r="K10" s="15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4635</v>
      </c>
      <c r="B11" s="1" t="s">
        <v>165</v>
      </c>
      <c r="C11" s="15" t="s">
        <v>4636</v>
      </c>
      <c r="D11" s="15" t="s">
        <v>4637</v>
      </c>
      <c r="E11" s="1" t="s">
        <v>161</v>
      </c>
      <c r="F11" s="1" t="s">
        <v>161</v>
      </c>
      <c r="G11" s="15" t="s">
        <v>167</v>
      </c>
      <c r="H11" s="8" t="s">
        <v>126</v>
      </c>
      <c r="I11" s="8" t="s">
        <v>141</v>
      </c>
      <c r="J11" s="12" t="n">
        <v>46262</v>
      </c>
      <c r="K11" s="15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4638</v>
      </c>
      <c r="B12" s="1" t="s">
        <v>169</v>
      </c>
      <c r="C12" s="15" t="s">
        <v>4629</v>
      </c>
      <c r="D12" s="15" t="s">
        <v>4639</v>
      </c>
      <c r="E12" s="1" t="s">
        <v>161</v>
      </c>
      <c r="F12" s="1" t="s">
        <v>171</v>
      </c>
      <c r="G12" s="15" t="s">
        <v>4640</v>
      </c>
      <c r="H12" s="8" t="s">
        <v>126</v>
      </c>
      <c r="I12" s="8" t="s">
        <v>141</v>
      </c>
      <c r="J12" s="12" t="n">
        <v>46262</v>
      </c>
      <c r="K12" s="15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4641</v>
      </c>
      <c r="B13" s="1" t="s">
        <v>174</v>
      </c>
      <c r="C13" s="15" t="s">
        <v>4629</v>
      </c>
      <c r="D13" s="15" t="s">
        <v>4642</v>
      </c>
      <c r="E13" s="1" t="s">
        <v>161</v>
      </c>
      <c r="F13" s="1" t="s">
        <v>176</v>
      </c>
      <c r="G13" s="15" t="s">
        <v>4643</v>
      </c>
      <c r="H13" s="8" t="s">
        <v>126</v>
      </c>
      <c r="I13" s="8" t="s">
        <v>141</v>
      </c>
      <c r="J13" s="12" t="n">
        <v>46262</v>
      </c>
      <c r="K13" s="15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4644</v>
      </c>
      <c r="B14" s="1" t="s">
        <v>1665</v>
      </c>
      <c r="C14" s="15" t="s">
        <v>830</v>
      </c>
      <c r="D14" s="15" t="s">
        <v>4645</v>
      </c>
      <c r="E14" s="1" t="s">
        <v>161</v>
      </c>
      <c r="F14" s="1" t="s">
        <v>181</v>
      </c>
      <c r="G14" s="15" t="s">
        <v>4634</v>
      </c>
      <c r="H14" s="8" t="s">
        <v>126</v>
      </c>
      <c r="I14" s="8" t="s">
        <v>141</v>
      </c>
      <c r="J14" s="12" t="n">
        <v>46262</v>
      </c>
      <c r="K14" s="15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4646</v>
      </c>
      <c r="B15" s="1" t="s">
        <v>1222</v>
      </c>
      <c r="C15" s="15" t="s">
        <v>921</v>
      </c>
      <c r="D15" s="15" t="s">
        <v>4647</v>
      </c>
      <c r="E15" s="1" t="s">
        <v>161</v>
      </c>
      <c r="F15" s="1" t="s">
        <v>181</v>
      </c>
      <c r="G15" s="15" t="s">
        <v>4634</v>
      </c>
      <c r="H15" s="8" t="s">
        <v>126</v>
      </c>
      <c r="I15" s="8" t="s">
        <v>141</v>
      </c>
      <c r="J15" s="12" t="n">
        <v>46262</v>
      </c>
      <c r="K15" s="15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4648</v>
      </c>
      <c r="B16" s="1" t="s">
        <v>200</v>
      </c>
      <c r="C16" s="15" t="s">
        <v>921</v>
      </c>
      <c r="D16" s="15" t="s">
        <v>4649</v>
      </c>
      <c r="E16" s="1" t="s">
        <v>161</v>
      </c>
      <c r="F16" s="1" t="s">
        <v>186</v>
      </c>
      <c r="G16" s="15" t="s">
        <v>4650</v>
      </c>
      <c r="H16" s="8" t="s">
        <v>126</v>
      </c>
      <c r="I16" s="8" t="s">
        <v>141</v>
      </c>
      <c r="J16" s="12" t="n">
        <v>46262</v>
      </c>
      <c r="K16" s="15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4651</v>
      </c>
      <c r="B17" s="1" t="s">
        <v>189</v>
      </c>
      <c r="C17" s="15" t="s">
        <v>4652</v>
      </c>
      <c r="D17" s="15" t="s">
        <v>4653</v>
      </c>
      <c r="E17" s="1" t="s">
        <v>161</v>
      </c>
      <c r="F17" s="1" t="s">
        <v>191</v>
      </c>
      <c r="G17" s="15" t="s">
        <v>4650</v>
      </c>
      <c r="H17" s="8" t="s">
        <v>126</v>
      </c>
      <c r="I17" s="8" t="s">
        <v>141</v>
      </c>
      <c r="J17" s="12" t="n">
        <v>46262</v>
      </c>
      <c r="K17" s="15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4654</v>
      </c>
      <c r="B18" s="1" t="s">
        <v>194</v>
      </c>
      <c r="C18" s="15" t="s">
        <v>4636</v>
      </c>
      <c r="D18" s="15" t="s">
        <v>4655</v>
      </c>
      <c r="E18" s="1" t="s">
        <v>161</v>
      </c>
      <c r="F18" s="1" t="s">
        <v>196</v>
      </c>
      <c r="G18" s="15" t="s">
        <v>4656</v>
      </c>
      <c r="H18" s="8" t="s">
        <v>122</v>
      </c>
      <c r="I18" s="8" t="s">
        <v>140</v>
      </c>
      <c r="J18" s="12" t="n">
        <v>46262</v>
      </c>
      <c r="K18" s="15" t="s">
        <v>4657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4658</v>
      </c>
      <c r="B19" s="1" t="s">
        <v>4596</v>
      </c>
      <c r="C19" s="15" t="s">
        <v>921</v>
      </c>
      <c r="D19" s="15" t="s">
        <v>4659</v>
      </c>
      <c r="E19" s="1" t="s">
        <v>161</v>
      </c>
      <c r="F19" s="1" t="s">
        <v>202</v>
      </c>
      <c r="G19" s="15" t="s">
        <v>4660</v>
      </c>
      <c r="H19" s="8" t="s">
        <v>120</v>
      </c>
      <c r="I19" s="8" t="s">
        <v>140</v>
      </c>
      <c r="K19" s="15" t="s">
        <v>4661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4662</v>
      </c>
      <c r="B20" s="1" t="s">
        <v>206</v>
      </c>
      <c r="C20" s="15" t="s">
        <v>4652</v>
      </c>
      <c r="D20" s="15" t="s">
        <v>4663</v>
      </c>
      <c r="E20" s="1" t="s">
        <v>161</v>
      </c>
      <c r="F20" s="1" t="s">
        <v>202</v>
      </c>
      <c r="G20" s="15" t="s">
        <v>4660</v>
      </c>
      <c r="H20" s="8" t="s">
        <v>120</v>
      </c>
      <c r="I20" s="8" t="s">
        <v>140</v>
      </c>
      <c r="K20" s="15" t="s">
        <v>4602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4664</v>
      </c>
      <c r="B21" s="1" t="s">
        <v>209</v>
      </c>
      <c r="C21" s="15" t="s">
        <v>4665</v>
      </c>
      <c r="D21" s="15" t="s">
        <v>4666</v>
      </c>
      <c r="E21" s="1" t="s">
        <v>161</v>
      </c>
      <c r="F21" s="1" t="s">
        <v>202</v>
      </c>
      <c r="G21" s="15" t="s">
        <v>4667</v>
      </c>
      <c r="H21" s="8" t="s">
        <v>124</v>
      </c>
      <c r="I21" s="8" t="s">
        <v>140</v>
      </c>
      <c r="J21" s="12" t="n">
        <v>46262</v>
      </c>
      <c r="K21" s="15" t="s">
        <v>4668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4669</v>
      </c>
      <c r="B22" s="1" t="s">
        <v>214</v>
      </c>
      <c r="C22" s="15" t="s">
        <v>4636</v>
      </c>
      <c r="D22" s="15" t="s">
        <v>4670</v>
      </c>
      <c r="E22" s="1" t="s">
        <v>161</v>
      </c>
      <c r="F22" s="1" t="s">
        <v>202</v>
      </c>
      <c r="G22" s="15" t="s">
        <v>4660</v>
      </c>
      <c r="H22" s="8" t="s">
        <v>120</v>
      </c>
      <c r="I22" s="8" t="s">
        <v>140</v>
      </c>
      <c r="K22" s="15" t="s">
        <v>4551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4671</v>
      </c>
      <c r="B23" s="1" t="s">
        <v>649</v>
      </c>
      <c r="C23" s="15" t="s">
        <v>4636</v>
      </c>
      <c r="D23" s="15" t="s">
        <v>4672</v>
      </c>
      <c r="E23" s="1" t="s">
        <v>161</v>
      </c>
      <c r="F23" s="1" t="s">
        <v>651</v>
      </c>
      <c r="G23" s="15" t="s">
        <v>4673</v>
      </c>
      <c r="H23" s="8" t="s">
        <v>126</v>
      </c>
      <c r="I23" s="8" t="s">
        <v>141</v>
      </c>
      <c r="J23" s="12" t="n">
        <v>46262</v>
      </c>
      <c r="K23" s="15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4674</v>
      </c>
      <c r="B24" s="1" t="s">
        <v>218</v>
      </c>
      <c r="C24" s="15" t="s">
        <v>4636</v>
      </c>
      <c r="D24" s="15" t="s">
        <v>4675</v>
      </c>
      <c r="E24" s="1" t="s">
        <v>161</v>
      </c>
      <c r="F24" s="1" t="s">
        <v>220</v>
      </c>
      <c r="G24" s="15" t="s">
        <v>4676</v>
      </c>
      <c r="H24" s="8" t="s">
        <v>126</v>
      </c>
      <c r="I24" s="8" t="s">
        <v>141</v>
      </c>
      <c r="J24" s="12" t="n">
        <v>46262</v>
      </c>
      <c r="K24" s="15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4677</v>
      </c>
      <c r="B25" s="1" t="s">
        <v>4248</v>
      </c>
      <c r="C25" s="15" t="s">
        <v>4636</v>
      </c>
      <c r="D25" s="15" t="s">
        <v>4678</v>
      </c>
      <c r="E25" s="1" t="s">
        <v>161</v>
      </c>
      <c r="F25" s="1" t="s">
        <v>220</v>
      </c>
      <c r="G25" s="15" t="s">
        <v>4679</v>
      </c>
      <c r="H25" s="8" t="s">
        <v>126</v>
      </c>
      <c r="I25" s="8" t="s">
        <v>141</v>
      </c>
      <c r="J25" s="12" t="n">
        <v>46262</v>
      </c>
      <c r="K25" s="15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4680</v>
      </c>
      <c r="B26" s="1" t="s">
        <v>223</v>
      </c>
      <c r="C26" s="15" t="s">
        <v>4636</v>
      </c>
      <c r="D26" s="15" t="s">
        <v>4681</v>
      </c>
      <c r="E26" s="1" t="s">
        <v>161</v>
      </c>
      <c r="F26" s="1" t="s">
        <v>220</v>
      </c>
      <c r="G26" s="15" t="s">
        <v>4682</v>
      </c>
      <c r="H26" s="8" t="s">
        <v>126</v>
      </c>
      <c r="I26" s="8" t="s">
        <v>141</v>
      </c>
      <c r="J26" s="12" t="n">
        <v>46262</v>
      </c>
      <c r="K26" s="15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4683</v>
      </c>
      <c r="B27" s="1" t="s">
        <v>227</v>
      </c>
      <c r="C27" s="15" t="s">
        <v>4636</v>
      </c>
      <c r="D27" s="15" t="s">
        <v>4684</v>
      </c>
      <c r="E27" s="1" t="s">
        <v>229</v>
      </c>
      <c r="F27" s="1" t="s">
        <v>229</v>
      </c>
      <c r="G27" s="15" t="s">
        <v>230</v>
      </c>
      <c r="H27" s="8" t="s">
        <v>120</v>
      </c>
      <c r="I27" s="8" t="s">
        <v>141</v>
      </c>
      <c r="K27" s="15" t="s">
        <v>4685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4686</v>
      </c>
      <c r="B28" s="1" t="s">
        <v>232</v>
      </c>
      <c r="C28" s="15" t="s">
        <v>4636</v>
      </c>
      <c r="D28" s="15" t="s">
        <v>4621</v>
      </c>
      <c r="E28" s="1" t="s">
        <v>161</v>
      </c>
      <c r="F28" s="1" t="s">
        <v>161</v>
      </c>
      <c r="G28" s="15" t="s">
        <v>234</v>
      </c>
      <c r="H28" s="8" t="s">
        <v>130</v>
      </c>
      <c r="I28" s="8" t="s">
        <v>141</v>
      </c>
      <c r="J28" s="12" t="n">
        <v>46262</v>
      </c>
      <c r="K28" s="15" t="s">
        <v>4622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8" hidden="false" customHeight="true" outlineLevel="0" collapsed="false">
      <c r="A9" s="1" t="s">
        <v>4689</v>
      </c>
      <c r="B9" s="1" t="s">
        <v>158</v>
      </c>
      <c r="C9" s="15" t="s">
        <v>4690</v>
      </c>
      <c r="D9" s="15" t="s">
        <v>4691</v>
      </c>
      <c r="E9" s="1" t="s">
        <v>161</v>
      </c>
      <c r="F9" s="1" t="s">
        <v>162</v>
      </c>
      <c r="G9" s="15" t="s">
        <v>4692</v>
      </c>
      <c r="H9" s="8" t="s">
        <v>126</v>
      </c>
      <c r="I9" s="8" t="s">
        <v>141</v>
      </c>
      <c r="J9" s="12" t="n">
        <v>46262</v>
      </c>
      <c r="K9" s="15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4693</v>
      </c>
      <c r="B10" s="1" t="s">
        <v>1432</v>
      </c>
      <c r="C10" s="15" t="s">
        <v>4690</v>
      </c>
      <c r="D10" s="15" t="s">
        <v>4694</v>
      </c>
      <c r="E10" s="1" t="s">
        <v>161</v>
      </c>
      <c r="F10" s="1" t="s">
        <v>181</v>
      </c>
      <c r="G10" s="15" t="s">
        <v>4695</v>
      </c>
      <c r="H10" s="8" t="s">
        <v>126</v>
      </c>
      <c r="I10" s="8" t="s">
        <v>141</v>
      </c>
      <c r="J10" s="12" t="n">
        <v>46262</v>
      </c>
      <c r="K10" s="15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4696</v>
      </c>
      <c r="B11" s="1" t="s">
        <v>165</v>
      </c>
      <c r="C11" s="15" t="s">
        <v>4697</v>
      </c>
      <c r="D11" s="15" t="s">
        <v>4698</v>
      </c>
      <c r="E11" s="1" t="s">
        <v>161</v>
      </c>
      <c r="F11" s="1" t="s">
        <v>161</v>
      </c>
      <c r="G11" s="15" t="s">
        <v>609</v>
      </c>
      <c r="H11" s="8" t="s">
        <v>126</v>
      </c>
      <c r="I11" s="8" t="s">
        <v>141</v>
      </c>
      <c r="J11" s="12" t="n">
        <v>46262</v>
      </c>
      <c r="K11" s="15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4699</v>
      </c>
      <c r="B12" s="1" t="s">
        <v>169</v>
      </c>
      <c r="C12" s="15" t="s">
        <v>4690</v>
      </c>
      <c r="D12" s="15" t="s">
        <v>4700</v>
      </c>
      <c r="E12" s="1" t="s">
        <v>161</v>
      </c>
      <c r="F12" s="1" t="s">
        <v>171</v>
      </c>
      <c r="G12" s="15" t="s">
        <v>4701</v>
      </c>
      <c r="H12" s="8" t="s">
        <v>126</v>
      </c>
      <c r="I12" s="8" t="s">
        <v>141</v>
      </c>
      <c r="J12" s="12" t="n">
        <v>46262</v>
      </c>
      <c r="K12" s="15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4702</v>
      </c>
      <c r="B13" s="1" t="s">
        <v>174</v>
      </c>
      <c r="C13" s="15" t="s">
        <v>4690</v>
      </c>
      <c r="D13" s="15" t="s">
        <v>4703</v>
      </c>
      <c r="E13" s="1" t="s">
        <v>161</v>
      </c>
      <c r="F13" s="1" t="s">
        <v>176</v>
      </c>
      <c r="G13" s="15" t="s">
        <v>4704</v>
      </c>
      <c r="H13" s="8" t="s">
        <v>126</v>
      </c>
      <c r="I13" s="8" t="s">
        <v>141</v>
      </c>
      <c r="J13" s="12" t="n">
        <v>46262</v>
      </c>
      <c r="K13" s="15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4705</v>
      </c>
      <c r="B14" s="1" t="s">
        <v>1665</v>
      </c>
      <c r="C14" s="15" t="s">
        <v>4706</v>
      </c>
      <c r="D14" s="15" t="s">
        <v>4707</v>
      </c>
      <c r="E14" s="1" t="s">
        <v>161</v>
      </c>
      <c r="F14" s="1" t="s">
        <v>181</v>
      </c>
      <c r="G14" s="15" t="s">
        <v>4695</v>
      </c>
      <c r="H14" s="8" t="s">
        <v>126</v>
      </c>
      <c r="I14" s="8" t="s">
        <v>141</v>
      </c>
      <c r="J14" s="12" t="n">
        <v>46262</v>
      </c>
      <c r="K14" s="15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4708</v>
      </c>
      <c r="B15" s="1" t="s">
        <v>4709</v>
      </c>
      <c r="C15" s="15" t="s">
        <v>4706</v>
      </c>
      <c r="D15" s="15" t="s">
        <v>4710</v>
      </c>
      <c r="E15" s="1" t="s">
        <v>161</v>
      </c>
      <c r="F15" s="1" t="s">
        <v>186</v>
      </c>
      <c r="G15" s="15" t="s">
        <v>4711</v>
      </c>
      <c r="H15" s="8" t="s">
        <v>126</v>
      </c>
      <c r="I15" s="8" t="s">
        <v>141</v>
      </c>
      <c r="J15" s="12" t="n">
        <v>46262</v>
      </c>
      <c r="K15" s="15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4712</v>
      </c>
      <c r="B16" s="1" t="s">
        <v>4713</v>
      </c>
      <c r="C16" s="15" t="s">
        <v>4714</v>
      </c>
      <c r="D16" s="15" t="s">
        <v>4715</v>
      </c>
      <c r="E16" s="1" t="s">
        <v>161</v>
      </c>
      <c r="F16" s="1" t="s">
        <v>186</v>
      </c>
      <c r="G16" s="15" t="s">
        <v>4716</v>
      </c>
      <c r="H16" s="8" t="s">
        <v>126</v>
      </c>
      <c r="I16" s="8" t="s">
        <v>141</v>
      </c>
      <c r="J16" s="12" t="n">
        <v>46262</v>
      </c>
      <c r="K16" s="15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4717</v>
      </c>
      <c r="B17" s="1" t="s">
        <v>209</v>
      </c>
      <c r="C17" s="15" t="s">
        <v>33</v>
      </c>
      <c r="D17" s="15" t="s">
        <v>4718</v>
      </c>
      <c r="E17" s="1" t="s">
        <v>161</v>
      </c>
      <c r="F17" s="1" t="s">
        <v>181</v>
      </c>
      <c r="G17" s="15" t="s">
        <v>4695</v>
      </c>
      <c r="H17" s="8" t="s">
        <v>126</v>
      </c>
      <c r="I17" s="8" t="s">
        <v>141</v>
      </c>
      <c r="J17" s="12" t="n">
        <v>46262</v>
      </c>
      <c r="K17" s="15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4719</v>
      </c>
      <c r="B18" s="1" t="s">
        <v>189</v>
      </c>
      <c r="C18" s="15" t="s">
        <v>4690</v>
      </c>
      <c r="D18" s="15" t="s">
        <v>4720</v>
      </c>
      <c r="E18" s="1" t="s">
        <v>161</v>
      </c>
      <c r="F18" s="1" t="s">
        <v>191</v>
      </c>
      <c r="G18" s="15" t="s">
        <v>4711</v>
      </c>
      <c r="H18" s="8" t="s">
        <v>126</v>
      </c>
      <c r="I18" s="8" t="s">
        <v>141</v>
      </c>
      <c r="J18" s="12" t="n">
        <v>46262</v>
      </c>
      <c r="K18" s="15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4721</v>
      </c>
      <c r="B19" s="1" t="s">
        <v>194</v>
      </c>
      <c r="C19" s="15" t="s">
        <v>4697</v>
      </c>
      <c r="D19" s="15" t="s">
        <v>4722</v>
      </c>
      <c r="E19" s="1" t="s">
        <v>161</v>
      </c>
      <c r="F19" s="1" t="s">
        <v>196</v>
      </c>
      <c r="G19" s="15" t="s">
        <v>4723</v>
      </c>
      <c r="H19" s="8" t="s">
        <v>126</v>
      </c>
      <c r="I19" s="8" t="s">
        <v>140</v>
      </c>
      <c r="J19" s="12" t="n">
        <v>46262</v>
      </c>
      <c r="K19" s="15" t="s">
        <v>1692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4724</v>
      </c>
      <c r="B20" s="1" t="s">
        <v>4596</v>
      </c>
      <c r="C20" s="15" t="s">
        <v>4697</v>
      </c>
      <c r="D20" s="15" t="s">
        <v>4725</v>
      </c>
      <c r="E20" s="1" t="s">
        <v>161</v>
      </c>
      <c r="F20" s="1" t="s">
        <v>202</v>
      </c>
      <c r="G20" s="15" t="s">
        <v>4726</v>
      </c>
      <c r="H20" s="8" t="s">
        <v>120</v>
      </c>
      <c r="I20" s="8" t="s">
        <v>140</v>
      </c>
      <c r="K20" s="15" t="s">
        <v>4727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4728</v>
      </c>
      <c r="B21" s="1" t="s">
        <v>4729</v>
      </c>
      <c r="C21" s="15" t="s">
        <v>33</v>
      </c>
      <c r="D21" s="15" t="s">
        <v>4730</v>
      </c>
      <c r="E21" s="1" t="s">
        <v>161</v>
      </c>
      <c r="F21" s="1" t="s">
        <v>202</v>
      </c>
      <c r="G21" s="15" t="s">
        <v>4726</v>
      </c>
      <c r="H21" s="8" t="s">
        <v>120</v>
      </c>
      <c r="I21" s="8" t="s">
        <v>140</v>
      </c>
      <c r="K21" s="15" t="s">
        <v>4731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4732</v>
      </c>
      <c r="B22" s="1" t="s">
        <v>214</v>
      </c>
      <c r="C22" s="15" t="s">
        <v>4697</v>
      </c>
      <c r="D22" s="15" t="s">
        <v>4733</v>
      </c>
      <c r="E22" s="1" t="s">
        <v>161</v>
      </c>
      <c r="F22" s="1" t="s">
        <v>202</v>
      </c>
      <c r="G22" s="15" t="s">
        <v>4726</v>
      </c>
      <c r="H22" s="8" t="s">
        <v>120</v>
      </c>
      <c r="I22" s="8" t="s">
        <v>140</v>
      </c>
      <c r="K22" s="15" t="s">
        <v>4551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4734</v>
      </c>
      <c r="B23" s="1" t="s">
        <v>649</v>
      </c>
      <c r="C23" s="15" t="s">
        <v>4697</v>
      </c>
      <c r="D23" s="15" t="s">
        <v>4735</v>
      </c>
      <c r="E23" s="1" t="s">
        <v>161</v>
      </c>
      <c r="F23" s="1" t="s">
        <v>651</v>
      </c>
      <c r="G23" s="15" t="s">
        <v>4736</v>
      </c>
      <c r="H23" s="8" t="s">
        <v>126</v>
      </c>
      <c r="I23" s="8" t="s">
        <v>141</v>
      </c>
      <c r="J23" s="12" t="n">
        <v>46262</v>
      </c>
      <c r="K23" s="15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4737</v>
      </c>
      <c r="B24" s="1" t="s">
        <v>218</v>
      </c>
      <c r="C24" s="15" t="s">
        <v>4697</v>
      </c>
      <c r="D24" s="15" t="s">
        <v>4738</v>
      </c>
      <c r="E24" s="1" t="s">
        <v>161</v>
      </c>
      <c r="F24" s="1" t="s">
        <v>220</v>
      </c>
      <c r="G24" s="15" t="s">
        <v>4739</v>
      </c>
      <c r="H24" s="8" t="s">
        <v>126</v>
      </c>
      <c r="I24" s="8" t="s">
        <v>141</v>
      </c>
      <c r="J24" s="12" t="n">
        <v>46262</v>
      </c>
      <c r="K24" s="15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4740</v>
      </c>
      <c r="B25" s="1" t="s">
        <v>4248</v>
      </c>
      <c r="C25" s="15" t="s">
        <v>4697</v>
      </c>
      <c r="D25" s="15" t="s">
        <v>4741</v>
      </c>
      <c r="E25" s="1" t="s">
        <v>161</v>
      </c>
      <c r="F25" s="1" t="s">
        <v>220</v>
      </c>
      <c r="G25" s="15" t="s">
        <v>4742</v>
      </c>
      <c r="H25" s="8" t="s">
        <v>126</v>
      </c>
      <c r="I25" s="8" t="s">
        <v>141</v>
      </c>
      <c r="J25" s="12" t="n">
        <v>46262</v>
      </c>
      <c r="K25" s="15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4743</v>
      </c>
      <c r="B26" s="1" t="s">
        <v>223</v>
      </c>
      <c r="C26" s="15" t="s">
        <v>4697</v>
      </c>
      <c r="D26" s="15" t="s">
        <v>4744</v>
      </c>
      <c r="E26" s="1" t="s">
        <v>161</v>
      </c>
      <c r="F26" s="1" t="s">
        <v>220</v>
      </c>
      <c r="G26" s="15" t="s">
        <v>4745</v>
      </c>
      <c r="H26" s="8" t="s">
        <v>126</v>
      </c>
      <c r="I26" s="8" t="s">
        <v>141</v>
      </c>
      <c r="J26" s="12" t="n">
        <v>46262</v>
      </c>
      <c r="K26" s="15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4746</v>
      </c>
      <c r="B27" s="1" t="s">
        <v>227</v>
      </c>
      <c r="C27" s="15" t="s">
        <v>4697</v>
      </c>
      <c r="D27" s="15" t="s">
        <v>4747</v>
      </c>
      <c r="E27" s="1" t="s">
        <v>229</v>
      </c>
      <c r="F27" s="1" t="s">
        <v>229</v>
      </c>
      <c r="G27" s="15" t="s">
        <v>230</v>
      </c>
      <c r="H27" s="8" t="s">
        <v>120</v>
      </c>
      <c r="I27" s="8" t="s">
        <v>141</v>
      </c>
      <c r="K27" s="15" t="s">
        <v>4748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4749</v>
      </c>
      <c r="B28" s="1" t="s">
        <v>232</v>
      </c>
      <c r="C28" s="15" t="s">
        <v>4697</v>
      </c>
      <c r="D28" s="15" t="s">
        <v>4750</v>
      </c>
      <c r="E28" s="1" t="s">
        <v>161</v>
      </c>
      <c r="F28" s="1" t="s">
        <v>161</v>
      </c>
      <c r="G28" s="15" t="s">
        <v>234</v>
      </c>
      <c r="H28" s="8" t="s">
        <v>130</v>
      </c>
      <c r="I28" s="8" t="s">
        <v>141</v>
      </c>
      <c r="J28" s="12" t="n">
        <v>46262</v>
      </c>
      <c r="K28" s="15" t="s">
        <v>4622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8" hidden="false" customHeight="true" outlineLevel="0" collapsed="false">
      <c r="A9" s="1" t="s">
        <v>4753</v>
      </c>
      <c r="B9" s="1" t="s">
        <v>158</v>
      </c>
      <c r="C9" s="15" t="s">
        <v>921</v>
      </c>
      <c r="D9" s="15" t="s">
        <v>4754</v>
      </c>
      <c r="E9" s="1" t="s">
        <v>161</v>
      </c>
      <c r="F9" s="1" t="s">
        <v>162</v>
      </c>
      <c r="G9" s="15" t="s">
        <v>4755</v>
      </c>
      <c r="H9" s="8" t="s">
        <v>126</v>
      </c>
      <c r="I9" s="8" t="s">
        <v>141</v>
      </c>
      <c r="J9" s="12" t="n">
        <v>46262</v>
      </c>
      <c r="K9" s="15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4756</v>
      </c>
      <c r="B10" s="1" t="s">
        <v>1432</v>
      </c>
      <c r="C10" s="15" t="s">
        <v>4757</v>
      </c>
      <c r="D10" s="15" t="s">
        <v>4758</v>
      </c>
      <c r="E10" s="1" t="s">
        <v>161</v>
      </c>
      <c r="F10" s="1" t="s">
        <v>181</v>
      </c>
      <c r="G10" s="15" t="s">
        <v>4759</v>
      </c>
      <c r="H10" s="8" t="s">
        <v>126</v>
      </c>
      <c r="I10" s="8" t="s">
        <v>141</v>
      </c>
      <c r="J10" s="12" t="n">
        <v>46262</v>
      </c>
      <c r="K10" s="15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4760</v>
      </c>
      <c r="B11" s="1" t="s">
        <v>165</v>
      </c>
      <c r="C11" s="15" t="s">
        <v>4761</v>
      </c>
      <c r="D11" s="15" t="s">
        <v>4762</v>
      </c>
      <c r="E11" s="1" t="s">
        <v>161</v>
      </c>
      <c r="F11" s="1" t="s">
        <v>161</v>
      </c>
      <c r="G11" s="15" t="s">
        <v>167</v>
      </c>
      <c r="H11" s="8" t="s">
        <v>126</v>
      </c>
      <c r="I11" s="8" t="s">
        <v>141</v>
      </c>
      <c r="J11" s="12" t="n">
        <v>46262</v>
      </c>
      <c r="K11" s="15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4763</v>
      </c>
      <c r="B12" s="1" t="s">
        <v>169</v>
      </c>
      <c r="C12" s="15" t="s">
        <v>4764</v>
      </c>
      <c r="D12" s="15" t="s">
        <v>4765</v>
      </c>
      <c r="E12" s="1" t="s">
        <v>161</v>
      </c>
      <c r="F12" s="1" t="s">
        <v>171</v>
      </c>
      <c r="G12" s="15" t="s">
        <v>4766</v>
      </c>
      <c r="H12" s="8" t="s">
        <v>126</v>
      </c>
      <c r="I12" s="8" t="s">
        <v>141</v>
      </c>
      <c r="J12" s="12" t="n">
        <v>46262</v>
      </c>
      <c r="K12" s="15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4767</v>
      </c>
      <c r="B13" s="1" t="s">
        <v>174</v>
      </c>
      <c r="C13" s="15" t="s">
        <v>4764</v>
      </c>
      <c r="D13" s="15" t="s">
        <v>4768</v>
      </c>
      <c r="E13" s="1" t="s">
        <v>161</v>
      </c>
      <c r="F13" s="1" t="s">
        <v>176</v>
      </c>
      <c r="G13" s="15" t="s">
        <v>4769</v>
      </c>
      <c r="H13" s="8" t="s">
        <v>126</v>
      </c>
      <c r="I13" s="8" t="s">
        <v>141</v>
      </c>
      <c r="J13" s="12" t="n">
        <v>46262</v>
      </c>
      <c r="K13" s="15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4770</v>
      </c>
      <c r="B14" s="1" t="s">
        <v>1665</v>
      </c>
      <c r="C14" s="15" t="s">
        <v>921</v>
      </c>
      <c r="D14" s="15" t="s">
        <v>4771</v>
      </c>
      <c r="E14" s="1" t="s">
        <v>161</v>
      </c>
      <c r="F14" s="1" t="s">
        <v>181</v>
      </c>
      <c r="G14" s="15" t="s">
        <v>4759</v>
      </c>
      <c r="H14" s="8" t="s">
        <v>126</v>
      </c>
      <c r="I14" s="8" t="s">
        <v>141</v>
      </c>
      <c r="J14" s="12" t="n">
        <v>46262</v>
      </c>
      <c r="K14" s="15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4772</v>
      </c>
      <c r="B15" s="1" t="s">
        <v>1222</v>
      </c>
      <c r="C15" s="15" t="s">
        <v>921</v>
      </c>
      <c r="D15" s="15" t="s">
        <v>4773</v>
      </c>
      <c r="E15" s="1" t="s">
        <v>161</v>
      </c>
      <c r="F15" s="1" t="s">
        <v>181</v>
      </c>
      <c r="G15" s="15" t="s">
        <v>4759</v>
      </c>
      <c r="H15" s="8" t="s">
        <v>126</v>
      </c>
      <c r="I15" s="8" t="s">
        <v>141</v>
      </c>
      <c r="J15" s="12" t="n">
        <v>46262</v>
      </c>
      <c r="K15" s="15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4774</v>
      </c>
      <c r="B16" s="1" t="s">
        <v>2007</v>
      </c>
      <c r="C16" s="15" t="s">
        <v>921</v>
      </c>
      <c r="D16" s="15" t="s">
        <v>4775</v>
      </c>
      <c r="E16" s="1" t="s">
        <v>161</v>
      </c>
      <c r="F16" s="1" t="s">
        <v>186</v>
      </c>
      <c r="G16" s="15" t="s">
        <v>4776</v>
      </c>
      <c r="H16" s="8" t="s">
        <v>126</v>
      </c>
      <c r="I16" s="8" t="s">
        <v>141</v>
      </c>
      <c r="J16" s="12" t="n">
        <v>46262</v>
      </c>
      <c r="K16" s="15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4777</v>
      </c>
      <c r="B17" s="1" t="s">
        <v>1880</v>
      </c>
      <c r="C17" s="15" t="s">
        <v>1880</v>
      </c>
      <c r="D17" s="15" t="s">
        <v>4778</v>
      </c>
      <c r="E17" s="1" t="s">
        <v>161</v>
      </c>
      <c r="F17" s="1" t="s">
        <v>186</v>
      </c>
      <c r="G17" s="15" t="s">
        <v>4779</v>
      </c>
      <c r="H17" s="8" t="s">
        <v>126</v>
      </c>
      <c r="I17" s="8" t="s">
        <v>141</v>
      </c>
      <c r="J17" s="12" t="n">
        <v>46262</v>
      </c>
      <c r="K17" s="15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4780</v>
      </c>
      <c r="B18" s="1" t="s">
        <v>4781</v>
      </c>
      <c r="C18" s="15" t="s">
        <v>933</v>
      </c>
      <c r="D18" s="15" t="s">
        <v>4782</v>
      </c>
      <c r="E18" s="1" t="s">
        <v>161</v>
      </c>
      <c r="F18" s="1" t="s">
        <v>186</v>
      </c>
      <c r="G18" s="15" t="s">
        <v>4779</v>
      </c>
      <c r="H18" s="8" t="s">
        <v>126</v>
      </c>
      <c r="I18" s="8" t="s">
        <v>141</v>
      </c>
      <c r="J18" s="12" t="n">
        <v>46262</v>
      </c>
      <c r="K18" s="15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4783</v>
      </c>
      <c r="B19" s="1" t="s">
        <v>189</v>
      </c>
      <c r="C19" s="15" t="s">
        <v>4764</v>
      </c>
      <c r="D19" s="15" t="s">
        <v>4784</v>
      </c>
      <c r="E19" s="1" t="s">
        <v>161</v>
      </c>
      <c r="F19" s="1" t="s">
        <v>191</v>
      </c>
      <c r="G19" s="15" t="s">
        <v>4779</v>
      </c>
      <c r="H19" s="8" t="s">
        <v>126</v>
      </c>
      <c r="I19" s="8" t="s">
        <v>141</v>
      </c>
      <c r="J19" s="12" t="n">
        <v>46262</v>
      </c>
      <c r="K19" s="15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4785</v>
      </c>
      <c r="B20" s="1" t="s">
        <v>194</v>
      </c>
      <c r="C20" s="15" t="s">
        <v>4761</v>
      </c>
      <c r="D20" s="15" t="s">
        <v>4786</v>
      </c>
      <c r="E20" s="1" t="s">
        <v>161</v>
      </c>
      <c r="F20" s="1" t="s">
        <v>196</v>
      </c>
      <c r="G20" s="15" t="s">
        <v>4787</v>
      </c>
      <c r="H20" s="8" t="s">
        <v>126</v>
      </c>
      <c r="I20" s="8" t="s">
        <v>140</v>
      </c>
      <c r="J20" s="12" t="n">
        <v>46262</v>
      </c>
      <c r="K20" s="15" t="s">
        <v>1692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4788</v>
      </c>
      <c r="B21" s="1" t="s">
        <v>1678</v>
      </c>
      <c r="C21" s="15" t="s">
        <v>921</v>
      </c>
      <c r="D21" s="15" t="s">
        <v>4789</v>
      </c>
      <c r="E21" s="1" t="s">
        <v>161</v>
      </c>
      <c r="F21" s="1" t="s">
        <v>202</v>
      </c>
      <c r="G21" s="15" t="s">
        <v>4790</v>
      </c>
      <c r="H21" s="8" t="s">
        <v>120</v>
      </c>
      <c r="I21" s="8" t="s">
        <v>140</v>
      </c>
      <c r="K21" s="15" t="s">
        <v>4791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4792</v>
      </c>
      <c r="B22" s="1" t="s">
        <v>4596</v>
      </c>
      <c r="C22" s="15" t="s">
        <v>4764</v>
      </c>
      <c r="D22" s="15" t="s">
        <v>4793</v>
      </c>
      <c r="E22" s="1" t="s">
        <v>161</v>
      </c>
      <c r="F22" s="1" t="s">
        <v>202</v>
      </c>
      <c r="G22" s="15" t="s">
        <v>4790</v>
      </c>
      <c r="H22" s="8" t="s">
        <v>120</v>
      </c>
      <c r="I22" s="8" t="s">
        <v>140</v>
      </c>
      <c r="K22" s="15" t="s">
        <v>4661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4794</v>
      </c>
      <c r="B23" s="1" t="s">
        <v>4795</v>
      </c>
      <c r="C23" s="15" t="s">
        <v>4764</v>
      </c>
      <c r="D23" s="15" t="s">
        <v>4796</v>
      </c>
      <c r="E23" s="1" t="s">
        <v>161</v>
      </c>
      <c r="F23" s="1" t="s">
        <v>202</v>
      </c>
      <c r="G23" s="15" t="s">
        <v>4790</v>
      </c>
      <c r="H23" s="8" t="s">
        <v>120</v>
      </c>
      <c r="I23" s="8" t="s">
        <v>140</v>
      </c>
      <c r="K23" s="15" t="s">
        <v>4797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4798</v>
      </c>
      <c r="B24" s="1" t="s">
        <v>214</v>
      </c>
      <c r="C24" s="15" t="s">
        <v>4761</v>
      </c>
      <c r="D24" s="15" t="s">
        <v>4799</v>
      </c>
      <c r="E24" s="1" t="s">
        <v>161</v>
      </c>
      <c r="F24" s="1" t="s">
        <v>202</v>
      </c>
      <c r="G24" s="15" t="s">
        <v>4790</v>
      </c>
      <c r="H24" s="8" t="s">
        <v>120</v>
      </c>
      <c r="I24" s="8" t="s">
        <v>140</v>
      </c>
      <c r="K24" s="15" t="s">
        <v>4551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48" hidden="false" customHeight="true" outlineLevel="0" collapsed="false">
      <c r="A25" s="1" t="s">
        <v>4800</v>
      </c>
      <c r="B25" s="1" t="s">
        <v>218</v>
      </c>
      <c r="C25" s="15" t="s">
        <v>4761</v>
      </c>
      <c r="D25" s="15" t="s">
        <v>4801</v>
      </c>
      <c r="E25" s="1" t="s">
        <v>161</v>
      </c>
      <c r="F25" s="1" t="s">
        <v>220</v>
      </c>
      <c r="G25" s="15" t="s">
        <v>4802</v>
      </c>
      <c r="H25" s="8" t="s">
        <v>126</v>
      </c>
      <c r="I25" s="8" t="s">
        <v>141</v>
      </c>
      <c r="J25" s="12" t="n">
        <v>46262</v>
      </c>
      <c r="K25" s="15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4803</v>
      </c>
      <c r="B26" s="1" t="s">
        <v>4248</v>
      </c>
      <c r="C26" s="15" t="s">
        <v>4761</v>
      </c>
      <c r="D26" s="15" t="s">
        <v>4804</v>
      </c>
      <c r="E26" s="1" t="s">
        <v>161</v>
      </c>
      <c r="F26" s="1" t="s">
        <v>220</v>
      </c>
      <c r="G26" s="15" t="s">
        <v>4805</v>
      </c>
      <c r="H26" s="8" t="s">
        <v>126</v>
      </c>
      <c r="I26" s="8" t="s">
        <v>141</v>
      </c>
      <c r="J26" s="12" t="n">
        <v>46262</v>
      </c>
      <c r="K26" s="15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4806</v>
      </c>
      <c r="B27" s="1" t="s">
        <v>227</v>
      </c>
      <c r="C27" s="15" t="s">
        <v>4761</v>
      </c>
      <c r="D27" s="15" t="s">
        <v>4807</v>
      </c>
      <c r="E27" s="1" t="s">
        <v>229</v>
      </c>
      <c r="F27" s="1" t="s">
        <v>229</v>
      </c>
      <c r="G27" s="15" t="s">
        <v>230</v>
      </c>
      <c r="H27" s="8" t="s">
        <v>120</v>
      </c>
      <c r="I27" s="8" t="s">
        <v>141</v>
      </c>
      <c r="K27" s="15" t="s">
        <v>4808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4809</v>
      </c>
      <c r="B28" s="1" t="s">
        <v>232</v>
      </c>
      <c r="C28" s="15" t="s">
        <v>4761</v>
      </c>
      <c r="D28" s="15" t="s">
        <v>4621</v>
      </c>
      <c r="E28" s="1" t="s">
        <v>161</v>
      </c>
      <c r="F28" s="1" t="s">
        <v>161</v>
      </c>
      <c r="G28" s="15" t="s">
        <v>234</v>
      </c>
      <c r="H28" s="8" t="s">
        <v>130</v>
      </c>
      <c r="I28" s="8" t="s">
        <v>141</v>
      </c>
      <c r="J28" s="12" t="n">
        <v>46262</v>
      </c>
      <c r="K28" s="15" t="s">
        <v>4622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4811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8" hidden="false" customHeight="true" outlineLevel="0" collapsed="false">
      <c r="A9" s="1" t="s">
        <v>4812</v>
      </c>
      <c r="B9" s="1" t="s">
        <v>158</v>
      </c>
      <c r="C9" s="15" t="s">
        <v>4813</v>
      </c>
      <c r="D9" s="15" t="s">
        <v>4814</v>
      </c>
      <c r="E9" s="1" t="s">
        <v>161</v>
      </c>
      <c r="F9" s="1" t="s">
        <v>162</v>
      </c>
      <c r="G9" s="15" t="s">
        <v>4815</v>
      </c>
      <c r="H9" s="8" t="s">
        <v>126</v>
      </c>
      <c r="I9" s="8" t="s">
        <v>141</v>
      </c>
      <c r="J9" s="12" t="n">
        <v>46262</v>
      </c>
      <c r="K9" s="15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4816</v>
      </c>
      <c r="B10" s="1" t="s">
        <v>1432</v>
      </c>
      <c r="C10" s="15" t="s">
        <v>4813</v>
      </c>
      <c r="D10" s="15" t="s">
        <v>4817</v>
      </c>
      <c r="E10" s="1" t="s">
        <v>161</v>
      </c>
      <c r="F10" s="1" t="s">
        <v>181</v>
      </c>
      <c r="G10" s="15" t="s">
        <v>4818</v>
      </c>
      <c r="H10" s="8" t="s">
        <v>126</v>
      </c>
      <c r="I10" s="8" t="s">
        <v>141</v>
      </c>
      <c r="J10" s="12" t="n">
        <v>46262</v>
      </c>
      <c r="K10" s="15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4819</v>
      </c>
      <c r="B11" s="1" t="s">
        <v>165</v>
      </c>
      <c r="C11" s="15" t="s">
        <v>104</v>
      </c>
      <c r="D11" s="15" t="s">
        <v>4820</v>
      </c>
      <c r="E11" s="1" t="s">
        <v>161</v>
      </c>
      <c r="F11" s="1" t="s">
        <v>161</v>
      </c>
      <c r="G11" s="15" t="s">
        <v>167</v>
      </c>
      <c r="H11" s="8" t="s">
        <v>126</v>
      </c>
      <c r="I11" s="8" t="s">
        <v>141</v>
      </c>
      <c r="J11" s="12" t="n">
        <v>46262</v>
      </c>
      <c r="K11" s="15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4821</v>
      </c>
      <c r="B12" s="1" t="s">
        <v>169</v>
      </c>
      <c r="C12" s="15" t="s">
        <v>4813</v>
      </c>
      <c r="D12" s="15" t="s">
        <v>4822</v>
      </c>
      <c r="E12" s="1" t="s">
        <v>161</v>
      </c>
      <c r="F12" s="1" t="s">
        <v>171</v>
      </c>
      <c r="G12" s="15" t="s">
        <v>4823</v>
      </c>
      <c r="H12" s="8" t="s">
        <v>126</v>
      </c>
      <c r="I12" s="8" t="s">
        <v>141</v>
      </c>
      <c r="J12" s="12" t="n">
        <v>46262</v>
      </c>
      <c r="K12" s="15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4824</v>
      </c>
      <c r="B13" s="1" t="s">
        <v>174</v>
      </c>
      <c r="C13" s="15" t="s">
        <v>4813</v>
      </c>
      <c r="D13" s="15" t="s">
        <v>4825</v>
      </c>
      <c r="E13" s="1" t="s">
        <v>161</v>
      </c>
      <c r="F13" s="1" t="s">
        <v>176</v>
      </c>
      <c r="G13" s="15" t="s">
        <v>4826</v>
      </c>
      <c r="H13" s="8" t="s">
        <v>126</v>
      </c>
      <c r="I13" s="8" t="s">
        <v>141</v>
      </c>
      <c r="J13" s="12" t="n">
        <v>46262</v>
      </c>
      <c r="K13" s="15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4827</v>
      </c>
      <c r="B14" s="1" t="s">
        <v>1665</v>
      </c>
      <c r="C14" s="15" t="s">
        <v>830</v>
      </c>
      <c r="D14" s="15" t="s">
        <v>4828</v>
      </c>
      <c r="E14" s="1" t="s">
        <v>161</v>
      </c>
      <c r="F14" s="1" t="s">
        <v>181</v>
      </c>
      <c r="G14" s="15" t="s">
        <v>4818</v>
      </c>
      <c r="H14" s="8" t="s">
        <v>126</v>
      </c>
      <c r="I14" s="8" t="s">
        <v>141</v>
      </c>
      <c r="J14" s="12" t="n">
        <v>46262</v>
      </c>
      <c r="K14" s="15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4829</v>
      </c>
      <c r="B15" s="1" t="s">
        <v>1222</v>
      </c>
      <c r="C15" s="15" t="s">
        <v>4066</v>
      </c>
      <c r="D15" s="15" t="s">
        <v>4830</v>
      </c>
      <c r="E15" s="1" t="s">
        <v>161</v>
      </c>
      <c r="F15" s="1" t="s">
        <v>181</v>
      </c>
      <c r="G15" s="15" t="s">
        <v>4818</v>
      </c>
      <c r="H15" s="8" t="s">
        <v>126</v>
      </c>
      <c r="I15" s="8" t="s">
        <v>141</v>
      </c>
      <c r="J15" s="12" t="n">
        <v>46262</v>
      </c>
      <c r="K15" s="15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4831</v>
      </c>
      <c r="B16" s="1" t="s">
        <v>689</v>
      </c>
      <c r="C16" s="15" t="s">
        <v>4832</v>
      </c>
      <c r="D16" s="15" t="s">
        <v>4833</v>
      </c>
      <c r="E16" s="1" t="s">
        <v>161</v>
      </c>
      <c r="F16" s="1" t="s">
        <v>186</v>
      </c>
      <c r="G16" s="15" t="s">
        <v>4834</v>
      </c>
      <c r="H16" s="8" t="s">
        <v>126</v>
      </c>
      <c r="I16" s="8" t="s">
        <v>141</v>
      </c>
      <c r="J16" s="12" t="n">
        <v>46262</v>
      </c>
      <c r="K16" s="15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4835</v>
      </c>
      <c r="B17" s="1" t="s">
        <v>189</v>
      </c>
      <c r="C17" s="15" t="s">
        <v>4813</v>
      </c>
      <c r="D17" s="15" t="s">
        <v>4836</v>
      </c>
      <c r="E17" s="1" t="s">
        <v>161</v>
      </c>
      <c r="F17" s="1" t="s">
        <v>191</v>
      </c>
      <c r="G17" s="15" t="s">
        <v>4837</v>
      </c>
      <c r="H17" s="8" t="s">
        <v>126</v>
      </c>
      <c r="I17" s="8" t="s">
        <v>141</v>
      </c>
      <c r="J17" s="12" t="n">
        <v>46262</v>
      </c>
      <c r="K17" s="15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4838</v>
      </c>
      <c r="B18" s="1" t="s">
        <v>194</v>
      </c>
      <c r="C18" s="15" t="s">
        <v>104</v>
      </c>
      <c r="D18" s="15" t="s">
        <v>4655</v>
      </c>
      <c r="E18" s="1" t="s">
        <v>161</v>
      </c>
      <c r="F18" s="1" t="s">
        <v>196</v>
      </c>
      <c r="G18" s="15" t="s">
        <v>4839</v>
      </c>
      <c r="H18" s="8" t="s">
        <v>122</v>
      </c>
      <c r="I18" s="8" t="s">
        <v>140</v>
      </c>
      <c r="J18" s="12" t="n">
        <v>46262</v>
      </c>
      <c r="K18" s="15" t="s">
        <v>4840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4841</v>
      </c>
      <c r="B19" s="1" t="s">
        <v>4842</v>
      </c>
      <c r="C19" s="15" t="s">
        <v>4066</v>
      </c>
      <c r="D19" s="15" t="s">
        <v>4843</v>
      </c>
      <c r="E19" s="1" t="s">
        <v>161</v>
      </c>
      <c r="F19" s="1" t="s">
        <v>181</v>
      </c>
      <c r="G19" s="15" t="s">
        <v>4818</v>
      </c>
      <c r="H19" s="8" t="s">
        <v>126</v>
      </c>
      <c r="I19" s="8" t="s">
        <v>141</v>
      </c>
      <c r="J19" s="12" t="n">
        <v>46262</v>
      </c>
      <c r="K19" s="15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4844</v>
      </c>
      <c r="B20" s="1" t="s">
        <v>4596</v>
      </c>
      <c r="C20" s="15" t="s">
        <v>3252</v>
      </c>
      <c r="D20" s="15" t="s">
        <v>4845</v>
      </c>
      <c r="E20" s="1" t="s">
        <v>161</v>
      </c>
      <c r="F20" s="1" t="s">
        <v>202</v>
      </c>
      <c r="G20" s="15" t="s">
        <v>4846</v>
      </c>
      <c r="H20" s="8" t="s">
        <v>120</v>
      </c>
      <c r="I20" s="8" t="s">
        <v>140</v>
      </c>
      <c r="K20" s="15" t="s">
        <v>4661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4847</v>
      </c>
      <c r="B21" s="1" t="s">
        <v>206</v>
      </c>
      <c r="C21" s="15" t="s">
        <v>4813</v>
      </c>
      <c r="D21" s="15" t="s">
        <v>4848</v>
      </c>
      <c r="E21" s="1" t="s">
        <v>161</v>
      </c>
      <c r="F21" s="1" t="s">
        <v>202</v>
      </c>
      <c r="G21" s="15" t="s">
        <v>4846</v>
      </c>
      <c r="H21" s="8" t="s">
        <v>120</v>
      </c>
      <c r="I21" s="8" t="s">
        <v>140</v>
      </c>
      <c r="K21" s="15" t="s">
        <v>4602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4849</v>
      </c>
      <c r="B22" s="1" t="s">
        <v>4850</v>
      </c>
      <c r="C22" s="15" t="s">
        <v>830</v>
      </c>
      <c r="D22" s="15" t="s">
        <v>4851</v>
      </c>
      <c r="E22" s="1" t="s">
        <v>161</v>
      </c>
      <c r="F22" s="1" t="s">
        <v>202</v>
      </c>
      <c r="G22" s="15" t="s">
        <v>4852</v>
      </c>
      <c r="H22" s="8" t="s">
        <v>124</v>
      </c>
      <c r="I22" s="8" t="s">
        <v>140</v>
      </c>
      <c r="J22" s="12" t="n">
        <v>46262</v>
      </c>
      <c r="K22" s="15" t="s">
        <v>4853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4854</v>
      </c>
      <c r="B23" s="1" t="s">
        <v>214</v>
      </c>
      <c r="C23" s="15" t="s">
        <v>104</v>
      </c>
      <c r="D23" s="15" t="s">
        <v>4855</v>
      </c>
      <c r="E23" s="1" t="s">
        <v>161</v>
      </c>
      <c r="F23" s="1" t="s">
        <v>202</v>
      </c>
      <c r="G23" s="15" t="s">
        <v>4846</v>
      </c>
      <c r="H23" s="8" t="s">
        <v>120</v>
      </c>
      <c r="I23" s="8" t="s">
        <v>140</v>
      </c>
      <c r="K23" s="15" t="s">
        <v>4551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4856</v>
      </c>
      <c r="B24" s="1" t="s">
        <v>649</v>
      </c>
      <c r="C24" s="15" t="s">
        <v>104</v>
      </c>
      <c r="D24" s="15" t="s">
        <v>4857</v>
      </c>
      <c r="E24" s="1" t="s">
        <v>161</v>
      </c>
      <c r="F24" s="1" t="s">
        <v>651</v>
      </c>
      <c r="G24" s="15" t="s">
        <v>4858</v>
      </c>
      <c r="H24" s="8" t="s">
        <v>126</v>
      </c>
      <c r="I24" s="8" t="s">
        <v>141</v>
      </c>
      <c r="J24" s="12" t="n">
        <v>46262</v>
      </c>
      <c r="K24" s="15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4859</v>
      </c>
      <c r="B25" s="1" t="s">
        <v>218</v>
      </c>
      <c r="C25" s="15" t="s">
        <v>104</v>
      </c>
      <c r="D25" s="15" t="s">
        <v>4860</v>
      </c>
      <c r="E25" s="1" t="s">
        <v>161</v>
      </c>
      <c r="F25" s="1" t="s">
        <v>220</v>
      </c>
      <c r="G25" s="15" t="s">
        <v>4861</v>
      </c>
      <c r="H25" s="8" t="s">
        <v>126</v>
      </c>
      <c r="I25" s="8" t="s">
        <v>141</v>
      </c>
      <c r="J25" s="12" t="n">
        <v>46262</v>
      </c>
      <c r="K25" s="15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4862</v>
      </c>
      <c r="B26" s="1" t="s">
        <v>4248</v>
      </c>
      <c r="C26" s="15" t="s">
        <v>104</v>
      </c>
      <c r="D26" s="15" t="s">
        <v>4863</v>
      </c>
      <c r="E26" s="1" t="s">
        <v>161</v>
      </c>
      <c r="F26" s="1" t="s">
        <v>220</v>
      </c>
      <c r="G26" s="15" t="s">
        <v>4864</v>
      </c>
      <c r="H26" s="8" t="s">
        <v>126</v>
      </c>
      <c r="I26" s="8" t="s">
        <v>141</v>
      </c>
      <c r="J26" s="12" t="n">
        <v>46262</v>
      </c>
      <c r="K26" s="15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4865</v>
      </c>
      <c r="B27" s="1" t="s">
        <v>227</v>
      </c>
      <c r="C27" s="15" t="s">
        <v>104</v>
      </c>
      <c r="D27" s="15" t="s">
        <v>4866</v>
      </c>
      <c r="E27" s="1" t="s">
        <v>229</v>
      </c>
      <c r="F27" s="1" t="s">
        <v>229</v>
      </c>
      <c r="G27" s="15" t="s">
        <v>230</v>
      </c>
      <c r="H27" s="8" t="s">
        <v>120</v>
      </c>
      <c r="I27" s="8" t="s">
        <v>141</v>
      </c>
      <c r="K27" s="15" t="s">
        <v>4867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4868</v>
      </c>
      <c r="B28" s="1" t="s">
        <v>232</v>
      </c>
      <c r="C28" s="15" t="s">
        <v>104</v>
      </c>
      <c r="D28" s="15" t="s">
        <v>4621</v>
      </c>
      <c r="E28" s="1" t="s">
        <v>161</v>
      </c>
      <c r="F28" s="1" t="s">
        <v>161</v>
      </c>
      <c r="G28" s="15" t="s">
        <v>234</v>
      </c>
      <c r="H28" s="8" t="s">
        <v>130</v>
      </c>
      <c r="I28" s="8" t="s">
        <v>141</v>
      </c>
      <c r="J28" s="12" t="n">
        <v>46262</v>
      </c>
      <c r="K28" s="15" t="s">
        <v>4622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2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4870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144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145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146</v>
      </c>
      <c r="B8" s="8" t="s">
        <v>147</v>
      </c>
      <c r="C8" s="8" t="s">
        <v>148</v>
      </c>
      <c r="D8" s="8" t="s">
        <v>149</v>
      </c>
      <c r="E8" s="8" t="s">
        <v>150</v>
      </c>
      <c r="F8" s="8" t="s">
        <v>151</v>
      </c>
      <c r="G8" s="8" t="s">
        <v>152</v>
      </c>
      <c r="H8" s="8" t="s">
        <v>104</v>
      </c>
      <c r="I8" s="8" t="s">
        <v>153</v>
      </c>
      <c r="J8" s="13" t="s">
        <v>154</v>
      </c>
      <c r="K8" s="8" t="s">
        <v>155</v>
      </c>
      <c r="L8" s="8" t="s">
        <v>156</v>
      </c>
      <c r="M8" s="8" t="s">
        <v>144</v>
      </c>
    </row>
    <row r="9" customFormat="false" ht="42" hidden="false" customHeight="true" outlineLevel="0" collapsed="false">
      <c r="A9" s="1" t="s">
        <v>4871</v>
      </c>
      <c r="B9" s="1" t="s">
        <v>158</v>
      </c>
      <c r="C9" s="1" t="s">
        <v>1274</v>
      </c>
      <c r="D9" s="1" t="s">
        <v>4872</v>
      </c>
      <c r="E9" s="1" t="s">
        <v>161</v>
      </c>
      <c r="F9" s="1" t="s">
        <v>162</v>
      </c>
      <c r="G9" s="1" t="s">
        <v>4873</v>
      </c>
      <c r="H9" s="8" t="s">
        <v>126</v>
      </c>
      <c r="I9" s="8" t="s">
        <v>141</v>
      </c>
      <c r="J9" s="12" t="n">
        <v>46262</v>
      </c>
      <c r="K9" s="1" t="s">
        <v>4874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4875</v>
      </c>
      <c r="B10" s="1" t="s">
        <v>1432</v>
      </c>
      <c r="C10" s="1" t="s">
        <v>1274</v>
      </c>
      <c r="D10" s="1" t="s">
        <v>4876</v>
      </c>
      <c r="E10" s="1" t="s">
        <v>161</v>
      </c>
      <c r="F10" s="1" t="s">
        <v>181</v>
      </c>
      <c r="G10" s="1" t="s">
        <v>4877</v>
      </c>
      <c r="H10" s="8" t="s">
        <v>126</v>
      </c>
      <c r="I10" s="8" t="s">
        <v>141</v>
      </c>
      <c r="J10" s="12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4878</v>
      </c>
      <c r="B11" s="1" t="s">
        <v>165</v>
      </c>
      <c r="C11" s="1" t="s">
        <v>4879</v>
      </c>
      <c r="D11" s="1" t="s">
        <v>4880</v>
      </c>
      <c r="E11" s="1" t="s">
        <v>161</v>
      </c>
      <c r="F11" s="1" t="s">
        <v>161</v>
      </c>
      <c r="G11" s="1" t="s">
        <v>609</v>
      </c>
      <c r="H11" s="8" t="s">
        <v>126</v>
      </c>
      <c r="I11" s="8" t="s">
        <v>141</v>
      </c>
      <c r="J11" s="12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4881</v>
      </c>
      <c r="B12" s="1" t="s">
        <v>169</v>
      </c>
      <c r="C12" s="1" t="s">
        <v>2696</v>
      </c>
      <c r="D12" s="1" t="s">
        <v>4882</v>
      </c>
      <c r="E12" s="1" t="s">
        <v>161</v>
      </c>
      <c r="F12" s="1" t="s">
        <v>171</v>
      </c>
      <c r="G12" s="1" t="s">
        <v>4883</v>
      </c>
      <c r="H12" s="8" t="s">
        <v>126</v>
      </c>
      <c r="I12" s="8" t="s">
        <v>141</v>
      </c>
      <c r="J12" s="12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4884</v>
      </c>
      <c r="B13" s="1" t="s">
        <v>174</v>
      </c>
      <c r="C13" s="1" t="s">
        <v>4885</v>
      </c>
      <c r="D13" s="1" t="s">
        <v>4886</v>
      </c>
      <c r="E13" s="1" t="s">
        <v>161</v>
      </c>
      <c r="F13" s="1" t="s">
        <v>176</v>
      </c>
      <c r="G13" s="1" t="s">
        <v>4887</v>
      </c>
      <c r="H13" s="8" t="s">
        <v>126</v>
      </c>
      <c r="I13" s="8" t="s">
        <v>141</v>
      </c>
      <c r="J13" s="12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4888</v>
      </c>
      <c r="B14" s="1" t="s">
        <v>4665</v>
      </c>
      <c r="C14" s="1" t="s">
        <v>4889</v>
      </c>
      <c r="D14" s="1" t="s">
        <v>4890</v>
      </c>
      <c r="E14" s="1" t="s">
        <v>161</v>
      </c>
      <c r="F14" s="1" t="s">
        <v>186</v>
      </c>
      <c r="G14" s="1" t="s">
        <v>4891</v>
      </c>
      <c r="H14" s="8" t="s">
        <v>126</v>
      </c>
      <c r="I14" s="8" t="s">
        <v>141</v>
      </c>
      <c r="J14" s="12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4892</v>
      </c>
      <c r="B15" s="1" t="s">
        <v>1498</v>
      </c>
      <c r="C15" s="1" t="s">
        <v>4893</v>
      </c>
      <c r="D15" s="1" t="s">
        <v>4894</v>
      </c>
      <c r="E15" s="1" t="s">
        <v>161</v>
      </c>
      <c r="F15" s="1" t="s">
        <v>186</v>
      </c>
      <c r="G15" s="1" t="s">
        <v>4891</v>
      </c>
      <c r="H15" s="8" t="s">
        <v>126</v>
      </c>
      <c r="I15" s="8" t="s">
        <v>141</v>
      </c>
      <c r="J15" s="12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4895</v>
      </c>
      <c r="B16" s="1" t="s">
        <v>35</v>
      </c>
      <c r="C16" s="1" t="s">
        <v>2369</v>
      </c>
      <c r="D16" s="1" t="s">
        <v>4896</v>
      </c>
      <c r="E16" s="1" t="s">
        <v>161</v>
      </c>
      <c r="F16" s="1" t="s">
        <v>186</v>
      </c>
      <c r="G16" s="1" t="s">
        <v>4891</v>
      </c>
      <c r="H16" s="8" t="s">
        <v>126</v>
      </c>
      <c r="I16" s="8" t="s">
        <v>141</v>
      </c>
      <c r="J16" s="12" t="n">
        <v>46262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4897</v>
      </c>
      <c r="B17" s="1" t="s">
        <v>1678</v>
      </c>
      <c r="C17" s="1" t="s">
        <v>1274</v>
      </c>
      <c r="D17" s="1" t="s">
        <v>4898</v>
      </c>
      <c r="E17" s="1" t="s">
        <v>161</v>
      </c>
      <c r="F17" s="1" t="s">
        <v>181</v>
      </c>
      <c r="G17" s="1" t="s">
        <v>4899</v>
      </c>
      <c r="H17" s="8" t="s">
        <v>126</v>
      </c>
      <c r="I17" s="8" t="s">
        <v>141</v>
      </c>
      <c r="J17" s="30" t="n">
        <v>46262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4900</v>
      </c>
      <c r="B18" s="1" t="s">
        <v>189</v>
      </c>
      <c r="C18" s="1" t="s">
        <v>1274</v>
      </c>
      <c r="D18" s="1" t="s">
        <v>4901</v>
      </c>
      <c r="E18" s="1" t="s">
        <v>161</v>
      </c>
      <c r="F18" s="1" t="s">
        <v>191</v>
      </c>
      <c r="G18" s="1" t="s">
        <v>4891</v>
      </c>
      <c r="H18" s="8" t="s">
        <v>126</v>
      </c>
      <c r="I18" s="8" t="s">
        <v>141</v>
      </c>
      <c r="J18" s="30" t="n">
        <v>46262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4902</v>
      </c>
      <c r="B19" s="1" t="s">
        <v>200</v>
      </c>
      <c r="C19" s="1" t="s">
        <v>4903</v>
      </c>
      <c r="D19" s="1" t="s">
        <v>4904</v>
      </c>
      <c r="E19" s="1" t="s">
        <v>161</v>
      </c>
      <c r="F19" s="1" t="s">
        <v>186</v>
      </c>
      <c r="G19" s="1" t="s">
        <v>4905</v>
      </c>
      <c r="H19" s="8" t="s">
        <v>126</v>
      </c>
      <c r="I19" s="8" t="s">
        <v>141</v>
      </c>
      <c r="J19" s="12" t="n">
        <v>46262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4906</v>
      </c>
      <c r="B20" s="1" t="s">
        <v>94</v>
      </c>
      <c r="C20" s="1" t="s">
        <v>4885</v>
      </c>
      <c r="D20" s="1" t="s">
        <v>4907</v>
      </c>
      <c r="E20" s="1" t="s">
        <v>161</v>
      </c>
      <c r="F20" s="1" t="s">
        <v>196</v>
      </c>
      <c r="G20" s="1" t="s">
        <v>4908</v>
      </c>
      <c r="H20" s="8" t="s">
        <v>128</v>
      </c>
      <c r="I20" s="8" t="s">
        <v>140</v>
      </c>
      <c r="J20" s="30" t="n">
        <v>46262</v>
      </c>
      <c r="K20" s="1" t="s">
        <v>4909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4910</v>
      </c>
      <c r="B21" s="1" t="s">
        <v>194</v>
      </c>
      <c r="C21" s="1" t="s">
        <v>1274</v>
      </c>
      <c r="D21" s="1" t="s">
        <v>4911</v>
      </c>
      <c r="E21" s="1" t="s">
        <v>161</v>
      </c>
      <c r="F21" s="1" t="s">
        <v>196</v>
      </c>
      <c r="G21" s="1" t="s">
        <v>4908</v>
      </c>
      <c r="H21" s="8" t="s">
        <v>128</v>
      </c>
      <c r="I21" s="8" t="s">
        <v>140</v>
      </c>
      <c r="J21" s="12" t="n">
        <v>46262</v>
      </c>
      <c r="K21" s="1" t="s">
        <v>4909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4912</v>
      </c>
      <c r="B22" s="1" t="s">
        <v>1620</v>
      </c>
      <c r="C22" s="1" t="s">
        <v>2696</v>
      </c>
      <c r="D22" s="1" t="s">
        <v>4913</v>
      </c>
      <c r="E22" s="1" t="s">
        <v>161</v>
      </c>
      <c r="F22" s="1" t="s">
        <v>220</v>
      </c>
      <c r="G22" s="1" t="s">
        <v>4914</v>
      </c>
      <c r="H22" s="8" t="s">
        <v>126</v>
      </c>
      <c r="I22" s="8" t="s">
        <v>141</v>
      </c>
      <c r="J22" s="12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4915</v>
      </c>
      <c r="B23" s="1" t="s">
        <v>4248</v>
      </c>
      <c r="C23" s="1" t="s">
        <v>4879</v>
      </c>
      <c r="D23" s="1" t="s">
        <v>4916</v>
      </c>
      <c r="E23" s="1" t="s">
        <v>161</v>
      </c>
      <c r="F23" s="1" t="s">
        <v>4917</v>
      </c>
      <c r="G23" s="1" t="s">
        <v>4918</v>
      </c>
      <c r="H23" s="8" t="s">
        <v>126</v>
      </c>
      <c r="I23" s="8" t="s">
        <v>141</v>
      </c>
      <c r="J23" s="12" t="n">
        <v>46262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4919</v>
      </c>
      <c r="B24" s="1" t="s">
        <v>2475</v>
      </c>
      <c r="C24" s="1" t="s">
        <v>4879</v>
      </c>
      <c r="D24" s="1" t="s">
        <v>4920</v>
      </c>
      <c r="E24" s="1" t="s">
        <v>161</v>
      </c>
      <c r="F24" s="1" t="s">
        <v>220</v>
      </c>
      <c r="G24" s="1" t="s">
        <v>4921</v>
      </c>
      <c r="H24" s="8" t="s">
        <v>126</v>
      </c>
      <c r="I24" s="8" t="s">
        <v>141</v>
      </c>
      <c r="J24" s="12" t="n">
        <v>46262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4922</v>
      </c>
      <c r="B25" s="1" t="s">
        <v>223</v>
      </c>
      <c r="C25" s="1" t="s">
        <v>4879</v>
      </c>
      <c r="D25" s="1" t="s">
        <v>4923</v>
      </c>
      <c r="E25" s="1" t="s">
        <v>161</v>
      </c>
      <c r="F25" s="1" t="s">
        <v>220</v>
      </c>
      <c r="G25" s="1" t="s">
        <v>4924</v>
      </c>
      <c r="H25" s="8" t="s">
        <v>126</v>
      </c>
      <c r="I25" s="8" t="s">
        <v>141</v>
      </c>
      <c r="J25" s="12" t="n">
        <v>46262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4925</v>
      </c>
      <c r="B26" s="1" t="s">
        <v>227</v>
      </c>
      <c r="C26" s="1" t="s">
        <v>4879</v>
      </c>
      <c r="D26" s="1" t="s">
        <v>4926</v>
      </c>
      <c r="E26" s="1" t="s">
        <v>229</v>
      </c>
      <c r="F26" s="1" t="s">
        <v>229</v>
      </c>
      <c r="G26" s="1" t="s">
        <v>230</v>
      </c>
      <c r="H26" s="8" t="s">
        <v>126</v>
      </c>
      <c r="I26" s="8" t="s">
        <v>141</v>
      </c>
      <c r="J26" s="12" t="n">
        <v>46262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4927</v>
      </c>
      <c r="B27" s="1" t="s">
        <v>232</v>
      </c>
      <c r="C27" s="1" t="s">
        <v>4879</v>
      </c>
      <c r="D27" s="1" t="s">
        <v>4928</v>
      </c>
      <c r="E27" s="1" t="s">
        <v>161</v>
      </c>
      <c r="F27" s="1" t="s">
        <v>161</v>
      </c>
      <c r="G27" s="1" t="s">
        <v>4929</v>
      </c>
      <c r="H27" s="8" t="s">
        <v>126</v>
      </c>
      <c r="I27" s="8" t="s">
        <v>141</v>
      </c>
      <c r="J27" s="12" t="n">
        <v>46262</v>
      </c>
      <c r="K27" s="1" t="s">
        <v>4563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42" hidden="false" customHeight="true" outlineLevel="0" collapsed="false">
      <c r="A28" s="1" t="s">
        <v>4930</v>
      </c>
      <c r="B28" s="1" t="s">
        <v>214</v>
      </c>
      <c r="C28" s="1" t="s">
        <v>1274</v>
      </c>
      <c r="D28" s="1" t="s">
        <v>4931</v>
      </c>
      <c r="E28" s="1" t="s">
        <v>161</v>
      </c>
      <c r="F28" s="1" t="s">
        <v>202</v>
      </c>
      <c r="G28" s="1" t="s">
        <v>4932</v>
      </c>
      <c r="H28" s="8" t="s">
        <v>120</v>
      </c>
      <c r="I28" s="8" t="s">
        <v>140</v>
      </c>
      <c r="K28" s="1" t="s">
        <v>4933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6">
      <formula>NOT(ISERROR(SEARCH("not started",H9)))</formula>
    </cfRule>
    <cfRule type="containsText" priority="3" operator="containsText" aboveAverage="0" equalAverage="0" bottom="0" percent="0" rank="0" text="partial" dxfId="7">
      <formula>NOT(ISERROR(SEARCH("partial",H9)))</formula>
    </cfRule>
    <cfRule type="containsText" priority="4" operator="containsText" aboveAverage="0" equalAverage="0" bottom="0" percent="0" rank="0" text="implemented" dxfId="8">
      <formula>NOT(ISERROR(SEARCH("implemented",H9)))</formula>
    </cfRule>
    <cfRule type="containsText" priority="5" operator="containsText" aboveAverage="0" equalAverage="0" bottom="0" percent="0" rank="0" text="tested" dxfId="9">
      <formula>NOT(ISERROR(SEARCH("tested",H9)))</formula>
    </cfRule>
    <cfRule type="containsText" priority="6" operator="containsText" aboveAverage="0" equalAverage="0" bottom="0" percent="0" rank="0" text="verified" dxfId="4">
      <formula>NOT(ISERROR(SEARCH("verified",H9)))</formula>
    </cfRule>
    <cfRule type="containsText" priority="7" operator="containsText" aboveAverage="0" equalAverage="0" bottom="0" percent="0" rank="0" text="blocked" dxfId="10">
      <formula>NOT(ISERROR(SEARCH("blocked",H9)))</formula>
    </cfRule>
    <cfRule type="containsText" priority="8" operator="containsText" aboveAverage="0" equalAverage="0" bottom="0" percent="0" rank="0" text="not applicable" dxfId="6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10" min="9" style="0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31" t="s">
        <v>4934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customFormat="false" ht="27.75" hidden="false" customHeight="true" outlineLevel="0" collapsed="false">
      <c r="A2" s="21" t="s">
        <v>4935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customFormat="false" ht="17.25" hidden="false" customHeight="true" outlineLevel="0" collapsed="false">
      <c r="A4" s="21" t="s">
        <v>7</v>
      </c>
      <c r="B4" s="32" t="n">
        <f aca="false">COUNTA(A9:A25)</f>
        <v>17</v>
      </c>
      <c r="C4" s="21"/>
      <c r="D4" s="21" t="s">
        <v>144</v>
      </c>
      <c r="E4" s="32" t="n">
        <f aca="false">SUM(M9:M25)</f>
        <v>12</v>
      </c>
      <c r="F4" s="21"/>
      <c r="G4" s="21" t="s">
        <v>14</v>
      </c>
      <c r="H4" s="32" t="n">
        <f aca="false">IF(B4=0,0,E4/B4)</f>
        <v>0.705882352941177</v>
      </c>
      <c r="I4" s="21"/>
      <c r="J4" s="21" t="s">
        <v>15</v>
      </c>
      <c r="K4" s="32" t="str">
        <f aca="false">IF(COUNTIFS(E9:E25,"package",M9:M25,0)&gt;0,"open","complete")</f>
        <v>open</v>
      </c>
      <c r="L4" s="21"/>
      <c r="M4" s="21"/>
    </row>
    <row r="5" customFormat="false" ht="17.25" hidden="false" customHeight="true" outlineLevel="0" collapsed="false">
      <c r="A5" s="21" t="s">
        <v>145</v>
      </c>
      <c r="B5" s="32" t="str">
        <f aca="false">IF(COUNTIFS(I9:I25,"yes",M9:M25,0)&gt;0,"open","complete")</f>
        <v>open</v>
      </c>
      <c r="C5" s="21"/>
      <c r="D5" s="21" t="s">
        <v>16</v>
      </c>
      <c r="E5" s="32" t="str">
        <f aca="false">IF(COUNTIFS(E9:E25,"consumer",M9:M25,0)&gt;0,"open","complete")</f>
        <v>complete</v>
      </c>
      <c r="F5" s="21"/>
      <c r="G5" s="21"/>
      <c r="H5" s="21"/>
      <c r="I5" s="21"/>
      <c r="J5" s="21"/>
      <c r="K5" s="21"/>
      <c r="L5" s="21"/>
      <c r="M5" s="21"/>
    </row>
    <row r="8" customFormat="false" ht="15" hidden="false" customHeight="true" outlineLevel="0" collapsed="false">
      <c r="A8" s="23" t="s">
        <v>146</v>
      </c>
      <c r="B8" s="23" t="s">
        <v>147</v>
      </c>
      <c r="C8" s="23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104</v>
      </c>
      <c r="I8" s="23" t="s">
        <v>153</v>
      </c>
      <c r="J8" s="23" t="s">
        <v>154</v>
      </c>
      <c r="K8" s="23" t="s">
        <v>155</v>
      </c>
      <c r="L8" s="23" t="s">
        <v>156</v>
      </c>
      <c r="M8" s="23" t="s">
        <v>144</v>
      </c>
    </row>
    <row r="9" customFormat="false" ht="54" hidden="false" customHeight="true" outlineLevel="0" collapsed="false">
      <c r="A9" s="25" t="s">
        <v>4936</v>
      </c>
      <c r="B9" s="25" t="s">
        <v>158</v>
      </c>
      <c r="C9" s="25" t="s">
        <v>106</v>
      </c>
      <c r="D9" s="25" t="s">
        <v>4937</v>
      </c>
      <c r="E9" s="25" t="s">
        <v>161</v>
      </c>
      <c r="F9" s="25" t="s">
        <v>162</v>
      </c>
      <c r="G9" s="25" t="s">
        <v>4938</v>
      </c>
      <c r="H9" s="26" t="s">
        <v>126</v>
      </c>
      <c r="I9" s="25" t="s">
        <v>141</v>
      </c>
      <c r="J9" s="27" t="n">
        <v>46264</v>
      </c>
      <c r="K9" s="25"/>
      <c r="L9" s="28" t="n">
        <v>1</v>
      </c>
      <c r="M9" s="28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5" t="s">
        <v>4939</v>
      </c>
      <c r="B10" s="25" t="s">
        <v>118</v>
      </c>
      <c r="C10" s="25" t="s">
        <v>106</v>
      </c>
      <c r="D10" s="25" t="s">
        <v>4940</v>
      </c>
      <c r="E10" s="25" t="s">
        <v>161</v>
      </c>
      <c r="F10" s="25" t="s">
        <v>181</v>
      </c>
      <c r="G10" s="25" t="s">
        <v>4941</v>
      </c>
      <c r="H10" s="26" t="s">
        <v>126</v>
      </c>
      <c r="I10" s="25" t="s">
        <v>141</v>
      </c>
      <c r="J10" s="27" t="n">
        <v>46264</v>
      </c>
      <c r="K10" s="25"/>
      <c r="L10" s="28" t="n">
        <v>1</v>
      </c>
      <c r="M10" s="28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5" t="s">
        <v>4942</v>
      </c>
      <c r="B11" s="25" t="s">
        <v>165</v>
      </c>
      <c r="C11" s="25" t="s">
        <v>106</v>
      </c>
      <c r="D11" s="25" t="s">
        <v>4943</v>
      </c>
      <c r="E11" s="25" t="s">
        <v>161</v>
      </c>
      <c r="F11" s="25" t="s">
        <v>161</v>
      </c>
      <c r="G11" s="25" t="s">
        <v>609</v>
      </c>
      <c r="H11" s="26" t="s">
        <v>126</v>
      </c>
      <c r="I11" s="25" t="s">
        <v>141</v>
      </c>
      <c r="J11" s="27" t="n">
        <v>46264</v>
      </c>
      <c r="K11" s="25"/>
      <c r="L11" s="28" t="n">
        <v>1</v>
      </c>
      <c r="M11" s="28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5" t="s">
        <v>4944</v>
      </c>
      <c r="B12" s="25" t="s">
        <v>169</v>
      </c>
      <c r="C12" s="25" t="s">
        <v>106</v>
      </c>
      <c r="D12" s="25" t="s">
        <v>4945</v>
      </c>
      <c r="E12" s="25" t="s">
        <v>161</v>
      </c>
      <c r="F12" s="25" t="s">
        <v>171</v>
      </c>
      <c r="G12" s="25" t="s">
        <v>4946</v>
      </c>
      <c r="H12" s="26" t="s">
        <v>126</v>
      </c>
      <c r="I12" s="25" t="s">
        <v>141</v>
      </c>
      <c r="J12" s="27" t="n">
        <v>46264</v>
      </c>
      <c r="K12" s="25"/>
      <c r="L12" s="28" t="n">
        <v>1</v>
      </c>
      <c r="M12" s="28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5" t="s">
        <v>4947</v>
      </c>
      <c r="B13" s="25" t="s">
        <v>174</v>
      </c>
      <c r="C13" s="25" t="s">
        <v>106</v>
      </c>
      <c r="D13" s="25" t="s">
        <v>4948</v>
      </c>
      <c r="E13" s="25" t="s">
        <v>161</v>
      </c>
      <c r="F13" s="25" t="s">
        <v>176</v>
      </c>
      <c r="G13" s="25" t="s">
        <v>4949</v>
      </c>
      <c r="H13" s="26" t="s">
        <v>126</v>
      </c>
      <c r="I13" s="25" t="s">
        <v>141</v>
      </c>
      <c r="J13" s="27" t="n">
        <v>46264</v>
      </c>
      <c r="K13" s="25"/>
      <c r="L13" s="28" t="n">
        <v>1</v>
      </c>
      <c r="M13" s="28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5" t="s">
        <v>4950</v>
      </c>
      <c r="B14" s="25" t="s">
        <v>179</v>
      </c>
      <c r="C14" s="25" t="s">
        <v>106</v>
      </c>
      <c r="D14" s="25" t="s">
        <v>4951</v>
      </c>
      <c r="E14" s="25" t="s">
        <v>161</v>
      </c>
      <c r="F14" s="25" t="s">
        <v>181</v>
      </c>
      <c r="G14" s="25" t="s">
        <v>4952</v>
      </c>
      <c r="H14" s="26" t="s">
        <v>126</v>
      </c>
      <c r="I14" s="25" t="s">
        <v>141</v>
      </c>
      <c r="J14" s="27" t="n">
        <v>46264</v>
      </c>
      <c r="K14" s="25"/>
      <c r="L14" s="28" t="n">
        <v>1</v>
      </c>
      <c r="M14" s="28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5" t="s">
        <v>4953</v>
      </c>
      <c r="B15" s="25" t="s">
        <v>184</v>
      </c>
      <c r="C15" s="25" t="s">
        <v>106</v>
      </c>
      <c r="D15" s="25" t="s">
        <v>4954</v>
      </c>
      <c r="E15" s="25" t="s">
        <v>161</v>
      </c>
      <c r="F15" s="25" t="s">
        <v>186</v>
      </c>
      <c r="G15" s="25" t="s">
        <v>4955</v>
      </c>
      <c r="H15" s="26" t="s">
        <v>126</v>
      </c>
      <c r="I15" s="25" t="s">
        <v>141</v>
      </c>
      <c r="J15" s="27" t="n">
        <v>46264</v>
      </c>
      <c r="K15" s="25"/>
      <c r="L15" s="28" t="n">
        <v>1</v>
      </c>
      <c r="M15" s="28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5" t="s">
        <v>4956</v>
      </c>
      <c r="B16" s="25" t="s">
        <v>189</v>
      </c>
      <c r="C16" s="25" t="s">
        <v>106</v>
      </c>
      <c r="D16" s="25" t="s">
        <v>4957</v>
      </c>
      <c r="E16" s="25" t="s">
        <v>161</v>
      </c>
      <c r="F16" s="25" t="s">
        <v>191</v>
      </c>
      <c r="G16" s="25" t="s">
        <v>4955</v>
      </c>
      <c r="H16" s="26" t="s">
        <v>126</v>
      </c>
      <c r="I16" s="25" t="s">
        <v>141</v>
      </c>
      <c r="J16" s="27" t="n">
        <v>46264</v>
      </c>
      <c r="K16" s="25"/>
      <c r="L16" s="28" t="n">
        <v>1</v>
      </c>
      <c r="M16" s="28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5" t="s">
        <v>4958</v>
      </c>
      <c r="B17" s="25" t="s">
        <v>194</v>
      </c>
      <c r="C17" s="25" t="s">
        <v>106</v>
      </c>
      <c r="D17" s="25" t="s">
        <v>4959</v>
      </c>
      <c r="E17" s="25" t="s">
        <v>161</v>
      </c>
      <c r="F17" s="25" t="s">
        <v>196</v>
      </c>
      <c r="G17" s="25" t="s">
        <v>4960</v>
      </c>
      <c r="H17" s="29" t="s">
        <v>124</v>
      </c>
      <c r="I17" s="25" t="s">
        <v>140</v>
      </c>
      <c r="J17" s="27" t="n">
        <v>46264</v>
      </c>
      <c r="K17" s="25" t="s">
        <v>1193</v>
      </c>
      <c r="L17" s="28" t="n">
        <v>1</v>
      </c>
      <c r="M17" s="28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25" t="s">
        <v>4961</v>
      </c>
      <c r="B18" s="25" t="s">
        <v>200</v>
      </c>
      <c r="C18" s="25" t="s">
        <v>106</v>
      </c>
      <c r="D18" s="25" t="s">
        <v>4962</v>
      </c>
      <c r="E18" s="25" t="s">
        <v>161</v>
      </c>
      <c r="F18" s="25" t="s">
        <v>202</v>
      </c>
      <c r="G18" s="25" t="s">
        <v>4963</v>
      </c>
      <c r="H18" s="29" t="s">
        <v>124</v>
      </c>
      <c r="I18" s="25" t="s">
        <v>140</v>
      </c>
      <c r="J18" s="27"/>
      <c r="K18" s="25" t="s">
        <v>1197</v>
      </c>
      <c r="L18" s="28" t="n">
        <v>1</v>
      </c>
      <c r="M18" s="28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25" t="s">
        <v>4964</v>
      </c>
      <c r="B19" s="25" t="s">
        <v>206</v>
      </c>
      <c r="C19" s="25" t="s">
        <v>106</v>
      </c>
      <c r="D19" s="25" t="s">
        <v>4965</v>
      </c>
      <c r="E19" s="25" t="s">
        <v>161</v>
      </c>
      <c r="F19" s="25" t="s">
        <v>202</v>
      </c>
      <c r="G19" s="25" t="s">
        <v>4966</v>
      </c>
      <c r="H19" s="29" t="s">
        <v>124</v>
      </c>
      <c r="I19" s="25" t="s">
        <v>140</v>
      </c>
      <c r="J19" s="27"/>
      <c r="K19" s="25" t="s">
        <v>1201</v>
      </c>
      <c r="L19" s="28" t="n">
        <v>1</v>
      </c>
      <c r="M19" s="28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25" t="s">
        <v>4967</v>
      </c>
      <c r="B20" s="25" t="s">
        <v>689</v>
      </c>
      <c r="C20" s="25" t="s">
        <v>106</v>
      </c>
      <c r="D20" s="25" t="s">
        <v>4968</v>
      </c>
      <c r="E20" s="25" t="s">
        <v>161</v>
      </c>
      <c r="F20" s="25" t="s">
        <v>186</v>
      </c>
      <c r="G20" s="25" t="s">
        <v>4955</v>
      </c>
      <c r="H20" s="26" t="s">
        <v>126</v>
      </c>
      <c r="I20" s="25" t="s">
        <v>141</v>
      </c>
      <c r="J20" s="27" t="n">
        <v>46264</v>
      </c>
      <c r="K20" s="25"/>
      <c r="L20" s="28" t="n">
        <v>1</v>
      </c>
      <c r="M20" s="28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5" t="s">
        <v>4969</v>
      </c>
      <c r="B21" s="25" t="s">
        <v>214</v>
      </c>
      <c r="C21" s="25" t="s">
        <v>106</v>
      </c>
      <c r="D21" s="25" t="s">
        <v>4970</v>
      </c>
      <c r="E21" s="25" t="s">
        <v>161</v>
      </c>
      <c r="F21" s="25" t="s">
        <v>202</v>
      </c>
      <c r="G21" s="25" t="s">
        <v>4963</v>
      </c>
      <c r="H21" s="29" t="s">
        <v>124</v>
      </c>
      <c r="I21" s="25" t="s">
        <v>140</v>
      </c>
      <c r="J21" s="27"/>
      <c r="K21" s="25" t="s">
        <v>1204</v>
      </c>
      <c r="L21" s="28" t="n">
        <v>1</v>
      </c>
      <c r="M21" s="28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5" t="s">
        <v>4971</v>
      </c>
      <c r="B22" s="25" t="s">
        <v>218</v>
      </c>
      <c r="C22" s="25" t="s">
        <v>106</v>
      </c>
      <c r="D22" s="25" t="s">
        <v>4972</v>
      </c>
      <c r="E22" s="25" t="s">
        <v>161</v>
      </c>
      <c r="F22" s="25" t="s">
        <v>220</v>
      </c>
      <c r="G22" s="25" t="s">
        <v>4973</v>
      </c>
      <c r="H22" s="26" t="s">
        <v>126</v>
      </c>
      <c r="I22" s="25" t="s">
        <v>141</v>
      </c>
      <c r="J22" s="27" t="n">
        <v>46264</v>
      </c>
      <c r="K22" s="25"/>
      <c r="L22" s="28" t="n">
        <v>1</v>
      </c>
      <c r="M22" s="28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5" t="s">
        <v>4974</v>
      </c>
      <c r="B23" s="25" t="s">
        <v>223</v>
      </c>
      <c r="C23" s="25" t="s">
        <v>106</v>
      </c>
      <c r="D23" s="25" t="s">
        <v>4975</v>
      </c>
      <c r="E23" s="25" t="s">
        <v>161</v>
      </c>
      <c r="F23" s="25" t="s">
        <v>220</v>
      </c>
      <c r="G23" s="25" t="s">
        <v>4976</v>
      </c>
      <c r="H23" s="26" t="s">
        <v>126</v>
      </c>
      <c r="I23" s="25" t="s">
        <v>141</v>
      </c>
      <c r="J23" s="27" t="n">
        <v>46264</v>
      </c>
      <c r="K23" s="25"/>
      <c r="L23" s="28" t="n">
        <v>1</v>
      </c>
      <c r="M23" s="28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5" t="s">
        <v>4977</v>
      </c>
      <c r="B24" s="25" t="s">
        <v>227</v>
      </c>
      <c r="C24" s="25" t="s">
        <v>106</v>
      </c>
      <c r="D24" s="25" t="s">
        <v>4978</v>
      </c>
      <c r="E24" s="25" t="s">
        <v>229</v>
      </c>
      <c r="F24" s="25" t="s">
        <v>229</v>
      </c>
      <c r="G24" s="25" t="s">
        <v>230</v>
      </c>
      <c r="H24" s="26" t="s">
        <v>126</v>
      </c>
      <c r="I24" s="25" t="s">
        <v>141</v>
      </c>
      <c r="J24" s="27" t="n">
        <v>46264</v>
      </c>
      <c r="K24" s="25"/>
      <c r="L24" s="28" t="n">
        <v>1</v>
      </c>
      <c r="M24" s="28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5" t="s">
        <v>4979</v>
      </c>
      <c r="B25" s="25" t="s">
        <v>232</v>
      </c>
      <c r="C25" s="25" t="s">
        <v>106</v>
      </c>
      <c r="D25" s="25" t="s">
        <v>4980</v>
      </c>
      <c r="E25" s="25" t="s">
        <v>161</v>
      </c>
      <c r="F25" s="25" t="s">
        <v>161</v>
      </c>
      <c r="G25" s="25" t="s">
        <v>601</v>
      </c>
      <c r="H25" s="29" t="s">
        <v>124</v>
      </c>
      <c r="I25" s="25" t="s">
        <v>140</v>
      </c>
      <c r="J25" s="27" t="n">
        <v>46264</v>
      </c>
      <c r="K25" s="25" t="s">
        <v>1215</v>
      </c>
      <c r="L25" s="28" t="n">
        <v>1</v>
      </c>
      <c r="M25" s="28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10" min="9" style="0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31" t="s">
        <v>4981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customFormat="false" ht="27.75" hidden="false" customHeight="true" outlineLevel="0" collapsed="false">
      <c r="A2" s="21" t="s">
        <v>4982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customFormat="false" ht="17.25" hidden="false" customHeight="true" outlineLevel="0" collapsed="false">
      <c r="A4" s="21" t="s">
        <v>7</v>
      </c>
      <c r="B4" s="32" t="n">
        <f aca="false">COUNTA(A9:A25)</f>
        <v>17</v>
      </c>
      <c r="C4" s="21"/>
      <c r="D4" s="21" t="s">
        <v>144</v>
      </c>
      <c r="E4" s="32" t="n">
        <f aca="false">SUM(M9:M25)</f>
        <v>12</v>
      </c>
      <c r="F4" s="21"/>
      <c r="G4" s="21" t="s">
        <v>14</v>
      </c>
      <c r="H4" s="32" t="n">
        <f aca="false">IF(B4=0,0,E4/B4)</f>
        <v>0.705882352941177</v>
      </c>
      <c r="I4" s="21"/>
      <c r="J4" s="21" t="s">
        <v>15</v>
      </c>
      <c r="K4" s="32" t="str">
        <f aca="false">IF(COUNTIFS(E9:E25,"package",M9:M25,0)&gt;0,"open","complete")</f>
        <v>open</v>
      </c>
      <c r="L4" s="21"/>
      <c r="M4" s="21"/>
    </row>
    <row r="5" customFormat="false" ht="17.25" hidden="false" customHeight="true" outlineLevel="0" collapsed="false">
      <c r="A5" s="21" t="s">
        <v>145</v>
      </c>
      <c r="B5" s="32" t="str">
        <f aca="false">IF(COUNTIFS(I9:I25,"yes",M9:M25,0)&gt;0,"open","complete")</f>
        <v>open</v>
      </c>
      <c r="C5" s="21"/>
      <c r="D5" s="21" t="s">
        <v>16</v>
      </c>
      <c r="E5" s="32" t="str">
        <f aca="false">IF(COUNTIFS(E9:E25,"consumer",M9:M25,0)&gt;0,"open","complete")</f>
        <v>complete</v>
      </c>
      <c r="F5" s="21"/>
      <c r="G5" s="21"/>
      <c r="H5" s="21"/>
      <c r="I5" s="21"/>
      <c r="J5" s="21"/>
      <c r="K5" s="21"/>
      <c r="L5" s="21"/>
      <c r="M5" s="21"/>
    </row>
    <row r="8" customFormat="false" ht="15" hidden="false" customHeight="true" outlineLevel="0" collapsed="false">
      <c r="A8" s="23" t="s">
        <v>146</v>
      </c>
      <c r="B8" s="23" t="s">
        <v>147</v>
      </c>
      <c r="C8" s="23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104</v>
      </c>
      <c r="I8" s="23" t="s">
        <v>153</v>
      </c>
      <c r="J8" s="23" t="s">
        <v>154</v>
      </c>
      <c r="K8" s="23" t="s">
        <v>155</v>
      </c>
      <c r="L8" s="23" t="s">
        <v>156</v>
      </c>
      <c r="M8" s="23" t="s">
        <v>144</v>
      </c>
    </row>
    <row r="9" customFormat="false" ht="54" hidden="false" customHeight="true" outlineLevel="0" collapsed="false">
      <c r="A9" s="25" t="s">
        <v>4983</v>
      </c>
      <c r="B9" s="25" t="s">
        <v>158</v>
      </c>
      <c r="C9" s="25" t="s">
        <v>107</v>
      </c>
      <c r="D9" s="25" t="s">
        <v>4984</v>
      </c>
      <c r="E9" s="25" t="s">
        <v>161</v>
      </c>
      <c r="F9" s="25" t="s">
        <v>162</v>
      </c>
      <c r="G9" s="25" t="s">
        <v>4985</v>
      </c>
      <c r="H9" s="26" t="s">
        <v>126</v>
      </c>
      <c r="I9" s="25" t="s">
        <v>141</v>
      </c>
      <c r="J9" s="27" t="n">
        <v>46264</v>
      </c>
      <c r="K9" s="25"/>
      <c r="L9" s="28" t="n">
        <v>1</v>
      </c>
      <c r="M9" s="28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5" t="s">
        <v>4986</v>
      </c>
      <c r="B10" s="25" t="s">
        <v>118</v>
      </c>
      <c r="C10" s="25" t="s">
        <v>107</v>
      </c>
      <c r="D10" s="25" t="s">
        <v>4987</v>
      </c>
      <c r="E10" s="25" t="s">
        <v>161</v>
      </c>
      <c r="F10" s="25" t="s">
        <v>181</v>
      </c>
      <c r="G10" s="25" t="s">
        <v>4988</v>
      </c>
      <c r="H10" s="26" t="s">
        <v>126</v>
      </c>
      <c r="I10" s="25" t="s">
        <v>141</v>
      </c>
      <c r="J10" s="27" t="n">
        <v>46264</v>
      </c>
      <c r="K10" s="25"/>
      <c r="L10" s="28" t="n">
        <v>1</v>
      </c>
      <c r="M10" s="28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5" t="s">
        <v>4989</v>
      </c>
      <c r="B11" s="25" t="s">
        <v>165</v>
      </c>
      <c r="C11" s="25" t="s">
        <v>107</v>
      </c>
      <c r="D11" s="25" t="s">
        <v>4990</v>
      </c>
      <c r="E11" s="25" t="s">
        <v>161</v>
      </c>
      <c r="F11" s="25" t="s">
        <v>161</v>
      </c>
      <c r="G11" s="25" t="s">
        <v>609</v>
      </c>
      <c r="H11" s="26" t="s">
        <v>126</v>
      </c>
      <c r="I11" s="25" t="s">
        <v>141</v>
      </c>
      <c r="J11" s="27" t="n">
        <v>46264</v>
      </c>
      <c r="K11" s="25"/>
      <c r="L11" s="28" t="n">
        <v>1</v>
      </c>
      <c r="M11" s="28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5" t="s">
        <v>4991</v>
      </c>
      <c r="B12" s="25" t="s">
        <v>169</v>
      </c>
      <c r="C12" s="25" t="s">
        <v>107</v>
      </c>
      <c r="D12" s="25" t="s">
        <v>4945</v>
      </c>
      <c r="E12" s="25" t="s">
        <v>161</v>
      </c>
      <c r="F12" s="25" t="s">
        <v>171</v>
      </c>
      <c r="G12" s="25" t="s">
        <v>4992</v>
      </c>
      <c r="H12" s="26" t="s">
        <v>126</v>
      </c>
      <c r="I12" s="25" t="s">
        <v>141</v>
      </c>
      <c r="J12" s="27" t="n">
        <v>46264</v>
      </c>
      <c r="K12" s="25"/>
      <c r="L12" s="28" t="n">
        <v>1</v>
      </c>
      <c r="M12" s="28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5" t="s">
        <v>4993</v>
      </c>
      <c r="B13" s="25" t="s">
        <v>174</v>
      </c>
      <c r="C13" s="25" t="s">
        <v>107</v>
      </c>
      <c r="D13" s="25" t="s">
        <v>4948</v>
      </c>
      <c r="E13" s="25" t="s">
        <v>161</v>
      </c>
      <c r="F13" s="25" t="s">
        <v>176</v>
      </c>
      <c r="G13" s="25" t="s">
        <v>4994</v>
      </c>
      <c r="H13" s="26" t="s">
        <v>126</v>
      </c>
      <c r="I13" s="25" t="s">
        <v>141</v>
      </c>
      <c r="J13" s="27" t="n">
        <v>46264</v>
      </c>
      <c r="K13" s="25"/>
      <c r="L13" s="28" t="n">
        <v>1</v>
      </c>
      <c r="M13" s="28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5" t="s">
        <v>4995</v>
      </c>
      <c r="B14" s="25" t="s">
        <v>179</v>
      </c>
      <c r="C14" s="25" t="s">
        <v>107</v>
      </c>
      <c r="D14" s="25" t="s">
        <v>4996</v>
      </c>
      <c r="E14" s="25" t="s">
        <v>161</v>
      </c>
      <c r="F14" s="25" t="s">
        <v>181</v>
      </c>
      <c r="G14" s="25" t="s">
        <v>4997</v>
      </c>
      <c r="H14" s="26" t="s">
        <v>126</v>
      </c>
      <c r="I14" s="25" t="s">
        <v>141</v>
      </c>
      <c r="J14" s="27" t="n">
        <v>46264</v>
      </c>
      <c r="K14" s="25"/>
      <c r="L14" s="28" t="n">
        <v>1</v>
      </c>
      <c r="M14" s="28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5" t="s">
        <v>4998</v>
      </c>
      <c r="B15" s="25" t="s">
        <v>184</v>
      </c>
      <c r="C15" s="25" t="s">
        <v>107</v>
      </c>
      <c r="D15" s="25" t="s">
        <v>4999</v>
      </c>
      <c r="E15" s="25" t="s">
        <v>161</v>
      </c>
      <c r="F15" s="25" t="s">
        <v>186</v>
      </c>
      <c r="G15" s="25" t="s">
        <v>5000</v>
      </c>
      <c r="H15" s="26" t="s">
        <v>126</v>
      </c>
      <c r="I15" s="25" t="s">
        <v>141</v>
      </c>
      <c r="J15" s="27" t="n">
        <v>46264</v>
      </c>
      <c r="K15" s="25"/>
      <c r="L15" s="28" t="n">
        <v>1</v>
      </c>
      <c r="M15" s="28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5" t="s">
        <v>5001</v>
      </c>
      <c r="B16" s="25" t="s">
        <v>189</v>
      </c>
      <c r="C16" s="25" t="s">
        <v>107</v>
      </c>
      <c r="D16" s="25" t="s">
        <v>5002</v>
      </c>
      <c r="E16" s="25" t="s">
        <v>161</v>
      </c>
      <c r="F16" s="25" t="s">
        <v>191</v>
      </c>
      <c r="G16" s="25" t="s">
        <v>5000</v>
      </c>
      <c r="H16" s="26" t="s">
        <v>126</v>
      </c>
      <c r="I16" s="25" t="s">
        <v>141</v>
      </c>
      <c r="J16" s="27" t="n">
        <v>46264</v>
      </c>
      <c r="K16" s="25"/>
      <c r="L16" s="28" t="n">
        <v>1</v>
      </c>
      <c r="M16" s="28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5" t="s">
        <v>5003</v>
      </c>
      <c r="B17" s="25" t="s">
        <v>194</v>
      </c>
      <c r="C17" s="25" t="s">
        <v>107</v>
      </c>
      <c r="D17" s="25" t="s">
        <v>5004</v>
      </c>
      <c r="E17" s="25" t="s">
        <v>161</v>
      </c>
      <c r="F17" s="25" t="s">
        <v>196</v>
      </c>
      <c r="G17" s="25" t="s">
        <v>5005</v>
      </c>
      <c r="H17" s="29" t="s">
        <v>124</v>
      </c>
      <c r="I17" s="25" t="s">
        <v>140</v>
      </c>
      <c r="J17" s="27" t="n">
        <v>46264</v>
      </c>
      <c r="K17" s="25" t="s">
        <v>1193</v>
      </c>
      <c r="L17" s="28" t="n">
        <v>1</v>
      </c>
      <c r="M17" s="28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25" t="s">
        <v>5006</v>
      </c>
      <c r="B18" s="25" t="s">
        <v>200</v>
      </c>
      <c r="C18" s="25" t="s">
        <v>107</v>
      </c>
      <c r="D18" s="25" t="s">
        <v>5007</v>
      </c>
      <c r="E18" s="25" t="s">
        <v>161</v>
      </c>
      <c r="F18" s="25" t="s">
        <v>202</v>
      </c>
      <c r="G18" s="25" t="s">
        <v>5008</v>
      </c>
      <c r="H18" s="29" t="s">
        <v>124</v>
      </c>
      <c r="I18" s="25" t="s">
        <v>140</v>
      </c>
      <c r="J18" s="27"/>
      <c r="K18" s="25" t="s">
        <v>1197</v>
      </c>
      <c r="L18" s="28" t="n">
        <v>1</v>
      </c>
      <c r="M18" s="28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25" t="s">
        <v>5009</v>
      </c>
      <c r="B19" s="25" t="s">
        <v>206</v>
      </c>
      <c r="C19" s="25" t="s">
        <v>107</v>
      </c>
      <c r="D19" s="25" t="s">
        <v>5010</v>
      </c>
      <c r="E19" s="25" t="s">
        <v>161</v>
      </c>
      <c r="F19" s="25" t="s">
        <v>202</v>
      </c>
      <c r="G19" s="25" t="s">
        <v>5011</v>
      </c>
      <c r="H19" s="29" t="s">
        <v>124</v>
      </c>
      <c r="I19" s="25" t="s">
        <v>140</v>
      </c>
      <c r="J19" s="27"/>
      <c r="K19" s="25" t="s">
        <v>1201</v>
      </c>
      <c r="L19" s="28" t="n">
        <v>1</v>
      </c>
      <c r="M19" s="28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25" t="s">
        <v>5012</v>
      </c>
      <c r="B20" s="25" t="s">
        <v>689</v>
      </c>
      <c r="C20" s="25" t="s">
        <v>107</v>
      </c>
      <c r="D20" s="25" t="s">
        <v>5013</v>
      </c>
      <c r="E20" s="25" t="s">
        <v>161</v>
      </c>
      <c r="F20" s="25" t="s">
        <v>186</v>
      </c>
      <c r="G20" s="25" t="s">
        <v>5000</v>
      </c>
      <c r="H20" s="26" t="s">
        <v>126</v>
      </c>
      <c r="I20" s="25" t="s">
        <v>141</v>
      </c>
      <c r="J20" s="27" t="n">
        <v>46264</v>
      </c>
      <c r="K20" s="25"/>
      <c r="L20" s="28" t="n">
        <v>1</v>
      </c>
      <c r="M20" s="28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5" t="s">
        <v>5014</v>
      </c>
      <c r="B21" s="25" t="s">
        <v>214</v>
      </c>
      <c r="C21" s="25" t="s">
        <v>107</v>
      </c>
      <c r="D21" s="25" t="s">
        <v>5015</v>
      </c>
      <c r="E21" s="25" t="s">
        <v>161</v>
      </c>
      <c r="F21" s="25" t="s">
        <v>202</v>
      </c>
      <c r="G21" s="25" t="s">
        <v>5008</v>
      </c>
      <c r="H21" s="29" t="s">
        <v>124</v>
      </c>
      <c r="I21" s="25" t="s">
        <v>140</v>
      </c>
      <c r="J21" s="27"/>
      <c r="K21" s="25" t="s">
        <v>1204</v>
      </c>
      <c r="L21" s="28" t="n">
        <v>1</v>
      </c>
      <c r="M21" s="28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5" t="s">
        <v>5016</v>
      </c>
      <c r="B22" s="25" t="s">
        <v>218</v>
      </c>
      <c r="C22" s="25" t="s">
        <v>107</v>
      </c>
      <c r="D22" s="25" t="s">
        <v>4972</v>
      </c>
      <c r="E22" s="25" t="s">
        <v>161</v>
      </c>
      <c r="F22" s="25" t="s">
        <v>220</v>
      </c>
      <c r="G22" s="25" t="s">
        <v>5017</v>
      </c>
      <c r="H22" s="26" t="s">
        <v>126</v>
      </c>
      <c r="I22" s="25" t="s">
        <v>141</v>
      </c>
      <c r="J22" s="27" t="n">
        <v>46264</v>
      </c>
      <c r="K22" s="25"/>
      <c r="L22" s="28" t="n">
        <v>1</v>
      </c>
      <c r="M22" s="28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5" t="s">
        <v>5018</v>
      </c>
      <c r="B23" s="25" t="s">
        <v>223</v>
      </c>
      <c r="C23" s="25" t="s">
        <v>107</v>
      </c>
      <c r="D23" s="25" t="s">
        <v>5019</v>
      </c>
      <c r="E23" s="25" t="s">
        <v>161</v>
      </c>
      <c r="F23" s="25" t="s">
        <v>220</v>
      </c>
      <c r="G23" s="25" t="s">
        <v>5020</v>
      </c>
      <c r="H23" s="26" t="s">
        <v>126</v>
      </c>
      <c r="I23" s="25" t="s">
        <v>141</v>
      </c>
      <c r="J23" s="27" t="n">
        <v>46264</v>
      </c>
      <c r="K23" s="25"/>
      <c r="L23" s="28" t="n">
        <v>1</v>
      </c>
      <c r="M23" s="28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5" t="s">
        <v>5021</v>
      </c>
      <c r="B24" s="25" t="s">
        <v>227</v>
      </c>
      <c r="C24" s="25" t="s">
        <v>107</v>
      </c>
      <c r="D24" s="25" t="s">
        <v>5022</v>
      </c>
      <c r="E24" s="25" t="s">
        <v>229</v>
      </c>
      <c r="F24" s="25" t="s">
        <v>229</v>
      </c>
      <c r="G24" s="25" t="s">
        <v>230</v>
      </c>
      <c r="H24" s="26" t="s">
        <v>126</v>
      </c>
      <c r="I24" s="25" t="s">
        <v>141</v>
      </c>
      <c r="J24" s="27" t="n">
        <v>46264</v>
      </c>
      <c r="K24" s="25"/>
      <c r="L24" s="28" t="n">
        <v>1</v>
      </c>
      <c r="M24" s="28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5" t="s">
        <v>5023</v>
      </c>
      <c r="B25" s="25" t="s">
        <v>232</v>
      </c>
      <c r="C25" s="25" t="s">
        <v>107</v>
      </c>
      <c r="D25" s="25" t="s">
        <v>4980</v>
      </c>
      <c r="E25" s="25" t="s">
        <v>161</v>
      </c>
      <c r="F25" s="25" t="s">
        <v>161</v>
      </c>
      <c r="G25" s="25" t="s">
        <v>601</v>
      </c>
      <c r="H25" s="29" t="s">
        <v>124</v>
      </c>
      <c r="I25" s="25" t="s">
        <v>140</v>
      </c>
      <c r="J25" s="27" t="n">
        <v>46264</v>
      </c>
      <c r="K25" s="25" t="s">
        <v>1215</v>
      </c>
      <c r="L25" s="28" t="n">
        <v>1</v>
      </c>
      <c r="M25" s="28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10" min="9" style="0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31" t="s">
        <v>5024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customFormat="false" ht="27.75" hidden="false" customHeight="true" outlineLevel="0" collapsed="false">
      <c r="A2" s="21" t="s">
        <v>5025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customFormat="false" ht="17.25" hidden="false" customHeight="true" outlineLevel="0" collapsed="false">
      <c r="A4" s="21" t="s">
        <v>7</v>
      </c>
      <c r="B4" s="32" t="n">
        <f aca="false">COUNTA(A9:A25)</f>
        <v>17</v>
      </c>
      <c r="C4" s="21"/>
      <c r="D4" s="21" t="s">
        <v>144</v>
      </c>
      <c r="E4" s="32" t="n">
        <f aca="false">SUM(M9:M25)</f>
        <v>12</v>
      </c>
      <c r="F4" s="21"/>
      <c r="G4" s="21" t="s">
        <v>14</v>
      </c>
      <c r="H4" s="32" t="n">
        <f aca="false">IF(B4=0,0,E4/B4)</f>
        <v>0.705882352941177</v>
      </c>
      <c r="I4" s="21"/>
      <c r="J4" s="21" t="s">
        <v>15</v>
      </c>
      <c r="K4" s="32" t="str">
        <f aca="false">IF(COUNTIFS(E9:E25,"package",M9:M25,0)&gt;0,"open","complete")</f>
        <v>open</v>
      </c>
      <c r="L4" s="21"/>
      <c r="M4" s="21"/>
    </row>
    <row r="5" customFormat="false" ht="17.25" hidden="false" customHeight="true" outlineLevel="0" collapsed="false">
      <c r="A5" s="21" t="s">
        <v>145</v>
      </c>
      <c r="B5" s="32" t="str">
        <f aca="false">IF(COUNTIFS(I9:I25,"yes",M9:M25,0)&gt;0,"open","complete")</f>
        <v>open</v>
      </c>
      <c r="C5" s="21"/>
      <c r="D5" s="21" t="s">
        <v>16</v>
      </c>
      <c r="E5" s="32" t="str">
        <f aca="false">IF(COUNTIFS(E9:E25,"consumer",M9:M25,0)&gt;0,"open","complete")</f>
        <v>complete</v>
      </c>
      <c r="F5" s="21"/>
      <c r="G5" s="21"/>
      <c r="H5" s="21"/>
      <c r="I5" s="21"/>
      <c r="J5" s="21"/>
      <c r="K5" s="21"/>
      <c r="L5" s="21"/>
      <c r="M5" s="21"/>
    </row>
    <row r="8" customFormat="false" ht="15" hidden="false" customHeight="true" outlineLevel="0" collapsed="false">
      <c r="A8" s="23" t="s">
        <v>146</v>
      </c>
      <c r="B8" s="23" t="s">
        <v>147</v>
      </c>
      <c r="C8" s="23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104</v>
      </c>
      <c r="I8" s="23" t="s">
        <v>153</v>
      </c>
      <c r="J8" s="23" t="s">
        <v>154</v>
      </c>
      <c r="K8" s="23" t="s">
        <v>155</v>
      </c>
      <c r="L8" s="23" t="s">
        <v>156</v>
      </c>
      <c r="M8" s="23" t="s">
        <v>144</v>
      </c>
    </row>
    <row r="9" customFormat="false" ht="54" hidden="false" customHeight="true" outlineLevel="0" collapsed="false">
      <c r="A9" s="25" t="s">
        <v>5026</v>
      </c>
      <c r="B9" s="25" t="s">
        <v>158</v>
      </c>
      <c r="C9" s="25" t="s">
        <v>108</v>
      </c>
      <c r="D9" s="25" t="s">
        <v>5027</v>
      </c>
      <c r="E9" s="25" t="s">
        <v>161</v>
      </c>
      <c r="F9" s="25" t="s">
        <v>162</v>
      </c>
      <c r="G9" s="25" t="s">
        <v>5028</v>
      </c>
      <c r="H9" s="26" t="s">
        <v>126</v>
      </c>
      <c r="I9" s="25" t="s">
        <v>141</v>
      </c>
      <c r="J9" s="27" t="n">
        <v>46264</v>
      </c>
      <c r="K9" s="25"/>
      <c r="L9" s="28" t="n">
        <v>1</v>
      </c>
      <c r="M9" s="28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5" t="s">
        <v>5029</v>
      </c>
      <c r="B10" s="25" t="s">
        <v>118</v>
      </c>
      <c r="C10" s="25" t="s">
        <v>108</v>
      </c>
      <c r="D10" s="25" t="s">
        <v>5030</v>
      </c>
      <c r="E10" s="25" t="s">
        <v>161</v>
      </c>
      <c r="F10" s="25" t="s">
        <v>181</v>
      </c>
      <c r="G10" s="25" t="s">
        <v>5031</v>
      </c>
      <c r="H10" s="26" t="s">
        <v>126</v>
      </c>
      <c r="I10" s="25" t="s">
        <v>141</v>
      </c>
      <c r="J10" s="27" t="n">
        <v>46264</v>
      </c>
      <c r="K10" s="25"/>
      <c r="L10" s="28" t="n">
        <v>1</v>
      </c>
      <c r="M10" s="28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5" t="s">
        <v>5032</v>
      </c>
      <c r="B11" s="25" t="s">
        <v>165</v>
      </c>
      <c r="C11" s="25" t="s">
        <v>108</v>
      </c>
      <c r="D11" s="25" t="s">
        <v>5033</v>
      </c>
      <c r="E11" s="25" t="s">
        <v>161</v>
      </c>
      <c r="F11" s="25" t="s">
        <v>161</v>
      </c>
      <c r="G11" s="25" t="s">
        <v>609</v>
      </c>
      <c r="H11" s="26" t="s">
        <v>126</v>
      </c>
      <c r="I11" s="25" t="s">
        <v>141</v>
      </c>
      <c r="J11" s="27" t="n">
        <v>46264</v>
      </c>
      <c r="K11" s="25"/>
      <c r="L11" s="28" t="n">
        <v>1</v>
      </c>
      <c r="M11" s="28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5" t="s">
        <v>5034</v>
      </c>
      <c r="B12" s="25" t="s">
        <v>169</v>
      </c>
      <c r="C12" s="25" t="s">
        <v>108</v>
      </c>
      <c r="D12" s="25" t="s">
        <v>4945</v>
      </c>
      <c r="E12" s="25" t="s">
        <v>161</v>
      </c>
      <c r="F12" s="25" t="s">
        <v>171</v>
      </c>
      <c r="G12" s="25" t="s">
        <v>5035</v>
      </c>
      <c r="H12" s="26" t="s">
        <v>126</v>
      </c>
      <c r="I12" s="25" t="s">
        <v>141</v>
      </c>
      <c r="J12" s="27" t="n">
        <v>46264</v>
      </c>
      <c r="K12" s="25"/>
      <c r="L12" s="28" t="n">
        <v>1</v>
      </c>
      <c r="M12" s="28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5" t="s">
        <v>5036</v>
      </c>
      <c r="B13" s="25" t="s">
        <v>174</v>
      </c>
      <c r="C13" s="25" t="s">
        <v>108</v>
      </c>
      <c r="D13" s="25" t="s">
        <v>4948</v>
      </c>
      <c r="E13" s="25" t="s">
        <v>161</v>
      </c>
      <c r="F13" s="25" t="s">
        <v>176</v>
      </c>
      <c r="G13" s="25" t="s">
        <v>5037</v>
      </c>
      <c r="H13" s="26" t="s">
        <v>126</v>
      </c>
      <c r="I13" s="25" t="s">
        <v>141</v>
      </c>
      <c r="J13" s="27" t="n">
        <v>46264</v>
      </c>
      <c r="K13" s="25"/>
      <c r="L13" s="28" t="n">
        <v>1</v>
      </c>
      <c r="M13" s="28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5" t="s">
        <v>5038</v>
      </c>
      <c r="B14" s="25" t="s">
        <v>179</v>
      </c>
      <c r="C14" s="25" t="s">
        <v>108</v>
      </c>
      <c r="D14" s="25" t="s">
        <v>5039</v>
      </c>
      <c r="E14" s="25" t="s">
        <v>161</v>
      </c>
      <c r="F14" s="25" t="s">
        <v>181</v>
      </c>
      <c r="G14" s="25" t="s">
        <v>5040</v>
      </c>
      <c r="H14" s="26" t="s">
        <v>126</v>
      </c>
      <c r="I14" s="25" t="s">
        <v>141</v>
      </c>
      <c r="J14" s="27" t="n">
        <v>46264</v>
      </c>
      <c r="K14" s="25"/>
      <c r="L14" s="28" t="n">
        <v>1</v>
      </c>
      <c r="M14" s="28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5" t="s">
        <v>5041</v>
      </c>
      <c r="B15" s="25" t="s">
        <v>184</v>
      </c>
      <c r="C15" s="25" t="s">
        <v>108</v>
      </c>
      <c r="D15" s="25" t="s">
        <v>5042</v>
      </c>
      <c r="E15" s="25" t="s">
        <v>161</v>
      </c>
      <c r="F15" s="25" t="s">
        <v>186</v>
      </c>
      <c r="G15" s="25" t="s">
        <v>5043</v>
      </c>
      <c r="H15" s="26" t="s">
        <v>126</v>
      </c>
      <c r="I15" s="25" t="s">
        <v>141</v>
      </c>
      <c r="J15" s="27" t="n">
        <v>46264</v>
      </c>
      <c r="K15" s="25"/>
      <c r="L15" s="28" t="n">
        <v>1</v>
      </c>
      <c r="M15" s="28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5" t="s">
        <v>5044</v>
      </c>
      <c r="B16" s="25" t="s">
        <v>189</v>
      </c>
      <c r="C16" s="25" t="s">
        <v>108</v>
      </c>
      <c r="D16" s="25" t="s">
        <v>5045</v>
      </c>
      <c r="E16" s="25" t="s">
        <v>161</v>
      </c>
      <c r="F16" s="25" t="s">
        <v>191</v>
      </c>
      <c r="G16" s="25" t="s">
        <v>5043</v>
      </c>
      <c r="H16" s="26" t="s">
        <v>126</v>
      </c>
      <c r="I16" s="25" t="s">
        <v>141</v>
      </c>
      <c r="J16" s="27" t="n">
        <v>46264</v>
      </c>
      <c r="K16" s="25"/>
      <c r="L16" s="28" t="n">
        <v>1</v>
      </c>
      <c r="M16" s="28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5" t="s">
        <v>5046</v>
      </c>
      <c r="B17" s="25" t="s">
        <v>194</v>
      </c>
      <c r="C17" s="25" t="s">
        <v>108</v>
      </c>
      <c r="D17" s="25" t="s">
        <v>5047</v>
      </c>
      <c r="E17" s="25" t="s">
        <v>161</v>
      </c>
      <c r="F17" s="25" t="s">
        <v>196</v>
      </c>
      <c r="G17" s="25" t="s">
        <v>5048</v>
      </c>
      <c r="H17" s="29" t="s">
        <v>124</v>
      </c>
      <c r="I17" s="25" t="s">
        <v>140</v>
      </c>
      <c r="J17" s="27" t="n">
        <v>46264</v>
      </c>
      <c r="K17" s="25" t="s">
        <v>1193</v>
      </c>
      <c r="L17" s="28" t="n">
        <v>1</v>
      </c>
      <c r="M17" s="28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25" t="s">
        <v>5049</v>
      </c>
      <c r="B18" s="25" t="s">
        <v>200</v>
      </c>
      <c r="C18" s="25" t="s">
        <v>108</v>
      </c>
      <c r="D18" s="25" t="s">
        <v>5050</v>
      </c>
      <c r="E18" s="25" t="s">
        <v>161</v>
      </c>
      <c r="F18" s="25" t="s">
        <v>202</v>
      </c>
      <c r="G18" s="25" t="s">
        <v>5051</v>
      </c>
      <c r="H18" s="29" t="s">
        <v>124</v>
      </c>
      <c r="I18" s="25" t="s">
        <v>140</v>
      </c>
      <c r="J18" s="27"/>
      <c r="K18" s="25" t="s">
        <v>1197</v>
      </c>
      <c r="L18" s="28" t="n">
        <v>1</v>
      </c>
      <c r="M18" s="28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25" t="s">
        <v>5052</v>
      </c>
      <c r="B19" s="25" t="s">
        <v>206</v>
      </c>
      <c r="C19" s="25" t="s">
        <v>108</v>
      </c>
      <c r="D19" s="25" t="s">
        <v>5053</v>
      </c>
      <c r="E19" s="25" t="s">
        <v>161</v>
      </c>
      <c r="F19" s="25" t="s">
        <v>202</v>
      </c>
      <c r="G19" s="25" t="s">
        <v>5054</v>
      </c>
      <c r="H19" s="29" t="s">
        <v>124</v>
      </c>
      <c r="I19" s="25" t="s">
        <v>140</v>
      </c>
      <c r="J19" s="27"/>
      <c r="K19" s="25" t="s">
        <v>1201</v>
      </c>
      <c r="L19" s="28" t="n">
        <v>1</v>
      </c>
      <c r="M19" s="28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25" t="s">
        <v>5055</v>
      </c>
      <c r="B20" s="25" t="s">
        <v>689</v>
      </c>
      <c r="C20" s="25" t="s">
        <v>108</v>
      </c>
      <c r="D20" s="25" t="s">
        <v>5056</v>
      </c>
      <c r="E20" s="25" t="s">
        <v>161</v>
      </c>
      <c r="F20" s="25" t="s">
        <v>186</v>
      </c>
      <c r="G20" s="25" t="s">
        <v>5043</v>
      </c>
      <c r="H20" s="26" t="s">
        <v>126</v>
      </c>
      <c r="I20" s="25" t="s">
        <v>141</v>
      </c>
      <c r="J20" s="27" t="n">
        <v>46264</v>
      </c>
      <c r="K20" s="25"/>
      <c r="L20" s="28" t="n">
        <v>1</v>
      </c>
      <c r="M20" s="28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5" t="s">
        <v>5057</v>
      </c>
      <c r="B21" s="25" t="s">
        <v>214</v>
      </c>
      <c r="C21" s="25" t="s">
        <v>108</v>
      </c>
      <c r="D21" s="25" t="s">
        <v>5058</v>
      </c>
      <c r="E21" s="25" t="s">
        <v>161</v>
      </c>
      <c r="F21" s="25" t="s">
        <v>202</v>
      </c>
      <c r="G21" s="25" t="s">
        <v>5051</v>
      </c>
      <c r="H21" s="29" t="s">
        <v>124</v>
      </c>
      <c r="I21" s="25" t="s">
        <v>140</v>
      </c>
      <c r="J21" s="27"/>
      <c r="K21" s="25" t="s">
        <v>1204</v>
      </c>
      <c r="L21" s="28" t="n">
        <v>1</v>
      </c>
      <c r="M21" s="28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5" t="s">
        <v>5059</v>
      </c>
      <c r="B22" s="25" t="s">
        <v>218</v>
      </c>
      <c r="C22" s="25" t="s">
        <v>108</v>
      </c>
      <c r="D22" s="25" t="s">
        <v>4972</v>
      </c>
      <c r="E22" s="25" t="s">
        <v>161</v>
      </c>
      <c r="F22" s="25" t="s">
        <v>220</v>
      </c>
      <c r="G22" s="25" t="s">
        <v>5060</v>
      </c>
      <c r="H22" s="26" t="s">
        <v>126</v>
      </c>
      <c r="I22" s="25" t="s">
        <v>141</v>
      </c>
      <c r="J22" s="27" t="n">
        <v>46264</v>
      </c>
      <c r="K22" s="25"/>
      <c r="L22" s="28" t="n">
        <v>1</v>
      </c>
      <c r="M22" s="28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5" t="s">
        <v>5061</v>
      </c>
      <c r="B23" s="25" t="s">
        <v>223</v>
      </c>
      <c r="C23" s="25" t="s">
        <v>108</v>
      </c>
      <c r="D23" s="25" t="s">
        <v>5062</v>
      </c>
      <c r="E23" s="25" t="s">
        <v>161</v>
      </c>
      <c r="F23" s="25" t="s">
        <v>220</v>
      </c>
      <c r="G23" s="25" t="s">
        <v>5063</v>
      </c>
      <c r="H23" s="26" t="s">
        <v>126</v>
      </c>
      <c r="I23" s="25" t="s">
        <v>141</v>
      </c>
      <c r="J23" s="27" t="n">
        <v>46264</v>
      </c>
      <c r="K23" s="25"/>
      <c r="L23" s="28" t="n">
        <v>1</v>
      </c>
      <c r="M23" s="28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5" t="s">
        <v>5064</v>
      </c>
      <c r="B24" s="25" t="s">
        <v>227</v>
      </c>
      <c r="C24" s="25" t="s">
        <v>108</v>
      </c>
      <c r="D24" s="25" t="s">
        <v>5065</v>
      </c>
      <c r="E24" s="25" t="s">
        <v>229</v>
      </c>
      <c r="F24" s="25" t="s">
        <v>229</v>
      </c>
      <c r="G24" s="25" t="s">
        <v>230</v>
      </c>
      <c r="H24" s="26" t="s">
        <v>126</v>
      </c>
      <c r="I24" s="25" t="s">
        <v>141</v>
      </c>
      <c r="J24" s="27" t="n">
        <v>46264</v>
      </c>
      <c r="K24" s="25"/>
      <c r="L24" s="28" t="n">
        <v>1</v>
      </c>
      <c r="M24" s="28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5" t="s">
        <v>5066</v>
      </c>
      <c r="B25" s="25" t="s">
        <v>232</v>
      </c>
      <c r="C25" s="25" t="s">
        <v>108</v>
      </c>
      <c r="D25" s="25" t="s">
        <v>4980</v>
      </c>
      <c r="E25" s="25" t="s">
        <v>161</v>
      </c>
      <c r="F25" s="25" t="s">
        <v>161</v>
      </c>
      <c r="G25" s="25" t="s">
        <v>601</v>
      </c>
      <c r="H25" s="29" t="s">
        <v>124</v>
      </c>
      <c r="I25" s="25" t="s">
        <v>140</v>
      </c>
      <c r="J25" s="27" t="n">
        <v>46264</v>
      </c>
      <c r="K25" s="25" t="s">
        <v>1215</v>
      </c>
      <c r="L25" s="28" t="n">
        <v>1</v>
      </c>
      <c r="M25" s="28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10" min="9" style="0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31" t="s">
        <v>5067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customFormat="false" ht="27.75" hidden="false" customHeight="true" outlineLevel="0" collapsed="false">
      <c r="A2" s="21" t="s">
        <v>5068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customFormat="false" ht="17.25" hidden="false" customHeight="true" outlineLevel="0" collapsed="false">
      <c r="A4" s="21" t="s">
        <v>7</v>
      </c>
      <c r="B4" s="32" t="n">
        <f aca="false">COUNTA(A9:A25)</f>
        <v>17</v>
      </c>
      <c r="C4" s="21"/>
      <c r="D4" s="21" t="s">
        <v>144</v>
      </c>
      <c r="E4" s="32" t="n">
        <f aca="false">SUM(M9:M25)</f>
        <v>12</v>
      </c>
      <c r="F4" s="21"/>
      <c r="G4" s="21" t="s">
        <v>14</v>
      </c>
      <c r="H4" s="32" t="n">
        <f aca="false">IF(B4=0,0,E4/B4)</f>
        <v>0.705882352941177</v>
      </c>
      <c r="I4" s="21"/>
      <c r="J4" s="21" t="s">
        <v>15</v>
      </c>
      <c r="K4" s="32" t="str">
        <f aca="false">IF(COUNTIFS(E9:E25,"package",M9:M25,0)&gt;0,"open","complete")</f>
        <v>open</v>
      </c>
      <c r="L4" s="21"/>
      <c r="M4" s="21"/>
    </row>
    <row r="5" customFormat="false" ht="17.25" hidden="false" customHeight="true" outlineLevel="0" collapsed="false">
      <c r="A5" s="21" t="s">
        <v>145</v>
      </c>
      <c r="B5" s="32" t="str">
        <f aca="false">IF(COUNTIFS(I9:I25,"yes",M9:M25,0)&gt;0,"open","complete")</f>
        <v>open</v>
      </c>
      <c r="C5" s="21"/>
      <c r="D5" s="21" t="s">
        <v>16</v>
      </c>
      <c r="E5" s="32" t="str">
        <f aca="false">IF(COUNTIFS(E9:E25,"consumer",M9:M25,0)&gt;0,"open","complete")</f>
        <v>complete</v>
      </c>
      <c r="F5" s="21"/>
      <c r="G5" s="21"/>
      <c r="H5" s="21"/>
      <c r="I5" s="21"/>
      <c r="J5" s="21"/>
      <c r="K5" s="21"/>
      <c r="L5" s="21"/>
      <c r="M5" s="21"/>
    </row>
    <row r="8" customFormat="false" ht="15" hidden="false" customHeight="true" outlineLevel="0" collapsed="false">
      <c r="A8" s="23" t="s">
        <v>146</v>
      </c>
      <c r="B8" s="23" t="s">
        <v>147</v>
      </c>
      <c r="C8" s="23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104</v>
      </c>
      <c r="I8" s="23" t="s">
        <v>153</v>
      </c>
      <c r="J8" s="23" t="s">
        <v>154</v>
      </c>
      <c r="K8" s="23" t="s">
        <v>155</v>
      </c>
      <c r="L8" s="23" t="s">
        <v>156</v>
      </c>
      <c r="M8" s="23" t="s">
        <v>144</v>
      </c>
    </row>
    <row r="9" customFormat="false" ht="54" hidden="false" customHeight="true" outlineLevel="0" collapsed="false">
      <c r="A9" s="25" t="s">
        <v>5069</v>
      </c>
      <c r="B9" s="25" t="s">
        <v>158</v>
      </c>
      <c r="C9" s="25" t="s">
        <v>109</v>
      </c>
      <c r="D9" s="25" t="s">
        <v>5070</v>
      </c>
      <c r="E9" s="25" t="s">
        <v>161</v>
      </c>
      <c r="F9" s="25" t="s">
        <v>162</v>
      </c>
      <c r="G9" s="25" t="s">
        <v>5071</v>
      </c>
      <c r="H9" s="26" t="s">
        <v>126</v>
      </c>
      <c r="I9" s="25" t="s">
        <v>141</v>
      </c>
      <c r="J9" s="27" t="n">
        <v>46264</v>
      </c>
      <c r="K9" s="25"/>
      <c r="L9" s="28" t="n">
        <v>1</v>
      </c>
      <c r="M9" s="28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5" t="s">
        <v>5072</v>
      </c>
      <c r="B10" s="25" t="s">
        <v>118</v>
      </c>
      <c r="C10" s="25" t="s">
        <v>109</v>
      </c>
      <c r="D10" s="25" t="s">
        <v>5073</v>
      </c>
      <c r="E10" s="25" t="s">
        <v>161</v>
      </c>
      <c r="F10" s="25" t="s">
        <v>181</v>
      </c>
      <c r="G10" s="25" t="s">
        <v>5074</v>
      </c>
      <c r="H10" s="26" t="s">
        <v>126</v>
      </c>
      <c r="I10" s="25" t="s">
        <v>141</v>
      </c>
      <c r="J10" s="27" t="n">
        <v>46264</v>
      </c>
      <c r="K10" s="25"/>
      <c r="L10" s="28" t="n">
        <v>1</v>
      </c>
      <c r="M10" s="28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5" t="s">
        <v>5075</v>
      </c>
      <c r="B11" s="25" t="s">
        <v>165</v>
      </c>
      <c r="C11" s="25" t="s">
        <v>109</v>
      </c>
      <c r="D11" s="25" t="s">
        <v>5076</v>
      </c>
      <c r="E11" s="25" t="s">
        <v>161</v>
      </c>
      <c r="F11" s="25" t="s">
        <v>161</v>
      </c>
      <c r="G11" s="25" t="s">
        <v>609</v>
      </c>
      <c r="H11" s="26" t="s">
        <v>126</v>
      </c>
      <c r="I11" s="25" t="s">
        <v>141</v>
      </c>
      <c r="J11" s="27" t="n">
        <v>46264</v>
      </c>
      <c r="K11" s="25"/>
      <c r="L11" s="28" t="n">
        <v>1</v>
      </c>
      <c r="M11" s="28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5" t="s">
        <v>5077</v>
      </c>
      <c r="B12" s="25" t="s">
        <v>169</v>
      </c>
      <c r="C12" s="25" t="s">
        <v>109</v>
      </c>
      <c r="D12" s="25" t="s">
        <v>4945</v>
      </c>
      <c r="E12" s="25" t="s">
        <v>161</v>
      </c>
      <c r="F12" s="25" t="s">
        <v>171</v>
      </c>
      <c r="G12" s="25" t="s">
        <v>5078</v>
      </c>
      <c r="H12" s="26" t="s">
        <v>126</v>
      </c>
      <c r="I12" s="25" t="s">
        <v>141</v>
      </c>
      <c r="J12" s="27" t="n">
        <v>46264</v>
      </c>
      <c r="K12" s="25"/>
      <c r="L12" s="28" t="n">
        <v>1</v>
      </c>
      <c r="M12" s="28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5" t="s">
        <v>5079</v>
      </c>
      <c r="B13" s="25" t="s">
        <v>174</v>
      </c>
      <c r="C13" s="25" t="s">
        <v>109</v>
      </c>
      <c r="D13" s="25" t="s">
        <v>4948</v>
      </c>
      <c r="E13" s="25" t="s">
        <v>161</v>
      </c>
      <c r="F13" s="25" t="s">
        <v>176</v>
      </c>
      <c r="G13" s="25" t="s">
        <v>5080</v>
      </c>
      <c r="H13" s="26" t="s">
        <v>126</v>
      </c>
      <c r="I13" s="25" t="s">
        <v>141</v>
      </c>
      <c r="J13" s="27" t="n">
        <v>46264</v>
      </c>
      <c r="K13" s="25"/>
      <c r="L13" s="28" t="n">
        <v>1</v>
      </c>
      <c r="M13" s="28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5" t="s">
        <v>5081</v>
      </c>
      <c r="B14" s="25" t="s">
        <v>179</v>
      </c>
      <c r="C14" s="25" t="s">
        <v>109</v>
      </c>
      <c r="D14" s="25" t="s">
        <v>5082</v>
      </c>
      <c r="E14" s="25" t="s">
        <v>161</v>
      </c>
      <c r="F14" s="25" t="s">
        <v>181</v>
      </c>
      <c r="G14" s="25" t="s">
        <v>5083</v>
      </c>
      <c r="H14" s="26" t="s">
        <v>126</v>
      </c>
      <c r="I14" s="25" t="s">
        <v>141</v>
      </c>
      <c r="J14" s="27" t="n">
        <v>46264</v>
      </c>
      <c r="K14" s="25"/>
      <c r="L14" s="28" t="n">
        <v>1</v>
      </c>
      <c r="M14" s="28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5" t="s">
        <v>5084</v>
      </c>
      <c r="B15" s="25" t="s">
        <v>184</v>
      </c>
      <c r="C15" s="25" t="s">
        <v>109</v>
      </c>
      <c r="D15" s="25" t="s">
        <v>5085</v>
      </c>
      <c r="E15" s="25" t="s">
        <v>161</v>
      </c>
      <c r="F15" s="25" t="s">
        <v>186</v>
      </c>
      <c r="G15" s="25" t="s">
        <v>5086</v>
      </c>
      <c r="H15" s="26" t="s">
        <v>126</v>
      </c>
      <c r="I15" s="25" t="s">
        <v>141</v>
      </c>
      <c r="J15" s="27" t="n">
        <v>46264</v>
      </c>
      <c r="K15" s="25"/>
      <c r="L15" s="28" t="n">
        <v>1</v>
      </c>
      <c r="M15" s="28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5" t="s">
        <v>5087</v>
      </c>
      <c r="B16" s="25" t="s">
        <v>189</v>
      </c>
      <c r="C16" s="25" t="s">
        <v>109</v>
      </c>
      <c r="D16" s="25" t="s">
        <v>5088</v>
      </c>
      <c r="E16" s="25" t="s">
        <v>161</v>
      </c>
      <c r="F16" s="25" t="s">
        <v>191</v>
      </c>
      <c r="G16" s="25" t="s">
        <v>5086</v>
      </c>
      <c r="H16" s="26" t="s">
        <v>126</v>
      </c>
      <c r="I16" s="25" t="s">
        <v>141</v>
      </c>
      <c r="J16" s="27" t="n">
        <v>46264</v>
      </c>
      <c r="K16" s="25"/>
      <c r="L16" s="28" t="n">
        <v>1</v>
      </c>
      <c r="M16" s="28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5" t="s">
        <v>5089</v>
      </c>
      <c r="B17" s="25" t="s">
        <v>194</v>
      </c>
      <c r="C17" s="25" t="s">
        <v>109</v>
      </c>
      <c r="D17" s="25" t="s">
        <v>5090</v>
      </c>
      <c r="E17" s="25" t="s">
        <v>161</v>
      </c>
      <c r="F17" s="25" t="s">
        <v>196</v>
      </c>
      <c r="G17" s="25" t="s">
        <v>5091</v>
      </c>
      <c r="H17" s="29" t="s">
        <v>124</v>
      </c>
      <c r="I17" s="25" t="s">
        <v>140</v>
      </c>
      <c r="J17" s="27" t="n">
        <v>46264</v>
      </c>
      <c r="K17" s="25" t="s">
        <v>1193</v>
      </c>
      <c r="L17" s="28" t="n">
        <v>1</v>
      </c>
      <c r="M17" s="28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25" t="s">
        <v>5092</v>
      </c>
      <c r="B18" s="25" t="s">
        <v>200</v>
      </c>
      <c r="C18" s="25" t="s">
        <v>109</v>
      </c>
      <c r="D18" s="25" t="s">
        <v>5093</v>
      </c>
      <c r="E18" s="25" t="s">
        <v>161</v>
      </c>
      <c r="F18" s="25" t="s">
        <v>202</v>
      </c>
      <c r="G18" s="25" t="s">
        <v>5094</v>
      </c>
      <c r="H18" s="29" t="s">
        <v>124</v>
      </c>
      <c r="I18" s="25" t="s">
        <v>140</v>
      </c>
      <c r="J18" s="27"/>
      <c r="K18" s="25" t="s">
        <v>1197</v>
      </c>
      <c r="L18" s="28" t="n">
        <v>1</v>
      </c>
      <c r="M18" s="28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25" t="s">
        <v>5095</v>
      </c>
      <c r="B19" s="25" t="s">
        <v>206</v>
      </c>
      <c r="C19" s="25" t="s">
        <v>109</v>
      </c>
      <c r="D19" s="25" t="s">
        <v>5096</v>
      </c>
      <c r="E19" s="25" t="s">
        <v>161</v>
      </c>
      <c r="F19" s="25" t="s">
        <v>202</v>
      </c>
      <c r="G19" s="25" t="s">
        <v>5097</v>
      </c>
      <c r="H19" s="29" t="s">
        <v>124</v>
      </c>
      <c r="I19" s="25" t="s">
        <v>140</v>
      </c>
      <c r="J19" s="27"/>
      <c r="K19" s="25" t="s">
        <v>1201</v>
      </c>
      <c r="L19" s="28" t="n">
        <v>1</v>
      </c>
      <c r="M19" s="28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25" t="s">
        <v>5098</v>
      </c>
      <c r="B20" s="25" t="s">
        <v>689</v>
      </c>
      <c r="C20" s="25" t="s">
        <v>109</v>
      </c>
      <c r="D20" s="25" t="s">
        <v>5099</v>
      </c>
      <c r="E20" s="25" t="s">
        <v>161</v>
      </c>
      <c r="F20" s="25" t="s">
        <v>186</v>
      </c>
      <c r="G20" s="25" t="s">
        <v>5086</v>
      </c>
      <c r="H20" s="26" t="s">
        <v>126</v>
      </c>
      <c r="I20" s="25" t="s">
        <v>141</v>
      </c>
      <c r="J20" s="27" t="n">
        <v>46264</v>
      </c>
      <c r="K20" s="25"/>
      <c r="L20" s="28" t="n">
        <v>1</v>
      </c>
      <c r="M20" s="28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5" t="s">
        <v>5100</v>
      </c>
      <c r="B21" s="25" t="s">
        <v>214</v>
      </c>
      <c r="C21" s="25" t="s">
        <v>109</v>
      </c>
      <c r="D21" s="25" t="s">
        <v>5101</v>
      </c>
      <c r="E21" s="25" t="s">
        <v>161</v>
      </c>
      <c r="F21" s="25" t="s">
        <v>202</v>
      </c>
      <c r="G21" s="25" t="s">
        <v>5094</v>
      </c>
      <c r="H21" s="29" t="s">
        <v>124</v>
      </c>
      <c r="I21" s="25" t="s">
        <v>140</v>
      </c>
      <c r="J21" s="27"/>
      <c r="K21" s="25" t="s">
        <v>1204</v>
      </c>
      <c r="L21" s="28" t="n">
        <v>1</v>
      </c>
      <c r="M21" s="28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5" t="s">
        <v>5102</v>
      </c>
      <c r="B22" s="25" t="s">
        <v>218</v>
      </c>
      <c r="C22" s="25" t="s">
        <v>109</v>
      </c>
      <c r="D22" s="25" t="s">
        <v>4972</v>
      </c>
      <c r="E22" s="25" t="s">
        <v>161</v>
      </c>
      <c r="F22" s="25" t="s">
        <v>220</v>
      </c>
      <c r="G22" s="25" t="s">
        <v>5103</v>
      </c>
      <c r="H22" s="26" t="s">
        <v>126</v>
      </c>
      <c r="I22" s="25" t="s">
        <v>141</v>
      </c>
      <c r="J22" s="27" t="n">
        <v>46264</v>
      </c>
      <c r="K22" s="25"/>
      <c r="L22" s="28" t="n">
        <v>1</v>
      </c>
      <c r="M22" s="28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5" t="s">
        <v>5104</v>
      </c>
      <c r="B23" s="25" t="s">
        <v>223</v>
      </c>
      <c r="C23" s="25" t="s">
        <v>109</v>
      </c>
      <c r="D23" s="25" t="s">
        <v>5105</v>
      </c>
      <c r="E23" s="25" t="s">
        <v>161</v>
      </c>
      <c r="F23" s="25" t="s">
        <v>220</v>
      </c>
      <c r="G23" s="25" t="s">
        <v>5106</v>
      </c>
      <c r="H23" s="26" t="s">
        <v>126</v>
      </c>
      <c r="I23" s="25" t="s">
        <v>141</v>
      </c>
      <c r="J23" s="27" t="n">
        <v>46264</v>
      </c>
      <c r="K23" s="25"/>
      <c r="L23" s="28" t="n">
        <v>1</v>
      </c>
      <c r="M23" s="28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5" t="s">
        <v>5107</v>
      </c>
      <c r="B24" s="25" t="s">
        <v>227</v>
      </c>
      <c r="C24" s="25" t="s">
        <v>109</v>
      </c>
      <c r="D24" s="25" t="s">
        <v>5108</v>
      </c>
      <c r="E24" s="25" t="s">
        <v>229</v>
      </c>
      <c r="F24" s="25" t="s">
        <v>229</v>
      </c>
      <c r="G24" s="25" t="s">
        <v>230</v>
      </c>
      <c r="H24" s="26" t="s">
        <v>126</v>
      </c>
      <c r="I24" s="25" t="s">
        <v>141</v>
      </c>
      <c r="J24" s="27" t="n">
        <v>46264</v>
      </c>
      <c r="K24" s="25"/>
      <c r="L24" s="28" t="n">
        <v>1</v>
      </c>
      <c r="M24" s="28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5" t="s">
        <v>5109</v>
      </c>
      <c r="B25" s="25" t="s">
        <v>232</v>
      </c>
      <c r="C25" s="25" t="s">
        <v>109</v>
      </c>
      <c r="D25" s="25" t="s">
        <v>4980</v>
      </c>
      <c r="E25" s="25" t="s">
        <v>161</v>
      </c>
      <c r="F25" s="25" t="s">
        <v>161</v>
      </c>
      <c r="G25" s="25" t="s">
        <v>601</v>
      </c>
      <c r="H25" s="29" t="s">
        <v>124</v>
      </c>
      <c r="I25" s="25" t="s">
        <v>140</v>
      </c>
      <c r="J25" s="27" t="n">
        <v>46264</v>
      </c>
      <c r="K25" s="25" t="s">
        <v>1215</v>
      </c>
      <c r="L25" s="28" t="n">
        <v>1</v>
      </c>
      <c r="M25" s="28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10" min="9" style="0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31" t="s">
        <v>5110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customFormat="false" ht="27.75" hidden="false" customHeight="true" outlineLevel="0" collapsed="false">
      <c r="A2" s="21" t="s">
        <v>5111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customFormat="false" ht="17.25" hidden="false" customHeight="true" outlineLevel="0" collapsed="false">
      <c r="A4" s="21" t="s">
        <v>7</v>
      </c>
      <c r="B4" s="32" t="n">
        <f aca="false">COUNTA(A9:A25)</f>
        <v>17</v>
      </c>
      <c r="C4" s="21"/>
      <c r="D4" s="21" t="s">
        <v>144</v>
      </c>
      <c r="E4" s="32" t="n">
        <f aca="false">SUM(M9:M25)</f>
        <v>12</v>
      </c>
      <c r="F4" s="21"/>
      <c r="G4" s="21" t="s">
        <v>14</v>
      </c>
      <c r="H4" s="32" t="n">
        <f aca="false">IF(B4=0,0,E4/B4)</f>
        <v>0.705882352941177</v>
      </c>
      <c r="I4" s="21"/>
      <c r="J4" s="21" t="s">
        <v>15</v>
      </c>
      <c r="K4" s="32" t="str">
        <f aca="false">IF(COUNTIFS(E9:E25,"package",M9:M25,0)&gt;0,"open","complete")</f>
        <v>open</v>
      </c>
      <c r="L4" s="21"/>
      <c r="M4" s="21"/>
    </row>
    <row r="5" customFormat="false" ht="17.25" hidden="false" customHeight="true" outlineLevel="0" collapsed="false">
      <c r="A5" s="21" t="s">
        <v>145</v>
      </c>
      <c r="B5" s="32" t="str">
        <f aca="false">IF(COUNTIFS(I9:I25,"yes",M9:M25,0)&gt;0,"open","complete")</f>
        <v>open</v>
      </c>
      <c r="C5" s="21"/>
      <c r="D5" s="21" t="s">
        <v>16</v>
      </c>
      <c r="E5" s="32" t="str">
        <f aca="false">IF(COUNTIFS(E9:E25,"consumer",M9:M25,0)&gt;0,"open","complete")</f>
        <v>complete</v>
      </c>
      <c r="F5" s="21"/>
      <c r="G5" s="21"/>
      <c r="H5" s="21"/>
      <c r="I5" s="21"/>
      <c r="J5" s="21"/>
      <c r="K5" s="21"/>
      <c r="L5" s="21"/>
      <c r="M5" s="21"/>
    </row>
    <row r="8" customFormat="false" ht="15" hidden="false" customHeight="true" outlineLevel="0" collapsed="false">
      <c r="A8" s="23" t="s">
        <v>146</v>
      </c>
      <c r="B8" s="23" t="s">
        <v>147</v>
      </c>
      <c r="C8" s="23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104</v>
      </c>
      <c r="I8" s="23" t="s">
        <v>153</v>
      </c>
      <c r="J8" s="23" t="s">
        <v>154</v>
      </c>
      <c r="K8" s="23" t="s">
        <v>155</v>
      </c>
      <c r="L8" s="23" t="s">
        <v>156</v>
      </c>
      <c r="M8" s="23" t="s">
        <v>144</v>
      </c>
    </row>
    <row r="9" customFormat="false" ht="54" hidden="false" customHeight="true" outlineLevel="0" collapsed="false">
      <c r="A9" s="25" t="s">
        <v>5112</v>
      </c>
      <c r="B9" s="25" t="s">
        <v>158</v>
      </c>
      <c r="C9" s="25" t="s">
        <v>110</v>
      </c>
      <c r="D9" s="25" t="s">
        <v>5113</v>
      </c>
      <c r="E9" s="25" t="s">
        <v>161</v>
      </c>
      <c r="F9" s="25" t="s">
        <v>162</v>
      </c>
      <c r="G9" s="25" t="s">
        <v>5114</v>
      </c>
      <c r="H9" s="26" t="s">
        <v>126</v>
      </c>
      <c r="I9" s="25" t="s">
        <v>141</v>
      </c>
      <c r="J9" s="27" t="n">
        <v>46264</v>
      </c>
      <c r="K9" s="25"/>
      <c r="L9" s="28" t="n">
        <v>1</v>
      </c>
      <c r="M9" s="28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5" t="s">
        <v>5115</v>
      </c>
      <c r="B10" s="25" t="s">
        <v>118</v>
      </c>
      <c r="C10" s="25" t="s">
        <v>110</v>
      </c>
      <c r="D10" s="25" t="s">
        <v>5116</v>
      </c>
      <c r="E10" s="25" t="s">
        <v>161</v>
      </c>
      <c r="F10" s="25" t="s">
        <v>181</v>
      </c>
      <c r="G10" s="25" t="s">
        <v>5117</v>
      </c>
      <c r="H10" s="26" t="s">
        <v>126</v>
      </c>
      <c r="I10" s="25" t="s">
        <v>141</v>
      </c>
      <c r="J10" s="27" t="n">
        <v>46264</v>
      </c>
      <c r="K10" s="25"/>
      <c r="L10" s="28" t="n">
        <v>1</v>
      </c>
      <c r="M10" s="28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5" t="s">
        <v>5118</v>
      </c>
      <c r="B11" s="25" t="s">
        <v>165</v>
      </c>
      <c r="C11" s="25" t="s">
        <v>110</v>
      </c>
      <c r="D11" s="25" t="s">
        <v>5119</v>
      </c>
      <c r="E11" s="25" t="s">
        <v>161</v>
      </c>
      <c r="F11" s="25" t="s">
        <v>161</v>
      </c>
      <c r="G11" s="25" t="s">
        <v>609</v>
      </c>
      <c r="H11" s="26" t="s">
        <v>126</v>
      </c>
      <c r="I11" s="25" t="s">
        <v>141</v>
      </c>
      <c r="J11" s="27" t="n">
        <v>46264</v>
      </c>
      <c r="K11" s="25"/>
      <c r="L11" s="28" t="n">
        <v>1</v>
      </c>
      <c r="M11" s="28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5" t="s">
        <v>5120</v>
      </c>
      <c r="B12" s="25" t="s">
        <v>169</v>
      </c>
      <c r="C12" s="25" t="s">
        <v>110</v>
      </c>
      <c r="D12" s="25" t="s">
        <v>4945</v>
      </c>
      <c r="E12" s="25" t="s">
        <v>161</v>
      </c>
      <c r="F12" s="25" t="s">
        <v>171</v>
      </c>
      <c r="G12" s="25" t="s">
        <v>5121</v>
      </c>
      <c r="H12" s="26" t="s">
        <v>126</v>
      </c>
      <c r="I12" s="25" t="s">
        <v>141</v>
      </c>
      <c r="J12" s="27" t="n">
        <v>46264</v>
      </c>
      <c r="K12" s="25"/>
      <c r="L12" s="28" t="n">
        <v>1</v>
      </c>
      <c r="M12" s="28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5" t="s">
        <v>5122</v>
      </c>
      <c r="B13" s="25" t="s">
        <v>174</v>
      </c>
      <c r="C13" s="25" t="s">
        <v>110</v>
      </c>
      <c r="D13" s="25" t="s">
        <v>4948</v>
      </c>
      <c r="E13" s="25" t="s">
        <v>161</v>
      </c>
      <c r="F13" s="25" t="s">
        <v>176</v>
      </c>
      <c r="G13" s="25" t="s">
        <v>5123</v>
      </c>
      <c r="H13" s="26" t="s">
        <v>126</v>
      </c>
      <c r="I13" s="25" t="s">
        <v>141</v>
      </c>
      <c r="J13" s="27" t="n">
        <v>46264</v>
      </c>
      <c r="K13" s="25"/>
      <c r="L13" s="28" t="n">
        <v>1</v>
      </c>
      <c r="M13" s="28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5" t="s">
        <v>5124</v>
      </c>
      <c r="B14" s="25" t="s">
        <v>179</v>
      </c>
      <c r="C14" s="25" t="s">
        <v>110</v>
      </c>
      <c r="D14" s="25" t="s">
        <v>5125</v>
      </c>
      <c r="E14" s="25" t="s">
        <v>161</v>
      </c>
      <c r="F14" s="25" t="s">
        <v>181</v>
      </c>
      <c r="G14" s="25" t="s">
        <v>5126</v>
      </c>
      <c r="H14" s="26" t="s">
        <v>126</v>
      </c>
      <c r="I14" s="25" t="s">
        <v>141</v>
      </c>
      <c r="J14" s="27" t="n">
        <v>46264</v>
      </c>
      <c r="K14" s="25"/>
      <c r="L14" s="28" t="n">
        <v>1</v>
      </c>
      <c r="M14" s="28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5" t="s">
        <v>5127</v>
      </c>
      <c r="B15" s="25" t="s">
        <v>184</v>
      </c>
      <c r="C15" s="25" t="s">
        <v>110</v>
      </c>
      <c r="D15" s="25" t="s">
        <v>5128</v>
      </c>
      <c r="E15" s="25" t="s">
        <v>161</v>
      </c>
      <c r="F15" s="25" t="s">
        <v>186</v>
      </c>
      <c r="G15" s="25" t="s">
        <v>5129</v>
      </c>
      <c r="H15" s="26" t="s">
        <v>126</v>
      </c>
      <c r="I15" s="25" t="s">
        <v>141</v>
      </c>
      <c r="J15" s="27" t="n">
        <v>46264</v>
      </c>
      <c r="K15" s="25"/>
      <c r="L15" s="28" t="n">
        <v>1</v>
      </c>
      <c r="M15" s="28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5" t="s">
        <v>5130</v>
      </c>
      <c r="B16" s="25" t="s">
        <v>189</v>
      </c>
      <c r="C16" s="25" t="s">
        <v>110</v>
      </c>
      <c r="D16" s="25" t="s">
        <v>5131</v>
      </c>
      <c r="E16" s="25" t="s">
        <v>161</v>
      </c>
      <c r="F16" s="25" t="s">
        <v>191</v>
      </c>
      <c r="G16" s="25" t="s">
        <v>5129</v>
      </c>
      <c r="H16" s="26" t="s">
        <v>126</v>
      </c>
      <c r="I16" s="25" t="s">
        <v>141</v>
      </c>
      <c r="J16" s="27" t="n">
        <v>46264</v>
      </c>
      <c r="K16" s="25"/>
      <c r="L16" s="28" t="n">
        <v>1</v>
      </c>
      <c r="M16" s="28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5" t="s">
        <v>5132</v>
      </c>
      <c r="B17" s="25" t="s">
        <v>194</v>
      </c>
      <c r="C17" s="25" t="s">
        <v>110</v>
      </c>
      <c r="D17" s="25" t="s">
        <v>5133</v>
      </c>
      <c r="E17" s="25" t="s">
        <v>161</v>
      </c>
      <c r="F17" s="25" t="s">
        <v>196</v>
      </c>
      <c r="G17" s="25" t="s">
        <v>5134</v>
      </c>
      <c r="H17" s="29" t="s">
        <v>124</v>
      </c>
      <c r="I17" s="25" t="s">
        <v>140</v>
      </c>
      <c r="J17" s="27" t="n">
        <v>46264</v>
      </c>
      <c r="K17" s="25" t="s">
        <v>1193</v>
      </c>
      <c r="L17" s="28" t="n">
        <v>1</v>
      </c>
      <c r="M17" s="28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25" t="s">
        <v>5135</v>
      </c>
      <c r="B18" s="25" t="s">
        <v>200</v>
      </c>
      <c r="C18" s="25" t="s">
        <v>110</v>
      </c>
      <c r="D18" s="25" t="s">
        <v>5136</v>
      </c>
      <c r="E18" s="25" t="s">
        <v>161</v>
      </c>
      <c r="F18" s="25" t="s">
        <v>202</v>
      </c>
      <c r="G18" s="25" t="s">
        <v>5137</v>
      </c>
      <c r="H18" s="29" t="s">
        <v>124</v>
      </c>
      <c r="I18" s="25" t="s">
        <v>140</v>
      </c>
      <c r="J18" s="27"/>
      <c r="K18" s="25" t="s">
        <v>1197</v>
      </c>
      <c r="L18" s="28" t="n">
        <v>1</v>
      </c>
      <c r="M18" s="28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25" t="s">
        <v>5138</v>
      </c>
      <c r="B19" s="25" t="s">
        <v>206</v>
      </c>
      <c r="C19" s="25" t="s">
        <v>110</v>
      </c>
      <c r="D19" s="25" t="s">
        <v>5139</v>
      </c>
      <c r="E19" s="25" t="s">
        <v>161</v>
      </c>
      <c r="F19" s="25" t="s">
        <v>202</v>
      </c>
      <c r="G19" s="25" t="s">
        <v>5140</v>
      </c>
      <c r="H19" s="29" t="s">
        <v>124</v>
      </c>
      <c r="I19" s="25" t="s">
        <v>140</v>
      </c>
      <c r="J19" s="27"/>
      <c r="K19" s="25" t="s">
        <v>1201</v>
      </c>
      <c r="L19" s="28" t="n">
        <v>1</v>
      </c>
      <c r="M19" s="28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25" t="s">
        <v>5141</v>
      </c>
      <c r="B20" s="25" t="s">
        <v>689</v>
      </c>
      <c r="C20" s="25" t="s">
        <v>110</v>
      </c>
      <c r="D20" s="25" t="s">
        <v>5142</v>
      </c>
      <c r="E20" s="25" t="s">
        <v>161</v>
      </c>
      <c r="F20" s="25" t="s">
        <v>186</v>
      </c>
      <c r="G20" s="25" t="s">
        <v>5129</v>
      </c>
      <c r="H20" s="26" t="s">
        <v>126</v>
      </c>
      <c r="I20" s="25" t="s">
        <v>141</v>
      </c>
      <c r="J20" s="27" t="n">
        <v>46264</v>
      </c>
      <c r="K20" s="25"/>
      <c r="L20" s="28" t="n">
        <v>1</v>
      </c>
      <c r="M20" s="28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5" t="s">
        <v>5143</v>
      </c>
      <c r="B21" s="25" t="s">
        <v>214</v>
      </c>
      <c r="C21" s="25" t="s">
        <v>110</v>
      </c>
      <c r="D21" s="25" t="s">
        <v>5144</v>
      </c>
      <c r="E21" s="25" t="s">
        <v>161</v>
      </c>
      <c r="F21" s="25" t="s">
        <v>202</v>
      </c>
      <c r="G21" s="25" t="s">
        <v>5137</v>
      </c>
      <c r="H21" s="29" t="s">
        <v>124</v>
      </c>
      <c r="I21" s="25" t="s">
        <v>140</v>
      </c>
      <c r="J21" s="27"/>
      <c r="K21" s="25" t="s">
        <v>1204</v>
      </c>
      <c r="L21" s="28" t="n">
        <v>1</v>
      </c>
      <c r="M21" s="28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5" t="s">
        <v>5145</v>
      </c>
      <c r="B22" s="25" t="s">
        <v>218</v>
      </c>
      <c r="C22" s="25" t="s">
        <v>110</v>
      </c>
      <c r="D22" s="25" t="s">
        <v>4972</v>
      </c>
      <c r="E22" s="25" t="s">
        <v>161</v>
      </c>
      <c r="F22" s="25" t="s">
        <v>220</v>
      </c>
      <c r="G22" s="25" t="s">
        <v>5146</v>
      </c>
      <c r="H22" s="26" t="s">
        <v>126</v>
      </c>
      <c r="I22" s="25" t="s">
        <v>141</v>
      </c>
      <c r="J22" s="27" t="n">
        <v>46264</v>
      </c>
      <c r="K22" s="25"/>
      <c r="L22" s="28" t="n">
        <v>1</v>
      </c>
      <c r="M22" s="28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5" t="s">
        <v>5147</v>
      </c>
      <c r="B23" s="25" t="s">
        <v>223</v>
      </c>
      <c r="C23" s="25" t="s">
        <v>110</v>
      </c>
      <c r="D23" s="25" t="s">
        <v>5148</v>
      </c>
      <c r="E23" s="25" t="s">
        <v>161</v>
      </c>
      <c r="F23" s="25" t="s">
        <v>220</v>
      </c>
      <c r="G23" s="25" t="s">
        <v>5149</v>
      </c>
      <c r="H23" s="26" t="s">
        <v>126</v>
      </c>
      <c r="I23" s="25" t="s">
        <v>141</v>
      </c>
      <c r="J23" s="27" t="n">
        <v>46264</v>
      </c>
      <c r="K23" s="25"/>
      <c r="L23" s="28" t="n">
        <v>1</v>
      </c>
      <c r="M23" s="28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5" t="s">
        <v>5150</v>
      </c>
      <c r="B24" s="25" t="s">
        <v>227</v>
      </c>
      <c r="C24" s="25" t="s">
        <v>110</v>
      </c>
      <c r="D24" s="25" t="s">
        <v>5151</v>
      </c>
      <c r="E24" s="25" t="s">
        <v>229</v>
      </c>
      <c r="F24" s="25" t="s">
        <v>229</v>
      </c>
      <c r="G24" s="25" t="s">
        <v>230</v>
      </c>
      <c r="H24" s="26" t="s">
        <v>126</v>
      </c>
      <c r="I24" s="25" t="s">
        <v>141</v>
      </c>
      <c r="J24" s="27" t="n">
        <v>46264</v>
      </c>
      <c r="K24" s="25"/>
      <c r="L24" s="28" t="n">
        <v>1</v>
      </c>
      <c r="M24" s="28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5" t="s">
        <v>5152</v>
      </c>
      <c r="B25" s="25" t="s">
        <v>232</v>
      </c>
      <c r="C25" s="25" t="s">
        <v>110</v>
      </c>
      <c r="D25" s="25" t="s">
        <v>4980</v>
      </c>
      <c r="E25" s="25" t="s">
        <v>161</v>
      </c>
      <c r="F25" s="25" t="s">
        <v>161</v>
      </c>
      <c r="G25" s="25" t="s">
        <v>601</v>
      </c>
      <c r="H25" s="29" t="s">
        <v>124</v>
      </c>
      <c r="I25" s="25" t="s">
        <v>140</v>
      </c>
      <c r="J25" s="27" t="n">
        <v>46264</v>
      </c>
      <c r="K25" s="25" t="s">
        <v>1215</v>
      </c>
      <c r="L25" s="28" t="n">
        <v>1</v>
      </c>
      <c r="M25" s="28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15.71"/>
    <col collapsed="false" customWidth="true" hidden="false" outlineLevel="0" max="3" min="3" style="0" width="18.71"/>
    <col collapsed="false" customWidth="true" hidden="false" outlineLevel="0" max="4" min="4" style="0" width="58.71"/>
    <col collapsed="false" customWidth="true" hidden="false" outlineLevel="0" max="6" min="5" style="0" width="14.71"/>
    <col collapsed="false" customWidth="true" hidden="false" outlineLevel="0" max="7" min="7" style="0" width="50.71"/>
    <col collapsed="false" customWidth="true" hidden="false" outlineLevel="0" max="8" min="8" style="0" width="17.71"/>
    <col collapsed="false" customWidth="true" hidden="false" outlineLevel="0" max="10" min="9" style="0" width="14.71"/>
    <col collapsed="false" customWidth="true" hidden="false" outlineLevel="0" max="11" min="11" style="0" width="42.71"/>
    <col collapsed="false" customWidth="true" hidden="false" outlineLevel="0" max="13" min="12" style="0" width="10.71"/>
  </cols>
  <sheetData>
    <row r="1" customFormat="false" ht="37.5" hidden="false" customHeight="true" outlineLevel="0" collapsed="false">
      <c r="A1" s="31" t="s">
        <v>5153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</row>
    <row r="2" customFormat="false" ht="27.75" hidden="false" customHeight="true" outlineLevel="0" collapsed="false">
      <c r="A2" s="21" t="s">
        <v>5154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customFormat="false" ht="17.25" hidden="false" customHeight="true" outlineLevel="0" collapsed="false">
      <c r="A4" s="21" t="s">
        <v>7</v>
      </c>
      <c r="B4" s="32" t="n">
        <f aca="false">COUNTA(A9:A25)</f>
        <v>17</v>
      </c>
      <c r="C4" s="21"/>
      <c r="D4" s="21" t="s">
        <v>144</v>
      </c>
      <c r="E4" s="32" t="n">
        <f aca="false">SUM(M9:M25)</f>
        <v>12</v>
      </c>
      <c r="F4" s="21"/>
      <c r="G4" s="21" t="s">
        <v>14</v>
      </c>
      <c r="H4" s="32" t="n">
        <f aca="false">IF(B4=0,0,E4/B4)</f>
        <v>0.705882352941177</v>
      </c>
      <c r="I4" s="21"/>
      <c r="J4" s="21" t="s">
        <v>15</v>
      </c>
      <c r="K4" s="32" t="str">
        <f aca="false">IF(COUNTIFS(E9:E25,"package",M9:M25,0)&gt;0,"open","complete")</f>
        <v>open</v>
      </c>
      <c r="L4" s="21"/>
      <c r="M4" s="21"/>
    </row>
    <row r="5" customFormat="false" ht="17.25" hidden="false" customHeight="true" outlineLevel="0" collapsed="false">
      <c r="A5" s="21" t="s">
        <v>145</v>
      </c>
      <c r="B5" s="32" t="str">
        <f aca="false">IF(COUNTIFS(I9:I25,"yes",M9:M25,0)&gt;0,"open","complete")</f>
        <v>open</v>
      </c>
      <c r="C5" s="21"/>
      <c r="D5" s="21" t="s">
        <v>16</v>
      </c>
      <c r="E5" s="32" t="str">
        <f aca="false">IF(COUNTIFS(E9:E25,"consumer",M9:M25,0)&gt;0,"open","complete")</f>
        <v>complete</v>
      </c>
      <c r="F5" s="21"/>
      <c r="G5" s="21"/>
      <c r="H5" s="21"/>
      <c r="I5" s="21"/>
      <c r="J5" s="21"/>
      <c r="K5" s="21"/>
      <c r="L5" s="21"/>
      <c r="M5" s="21"/>
    </row>
    <row r="8" customFormat="false" ht="15" hidden="false" customHeight="true" outlineLevel="0" collapsed="false">
      <c r="A8" s="23" t="s">
        <v>146</v>
      </c>
      <c r="B8" s="23" t="s">
        <v>147</v>
      </c>
      <c r="C8" s="23" t="s">
        <v>148</v>
      </c>
      <c r="D8" s="23" t="s">
        <v>149</v>
      </c>
      <c r="E8" s="23" t="s">
        <v>150</v>
      </c>
      <c r="F8" s="23" t="s">
        <v>151</v>
      </c>
      <c r="G8" s="23" t="s">
        <v>152</v>
      </c>
      <c r="H8" s="23" t="s">
        <v>104</v>
      </c>
      <c r="I8" s="23" t="s">
        <v>153</v>
      </c>
      <c r="J8" s="23" t="s">
        <v>154</v>
      </c>
      <c r="K8" s="23" t="s">
        <v>155</v>
      </c>
      <c r="L8" s="23" t="s">
        <v>156</v>
      </c>
      <c r="M8" s="23" t="s">
        <v>144</v>
      </c>
    </row>
    <row r="9" customFormat="false" ht="54" hidden="false" customHeight="true" outlineLevel="0" collapsed="false">
      <c r="A9" s="25" t="s">
        <v>4041</v>
      </c>
      <c r="B9" s="25" t="s">
        <v>158</v>
      </c>
      <c r="C9" s="25" t="s">
        <v>111</v>
      </c>
      <c r="D9" s="25" t="s">
        <v>5155</v>
      </c>
      <c r="E9" s="25" t="s">
        <v>161</v>
      </c>
      <c r="F9" s="25" t="s">
        <v>162</v>
      </c>
      <c r="G9" s="25" t="s">
        <v>5156</v>
      </c>
      <c r="H9" s="26" t="s">
        <v>126</v>
      </c>
      <c r="I9" s="25" t="s">
        <v>141</v>
      </c>
      <c r="J9" s="27" t="n">
        <v>46264</v>
      </c>
      <c r="K9" s="25"/>
      <c r="L9" s="28" t="n">
        <v>1</v>
      </c>
      <c r="M9" s="28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25" t="s">
        <v>4045</v>
      </c>
      <c r="B10" s="25" t="s">
        <v>118</v>
      </c>
      <c r="C10" s="25" t="s">
        <v>111</v>
      </c>
      <c r="D10" s="25" t="s">
        <v>5157</v>
      </c>
      <c r="E10" s="25" t="s">
        <v>161</v>
      </c>
      <c r="F10" s="25" t="s">
        <v>181</v>
      </c>
      <c r="G10" s="25" t="s">
        <v>5158</v>
      </c>
      <c r="H10" s="26" t="s">
        <v>126</v>
      </c>
      <c r="I10" s="25" t="s">
        <v>141</v>
      </c>
      <c r="J10" s="27" t="n">
        <v>46264</v>
      </c>
      <c r="K10" s="25"/>
      <c r="L10" s="28" t="n">
        <v>1</v>
      </c>
      <c r="M10" s="28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25" t="s">
        <v>4049</v>
      </c>
      <c r="B11" s="25" t="s">
        <v>165</v>
      </c>
      <c r="C11" s="25" t="s">
        <v>111</v>
      </c>
      <c r="D11" s="25" t="s">
        <v>5159</v>
      </c>
      <c r="E11" s="25" t="s">
        <v>161</v>
      </c>
      <c r="F11" s="25" t="s">
        <v>161</v>
      </c>
      <c r="G11" s="25" t="s">
        <v>609</v>
      </c>
      <c r="H11" s="26" t="s">
        <v>126</v>
      </c>
      <c r="I11" s="25" t="s">
        <v>141</v>
      </c>
      <c r="J11" s="27" t="n">
        <v>46264</v>
      </c>
      <c r="K11" s="25"/>
      <c r="L11" s="28" t="n">
        <v>1</v>
      </c>
      <c r="M11" s="28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25" t="s">
        <v>4052</v>
      </c>
      <c r="B12" s="25" t="s">
        <v>169</v>
      </c>
      <c r="C12" s="25" t="s">
        <v>111</v>
      </c>
      <c r="D12" s="25" t="s">
        <v>4945</v>
      </c>
      <c r="E12" s="25" t="s">
        <v>161</v>
      </c>
      <c r="F12" s="25" t="s">
        <v>171</v>
      </c>
      <c r="G12" s="25" t="s">
        <v>5160</v>
      </c>
      <c r="H12" s="26" t="s">
        <v>126</v>
      </c>
      <c r="I12" s="25" t="s">
        <v>141</v>
      </c>
      <c r="J12" s="27" t="n">
        <v>46264</v>
      </c>
      <c r="K12" s="25"/>
      <c r="L12" s="28" t="n">
        <v>1</v>
      </c>
      <c r="M12" s="28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25" t="s">
        <v>4056</v>
      </c>
      <c r="B13" s="25" t="s">
        <v>174</v>
      </c>
      <c r="C13" s="25" t="s">
        <v>111</v>
      </c>
      <c r="D13" s="25" t="s">
        <v>4948</v>
      </c>
      <c r="E13" s="25" t="s">
        <v>161</v>
      </c>
      <c r="F13" s="25" t="s">
        <v>176</v>
      </c>
      <c r="G13" s="25" t="s">
        <v>5161</v>
      </c>
      <c r="H13" s="26" t="s">
        <v>126</v>
      </c>
      <c r="I13" s="25" t="s">
        <v>141</v>
      </c>
      <c r="J13" s="27" t="n">
        <v>46264</v>
      </c>
      <c r="K13" s="25"/>
      <c r="L13" s="28" t="n">
        <v>1</v>
      </c>
      <c r="M13" s="28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25" t="s">
        <v>4059</v>
      </c>
      <c r="B14" s="25" t="s">
        <v>179</v>
      </c>
      <c r="C14" s="25" t="s">
        <v>111</v>
      </c>
      <c r="D14" s="25" t="s">
        <v>5162</v>
      </c>
      <c r="E14" s="25" t="s">
        <v>161</v>
      </c>
      <c r="F14" s="25" t="s">
        <v>181</v>
      </c>
      <c r="G14" s="25" t="s">
        <v>5163</v>
      </c>
      <c r="H14" s="26" t="s">
        <v>126</v>
      </c>
      <c r="I14" s="25" t="s">
        <v>141</v>
      </c>
      <c r="J14" s="27" t="n">
        <v>46264</v>
      </c>
      <c r="K14" s="25"/>
      <c r="L14" s="28" t="n">
        <v>1</v>
      </c>
      <c r="M14" s="28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25" t="s">
        <v>4062</v>
      </c>
      <c r="B15" s="25" t="s">
        <v>184</v>
      </c>
      <c r="C15" s="25" t="s">
        <v>111</v>
      </c>
      <c r="D15" s="25" t="s">
        <v>5164</v>
      </c>
      <c r="E15" s="25" t="s">
        <v>161</v>
      </c>
      <c r="F15" s="25" t="s">
        <v>186</v>
      </c>
      <c r="G15" s="25" t="s">
        <v>5165</v>
      </c>
      <c r="H15" s="26" t="s">
        <v>126</v>
      </c>
      <c r="I15" s="25" t="s">
        <v>141</v>
      </c>
      <c r="J15" s="27" t="n">
        <v>46264</v>
      </c>
      <c r="K15" s="25"/>
      <c r="L15" s="28" t="n">
        <v>1</v>
      </c>
      <c r="M15" s="28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25" t="s">
        <v>4065</v>
      </c>
      <c r="B16" s="25" t="s">
        <v>189</v>
      </c>
      <c r="C16" s="25" t="s">
        <v>111</v>
      </c>
      <c r="D16" s="25" t="s">
        <v>5166</v>
      </c>
      <c r="E16" s="25" t="s">
        <v>161</v>
      </c>
      <c r="F16" s="25" t="s">
        <v>191</v>
      </c>
      <c r="G16" s="25" t="s">
        <v>5165</v>
      </c>
      <c r="H16" s="26" t="s">
        <v>126</v>
      </c>
      <c r="I16" s="25" t="s">
        <v>141</v>
      </c>
      <c r="J16" s="27" t="n">
        <v>46264</v>
      </c>
      <c r="K16" s="25"/>
      <c r="L16" s="28" t="n">
        <v>1</v>
      </c>
      <c r="M16" s="28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25" t="s">
        <v>4070</v>
      </c>
      <c r="B17" s="25" t="s">
        <v>194</v>
      </c>
      <c r="C17" s="25" t="s">
        <v>111</v>
      </c>
      <c r="D17" s="25" t="s">
        <v>5167</v>
      </c>
      <c r="E17" s="25" t="s">
        <v>161</v>
      </c>
      <c r="F17" s="25" t="s">
        <v>196</v>
      </c>
      <c r="G17" s="25" t="s">
        <v>5168</v>
      </c>
      <c r="H17" s="29" t="s">
        <v>124</v>
      </c>
      <c r="I17" s="25" t="s">
        <v>140</v>
      </c>
      <c r="J17" s="27" t="n">
        <v>46264</v>
      </c>
      <c r="K17" s="25" t="s">
        <v>1193</v>
      </c>
      <c r="L17" s="28" t="n">
        <v>1</v>
      </c>
      <c r="M17" s="28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25" t="s">
        <v>4074</v>
      </c>
      <c r="B18" s="25" t="s">
        <v>200</v>
      </c>
      <c r="C18" s="25" t="s">
        <v>111</v>
      </c>
      <c r="D18" s="25" t="s">
        <v>5169</v>
      </c>
      <c r="E18" s="25" t="s">
        <v>161</v>
      </c>
      <c r="F18" s="25" t="s">
        <v>202</v>
      </c>
      <c r="G18" s="25" t="s">
        <v>5170</v>
      </c>
      <c r="H18" s="29" t="s">
        <v>124</v>
      </c>
      <c r="I18" s="25" t="s">
        <v>140</v>
      </c>
      <c r="J18" s="27"/>
      <c r="K18" s="25" t="s">
        <v>1197</v>
      </c>
      <c r="L18" s="28" t="n">
        <v>1</v>
      </c>
      <c r="M18" s="28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25" t="s">
        <v>4077</v>
      </c>
      <c r="B19" s="25" t="s">
        <v>206</v>
      </c>
      <c r="C19" s="25" t="s">
        <v>111</v>
      </c>
      <c r="D19" s="25" t="s">
        <v>5171</v>
      </c>
      <c r="E19" s="25" t="s">
        <v>161</v>
      </c>
      <c r="F19" s="25" t="s">
        <v>202</v>
      </c>
      <c r="G19" s="25" t="s">
        <v>5172</v>
      </c>
      <c r="H19" s="29" t="s">
        <v>124</v>
      </c>
      <c r="I19" s="25" t="s">
        <v>140</v>
      </c>
      <c r="J19" s="27"/>
      <c r="K19" s="25" t="s">
        <v>1201</v>
      </c>
      <c r="L19" s="28" t="n">
        <v>1</v>
      </c>
      <c r="M19" s="28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25" t="s">
        <v>4081</v>
      </c>
      <c r="B20" s="25" t="s">
        <v>689</v>
      </c>
      <c r="C20" s="25" t="s">
        <v>111</v>
      </c>
      <c r="D20" s="25" t="s">
        <v>5173</v>
      </c>
      <c r="E20" s="25" t="s">
        <v>161</v>
      </c>
      <c r="F20" s="25" t="s">
        <v>186</v>
      </c>
      <c r="G20" s="25" t="s">
        <v>5165</v>
      </c>
      <c r="H20" s="26" t="s">
        <v>126</v>
      </c>
      <c r="I20" s="25" t="s">
        <v>141</v>
      </c>
      <c r="J20" s="27" t="n">
        <v>46264</v>
      </c>
      <c r="K20" s="25"/>
      <c r="L20" s="28" t="n">
        <v>1</v>
      </c>
      <c r="M20" s="28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25" t="s">
        <v>4086</v>
      </c>
      <c r="B21" s="25" t="s">
        <v>214</v>
      </c>
      <c r="C21" s="25" t="s">
        <v>111</v>
      </c>
      <c r="D21" s="25" t="s">
        <v>5174</v>
      </c>
      <c r="E21" s="25" t="s">
        <v>161</v>
      </c>
      <c r="F21" s="25" t="s">
        <v>202</v>
      </c>
      <c r="G21" s="25" t="s">
        <v>5170</v>
      </c>
      <c r="H21" s="29" t="s">
        <v>124</v>
      </c>
      <c r="I21" s="25" t="s">
        <v>140</v>
      </c>
      <c r="J21" s="27"/>
      <c r="K21" s="25" t="s">
        <v>1204</v>
      </c>
      <c r="L21" s="28" t="n">
        <v>1</v>
      </c>
      <c r="M21" s="28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25" t="s">
        <v>4091</v>
      </c>
      <c r="B22" s="25" t="s">
        <v>218</v>
      </c>
      <c r="C22" s="25" t="s">
        <v>111</v>
      </c>
      <c r="D22" s="25" t="s">
        <v>4972</v>
      </c>
      <c r="E22" s="25" t="s">
        <v>161</v>
      </c>
      <c r="F22" s="25" t="s">
        <v>220</v>
      </c>
      <c r="G22" s="25" t="s">
        <v>5175</v>
      </c>
      <c r="H22" s="26" t="s">
        <v>126</v>
      </c>
      <c r="I22" s="25" t="s">
        <v>141</v>
      </c>
      <c r="J22" s="27" t="n">
        <v>46264</v>
      </c>
      <c r="K22" s="25"/>
      <c r="L22" s="28" t="n">
        <v>1</v>
      </c>
      <c r="M22" s="28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25" t="s">
        <v>4094</v>
      </c>
      <c r="B23" s="25" t="s">
        <v>223</v>
      </c>
      <c r="C23" s="25" t="s">
        <v>111</v>
      </c>
      <c r="D23" s="25" t="s">
        <v>5176</v>
      </c>
      <c r="E23" s="25" t="s">
        <v>161</v>
      </c>
      <c r="F23" s="25" t="s">
        <v>220</v>
      </c>
      <c r="G23" s="25" t="s">
        <v>5177</v>
      </c>
      <c r="H23" s="26" t="s">
        <v>126</v>
      </c>
      <c r="I23" s="25" t="s">
        <v>141</v>
      </c>
      <c r="J23" s="27" t="n">
        <v>46264</v>
      </c>
      <c r="K23" s="25"/>
      <c r="L23" s="28" t="n">
        <v>1</v>
      </c>
      <c r="M23" s="28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25" t="s">
        <v>4098</v>
      </c>
      <c r="B24" s="25" t="s">
        <v>227</v>
      </c>
      <c r="C24" s="25" t="s">
        <v>111</v>
      </c>
      <c r="D24" s="25" t="s">
        <v>5178</v>
      </c>
      <c r="E24" s="25" t="s">
        <v>229</v>
      </c>
      <c r="F24" s="25" t="s">
        <v>229</v>
      </c>
      <c r="G24" s="25" t="s">
        <v>230</v>
      </c>
      <c r="H24" s="26" t="s">
        <v>126</v>
      </c>
      <c r="I24" s="25" t="s">
        <v>141</v>
      </c>
      <c r="J24" s="27" t="n">
        <v>46264</v>
      </c>
      <c r="K24" s="25"/>
      <c r="L24" s="28" t="n">
        <v>1</v>
      </c>
      <c r="M24" s="28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25" t="s">
        <v>4101</v>
      </c>
      <c r="B25" s="25" t="s">
        <v>232</v>
      </c>
      <c r="C25" s="25" t="s">
        <v>111</v>
      </c>
      <c r="D25" s="25" t="s">
        <v>4980</v>
      </c>
      <c r="E25" s="25" t="s">
        <v>161</v>
      </c>
      <c r="F25" s="25" t="s">
        <v>161</v>
      </c>
      <c r="G25" s="25" t="s">
        <v>601</v>
      </c>
      <c r="H25" s="29" t="s">
        <v>124</v>
      </c>
      <c r="I25" s="25" t="s">
        <v>140</v>
      </c>
      <c r="J25" s="27" t="n">
        <v>46264</v>
      </c>
      <c r="K25" s="25" t="s">
        <v>1215</v>
      </c>
      <c r="L25" s="28" t="n">
        <v>1</v>
      </c>
      <c r="M25" s="28" t="n">
        <f aca="false">IF(OR(AND(I25="yes",H25="verified"),AND(I25="no",OR(H25="tested",H25="verified")),AND(H25="not applicable",K25&lt;&gt;"")),1,0)</f>
        <v>0</v>
      </c>
    </row>
  </sheetData>
  <dataValidations count="2">
    <dataValidation allowBlank="false" errorStyle="stop" operator="between" showDropDown="false" showErrorMessage="false" showInputMessage="false" sqref="H9:H25" type="list">
      <formula1>_Lists!$A$1:$A$7</formula1>
      <formula2>0</formula2>
    </dataValidation>
    <dataValidation allowBlank="false" errorStyle="stop" operator="between" showDropDown="false" showErrorMessage="false" showInputMessage="false" sqref="I9:I25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