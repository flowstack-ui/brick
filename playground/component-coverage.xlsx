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Button" sheetId="3" state="visible" r:id="rId5"/>
    <sheet name="Card" sheetId="4" state="visible" r:id="rId6"/>
    <sheet name="Dialog" sheetId="5" state="visible" r:id="rId7"/>
    <sheet name="_Lists" sheetId="6" state="hidden" r:id="rId8"/>
  </sheets>
  <definedNames>
    <definedName function="false" hidden="false" localSheetId="2" name="_xlnm.Print_Area" vbProcedure="false">Button!$A$1:$M$34</definedName>
    <definedName function="false" hidden="false" localSheetId="2" name="_xlnm.Print_Titles" vbProcedure="false">Button!$1:$8</definedName>
    <definedName function="false" hidden="true" localSheetId="2" name="_xlnm._FilterDatabase" vbProcedure="false">Button!$A$8:$M$34</definedName>
    <definedName function="false" hidden="false" localSheetId="3" name="_xlnm.Print_Area" vbProcedure="false">Card!$A$1:$M$41</definedName>
    <definedName function="false" hidden="false" localSheetId="3" name="_xlnm.Print_Titles" vbProcedure="false">Card!$1:$8</definedName>
    <definedName function="false" hidden="true" localSheetId="3" name="_xlnm._FilterDatabase" vbProcedure="false">Card!$A$8:$M$34</definedName>
    <definedName function="false" hidden="false" localSheetId="4" name="_xlnm.Print_Area" vbProcedure="false">Dialog!$A$1:$M$45</definedName>
    <definedName function="false" hidden="false" localSheetId="4" name="_xlnm.Print_Titles" vbProcedure="false">Dialog!$1:$8</definedName>
    <definedName function="false" hidden="true" localSheetId="4" name="_xlnm._FilterDatabase" vbProcedure="false">Dialog!$A$8:$M$45</definedName>
    <definedName function="false" hidden="false" localSheetId="0" name="_xlnm.Print_Area" vbProcedure="false">Index!$A$1:$N$10</definedName>
    <definedName function="false" hidden="false" localSheetId="1" name="_xlnm.Print_Area" vbProcedure="false">Instructions!$A$1:$B$18</definedName>
    <definedName function="false" hidden="true" localSheetId="1" name="_xlnm._FilterDatabase" vbProcedure="false">Instructions!$A$4:$B$18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<sst xmlns="http://schemas.openxmlformats.org/spreadsheetml/2006/main" count="995" uniqueCount="338">
  <si>
    <t xml:space="preserve">Brick Component Coverage Index</t>
  </si>
  <si>
    <t xml:space="preserve">Formula-driven foundation tracker. Package completion, live-consumer cutover, and legacy retirement remain separate gates.</t>
  </si>
  <si>
    <t xml:space="preserve">Reference 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</si>
  <si>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</si>
  <si>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</si>
  <si>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</si>
  <si>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</si>
  <si>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</si>
  <si>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</si>
  <si>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</si>
  <si>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</si>
  <si>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</si>
  <si>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</si>
  <si>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Not applicable</t>
  </si>
  <si>
    <t xml:space="preserve">Completion</t>
  </si>
  <si>
    <t xml:space="preserve">Package gate</t>
  </si>
  <si>
    <t xml:space="preserve">Consumer gate</t>
  </si>
  <si>
    <t xml:space="preserve">Retirement gate</t>
  </si>
  <si>
    <t xml:space="preserve">Status</t>
  </si>
  <si>
    <t xml:space="preserve">Button</t>
  </si>
  <si>
    <t xml:space="preserve">Card</t>
  </si>
  <si>
    <t xml:space="preserve">Dialog</t>
  </si>
  <si>
    <t xml:space="preserve">Brick Component Coverage</t>
  </si>
  <si>
    <t xml:space="preserve">A review index for implementation, automated evidence, human verification, consumer cutover, and Core retirement.</t>
  </si>
  <si>
    <t xml:space="preserve">Topic</t>
  </si>
  <si>
    <t xml:space="preserve">Rule</t>
  </si>
  <si>
    <t xml:space="preserve">Purpose</t>
  </si>
  <si>
    <t xml:space="preserve">The workbook makes missing component evidence visible. Source, tests, protocols, docs, and the Core ledger remain authoritative.</t>
  </si>
  <si>
    <t xml:space="preserve">not started — required evidence does not exist yet</t>
  </si>
  <si>
    <t xml:space="preserve">partial — some evidence exists but the requirement is incomplete</t>
  </si>
  <si>
    <t xml:space="preserve">implemented — the required implementation or evidence exists</t>
  </si>
  <si>
    <t xml:space="preserve">tested — the automated or repeatable check passes</t>
  </si>
  <si>
    <t xml:space="preserve">verified — required human review also passed</t>
  </si>
  <si>
    <t xml:space="preserve">blocked — progress requires a documented decision, dependency, or fix</t>
  </si>
  <si>
    <t xml:space="preserve">not applicable — the approved brief excludes the requirement; record the reason</t>
  </si>
  <si>
    <t xml:space="preserve">Human-review rows resolve only at verified. Other rows resolve at tested or verified. A documented not-applicable row also resolves.</t>
  </si>
  <si>
    <t xml:space="preserve">Implementation, playground, automated tests, manual evidence, and documentation are complete.</t>
  </si>
  <si>
    <t xml:space="preserve">A live consumer uses the finished Brick component and the cutover is verified.</t>
  </si>
  <si>
    <t xml:space="preserve">The authorized legacy Core slice and stale evidence are removed.</t>
  </si>
  <si>
    <t xml:space="preserve">Anatomy</t>
  </si>
  <si>
    <t xml:space="preserve">Replace generic Component parts and add part-specific rows after the component brief is adopted.</t>
  </si>
  <si>
    <t xml:space="preserve">Editing</t>
  </si>
  <si>
    <t xml:space="preserve">Use list values, keep evidence links short, record blocker and not-applicable reasons, recalculate, and visually inspect every changed sheet.</t>
  </si>
  <si>
    <t xml:space="preserve">Button Evidence Matrix</t>
  </si>
  <si>
    <t xml:space="preserve">Evidence gates for the adopted Button contract. Planning evidence may resolve an audit gate, but implementation, test, documentation, consumer, and retirement gates require their own completed evidence.</t>
  </si>
  <si>
    <t xml:space="preserve">Resolved</t>
  </si>
  <si>
    <t xml:space="preserve">Completion is formula-driven. Human-review rows require verified; other rows require tested or verified. Not applicable requires a reason.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</si>
  <si>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</si>
  <si>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</si>
  <si>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</si>
  <si>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</si>
  <si>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</si>
  <si>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</si>
  <si>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</si>
  <si>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</si>
  <si>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</si>
  <si>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</si>
  <si>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</si>
  <si>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BUT-01</t>
  </si>
  <si>
    <t xml:space="preserve">Public API</t>
  </si>
  <si>
    <t xml:space="preserve">Implementation uses public Atom 0.2.1 behavior without Core or local headless wrappers</t>
  </si>
  <si>
    <t xml:space="preserve">package</t>
  </si>
  <si>
    <t xml:space="preserve">source</t>
  </si>
  <si>
    <t xml:space="preserve">../src/components/button/Button.tsx</t>
  </si>
  <si>
    <t xml:space="preserve">tested</t>
  </si>
  <si>
    <t xml:space="preserve">no</t>
  </si>
  <si>
    <t xml:space="preserve">BUT-02</t>
  </si>
  <si>
    <t xml:space="preserve">Boundary</t>
  </si>
  <si>
    <t xml:space="preserve">Atom 0.2.1 capability audit covers pointer, keyboard, touch, constrained layouts, native links, asChild, and render; every Atom-owned gap is resolved in the released dependency</t>
  </si>
  <si>
    <t xml:space="preserve">decision</t>
  </si>
  <si>
    <t xml:space="preserve">../../docs/button-component-brief.md</t>
  </si>
  <si>
    <t xml:space="preserve">verified</t>
  </si>
  <si>
    <t xml:space="preserve">yes</t>
  </si>
  <si>
    <t xml:space="preserve">BUT-03</t>
  </si>
  <si>
    <t xml:space="preserve">Direct Button export, declarations, defaults, and closed prop unions match the approved brief</t>
  </si>
  <si>
    <t xml:space="preserve">types</t>
  </si>
  <si>
    <t xml:space="preserve">../src/button.ts</t>
  </si>
  <si>
    <t xml:space="preserve">BUT-04</t>
  </si>
  <si>
    <t xml:space="preserve">Native props, HTMLElement ref, Atom composition, icons, loading, and the public Button slot follow the adopted API contract</t>
  </si>
  <si>
    <t xml:space="preserve">../test/components/button.test.tsx</t>
  </si>
  <si>
    <t xml:space="preserve">BUT-05</t>
  </si>
  <si>
    <t xml:space="preserve">Visual system</t>
  </si>
  <si>
    <t xml:space="preserve">Compiled CSS uses public brick classes, variables, layers, and semantic tokens</t>
  </si>
  <si>
    <t xml:space="preserve">../src/components/button/button.css</t>
  </si>
  <si>
    <t xml:space="preserve">BUT-06</t>
  </si>
  <si>
    <t xml:space="preserve">Four variants, six tones, five sizes, three shapes, fullWidth, loading, and every required interaction state are implemented</t>
  </si>
  <si>
    <t xml:space="preserve">../playground/manual-tests/button.md</t>
  </si>
  <si>
    <t xml:space="preserve">BUT-07</t>
  </si>
  <si>
    <t xml:space="preserve">Playground</t>
  </si>
  <si>
    <t xml:space="preserve">Canonical overview and shortest finished state</t>
  </si>
  <si>
    <t xml:space="preserve">playground</t>
  </si>
  <si>
    <t xml:space="preserve">manual-tests/button.md</t>
  </si>
  <si>
    <t xml:space="preserve">BUT-08</t>
  </si>
  <si>
    <t xml:space="preserve">Every variant, tone, size, shape, width mode, composition path, and important state is shown</t>
  </si>
  <si>
    <t xml:space="preserve">BUT-09</t>
  </si>
  <si>
    <t xml:space="preserve">Mobile-first constrained viewport and intentional wide layout</t>
  </si>
  <si>
    <t xml:space="preserve">BUT-10</t>
  </si>
  <si>
    <t xml:space="preserve">Light, dark, forced-colors, reduced-motion, and relevant preference modes</t>
  </si>
  <si>
    <t xml:space="preserve">tests/preferences.spec.ts</t>
  </si>
  <si>
    <t xml:space="preserve">BUT-11</t>
  </si>
  <si>
    <t xml:space="preserve">Long content, localization, zoom, and RTL stress</t>
  </si>
  <si>
    <t xml:space="preserve">BUT-12</t>
  </si>
  <si>
    <t xml:space="preserve">Semantic tokens, public Button tokens, className, style, data attributes, and the Button slot customization contract</t>
  </si>
  <si>
    <t xml:space="preserve">BUT-13</t>
  </si>
  <si>
    <t xml:space="preserve">Stable route and deterministic state inputs for browser tests</t>
  </si>
  <si>
    <t xml:space="preserve">tests/button.spec.ts</t>
  </si>
  <si>
    <t xml:space="preserve">BUT-14</t>
  </si>
  <si>
    <t xml:space="preserve">Automated tests</t>
  </si>
  <si>
    <t xml:space="preserve">Vitest and Testing Library component contract tests</t>
  </si>
  <si>
    <t xml:space="preserve">test</t>
  </si>
  <si>
    <t xml:space="preserve">BUT-15</t>
  </si>
  <si>
    <t xml:space="preserve">Public prop unions, defaults, composition conflicts, native props, ref, and declaration fixtures</t>
  </si>
  <si>
    <t xml:space="preserve">../test/types/public-api.test.ts</t>
  </si>
  <si>
    <t xml:space="preserve">BUT-16</t>
  </si>
  <si>
    <t xml:space="preserve">Playwright keyboard, pointer, focus, and state interactions</t>
  </si>
  <si>
    <t xml:space="preserve">BUT-17</t>
  </si>
  <si>
    <t xml:space="preserve">Axe checks for canonical browser states</t>
  </si>
  <si>
    <t xml:space="preserve">tests/foundation.spec.ts</t>
  </si>
  <si>
    <t xml:space="preserve">BUT-18</t>
  </si>
  <si>
    <t xml:space="preserve">Risk-based Chromium visual baselines reviewed</t>
  </si>
  <si>
    <t xml:space="preserve">tests/visual.spec.ts</t>
  </si>
  <si>
    <t xml:space="preserve">BUT-19</t>
  </si>
  <si>
    <t xml:space="preserve">Relevant Chromium, Firefox, WebKit, and mobile-profile checks</t>
  </si>
  <si>
    <t xml:space="preserve">../../playwright.config.ts</t>
  </si>
  <si>
    <t xml:space="preserve">BUT-20</t>
  </si>
  <si>
    <t xml:space="preserve">Server-render boundary and server-safe consumer behavior are verified</t>
  </si>
  <si>
    <t xml:space="preserve">../scripts/verify-consumers.mjs</t>
  </si>
  <si>
    <t xml:space="preserve">BUT-21</t>
  </si>
  <si>
    <t xml:space="preserve">Manual evidence</t>
  </si>
  <si>
    <t xml:space="preserve">Numbered component manual-test protocol is complete</t>
  </si>
  <si>
    <t xml:space="preserve">manual</t>
  </si>
  <si>
    <t xml:space="preserve">BUT-22</t>
  </si>
  <si>
    <t xml:space="preserve">Latest required manual run is recorded and passes</t>
  </si>
  <si>
    <t xml:space="preserve">BUT-23</t>
  </si>
  <si>
    <t xml:space="preserve">Documentation</t>
  </si>
  <si>
    <t xml:space="preserve">Public component documentation follows the standard template</t>
  </si>
  <si>
    <t xml:space="preserve">docs</t>
  </si>
  <si>
    <t xml:space="preserve">../docs/components/button/README.md</t>
  </si>
  <si>
    <t xml:space="preserve">BUT-24</t>
  </si>
  <si>
    <t xml:space="preserve">Component changelog and applicable package release notes are updated</t>
  </si>
  <si>
    <t xml:space="preserve">../docs/components/button/CHANGELOG.md</t>
  </si>
  <si>
    <t xml:space="preserve">BUT-25</t>
  </si>
  <si>
    <t xml:space="preserve">Consumer</t>
  </si>
  <si>
    <t xml:space="preserve">Live consumer cutover is verified without adding new legacy Core coupling</t>
  </si>
  <si>
    <t xml:space="preserve">consumer</t>
  </si>
  <si>
    <t xml:space="preserve">../../../../apps/brick-consumer/tests/consumer.spec.ts</t>
  </si>
  <si>
    <t xml:space="preserve">BUT-26</t>
  </si>
  <si>
    <t xml:space="preserve">Retirement</t>
  </si>
  <si>
    <t xml:space="preserve">Legacy Core slice and authorized stale consumer evidence are removed</t>
  </si>
  <si>
    <t xml:space="preserve">retirement</t>
  </si>
  <si>
    <t xml:space="preserve">removal</t>
  </si>
  <si>
    <t xml:space="preserve">not started</t>
  </si>
  <si>
    <t xml:space="preserve">Card Evidence Matrix</t>
  </si>
  <si>
    <t xml:space="preserve">Evidence gates for the adopted static Card compound, its seven public parts, package proof, consumer cutover, and dependency-blocked legacy retirement.</t>
  </si>
  <si>
    <t xml:space="preserve">CAR-01</t>
  </si>
  <si>
    <t xml:space="preserve">Namespace</t>
  </si>
  <si>
    <t xml:space="preserve">Static Card namespace implementation has no Core, application, or local behavior wrapper</t>
  </si>
  <si>
    <t xml:space="preserve">../src/components/card/Card.tsx</t>
  </si>
  <si>
    <t xml:space="preserve">CAR-02</t>
  </si>
  <si>
    <t xml:space="preserve">Atom capability audit confirms Card owns no behavior and requires no Atom patch or local workaround</t>
  </si>
  <si>
    <t xml:space="preserve">../../docs/card-component-brief.md</t>
  </si>
  <si>
    <t xml:space="preserve">CAR-03</t>
  </si>
  <si>
    <t xml:space="preserve">Root and card subpath exports, declarations, defaults, and closed unions match the adopted brief</t>
  </si>
  <si>
    <t xml:space="preserve">../src/card.ts</t>
  </si>
  <si>
    <t xml:space="preserve">CAR-04</t>
  </si>
  <si>
    <t xml:space="preserve">All parts</t>
  </si>
  <si>
    <t xml:space="preserve">Native props, refs, className, style, events, children, and overridable slots forward on every public part</t>
  </si>
  <si>
    <t xml:space="preserve">../test/components/card.test.tsx</t>
  </si>
  <si>
    <t xml:space="preserve">CAR-05</t>
  </si>
  <si>
    <t xml:space="preserve">Root</t>
  </si>
  <si>
    <t xml:space="preserve">Neutral div default, restricted semantic elements, variant and size defaults, and no invented role or focus state</t>
  </si>
  <si>
    <t xml:space="preserve">CAR-06</t>
  </si>
  <si>
    <t xml:space="preserve">Header</t>
  </si>
  <si>
    <t xml:space="preserve">Title, description, and compact trailing action preserve source order and resilient narrow-screen layout</t>
  </si>
  <si>
    <t xml:space="preserve">manual-tests/card.md</t>
  </si>
  <si>
    <t xml:space="preserve">CAR-07</t>
  </si>
  <si>
    <t xml:space="preserve">Title</t>
  </si>
  <si>
    <t xml:space="preserve">Heading defaults to h3 and supports only h1 through h6 with native heading semantics</t>
  </si>
  <si>
    <t xml:space="preserve">CAR-08</t>
  </si>
  <si>
    <t xml:space="preserve">Description</t>
  </si>
  <si>
    <t xml:space="preserve">Supporting text renders as a native paragraph and forwards its complete public DOM contract</t>
  </si>
  <si>
    <t xml:space="preserve">CAR-09</t>
  </si>
  <si>
    <t xml:space="preserve">Action</t>
  </si>
  <si>
    <t xml:space="preserve">Compact trailing layout creates no role, focus, click, keyboard, or generated control behavior</t>
  </si>
  <si>
    <t xml:space="preserve">tests/card.spec.ts</t>
  </si>
  <si>
    <t xml:space="preserve">CAR-10</t>
  </si>
  <si>
    <t xml:space="preserve">Content</t>
  </si>
  <si>
    <t xml:space="preserve">Optional body region renders one native element and omitted anatomy creates no empty regions</t>
  </si>
  <si>
    <t xml:space="preserve">CAR-11</t>
  </si>
  <si>
    <t xml:space="preserve">Footer</t>
  </si>
  <si>
    <t xml:space="preserve">Optional footer preserves explicit controls, logical order, wrapping, and visible focus at narrow widths</t>
  </si>
  <si>
    <t xml:space="preserve">CAR-12</t>
  </si>
  <si>
    <t xml:space="preserve">Compiled CSS uses public brick classes, component tokens, layers, logical properties, and semantic roles</t>
  </si>
  <si>
    <t xml:space="preserve">../src/components/card/card.css</t>
  </si>
  <si>
    <t xml:space="preserve">CAR-13</t>
  </si>
  <si>
    <t xml:space="preserve">Outline, elevated, and subtle variants plus small, medium, and large density recipes remain distinct in light and dark</t>
  </si>
  <si>
    <t xml:space="preserve">CAR-14</t>
  </si>
  <si>
    <t xml:space="preserve">Canonical article and every partial anatomy are built from public Card parts and Brick Button</t>
  </si>
  <si>
    <t xml:space="preserve">CAR-15</t>
  </si>
  <si>
    <t xml:space="preserve">Every variant and size plus media and single-action-link composition are represented</t>
  </si>
  <si>
    <t xml:space="preserve">CAR-16</t>
  </si>
  <si>
    <t xml:space="preserve">Mobile-first constrained layouts and intentional wide layouts preserve natural Card height and containment</t>
  </si>
  <si>
    <t xml:space="preserve">CAR-17</t>
  </si>
  <si>
    <t xml:space="preserve">Light, dark, scoped appearance, forced colors, and reduced motion retain hierarchy and boundaries</t>
  </si>
  <si>
    <t xml:space="preserve">CAR-18</t>
  </si>
  <si>
    <t xml:space="preserve">Long content, unbroken text, localization, 400 percent zoom, and RTL remain contained and readable</t>
  </si>
  <si>
    <t xml:space="preserve">CAR-19</t>
  </si>
  <si>
    <t xml:space="preserve">Public Card tokens, stable classes, style, data attributes, and overridable part slots are inspectable</t>
  </si>
  <si>
    <t xml:space="preserve">CAR-20</t>
  </si>
  <si>
    <t xml:space="preserve">Stable Card route and deterministic scenario selectors support repeatable browser tests</t>
  </si>
  <si>
    <t xml:space="preserve">CAR-21</t>
  </si>
  <si>
    <t xml:space="preserve">Vitest and Testing Library cover the complete component and native DOM contract</t>
  </si>
  <si>
    <t xml:space="preserve">CAR-22</t>
  </si>
  <si>
    <t xml:space="preserve">Public type, declaration, invalid-prop, root export, and card-subpath fixtures pass</t>
  </si>
  <si>
    <t xml:space="preserve">CAR-23</t>
  </si>
  <si>
    <t xml:space="preserve">Playwright verifies static semantics, explicit-control focus, accessible link naming, reflow, and zoom</t>
  </si>
  <si>
    <t xml:space="preserve">CAR-24</t>
  </si>
  <si>
    <t xml:space="preserve">Axe reports no automatically detectable violations for canonical Card states</t>
  </si>
  <si>
    <t xml:space="preserve">CAR-25</t>
  </si>
  <si>
    <t xml:space="preserve">Six deterministic Chromium visual baselines are reviewed</t>
  </si>
  <si>
    <t xml:space="preserve">CAR-26</t>
  </si>
  <si>
    <t xml:space="preserve">Chromium, Firefox, WebKit, Pixel, and iPhone release matrix records 73 passes and 42 intentional skips</t>
  </si>
  <si>
    <t xml:space="preserve">../playwright.config.ts</t>
  </si>
  <si>
    <t xml:space="preserve">CAR-27</t>
  </si>
  <si>
    <t xml:space="preserve">SSR, package boundary, tarball, and clean React 18 and React 19 consumer verification pass</t>
  </si>
  <si>
    <t xml:space="preserve">../test/package/ssr.test.mjs</t>
  </si>
  <si>
    <t xml:space="preserve">CAR-28</t>
  </si>
  <si>
    <t xml:space="preserve">Numbered ten-step Card manual-test protocol is complete</t>
  </si>
  <si>
    <t xml:space="preserve">CAR-29</t>
  </si>
  <si>
    <t xml:space="preserve">Latest owner run is recorded and passes after every discovered finding was corrected and retested</t>
  </si>
  <si>
    <t xml:space="preserve">CAR-30</t>
  </si>
  <si>
    <t xml:space="preserve">Public Card documentation follows the standard template and documents whole-card accessibility</t>
  </si>
  <si>
    <t xml:space="preserve">../docs/components/card/README.md</t>
  </si>
  <si>
    <t xml:space="preserve">CAR-31</t>
  </si>
  <si>
    <t xml:space="preserve">Card changelog and package release notes record the initial contract and dark-elevation correction</t>
  </si>
  <si>
    <t xml:space="preserve">../docs/components/card/CHANGELOG.md</t>
  </si>
  <si>
    <t xml:space="preserve">CAR-32</t>
  </si>
  <si>
    <t xml:space="preserve">Independent consumer uses public Card for project, checklist, and invitation surfaces and passes ten browser checks</t>
  </si>
  <si>
    <t xml:space="preserve">CAR-33</t>
  </si>
  <si>
    <t xml:space="preserve">Legacy Card family</t>
  </si>
  <si>
    <t xml:space="preserve">Legacy Card source, exports, compatibility, and stale evidence are removed only after dependents are resolved</t>
  </si>
  <si>
    <t xml:space="preserve">../../docs/core-dependency-ledger.md</t>
  </si>
  <si>
    <t xml:space="preserve">blocked</t>
  </si>
  <si>
    <t xml:space="preserve">Dialog, Drawer, and AlertDialog still consume legacy Card parts or types.</t>
  </si>
  <si>
    <t xml:space="preserve">Dialog Evidence Matrix</t>
  </si>
  <si>
    <t xml:space="preserve">Evidence gates for the adopted modal Dialog compound, its twelve public parts, package proof, consumer cutover, and dependency-blocked legacy retirement.</t>
  </si>
  <si>
    <t xml:space="preserve">DIA-01</t>
  </si>
  <si>
    <t xml:space="preserve">Implementation directly composes public Atom 0.3.2 behavior without Core or local headless wrappers</t>
  </si>
  <si>
    <t xml:space="preserve">../src/components/dialog/Dialog.tsx</t>
  </si>
  <si>
    <t xml:space="preserve">DIA-02</t>
  </si>
  <si>
    <t xml:space="preserve">Adopted capability audit covers focus, nested layers, portals, isolation, scrolling, touch focus, presence, and dismissal; released Atom gaps are resolved</t>
  </si>
  <si>
    <t xml:space="preserve">../../docs/dialog-component-brief.md</t>
  </si>
  <si>
    <t xml:space="preserve">DIA-03</t>
  </si>
  <si>
    <t xml:space="preserve">Root and dialog-subpath namespaces, direct part exports, declarations, and closed prop unions match the adopted brief</t>
  </si>
  <si>
    <t xml:space="preserve">DIA-04</t>
  </si>
  <si>
    <t xml:space="preserve">Controlled and uncontrolled state, modal policy, dismissal controls, and close-reason detail remain public Atom behavior</t>
  </si>
  <si>
    <t xml:space="preserve">../test/components/dialog.test.tsx</t>
  </si>
  <si>
    <t xml:space="preserve">DIA-05</t>
  </si>
  <si>
    <t xml:space="preserve">Trigger</t>
  </si>
  <si>
    <t xml:space="preserve">Trigger preserves native props, ref, stable Brick hooks, and Atom asChild and render composition</t>
  </si>
  <si>
    <t xml:space="preserve">DIA-06</t>
  </si>
  <si>
    <t xml:space="preserve">Portal</t>
  </si>
  <si>
    <t xml:space="preserve">Portal preserves default body, inline disabled, and custom-container composition without copying behavior into Brick</t>
  </si>
  <si>
    <t xml:space="preserve">DIA-07</t>
  </si>
  <si>
    <t xml:space="preserve">Overlay</t>
  </si>
  <si>
    <t xml:space="preserve">Overlay remains a sibling of Content, exposes the semantic scrim, and preserves exact-target and disabled dismissal behavior</t>
  </si>
  <si>
    <t xml:space="preserve">tests/dialog.spec.ts</t>
  </si>
  <si>
    <t xml:space="preserve">DIA-08</t>
  </si>
  <si>
    <t xml:space="preserve">Modal semantics, ARIA ownership, focus scope, native props, ref, stable hooks, and sm, md, and lg sizes follow the adopted contract</t>
  </si>
  <si>
    <t xml:space="preserve">DIA-09</t>
  </si>
  <si>
    <t xml:space="preserve">Header renders one native visual region for title, description, and optional explicit controls without generated behavior</t>
  </si>
  <si>
    <t xml:space="preserve">DIA-10</t>
  </si>
  <si>
    <t xml:space="preserve">Visible accessible naming and h1 through h6 heading control preserve Atom ARIA relationships</t>
  </si>
  <si>
    <t xml:space="preserve">DIA-11</t>
  </si>
  <si>
    <t xml:space="preserve">Optional paragraph content supplies the accessible description without inventing copy or empty relationships</t>
  </si>
  <si>
    <t xml:space="preserve">DIA-12</t>
  </si>
  <si>
    <t xml:space="preserve">Body</t>
  </si>
  <si>
    <t xml:space="preserve">Bounded body scrolling keeps long content readable without moving Header, Footer, or the background page</t>
  </si>
  <si>
    <t xml:space="preserve">manual-tests/dialog.md</t>
  </si>
  <si>
    <t xml:space="preserve">DIA-13</t>
  </si>
  <si>
    <t xml:space="preserve">Consumer-selected actions preserve source order, wrap logically, and remain reachable at narrow and keyboard-constrained heights</t>
  </si>
  <si>
    <t xml:space="preserve">DIA-14</t>
  </si>
  <si>
    <t xml:space="preserve">Close</t>
  </si>
  <si>
    <t xml:space="preserve">Close preserves native props, ref, stable Brick hooks, Atom composition, and the closeClick reason</t>
  </si>
  <si>
    <t xml:space="preserve">DIA-15</t>
  </si>
  <si>
    <t xml:space="preserve">Branch</t>
  </si>
  <si>
    <t xml:space="preserve">Branch remains the public registration boundary for owned third-party portals and adds only stable Brick styling hooks</t>
  </si>
  <si>
    <t xml:space="preserve">DIA-16</t>
  </si>
  <si>
    <t xml:space="preserve">Compiled CSS uses public Brick classes, component tokens, layers, logical properties, semantic roles, and direction-neutral centering</t>
  </si>
  <si>
    <t xml:space="preserve">../src/components/dialog/dialog.css</t>
  </si>
  <si>
    <t xml:space="preserve">DIA-17</t>
  </si>
  <si>
    <t xml:space="preserve">The semantic overlay recipe, border, elevation, spacing, three sizes, and reduced-motion states remain distinct and coherent</t>
  </si>
  <si>
    <t xml:space="preserve">DIA-18</t>
  </si>
  <si>
    <t xml:space="preserve">The nine-section deterministic workbench uses public Dialog anatomy and Brick Button composition</t>
  </si>
  <si>
    <t xml:space="preserve">DIA-19</t>
  </si>
  <si>
    <t xml:space="preserve">Overview, sizes, anatomy, dismissal, nesting, scoped appearance, customization, long content, and RTL scenarios are represented</t>
  </si>
  <si>
    <t xml:space="preserve">DIA-20</t>
  </si>
  <si>
    <t xml:space="preserve">Mobile-first constrained and intentional wide layouts preserve viewport gaps, bounded height, body scrolling, and reachable actions</t>
  </si>
  <si>
    <t xml:space="preserve">DIA-21</t>
  </si>
  <si>
    <t xml:space="preserve">Light, dark, scoped appearance, forced colors, and reduced motion retain hierarchy, boundaries, and focus visibility</t>
  </si>
  <si>
    <t xml:space="preserve">DIA-22</t>
  </si>
  <si>
    <t xml:space="preserve">Long content, unbroken text, localization, 200 and 400 percent zoom, narrow widths, and RTL remain contained and readable</t>
  </si>
  <si>
    <t xml:space="preserve">DIA-23</t>
  </si>
  <si>
    <t xml:space="preserve">Public Dialog tokens, stable classes, style, data attributes, and overridable part slots remain local and inspectable</t>
  </si>
  <si>
    <t xml:space="preserve">DIA-24</t>
  </si>
  <si>
    <t xml:space="preserve">Stable Dialog route and deterministic selectors support repeatable browser and visual checks</t>
  </si>
  <si>
    <t xml:space="preserve">DIA-25</t>
  </si>
  <si>
    <t xml:space="preserve">Vitest and Testing Library cover default DOM, native contracts, composition, sizes, ARIA, state, and namespace identity</t>
  </si>
  <si>
    <t xml:space="preserve">DIA-26</t>
  </si>
  <si>
    <t xml:space="preserve">Public types, declarations, invalid size and flat-call exclusions, root exports, and dialog-subpath fixtures pass</t>
  </si>
  <si>
    <t xml:space="preserve">DIA-27</t>
  </si>
  <si>
    <t xml:space="preserve">Playwright verifies modal anatomy, focus containment and restoration, dismissal, nested cleanup, RTL, and mobile geometry</t>
  </si>
  <si>
    <t xml:space="preserve">DIA-28</t>
  </si>
  <si>
    <t xml:space="preserve">Axe reports no automatically detectable violations for the canonical open Dialog state</t>
  </si>
  <si>
    <t xml:space="preserve">DIA-29</t>
  </si>
  <si>
    <t xml:space="preserve">Four deterministic Chromium visual baselines covering light, dark, mobile RTL, and forced colors are reviewed</t>
  </si>
  <si>
    <t xml:space="preserve">DIA-30</t>
  </si>
  <si>
    <t xml:space="preserve">Chromium, Firefox, WebKit, Pixel, and iPhone Dialog release matrix records 30 passing checks</t>
  </si>
  <si>
    <t xml:space="preserve">DIA-31</t>
  </si>
  <si>
    <t xml:space="preserve">DIA-32</t>
  </si>
  <si>
    <t xml:space="preserve">Numbered nine-step Dialog manual-test protocol is complete</t>
  </si>
  <si>
    <t xml:space="preserve">DIA-33</t>
  </si>
  <si>
    <t xml:space="preserve">Latest owner run passes after nested isolation, portalled RTL direction, and direction-neutral centering findings were corrected and retested</t>
  </si>
  <si>
    <t xml:space="preserve">DIA-34</t>
  </si>
  <si>
    <t xml:space="preserve">Public Dialog documentation follows the standard template and covers anatomy, behavior, portals, scope, Branch, tokens, and customization</t>
  </si>
  <si>
    <t xml:space="preserve">../docs/components/dialog/README.md</t>
  </si>
  <si>
    <t xml:space="preserve">DIA-35</t>
  </si>
  <si>
    <t xml:space="preserve">Dialog component changelog and package release notes record the initial contract and post-review corrections</t>
  </si>
  <si>
    <t xml:space="preserve">../docs/components/dialog/CHANGELOG.md</t>
  </si>
  <si>
    <t xml:space="preserve">DIA-36</t>
  </si>
  <si>
    <t xml:space="preserve">Independent Brick Consumer uses Dialog through public package exports and passes production, interaction, layout, and axe gates</t>
  </si>
  <si>
    <t xml:space="preserve">DIA-37</t>
  </si>
  <si>
    <t xml:space="preserve">Legacy Dialog family</t>
  </si>
  <si>
    <t xml:space="preserve">Legacy Core Dialog source, exports, defaults, compatibility, and stale evidence are removed only after dependents are resolved</t>
  </si>
  <si>
    <t xml:space="preserve">AlertDialog still imports shared Dialog defaults and legacy structures.</t>
  </si>
  <si>
    <t xml:space="preserve">partial</t>
  </si>
  <si>
    <t xml:space="preserve">implemented</t>
  </si>
  <si>
    <t xml:space="preserve">not applicable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</si>
</sst>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yyyy\-mm\-dd"/>
    <numFmt numFmtId="167" formatCode="0"/>
    <numFmt numFmtId="168" formatCode="yyyy\-mm\-dd\ 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ptos Display"/>
      <family val="0"/>
      <charset val="1"/>
    </font>
    <font>
      <sz val="10"/>
      <color rgb="FF526072"/>
      <name val="Aptos"/>
      <family val="0"/>
      <charset val="1"/>
    </font>
    <font>
      <b val="true"/>
      <sz val="9"/>
      <color rgb="FF526072"/>
      <name val="Aptos"/>
      <family val="0"/>
      <charset val="1"/>
    </font>
    <font>
      <b val="true"/>
      <sz val="12"/>
      <color rgb="FF172033"/>
      <name val="Aptos Display"/>
      <family val="0"/>
      <charset val="1"/>
    </font>
    <font>
      <b val="true"/>
      <sz val="10"/>
      <color rgb="FFFFFFFF"/>
      <name val="Aptos"/>
      <family val="0"/>
      <charset val="1"/>
    </font>
    <font>
      <sz val="9"/>
      <color rgb="FF172033"/>
      <name val="Aptos"/>
      <family val="0"/>
      <charset val="1"/>
    </font>
    <font>
      <b val="true"/>
      <sz val="10"/>
      <color rgb="FF172033"/>
      <name val="Aptos"/>
      <family val="0"/>
      <charset val="1"/>
    </font>
    <font>
      <sz val="10"/>
      <color rgb="FF172033"/>
      <name val="Aptos"/>
      <family val="0"/>
      <charset val="1"/>
    </font>
    <font>
      <i val="true"/>
      <sz val="9"/>
      <color rgb="FF526072"/>
      <name val="Aptos"/>
      <family val="0"/>
      <charset val="1"/>
    </font>
    <font>
      <sz val="12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  <fill>
      <patternFill patternType="solid">
        <fgColor rgb="FF2563EB"/>
        <bgColor rgb="FF0066CC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ont>
        <color rgb="FF475569"/>
      </font>
      <fill>
        <patternFill>
          <bgColor rgb="FFE2E8F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2563EB"/>
      </font>
      <fill>
        <patternFill>
          <bgColor rgb="FFDBEAFE"/>
        </patternFill>
      </fill>
    </dxf>
    <dxf>
      <font>
        <color rgb="FF6D28D9"/>
      </font>
      <fill>
        <patternFill>
          <bgColor rgb="FFEDE9F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75569"/>
      </font>
      <fill>
        <patternFill>
          <bgColor rgb="FFF8FAFC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2E8F0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6D28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6D28D9"/>
      <rgbColor rgb="FF008080"/>
      <rgbColor rgb="FFEDE9FE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8F0"/>
      <rgbColor rgb="FFF8FAFC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526072"/>
      <rgbColor rgb="FF969696"/>
      <rgbColor rgb="FF003366"/>
      <rgbColor rgb="FF339966"/>
      <rgbColor rgb="FF003300"/>
      <rgbColor rgb="FF333300"/>
      <rgbColor rgb="FF92400E"/>
      <rgbColor rgb="FF993366"/>
      <rgbColor rgb="FF47556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uttonEvidence" displayName="Button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CardEvidence" displayName="CardEvidence" ref="A8:M41" headerRowCount="1" totalsRowCount="0" totalsRowShown="0">
  <autoFilter ref="A8:M41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CoverageIndex" displayName="CoverageIndex" ref="A7:N10" headerRowCount="1" totalsRowCount="0" totalsRowShown="0">
  <autoFilter ref="A7:N10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</table>
</file>

<file path=xl/tables/table4.xml><?xml version="1.0" encoding="utf-8"?>
<table xmlns="http://schemas.openxmlformats.org/spreadsheetml/2006/main" id="4" name="DialogEvidence" displayName="DialogEvidence" ref="A8:M45" headerRowCount="1" totalsRowCount="0" totalsRowShown="0">
  <autoFilter ref="A8:M4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InstructionsTable" displayName="InstructionsTable" ref="A4:B18" headerRowCount="1" totalsRowCount="0" totalsRowShown="0">
  <autoFilter ref="A4:B18"/>
  <tableColumns count="2">
    <tableColumn id="1" name="Topic"/>
    <tableColumn id="2" name="Rul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Users/willdonin/Developer/Flowstack/templateflow/packages/Users/willdonin/Library/Mobile%20Documents/com~apple~CloudDocs/DEVELOPER/FLOWSTACK/templateflow/packages/brick-ui/package/playground/component-coverag" TargetMode="External"/><Relationship Id="rId2" Type="http://schemas.openxmlformats.org/officeDocument/2006/relationships/hyperlink" Target="../../../../Users/willdonin/Developer/Flowstack/templateflow/packages/Users/willdonin/Library/Mobile%20Documents/com~apple~CloudDocs/DEVELOPER/FLOWSTACK/templateflow/packages/brick-ui/package/playground/component-coverag" TargetMode="External"/><Relationship Id="rId3" Type="http://schemas.openxmlformats.org/officeDocument/2006/relationships/hyperlink" Target="../../../../Users/willdonin/Developer/Flowstack/templateflow/packages/Users/willdonin/Library/Mobile%20Documents/com~apple~CloudDocs/DEVELOPER/FLOWSTACK/templateflow/packages/brick-ui/package/playground/component-coverag" TargetMode="External"/><Relationship Id="rId4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../../../../Users/willdonin/Developer/Flowstack/templateflow/packages/brick-ui/package/src/components/button/Button.tsx" TargetMode="External"/><Relationship Id="rId2" Type="http://schemas.openxmlformats.org/officeDocument/2006/relationships/hyperlink" Target="../../../../Users/willdonin/Developer/Flowstack/templateflow/packages/brick-ui/docs/button-component-brief.md" TargetMode="External"/><Relationship Id="rId3" Type="http://schemas.openxmlformats.org/officeDocument/2006/relationships/hyperlink" Target="../../../../Users/willdonin/Developer/Flowstack/templateflow/packages/brick-ui/package/src/button.ts" TargetMode="External"/><Relationship Id="rId4" Type="http://schemas.openxmlformats.org/officeDocument/2006/relationships/hyperlink" Target="../../../../Users/willdonin/Developer/Flowstack/templateflow/packages/brick-ui/package/test/components/button.test.tsx" TargetMode="External"/><Relationship Id="rId5" Type="http://schemas.openxmlformats.org/officeDocument/2006/relationships/hyperlink" Target="../../../../Users/willdonin/Developer/Flowstack/templateflow/packages/brick-ui/package/src/components/button/button.css" TargetMode="External"/><Relationship Id="rId6" Type="http://schemas.openxmlformats.org/officeDocument/2006/relationships/hyperlink" Target="../../../../Users/willdonin/Developer/Flowstack/templateflow/packages/brick-ui/package/playground/manual-tests/button.md" TargetMode="External"/><Relationship Id="rId7" Type="http://schemas.openxmlformats.org/officeDocument/2006/relationships/hyperlink" Target="../../../../Users/willdonin/Developer/Flowstack/templateflow/packages/brick-ui/package/playground/manual-tests/button.md" TargetMode="External"/><Relationship Id="rId8" Type="http://schemas.openxmlformats.org/officeDocument/2006/relationships/hyperlink" Target="../../../../Users/willdonin/Developer/Flowstack/templateflow/packages/brick-ui/package/playground/manual-tests/button.md" TargetMode="External"/><Relationship Id="rId9" Type="http://schemas.openxmlformats.org/officeDocument/2006/relationships/hyperlink" Target="../../../../Users/willdonin/Developer/Flowstack/templateflow/packages/brick-ui/package/playground/manual-tests/button.md" TargetMode="External"/><Relationship Id="rId10" Type="http://schemas.openxmlformats.org/officeDocument/2006/relationships/hyperlink" Target="../../../../Users/willdonin/Developer/Flowstack/templateflow/packages/brick-ui/package/playground/tests/preferences.spec.ts" TargetMode="External"/><Relationship Id="rId11" Type="http://schemas.openxmlformats.org/officeDocument/2006/relationships/hyperlink" Target="../../../../Users/willdonin/Developer/Flowstack/templateflow/packages/brick-ui/package/playground/manual-tests/button.md" TargetMode="External"/><Relationship Id="rId12" Type="http://schemas.openxmlformats.org/officeDocument/2006/relationships/hyperlink" Target="../../../../Users/willdonin/Developer/Flowstack/templateflow/packages/brick-ui/package/playground/manual-tests/button.md" TargetMode="External"/><Relationship Id="rId13" Type="http://schemas.openxmlformats.org/officeDocument/2006/relationships/hyperlink" Target="../../../../Users/willdonin/Developer/Flowstack/templateflow/packages/brick-ui/package/playground/tests/button.spec.ts" TargetMode="External"/><Relationship Id="rId14" Type="http://schemas.openxmlformats.org/officeDocument/2006/relationships/hyperlink" Target="../../../../Users/willdonin/Developer/Flowstack/templateflow/packages/brick-ui/package/test/components/button.test.tsx" TargetMode="External"/><Relationship Id="rId15" Type="http://schemas.openxmlformats.org/officeDocument/2006/relationships/hyperlink" Target="../../../../Users/willdonin/Developer/Flowstack/templateflow/packages/brick-ui/package/test/types/public-api.test.ts" TargetMode="External"/><Relationship Id="rId16" Type="http://schemas.openxmlformats.org/officeDocument/2006/relationships/hyperlink" Target="../../../../Users/willdonin/Developer/Flowstack/templateflow/packages/brick-ui/package/playground/tests/button.spec.ts" TargetMode="External"/><Relationship Id="rId17" Type="http://schemas.openxmlformats.org/officeDocument/2006/relationships/hyperlink" Target="../../../../Users/willdonin/Developer/Flowstack/templateflow/packages/brick-ui/package/playground/tests/foundation.spec.ts" TargetMode="External"/><Relationship Id="rId18" Type="http://schemas.openxmlformats.org/officeDocument/2006/relationships/hyperlink" Target="../../../../Users/willdonin/Developer/Flowstack/templateflow/packages/brick-ui/package/playground/tests/visual.spec.ts" TargetMode="External"/><Relationship Id="rId19" Type="http://schemas.openxmlformats.org/officeDocument/2006/relationships/hyperlink" Target="../../../../Users/willdonin/Developer/Flowstack/templateflow/packages/brick-ui/playwright.config.ts" TargetMode="External"/><Relationship Id="rId20" Type="http://schemas.openxmlformats.org/officeDocument/2006/relationships/hyperlink" Target="../../../../Users/willdonin/Developer/Flowstack/templateflow/packages/brick-ui/package/scripts/verify-consumers.mjs" TargetMode="External"/><Relationship Id="rId21" Type="http://schemas.openxmlformats.org/officeDocument/2006/relationships/hyperlink" Target="../../../../Users/willdonin/Developer/Flowstack/templateflow/packages/brick-ui/package/playground/manual-tests/button.md" TargetMode="External"/><Relationship Id="rId22" Type="http://schemas.openxmlformats.org/officeDocument/2006/relationships/hyperlink" Target="../../../../Users/willdonin/Developer/Flowstack/templateflow/packages/brick-ui/package/playground/manual-tests/button.md" TargetMode="External"/><Relationship Id="rId23" Type="http://schemas.openxmlformats.org/officeDocument/2006/relationships/hyperlink" Target="../../../../Users/willdonin/Developer/Flowstack/templateflow/packages/brick-ui/package/docs/components/button/README.md" TargetMode="External"/><Relationship Id="rId24" Type="http://schemas.openxmlformats.org/officeDocument/2006/relationships/hyperlink" Target="../../../../Users/willdonin/Developer/Flowstack/templateflow/packages/brick-ui/package/docs/components/button/CHANGELOG.md" TargetMode="External"/><Relationship Id="rId25" Type="http://schemas.openxmlformats.org/officeDocument/2006/relationships/hyperlink" Target="../../../../Users/willdonin/Developer/Flowstack/templateflow/apps/brick-consumer/tests/consumer.spec.ts" TargetMode="External"/><Relationship Id="rId26" Type="http://schemas.openxmlformats.org/officeDocument/2006/relationships/drawing" Target="../drawings/drawing2.xml"/><Relationship Id="rId27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../../../../Users/willdonin/Developer/Flowstack/templateflow/packages/brick-ui/package/src/components/card/Card.tsx" TargetMode="External"/><Relationship Id="rId2" Type="http://schemas.openxmlformats.org/officeDocument/2006/relationships/hyperlink" Target="../../../../Users/willdonin/Developer/Flowstack/templateflow/packages/brick-ui/docs/card-component-brief.md" TargetMode="External"/><Relationship Id="rId3" Type="http://schemas.openxmlformats.org/officeDocument/2006/relationships/hyperlink" Target="../../../../Users/willdonin/Developer/Flowstack/templateflow/packages/brick-ui/package/src/card.ts" TargetMode="External"/><Relationship Id="rId4" Type="http://schemas.openxmlformats.org/officeDocument/2006/relationships/hyperlink" Target="../../../../Users/willdonin/Developer/Flowstack/templateflow/packages/brick-ui/package/test/components/card.test.tsx" TargetMode="External"/><Relationship Id="rId5" Type="http://schemas.openxmlformats.org/officeDocument/2006/relationships/hyperlink" Target="../../../../Users/willdonin/Developer/Flowstack/templateflow/packages/brick-ui/package/test/components/card.test.tsx" TargetMode="External"/><Relationship Id="rId6" Type="http://schemas.openxmlformats.org/officeDocument/2006/relationships/hyperlink" Target="../../../../Users/willdonin/Developer/Flowstack/templateflow/packages/brick-ui/package/playground/manual-tests/card.md" TargetMode="External"/><Relationship Id="rId7" Type="http://schemas.openxmlformats.org/officeDocument/2006/relationships/hyperlink" Target="../../../../Users/willdonin/Developer/Flowstack/templateflow/packages/brick-ui/package/test/components/card.test.tsx" TargetMode="External"/><Relationship Id="rId8" Type="http://schemas.openxmlformats.org/officeDocument/2006/relationships/hyperlink" Target="../../../../Users/willdonin/Developer/Flowstack/templateflow/packages/brick-ui/package/test/components/card.test.tsx" TargetMode="External"/><Relationship Id="rId9" Type="http://schemas.openxmlformats.org/officeDocument/2006/relationships/hyperlink" Target="../../../../Users/willdonin/Developer/Flowstack/templateflow/packages/brick-ui/package/playground/tests/card.spec.ts" TargetMode="External"/><Relationship Id="rId10" Type="http://schemas.openxmlformats.org/officeDocument/2006/relationships/hyperlink" Target="../../../../Users/willdonin/Developer/Flowstack/templateflow/packages/brick-ui/package/test/components/card.test.tsx" TargetMode="External"/><Relationship Id="rId11" Type="http://schemas.openxmlformats.org/officeDocument/2006/relationships/hyperlink" Target="../../../../Users/willdonin/Developer/Flowstack/templateflow/packages/brick-ui/package/playground/manual-tests/card.md" TargetMode="External"/><Relationship Id="rId12" Type="http://schemas.openxmlformats.org/officeDocument/2006/relationships/hyperlink" Target="../../../../Users/willdonin/Developer/Flowstack/templateflow/packages/brick-ui/package/src/components/card/card.css" TargetMode="External"/><Relationship Id="rId13" Type="http://schemas.openxmlformats.org/officeDocument/2006/relationships/hyperlink" Target="../../../../Users/willdonin/Developer/Flowstack/templateflow/packages/brick-ui/package/playground/manual-tests/card.md" TargetMode="External"/><Relationship Id="rId14" Type="http://schemas.openxmlformats.org/officeDocument/2006/relationships/hyperlink" Target="../../../../Users/willdonin/Developer/Flowstack/templateflow/packages/brick-ui/package/playground/manual-tests/card.md" TargetMode="External"/><Relationship Id="rId15" Type="http://schemas.openxmlformats.org/officeDocument/2006/relationships/hyperlink" Target="../../../../Users/willdonin/Developer/Flowstack/templateflow/packages/brick-ui/package/playground/tests/card.spec.ts" TargetMode="External"/><Relationship Id="rId16" Type="http://schemas.openxmlformats.org/officeDocument/2006/relationships/hyperlink" Target="../../../../Users/willdonin/Developer/Flowstack/templateflow/packages/brick-ui/package/playground/manual-tests/card.md" TargetMode="External"/><Relationship Id="rId17" Type="http://schemas.openxmlformats.org/officeDocument/2006/relationships/hyperlink" Target="../../../../Users/willdonin/Developer/Flowstack/templateflow/packages/brick-ui/package/playground/tests/preferences.spec.ts" TargetMode="External"/><Relationship Id="rId18" Type="http://schemas.openxmlformats.org/officeDocument/2006/relationships/hyperlink" Target="../../../../Users/willdonin/Developer/Flowstack/templateflow/packages/brick-ui/package/playground/manual-tests/card.md" TargetMode="External"/><Relationship Id="rId19" Type="http://schemas.openxmlformats.org/officeDocument/2006/relationships/hyperlink" Target="../../../../Users/willdonin/Developer/Flowstack/templateflow/packages/brick-ui/package/playground/manual-tests/card.md" TargetMode="External"/><Relationship Id="rId20" Type="http://schemas.openxmlformats.org/officeDocument/2006/relationships/hyperlink" Target="../../../../Users/willdonin/Developer/Flowstack/templateflow/packages/brick-ui/package/playground/tests/card.spec.ts" TargetMode="External"/><Relationship Id="rId21" Type="http://schemas.openxmlformats.org/officeDocument/2006/relationships/hyperlink" Target="../../../../Users/willdonin/Developer/Flowstack/templateflow/packages/brick-ui/package/test/components/card.test.tsx" TargetMode="External"/><Relationship Id="rId22" Type="http://schemas.openxmlformats.org/officeDocument/2006/relationships/hyperlink" Target="../../../../Users/willdonin/Developer/Flowstack/templateflow/packages/brick-ui/package/test/types/public-api.test.ts" TargetMode="External"/><Relationship Id="rId23" Type="http://schemas.openxmlformats.org/officeDocument/2006/relationships/hyperlink" Target="../../../../Users/willdonin/Developer/Flowstack/templateflow/packages/brick-ui/package/playground/tests/card.spec.ts" TargetMode="External"/><Relationship Id="rId24" Type="http://schemas.openxmlformats.org/officeDocument/2006/relationships/hyperlink" Target="../../../../Users/willdonin/Developer/Flowstack/templateflow/packages/brick-ui/package/playground/tests/foundation.spec.ts" TargetMode="External"/><Relationship Id="rId25" Type="http://schemas.openxmlformats.org/officeDocument/2006/relationships/hyperlink" Target="../../../../Users/willdonin/Developer/Flowstack/templateflow/packages/brick-ui/package/playground/tests/visual.spec.ts" TargetMode="External"/><Relationship Id="rId26" Type="http://schemas.openxmlformats.org/officeDocument/2006/relationships/hyperlink" Target="../../../../Users/willdonin/Developer/Flowstack/templateflow/packages/brick-ui/package/playwright.config.ts" TargetMode="External"/><Relationship Id="rId27" Type="http://schemas.openxmlformats.org/officeDocument/2006/relationships/hyperlink" Target="../../../../Users/willdonin/Developer/Flowstack/templateflow/packages/brick-ui/package/test/package/ssr.test.mjs" TargetMode="External"/><Relationship Id="rId28" Type="http://schemas.openxmlformats.org/officeDocument/2006/relationships/hyperlink" Target="../../../../Users/willdonin/Developer/Flowstack/templateflow/packages/brick-ui/package/playground/manual-tests/card.md" TargetMode="External"/><Relationship Id="rId29" Type="http://schemas.openxmlformats.org/officeDocument/2006/relationships/hyperlink" Target="../../../../Users/willdonin/Developer/Flowstack/templateflow/packages/brick-ui/package/playground/manual-tests/card.md" TargetMode="External"/><Relationship Id="rId30" Type="http://schemas.openxmlformats.org/officeDocument/2006/relationships/hyperlink" Target="../../../../Users/willdonin/Developer/Flowstack/templateflow/packages/brick-ui/package/docs/components/card/README.md" TargetMode="External"/><Relationship Id="rId31" Type="http://schemas.openxmlformats.org/officeDocument/2006/relationships/hyperlink" Target="../../../../Users/willdonin/Developer/Flowstack/templateflow/packages/brick-ui/package/docs/components/card/CHANGELOG.md" TargetMode="External"/><Relationship Id="rId32" Type="http://schemas.openxmlformats.org/officeDocument/2006/relationships/hyperlink" Target="../../../../Users/willdonin/Developer/Flowstack/templateflow/apps/brick-consumer/tests/consumer.spec.ts" TargetMode="External"/><Relationship Id="rId33" Type="http://schemas.openxmlformats.org/officeDocument/2006/relationships/hyperlink" Target="../../../../Users/willdonin/Developer/Flowstack/templateflow/packages/brick-ui/docs/core-dependency-ledger.md" TargetMode="External"/><Relationship Id="rId34" Type="http://schemas.openxmlformats.org/officeDocument/2006/relationships/drawing" Target="../drawings/drawing3.xml"/><Relationship Id="rId35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13"/>
    <col collapsed="false" customWidth="true" hidden="false" outlineLevel="0" max="12" min="11" style="1" width="15"/>
    <col collapsed="false" customWidth="true" hidden="false" outlineLevel="0" max="13" min="13" style="1" width="16"/>
    <col collapsed="false" customWidth="true" hidden="false" outlineLevel="0" max="14" min="14" style="1" width="14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true" outlineLevel="0" collapsed="false">
      <c r="A4" s="4" t="s">
        <v>2</v>
      </c>
      <c r="B4" s="5" t="n">
        <f aca="false">COUNTA(A8:A10)</f>
        <v>3</v>
      </c>
      <c r="C4" s="4" t="s">
        <v>3</v>
      </c>
      <c r="D4" s="5" t="n">
        <f aca="false">COUNTIF(M8:M10,"complete")</f>
        <v>0</v>
      </c>
      <c r="E4" s="4" t="s">
        <v>4</v>
      </c>
      <c r="F4" s="5" t="n">
        <f aca="false">SUM(H8:H10)</f>
        <v>2</v>
      </c>
      <c r="G4" s="4" t="s">
        <v>5</v>
      </c>
      <c r="H4" s="6" t="n">
        <f aca="false">IFERROR(SUMPRODUCT(B8:B10,J8:J10)/SUM(B8:B10),0)</f>
        <v>0.96875</v>
      </c>
    </row>
    <row r="7" customFormat="false" ht="33.75" hidden="false" customHeight="true" outlineLevel="0" collapsed="false">
      <c r="A7" s="7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  <c r="H7" s="7" t="s">
        <v>4</v>
      </c>
      <c r="I7" s="7" t="s">
        <v>13</v>
      </c>
      <c r="J7" s="7" t="s">
        <v>14</v>
      </c>
      <c r="K7" s="7" t="s">
        <v>15</v>
      </c>
      <c r="L7" s="7" t="s">
        <v>16</v>
      </c>
      <c r="M7" s="7" t="s">
        <v>17</v>
      </c>
      <c r="N7" s="7" t="s">
        <v>18</v>
      </c>
    </row>
    <row r="8" customFormat="false" ht="27.75" hidden="false" customHeight="true" outlineLevel="0" collapsed="false">
      <c r="A8" s="8" t="s">
        <v>19</v>
      </c>
      <c r="B8" s="8" t="n">
        <f aca="false">COUNTA(Button!A9:A34)</f>
        <v>26</v>
      </c>
      <c r="C8" s="8" t="n">
        <f aca="false">COUNTIF(Button!H9:H34,"not started")</f>
        <v>1</v>
      </c>
      <c r="D8" s="8" t="n">
        <f aca="false">COUNTIF(Button!H9:H34,"partial")</f>
        <v>0</v>
      </c>
      <c r="E8" s="8" t="n">
        <f aca="false">COUNTIF(Button!H9:H34,"implemented")</f>
        <v>0</v>
      </c>
      <c r="F8" s="8" t="n">
        <f aca="false">COUNTIF(Button!H9:H34,"tested")</f>
        <v>13</v>
      </c>
      <c r="G8" s="8" t="n">
        <f aca="false">COUNTIF(Button!H9:H34,"verified")</f>
        <v>12</v>
      </c>
      <c r="H8" s="8" t="n">
        <f aca="false">COUNTIF(Button!H9:H34,"blocked")</f>
        <v>0</v>
      </c>
      <c r="I8" s="8" t="n">
        <f aca="false">COUNTIF(Button!H9:H34,"not applicable")</f>
        <v>0</v>
      </c>
      <c r="J8" s="9" t="n">
        <f aca="false">IFERROR(SUM(Button!M9:M34)/SUM(Button!L9:L34),0)</f>
        <v>0.961538461538462</v>
      </c>
      <c r="K8" s="8" t="str">
        <f aca="false">IF(COUNTIFS(Button!E9:E34,"package",Button!M9:M34,"&lt;1")=0,"complete","open")</f>
        <v>complete</v>
      </c>
      <c r="L8" s="8" t="str">
        <f aca="false">IF(COUNTIFS(Button!E9:E34,"consumer",Button!M9:M34,"&lt;1")=0,"complete","open")</f>
        <v>complete</v>
      </c>
      <c r="M8" s="8" t="str">
        <f aca="false">IF(COUNTIFS(Button!E9:E34,"retirement",Button!M9:M34,"&lt;1")=0,"complete","open")</f>
        <v>open</v>
      </c>
      <c r="N8" s="8" t="str">
        <f aca="false">IF(H8&gt;0,"blocked",IF(AND(J8=1,K8="complete",L8="complete",M8="complete"),"complete",IF(J8=0,"not started","in progress")))</f>
        <v>in progress</v>
      </c>
    </row>
    <row r="9" customFormat="false" ht="27.75" hidden="false" customHeight="true" outlineLevel="0" collapsed="false">
      <c r="A9" s="8" t="s">
        <v>20</v>
      </c>
      <c r="B9" s="8" t="n">
        <f aca="false">COUNTA(Card!A9:A41)</f>
        <v>33</v>
      </c>
      <c r="C9" s="8" t="n">
        <f aca="false">COUNTIF(Card!H9:H41,"not started")</f>
        <v>0</v>
      </c>
      <c r="D9" s="8" t="n">
        <f aca="false">COUNTIF(Card!H9:H41,"partial")</f>
        <v>0</v>
      </c>
      <c r="E9" s="8" t="n">
        <f aca="false">COUNTIF(Card!H9:H41,"implemented")</f>
        <v>0</v>
      </c>
      <c r="F9" s="8" t="n">
        <f aca="false">COUNTIF(Card!H9:H41,"tested")</f>
        <v>18</v>
      </c>
      <c r="G9" s="8" t="n">
        <f aca="false">COUNTIF(Card!H9:H41,"verified")</f>
        <v>14</v>
      </c>
      <c r="H9" s="8" t="n">
        <f aca="false">COUNTIF(Card!H9:H41,"blocked")</f>
        <v>1</v>
      </c>
      <c r="I9" s="8" t="n">
        <f aca="false">COUNTIF(Card!H9:H41,"not applicable")</f>
        <v>0</v>
      </c>
      <c r="J9" s="9" t="n">
        <f aca="false">IFERROR(SUM(Card!M9:M41)/SUM(Card!L9:L41),0)</f>
        <v>0.96969696969697</v>
      </c>
      <c r="K9" s="8" t="str">
        <f aca="false">IF(COUNTIFS(Card!E9:E41,"package",Card!M9:M41,"&lt;1")=0,"complete","open")</f>
        <v>complete</v>
      </c>
      <c r="L9" s="8" t="str">
        <f aca="false">IF(COUNTIFS(Card!E9:E41,"consumer",Card!M9:M41,"&lt;1")=0,"complete","open")</f>
        <v>complete</v>
      </c>
      <c r="M9" s="8" t="str">
        <f aca="false">IF(COUNTIFS(Card!E9:E41,"retirement",Card!M9:M41,"&lt;1")=0,"complete","open")</f>
        <v>open</v>
      </c>
      <c r="N9" s="8" t="str">
        <f aca="false">IF(H9&gt;0,"blocked",IF(AND(J9=1,K9="complete",L9="complete",M9="complete"),"complete",IF(J9=0,"not started","in progress")))</f>
        <v>blocked</v>
      </c>
    </row>
    <row r="10" customFormat="false" ht="27.75" hidden="false" customHeight="true" outlineLevel="0" collapsed="false">
      <c r="A10" s="8" t="s">
        <v>21</v>
      </c>
      <c r="B10" s="8" t="n">
        <f aca="false">COUNTA(Dialog!A9:A45)</f>
        <v>37</v>
      </c>
      <c r="C10" s="8" t="n">
        <f aca="false">COUNTIF(Dialog!H9:H45,"not started")</f>
        <v>0</v>
      </c>
      <c r="D10" s="8" t="n">
        <f aca="false">COUNTIF(Dialog!H9:H45,"partial")</f>
        <v>0</v>
      </c>
      <c r="E10" s="8" t="n">
        <f aca="false">COUNTIF(Dialog!H9:H45,"implemented")</f>
        <v>0</v>
      </c>
      <c r="F10" s="8" t="n">
        <f aca="false">COUNTIF(Dialog!H9:H45,"tested")</f>
        <v>22</v>
      </c>
      <c r="G10" s="8" t="n">
        <f aca="false">COUNTIF(Dialog!H9:H45,"verified")</f>
        <v>14</v>
      </c>
      <c r="H10" s="8" t="n">
        <f aca="false">COUNTIF(Dialog!H9:H45,"blocked")</f>
        <v>1</v>
      </c>
      <c r="I10" s="8" t="n">
        <f aca="false">COUNTIF(Dialog!H9:H45,"not applicable")</f>
        <v>0</v>
      </c>
      <c r="J10" s="9" t="n">
        <f aca="false">IFERROR(SUM(Dialog!M9:M45)/SUM(Dialog!L9:L45),0)</f>
        <v>0.972972972972973</v>
      </c>
      <c r="K10" s="8" t="str">
        <f aca="false">IF(COUNTIFS(Dialog!E9:E45,"package",Dialog!M9:M45,"&lt;1")=0,"complete","open")</f>
        <v>complete</v>
      </c>
      <c r="L10" s="8" t="str">
        <f aca="false">IF(COUNTIFS(Dialog!E9:E45,"consumer",Dialog!M9:M45,"&lt;1")=0,"complete","open")</f>
        <v>complete</v>
      </c>
      <c r="M10" s="8" t="str">
        <f aca="false">IF(COUNTIFS(Dialog!E9:E45,"retirement",Dialog!M9:M45,"&lt;1")=0,"complete","open")</f>
        <v>open</v>
      </c>
      <c r="N10" s="8" t="str">
        <f aca="false">IF(H10&gt;0,"blocked",IF(AND(J10=1,K10="complete",L10="complete",M10="complete"),"complete",IF(J10=0,"not started","in progress")))</f>
        <v>blocked</v>
      </c>
    </row>
  </sheetData>
  <mergeCells count="2">
    <mergeCell ref="A1:N1"/>
    <mergeCell ref="A2:N2"/>
  </mergeCells>
  <conditionalFormatting sqref="N8:N10">
    <cfRule type="expression" priority="2" aboveAverage="0" equalAverage="0" bottom="0" percent="0" rank="0" text="" dxfId="6">
      <formula>$N8="not started"</formula>
    </cfRule>
    <cfRule type="expression" priority="3" aboveAverage="0" equalAverage="0" bottom="0" percent="0" rank="0" text="" dxfId="7">
      <formula>$N8="partial"</formula>
    </cfRule>
    <cfRule type="expression" priority="4" aboveAverage="0" equalAverage="0" bottom="0" percent="0" rank="0" text="" dxfId="8">
      <formula>$N8="implemented"</formula>
    </cfRule>
    <cfRule type="expression" priority="5" aboveAverage="0" equalAverage="0" bottom="0" percent="0" rank="0" text="" dxfId="9">
      <formula>$N8="tested"</formula>
    </cfRule>
    <cfRule type="expression" priority="6" aboveAverage="0" equalAverage="0" bottom="0" percent="0" rank="0" text="" dxfId="10">
      <formula>$N8="verified"</formula>
    </cfRule>
    <cfRule type="expression" priority="7" aboveAverage="0" equalAverage="0" bottom="0" percent="0" rank="0" text="" dxfId="11">
      <formula>$N8="blocked"</formula>
    </cfRule>
    <cfRule type="expression" priority="8" aboveAverage="0" equalAverage="0" bottom="0" percent="0" rank="0" text="" dxfId="12">
      <formula>$N8="not applicable"</formula>
    </cfRule>
  </conditionalFormatting>
  <hyperlinks>
    <hyperlink ref="A8" r:id="rId1" location="'Button'!A1" display="Button"/>
    <hyperlink ref="A9" r:id="rId2" location="'Card'!A1" display="Card"/>
    <hyperlink ref="A10" r:id="rId3" location="'Dialog'!A1" display="Dialo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</cols>
  <sheetData>
    <row r="1" customFormat="false" ht="33.75" hidden="false" customHeight="true" outlineLevel="0" collapsed="false">
      <c r="A1" s="2" t="s">
        <v>22</v>
      </c>
      <c r="B1" s="2"/>
      <c r="C1" s="2"/>
      <c r="D1" s="2"/>
    </row>
    <row r="2" customFormat="false" ht="33.75" hidden="false" customHeight="true" outlineLevel="0" collapsed="false">
      <c r="A2" s="3" t="s">
        <v>23</v>
      </c>
      <c r="B2" s="3"/>
      <c r="C2" s="3"/>
      <c r="D2" s="3"/>
    </row>
    <row r="4" customFormat="false" ht="15" hidden="false" customHeight="true" outlineLevel="0" collapsed="false">
      <c r="A4" s="7" t="s">
        <v>24</v>
      </c>
      <c r="B4" s="7" t="s">
        <v>25</v>
      </c>
    </row>
    <row r="5" customFormat="false" ht="30" hidden="false" customHeight="true" outlineLevel="0" collapsed="false">
      <c r="A5" s="10" t="s">
        <v>26</v>
      </c>
      <c r="B5" s="11" t="s">
        <v>27</v>
      </c>
    </row>
    <row r="6" customFormat="false" ht="30" hidden="false" customHeight="true" outlineLevel="0" collapsed="false">
      <c r="A6" s="12" t="s">
        <v>18</v>
      </c>
      <c r="B6" s="13" t="s">
        <v>28</v>
      </c>
    </row>
    <row r="7" customFormat="false" ht="30" hidden="false" customHeight="true" outlineLevel="0" collapsed="false">
      <c r="A7" s="10" t="s">
        <v>18</v>
      </c>
      <c r="B7" s="11" t="s">
        <v>29</v>
      </c>
    </row>
    <row r="8" customFormat="false" ht="30" hidden="false" customHeight="true" outlineLevel="0" collapsed="false">
      <c r="A8" s="12" t="s">
        <v>18</v>
      </c>
      <c r="B8" s="13" t="s">
        <v>30</v>
      </c>
    </row>
    <row r="9" customFormat="false" ht="30" hidden="false" customHeight="true" outlineLevel="0" collapsed="false">
      <c r="A9" s="10" t="s">
        <v>18</v>
      </c>
      <c r="B9" s="11" t="s">
        <v>31</v>
      </c>
    </row>
    <row r="10" customFormat="false" ht="30" hidden="false" customHeight="true" outlineLevel="0" collapsed="false">
      <c r="A10" s="12" t="s">
        <v>18</v>
      </c>
      <c r="B10" s="13" t="s">
        <v>32</v>
      </c>
    </row>
    <row r="11" customFormat="false" ht="30" hidden="false" customHeight="true" outlineLevel="0" collapsed="false">
      <c r="A11" s="10" t="s">
        <v>18</v>
      </c>
      <c r="B11" s="11" t="s">
        <v>33</v>
      </c>
    </row>
    <row r="12" customFormat="false" ht="30" hidden="false" customHeight="true" outlineLevel="0" collapsed="false">
      <c r="A12" s="12" t="s">
        <v>18</v>
      </c>
      <c r="B12" s="13" t="s">
        <v>34</v>
      </c>
    </row>
    <row r="13" customFormat="false" ht="30" hidden="false" customHeight="true" outlineLevel="0" collapsed="false">
      <c r="A13" s="10" t="s">
        <v>14</v>
      </c>
      <c r="B13" s="11" t="s">
        <v>35</v>
      </c>
    </row>
    <row r="14" customFormat="false" ht="30" hidden="false" customHeight="true" outlineLevel="0" collapsed="false">
      <c r="A14" s="12" t="s">
        <v>15</v>
      </c>
      <c r="B14" s="13" t="s">
        <v>36</v>
      </c>
    </row>
    <row r="15" customFormat="false" ht="30" hidden="false" customHeight="true" outlineLevel="0" collapsed="false">
      <c r="A15" s="10" t="s">
        <v>16</v>
      </c>
      <c r="B15" s="11" t="s">
        <v>37</v>
      </c>
    </row>
    <row r="16" customFormat="false" ht="30" hidden="false" customHeight="true" outlineLevel="0" collapsed="false">
      <c r="A16" s="12" t="s">
        <v>17</v>
      </c>
      <c r="B16" s="13" t="s">
        <v>38</v>
      </c>
    </row>
    <row r="17" customFormat="false" ht="30" hidden="false" customHeight="true" outlineLevel="0" collapsed="false">
      <c r="A17" s="10" t="s">
        <v>39</v>
      </c>
      <c r="B17" s="11" t="s">
        <v>40</v>
      </c>
    </row>
    <row r="18" customFormat="false" ht="30" hidden="false" customHeight="true" outlineLevel="0" collapsed="false">
      <c r="A18" s="12" t="s">
        <v>41</v>
      </c>
      <c r="B18" s="13" t="s">
        <v>42</v>
      </c>
    </row>
  </sheetData>
  <autoFilter ref="A4:B18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44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45</v>
      </c>
      <c r="D4" s="5" t="n">
        <f aca="false">SUM(M9:M34)</f>
        <v>25</v>
      </c>
      <c r="E4" s="4" t="s">
        <v>14</v>
      </c>
      <c r="F4" s="6" t="n">
        <f aca="false">IFERROR(D4/SUM(L9:L34),0)</f>
        <v>0.961538461538462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complete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4" t="s">
        <v>46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47</v>
      </c>
      <c r="B8" s="7" t="s">
        <v>48</v>
      </c>
      <c r="C8" s="7" t="s">
        <v>49</v>
      </c>
      <c r="D8" s="7" t="s">
        <v>50</v>
      </c>
      <c r="E8" s="7" t="s">
        <v>51</v>
      </c>
      <c r="F8" s="7" t="s">
        <v>52</v>
      </c>
      <c r="G8" s="7" t="s">
        <v>53</v>
      </c>
      <c r="H8" s="7" t="s">
        <v>18</v>
      </c>
      <c r="I8" s="7" t="s">
        <v>54</v>
      </c>
      <c r="J8" s="7" t="s">
        <v>55</v>
      </c>
      <c r="K8" s="7" t="s">
        <v>56</v>
      </c>
      <c r="L8" s="7" t="s">
        <v>57</v>
      </c>
      <c r="M8" s="7" t="s">
        <v>45</v>
      </c>
    </row>
    <row r="9" customFormat="false" ht="42.75" hidden="false" customHeight="true" outlineLevel="0" collapsed="false">
      <c r="A9" s="15" t="s">
        <v>58</v>
      </c>
      <c r="B9" s="15" t="s">
        <v>59</v>
      </c>
      <c r="C9" s="15" t="s">
        <v>6</v>
      </c>
      <c r="D9" s="15" t="s">
        <v>60</v>
      </c>
      <c r="E9" s="15" t="s">
        <v>61</v>
      </c>
      <c r="F9" s="15" t="s">
        <v>62</v>
      </c>
      <c r="G9" s="16" t="s">
        <v>63</v>
      </c>
      <c r="H9" s="15" t="s">
        <v>64</v>
      </c>
      <c r="I9" s="15" t="s">
        <v>65</v>
      </c>
      <c r="J9" s="17" t="n">
        <v>46219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66</v>
      </c>
      <c r="B10" s="15" t="s">
        <v>67</v>
      </c>
      <c r="C10" s="15" t="s">
        <v>6</v>
      </c>
      <c r="D10" s="15" t="s">
        <v>68</v>
      </c>
      <c r="E10" s="15" t="s">
        <v>61</v>
      </c>
      <c r="F10" s="15" t="s">
        <v>69</v>
      </c>
      <c r="G10" s="16" t="s">
        <v>70</v>
      </c>
      <c r="H10" s="15" t="s">
        <v>71</v>
      </c>
      <c r="I10" s="15" t="s">
        <v>72</v>
      </c>
      <c r="J10" s="17" t="n">
        <v>46219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73</v>
      </c>
      <c r="B11" s="15" t="s">
        <v>59</v>
      </c>
      <c r="C11" s="15" t="s">
        <v>6</v>
      </c>
      <c r="D11" s="15" t="s">
        <v>74</v>
      </c>
      <c r="E11" s="15" t="s">
        <v>61</v>
      </c>
      <c r="F11" s="15" t="s">
        <v>75</v>
      </c>
      <c r="G11" s="16" t="s">
        <v>76</v>
      </c>
      <c r="H11" s="15" t="s">
        <v>64</v>
      </c>
      <c r="I11" s="15" t="s">
        <v>65</v>
      </c>
      <c r="J11" s="17" t="n">
        <v>46219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77</v>
      </c>
      <c r="B12" s="15" t="s">
        <v>59</v>
      </c>
      <c r="C12" s="15" t="s">
        <v>6</v>
      </c>
      <c r="D12" s="15" t="s">
        <v>78</v>
      </c>
      <c r="E12" s="15" t="s">
        <v>61</v>
      </c>
      <c r="F12" s="15" t="s">
        <v>75</v>
      </c>
      <c r="G12" s="16" t="s">
        <v>79</v>
      </c>
      <c r="H12" s="15" t="s">
        <v>64</v>
      </c>
      <c r="I12" s="15" t="s">
        <v>65</v>
      </c>
      <c r="J12" s="17" t="n">
        <v>46219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80</v>
      </c>
      <c r="B13" s="15" t="s">
        <v>81</v>
      </c>
      <c r="C13" s="15" t="s">
        <v>6</v>
      </c>
      <c r="D13" s="15" t="s">
        <v>82</v>
      </c>
      <c r="E13" s="15" t="s">
        <v>61</v>
      </c>
      <c r="F13" s="15" t="s">
        <v>62</v>
      </c>
      <c r="G13" s="16" t="s">
        <v>83</v>
      </c>
      <c r="H13" s="15" t="s">
        <v>64</v>
      </c>
      <c r="I13" s="15" t="s">
        <v>65</v>
      </c>
      <c r="J13" s="17" t="n">
        <v>46219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84</v>
      </c>
      <c r="B14" s="15" t="s">
        <v>81</v>
      </c>
      <c r="C14" s="15" t="s">
        <v>6</v>
      </c>
      <c r="D14" s="15" t="s">
        <v>85</v>
      </c>
      <c r="E14" s="15" t="s">
        <v>61</v>
      </c>
      <c r="F14" s="15" t="s">
        <v>62</v>
      </c>
      <c r="G14" s="16" t="s">
        <v>86</v>
      </c>
      <c r="H14" s="15" t="s">
        <v>71</v>
      </c>
      <c r="I14" s="15" t="s">
        <v>72</v>
      </c>
      <c r="J14" s="17" t="n">
        <v>46219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87</v>
      </c>
      <c r="B15" s="15" t="s">
        <v>88</v>
      </c>
      <c r="C15" s="15" t="s">
        <v>6</v>
      </c>
      <c r="D15" s="15" t="s">
        <v>89</v>
      </c>
      <c r="E15" s="15" t="s">
        <v>61</v>
      </c>
      <c r="F15" s="15" t="s">
        <v>90</v>
      </c>
      <c r="G15" s="16" t="s">
        <v>91</v>
      </c>
      <c r="H15" s="15" t="s">
        <v>71</v>
      </c>
      <c r="I15" s="15" t="s">
        <v>72</v>
      </c>
      <c r="J15" s="17" t="n">
        <v>46219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92</v>
      </c>
      <c r="B16" s="15" t="s">
        <v>88</v>
      </c>
      <c r="C16" s="15" t="s">
        <v>6</v>
      </c>
      <c r="D16" s="15" t="s">
        <v>93</v>
      </c>
      <c r="E16" s="15" t="s">
        <v>61</v>
      </c>
      <c r="F16" s="15" t="s">
        <v>90</v>
      </c>
      <c r="G16" s="16" t="s">
        <v>91</v>
      </c>
      <c r="H16" s="15" t="s">
        <v>71</v>
      </c>
      <c r="I16" s="15" t="s">
        <v>72</v>
      </c>
      <c r="J16" s="17" t="n">
        <v>46219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94</v>
      </c>
      <c r="B17" s="15" t="s">
        <v>88</v>
      </c>
      <c r="C17" s="15" t="s">
        <v>6</v>
      </c>
      <c r="D17" s="15" t="s">
        <v>95</v>
      </c>
      <c r="E17" s="15" t="s">
        <v>61</v>
      </c>
      <c r="F17" s="15" t="s">
        <v>90</v>
      </c>
      <c r="G17" s="16" t="s">
        <v>91</v>
      </c>
      <c r="H17" s="15" t="s">
        <v>71</v>
      </c>
      <c r="I17" s="15" t="s">
        <v>72</v>
      </c>
      <c r="J17" s="17" t="n">
        <v>46219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96</v>
      </c>
      <c r="B18" s="15" t="s">
        <v>88</v>
      </c>
      <c r="C18" s="15" t="s">
        <v>6</v>
      </c>
      <c r="D18" s="15" t="s">
        <v>97</v>
      </c>
      <c r="E18" s="15" t="s">
        <v>61</v>
      </c>
      <c r="F18" s="15" t="s">
        <v>90</v>
      </c>
      <c r="G18" s="16" t="s">
        <v>98</v>
      </c>
      <c r="H18" s="15" t="s">
        <v>71</v>
      </c>
      <c r="I18" s="15" t="s">
        <v>72</v>
      </c>
      <c r="J18" s="17" t="n">
        <v>46219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99</v>
      </c>
      <c r="B19" s="15" t="s">
        <v>88</v>
      </c>
      <c r="C19" s="15" t="s">
        <v>6</v>
      </c>
      <c r="D19" s="15" t="s">
        <v>100</v>
      </c>
      <c r="E19" s="15" t="s">
        <v>61</v>
      </c>
      <c r="F19" s="15" t="s">
        <v>90</v>
      </c>
      <c r="G19" s="16" t="s">
        <v>91</v>
      </c>
      <c r="H19" s="15" t="s">
        <v>71</v>
      </c>
      <c r="I19" s="15" t="s">
        <v>72</v>
      </c>
      <c r="J19" s="17" t="n">
        <v>46219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101</v>
      </c>
      <c r="B20" s="15" t="s">
        <v>88</v>
      </c>
      <c r="C20" s="15" t="s">
        <v>6</v>
      </c>
      <c r="D20" s="15" t="s">
        <v>102</v>
      </c>
      <c r="E20" s="15" t="s">
        <v>61</v>
      </c>
      <c r="F20" s="15" t="s">
        <v>90</v>
      </c>
      <c r="G20" s="16" t="s">
        <v>91</v>
      </c>
      <c r="H20" s="15" t="s">
        <v>71</v>
      </c>
      <c r="I20" s="15" t="s">
        <v>72</v>
      </c>
      <c r="J20" s="17" t="n">
        <v>46219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103</v>
      </c>
      <c r="B21" s="15" t="s">
        <v>88</v>
      </c>
      <c r="C21" s="15" t="s">
        <v>6</v>
      </c>
      <c r="D21" s="15" t="s">
        <v>104</v>
      </c>
      <c r="E21" s="15" t="s">
        <v>61</v>
      </c>
      <c r="F21" s="15" t="s">
        <v>90</v>
      </c>
      <c r="G21" s="16" t="s">
        <v>105</v>
      </c>
      <c r="H21" s="15" t="s">
        <v>64</v>
      </c>
      <c r="I21" s="15" t="s">
        <v>65</v>
      </c>
      <c r="J21" s="17" t="n">
        <v>46219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106</v>
      </c>
      <c r="B22" s="15" t="s">
        <v>107</v>
      </c>
      <c r="C22" s="15" t="s">
        <v>6</v>
      </c>
      <c r="D22" s="15" t="s">
        <v>108</v>
      </c>
      <c r="E22" s="15" t="s">
        <v>61</v>
      </c>
      <c r="F22" s="15" t="s">
        <v>109</v>
      </c>
      <c r="G22" s="16" t="s">
        <v>79</v>
      </c>
      <c r="H22" s="15" t="s">
        <v>64</v>
      </c>
      <c r="I22" s="15" t="s">
        <v>65</v>
      </c>
      <c r="J22" s="17" t="n">
        <v>46219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110</v>
      </c>
      <c r="B23" s="15" t="s">
        <v>107</v>
      </c>
      <c r="C23" s="15" t="s">
        <v>6</v>
      </c>
      <c r="D23" s="15" t="s">
        <v>111</v>
      </c>
      <c r="E23" s="15" t="s">
        <v>61</v>
      </c>
      <c r="F23" s="15" t="s">
        <v>109</v>
      </c>
      <c r="G23" s="16" t="s">
        <v>112</v>
      </c>
      <c r="H23" s="15" t="s">
        <v>64</v>
      </c>
      <c r="I23" s="15" t="s">
        <v>65</v>
      </c>
      <c r="J23" s="17" t="n">
        <v>46219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113</v>
      </c>
      <c r="B24" s="15" t="s">
        <v>107</v>
      </c>
      <c r="C24" s="15" t="s">
        <v>6</v>
      </c>
      <c r="D24" s="15" t="s">
        <v>114</v>
      </c>
      <c r="E24" s="15" t="s">
        <v>61</v>
      </c>
      <c r="F24" s="15" t="s">
        <v>109</v>
      </c>
      <c r="G24" s="16" t="s">
        <v>105</v>
      </c>
      <c r="H24" s="15" t="s">
        <v>64</v>
      </c>
      <c r="I24" s="15" t="s">
        <v>65</v>
      </c>
      <c r="J24" s="17" t="n">
        <v>46219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115</v>
      </c>
      <c r="B25" s="15" t="s">
        <v>107</v>
      </c>
      <c r="C25" s="15" t="s">
        <v>6</v>
      </c>
      <c r="D25" s="15" t="s">
        <v>116</v>
      </c>
      <c r="E25" s="15" t="s">
        <v>61</v>
      </c>
      <c r="F25" s="15" t="s">
        <v>109</v>
      </c>
      <c r="G25" s="16" t="s">
        <v>117</v>
      </c>
      <c r="H25" s="15" t="s">
        <v>64</v>
      </c>
      <c r="I25" s="15" t="s">
        <v>65</v>
      </c>
      <c r="J25" s="17" t="n">
        <v>46219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118</v>
      </c>
      <c r="B26" s="15" t="s">
        <v>107</v>
      </c>
      <c r="C26" s="15" t="s">
        <v>6</v>
      </c>
      <c r="D26" s="15" t="s">
        <v>119</v>
      </c>
      <c r="E26" s="15" t="s">
        <v>61</v>
      </c>
      <c r="F26" s="15" t="s">
        <v>109</v>
      </c>
      <c r="G26" s="15" t="s">
        <v>120</v>
      </c>
      <c r="H26" s="15" t="s">
        <v>71</v>
      </c>
      <c r="I26" s="15" t="s">
        <v>72</v>
      </c>
      <c r="J26" s="19" t="n">
        <v>46219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121</v>
      </c>
      <c r="B27" s="15" t="s">
        <v>107</v>
      </c>
      <c r="C27" s="15" t="s">
        <v>6</v>
      </c>
      <c r="D27" s="15" t="s">
        <v>122</v>
      </c>
      <c r="E27" s="15" t="s">
        <v>61</v>
      </c>
      <c r="F27" s="15" t="s">
        <v>109</v>
      </c>
      <c r="G27" s="16" t="s">
        <v>123</v>
      </c>
      <c r="H27" s="15" t="s">
        <v>64</v>
      </c>
      <c r="I27" s="15" t="s">
        <v>65</v>
      </c>
      <c r="J27" s="17" t="n">
        <v>46219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124</v>
      </c>
      <c r="B28" s="15" t="s">
        <v>107</v>
      </c>
      <c r="C28" s="15" t="s">
        <v>6</v>
      </c>
      <c r="D28" s="15" t="s">
        <v>125</v>
      </c>
      <c r="E28" s="15" t="s">
        <v>61</v>
      </c>
      <c r="F28" s="15" t="s">
        <v>109</v>
      </c>
      <c r="G28" s="16" t="s">
        <v>126</v>
      </c>
      <c r="H28" s="15" t="s">
        <v>64</v>
      </c>
      <c r="I28" s="15" t="s">
        <v>65</v>
      </c>
      <c r="J28" s="17" t="n">
        <v>46219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127</v>
      </c>
      <c r="B29" s="15" t="s">
        <v>128</v>
      </c>
      <c r="C29" s="15" t="s">
        <v>6</v>
      </c>
      <c r="D29" s="15" t="s">
        <v>129</v>
      </c>
      <c r="E29" s="15" t="s">
        <v>61</v>
      </c>
      <c r="F29" s="15" t="s">
        <v>130</v>
      </c>
      <c r="G29" s="16" t="s">
        <v>91</v>
      </c>
      <c r="H29" s="15" t="s">
        <v>64</v>
      </c>
      <c r="I29" s="15" t="s">
        <v>65</v>
      </c>
      <c r="J29" s="17" t="n">
        <v>46219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131</v>
      </c>
      <c r="B30" s="15" t="s">
        <v>128</v>
      </c>
      <c r="C30" s="15" t="s">
        <v>6</v>
      </c>
      <c r="D30" s="15" t="s">
        <v>132</v>
      </c>
      <c r="E30" s="15" t="s">
        <v>61</v>
      </c>
      <c r="F30" s="15" t="s">
        <v>130</v>
      </c>
      <c r="G30" s="15" t="s">
        <v>91</v>
      </c>
      <c r="H30" s="15" t="s">
        <v>71</v>
      </c>
      <c r="I30" s="15" t="s">
        <v>72</v>
      </c>
      <c r="J30" s="19" t="n">
        <v>46219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133</v>
      </c>
      <c r="B31" s="15" t="s">
        <v>134</v>
      </c>
      <c r="C31" s="15" t="s">
        <v>6</v>
      </c>
      <c r="D31" s="15" t="s">
        <v>135</v>
      </c>
      <c r="E31" s="15" t="s">
        <v>61</v>
      </c>
      <c r="F31" s="15" t="s">
        <v>136</v>
      </c>
      <c r="G31" s="16" t="s">
        <v>137</v>
      </c>
      <c r="H31" s="15" t="s">
        <v>71</v>
      </c>
      <c r="I31" s="15" t="s">
        <v>72</v>
      </c>
      <c r="J31" s="17" t="n">
        <v>46219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138</v>
      </c>
      <c r="B32" s="15" t="s">
        <v>134</v>
      </c>
      <c r="C32" s="15" t="s">
        <v>6</v>
      </c>
      <c r="D32" s="15" t="s">
        <v>139</v>
      </c>
      <c r="E32" s="15" t="s">
        <v>61</v>
      </c>
      <c r="F32" s="15" t="s">
        <v>136</v>
      </c>
      <c r="G32" s="16" t="s">
        <v>140</v>
      </c>
      <c r="H32" s="15" t="s">
        <v>64</v>
      </c>
      <c r="I32" s="15" t="s">
        <v>65</v>
      </c>
      <c r="J32" s="17" t="n">
        <v>46219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141</v>
      </c>
      <c r="B33" s="15" t="s">
        <v>142</v>
      </c>
      <c r="C33" s="15" t="s">
        <v>6</v>
      </c>
      <c r="D33" s="15" t="s">
        <v>143</v>
      </c>
      <c r="E33" s="15" t="s">
        <v>144</v>
      </c>
      <c r="F33" s="15" t="s">
        <v>144</v>
      </c>
      <c r="G33" s="15" t="s">
        <v>145</v>
      </c>
      <c r="H33" s="15" t="s">
        <v>71</v>
      </c>
      <c r="I33" s="15" t="s">
        <v>72</v>
      </c>
      <c r="J33" s="19" t="n">
        <v>46219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146</v>
      </c>
      <c r="B34" s="15" t="s">
        <v>147</v>
      </c>
      <c r="C34" s="15" t="s">
        <v>6</v>
      </c>
      <c r="D34" s="15" t="s">
        <v>148</v>
      </c>
      <c r="E34" s="15" t="s">
        <v>149</v>
      </c>
      <c r="F34" s="15" t="s">
        <v>150</v>
      </c>
      <c r="G34" s="15"/>
      <c r="H34" s="15" t="s">
        <v>151</v>
      </c>
      <c r="I34" s="15" t="s">
        <v>72</v>
      </c>
      <c r="J34" s="15"/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hyperlinks>
    <hyperlink ref="G9" r:id="rId1" display="../src/components/button/Button.tsx"/>
    <hyperlink ref="G10" r:id="rId2" display="../../docs/button-component-brief.md"/>
    <hyperlink ref="G11" r:id="rId3" display="../src/button.ts"/>
    <hyperlink ref="G12" r:id="rId4" display="../test/components/button.test.tsx"/>
    <hyperlink ref="G13" r:id="rId5" display="../src/components/button/button.css"/>
    <hyperlink ref="G14" r:id="rId6" display="../playground/manual-tests/button.md"/>
    <hyperlink ref="G15" r:id="rId7" display="manual-tests/button.md"/>
    <hyperlink ref="G16" r:id="rId8" display="manual-tests/button.md"/>
    <hyperlink ref="G17" r:id="rId9" display="manual-tests/button.md"/>
    <hyperlink ref="G18" r:id="rId10" display="tests/preferences.spec.ts"/>
    <hyperlink ref="G19" r:id="rId11" display="manual-tests/button.md"/>
    <hyperlink ref="G20" r:id="rId12" display="manual-tests/button.md"/>
    <hyperlink ref="G21" r:id="rId13" display="tests/button.spec.ts"/>
    <hyperlink ref="G22" r:id="rId14" display="../test/components/button.test.tsx"/>
    <hyperlink ref="G23" r:id="rId15" display="../test/types/public-api.test.ts"/>
    <hyperlink ref="G24" r:id="rId16" display="tests/button.spec.ts"/>
    <hyperlink ref="G25" r:id="rId17" display="tests/foundation.spec.ts"/>
    <hyperlink ref="G26" r:id="rId18" display="tests/visual.spec.ts"/>
    <hyperlink ref="G27" r:id="rId19" display="../../playwright.config.ts"/>
    <hyperlink ref="G28" r:id="rId20" display="../scripts/verify-consumers.mjs"/>
    <hyperlink ref="G29" r:id="rId21" display="manual-tests/button.md"/>
    <hyperlink ref="G30" r:id="rId22" display="manual-tests/button.md"/>
    <hyperlink ref="G31" r:id="rId23" display="../docs/components/button/README.md"/>
    <hyperlink ref="G32" r:id="rId24" display="../docs/components/button/CHANGELOG.md"/>
    <hyperlink ref="G33" r:id="rId25" display="../../../../apps/brick-consumer/tests/consumer.spec.t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6"/>
  <tableParts>
    <tablePart r:id="rId2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152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153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COUNTA(A9:A41)</f>
        <v>33</v>
      </c>
      <c r="C4" s="4" t="s">
        <v>45</v>
      </c>
      <c r="D4" s="5" t="n">
        <f aca="false">SUM(M9:M41)</f>
        <v>32</v>
      </c>
      <c r="E4" s="4" t="s">
        <v>14</v>
      </c>
      <c r="F4" s="6" t="n">
        <f aca="false">IFERROR(D4/SUM(L9:L41),0)</f>
        <v>0.96969696969697</v>
      </c>
      <c r="G4" s="4" t="s">
        <v>4</v>
      </c>
      <c r="H4" s="5" t="n">
        <f aca="false">COUNTIF(H9:H41,"blocked")</f>
        <v>1</v>
      </c>
      <c r="I4" s="4" t="s">
        <v>15</v>
      </c>
      <c r="J4" s="5" t="str">
        <f aca="false">IF(COUNTIFS(E9:E41,"package",M9:M41,"&lt;1")=0,"complete","open")</f>
        <v>complete</v>
      </c>
      <c r="K4" s="4" t="s">
        <v>17</v>
      </c>
      <c r="L4" s="5" t="str">
        <f aca="false">IF(COUNTIFS(E9:E41,"retirement",M9:M41,"&lt;1")=0,"complete","open")</f>
        <v>open</v>
      </c>
    </row>
    <row r="6" customFormat="false" ht="15" hidden="false" customHeight="true" outlineLevel="0" collapsed="false">
      <c r="A6" s="14" t="s">
        <v>46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47</v>
      </c>
      <c r="B8" s="7" t="s">
        <v>48</v>
      </c>
      <c r="C8" s="7" t="s">
        <v>49</v>
      </c>
      <c r="D8" s="7" t="s">
        <v>50</v>
      </c>
      <c r="E8" s="7" t="s">
        <v>51</v>
      </c>
      <c r="F8" s="7" t="s">
        <v>52</v>
      </c>
      <c r="G8" s="7" t="s">
        <v>53</v>
      </c>
      <c r="H8" s="7" t="s">
        <v>18</v>
      </c>
      <c r="I8" s="7" t="s">
        <v>54</v>
      </c>
      <c r="J8" s="7" t="s">
        <v>55</v>
      </c>
      <c r="K8" s="7" t="s">
        <v>56</v>
      </c>
      <c r="L8" s="7" t="s">
        <v>57</v>
      </c>
      <c r="M8" s="7" t="s">
        <v>45</v>
      </c>
    </row>
    <row r="9" customFormat="false" ht="42.75" hidden="false" customHeight="true" outlineLevel="0" collapsed="false">
      <c r="A9" s="15" t="s">
        <v>154</v>
      </c>
      <c r="B9" s="15" t="s">
        <v>59</v>
      </c>
      <c r="C9" s="15" t="s">
        <v>155</v>
      </c>
      <c r="D9" s="15" t="s">
        <v>156</v>
      </c>
      <c r="E9" s="15" t="s">
        <v>61</v>
      </c>
      <c r="F9" s="15" t="s">
        <v>62</v>
      </c>
      <c r="G9" s="15" t="s">
        <v>157</v>
      </c>
      <c r="H9" s="15" t="s">
        <v>64</v>
      </c>
      <c r="I9" s="15" t="s">
        <v>65</v>
      </c>
      <c r="J9" s="17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158</v>
      </c>
      <c r="B10" s="15" t="s">
        <v>67</v>
      </c>
      <c r="C10" s="15" t="s">
        <v>6</v>
      </c>
      <c r="D10" s="15" t="s">
        <v>159</v>
      </c>
      <c r="E10" s="15" t="s">
        <v>61</v>
      </c>
      <c r="F10" s="15" t="s">
        <v>69</v>
      </c>
      <c r="G10" s="15" t="s">
        <v>160</v>
      </c>
      <c r="H10" s="15" t="s">
        <v>71</v>
      </c>
      <c r="I10" s="15" t="s">
        <v>72</v>
      </c>
      <c r="J10" s="17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161</v>
      </c>
      <c r="B11" s="15" t="s">
        <v>59</v>
      </c>
      <c r="C11" s="15" t="s">
        <v>155</v>
      </c>
      <c r="D11" s="15" t="s">
        <v>162</v>
      </c>
      <c r="E11" s="15" t="s">
        <v>61</v>
      </c>
      <c r="F11" s="15" t="s">
        <v>75</v>
      </c>
      <c r="G11" s="15" t="s">
        <v>163</v>
      </c>
      <c r="H11" s="15" t="s">
        <v>64</v>
      </c>
      <c r="I11" s="15" t="s">
        <v>65</v>
      </c>
      <c r="J11" s="17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164</v>
      </c>
      <c r="B12" s="15" t="s">
        <v>59</v>
      </c>
      <c r="C12" s="15" t="s">
        <v>165</v>
      </c>
      <c r="D12" s="15" t="s">
        <v>166</v>
      </c>
      <c r="E12" s="15" t="s">
        <v>61</v>
      </c>
      <c r="F12" s="15" t="s">
        <v>109</v>
      </c>
      <c r="G12" s="15" t="s">
        <v>167</v>
      </c>
      <c r="H12" s="15" t="s">
        <v>64</v>
      </c>
      <c r="I12" s="15" t="s">
        <v>65</v>
      </c>
      <c r="J12" s="17" t="n">
        <v>46220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168</v>
      </c>
      <c r="B13" s="15" t="s">
        <v>39</v>
      </c>
      <c r="C13" s="15" t="s">
        <v>169</v>
      </c>
      <c r="D13" s="15" t="s">
        <v>170</v>
      </c>
      <c r="E13" s="15" t="s">
        <v>61</v>
      </c>
      <c r="F13" s="15" t="s">
        <v>109</v>
      </c>
      <c r="G13" s="15" t="s">
        <v>167</v>
      </c>
      <c r="H13" s="15" t="s">
        <v>64</v>
      </c>
      <c r="I13" s="15" t="s">
        <v>65</v>
      </c>
      <c r="J13" s="17" t="n">
        <v>46220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171</v>
      </c>
      <c r="B14" s="15" t="s">
        <v>39</v>
      </c>
      <c r="C14" s="15" t="s">
        <v>172</v>
      </c>
      <c r="D14" s="15" t="s">
        <v>173</v>
      </c>
      <c r="E14" s="15" t="s">
        <v>61</v>
      </c>
      <c r="F14" s="15" t="s">
        <v>130</v>
      </c>
      <c r="G14" s="15" t="s">
        <v>174</v>
      </c>
      <c r="H14" s="15" t="s">
        <v>71</v>
      </c>
      <c r="I14" s="15" t="s">
        <v>72</v>
      </c>
      <c r="J14" s="17" t="n">
        <v>46220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175</v>
      </c>
      <c r="B15" s="15" t="s">
        <v>39</v>
      </c>
      <c r="C15" s="15" t="s">
        <v>176</v>
      </c>
      <c r="D15" s="15" t="s">
        <v>177</v>
      </c>
      <c r="E15" s="15" t="s">
        <v>61</v>
      </c>
      <c r="F15" s="15" t="s">
        <v>109</v>
      </c>
      <c r="G15" s="15" t="s">
        <v>167</v>
      </c>
      <c r="H15" s="15" t="s">
        <v>64</v>
      </c>
      <c r="I15" s="15" t="s">
        <v>65</v>
      </c>
      <c r="J15" s="17" t="n">
        <v>46220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178</v>
      </c>
      <c r="B16" s="15" t="s">
        <v>39</v>
      </c>
      <c r="C16" s="15" t="s">
        <v>179</v>
      </c>
      <c r="D16" s="15" t="s">
        <v>180</v>
      </c>
      <c r="E16" s="15" t="s">
        <v>61</v>
      </c>
      <c r="F16" s="15" t="s">
        <v>109</v>
      </c>
      <c r="G16" s="15" t="s">
        <v>167</v>
      </c>
      <c r="H16" s="15" t="s">
        <v>64</v>
      </c>
      <c r="I16" s="15" t="s">
        <v>65</v>
      </c>
      <c r="J16" s="17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181</v>
      </c>
      <c r="B17" s="15" t="s">
        <v>39</v>
      </c>
      <c r="C17" s="15" t="s">
        <v>182</v>
      </c>
      <c r="D17" s="15" t="s">
        <v>183</v>
      </c>
      <c r="E17" s="15" t="s">
        <v>61</v>
      </c>
      <c r="F17" s="15" t="s">
        <v>109</v>
      </c>
      <c r="G17" s="15" t="s">
        <v>184</v>
      </c>
      <c r="H17" s="15" t="s">
        <v>64</v>
      </c>
      <c r="I17" s="15" t="s">
        <v>65</v>
      </c>
      <c r="J17" s="17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185</v>
      </c>
      <c r="B18" s="15" t="s">
        <v>39</v>
      </c>
      <c r="C18" s="15" t="s">
        <v>186</v>
      </c>
      <c r="D18" s="15" t="s">
        <v>187</v>
      </c>
      <c r="E18" s="15" t="s">
        <v>61</v>
      </c>
      <c r="F18" s="15" t="s">
        <v>109</v>
      </c>
      <c r="G18" s="15" t="s">
        <v>167</v>
      </c>
      <c r="H18" s="15" t="s">
        <v>64</v>
      </c>
      <c r="I18" s="15" t="s">
        <v>65</v>
      </c>
      <c r="J18" s="17" t="n">
        <v>46220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188</v>
      </c>
      <c r="B19" s="15" t="s">
        <v>39</v>
      </c>
      <c r="C19" s="15" t="s">
        <v>189</v>
      </c>
      <c r="D19" s="15" t="s">
        <v>190</v>
      </c>
      <c r="E19" s="15" t="s">
        <v>61</v>
      </c>
      <c r="F19" s="15" t="s">
        <v>130</v>
      </c>
      <c r="G19" s="15" t="s">
        <v>174</v>
      </c>
      <c r="H19" s="15" t="s">
        <v>71</v>
      </c>
      <c r="I19" s="15" t="s">
        <v>72</v>
      </c>
      <c r="J19" s="17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191</v>
      </c>
      <c r="B20" s="15" t="s">
        <v>81</v>
      </c>
      <c r="C20" s="15" t="s">
        <v>165</v>
      </c>
      <c r="D20" s="15" t="s">
        <v>192</v>
      </c>
      <c r="E20" s="15" t="s">
        <v>61</v>
      </c>
      <c r="F20" s="15" t="s">
        <v>62</v>
      </c>
      <c r="G20" s="15" t="s">
        <v>193</v>
      </c>
      <c r="H20" s="15" t="s">
        <v>64</v>
      </c>
      <c r="I20" s="15" t="s">
        <v>65</v>
      </c>
      <c r="J20" s="17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194</v>
      </c>
      <c r="B21" s="15" t="s">
        <v>81</v>
      </c>
      <c r="C21" s="15" t="s">
        <v>169</v>
      </c>
      <c r="D21" s="15" t="s">
        <v>195</v>
      </c>
      <c r="E21" s="15" t="s">
        <v>61</v>
      </c>
      <c r="F21" s="15" t="s">
        <v>130</v>
      </c>
      <c r="G21" s="15" t="s">
        <v>174</v>
      </c>
      <c r="H21" s="15" t="s">
        <v>71</v>
      </c>
      <c r="I21" s="15" t="s">
        <v>72</v>
      </c>
      <c r="J21" s="17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196</v>
      </c>
      <c r="B22" s="15" t="s">
        <v>88</v>
      </c>
      <c r="C22" s="15" t="s">
        <v>165</v>
      </c>
      <c r="D22" s="15" t="s">
        <v>197</v>
      </c>
      <c r="E22" s="15" t="s">
        <v>61</v>
      </c>
      <c r="F22" s="15" t="s">
        <v>90</v>
      </c>
      <c r="G22" s="15" t="s">
        <v>174</v>
      </c>
      <c r="H22" s="15" t="s">
        <v>71</v>
      </c>
      <c r="I22" s="15" t="s">
        <v>72</v>
      </c>
      <c r="J22" s="17" t="n">
        <v>46220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198</v>
      </c>
      <c r="B23" s="15" t="s">
        <v>88</v>
      </c>
      <c r="C23" s="15" t="s">
        <v>169</v>
      </c>
      <c r="D23" s="15" t="s">
        <v>199</v>
      </c>
      <c r="E23" s="15" t="s">
        <v>61</v>
      </c>
      <c r="F23" s="15" t="s">
        <v>90</v>
      </c>
      <c r="G23" s="15" t="s">
        <v>184</v>
      </c>
      <c r="H23" s="15" t="s">
        <v>71</v>
      </c>
      <c r="I23" s="15" t="s">
        <v>72</v>
      </c>
      <c r="J23" s="17" t="n">
        <v>46220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200</v>
      </c>
      <c r="B24" s="15" t="s">
        <v>88</v>
      </c>
      <c r="C24" s="15" t="s">
        <v>165</v>
      </c>
      <c r="D24" s="15" t="s">
        <v>201</v>
      </c>
      <c r="E24" s="15" t="s">
        <v>61</v>
      </c>
      <c r="F24" s="15" t="s">
        <v>130</v>
      </c>
      <c r="G24" s="15" t="s">
        <v>174</v>
      </c>
      <c r="H24" s="15" t="s">
        <v>71</v>
      </c>
      <c r="I24" s="15" t="s">
        <v>72</v>
      </c>
      <c r="J24" s="17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202</v>
      </c>
      <c r="B25" s="15" t="s">
        <v>88</v>
      </c>
      <c r="C25" s="15" t="s">
        <v>169</v>
      </c>
      <c r="D25" s="15" t="s">
        <v>203</v>
      </c>
      <c r="E25" s="15" t="s">
        <v>61</v>
      </c>
      <c r="F25" s="15" t="s">
        <v>109</v>
      </c>
      <c r="G25" s="15" t="s">
        <v>98</v>
      </c>
      <c r="H25" s="15" t="s">
        <v>71</v>
      </c>
      <c r="I25" s="15" t="s">
        <v>72</v>
      </c>
      <c r="J25" s="17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204</v>
      </c>
      <c r="B26" s="15" t="s">
        <v>88</v>
      </c>
      <c r="C26" s="15" t="s">
        <v>165</v>
      </c>
      <c r="D26" s="15" t="s">
        <v>205</v>
      </c>
      <c r="E26" s="15" t="s">
        <v>61</v>
      </c>
      <c r="F26" s="15" t="s">
        <v>130</v>
      </c>
      <c r="G26" s="15" t="s">
        <v>174</v>
      </c>
      <c r="H26" s="15" t="s">
        <v>71</v>
      </c>
      <c r="I26" s="15" t="s">
        <v>72</v>
      </c>
      <c r="J26" s="17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206</v>
      </c>
      <c r="B27" s="15" t="s">
        <v>88</v>
      </c>
      <c r="C27" s="15" t="s">
        <v>165</v>
      </c>
      <c r="D27" s="15" t="s">
        <v>207</v>
      </c>
      <c r="E27" s="15" t="s">
        <v>61</v>
      </c>
      <c r="F27" s="15" t="s">
        <v>130</v>
      </c>
      <c r="G27" s="15" t="s">
        <v>174</v>
      </c>
      <c r="H27" s="15" t="s">
        <v>71</v>
      </c>
      <c r="I27" s="15" t="s">
        <v>72</v>
      </c>
      <c r="J27" s="17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208</v>
      </c>
      <c r="B28" s="15" t="s">
        <v>88</v>
      </c>
      <c r="C28" s="15" t="s">
        <v>6</v>
      </c>
      <c r="D28" s="15" t="s">
        <v>209</v>
      </c>
      <c r="E28" s="15" t="s">
        <v>61</v>
      </c>
      <c r="F28" s="15" t="s">
        <v>90</v>
      </c>
      <c r="G28" s="15" t="s">
        <v>184</v>
      </c>
      <c r="H28" s="15" t="s">
        <v>64</v>
      </c>
      <c r="I28" s="15" t="s">
        <v>65</v>
      </c>
      <c r="J28" s="17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210</v>
      </c>
      <c r="B29" s="15" t="s">
        <v>107</v>
      </c>
      <c r="C29" s="15" t="s">
        <v>165</v>
      </c>
      <c r="D29" s="15" t="s">
        <v>211</v>
      </c>
      <c r="E29" s="15" t="s">
        <v>61</v>
      </c>
      <c r="F29" s="15" t="s">
        <v>109</v>
      </c>
      <c r="G29" s="15" t="s">
        <v>167</v>
      </c>
      <c r="H29" s="15" t="s">
        <v>64</v>
      </c>
      <c r="I29" s="15" t="s">
        <v>65</v>
      </c>
      <c r="J29" s="17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212</v>
      </c>
      <c r="B30" s="15" t="s">
        <v>107</v>
      </c>
      <c r="C30" s="15" t="s">
        <v>155</v>
      </c>
      <c r="D30" s="15" t="s">
        <v>213</v>
      </c>
      <c r="E30" s="15" t="s">
        <v>61</v>
      </c>
      <c r="F30" s="15" t="s">
        <v>109</v>
      </c>
      <c r="G30" s="15" t="s">
        <v>112</v>
      </c>
      <c r="H30" s="15" t="s">
        <v>64</v>
      </c>
      <c r="I30" s="15" t="s">
        <v>65</v>
      </c>
      <c r="J30" s="17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214</v>
      </c>
      <c r="B31" s="15" t="s">
        <v>107</v>
      </c>
      <c r="C31" s="15" t="s">
        <v>169</v>
      </c>
      <c r="D31" s="15" t="s">
        <v>215</v>
      </c>
      <c r="E31" s="15" t="s">
        <v>61</v>
      </c>
      <c r="F31" s="15" t="s">
        <v>109</v>
      </c>
      <c r="G31" s="15" t="s">
        <v>184</v>
      </c>
      <c r="H31" s="15" t="s">
        <v>64</v>
      </c>
      <c r="I31" s="15" t="s">
        <v>65</v>
      </c>
      <c r="J31" s="17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216</v>
      </c>
      <c r="B32" s="15" t="s">
        <v>107</v>
      </c>
      <c r="C32" s="15" t="s">
        <v>169</v>
      </c>
      <c r="D32" s="15" t="s">
        <v>217</v>
      </c>
      <c r="E32" s="15" t="s">
        <v>61</v>
      </c>
      <c r="F32" s="15" t="s">
        <v>109</v>
      </c>
      <c r="G32" s="15" t="s">
        <v>117</v>
      </c>
      <c r="H32" s="15" t="s">
        <v>64</v>
      </c>
      <c r="I32" s="15" t="s">
        <v>65</v>
      </c>
      <c r="J32" s="17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218</v>
      </c>
      <c r="B33" s="15" t="s">
        <v>107</v>
      </c>
      <c r="C33" s="15" t="s">
        <v>169</v>
      </c>
      <c r="D33" s="15" t="s">
        <v>219</v>
      </c>
      <c r="E33" s="15" t="s">
        <v>61</v>
      </c>
      <c r="F33" s="15" t="s">
        <v>109</v>
      </c>
      <c r="G33" s="15" t="s">
        <v>120</v>
      </c>
      <c r="H33" s="15" t="s">
        <v>71</v>
      </c>
      <c r="I33" s="15" t="s">
        <v>72</v>
      </c>
      <c r="J33" s="17" t="n">
        <v>46220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220</v>
      </c>
      <c r="B34" s="15" t="s">
        <v>107</v>
      </c>
      <c r="C34" s="15" t="s">
        <v>165</v>
      </c>
      <c r="D34" s="15" t="s">
        <v>221</v>
      </c>
      <c r="E34" s="15" t="s">
        <v>61</v>
      </c>
      <c r="F34" s="15" t="s">
        <v>109</v>
      </c>
      <c r="G34" s="15" t="s">
        <v>222</v>
      </c>
      <c r="H34" s="15" t="s">
        <v>64</v>
      </c>
      <c r="I34" s="15" t="s">
        <v>65</v>
      </c>
      <c r="J34" s="17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26.25" hidden="false" customHeight="true" outlineLevel="0" collapsed="false">
      <c r="A35" s="15" t="s">
        <v>223</v>
      </c>
      <c r="B35" s="15" t="s">
        <v>107</v>
      </c>
      <c r="C35" s="15" t="s">
        <v>6</v>
      </c>
      <c r="D35" s="15" t="s">
        <v>224</v>
      </c>
      <c r="E35" s="15" t="s">
        <v>61</v>
      </c>
      <c r="F35" s="15" t="s">
        <v>109</v>
      </c>
      <c r="G35" s="15" t="s">
        <v>225</v>
      </c>
      <c r="H35" s="15" t="s">
        <v>64</v>
      </c>
      <c r="I35" s="15" t="s">
        <v>65</v>
      </c>
      <c r="J35" s="17" t="n">
        <v>46220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15" hidden="false" customHeight="true" outlineLevel="0" collapsed="false">
      <c r="A36" s="15" t="s">
        <v>226</v>
      </c>
      <c r="B36" s="15" t="s">
        <v>128</v>
      </c>
      <c r="C36" s="15" t="s">
        <v>6</v>
      </c>
      <c r="D36" s="15" t="s">
        <v>227</v>
      </c>
      <c r="E36" s="15" t="s">
        <v>61</v>
      </c>
      <c r="F36" s="15" t="s">
        <v>130</v>
      </c>
      <c r="G36" s="15" t="s">
        <v>174</v>
      </c>
      <c r="H36" s="15" t="s">
        <v>64</v>
      </c>
      <c r="I36" s="15" t="s">
        <v>65</v>
      </c>
      <c r="J36" s="17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26.25" hidden="false" customHeight="true" outlineLevel="0" collapsed="false">
      <c r="A37" s="15" t="s">
        <v>228</v>
      </c>
      <c r="B37" s="15" t="s">
        <v>128</v>
      </c>
      <c r="C37" s="15" t="s">
        <v>165</v>
      </c>
      <c r="D37" s="15" t="s">
        <v>229</v>
      </c>
      <c r="E37" s="15" t="s">
        <v>61</v>
      </c>
      <c r="F37" s="15" t="s">
        <v>130</v>
      </c>
      <c r="G37" s="15" t="s">
        <v>174</v>
      </c>
      <c r="H37" s="15" t="s">
        <v>71</v>
      </c>
      <c r="I37" s="15" t="s">
        <v>72</v>
      </c>
      <c r="J37" s="17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26.25" hidden="false" customHeight="true" outlineLevel="0" collapsed="false">
      <c r="A38" s="15" t="s">
        <v>230</v>
      </c>
      <c r="B38" s="15" t="s">
        <v>134</v>
      </c>
      <c r="C38" s="15" t="s">
        <v>6</v>
      </c>
      <c r="D38" s="15" t="s">
        <v>231</v>
      </c>
      <c r="E38" s="15" t="s">
        <v>61</v>
      </c>
      <c r="F38" s="15" t="s">
        <v>136</v>
      </c>
      <c r="G38" s="15" t="s">
        <v>232</v>
      </c>
      <c r="H38" s="15" t="s">
        <v>71</v>
      </c>
      <c r="I38" s="15" t="s">
        <v>72</v>
      </c>
      <c r="J38" s="17" t="n">
        <v>46220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26.25" hidden="false" customHeight="true" outlineLevel="0" collapsed="false">
      <c r="A39" s="15" t="s">
        <v>233</v>
      </c>
      <c r="B39" s="15" t="s">
        <v>134</v>
      </c>
      <c r="C39" s="15" t="s">
        <v>6</v>
      </c>
      <c r="D39" s="15" t="s">
        <v>234</v>
      </c>
      <c r="E39" s="15" t="s">
        <v>61</v>
      </c>
      <c r="F39" s="15" t="s">
        <v>136</v>
      </c>
      <c r="G39" s="15" t="s">
        <v>235</v>
      </c>
      <c r="H39" s="15" t="s">
        <v>64</v>
      </c>
      <c r="I39" s="15" t="s">
        <v>65</v>
      </c>
      <c r="J39" s="17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26.25" hidden="false" customHeight="true" outlineLevel="0" collapsed="false">
      <c r="A40" s="15" t="s">
        <v>236</v>
      </c>
      <c r="B40" s="15" t="s">
        <v>142</v>
      </c>
      <c r="C40" s="15" t="s">
        <v>6</v>
      </c>
      <c r="D40" s="15" t="s">
        <v>237</v>
      </c>
      <c r="E40" s="15" t="s">
        <v>144</v>
      </c>
      <c r="F40" s="15" t="s">
        <v>144</v>
      </c>
      <c r="G40" s="15" t="s">
        <v>145</v>
      </c>
      <c r="H40" s="15" t="s">
        <v>71</v>
      </c>
      <c r="I40" s="15" t="s">
        <v>72</v>
      </c>
      <c r="J40" s="17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26.25" hidden="false" customHeight="true" outlineLevel="0" collapsed="false">
      <c r="A41" s="15" t="s">
        <v>238</v>
      </c>
      <c r="B41" s="15" t="s">
        <v>147</v>
      </c>
      <c r="C41" s="15" t="s">
        <v>239</v>
      </c>
      <c r="D41" s="15" t="s">
        <v>240</v>
      </c>
      <c r="E41" s="15" t="s">
        <v>149</v>
      </c>
      <c r="F41" s="15" t="s">
        <v>150</v>
      </c>
      <c r="G41" s="15" t="s">
        <v>241</v>
      </c>
      <c r="H41" s="15" t="s">
        <v>242</v>
      </c>
      <c r="I41" s="15" t="s">
        <v>72</v>
      </c>
      <c r="J41" s="17" t="n">
        <v>46220</v>
      </c>
      <c r="K41" s="15" t="s">
        <v>243</v>
      </c>
      <c r="L41" s="18" t="n">
        <v>1</v>
      </c>
      <c r="M41" s="18" t="n">
        <f aca="false">IF(H41="not applicable",IF(K41&lt;&gt;"",1,0),IF(I41="yes",IF(H41="verified",1,0),IF(OR(H41="tested",H41="verified"),1,0)))</f>
        <v>0</v>
      </c>
    </row>
  </sheetData>
  <autoFilter ref="A8:M34"/>
  <mergeCells count="3">
    <mergeCell ref="A1:M1"/>
    <mergeCell ref="A2:M2"/>
    <mergeCell ref="A6:M6"/>
  </mergeCells>
  <conditionalFormatting sqref="H9:H41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dataValidations count="2">
    <dataValidation allowBlank="false" errorStyle="stop" operator="between" showDropDown="false" showErrorMessage="false" showInputMessage="false" sqref="H9:H41" type="list">
      <formula1>_Lists!$A$1:$A$7</formula1>
      <formula2>0</formula2>
    </dataValidation>
    <dataValidation allowBlank="false" errorStyle="stop" operator="between" showDropDown="false" showErrorMessage="false" showInputMessage="false" sqref="I9:I41" type="list">
      <formula1>_Lists!$B$1:$B$2</formula1>
      <formula2>0</formula2>
    </dataValidation>
  </dataValidations>
  <hyperlinks>
    <hyperlink ref="G9" r:id="rId1" display="../src/components/card/Card.tsx"/>
    <hyperlink ref="G10" r:id="rId2" display="../../docs/card-component-brief.md"/>
    <hyperlink ref="G11" r:id="rId3" display="../src/card.ts"/>
    <hyperlink ref="G12" r:id="rId4" display="../test/components/card.test.tsx"/>
    <hyperlink ref="G13" r:id="rId5" display="../test/components/card.test.tsx"/>
    <hyperlink ref="G14" r:id="rId6" display="manual-tests/card.md"/>
    <hyperlink ref="G15" r:id="rId7" display="../test/components/card.test.tsx"/>
    <hyperlink ref="G16" r:id="rId8" display="../test/components/card.test.tsx"/>
    <hyperlink ref="G17" r:id="rId9" display="tests/card.spec.ts"/>
    <hyperlink ref="G18" r:id="rId10" display="../test/components/card.test.tsx"/>
    <hyperlink ref="G19" r:id="rId11" display="manual-tests/card.md"/>
    <hyperlink ref="G20" r:id="rId12" display="../src/components/card/card.css"/>
    <hyperlink ref="G21" r:id="rId13" display="manual-tests/card.md"/>
    <hyperlink ref="G22" r:id="rId14" display="manual-tests/card.md"/>
    <hyperlink ref="G23" r:id="rId15" display="tests/card.spec.ts"/>
    <hyperlink ref="G24" r:id="rId16" display="manual-tests/card.md"/>
    <hyperlink ref="G25" r:id="rId17" display="tests/preferences.spec.ts"/>
    <hyperlink ref="G26" r:id="rId18" display="manual-tests/card.md"/>
    <hyperlink ref="G27" r:id="rId19" display="manual-tests/card.md"/>
    <hyperlink ref="G28" r:id="rId20" display="tests/card.spec.ts"/>
    <hyperlink ref="G29" r:id="rId21" display="../test/components/card.test.tsx"/>
    <hyperlink ref="G30" r:id="rId22" display="../test/types/public-api.test.ts"/>
    <hyperlink ref="G31" r:id="rId23" display="tests/card.spec.ts"/>
    <hyperlink ref="G32" r:id="rId24" display="tests/foundation.spec.ts"/>
    <hyperlink ref="G33" r:id="rId25" display="tests/visual.spec.ts"/>
    <hyperlink ref="G34" r:id="rId26" display="../playwright.config.ts"/>
    <hyperlink ref="G35" r:id="rId27" display="../test/package/ssr.test.mjs"/>
    <hyperlink ref="G36" r:id="rId28" display="manual-tests/card.md"/>
    <hyperlink ref="G37" r:id="rId29" display="manual-tests/card.md"/>
    <hyperlink ref="G38" r:id="rId30" display="../docs/components/card/README.md"/>
    <hyperlink ref="G39" r:id="rId31" display="../docs/components/card/CHANGELOG.md"/>
    <hyperlink ref="G40" r:id="rId32" display="../../../../apps/brick-consumer/tests/consumer.spec.ts"/>
    <hyperlink ref="G41" r:id="rId33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4"/>
  <tableParts>
    <tablePart r:id="rId3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244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245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COUNTA(A9:A45)</f>
        <v>37</v>
      </c>
      <c r="C4" s="4" t="s">
        <v>45</v>
      </c>
      <c r="D4" s="5" t="n">
        <f aca="false">SUM(M9:M45)</f>
        <v>36</v>
      </c>
      <c r="E4" s="4" t="s">
        <v>14</v>
      </c>
      <c r="F4" s="6" t="n">
        <f aca="false">IFERROR(D4/SUM(L9:L45),0)</f>
        <v>0.972972972972973</v>
      </c>
      <c r="G4" s="4" t="s">
        <v>4</v>
      </c>
      <c r="H4" s="5" t="n">
        <f aca="false">COUNTIF(H9:H45,"blocked")</f>
        <v>1</v>
      </c>
      <c r="I4" s="4" t="s">
        <v>15</v>
      </c>
      <c r="J4" s="5" t="str">
        <f aca="false">IF(COUNTIFS(E9:E45,"package",M9:M45,"&lt;1")=0,"complete","open")</f>
        <v>complete</v>
      </c>
      <c r="K4" s="4" t="s">
        <v>17</v>
      </c>
      <c r="L4" s="5" t="str">
        <f aca="false">IF(COUNTIFS(E9:E45,"retirement",M9:M45,"&lt;1")=0,"complete","open")</f>
        <v>open</v>
      </c>
    </row>
    <row r="6" customFormat="false" ht="15" hidden="false" customHeight="true" outlineLevel="0" collapsed="false">
      <c r="A6" s="14" t="s">
        <v>46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47</v>
      </c>
      <c r="B8" s="7" t="s">
        <v>48</v>
      </c>
      <c r="C8" s="7" t="s">
        <v>49</v>
      </c>
      <c r="D8" s="7" t="s">
        <v>50</v>
      </c>
      <c r="E8" s="7" t="s">
        <v>51</v>
      </c>
      <c r="F8" s="7" t="s">
        <v>52</v>
      </c>
      <c r="G8" s="7" t="s">
        <v>53</v>
      </c>
      <c r="H8" s="7" t="s">
        <v>18</v>
      </c>
      <c r="I8" s="7" t="s">
        <v>54</v>
      </c>
      <c r="J8" s="7" t="s">
        <v>55</v>
      </c>
      <c r="K8" s="7" t="s">
        <v>56</v>
      </c>
      <c r="L8" s="7" t="s">
        <v>57</v>
      </c>
      <c r="M8" s="7" t="s">
        <v>45</v>
      </c>
    </row>
    <row r="9" customFormat="false" ht="42" hidden="false" customHeight="true" outlineLevel="0" collapsed="false">
      <c r="A9" s="15" t="s">
        <v>246</v>
      </c>
      <c r="B9" s="15" t="s">
        <v>59</v>
      </c>
      <c r="C9" s="15" t="s">
        <v>6</v>
      </c>
      <c r="D9" s="15" t="s">
        <v>247</v>
      </c>
      <c r="E9" s="15" t="s">
        <v>61</v>
      </c>
      <c r="F9" s="15" t="s">
        <v>62</v>
      </c>
      <c r="G9" s="15" t="s">
        <v>248</v>
      </c>
      <c r="H9" s="15" t="s">
        <v>64</v>
      </c>
      <c r="I9" s="15" t="s">
        <v>65</v>
      </c>
      <c r="J9" s="19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249</v>
      </c>
      <c r="B10" s="15" t="s">
        <v>67</v>
      </c>
      <c r="C10" s="15" t="s">
        <v>6</v>
      </c>
      <c r="D10" s="15" t="s">
        <v>250</v>
      </c>
      <c r="E10" s="15" t="s">
        <v>61</v>
      </c>
      <c r="F10" s="15" t="s">
        <v>69</v>
      </c>
      <c r="G10" s="15" t="s">
        <v>251</v>
      </c>
      <c r="H10" s="15" t="s">
        <v>71</v>
      </c>
      <c r="I10" s="15" t="s">
        <v>72</v>
      </c>
      <c r="J10" s="19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252</v>
      </c>
      <c r="B11" s="15" t="s">
        <v>59</v>
      </c>
      <c r="C11" s="15" t="s">
        <v>155</v>
      </c>
      <c r="D11" s="15" t="s">
        <v>253</v>
      </c>
      <c r="E11" s="15" t="s">
        <v>61</v>
      </c>
      <c r="F11" s="15" t="s">
        <v>75</v>
      </c>
      <c r="G11" s="15" t="s">
        <v>112</v>
      </c>
      <c r="H11" s="15" t="s">
        <v>64</v>
      </c>
      <c r="I11" s="15" t="s">
        <v>65</v>
      </c>
      <c r="J11" s="19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254</v>
      </c>
      <c r="B12" s="15" t="s">
        <v>39</v>
      </c>
      <c r="C12" s="15" t="s">
        <v>169</v>
      </c>
      <c r="D12" s="15" t="s">
        <v>255</v>
      </c>
      <c r="E12" s="15" t="s">
        <v>61</v>
      </c>
      <c r="F12" s="15" t="s">
        <v>109</v>
      </c>
      <c r="G12" s="15" t="s">
        <v>256</v>
      </c>
      <c r="H12" s="15" t="s">
        <v>64</v>
      </c>
      <c r="I12" s="15" t="s">
        <v>65</v>
      </c>
      <c r="J12" s="19" t="n">
        <v>46220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257</v>
      </c>
      <c r="B13" s="15" t="s">
        <v>39</v>
      </c>
      <c r="C13" s="15" t="s">
        <v>258</v>
      </c>
      <c r="D13" s="15" t="s">
        <v>259</v>
      </c>
      <c r="E13" s="15" t="s">
        <v>61</v>
      </c>
      <c r="F13" s="15" t="s">
        <v>109</v>
      </c>
      <c r="G13" s="15" t="s">
        <v>256</v>
      </c>
      <c r="H13" s="15" t="s">
        <v>64</v>
      </c>
      <c r="I13" s="15" t="s">
        <v>65</v>
      </c>
      <c r="J13" s="19" t="n">
        <v>46220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260</v>
      </c>
      <c r="B14" s="15" t="s">
        <v>39</v>
      </c>
      <c r="C14" s="15" t="s">
        <v>261</v>
      </c>
      <c r="D14" s="15" t="s">
        <v>262</v>
      </c>
      <c r="E14" s="15" t="s">
        <v>61</v>
      </c>
      <c r="F14" s="15" t="s">
        <v>109</v>
      </c>
      <c r="G14" s="15" t="s">
        <v>256</v>
      </c>
      <c r="H14" s="15" t="s">
        <v>64</v>
      </c>
      <c r="I14" s="15" t="s">
        <v>65</v>
      </c>
      <c r="J14" s="19" t="n">
        <v>46220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263</v>
      </c>
      <c r="B15" s="15" t="s">
        <v>39</v>
      </c>
      <c r="C15" s="15" t="s">
        <v>264</v>
      </c>
      <c r="D15" s="15" t="s">
        <v>265</v>
      </c>
      <c r="E15" s="15" t="s">
        <v>61</v>
      </c>
      <c r="F15" s="15" t="s">
        <v>109</v>
      </c>
      <c r="G15" s="15" t="s">
        <v>266</v>
      </c>
      <c r="H15" s="15" t="s">
        <v>64</v>
      </c>
      <c r="I15" s="15" t="s">
        <v>65</v>
      </c>
      <c r="J15" s="19" t="n">
        <v>46220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267</v>
      </c>
      <c r="B16" s="15" t="s">
        <v>39</v>
      </c>
      <c r="C16" s="15" t="s">
        <v>186</v>
      </c>
      <c r="D16" s="15" t="s">
        <v>268</v>
      </c>
      <c r="E16" s="15" t="s">
        <v>61</v>
      </c>
      <c r="F16" s="15" t="s">
        <v>109</v>
      </c>
      <c r="G16" s="15" t="s">
        <v>256</v>
      </c>
      <c r="H16" s="15" t="s">
        <v>64</v>
      </c>
      <c r="I16" s="15" t="s">
        <v>65</v>
      </c>
      <c r="J16" s="19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269</v>
      </c>
      <c r="B17" s="15" t="s">
        <v>39</v>
      </c>
      <c r="C17" s="15" t="s">
        <v>172</v>
      </c>
      <c r="D17" s="15" t="s">
        <v>270</v>
      </c>
      <c r="E17" s="15" t="s">
        <v>61</v>
      </c>
      <c r="F17" s="15" t="s">
        <v>109</v>
      </c>
      <c r="G17" s="15" t="s">
        <v>256</v>
      </c>
      <c r="H17" s="15" t="s">
        <v>64</v>
      </c>
      <c r="I17" s="15" t="s">
        <v>65</v>
      </c>
      <c r="J17" s="19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271</v>
      </c>
      <c r="B18" s="15" t="s">
        <v>39</v>
      </c>
      <c r="C18" s="15" t="s">
        <v>176</v>
      </c>
      <c r="D18" s="15" t="s">
        <v>272</v>
      </c>
      <c r="E18" s="15" t="s">
        <v>61</v>
      </c>
      <c r="F18" s="15" t="s">
        <v>109</v>
      </c>
      <c r="G18" s="15" t="s">
        <v>256</v>
      </c>
      <c r="H18" s="15" t="s">
        <v>64</v>
      </c>
      <c r="I18" s="15" t="s">
        <v>65</v>
      </c>
      <c r="J18" s="19" t="n">
        <v>46220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273</v>
      </c>
      <c r="B19" s="15" t="s">
        <v>39</v>
      </c>
      <c r="C19" s="15" t="s">
        <v>179</v>
      </c>
      <c r="D19" s="15" t="s">
        <v>274</v>
      </c>
      <c r="E19" s="15" t="s">
        <v>61</v>
      </c>
      <c r="F19" s="15" t="s">
        <v>109</v>
      </c>
      <c r="G19" s="15" t="s">
        <v>256</v>
      </c>
      <c r="H19" s="15" t="s">
        <v>64</v>
      </c>
      <c r="I19" s="15" t="s">
        <v>65</v>
      </c>
      <c r="J19" s="19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275</v>
      </c>
      <c r="B20" s="15" t="s">
        <v>39</v>
      </c>
      <c r="C20" s="15" t="s">
        <v>276</v>
      </c>
      <c r="D20" s="15" t="s">
        <v>277</v>
      </c>
      <c r="E20" s="15" t="s">
        <v>61</v>
      </c>
      <c r="F20" s="15" t="s">
        <v>130</v>
      </c>
      <c r="G20" s="15" t="s">
        <v>278</v>
      </c>
      <c r="H20" s="15" t="s">
        <v>71</v>
      </c>
      <c r="I20" s="15" t="s">
        <v>72</v>
      </c>
      <c r="J20" s="19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279</v>
      </c>
      <c r="B21" s="15" t="s">
        <v>39</v>
      </c>
      <c r="C21" s="15" t="s">
        <v>189</v>
      </c>
      <c r="D21" s="15" t="s">
        <v>280</v>
      </c>
      <c r="E21" s="15" t="s">
        <v>61</v>
      </c>
      <c r="F21" s="15" t="s">
        <v>130</v>
      </c>
      <c r="G21" s="15" t="s">
        <v>278</v>
      </c>
      <c r="H21" s="15" t="s">
        <v>71</v>
      </c>
      <c r="I21" s="15" t="s">
        <v>72</v>
      </c>
      <c r="J21" s="19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281</v>
      </c>
      <c r="B22" s="15" t="s">
        <v>39</v>
      </c>
      <c r="C22" s="15" t="s">
        <v>282</v>
      </c>
      <c r="D22" s="15" t="s">
        <v>283</v>
      </c>
      <c r="E22" s="15" t="s">
        <v>61</v>
      </c>
      <c r="F22" s="15" t="s">
        <v>109</v>
      </c>
      <c r="G22" s="15" t="s">
        <v>256</v>
      </c>
      <c r="H22" s="15" t="s">
        <v>64</v>
      </c>
      <c r="I22" s="15" t="s">
        <v>65</v>
      </c>
      <c r="J22" s="19" t="n">
        <v>46220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284</v>
      </c>
      <c r="B23" s="15" t="s">
        <v>39</v>
      </c>
      <c r="C23" s="15" t="s">
        <v>285</v>
      </c>
      <c r="D23" s="15" t="s">
        <v>286</v>
      </c>
      <c r="E23" s="15" t="s">
        <v>61</v>
      </c>
      <c r="F23" s="15" t="s">
        <v>109</v>
      </c>
      <c r="G23" s="15" t="s">
        <v>256</v>
      </c>
      <c r="H23" s="15" t="s">
        <v>64</v>
      </c>
      <c r="I23" s="15" t="s">
        <v>65</v>
      </c>
      <c r="J23" s="19" t="n">
        <v>46220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287</v>
      </c>
      <c r="B24" s="15" t="s">
        <v>81</v>
      </c>
      <c r="C24" s="15" t="s">
        <v>165</v>
      </c>
      <c r="D24" s="15" t="s">
        <v>288</v>
      </c>
      <c r="E24" s="15" t="s">
        <v>61</v>
      </c>
      <c r="F24" s="15" t="s">
        <v>62</v>
      </c>
      <c r="G24" s="15" t="s">
        <v>289</v>
      </c>
      <c r="H24" s="15" t="s">
        <v>64</v>
      </c>
      <c r="I24" s="15" t="s">
        <v>65</v>
      </c>
      <c r="J24" s="19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290</v>
      </c>
      <c r="B25" s="15" t="s">
        <v>81</v>
      </c>
      <c r="C25" s="15" t="s">
        <v>186</v>
      </c>
      <c r="D25" s="15" t="s">
        <v>291</v>
      </c>
      <c r="E25" s="15" t="s">
        <v>61</v>
      </c>
      <c r="F25" s="15" t="s">
        <v>130</v>
      </c>
      <c r="G25" s="15" t="s">
        <v>278</v>
      </c>
      <c r="H25" s="15" t="s">
        <v>71</v>
      </c>
      <c r="I25" s="15" t="s">
        <v>72</v>
      </c>
      <c r="J25" s="19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292</v>
      </c>
      <c r="B26" s="15" t="s">
        <v>88</v>
      </c>
      <c r="C26" s="15" t="s">
        <v>165</v>
      </c>
      <c r="D26" s="15" t="s">
        <v>293</v>
      </c>
      <c r="E26" s="15" t="s">
        <v>61</v>
      </c>
      <c r="F26" s="15" t="s">
        <v>90</v>
      </c>
      <c r="G26" s="15" t="s">
        <v>278</v>
      </c>
      <c r="H26" s="15" t="s">
        <v>71</v>
      </c>
      <c r="I26" s="15" t="s">
        <v>72</v>
      </c>
      <c r="J26" s="19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294</v>
      </c>
      <c r="B27" s="15" t="s">
        <v>88</v>
      </c>
      <c r="C27" s="15" t="s">
        <v>6</v>
      </c>
      <c r="D27" s="15" t="s">
        <v>295</v>
      </c>
      <c r="E27" s="15" t="s">
        <v>61</v>
      </c>
      <c r="F27" s="15" t="s">
        <v>90</v>
      </c>
      <c r="G27" s="15" t="s">
        <v>266</v>
      </c>
      <c r="H27" s="15" t="s">
        <v>71</v>
      </c>
      <c r="I27" s="15" t="s">
        <v>72</v>
      </c>
      <c r="J27" s="19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296</v>
      </c>
      <c r="B28" s="15" t="s">
        <v>88</v>
      </c>
      <c r="C28" s="15" t="s">
        <v>186</v>
      </c>
      <c r="D28" s="15" t="s">
        <v>297</v>
      </c>
      <c r="E28" s="15" t="s">
        <v>61</v>
      </c>
      <c r="F28" s="15" t="s">
        <v>130</v>
      </c>
      <c r="G28" s="15" t="s">
        <v>278</v>
      </c>
      <c r="H28" s="15" t="s">
        <v>71</v>
      </c>
      <c r="I28" s="15" t="s">
        <v>72</v>
      </c>
      <c r="J28" s="19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298</v>
      </c>
      <c r="B29" s="15" t="s">
        <v>88</v>
      </c>
      <c r="C29" s="15" t="s">
        <v>165</v>
      </c>
      <c r="D29" s="15" t="s">
        <v>299</v>
      </c>
      <c r="E29" s="15" t="s">
        <v>61</v>
      </c>
      <c r="F29" s="15" t="s">
        <v>109</v>
      </c>
      <c r="G29" s="15" t="s">
        <v>120</v>
      </c>
      <c r="H29" s="15" t="s">
        <v>71</v>
      </c>
      <c r="I29" s="15" t="s">
        <v>72</v>
      </c>
      <c r="J29" s="19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300</v>
      </c>
      <c r="B30" s="15" t="s">
        <v>88</v>
      </c>
      <c r="C30" s="15" t="s">
        <v>165</v>
      </c>
      <c r="D30" s="15" t="s">
        <v>301</v>
      </c>
      <c r="E30" s="15" t="s">
        <v>61</v>
      </c>
      <c r="F30" s="15" t="s">
        <v>130</v>
      </c>
      <c r="G30" s="15" t="s">
        <v>278</v>
      </c>
      <c r="H30" s="15" t="s">
        <v>71</v>
      </c>
      <c r="I30" s="15" t="s">
        <v>72</v>
      </c>
      <c r="J30" s="19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302</v>
      </c>
      <c r="B31" s="15" t="s">
        <v>88</v>
      </c>
      <c r="C31" s="15" t="s">
        <v>165</v>
      </c>
      <c r="D31" s="15" t="s">
        <v>303</v>
      </c>
      <c r="E31" s="15" t="s">
        <v>61</v>
      </c>
      <c r="F31" s="15" t="s">
        <v>130</v>
      </c>
      <c r="G31" s="15" t="s">
        <v>278</v>
      </c>
      <c r="H31" s="15" t="s">
        <v>71</v>
      </c>
      <c r="I31" s="15" t="s">
        <v>72</v>
      </c>
      <c r="J31" s="19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304</v>
      </c>
      <c r="B32" s="15" t="s">
        <v>88</v>
      </c>
      <c r="C32" s="15" t="s">
        <v>6</v>
      </c>
      <c r="D32" s="15" t="s">
        <v>305</v>
      </c>
      <c r="E32" s="15" t="s">
        <v>61</v>
      </c>
      <c r="F32" s="15" t="s">
        <v>90</v>
      </c>
      <c r="G32" s="15" t="s">
        <v>266</v>
      </c>
      <c r="H32" s="15" t="s">
        <v>64</v>
      </c>
      <c r="I32" s="15" t="s">
        <v>65</v>
      </c>
      <c r="J32" s="19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306</v>
      </c>
      <c r="B33" s="15" t="s">
        <v>107</v>
      </c>
      <c r="C33" s="15" t="s">
        <v>165</v>
      </c>
      <c r="D33" s="15" t="s">
        <v>307</v>
      </c>
      <c r="E33" s="15" t="s">
        <v>61</v>
      </c>
      <c r="F33" s="15" t="s">
        <v>109</v>
      </c>
      <c r="G33" s="15" t="s">
        <v>256</v>
      </c>
      <c r="H33" s="15" t="s">
        <v>64</v>
      </c>
      <c r="I33" s="15" t="s">
        <v>65</v>
      </c>
      <c r="J33" s="19" t="n">
        <v>46220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308</v>
      </c>
      <c r="B34" s="15" t="s">
        <v>107</v>
      </c>
      <c r="C34" s="15" t="s">
        <v>155</v>
      </c>
      <c r="D34" s="15" t="s">
        <v>309</v>
      </c>
      <c r="E34" s="15" t="s">
        <v>61</v>
      </c>
      <c r="F34" s="15" t="s">
        <v>109</v>
      </c>
      <c r="G34" s="15" t="s">
        <v>112</v>
      </c>
      <c r="H34" s="15" t="s">
        <v>64</v>
      </c>
      <c r="I34" s="15" t="s">
        <v>65</v>
      </c>
      <c r="J34" s="19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310</v>
      </c>
      <c r="B35" s="15" t="s">
        <v>107</v>
      </c>
      <c r="C35" s="15" t="s">
        <v>6</v>
      </c>
      <c r="D35" s="15" t="s">
        <v>311</v>
      </c>
      <c r="E35" s="15" t="s">
        <v>61</v>
      </c>
      <c r="F35" s="15" t="s">
        <v>109</v>
      </c>
      <c r="G35" s="15" t="s">
        <v>266</v>
      </c>
      <c r="H35" s="15" t="s">
        <v>64</v>
      </c>
      <c r="I35" s="15" t="s">
        <v>65</v>
      </c>
      <c r="J35" s="19" t="n">
        <v>46220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312</v>
      </c>
      <c r="B36" s="15" t="s">
        <v>107</v>
      </c>
      <c r="C36" s="15" t="s">
        <v>186</v>
      </c>
      <c r="D36" s="15" t="s">
        <v>313</v>
      </c>
      <c r="E36" s="15" t="s">
        <v>61</v>
      </c>
      <c r="F36" s="15" t="s">
        <v>109</v>
      </c>
      <c r="G36" s="15" t="s">
        <v>266</v>
      </c>
      <c r="H36" s="15" t="s">
        <v>64</v>
      </c>
      <c r="I36" s="15" t="s">
        <v>65</v>
      </c>
      <c r="J36" s="19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314</v>
      </c>
      <c r="B37" s="15" t="s">
        <v>107</v>
      </c>
      <c r="C37" s="15" t="s">
        <v>165</v>
      </c>
      <c r="D37" s="15" t="s">
        <v>315</v>
      </c>
      <c r="E37" s="15" t="s">
        <v>61</v>
      </c>
      <c r="F37" s="15" t="s">
        <v>109</v>
      </c>
      <c r="G37" s="15" t="s">
        <v>120</v>
      </c>
      <c r="H37" s="15" t="s">
        <v>71</v>
      </c>
      <c r="I37" s="15" t="s">
        <v>72</v>
      </c>
      <c r="J37" s="19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316</v>
      </c>
      <c r="B38" s="15" t="s">
        <v>107</v>
      </c>
      <c r="C38" s="15" t="s">
        <v>165</v>
      </c>
      <c r="D38" s="15" t="s">
        <v>317</v>
      </c>
      <c r="E38" s="15" t="s">
        <v>61</v>
      </c>
      <c r="F38" s="15" t="s">
        <v>109</v>
      </c>
      <c r="G38" s="15" t="s">
        <v>222</v>
      </c>
      <c r="H38" s="15" t="s">
        <v>64</v>
      </c>
      <c r="I38" s="15" t="s">
        <v>65</v>
      </c>
      <c r="J38" s="19" t="n">
        <v>46220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318</v>
      </c>
      <c r="B39" s="15" t="s">
        <v>107</v>
      </c>
      <c r="C39" s="15" t="s">
        <v>6</v>
      </c>
      <c r="D39" s="15" t="s">
        <v>224</v>
      </c>
      <c r="E39" s="15" t="s">
        <v>61</v>
      </c>
      <c r="F39" s="15" t="s">
        <v>109</v>
      </c>
      <c r="G39" s="15" t="s">
        <v>126</v>
      </c>
      <c r="H39" s="15" t="s">
        <v>64</v>
      </c>
      <c r="I39" s="15" t="s">
        <v>65</v>
      </c>
      <c r="J39" s="19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319</v>
      </c>
      <c r="B40" s="15" t="s">
        <v>128</v>
      </c>
      <c r="C40" s="15" t="s">
        <v>6</v>
      </c>
      <c r="D40" s="15" t="s">
        <v>320</v>
      </c>
      <c r="E40" s="15" t="s">
        <v>61</v>
      </c>
      <c r="F40" s="15" t="s">
        <v>130</v>
      </c>
      <c r="G40" s="15" t="s">
        <v>278</v>
      </c>
      <c r="H40" s="15" t="s">
        <v>64</v>
      </c>
      <c r="I40" s="15" t="s">
        <v>65</v>
      </c>
      <c r="J40" s="19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321</v>
      </c>
      <c r="B41" s="15" t="s">
        <v>128</v>
      </c>
      <c r="C41" s="15" t="s">
        <v>165</v>
      </c>
      <c r="D41" s="15" t="s">
        <v>322</v>
      </c>
      <c r="E41" s="15" t="s">
        <v>61</v>
      </c>
      <c r="F41" s="15" t="s">
        <v>130</v>
      </c>
      <c r="G41" s="15" t="s">
        <v>278</v>
      </c>
      <c r="H41" s="15" t="s">
        <v>71</v>
      </c>
      <c r="I41" s="15" t="s">
        <v>72</v>
      </c>
      <c r="J41" s="19" t="n">
        <v>46220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323</v>
      </c>
      <c r="B42" s="15" t="s">
        <v>134</v>
      </c>
      <c r="C42" s="15" t="s">
        <v>6</v>
      </c>
      <c r="D42" s="15" t="s">
        <v>324</v>
      </c>
      <c r="E42" s="15" t="s">
        <v>61</v>
      </c>
      <c r="F42" s="15" t="s">
        <v>136</v>
      </c>
      <c r="G42" s="15" t="s">
        <v>325</v>
      </c>
      <c r="H42" s="15" t="s">
        <v>71</v>
      </c>
      <c r="I42" s="15" t="s">
        <v>72</v>
      </c>
      <c r="J42" s="19" t="n">
        <v>46220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326</v>
      </c>
      <c r="B43" s="15" t="s">
        <v>134</v>
      </c>
      <c r="C43" s="15" t="s">
        <v>6</v>
      </c>
      <c r="D43" s="15" t="s">
        <v>327</v>
      </c>
      <c r="E43" s="15" t="s">
        <v>61</v>
      </c>
      <c r="F43" s="15" t="s">
        <v>136</v>
      </c>
      <c r="G43" s="15" t="s">
        <v>328</v>
      </c>
      <c r="H43" s="15" t="s">
        <v>64</v>
      </c>
      <c r="I43" s="15" t="s">
        <v>65</v>
      </c>
      <c r="J43" s="19" t="n">
        <v>46220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329</v>
      </c>
      <c r="B44" s="15" t="s">
        <v>142</v>
      </c>
      <c r="C44" s="15" t="s">
        <v>6</v>
      </c>
      <c r="D44" s="15" t="s">
        <v>330</v>
      </c>
      <c r="E44" s="15" t="s">
        <v>144</v>
      </c>
      <c r="F44" s="15" t="s">
        <v>144</v>
      </c>
      <c r="G44" s="15" t="s">
        <v>145</v>
      </c>
      <c r="H44" s="15" t="s">
        <v>71</v>
      </c>
      <c r="I44" s="15" t="s">
        <v>72</v>
      </c>
      <c r="J44" s="19" t="n">
        <v>46220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331</v>
      </c>
      <c r="B45" s="15" t="s">
        <v>147</v>
      </c>
      <c r="C45" s="15" t="s">
        <v>332</v>
      </c>
      <c r="D45" s="15" t="s">
        <v>333</v>
      </c>
      <c r="E45" s="15" t="s">
        <v>149</v>
      </c>
      <c r="F45" s="15" t="s">
        <v>150</v>
      </c>
      <c r="G45" s="15" t="s">
        <v>241</v>
      </c>
      <c r="H45" s="15" t="s">
        <v>242</v>
      </c>
      <c r="I45" s="15" t="s">
        <v>72</v>
      </c>
      <c r="J45" s="19" t="n">
        <v>46220</v>
      </c>
      <c r="K45" s="15" t="s">
        <v>334</v>
      </c>
      <c r="L45" s="18" t="n">
        <v>1</v>
      </c>
      <c r="M45" s="18" t="n">
        <f aca="false">IF(H45="not applicable",IF(K45&lt;&gt;"",1,0),IF(I45="yes",IF(H45="verified",1,0),IF(OR(H45="tested",H45="verified"),1,0)))</f>
        <v>0</v>
      </c>
    </row>
  </sheetData>
  <autoFilter ref="A8:M45"/>
  <mergeCells count="3">
    <mergeCell ref="A1:M1"/>
    <mergeCell ref="A2:M2"/>
    <mergeCell ref="A6:M6"/>
  </mergeCells>
  <conditionalFormatting sqref="H9:H45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dataValidations count="2">
    <dataValidation allowBlank="false" errorStyle="stop" operator="between" showDropDown="false" showErrorMessage="false" showInputMessage="false" sqref="H9:H45" type="list">
      <formula1>_Lists!$A$1:$A$7</formula1>
      <formula2>0</formula2>
    </dataValidation>
    <dataValidation allowBlank="false" errorStyle="stop" operator="between" showDropDown="false" showErrorMessage="false" showInputMessage="false" sqref="I9:I45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151</v>
      </c>
      <c r="B1" s="1" t="s">
        <v>72</v>
      </c>
    </row>
    <row r="2" customFormat="false" ht="15" hidden="false" customHeight="true" outlineLevel="0" collapsed="false">
      <c r="A2" s="1" t="s">
        <v>335</v>
      </c>
      <c r="B2" s="1" t="s">
        <v>65</v>
      </c>
    </row>
    <row r="3" customFormat="false" ht="15" hidden="false" customHeight="true" outlineLevel="0" collapsed="false">
      <c r="A3" s="1" t="s">
        <v>336</v>
      </c>
    </row>
    <row r="4" customFormat="false" ht="15" hidden="false" customHeight="true" outlineLevel="0" collapsed="false">
      <c r="A4" s="1" t="s">
        <v>64</v>
      </c>
    </row>
    <row r="5" customFormat="false" ht="15" hidden="false" customHeight="true" outlineLevel="0" collapsed="false">
      <c r="A5" s="1" t="s">
        <v>71</v>
      </c>
    </row>
    <row r="6" customFormat="false" ht="15" hidden="false" customHeight="true" outlineLevel="0" collapsed="false">
      <c r="A6" s="1" t="s">
        <v>242</v>
      </c>
    </row>
    <row r="7" customFormat="false" ht="15" hidden="false" customHeight="true" outlineLevel="0" collapsed="false">
      <c r="A7" s="1" t="s">
        <v>337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2026-07-16T17:42:40Z</dcterms:created>
  <dc:creator>Flowstack UI</dc:creator>
  <dc:description/>
  <dc:language>en-US</dc:language>
  <cp:lastModifiedBy/>
  <dcterms:modified xsi:type="dcterms:W3CDTF">2026-07-17T20:53:44Z</dcterms:modified>
  <cp:revision>0</cp:revision>
  <dc:subject>Reference component quality and retirement evidence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