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ables/table25.xml" ContentType="application/vnd.openxmlformats-officedocument.spreadsheetml.table+xml"/>
  <Override PartName="/xl/worksheets/sheet29.xml" ContentType="application/vnd.openxmlformats-officedocument.spreadsheetml.worksheet+xml"/>
  <Override PartName="/xl/tables/table26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ables/table27.xml" ContentType="application/vnd.openxmlformats-officedocument.spreadsheetml.table+xml"/>
  <Override PartName="/xl/worksheets/sheet72.xml" ContentType="application/vnd.openxmlformats-officedocument.spreadsheetml.worksheet+xml"/>
  <Override PartName="/xl/tables/table28.xml" ContentType="application/vnd.openxmlformats-officedocument.spreadsheetml.table+xml"/>
  <Override PartName="/xl/worksheets/sheet73.xml" ContentType="application/vnd.openxmlformats-officedocument.spreadsheetml.worksheet+xml"/>
  <Override PartName="/xl/tables/table29.xml" ContentType="application/vnd.openxmlformats-officedocument.spreadsheetml.table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ables/table30.xml" ContentType="application/vnd.openxmlformats-officedocument.spreadsheetml.table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ables/table31.xml" ContentType="application/vnd.openxmlformats-officedocument.spreadsheetml.table+xml"/>
  <Override PartName="/xl/worksheets/sheet104.xml" ContentType="application/vnd.openxmlformats-officedocument.spreadsheetml.worksheet+xml"/>
  <Override PartName="/xl/tables/table32.xml" ContentType="application/vnd.openxmlformats-officedocument.spreadsheetml.table+xml"/>
  <Override PartName="/xl/worksheets/sheet105.xml" ContentType="application/vnd.openxmlformats-officedocument.spreadsheetml.worksheet+xml"/>
  <Override PartName="/xl/tables/table33.xml" ContentType="application/vnd.openxmlformats-officedocument.spreadsheetml.table+xml"/>
  <Override PartName="/xl/worksheets/sheet106.xml" ContentType="application/vnd.openxmlformats-officedocument.spreadsheetml.worksheet+xml"/>
  <Override PartName="/xl/tables/table34.xml" ContentType="application/vnd.openxmlformats-officedocument.spreadsheetml.table+xml"/>
  <Override PartName="/xl/worksheets/sheet107.xml" ContentType="application/vnd.openxmlformats-officedocument.spreadsheetml.worksheet+xml"/>
  <Override PartName="/xl/tables/table35.xml" ContentType="application/vnd.openxmlformats-officedocument.spreadsheetml.table+xml"/>
  <Override PartName="/xl/worksheets/sheet108.xml" ContentType="application/vnd.openxmlformats-officedocument.spreadsheetml.worksheet+xml"/>
  <Override PartName="/xl/tables/table36.xml" ContentType="application/vnd.openxmlformats-officedocument.spreadsheetml.table+xml"/>
  <Override PartName="/xl/worksheets/sheet109.xml" ContentType="application/vnd.openxmlformats-officedocument.spreadsheetml.worksheet+xml"/>
  <Override PartName="/xl/tables/table3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7db65364be4e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ex" sheetId="1" r:id="R5747fcf9e2474025"/>
    <x:sheet xmlns:r="http://schemas.openxmlformats.org/officeDocument/2006/relationships" name="Instructions" sheetId="2" r:id="R52d681c93c2d4a0d"/>
    <x:sheet xmlns:r="http://schemas.openxmlformats.org/officeDocument/2006/relationships" name="_Lists" sheetId="3" r:id="R10ea6c69df3149d0"/>
    <x:sheet xmlns:r="http://schemas.openxmlformats.org/officeDocument/2006/relationships" name="Alert Dialog" sheetId="4" r:id="Ra559612c1dba414a"/>
    <x:sheet xmlns:r="http://schemas.openxmlformats.org/officeDocument/2006/relationships" name="App Bar" sheetId="5" r:id="R1aa66fdac89d465e"/>
    <x:sheet xmlns:r="http://schemas.openxmlformats.org/officeDocument/2006/relationships" name="Avatar" sheetId="6" r:id="Re709f49ec5c14c6e"/>
    <x:sheet xmlns:r="http://schemas.openxmlformats.org/officeDocument/2006/relationships" name="Badge" sheetId="7" r:id="R2cf903c5620448d6"/>
    <x:sheet xmlns:r="http://schemas.openxmlformats.org/officeDocument/2006/relationships" name="Button" sheetId="8" r:id="Ra54715d6371445d6"/>
    <x:sheet xmlns:r="http://schemas.openxmlformats.org/officeDocument/2006/relationships" name="Card" sheetId="9" r:id="Reb48eb5593eb49af"/>
    <x:sheet xmlns:r="http://schemas.openxmlformats.org/officeDocument/2006/relationships" name="Checkbox" sheetId="10" r:id="R1cc8406a2a434f02"/>
    <x:sheet xmlns:r="http://schemas.openxmlformats.org/officeDocument/2006/relationships" name="Checkbox Group" sheetId="11" r:id="R4e0944ae50ee4046"/>
    <x:sheet xmlns:r="http://schemas.openxmlformats.org/officeDocument/2006/relationships" name="Dialog" sheetId="12" r:id="Re00ee0f8b9704825"/>
    <x:sheet xmlns:r="http://schemas.openxmlformats.org/officeDocument/2006/relationships" name="Drawer" sheetId="13" r:id="R03fd0c84a9a94a1b"/>
    <x:sheet xmlns:r="http://schemas.openxmlformats.org/officeDocument/2006/relationships" name="Field" sheetId="14" r:id="R5b7db437a16442db"/>
    <x:sheet xmlns:r="http://schemas.openxmlformats.org/officeDocument/2006/relationships" name="Fieldset" sheetId="15" r:id="R0efddebbf07d497c"/>
    <x:sheet xmlns:r="http://schemas.openxmlformats.org/officeDocument/2006/relationships" name="Form" sheetId="16" r:id="R5fee6049d1db4cc7"/>
    <x:sheet xmlns:r="http://schemas.openxmlformats.org/officeDocument/2006/relationships" name="Hover Card" sheetId="17" r:id="R59bfe17ba9aa4ffc"/>
    <x:sheet xmlns:r="http://schemas.openxmlformats.org/officeDocument/2006/relationships" name="Icon Button" sheetId="18" r:id="Reb4b055f6a5548d6"/>
    <x:sheet xmlns:r="http://schemas.openxmlformats.org/officeDocument/2006/relationships" name="Input" sheetId="19" r:id="R9bec4473b526479e"/>
    <x:sheet xmlns:r="http://schemas.openxmlformats.org/officeDocument/2006/relationships" name="Link" sheetId="20" r:id="R9e72f61334d74c69"/>
    <x:sheet xmlns:r="http://schemas.openxmlformats.org/officeDocument/2006/relationships" name="Text" sheetId="21" r:id="R6d28f5cb985744b2"/>
    <x:sheet xmlns:r="http://schemas.openxmlformats.org/officeDocument/2006/relationships" name="Notification Badge" sheetId="22" r:id="Rdc483de35b93413b"/>
    <x:sheet xmlns:r="http://schemas.openxmlformats.org/officeDocument/2006/relationships" name="Popover" sheetId="23" r:id="Rf5c6364009264578"/>
    <x:sheet xmlns:r="http://schemas.openxmlformats.org/officeDocument/2006/relationships" name="Toggle" sheetId="24" r:id="R8f0a5ae65fe2476f"/>
    <x:sheet xmlns:r="http://schemas.openxmlformats.org/officeDocument/2006/relationships" name="Toggle Group" sheetId="25" r:id="Rdec63152e0fd44cc"/>
    <x:sheet xmlns:r="http://schemas.openxmlformats.org/officeDocument/2006/relationships" name="Stack" sheetId="26" r:id="R0910828e77634e83"/>
    <x:sheet xmlns:r="http://schemas.openxmlformats.org/officeDocument/2006/relationships" name="Group" sheetId="27" r:id="R48b2738f89a24643"/>
    <x:sheet xmlns:r="http://schemas.openxmlformats.org/officeDocument/2006/relationships" name="Tooltip" sheetId="28" r:id="R2825af854fc649b1"/>
    <x:sheet xmlns:r="http://schemas.openxmlformats.org/officeDocument/2006/relationships" name="Grid" sheetId="29" r:id="Rff30c5066ef74dfd"/>
    <x:sheet xmlns:r="http://schemas.openxmlformats.org/officeDocument/2006/relationships" name="Container" sheetId="30" r:id="R2283e3de7bad4efc"/>
    <x:sheet xmlns:r="http://schemas.openxmlformats.org/officeDocument/2006/relationships" name="Surface" sheetId="31" r:id="R0e22a03ca41647fb"/>
    <x:sheet xmlns:r="http://schemas.openxmlformats.org/officeDocument/2006/relationships" name="Divider" sheetId="32" r:id="R9ea86f51bd074995"/>
    <x:sheet xmlns:r="http://schemas.openxmlformats.org/officeDocument/2006/relationships" name="Scroll Area" sheetId="33" r:id="R5f0b101a96904c39"/>
    <x:sheet xmlns:r="http://schemas.openxmlformats.org/officeDocument/2006/relationships" name="Code" sheetId="34" r:id="R4e0c39cf3a7046a4"/>
    <x:sheet xmlns:r="http://schemas.openxmlformats.org/officeDocument/2006/relationships" name="Code Block" sheetId="35" r:id="R81db2bd1f0d5449f"/>
    <x:sheet xmlns:r="http://schemas.openxmlformats.org/officeDocument/2006/relationships" name="Nav List" sheetId="36" r:id="Rfae0a66ab91f449f"/>
    <x:sheet xmlns:r="http://schemas.openxmlformats.org/officeDocument/2006/relationships" name="Sidebar" sheetId="37" r:id="Rc1c2fc24a7f2419f"/>
    <x:sheet xmlns:r="http://schemas.openxmlformats.org/officeDocument/2006/relationships" name="Icon" sheetId="38" r:id="Rd4ac1f85ea494a02"/>
    <x:sheet xmlns:r="http://schemas.openxmlformats.org/officeDocument/2006/relationships" name="Image" sheetId="39" r:id="R5627881591d643ff"/>
    <x:sheet xmlns:r="http://schemas.openxmlformats.org/officeDocument/2006/relationships" name="List" sheetId="40" r:id="Rf5ae82ffcace48e3"/>
    <x:sheet xmlns:r="http://schemas.openxmlformats.org/officeDocument/2006/relationships" name="Select" sheetId="41" r:id="R77501e9d058a4a15"/>
    <x:sheet xmlns:r="http://schemas.openxmlformats.org/officeDocument/2006/relationships" name="Multi Select" sheetId="42" r:id="R117bd7201d814401"/>
    <x:sheet xmlns:r="http://schemas.openxmlformats.org/officeDocument/2006/relationships" name="Textarea" sheetId="43" r:id="Rb9c07eb18c854a02"/>
    <x:sheet xmlns:r="http://schemas.openxmlformats.org/officeDocument/2006/relationships" name="Radio Group" sheetId="44" r:id="R6df2db48b02f46be"/>
    <x:sheet xmlns:r="http://schemas.openxmlformats.org/officeDocument/2006/relationships" name="Switch" sheetId="45" r:id="Rbd5ec3152a9f4215"/>
    <x:sheet xmlns:r="http://schemas.openxmlformats.org/officeDocument/2006/relationships" name="Breadcrumb" sheetId="46" r:id="R82b40fe180374825"/>
    <x:sheet xmlns:r="http://schemas.openxmlformats.org/officeDocument/2006/relationships" name="Tabs" sheetId="47" r:id="R2e387ff72ba04493"/>
    <x:sheet xmlns:r="http://schemas.openxmlformats.org/officeDocument/2006/relationships" name="Skeleton" sheetId="48" r:id="R452c373b4d8d4df4"/>
    <x:sheet xmlns:r="http://schemas.openxmlformats.org/officeDocument/2006/relationships" name="Dropdown Menu" sheetId="49" r:id="R234c366133304d23"/>
    <x:sheet xmlns:r="http://schemas.openxmlformats.org/officeDocument/2006/relationships" name="Context Menu" sheetId="50" r:id="R6570d44d42564d9e"/>
    <x:sheet xmlns:r="http://schemas.openxmlformats.org/officeDocument/2006/relationships" name="Menubar" sheetId="51" r:id="Rf82df698f91f496a"/>
    <x:sheet xmlns:r="http://schemas.openxmlformats.org/officeDocument/2006/relationships" name="Navigation Menu" sheetId="52" r:id="R01649507fb4341ad"/>
    <x:sheet xmlns:r="http://schemas.openxmlformats.org/officeDocument/2006/relationships" name="Bottom Navigation" sheetId="53" r:id="Ra31c681e399b4e9f"/>
    <x:sheet xmlns:r="http://schemas.openxmlformats.org/officeDocument/2006/relationships" name="Visually Hidden" sheetId="54" r:id="R9728b200cb8245e3"/>
    <x:sheet xmlns:r="http://schemas.openxmlformats.org/officeDocument/2006/relationships" name="Collapsible" sheetId="55" r:id="R6beadb84a89d4abf"/>
    <x:sheet xmlns:r="http://schemas.openxmlformats.org/officeDocument/2006/relationships" name="Accordion" sheetId="56" r:id="Ra3c44ee6f8ed4755"/>
    <x:sheet xmlns:r="http://schemas.openxmlformats.org/officeDocument/2006/relationships" name="Toast" sheetId="57" r:id="R23320f7170d64802"/>
    <x:sheet xmlns:r="http://schemas.openxmlformats.org/officeDocument/2006/relationships" name="Table" sheetId="58" r:id="Rb5fd83e07a014c25"/>
    <x:sheet xmlns:r="http://schemas.openxmlformats.org/officeDocument/2006/relationships" name="Pagination" sheetId="59" r:id="R69382fc20503438c"/>
    <x:sheet xmlns:r="http://schemas.openxmlformats.org/officeDocument/2006/relationships" name="Data Grid" sheetId="60" r:id="Rd4a52b3fd6c547ec"/>
    <x:sheet xmlns:r="http://schemas.openxmlformats.org/officeDocument/2006/relationships" name="Tree Grid" sheetId="61" r:id="R1b1f5a33094e464a"/>
    <x:sheet xmlns:r="http://schemas.openxmlformats.org/officeDocument/2006/relationships" name="Tree" sheetId="62" r:id="R013b59bfc4e14407"/>
    <x:sheet xmlns:r="http://schemas.openxmlformats.org/officeDocument/2006/relationships" name="Feed" sheetId="63" r:id="Re3fb09e3bbe741f0"/>
    <x:sheet xmlns:r="http://schemas.openxmlformats.org/officeDocument/2006/relationships" name="Aspect Ratio" sheetId="64" r:id="Ra0057994d96b4d89"/>
    <x:sheet xmlns:r="http://schemas.openxmlformats.org/officeDocument/2006/relationships" name="Toolbar" sheetId="65" r:id="R69fe686d15554902"/>
    <x:sheet xmlns:r="http://schemas.openxmlformats.org/officeDocument/2006/relationships" name="Chip" sheetId="66" r:id="R9016937fba6a4eae"/>
    <x:sheet xmlns:r="http://schemas.openxmlformats.org/officeDocument/2006/relationships" name="Combobox" sheetId="67" r:id="R3c7adb4494b94e2a"/>
    <x:sheet xmlns:r="http://schemas.openxmlformats.org/officeDocument/2006/relationships" name="Number Input" sheetId="68" r:id="R708837e8ede84cd2"/>
    <x:sheet xmlns:r="http://schemas.openxmlformats.org/officeDocument/2006/relationships" name="OTP Field" sheetId="69" r:id="R78efec720ec74ec2"/>
    <x:sheet xmlns:r="http://schemas.openxmlformats.org/officeDocument/2006/relationships" name="Password Toggle Field" sheetId="70" r:id="Rf552e35c84cc4d7a"/>
    <x:sheet xmlns:r="http://schemas.openxmlformats.org/officeDocument/2006/relationships" name="Slider" sheetId="71" r:id="Rff4961d579d2405c"/>
    <x:sheet xmlns:r="http://schemas.openxmlformats.org/officeDocument/2006/relationships" name="Rating" sheetId="72" r:id="Reab20e8e261e497d"/>
    <x:sheet xmlns:r="http://schemas.openxmlformats.org/officeDocument/2006/relationships" name="File Upload" sheetId="73" r:id="R4608cf048123446c"/>
    <x:sheet xmlns:r="http://schemas.openxmlformats.org/officeDocument/2006/relationships" name="Skip Link" sheetId="74" r:id="Rf7a9199ed8c346ca"/>
    <x:sheet xmlns:r="http://schemas.openxmlformats.org/officeDocument/2006/relationships" name="Show" sheetId="75" r:id="Rc3a938487dbd4318"/>
    <x:sheet xmlns:r="http://schemas.openxmlformats.org/officeDocument/2006/relationships" name="Hide" sheetId="76" r:id="R5d7d9f83157644ea"/>
    <x:sheet xmlns:r="http://schemas.openxmlformats.org/officeDocument/2006/relationships" name="Swipeable Item" sheetId="77" r:id="R8e26f40bb1b449af"/>
    <x:sheet xmlns:r="http://schemas.openxmlformats.org/officeDocument/2006/relationships" name="Progress" sheetId="78" r:id="Rdcac61befd4e49a1"/>
    <x:sheet xmlns:r="http://schemas.openxmlformats.org/officeDocument/2006/relationships" name="Progress Circle" sheetId="79" r:id="R377d7d2fc6cd402b"/>
    <x:sheet xmlns:r="http://schemas.openxmlformats.org/officeDocument/2006/relationships" name="Carousel" sheetId="80" r:id="R55847810f96d42cf"/>
    <x:sheet xmlns:r="http://schemas.openxmlformats.org/officeDocument/2006/relationships" name="ZStack" sheetId="81" r:id="Rd7d854c431ae4824"/>
    <x:sheet xmlns:r="http://schemas.openxmlformats.org/officeDocument/2006/relationships" name="Appearance" sheetId="82" r:id="R0b6b7df4adc341ae"/>
    <x:sheet xmlns:r="http://schemas.openxmlformats.org/officeDocument/2006/relationships" name="Frame" sheetId="83" r:id="Rb3503889851642ec"/>
    <x:sheet xmlns:r="http://schemas.openxmlformats.org/officeDocument/2006/relationships" name="Section" sheetId="84" r:id="R953dc9065e81411f"/>
    <x:sheet xmlns:r="http://schemas.openxmlformats.org/officeDocument/2006/relationships" name="Reorderable List" sheetId="85" r:id="Raf771fbec3d84362"/>
    <x:sheet xmlns:r="http://schemas.openxmlformats.org/officeDocument/2006/relationships" name="Color Swatch" sheetId="86" r:id="R611edf47b6874e69"/>
    <x:sheet xmlns:r="http://schemas.openxmlformats.org/officeDocument/2006/relationships" name="Bleed" sheetId="87" r:id="R860a485dc3c249e4"/>
    <x:sheet xmlns:r="http://schemas.openxmlformats.org/officeDocument/2006/relationships" name="Data List" sheetId="88" r:id="R89af0944dc3f4ccf"/>
    <x:sheet xmlns:r="http://schemas.openxmlformats.org/officeDocument/2006/relationships" name="Link Box" sheetId="89" r:id="Redbd02f1f36f4511"/>
    <x:sheet xmlns:r="http://schemas.openxmlformats.org/officeDocument/2006/relationships" name="Segment Group" sheetId="90" r:id="R50a688b2e18a4ac7"/>
    <x:sheet xmlns:r="http://schemas.openxmlformats.org/officeDocument/2006/relationships" name="Status" sheetId="91" r:id="Rae6fbec92fcb445b"/>
    <x:sheet xmlns:r="http://schemas.openxmlformats.org/officeDocument/2006/relationships" name="Color Picker" sheetId="92" r:id="Rc58d4913339c41a7"/>
    <x:sheet xmlns:r="http://schemas.openxmlformats.org/officeDocument/2006/relationships" name="Em" sheetId="93" r:id="R6fe75b77f42342fb"/>
    <x:sheet xmlns:r="http://schemas.openxmlformats.org/officeDocument/2006/relationships" name="Mark" sheetId="94" r:id="Rbe82d97571e94f37"/>
    <x:sheet xmlns:r="http://schemas.openxmlformats.org/officeDocument/2006/relationships" name="Kbd" sheetId="95" r:id="R994955fdf3a548e6"/>
    <x:sheet xmlns:r="http://schemas.openxmlformats.org/officeDocument/2006/relationships" name="Blockquote" sheetId="96" r:id="R5b8e982b88614df6"/>
    <x:sheet xmlns:r="http://schemas.openxmlformats.org/officeDocument/2006/relationships" name="Highlight" sheetId="97" r:id="R7d12b36a990c4593"/>
    <x:sheet xmlns:r="http://schemas.openxmlformats.org/officeDocument/2006/relationships" name="Prose" sheetId="98" r:id="R8d2bd9abe2f245c5"/>
    <x:sheet xmlns:r="http://schemas.openxmlformats.org/officeDocument/2006/relationships" name="Avatar Group" sheetId="99" r:id="R34775317b9914ee4"/>
    <x:sheet xmlns:r="http://schemas.openxmlformats.org/officeDocument/2006/relationships" name="Center" sheetId="100" r:id="Rfc61b5a96ccf4767"/>
    <x:sheet xmlns:r="http://schemas.openxmlformats.org/officeDocument/2006/relationships" name="Square" sheetId="101" r:id="Rb78909f7f3d74c02"/>
    <x:sheet xmlns:r="http://schemas.openxmlformats.org/officeDocument/2006/relationships" name="Circle" sheetId="102" r:id="R53916041d0454633"/>
    <x:sheet xmlns:r="http://schemas.openxmlformats.org/officeDocument/2006/relationships" name="Radio Card" sheetId="108" r:id="R102b2ec7f69e4854"/>
    <x:sheet xmlns:r="http://schemas.openxmlformats.org/officeDocument/2006/relationships" name="Locale Provider" sheetId="109" r:id="R45857c0a4c7249fb"/>
    <x:sheet xmlns:r="http://schemas.openxmlformats.org/officeDocument/2006/relationships" name="Format Number" sheetId="110" r:id="Rb7a8d3cfce124526"/>
    <x:sheet xmlns:r="http://schemas.openxmlformats.org/officeDocument/2006/relationships" name="Format Byte" sheetId="111" r:id="R92886bf289334582"/>
    <x:sheet xmlns:r="http://schemas.openxmlformats.org/officeDocument/2006/relationships" name="For" sheetId="112" r:id="Rf0152394686c49f4"/>
    <x:sheet xmlns:r="http://schemas.openxmlformats.org/officeDocument/2006/relationships" name="Checkmark" sheetId="113" r:id="R99453113d7ab43c6"/>
    <x:sheet xmlns:r="http://schemas.openxmlformats.org/officeDocument/2006/relationships" name="Radiomark" sheetId="114" r:id="R712c369232bd48f8"/>
  </x:sheets>
</x:workbook>
</file>

<file path=xl/sharedStrings.xml><?xml version="1.0" encoding="utf-8"?>
<x:sst xmlns:x="http://schemas.openxmlformats.org/spreadsheetml/2006/main">
  <x:si>
    <x:t xml:space="preserve">Brick Component Coverage</x:t>
  </x:si>
  <x:si>
    <x:t xml:space="preserve">Components</x:t>
  </x:si>
  <x:si>
    <x:t xml:space="preserve">Complete</x:t>
  </x:si>
  <x:si>
    <x:t xml:space="preserve">Blocked</x:t>
  </x:si>
  <x:si>
    <x:t xml:space="preserve">Overall</x:t>
  </x:si>
  <x:si>
    <x:t xml:space="preserve">Component</x:t>
  </x:si>
  <x:si>
    <x:t xml:space="preserve">Requirements</x:t>
  </x:si>
  <x:si>
    <x:t xml:space="preserve">Not started</x:t>
  </x:si>
  <x:si>
    <x:t xml:space="preserve">Partial</x:t>
  </x:si>
  <x:si>
    <x:t xml:space="preserve">Implemented</x:t>
  </x:si>
  <x:si>
    <x:t xml:space="preserve">Tested</x:t>
  </x:si>
  <x:si>
    <x:t xml:space="preserve">Verified</x:t>
  </x:si>
  <x:si>
    <x:t xml:space="preserve">N/A</x:t>
  </x:si>
  <x:si>
    <x:t xml:space="preserve">Completion</x:t>
  </x:si>
  <x:si>
    <x:t xml:space="preserve">Package gate</x:t>
  </x:si>
  <x:si>
    <x:t xml:space="preserve">Consumer gate</x:t>
  </x:si>
  <x:si>
    <x:t xml:space="preserve">Alert Dialog</x:t>
  </x:si>
  <x:si>
    <x:t xml:space="preserve">App Bar</x:t>
  </x:si>
  <x:si>
    <x:t xml:space="preserve">Avatar</x:t>
  </x:si>
  <x:si>
    <x:t xml:space="preserve">Badge</x:t>
  </x:si>
  <x:si>
    <x:t xml:space="preserve">Button</x:t>
  </x:si>
  <x:si>
    <x:t xml:space="preserve">Card</x:t>
  </x:si>
  <x:si>
    <x:t xml:space="preserve">Checkbox</x:t>
  </x:si>
  <x:si>
    <x:t xml:space="preserve">Checkbox Group</x:t>
  </x:si>
  <x:si>
    <x:t xml:space="preserve">Dialog</x:t>
  </x:si>
  <x:si>
    <x:t xml:space="preserve">Drawer</x:t>
  </x:si>
  <x:si>
    <x:t xml:space="preserve">Field</x:t>
  </x:si>
  <x:si>
    <x:t xml:space="preserve">Fieldset</x:t>
  </x:si>
  <x:si>
    <x:t xml:space="preserve">Form</x:t>
  </x:si>
  <x:si>
    <x:t xml:space="preserve">Hover Card</x:t>
  </x:si>
  <x:si>
    <x:t xml:space="preserve">Icon Button</x:t>
  </x:si>
  <x:si>
    <x:t xml:space="preserve">Input</x:t>
  </x:si>
  <x:si>
    <x:t xml:space="preserve">Link</x:t>
  </x:si>
  <x:si>
    <x:t xml:space="preserve">Notification Badge</x:t>
  </x:si>
  <x:si>
    <x:t xml:space="preserve">Popover</x:t>
  </x:si>
  <x:si>
    <x:t xml:space="preserve">Toggle</x:t>
  </x:si>
  <x:si>
    <x:t xml:space="preserve">Toggle Group</x:t>
  </x:si>
  <x:si>
    <x:t xml:space="preserve">Tooltip</x:t>
  </x:si>
  <x:si>
    <x:t xml:space="preserve">Stack</x:t>
  </x:si>
  <x:si>
    <x:t xml:space="preserve">Text</x:t>
  </x:si>
  <x:si>
    <x:t xml:space="preserve">Grid</x:t>
  </x:si>
  <x:si>
    <x:t xml:space="preserve">Container</x:t>
  </x:si>
  <x:si>
    <x:t xml:space="preserve">Surface</x:t>
  </x:si>
  <x:si>
    <x:t xml:space="preserve">Divider</x:t>
  </x:si>
  <x:si>
    <x:t xml:space="preserve">Scroll Area</x:t>
  </x:si>
  <x:si>
    <x:t xml:space="preserve">Code</x:t>
  </x:si>
  <x:si>
    <x:t xml:space="preserve">Code Block</x:t>
  </x:si>
  <x:si>
    <x:t xml:space="preserve">Nav List</x:t>
  </x:si>
  <x:si>
    <x:t xml:space="preserve">Sidebar</x:t>
  </x:si>
  <x:si>
    <x:t xml:space="preserve">Icon</x:t>
  </x:si>
  <x:si>
    <x:t xml:space="preserve">Image</x:t>
  </x:si>
  <x:si>
    <x:t xml:space="preserve">List</x:t>
  </x:si>
  <x:si>
    <x:t xml:space="preserve">Select</x:t>
  </x:si>
  <x:si>
    <x:t xml:space="preserve">Multi Select</x:t>
  </x:si>
  <x:si>
    <x:t xml:space="preserve">Textarea</x:t>
  </x:si>
  <x:si>
    <x:t xml:space="preserve">Radio Group</x:t>
  </x:si>
  <x:si>
    <x:t xml:space="preserve">Switch</x:t>
  </x:si>
  <x:si>
    <x:t xml:space="preserve">Breadcrumb</x:t>
  </x:si>
  <x:si>
    <x:t xml:space="preserve">Tabs</x:t>
  </x:si>
  <x:si>
    <x:t xml:space="preserve">Skeleton</x:t>
  </x:si>
  <x:si>
    <x:t xml:space="preserve">Dropdown Menu</x:t>
  </x:si>
  <x:si>
    <x:t xml:space="preserve">Context Menu</x:t>
  </x:si>
  <x:si>
    <x:t xml:space="preserve">Menubar</x:t>
  </x:si>
  <x:si>
    <x:t xml:space="preserve">Navigation Menu</x:t>
  </x:si>
  <x:si>
    <x:t xml:space="preserve">Bottom Navigation</x:t>
  </x:si>
  <x:si>
    <x:t xml:space="preserve">Visually Hidden</x:t>
  </x:si>
  <x:si>
    <x:t xml:space="preserve">Collapsible</x:t>
  </x:si>
  <x:si>
    <x:t xml:space="preserve">Accordion</x:t>
  </x:si>
  <x:si>
    <x:t xml:space="preserve">Toast</x:t>
  </x:si>
  <x:si>
    <x:t xml:space="preserve">Pagination</x:t>
  </x:si>
  <x:si>
    <x:t xml:space="preserve">Data Grid</x:t>
  </x:si>
  <x:si>
    <x:t xml:space="preserve">Tree Grid</x:t>
  </x:si>
  <x:si>
    <x:t xml:space="preserve">Tree</x:t>
  </x:si>
  <x:si>
    <x:t xml:space="preserve">Feed</x:t>
  </x:si>
  <x:si>
    <x:t xml:space="preserve">Aspect Ratio</x:t>
  </x:si>
  <x:si>
    <x:t xml:space="preserve">Toolbar</x:t>
  </x:si>
  <x:si>
    <x:t xml:space="preserve">Chip</x:t>
  </x:si>
  <x:si>
    <x:t xml:space="preserve">Combobox</x:t>
  </x:si>
  <x:si>
    <x:t xml:space="preserve">Number Input</x:t>
  </x:si>
  <x:si>
    <x:t xml:space="preserve">OTP Field</x:t>
  </x:si>
  <x:si>
    <x:t xml:space="preserve">Password Toggle Field</x:t>
  </x:si>
  <x:si>
    <x:t xml:space="preserve">Slider</x:t>
  </x:si>
  <x:si>
    <x:t xml:space="preserve">Rating</x:t>
  </x:si>
  <x:si>
    <x:t xml:space="preserve">File Upload</x:t>
  </x:si>
  <x:si>
    <x:t xml:space="preserve">Skip Link</x:t>
  </x:si>
  <x:si>
    <x:t xml:space="preserve">Show</x:t>
  </x:si>
  <x:si>
    <x:t xml:space="preserve">Hide</x:t>
  </x:si>
  <x:si>
    <x:t xml:space="preserve">Swipeable Item</x:t>
  </x:si>
  <x:si>
    <x:t xml:space="preserve">Table</x:t>
  </x:si>
  <x:si>
    <x:t xml:space="preserve">Progress</x:t>
  </x:si>
  <x:si>
    <x:t xml:space="preserve">Progress Circle</x:t>
  </x:si>
  <x:si>
    <x:t xml:space="preserve">Carousel</x:t>
  </x:si>
  <x:si>
    <x:t xml:space="preserve">ZStack</x:t>
  </x:si>
  <x:si>
    <x:t xml:space="preserve">Appearance</x:t>
  </x:si>
  <x:si>
    <x:t xml:space="preserve">Frame</x:t>
  </x:si>
  <x:si>
    <x:t xml:space="preserve">Section</x:t>
  </x:si>
  <x:si>
    <x:t xml:space="preserve">Reorderable List</x:t>
  </x:si>
  <x:si>
    <x:t xml:space="preserve">Group</x:t>
  </x:si>
  <x:si>
    <x:t xml:space="preserve">Color Swatch</x:t>
  </x:si>
  <x:si>
    <x:t xml:space="preserve">Bleed</x:t>
  </x:si>
  <x:si>
    <x:t xml:space="preserve">Data List</x:t>
  </x:si>
  <x:si>
    <x:t xml:space="preserve">Link Box</x:t>
  </x:si>
  <x:si>
    <x:t xml:space="preserve">Segment Group</x:t>
  </x:si>
  <x:si>
    <x:t xml:space="preserve">Status</x:t>
  </x:si>
  <x:si>
    <x:t xml:space="preserve">Color Picker</x:t>
  </x:si>
  <x:si>
    <x:t xml:space="preserve">Em</x:t>
  </x:si>
  <x:si>
    <x:t xml:space="preserve">Mark</x:t>
  </x:si>
  <x:si>
    <x:t xml:space="preserve">Kbd</x:t>
  </x:si>
  <x:si>
    <x:t xml:space="preserve">Blockquote</x:t>
  </x:si>
  <x:si>
    <x:t xml:space="preserve">Highlight</x:t>
  </x:si>
  <x:si>
    <x:t xml:space="preserve">Prose</x:t>
  </x:si>
  <x:si>
    <x:t xml:space="preserve">Coverage Workbook Guide</x:t>
  </x:si>
  <x:si>
    <x:t xml:space="preserve">How to interpret, maintain, and verify this evidence tracker.</x:t>
  </x:si>
  <x:si>
    <x:t xml:space="preserve">Topic</x:t>
  </x:si>
  <x:si>
    <x:t xml:space="preserve">Rule</x:t>
  </x:si>
  <x:si>
    <x:t xml:space="preserve">Purpose</x:t>
  </x:si>
  <x:si>
    <x:t xml:space="preserve">This workbook summarizes evidence; source, tests, protocols, and public documentation remain authoritative.</x:t>
  </x:si>
  <x:si>
    <x:t xml:space="preserve">Ownership</x:t>
  </x:si>
  <x:si>
    <x:t xml:space="preserve">Every independently documented public component owner owns one sheet. Shared subpaths and family integration never replace component ownership.</x:t>
  </x:si>
  <x:si>
    <x:t xml:space="preserve">not started</x:t>
  </x:si>
  <x:si>
    <x:t xml:space="preserve">Required implementation or evidence does not exist.</x:t>
  </x:si>
  <x:si>
    <x:t xml:space="preserve">partial</x:t>
  </x:si>
  <x:si>
    <x:t xml:space="preserve">Some evidence exists, but the assertion is incomplete.</x:t>
  </x:si>
  <x:si>
    <x:t xml:space="preserve">implemented</x:t>
  </x:si>
  <x:si>
    <x:t xml:space="preserve">The implementation or evidence exists but has not passed its repeatable check.</x:t>
  </x:si>
  <x:si>
    <x:t xml:space="preserve">tested</x:t>
  </x:si>
  <x:si>
    <x:t xml:space="preserve">The automated or repeatable check passes.</x:t>
  </x:si>
  <x:si>
    <x:t xml:space="preserve">verified</x:t>
  </x:si>
  <x:si>
    <x:t xml:space="preserve">Required human review passed.</x:t>
  </x:si>
  <x:si>
    <x:t xml:space="preserve">blocked</x:t>
  </x:si>
  <x:si>
    <x:t xml:space="preserve">A blocker or follow-up is recorded.</x:t>
  </x:si>
  <x:si>
    <x:t xml:space="preserve">not applicable</x:t>
  </x:si>
  <x:si>
    <x:t xml:space="preserve">The reason is recorded in Blocker / N/A reason.</x:t>
  </x:si>
  <x:si>
    <x:t xml:space="preserve">Manual completion</x:t>
  </x:si>
  <x:si>
    <x:t xml:space="preserve">Human completion is recorded only after the owner executes the current component protocol; unrun profiles remain open or not run.</x:t>
  </x:si>
  <x:si>
    <x:t xml:space="preserve">Maintenance</x:t>
  </x:si>
  <x:si>
    <x:t xml:space="preserve">Update exact evidence paths and statuses in the same workstream as component changes.</x:t>
  </x:si>
  <x:si>
    <x:t xml:space="preserve">Release</x:t>
  </x:si>
  <x:si>
    <x:t xml:space="preserve">Recalculate formulas, scan errors, and visually inspect changed sheets before release.</x:t>
  </x:si>
  <x:si>
    <x:t xml:space="preserve">yes</x:t>
  </x:si>
  <x:si>
    <x:t xml:space="preserve">no</x:t>
  </x:si>
  <x:si>
    <x:t xml:space="preserve">Alert Dialog Evidence</x:t>
  </x:si>
  <x:si>
    <x:t xml:space="preserve">Assertion-level package, browser, human-review, documentation, and consumer evidence.</x:t>
  </x:si>
  <x:si>
    <x:t xml:space="preserve">Resolved</x:t>
  </x:si>
  <x:si>
    <x:t xml:space="preserve">Manual review</x:t>
  </x:si>
  <x:si>
    <x:t xml:space="preserve">ID</x:t>
  </x:si>
  <x:si>
    <x:t xml:space="preserve">Area</x:t>
  </x:si>
  <x:si>
    <x:t xml:space="preserve">Part</x:t>
  </x:si>
  <x:si>
    <x:t xml:space="preserve">Requirement</x:t>
  </x:si>
  <x:si>
    <x:t xml:space="preserve">Gate</x:t>
  </x:si>
  <x:si>
    <x:t xml:space="preserve">Evidence type</x:t>
  </x:si>
  <x:si>
    <x:t xml:space="preserve">Evidence / link</x:t>
  </x:si>
  <x:si>
    <x:t xml:space="preserve">Human review?</x:t>
  </x:si>
  <x:si>
    <x:t xml:space="preserve">Last verified</x:t>
  </x:si>
  <x:si>
    <x:t xml:space="preserve">Blocker / N/A reason</x:t>
  </x:si>
  <x:si>
    <x:t xml:space="preserve">Weight</x:t>
  </x:si>
  <x:si>
    <x:t xml:space="preserve">AD-01</x:t>
  </x:si>
  <x:si>
    <x:t xml:space="preserve">Implementation</x:t>
  </x:si>
  <x:si>
    <x:t xml:space="preserve">AlertDialog</x:t>
  </x:si>
  <x:si>
    <x:t xml:space="preserve">Public component implementation and Atom adapter exist.</x:t>
  </x:si>
  <x:si>
    <x:t xml:space="preserve">package</x:t>
  </x:si>
  <x:si>
    <x:t xml:space="preserve">source</x:t>
  </x:si>
  <x:si>
    <x:t xml:space="preserve">../src/components/alert-dialog</x:t>
  </x:si>
  <x:si>
    <x:t xml:space="preserve">AD-02</x:t>
  </x:si>
  <x:si>
    <x:t xml:space="preserve">Exports</x:t>
  </x:si>
  <x:si>
    <x:t xml:space="preserve">Root and public subpath exports expose the component.</x:t>
  </x:si>
  <x:si>
    <x:t xml:space="preserve">../test/package/package.test.mjs</x:t>
  </x:si>
  <x:si>
    <x:t xml:space="preserve">AD-03</x:t>
  </x:si>
  <x:si>
    <x:t xml:space="preserve">Types</x:t>
  </x:si>
  <x:si>
    <x:t xml:space="preserve">Public props, refs, composition branches, and invalid cases type-check.</x:t>
  </x:si>
  <x:si>
    <x:t xml:space="preserve">types</x:t>
  </x:si>
  <x:si>
    <x:t xml:space="preserve">../test/types/components/alert-dialog.test.ts</x:t>
  </x:si>
  <x:si>
    <x:t xml:space="preserve">AD-04</x:t>
  </x:si>
  <x:si>
    <x:t xml:space="preserve">CSS</x:t>
  </x:si>
  <x:si>
    <x:t xml:space="preserve">Static public CSS, classes, slots, recipes, states, and tokens are present.</x:t>
  </x:si>
  <x:si>
    <x:t xml:space="preserve">css</x:t>
  </x:si>
  <x:si>
    <x:t xml:space="preserve">../src/components/alert-dialog/alert-dialog.css</x:t>
  </x:si>
  <x:si>
    <x:t xml:space="preserve">AD-05</x:t>
  </x:si>
  <x:si>
    <x:t xml:space="preserve">Unit</x:t>
  </x:si>
  <x:si>
    <x:t xml:space="preserve">Brick-owned DOM, recipes, adapters, and public hooks pass focused tests.</x:t>
  </x:si>
  <x:si>
    <x:t xml:space="preserve">component</x:t>
  </x:si>
  <x:si>
    <x:t xml:space="preserve">../test/components/alert-dialog/alert-dialog.test.tsx</x:t>
  </x:si>
  <x:si>
    <x:t xml:space="preserve">AD-06</x:t>
  </x:si>
  <x:si>
    <x:t xml:space="preserve">Browser</x:t>
  </x:si>
  <x:si>
    <x:t xml:space="preserve">Real-browser behavior and component contract checks pass.</x:t>
  </x:si>
  <x:si>
    <x:t xml:space="preserve">browser</x:t>
  </x:si>
  <x:si>
    <x:t xml:space="preserve">tests/components/alert-dialog/behavior.spec.ts</x:t>
  </x:si>
  <x:si>
    <x:t xml:space="preserve">AD-07</x:t>
  </x:si>
  <x:si>
    <x:t xml:space="preserve">Accessibility</x:t>
  </x:si>
  <x:si>
    <x:t xml:space="preserve">Automated semantics and accessibility checks pass in the browser evidence suite.</x:t>
  </x:si>
  <x:si>
    <x:t xml:space="preserve">axe</x:t>
  </x:si>
  <x:si>
    <x:t xml:space="preserve">tests/components/alert-dialog/behavior.spec.ts; tests/integration</x:t>
  </x:si>
  <x:si>
    <x:t xml:space="preserve">AD-08</x:t>
  </x:si>
  <x:si>
    <x:t xml:space="preserve">Visual</x:t>
  </x:si>
  <x:si>
    <x:t xml:space="preserve">Reviewed baselines cover the component's risk-selected recipes and states.</x:t>
  </x:si>
  <x:si>
    <x:t xml:space="preserve">visual</x:t>
  </x:si>
  <x:si>
    <x:t xml:space="preserve">tests/components/alert-dialog/visual.spec.ts</x:t>
  </x:si>
  <x:si>
    <x:t xml:space="preserve">Owner reviewed the current playground evidence.</x:t>
  </x:si>
  <x:si>
    <x:t xml:space="preserve">AD-09</x:t>
  </x:si>
  <x:si>
    <x:t xml:space="preserve">Responsive</x:t>
  </x:si>
  <x:si>
    <x:t xml:space="preserve">Mobile, zoom/reflow, content stress, and RTL remain usable and contained.</x:t>
  </x:si>
  <x:si>
    <x:t xml:space="preserve">manual</x:t>
  </x:si>
  <x:si>
    <x:t xml:space="preserve">manual-tests/alert-dialog.md</x:t>
  </x:si>
  <x:si>
    <x:t xml:space="preserve">Human protocol remains pending. Automated and visual evidence stays in its owning tests and does not complete this human gate.</x:t>
  </x:si>
  <x:si>
    <x:t xml:space="preserve">AD-10</x:t>
  </x:si>
  <x:si>
    <x:t xml:space="preserve">Theme</x:t>
  </x:si>
  <x:si>
    <x:t xml:space="preserve">Light, dark, focus, forced-colors, and relevant motion behavior remain perceivable.</x:t>
  </x:si>
  <x:si>
    <x:t xml:space="preserve">AD-11</x:t>
  </x:si>
  <x:si>
    <x:t xml:space="preserve">Composition</x:t>
  </x:si>
  <x:si>
    <x:t xml:space="preserve">Default, render, and asChild output preserve the intended element, slots, state, and relationships.</x:t>
  </x:si>
  <x:si>
    <x:t xml:space="preserve">manual-tests/alert-dialog.md; tests/components/alert-dialog/behavior.spec.ts</x:t>
  </x:si>
  <x:si>
    <x:t xml:space="preserve">AD-12</x:t>
  </x:si>
  <x:si>
    <x:t xml:space="preserve">Manual</x:t>
  </x:si>
  <x:si>
    <x:t xml:space="preserve">The complete component-owned manual protocol passed against every playground scenario.</x:t>
  </x:si>
  <x:si>
    <x:t xml:space="preserve">AD-13</x:t>
  </x:si>
  <x:si>
    <x:t xml:space="preserve">Docs</x:t>
  </x:si>
  <x:si>
    <x:t xml:space="preserve">Public usage documentation exists at the component-owned path.</x:t>
  </x:si>
  <x:si>
    <x:t xml:space="preserve">docs</x:t>
  </x:si>
  <x:si>
    <x:t xml:space="preserve">../docs/components/alert-dialog/README.md</x:t>
  </x:si>
  <x:si>
    <x:t xml:space="preserve">AD-14</x:t>
  </x:si>
  <x:si>
    <x:t xml:space="preserve">Changelog</x:t>
  </x:si>
  <x:si>
    <x:t xml:space="preserve">The component owns a public changelog.</x:t>
  </x:si>
  <x:si>
    <x:t xml:space="preserve">../docs/components/alert-dialog/CHANGELOG.md</x:t>
  </x:si>
  <x:si>
    <x:t xml:space="preserve">AD-15</x:t>
  </x:si>
  <x:si>
    <x:t xml:space="preserve">Consumer</x:t>
  </x:si>
  <x:si>
    <x:t xml:space="preserve">The standalone consumer imports and exercises the public package component.</x:t>
  </x:si>
  <x:si>
    <x:t xml:space="preserve">consumer</x:t>
  </x:si>
  <x:si>
    <x:t xml:space="preserve">../apps/consumer/src/App.tsx; ../apps/consumer/tests/consumer.spec.ts</x:t>
  </x:si>
  <x:si>
    <x:t xml:space="preserve">AD-16</x:t>
  </x:si>
  <x:si>
    <x:t xml:space="preserve">Package</x:t>
  </x:si>
  <x:si>
    <x:t xml:space="preserve">Build, exports, tarball, CSS, and consumer boundary verification pass.</x:t>
  </x:si>
  <x:si>
    <x:t xml:space="preserve">../scripts/verify-package.mjs; ../scripts/verify-consumers.mjs</x:t>
  </x:si>
  <x:si>
    <x:t xml:space="preserve">App Bar Evidence</x:t>
  </x:si>
  <x:si>
    <x:t xml:space="preserve">AB-01</x:t>
  </x:si>
  <x:si>
    <x:t xml:space="preserve">AppBar</x:t>
  </x:si>
  <x:si>
    <x:t xml:space="preserve">../src/components/app-bar</x:t>
  </x:si>
  <x:si>
    <x:t xml:space="preserve">AB-02</x:t>
  </x:si>
  <x:si>
    <x:t xml:space="preserve">AB-03</x:t>
  </x:si>
  <x:si>
    <x:t xml:space="preserve">../test/types/components/app-bar.test.ts</x:t>
  </x:si>
  <x:si>
    <x:t xml:space="preserve">AB-04</x:t>
  </x:si>
  <x:si>
    <x:t xml:space="preserve">../src/components/app-bar/app-bar.css</x:t>
  </x:si>
  <x:si>
    <x:t xml:space="preserve">AB-05</x:t>
  </x:si>
  <x:si>
    <x:t xml:space="preserve">../test/components/app-bar/app-bar.test.tsx</x:t>
  </x:si>
  <x:si>
    <x:t xml:space="preserve">AB-06</x:t>
  </x:si>
  <x:si>
    <x:t xml:space="preserve">tests/components/app-bar/behavior.spec.ts</x:t>
  </x:si>
  <x:si>
    <x:t xml:space="preserve">AB-07</x:t>
  </x:si>
  <x:si>
    <x:t xml:space="preserve">tests/components/app-bar/behavior.spec.ts; tests/integration</x:t>
  </x:si>
  <x:si>
    <x:t xml:space="preserve">AB-08</x:t>
  </x:si>
  <x:si>
    <x:t xml:space="preserve">tests/components/app-bar/visual.spec.ts</x:t>
  </x:si>
  <x:si>
    <x:t xml:space="preserve">AB-09</x:t>
  </x:si>
  <x:si>
    <x:t xml:space="preserve">manual-tests/app-bar.md</x:t>
  </x:si>
  <x:si>
    <x:t xml:space="preserve">AB-10</x:t>
  </x:si>
  <x:si>
    <x:t xml:space="preserve">AB-11</x:t>
  </x:si>
  <x:si>
    <x:t xml:space="preserve">manual-tests/app-bar.md; tests/components/app-bar/behavior.spec.ts</x:t>
  </x:si>
  <x:si>
    <x:t xml:space="preserve">AB-12</x:t>
  </x:si>
  <x:si>
    <x:t xml:space="preserve">AB-13</x:t>
  </x:si>
  <x:si>
    <x:t xml:space="preserve">../docs/components/app-bar/README.md</x:t>
  </x:si>
  <x:si>
    <x:t xml:space="preserve">AB-14</x:t>
  </x:si>
  <x:si>
    <x:t xml:space="preserve">../docs/components/app-bar/CHANGELOG.md</x:t>
  </x:si>
  <x:si>
    <x:t xml:space="preserve">AB-15</x:t>
  </x:si>
  <x:si>
    <x:t xml:space="preserve">AB-16</x:t>
  </x:si>
  <x:si>
    <x:t xml:space="preserve">Avatar Evidence</x:t>
  </x:si>
  <x:si>
    <x:t xml:space="preserve">A-01</x:t>
  </x:si>
  <x:si>
    <x:t xml:space="preserve">../src/components/avatar</x:t>
  </x:si>
  <x:si>
    <x:t xml:space="preserve">A-02</x:t>
  </x:si>
  <x:si>
    <x:t xml:space="preserve">A-03</x:t>
  </x:si>
  <x:si>
    <x:t xml:space="preserve">../test/types/components/avatar.test.ts</x:t>
  </x:si>
  <x:si>
    <x:t xml:space="preserve">A-04</x:t>
  </x:si>
  <x:si>
    <x:t xml:space="preserve">../src/components/avatar/avatar.css</x:t>
  </x:si>
  <x:si>
    <x:t xml:space="preserve">A-05</x:t>
  </x:si>
  <x:si>
    <x:t xml:space="preserve">../test/components/avatar/avatar.test.tsx</x:t>
  </x:si>
  <x:si>
    <x:t xml:space="preserve">A-06</x:t>
  </x:si>
  <x:si>
    <x:t xml:space="preserve">tests/components/avatar/behavior.spec.ts</x:t>
  </x:si>
  <x:si>
    <x:t xml:space="preserve">A-07</x:t>
  </x:si>
  <x:si>
    <x:t xml:space="preserve">tests/components/avatar/behavior.spec.ts; tests/integration</x:t>
  </x:si>
  <x:si>
    <x:t xml:space="preserve">A-08</x:t>
  </x:si>
  <x:si>
    <x:t xml:space="preserve">tests/components/avatar/visual.spec.ts</x:t>
  </x:si>
  <x:si>
    <x:t xml:space="preserve">A-09</x:t>
  </x:si>
  <x:si>
    <x:t xml:space="preserve">manual-tests/avatar.md</x:t>
  </x:si>
  <x:si>
    <x:t xml:space="preserve">A-10</x:t>
  </x:si>
  <x:si>
    <x:t xml:space="preserve">A-11</x:t>
  </x:si>
  <x:si>
    <x:t xml:space="preserve">manual-tests/avatar.md; tests/components/avatar/behavior.spec.ts</x:t>
  </x:si>
  <x:si>
    <x:t xml:space="preserve">A-12</x:t>
  </x:si>
  <x:si>
    <x:t xml:space="preserve">A-13</x:t>
  </x:si>
  <x:si>
    <x:t xml:space="preserve">../docs/components/avatar/README.md</x:t>
  </x:si>
  <x:si>
    <x:t xml:space="preserve">A-14</x:t>
  </x:si>
  <x:si>
    <x:t xml:space="preserve">../docs/components/avatar/CHANGELOG.md</x:t>
  </x:si>
  <x:si>
    <x:t xml:space="preserve">A-15</x:t>
  </x:si>
  <x:si>
    <x:t xml:space="preserve">A-16</x:t>
  </x:si>
  <x:si>
    <x:t xml:space="preserve">Badge Evidence</x:t>
  </x:si>
  <x:si>
    <x:t xml:space="preserve">B-01</x:t>
  </x:si>
  <x:si>
    <x:t xml:space="preserve">../src/components/badge</x:t>
  </x:si>
  <x:si>
    <x:t xml:space="preserve">B-02</x:t>
  </x:si>
  <x:si>
    <x:t xml:space="preserve">B-03</x:t>
  </x:si>
  <x:si>
    <x:t xml:space="preserve">../test/types/components/badge.test.ts</x:t>
  </x:si>
  <x:si>
    <x:t xml:space="preserve">B-04</x:t>
  </x:si>
  <x:si>
    <x:t xml:space="preserve">../src/components/badge/badge.css</x:t>
  </x:si>
  <x:si>
    <x:t xml:space="preserve">B-05</x:t>
  </x:si>
  <x:si>
    <x:t xml:space="preserve">../test/components/badge/badge.test.tsx</x:t>
  </x:si>
  <x:si>
    <x:t xml:space="preserve">B-06</x:t>
  </x:si>
  <x:si>
    <x:t xml:space="preserve">tests/components/badge/behavior.spec.ts</x:t>
  </x:si>
  <x:si>
    <x:t xml:space="preserve">B-07</x:t>
  </x:si>
  <x:si>
    <x:t xml:space="preserve">tests/components/badge/behavior.spec.ts; tests/integration</x:t>
  </x:si>
  <x:si>
    <x:t xml:space="preserve">B-08</x:t>
  </x:si>
  <x:si>
    <x:t xml:space="preserve">tests/components/badge/visual.spec.ts</x:t>
  </x:si>
  <x:si>
    <x:t xml:space="preserve">B-09</x:t>
  </x:si>
  <x:si>
    <x:t xml:space="preserve">manual-tests/badge.md</x:t>
  </x:si>
  <x:si>
    <x:t xml:space="preserve">B-10</x:t>
  </x:si>
  <x:si>
    <x:t xml:space="preserve">B-11</x:t>
  </x:si>
  <x:si>
    <x:t xml:space="preserve">manual-tests/badge.md; tests/components/badge/behavior.spec.ts</x:t>
  </x:si>
  <x:si>
    <x:t xml:space="preserve">B-12</x:t>
  </x:si>
  <x:si>
    <x:t xml:space="preserve">B-13</x:t>
  </x:si>
  <x:si>
    <x:t xml:space="preserve">../docs/components/badge/README.md</x:t>
  </x:si>
  <x:si>
    <x:t xml:space="preserve">B-14</x:t>
  </x:si>
  <x:si>
    <x:t xml:space="preserve">../docs/components/badge/CHANGELOG.md</x:t>
  </x:si>
  <x:si>
    <x:t xml:space="preserve">B-15</x:t>
  </x:si>
  <x:si>
    <x:t xml:space="preserve">B-16</x:t>
  </x:si>
  <x:si>
    <x:t xml:space="preserve">Button Evidence</x:t>
  </x:si>
  <x:si>
    <x:t xml:space="preserve">../src/components/button</x:t>
  </x:si>
  <x:si>
    <x:t xml:space="preserve">../test/types/components/button.test.ts</x:t>
  </x:si>
  <x:si>
    <x:t xml:space="preserve">../src/components/button/button.css</x:t>
  </x:si>
  <x:si>
    <x:t xml:space="preserve">../test/components/button/button.test.tsx</x:t>
  </x:si>
  <x:si>
    <x:t xml:space="preserve">tests/components/button/behavior.spec.ts</x:t>
  </x:si>
  <x:si>
    <x:t xml:space="preserve">tests/components/button/behavior.spec.ts; tests/integration</x:t>
  </x:si>
  <x:si>
    <x:t xml:space="preserve">tests/components/button/visual.spec.ts</x:t>
  </x:si>
  <x:si>
    <x:t xml:space="preserve">manual-tests/button.md</x:t>
  </x:si>
  <x:si>
    <x:t xml:space="preserve">manual-tests/button.md; tests/components/button/behavior.spec.ts</x:t>
  </x:si>
  <x:si>
    <x:t xml:space="preserve">../docs/components/button/README.md</x:t>
  </x:si>
  <x:si>
    <x:t xml:space="preserve">../docs/components/button/CHANGELOG.md</x:t>
  </x:si>
  <x:si>
    <x:t xml:space="preserve">Card Evidence</x:t>
  </x:si>
  <x:si>
    <x:t xml:space="preserve">C-01</x:t>
  </x:si>
  <x:si>
    <x:t xml:space="preserve">../src/components/card</x:t>
  </x:si>
  <x:si>
    <x:t xml:space="preserve">C-02</x:t>
  </x:si>
  <x:si>
    <x:t xml:space="preserve">C-03</x:t>
  </x:si>
  <x:si>
    <x:t xml:space="preserve">../test/types/components/card.test.ts</x:t>
  </x:si>
  <x:si>
    <x:t xml:space="preserve">C-04</x:t>
  </x:si>
  <x:si>
    <x:t xml:space="preserve">../src/components/card/card.css</x:t>
  </x:si>
  <x:si>
    <x:t xml:space="preserve">C-05</x:t>
  </x:si>
  <x:si>
    <x:t xml:space="preserve">../test/components/card/card.test.tsx</x:t>
  </x:si>
  <x:si>
    <x:t xml:space="preserve">C-06</x:t>
  </x:si>
  <x:si>
    <x:t xml:space="preserve">tests/components/card/behavior.spec.ts</x:t>
  </x:si>
  <x:si>
    <x:t xml:space="preserve">C-07</x:t>
  </x:si>
  <x:si>
    <x:t xml:space="preserve">tests/components/card/behavior.spec.ts; tests/integration</x:t>
  </x:si>
  <x:si>
    <x:t xml:space="preserve">C-08</x:t>
  </x:si>
  <x:si>
    <x:t xml:space="preserve">tests/components/card/visual.spec.ts</x:t>
  </x:si>
  <x:si>
    <x:t xml:space="preserve">C-09</x:t>
  </x:si>
  <x:si>
    <x:t xml:space="preserve">manual-tests/card.md</x:t>
  </x:si>
  <x:si>
    <x:t xml:space="preserve">C-10</x:t>
  </x:si>
  <x:si>
    <x:t xml:space="preserve">C-11</x:t>
  </x:si>
  <x:si>
    <x:t xml:space="preserve">manual-tests/card.md; tests/components/card/behavior.spec.ts</x:t>
  </x:si>
  <x:si>
    <x:t xml:space="preserve">C-12</x:t>
  </x:si>
  <x:si>
    <x:t xml:space="preserve">C-13</x:t>
  </x:si>
  <x:si>
    <x:t xml:space="preserve">../docs/components/card/README.md</x:t>
  </x:si>
  <x:si>
    <x:t xml:space="preserve">C-14</x:t>
  </x:si>
  <x:si>
    <x:t xml:space="preserve">../docs/components/card/CHANGELOG.md</x:t>
  </x:si>
  <x:si>
    <x:t xml:space="preserve">C-15</x:t>
  </x:si>
  <x:si>
    <x:t xml:space="preserve">C-16</x:t>
  </x:si>
  <x:si>
    <x:t xml:space="preserve">Checkbox Evidence</x:t>
  </x:si>
  <x:si>
    <x:t xml:space="preserve">../src/components/checkbox</x:t>
  </x:si>
  <x:si>
    <x:t xml:space="preserve">../test/types/components/checkbox.test.ts</x:t>
  </x:si>
  <x:si>
    <x:t xml:space="preserve">../src/components/checkbox/checkbox.css</x:t>
  </x:si>
  <x:si>
    <x:t xml:space="preserve">../test/components/checkbox/checkbox.test.tsx</x:t>
  </x:si>
  <x:si>
    <x:t xml:space="preserve">tests/components/checkbox/behavior.spec.ts</x:t>
  </x:si>
  <x:si>
    <x:t xml:space="preserve">tests/components/checkbox/behavior.spec.ts; tests/integration</x:t>
  </x:si>
  <x:si>
    <x:t xml:space="preserve">tests/components/checkbox/visual.spec.ts</x:t>
  </x:si>
  <x:si>
    <x:t xml:space="preserve">manual-tests/checkbox.md</x:t>
  </x:si>
  <x:si>
    <x:t xml:space="preserve">manual-tests/checkbox.md; tests/components/checkbox/behavior.spec.ts</x:t>
  </x:si>
  <x:si>
    <x:t xml:space="preserve">../docs/components/checkbox/README.md</x:t>
  </x:si>
  <x:si>
    <x:t xml:space="preserve">../docs/components/checkbox/CHANGELOG.md</x:t>
  </x:si>
  <x:si>
    <x:t xml:space="preserve">Checkbox Group Evidence</x:t>
  </x:si>
  <x:si>
    <x:t xml:space="preserve">CG-01</x:t>
  </x:si>
  <x:si>
    <x:t xml:space="preserve">CheckboxGroup</x:t>
  </x:si>
  <x:si>
    <x:t xml:space="preserve">../src/components/checkbox-group</x:t>
  </x:si>
  <x:si>
    <x:t xml:space="preserve">CG-02</x:t>
  </x:si>
  <x:si>
    <x:t xml:space="preserve">CG-03</x:t>
  </x:si>
  <x:si>
    <x:t xml:space="preserve">../test/types/components/checkbox-group.test.ts</x:t>
  </x:si>
  <x:si>
    <x:t xml:space="preserve">CG-04</x:t>
  </x:si>
  <x:si>
    <x:t xml:space="preserve">../src/components/checkbox-group/checkbox-group.css</x:t>
  </x:si>
  <x:si>
    <x:t xml:space="preserve">CG-05</x:t>
  </x:si>
  <x:si>
    <x:t xml:space="preserve">../test/components/checkbox-group/checkbox-group.test.tsx</x:t>
  </x:si>
  <x:si>
    <x:t xml:space="preserve">CG-06</x:t>
  </x:si>
  <x:si>
    <x:t xml:space="preserve">tests/components/checkbox-group/behavior.spec.ts</x:t>
  </x:si>
  <x:si>
    <x:t xml:space="preserve">CG-07</x:t>
  </x:si>
  <x:si>
    <x:t xml:space="preserve">tests/components/checkbox-group/behavior.spec.ts; tests/integration</x:t>
  </x:si>
  <x:si>
    <x:t xml:space="preserve">CG-08</x:t>
  </x:si>
  <x:si>
    <x:t xml:space="preserve">tests/components/checkbox-group/visual.spec.ts</x:t>
  </x:si>
  <x:si>
    <x:t xml:space="preserve">CG-09</x:t>
  </x:si>
  <x:si>
    <x:t xml:space="preserve">manual-tests/checkbox-group.md</x:t>
  </x:si>
  <x:si>
    <x:t xml:space="preserve">CG-10</x:t>
  </x:si>
  <x:si>
    <x:t xml:space="preserve">CG-11</x:t>
  </x:si>
  <x:si>
    <x:t xml:space="preserve">manual-tests/checkbox-group.md; tests/components/checkbox-group/behavior.spec.ts</x:t>
  </x:si>
  <x:si>
    <x:t xml:space="preserve">CG-12</x:t>
  </x:si>
  <x:si>
    <x:t xml:space="preserve">CG-13</x:t>
  </x:si>
  <x:si>
    <x:t xml:space="preserve">../docs/components/checkbox-group/README.md</x:t>
  </x:si>
  <x:si>
    <x:t xml:space="preserve">CG-14</x:t>
  </x:si>
  <x:si>
    <x:t xml:space="preserve">../docs/components/checkbox-group/CHANGELOG.md</x:t>
  </x:si>
  <x:si>
    <x:t xml:space="preserve">CG-15</x:t>
  </x:si>
  <x:si>
    <x:t xml:space="preserve">CG-16</x:t>
  </x:si>
  <x:si>
    <x:t xml:space="preserve">Dialog Evidence</x:t>
  </x:si>
  <x:si>
    <x:t xml:space="preserve">D-01</x:t>
  </x:si>
  <x:si>
    <x:t xml:space="preserve">../src/components/dialog</x:t>
  </x:si>
  <x:si>
    <x:t xml:space="preserve">D-02</x:t>
  </x:si>
  <x:si>
    <x:t xml:space="preserve">D-03</x:t>
  </x:si>
  <x:si>
    <x:t xml:space="preserve">../test/types/components/dialog.test.ts</x:t>
  </x:si>
  <x:si>
    <x:t xml:space="preserve">D-04</x:t>
  </x:si>
  <x:si>
    <x:t xml:space="preserve">../src/components/dialog/dialog.css</x:t>
  </x:si>
  <x:si>
    <x:t xml:space="preserve">D-05</x:t>
  </x:si>
  <x:si>
    <x:t xml:space="preserve">../test/components/dialog/dialog.test.tsx</x:t>
  </x:si>
  <x:si>
    <x:t xml:space="preserve">D-06</x:t>
  </x:si>
  <x:si>
    <x:t xml:space="preserve">tests/components/dialog/behavior.spec.ts</x:t>
  </x:si>
  <x:si>
    <x:t xml:space="preserve">D-07</x:t>
  </x:si>
  <x:si>
    <x:t xml:space="preserve">tests/components/dialog/behavior.spec.ts; tests/integration</x:t>
  </x:si>
  <x:si>
    <x:t xml:space="preserve">D-08</x:t>
  </x:si>
  <x:si>
    <x:t xml:space="preserve">tests/components/dialog/visual.spec.ts</x:t>
  </x:si>
  <x:si>
    <x:t xml:space="preserve">D-09</x:t>
  </x:si>
  <x:si>
    <x:t xml:space="preserve">manual-tests/dialog.md</x:t>
  </x:si>
  <x:si>
    <x:t xml:space="preserve">D-10</x:t>
  </x:si>
  <x:si>
    <x:t xml:space="preserve">D-11</x:t>
  </x:si>
  <x:si>
    <x:t xml:space="preserve">manual-tests/dialog.md; tests/components/dialog/behavior.spec.ts</x:t>
  </x:si>
  <x:si>
    <x:t xml:space="preserve">D-12</x:t>
  </x:si>
  <x:si>
    <x:t xml:space="preserve">D-13</x:t>
  </x:si>
  <x:si>
    <x:t xml:space="preserve">../docs/components/dialog/README.md</x:t>
  </x:si>
  <x:si>
    <x:t xml:space="preserve">D-14</x:t>
  </x:si>
  <x:si>
    <x:t xml:space="preserve">../docs/components/dialog/CHANGELOG.md</x:t>
  </x:si>
  <x:si>
    <x:t xml:space="preserve">D-15</x:t>
  </x:si>
  <x:si>
    <x:t xml:space="preserve">D-16</x:t>
  </x:si>
  <x:si>
    <x:t xml:space="preserve">Drawer Evidence</x:t>
  </x:si>
  <x:si>
    <x:t xml:space="preserve">../src/components/drawer</x:t>
  </x:si>
  <x:si>
    <x:t xml:space="preserve">../test/types/components/drawer.test.ts</x:t>
  </x:si>
  <x:si>
    <x:t xml:space="preserve">../src/components/drawer/drawer.css</x:t>
  </x:si>
  <x:si>
    <x:t xml:space="preserve">../test/components/drawer/drawer.test.tsx</x:t>
  </x:si>
  <x:si>
    <x:t xml:space="preserve">tests/components/drawer/behavior.spec.ts</x:t>
  </x:si>
  <x:si>
    <x:t xml:space="preserve">tests/components/drawer/behavior.spec.ts; tests/integration</x:t>
  </x:si>
  <x:si>
    <x:t xml:space="preserve">tests/components/drawer/visual.spec.ts</x:t>
  </x:si>
  <x:si>
    <x:t xml:space="preserve">manual-tests/drawer.md</x:t>
  </x:si>
  <x:si>
    <x:t xml:space="preserve">manual-tests/drawer.md; tests/components/drawer/behavior.spec.ts</x:t>
  </x:si>
  <x:si>
    <x:t xml:space="preserve">../docs/components/drawer/README.md</x:t>
  </x:si>
  <x:si>
    <x:t xml:space="preserve">../docs/components/drawer/CHANGELOG.md</x:t>
  </x:si>
  <x:si>
    <x:t xml:space="preserve">Field Evidence</x:t>
  </x:si>
  <x:si>
    <x:t xml:space="preserve">F-01</x:t>
  </x:si>
  <x:si>
    <x:t xml:space="preserve">../src/components/field</x:t>
  </x:si>
  <x:si>
    <x:t xml:space="preserve">F-02</x:t>
  </x:si>
  <x:si>
    <x:t xml:space="preserve">F-03</x:t>
  </x:si>
  <x:si>
    <x:t xml:space="preserve">../test/types/components/field.test.ts</x:t>
  </x:si>
  <x:si>
    <x:t xml:space="preserve">F-04</x:t>
  </x:si>
  <x:si>
    <x:t xml:space="preserve">../src/components/field/field.css</x:t>
  </x:si>
  <x:si>
    <x:t xml:space="preserve">F-05</x:t>
  </x:si>
  <x:si>
    <x:t xml:space="preserve">../test/components/field/field.test.tsx</x:t>
  </x:si>
  <x:si>
    <x:t xml:space="preserve">F-06</x:t>
  </x:si>
  <x:si>
    <x:t xml:space="preserve">tests/components/field/behavior.spec.ts</x:t>
  </x:si>
  <x:si>
    <x:t xml:space="preserve">F-07</x:t>
  </x:si>
  <x:si>
    <x:t xml:space="preserve">tests/components/field/behavior.spec.ts; tests/integration</x:t>
  </x:si>
  <x:si>
    <x:t xml:space="preserve">F-08</x:t>
  </x:si>
  <x:si>
    <x:t xml:space="preserve">tests/components/field/visual.spec.ts</x:t>
  </x:si>
  <x:si>
    <x:t xml:space="preserve">F-09</x:t>
  </x:si>
  <x:si>
    <x:t xml:space="preserve">manual-tests/field.md</x:t>
  </x:si>
  <x:si>
    <x:t xml:space="preserve">F-10</x:t>
  </x:si>
  <x:si>
    <x:t xml:space="preserve">F-11</x:t>
  </x:si>
  <x:si>
    <x:t xml:space="preserve">manual-tests/field.md; tests/components/field/behavior.spec.ts</x:t>
  </x:si>
  <x:si>
    <x:t xml:space="preserve">F-12</x:t>
  </x:si>
  <x:si>
    <x:t xml:space="preserve">F-13</x:t>
  </x:si>
  <x:si>
    <x:t xml:space="preserve">../docs/components/field/README.md</x:t>
  </x:si>
  <x:si>
    <x:t xml:space="preserve">F-14</x:t>
  </x:si>
  <x:si>
    <x:t xml:space="preserve">../docs/components/field/CHANGELOG.md</x:t>
  </x:si>
  <x:si>
    <x:t xml:space="preserve">F-15</x:t>
  </x:si>
  <x:si>
    <x:t xml:space="preserve">F-16</x:t>
  </x:si>
  <x:si>
    <x:t xml:space="preserve">Fieldset Evidence</x:t>
  </x:si>
  <x:si>
    <x:t xml:space="preserve">../src/components/fieldset</x:t>
  </x:si>
  <x:si>
    <x:t xml:space="preserve">../test/types/components/fieldset.test.ts</x:t>
  </x:si>
  <x:si>
    <x:t xml:space="preserve">../src/components/fieldset/fieldset.css</x:t>
  </x:si>
  <x:si>
    <x:t xml:space="preserve">../test/components/fieldset/fieldset.test.tsx</x:t>
  </x:si>
  <x:si>
    <x:t xml:space="preserve">tests/components/fieldset/behavior.spec.ts</x:t>
  </x:si>
  <x:si>
    <x:t xml:space="preserve">tests/components/fieldset/behavior.spec.ts; tests/integration</x:t>
  </x:si>
  <x:si>
    <x:t xml:space="preserve">tests/components/fieldset/visual.spec.ts</x:t>
  </x:si>
  <x:si>
    <x:t xml:space="preserve">manual-tests/fieldset.md</x:t>
  </x:si>
  <x:si>
    <x:t xml:space="preserve">manual-tests/fieldset.md; tests/components/fieldset/behavior.spec.ts</x:t>
  </x:si>
  <x:si>
    <x:t xml:space="preserve">../docs/components/fieldset/README.md</x:t>
  </x:si>
  <x:si>
    <x:t xml:space="preserve">../docs/components/fieldset/CHANGELOG.md</x:t>
  </x:si>
  <x:si>
    <x:t xml:space="preserve">Form Evidence</x:t>
  </x:si>
  <x:si>
    <x:t xml:space="preserve">../src/components/form</x:t>
  </x:si>
  <x:si>
    <x:t xml:space="preserve">../test/types/components/form.test.ts</x:t>
  </x:si>
  <x:si>
    <x:t xml:space="preserve">../src/components/form/form.css</x:t>
  </x:si>
  <x:si>
    <x:t xml:space="preserve">../test/components/form/form.test.tsx</x:t>
  </x:si>
  <x:si>
    <x:t xml:space="preserve">tests/components/form/behavior.spec.ts</x:t>
  </x:si>
  <x:si>
    <x:t xml:space="preserve">tests/components/form/behavior.spec.ts; tests/integration</x:t>
  </x:si>
  <x:si>
    <x:t xml:space="preserve">tests/components/form/visual.spec.ts</x:t>
  </x:si>
  <x:si>
    <x:t xml:space="preserve">manual-tests/form.md</x:t>
  </x:si>
  <x:si>
    <x:t xml:space="preserve">manual-tests/form.md; tests/components/form/behavior.spec.ts</x:t>
  </x:si>
  <x:si>
    <x:t xml:space="preserve">../docs/components/form/README.md</x:t>
  </x:si>
  <x:si>
    <x:t xml:space="preserve">../docs/components/form/CHANGELOG.md</x:t>
  </x:si>
  <x:si>
    <x:t xml:space="preserve">Hover Card Evidence</x:t>
  </x:si>
  <x:si>
    <x:t xml:space="preserve">HC-01</x:t>
  </x:si>
  <x:si>
    <x:t xml:space="preserve">HoverCard</x:t>
  </x:si>
  <x:si>
    <x:t xml:space="preserve">../src/components/hover-card</x:t>
  </x:si>
  <x:si>
    <x:t xml:space="preserve">HC-02</x:t>
  </x:si>
  <x:si>
    <x:t xml:space="preserve">HC-03</x:t>
  </x:si>
  <x:si>
    <x:t xml:space="preserve">../test/types/components/hover-card.test.ts</x:t>
  </x:si>
  <x:si>
    <x:t xml:space="preserve">HC-04</x:t>
  </x:si>
  <x:si>
    <x:t xml:space="preserve">../src/components/hover-card/hover-card.css</x:t>
  </x:si>
  <x:si>
    <x:t xml:space="preserve">HC-05</x:t>
  </x:si>
  <x:si>
    <x:t xml:space="preserve">../test/components/hover-card/hover-card.test.tsx</x:t>
  </x:si>
  <x:si>
    <x:t xml:space="preserve">HC-06</x:t>
  </x:si>
  <x:si>
    <x:t xml:space="preserve">tests/components/hover-card/behavior.spec.ts</x:t>
  </x:si>
  <x:si>
    <x:t xml:space="preserve">HC-07</x:t>
  </x:si>
  <x:si>
    <x:t xml:space="preserve">tests/components/hover-card/behavior.spec.ts; tests/integration</x:t>
  </x:si>
  <x:si>
    <x:t xml:space="preserve">HC-08</x:t>
  </x:si>
  <x:si>
    <x:t xml:space="preserve">tests/components/hover-card/visual.spec.ts</x:t>
  </x:si>
  <x:si>
    <x:t xml:space="preserve">HC-09</x:t>
  </x:si>
  <x:si>
    <x:t xml:space="preserve">manual-tests/hover-card.md</x:t>
  </x:si>
  <x:si>
    <x:t xml:space="preserve">HC-10</x:t>
  </x:si>
  <x:si>
    <x:t xml:space="preserve">HC-11</x:t>
  </x:si>
  <x:si>
    <x:t xml:space="preserve">manual-tests/hover-card.md; tests/components/hover-card/behavior.spec.ts</x:t>
  </x:si>
  <x:si>
    <x:t xml:space="preserve">HC-12</x:t>
  </x:si>
  <x:si>
    <x:t xml:space="preserve">HC-13</x:t>
  </x:si>
  <x:si>
    <x:t xml:space="preserve">../docs/components/hover-card/README.md</x:t>
  </x:si>
  <x:si>
    <x:t xml:space="preserve">HC-14</x:t>
  </x:si>
  <x:si>
    <x:t xml:space="preserve">../docs/components/hover-card/CHANGELOG.md</x:t>
  </x:si>
  <x:si>
    <x:t xml:space="preserve">HC-15</x:t>
  </x:si>
  <x:si>
    <x:t xml:space="preserve">HC-16</x:t>
  </x:si>
  <x:si>
    <x:t xml:space="preserve">Icon Button Evidence</x:t>
  </x:si>
  <x:si>
    <x:t xml:space="preserve">IB-01</x:t>
  </x:si>
  <x:si>
    <x:t xml:space="preserve">IconButton</x:t>
  </x:si>
  <x:si>
    <x:t xml:space="preserve">../src/components/icon-button</x:t>
  </x:si>
  <x:si>
    <x:t xml:space="preserve">IB-02</x:t>
  </x:si>
  <x:si>
    <x:t xml:space="preserve">IB-03</x:t>
  </x:si>
  <x:si>
    <x:t xml:space="preserve">../test/types/components/icon-button.test.ts</x:t>
  </x:si>
  <x:si>
    <x:t xml:space="preserve">IB-04</x:t>
  </x:si>
  <x:si>
    <x:t xml:space="preserve">../src/components/icon-button/icon-button.css</x:t>
  </x:si>
  <x:si>
    <x:t xml:space="preserve">IB-05</x:t>
  </x:si>
  <x:si>
    <x:t xml:space="preserve">../test/components/icon-button/icon-button.test.tsx</x:t>
  </x:si>
  <x:si>
    <x:t xml:space="preserve">IB-06</x:t>
  </x:si>
  <x:si>
    <x:t xml:space="preserve">tests/components/icon-button/behavior.spec.ts</x:t>
  </x:si>
  <x:si>
    <x:t xml:space="preserve">IB-07</x:t>
  </x:si>
  <x:si>
    <x:t xml:space="preserve">tests/components/icon-button/behavior.spec.ts; tests/integration</x:t>
  </x:si>
  <x:si>
    <x:t xml:space="preserve">IB-08</x:t>
  </x:si>
  <x:si>
    <x:t xml:space="preserve">tests/components/icon-button/visual.spec.ts</x:t>
  </x:si>
  <x:si>
    <x:t xml:space="preserve">IB-09</x:t>
  </x:si>
  <x:si>
    <x:t xml:space="preserve">manual-tests/icon-button.md</x:t>
  </x:si>
  <x:si>
    <x:t xml:space="preserve">IB-10</x:t>
  </x:si>
  <x:si>
    <x:t xml:space="preserve">IB-11</x:t>
  </x:si>
  <x:si>
    <x:t xml:space="preserve">manual-tests/icon-button.md; tests/components/icon-button/behavior.spec.ts</x:t>
  </x:si>
  <x:si>
    <x:t xml:space="preserve">IB-12</x:t>
  </x:si>
  <x:si>
    <x:t xml:space="preserve">IB-13</x:t>
  </x:si>
  <x:si>
    <x:t xml:space="preserve">../docs/components/icon-button/README.md</x:t>
  </x:si>
  <x:si>
    <x:t xml:space="preserve">IB-14</x:t>
  </x:si>
  <x:si>
    <x:t xml:space="preserve">../docs/components/icon-button/CHANGELOG.md</x:t>
  </x:si>
  <x:si>
    <x:t xml:space="preserve">IB-15</x:t>
  </x:si>
  <x:si>
    <x:t xml:space="preserve">IB-16</x:t>
  </x:si>
  <x:si>
    <x:t xml:space="preserve">Input Evidence</x:t>
  </x:si>
  <x:si>
    <x:t xml:space="preserve">I-01</x:t>
  </x:si>
  <x:si>
    <x:t xml:space="preserve">Brick wrapper, native input ref, adornments, and Atom-powered Clear are implemented.</x:t>
  </x:si>
  <x:si>
    <x:t xml:space="preserve">../src/components/input</x:t>
  </x:si>
  <x:si>
    <x:t xml:space="preserve">I-02</x:t>
  </x:si>
  <x:si>
    <x:t xml:space="preserve">Root and public Input subpath exports expose runtime and type surfaces.</x:t>
  </x:si>
  <x:si>
    <x:t xml:space="preserve">I-03</x:t>
  </x:si>
  <x:si>
    <x:t xml:space="preserve">Recipes, native text types, ref, underline shape exclusion, and native size collision type-check.</x:t>
  </x:si>
  <x:si>
    <x:t xml:space="preserve">../test/types/components/input.test.ts</x:t>
  </x:si>
  <x:si>
    <x:t xml:space="preserve">I-04</x:t>
  </x:si>
  <x:si>
    <x:t xml:space="preserve">Recipes, sizes, shapes, states, adornment geometry, logical layout, and public tokens ship as static CSS.</x:t>
  </x:si>
  <x:si>
    <x:t xml:space="preserve">../src/components/input/input.css</x:t>
  </x:si>
  <x:si>
    <x:t xml:space="preserve">I-05</x:t>
  </x:si>
  <x:si>
    <x:t xml:space="preserve">Defaults, DOM order, refs, hooks, Clear delegation, prop filtering, and state adaptation pass focused tests.</x:t>
  </x:si>
  <x:si>
    <x:t xml:space="preserve">../test/components/input/input.test.tsx</x:t>
  </x:si>
  <x:si>
    <x:t xml:space="preserve">I-06</x:t>
  </x:si>
  <x:si>
    <x:t xml:space="preserve">Real-browser recipes, geometry, ownership, native form behavior, output, adornments, and Clear checks pass.</x:t>
  </x:si>
  <x:si>
    <x:t xml:space="preserve">tests/components/input/behavior.spec.ts</x:t>
  </x:si>
  <x:si>
    <x:t xml:space="preserve">I-07</x:t>
  </x:si>
  <x:si>
    <x:t xml:space="preserve">Field naming and relationships, native availability states, focus restoration, and axe checks pass.</x:t>
  </x:si>
  <x:si>
    <x:t xml:space="preserve">tests/components/input/behavior.spec.ts; tests/integration/form-foundation.spec.ts</x:t>
  </x:si>
  <x:si>
    <x:t xml:space="preserve">I-08</x:t>
  </x:si>
  <x:si>
    <x:t xml:space="preserve">Reviewed baselines cover defaults, recipes, geometry, adornments, states, appearance, RTL, and forced colors.</x:t>
  </x:si>
  <x:si>
    <x:t xml:space="preserve">tests/components/input/visual.spec.ts</x:t>
  </x:si>
  <x:si>
    <x:t xml:space="preserve">Owner reviewed and corrected the current Input playground evidence.</x:t>
  </x:si>
  <x:si>
    <x:t xml:space="preserve">I-09</x:t>
  </x:si>
  <x:si>
    <x:t xml:space="preserve">Physical mobile, 200%/400% zoom, long-value stress, and RTL remain usable and contained.</x:t>
  </x:si>
  <x:si>
    <x:t xml:space="preserve">manual-tests/input.md</x:t>
  </x:si>
  <x:si>
    <x:t xml:space="preserve">Manual protocol exists; physical device and zoom review have not been recorded.</x:t>
  </x:si>
  <x:si>
    <x:t xml:space="preserve">I-10</x:t>
  </x:si>
  <x:si>
    <x:t xml:space="preserve">Light, dark, focus, invalid, forced-colors, and reduced-motion treatment remain perceivable.</x:t>
  </x:si>
  <x:si>
    <x:t xml:space="preserve">manual-tests/input.md; tests/components/input/visual.spec.ts</x:t>
  </x:si>
  <x:si>
    <x:t xml:space="preserve">Automated evidence passes; human appearance review is not fully recorded.</x:t>
  </x:si>
  <x:si>
    <x:t xml:space="preserve">I-11</x:t>
  </x:si>
  <x:si>
    <x:t xml:space="preserve">Field/Form labels, descriptions, errors, external ownership, generated IDs, and rendered HTML match.</x:t>
  </x:si>
  <x:si>
    <x:t xml:space="preserve">manual-tests/input.md; tests/components/input/behavior.spec.ts</x:t>
  </x:si>
  <x:si>
    <x:t xml:space="preserve">Automated relationships pass; the complete human output review is pending.</x:t>
  </x:si>
  <x:si>
    <x:t xml:space="preserve">I-12</x:t>
  </x:si>
  <x:si>
    <x:t xml:space="preserve">The component-owned manual protocol passes every Input playground scenario.</x:t>
  </x:si>
  <x:si>
    <x:t xml:space="preserve">Protocol is intentionally unrun and contains no claimed result.</x:t>
  </x:si>
  <x:si>
    <x:t xml:space="preserve">I-13</x:t>
  </x:si>
  <x:si>
    <x:t xml:space="preserve">Source-backed public usage and API documentation passes component documentation checks.</x:t>
  </x:si>
  <x:si>
    <x:t xml:space="preserve">../docs/components/input/README.md</x:t>
  </x:si>
  <x:si>
    <x:t xml:space="preserve">I-14</x:t>
  </x:si>
  <x:si>
    <x:t xml:space="preserve">Input owns a public component changelog and the package changelog records its addition.</x:t>
  </x:si>
  <x:si>
    <x:t xml:space="preserve">../docs/components/input/CHANGELOG.md; ../CHANGELOG.md</x:t>
  </x:si>
  <x:si>
    <x:t xml:space="preserve">I-15</x:t>
  </x:si>
  <x:si>
    <x:t xml:space="preserve">The packed Consumer proves Field, adornment, Clear, validation, submit, and reset through public imports.</x:t>
  </x:si>
  <x:si>
    <x:t xml:space="preserve">I-16</x:t>
  </x:si>
  <x:si>
    <x:t xml:space="preserve">Build, SSR, exports, CSS, tarball, React 18/19, and packed-consumer verification pass.</x:t>
  </x:si>
  <x:si>
    <x:t xml:space="preserve">../test/package; ../scripts/verify-package.mjs; ../scripts/verify-consumers.mjs</x:t>
  </x:si>
  <x:si>
    <x:t xml:space="preserve">Link Evidence</x:t>
  </x:si>
  <x:si>
    <x:t xml:space="preserve">Assertion-level Atom-backed package, browser, human-review, documentation, Consumer, and composition evidence.</x:t>
  </x:si>
  <x:si>
    <x:t xml:space="preserve">L-01</x:t>
  </x:si>
  <x:si>
    <x:t xml:space="preserve">Atom-backed anchor, visual recipes, content anatomy, native props, and HTMLAnchorElement ref are implemented.</x:t>
  </x:si>
  <x:si>
    <x:t xml:space="preserve">../src/components/link</x:t>
  </x:si>
  <x:si>
    <x:t xml:space="preserve">L-02</x:t>
  </x:si>
  <x:si>
    <x:t xml:space="preserve">Root and public Link subpath exports expose runtime and complete public types.</x:t>
  </x:si>
  <x:si>
    <x:t xml:space="preserve">../test/package/package.test.mjs; ../test/package/ssr.test.mjs</x:t>
  </x:si>
  <x:si>
    <x:t xml:space="preserve">L-03</x:t>
  </x:si>
  <x:si>
    <x:t xml:space="preserve">Required native href, router composition, recipes, icon exclusion, native props, and ref contracts type-check.</x:t>
  </x:si>
  <x:si>
    <x:t xml:space="preserve">../test/types/components/link.test.ts</x:t>
  </x:si>
  <x:si>
    <x:t xml:space="preserve">L-04</x:t>
  </x:si>
  <x:si>
    <x:t xml:space="preserve">Static CSS ships decoration, tones, typography, focus, current, icon, appearance, and forced-color behavior.</x:t>
  </x:si>
  <x:si>
    <x:t xml:space="preserve">../src/components/link/link.css</x:t>
  </x:si>
  <x:si>
    <x:t xml:space="preserve">L-05</x:t>
  </x:si>
  <x:si>
    <x:t xml:space="preserve">Defaults, recipes, icon anatomy, native forwarding, refs, render, and asChild pass focused tests.</x:t>
  </x:si>
  <x:si>
    <x:t xml:space="preserve">../test/components/link/link.test.tsx</x:t>
  </x:si>
  <x:si>
    <x:t xml:space="preserve">L-06</x:t>
  </x:si>
  <x:si>
    <x:t xml:space="preserve">Native output, focus, controlled recipes, typography, icon geometry, RTL, composition, and customization pass.</x:t>
  </x:si>
  <x:si>
    <x:t xml:space="preserve">tests/components/link/behavior.spec.ts</x:t>
  </x:si>
  <x:si>
    <x:t xml:space="preserve">L-07</x:t>
  </x:si>
  <x:si>
    <x:t xml:space="preserve">Native role/name/current state, focus affordance, responsive containment, decorative icons, and axe pass.</x:t>
  </x:si>
  <x:si>
    <x:t xml:space="preserve">L-08</x:t>
  </x:si>
  <x:si>
    <x:t xml:space="preserve">Baselines cover default, recipes, content, composition, dark appearance, mobile RTL, and forced colors.</x:t>
  </x:si>
  <x:si>
    <x:t xml:space="preserve">tests/components/link/visual.spec.ts</x:t>
  </x:si>
  <x:si>
    <x:t xml:space="preserve">L-09</x:t>
  </x:si>
  <x:si>
    <x:t xml:space="preserve">Physical mobile, 200%/400% zoom, text spacing, long content, and RTL remain readable and contained.</x:t>
  </x:si>
  <x:si>
    <x:t xml:space="preserve">manual-tests/link.md</x:t>
  </x:si>
  <x:si>
    <x:t xml:space="preserve">Automated reflow passes; human device and zoom review is pending.</x:t>
  </x:si>
  <x:si>
    <x:t xml:space="preserve">L-10</x:t>
  </x:si>
  <x:si>
    <x:t xml:space="preserve">Light, dark, forced colors, focus, decoration, and customized variables remain perceivable.</x:t>
  </x:si>
  <x:si>
    <x:t xml:space="preserve">manual-tests/link.md; tests/components/link/visual.spec.ts</x:t>
  </x:si>
  <x:si>
    <x:t xml:space="preserve">Automated appearance evidence exists; human appearance review is pending.</x:t>
  </x:si>
  <x:si>
    <x:t xml:space="preserve">L-11</x:t>
  </x:si>
  <x:si>
    <x:t xml:space="preserve">Native, current, download, render, and asChild examples produce one inspectable final anchor.</x:t>
  </x:si>
  <x:si>
    <x:t xml:space="preserve">L-12</x:t>
  </x:si>
  <x:si>
    <x:t xml:space="preserve">The concise component-owned protocol passes every Link playground scenario.</x:t>
  </x:si>
  <x:si>
    <x:t xml:space="preserve">Protocol exists; the owner has not run it.</x:t>
  </x:si>
  <x:si>
    <x:t xml:space="preserve">L-13</x:t>
  </x:si>
  <x:si>
    <x:t xml:space="preserve">Source-backed use, exclusions, recipes, anatomy, accessibility, native props, composition, and API docs pass.</x:t>
  </x:si>
  <x:si>
    <x:t xml:space="preserve">../docs/components/link/README.md</x:t>
  </x:si>
  <x:si>
    <x:t xml:space="preserve">L-14</x:t>
  </x:si>
  <x:si>
    <x:t xml:space="preserve">Link owns a public changelog and the package changelog records its addition.</x:t>
  </x:si>
  <x:si>
    <x:t xml:space="preserve">../docs/components/link/CHANGELOG.md; ../CHANGELOG.md</x:t>
  </x:si>
  <x:si>
    <x:t xml:space="preserve">L-15</x:t>
  </x:si>
  <x:si>
    <x:t xml:space="preserve">The Consumer uses the public Link subpath for site navigation and a standalone destination.</x:t>
  </x:si>
  <x:si>
    <x:t xml:space="preserve">L-16</x:t>
  </x:si>
  <x:si>
    <x:t xml:space="preserve">Playground</x:t>
  </x:si>
  <x:si>
    <x:t xml:space="preserve">One navigable component route exposes every adopted recipe, content, composition, appearance, and stress scenario.</x:t>
  </x:si>
  <x:si>
    <x:t xml:space="preserve">playground</x:t>
  </x:si>
  <x:si>
    <x:t xml:space="preserve">src/components/link/LinkPage.tsx</x:t>
  </x:si>
  <x:si>
    <x:t xml:space="preserve">L-17</x:t>
  </x:si>
  <x:si>
    <x:t xml:space="preserve">Build, SSR, exports, CSS, tarball, consumers, browser matrix, and exact Atom 0.20.11 dependency pass.</x:t>
  </x:si>
  <x:si>
    <x:t xml:space="preserve">../test/package; ../scripts/verify-consumers.mjs</x:t>
  </x:si>
  <x:si>
    <x:t xml:space="preserve">The final Brick 0.1.12 candidate passes repository, SSR, types, CSS, Agent Knowledge, archive, React 18/19 Consumer, and complete configured desktop/mobile browser qualification against exact Atom 0.25.1. The required Safari 26.5 and macOS VoiceOver 26.5.1 protocol was completed on August 30, 2026.</x:t>
  </x:si>
  <x:si>
    <x:t xml:space="preserve">Text Evidence</x:t>
  </x:si>
  <x:si>
    <x:t xml:space="preserve">T-01</x:t>
  </x:si>
  <x:si>
    <x:t xml:space="preserve">Semantic hosts, recipes, native props, and HTMLElement refs are implemented.</x:t>
  </x:si>
  <x:si>
    <x:t xml:space="preserve">../src/components/text</x:t>
  </x:si>
  <x:si>
    <x:t xml:space="preserve">T-02</x:t>
  </x:si>
  <x:si>
    <x:t xml:space="preserve">Root and public Text subpath exports expose runtime and type surfaces.</x:t>
  </x:si>
  <x:si>
    <x:t xml:space="preserve">T-03</x:t>
  </x:si>
  <x:si>
    <x:t xml:space="preserve">Hosts, variants, tones, weights, alignment, wrapping, overflow rules, props, and refs type-check.</x:t>
  </x:si>
  <x:si>
    <x:t xml:space="preserve">../test/types/components/text.test.ts</x:t>
  </x:si>
  <x:si>
    <x:t xml:space="preserve">T-04</x:t>
  </x:si>
  <x:si>
    <x:t xml:space="preserve">Static CSS ships recipe, tone, alignment, wrapping, truncation, clamp, and preference behavior.</x:t>
  </x:si>
  <x:si>
    <x:t xml:space="preserve">../src/components/text/text.css</x:t>
  </x:si>
  <x:si>
    <x:t xml:space="preserve">T-05</x:t>
  </x:si>
  <x:si>
    <x:t xml:space="preserve">Defaults, host selection, hooks, refs, native props, and overflow precedence pass focused tests.</x:t>
  </x:si>
  <x:si>
    <x:t xml:space="preserve">../test/components/text/text.test.tsx</x:t>
  </x:si>
  <x:si>
    <x:t xml:space="preserve">T-06</x:t>
  </x:si>
  <x:si>
    <x:t xml:space="preserve">Real-browser defaults, scale, tones, geometry, semantics, output, refs, and overflow checks pass.</x:t>
  </x:si>
  <x:si>
    <x:t xml:space="preserve">tests/components/text/behavior.spec.ts</x:t>
  </x:si>
  <x:si>
    <x:t xml:space="preserve">T-07</x:t>
  </x:si>
  <x:si>
    <x:t xml:space="preserve">Semantic host output, contrast, text spacing, zoom resilience, and axe checks pass.</x:t>
  </x:si>
  <x:si>
    <x:t xml:space="preserve">T-08</x:t>
  </x:si>
  <x:si>
    <x:t xml:space="preserve">Reviewed baselines cover recipes, tones, semantics, overflow, customization, dark mode, RTL, and mobile stress.</x:t>
  </x:si>
  <x:si>
    <x:t xml:space="preserve">tests/components/text/visual.spec.ts</x:t>
  </x:si>
  <x:si>
    <x:t xml:space="preserve">Agent-reviewed baselines; owner acceptance remains available during manual review.</x:t>
  </x:si>
  <x:si>
    <x:t xml:space="preserve">T-09</x:t>
  </x:si>
  <x:si>
    <x:t xml:space="preserve">Narrow layout, long localized content, 200%/400% zoom, and RTL remain contained and readable.</x:t>
  </x:si>
  <x:si>
    <x:t xml:space="preserve">manual-tests/text.md</x:t>
  </x:si>
  <x:si>
    <x:t xml:space="preserve">Automated evidence passes; physical-device and human zoom review are not recorded.</x:t>
  </x:si>
  <x:si>
    <x:t xml:space="preserve">T-10</x:t>
  </x:si>
  <x:si>
    <x:t xml:space="preserve">Light, dark, semantic tones, forced colors, and reduced motion retain readable output.</x:t>
  </x:si>
  <x:si>
    <x:t xml:space="preserve">manual-tests/text.md; tests/components/text/visual.spec.ts</x:t>
  </x:si>
  <x:si>
    <x:t xml:space="preserve">Automated evidence passes; complete human appearance review is pending.</x:t>
  </x:si>
  <x:si>
    <x:t xml:space="preserve">T-11</x:t>
  </x:si>
  <x:si>
    <x:t xml:space="preserve">Semantics</x:t>
  </x:si>
  <x:si>
    <x:t xml:space="preserve">Every supported semantic host and rendered output example match the public contract.</x:t>
  </x:si>
  <x:si>
    <x:t xml:space="preserve">T-12</x:t>
  </x:si>
  <x:si>
    <x:t xml:space="preserve">The component-owned manual protocol passes every Text playground scenario.</x:t>
  </x:si>
  <x:si>
    <x:t xml:space="preserve">T-13</x:t>
  </x:si>
  <x:si>
    <x:t xml:space="preserve">../docs/components/text/README.md</x:t>
  </x:si>
  <x:si>
    <x:t xml:space="preserve">T-14</x:t>
  </x:si>
  <x:si>
    <x:t xml:space="preserve">Text owns a public component changelog and the package changelog records its addition.</x:t>
  </x:si>
  <x:si>
    <x:t xml:space="preserve">../docs/components/text/CHANGELOG.md; ../CHANGELOG.md</x:t>
  </x:si>
  <x:si>
    <x:t xml:space="preserve">T-15</x:t>
  </x:si>
  <x:si>
    <x:t xml:space="preserve">The packed Consumer proves root and subpath Text usage through public imports.</x:t>
  </x:si>
  <x:si>
    <x:t xml:space="preserve">T-16</x:t>
  </x:si>
  <x:si>
    <x:t xml:space="preserve">Notification Badge Evidence</x:t>
  </x:si>
  <x:si>
    <x:t xml:space="preserve">NB-01</x:t>
  </x:si>
  <x:si>
    <x:t xml:space="preserve">NotificationBadge</x:t>
  </x:si>
  <x:si>
    <x:t xml:space="preserve">NB-02</x:t>
  </x:si>
  <x:si>
    <x:t xml:space="preserve">NB-03</x:t>
  </x:si>
  <x:si>
    <x:t xml:space="preserve">../test/types/components/notification-badge.test.ts</x:t>
  </x:si>
  <x:si>
    <x:t xml:space="preserve">NB-04</x:t>
  </x:si>
  <x:si>
    <x:t xml:space="preserve">NB-05</x:t>
  </x:si>
  <x:si>
    <x:t xml:space="preserve">../test/components/notification-badge/notification-badge.test.tsx</x:t>
  </x:si>
  <x:si>
    <x:t xml:space="preserve">NB-06</x:t>
  </x:si>
  <x:si>
    <x:t xml:space="preserve">tests/components/notification-badge/behavior.spec.ts</x:t>
  </x:si>
  <x:si>
    <x:t xml:space="preserve">NB-07</x:t>
  </x:si>
  <x:si>
    <x:t xml:space="preserve">tests/components/notification-badge/behavior.spec.ts; tests/integration</x:t>
  </x:si>
  <x:si>
    <x:t xml:space="preserve">NB-08</x:t>
  </x:si>
  <x:si>
    <x:t xml:space="preserve">tests/components/notification-badge/visual.spec.ts</x:t>
  </x:si>
  <x:si>
    <x:t xml:space="preserve">NB-09</x:t>
  </x:si>
  <x:si>
    <x:t xml:space="preserve">manual-tests/notification-badge.md</x:t>
  </x:si>
  <x:si>
    <x:t xml:space="preserve">NB-10</x:t>
  </x:si>
  <x:si>
    <x:t xml:space="preserve">NB-11</x:t>
  </x:si>
  <x:si>
    <x:t xml:space="preserve">manual-tests/notification-badge.md; tests/components/notification-badge/behavior.spec.ts</x:t>
  </x:si>
  <x:si>
    <x:t xml:space="preserve">NB-12</x:t>
  </x:si>
  <x:si>
    <x:t xml:space="preserve">NB-13</x:t>
  </x:si>
  <x:si>
    <x:t xml:space="preserve">../docs/components/notification-badge/README.md</x:t>
  </x:si>
  <x:si>
    <x:t xml:space="preserve">NB-14</x:t>
  </x:si>
  <x:si>
    <x:t xml:space="preserve">../docs/components/notification-badge/CHANGELOG.md</x:t>
  </x:si>
  <x:si>
    <x:t xml:space="preserve">NB-15</x:t>
  </x:si>
  <x:si>
    <x:t xml:space="preserve">NB-16</x:t>
  </x:si>
  <x:si>
    <x:t xml:space="preserve">Popover Evidence</x:t>
  </x:si>
  <x:si>
    <x:t xml:space="preserve">P-01</x:t>
  </x:si>
  <x:si>
    <x:t xml:space="preserve">../src/components/popover</x:t>
  </x:si>
  <x:si>
    <x:t xml:space="preserve">P-02</x:t>
  </x:si>
  <x:si>
    <x:t xml:space="preserve">P-03</x:t>
  </x:si>
  <x:si>
    <x:t xml:space="preserve">../test/types/components/popover.test.ts</x:t>
  </x:si>
  <x:si>
    <x:t xml:space="preserve">P-04</x:t>
  </x:si>
  <x:si>
    <x:t xml:space="preserve">../src/components/popover/popover.css</x:t>
  </x:si>
  <x:si>
    <x:t xml:space="preserve">P-05</x:t>
  </x:si>
  <x:si>
    <x:t xml:space="preserve">../test/components/popover/popover.test.tsx</x:t>
  </x:si>
  <x:si>
    <x:t xml:space="preserve">P-06</x:t>
  </x:si>
  <x:si>
    <x:t xml:space="preserve">tests/components/popover/behavior.spec.ts</x:t>
  </x:si>
  <x:si>
    <x:t xml:space="preserve">P-07</x:t>
  </x:si>
  <x:si>
    <x:t xml:space="preserve">tests/components/popover/behavior.spec.ts; tests/integration</x:t>
  </x:si>
  <x:si>
    <x:t xml:space="preserve">P-08</x:t>
  </x:si>
  <x:si>
    <x:t xml:space="preserve">tests/components/popover/visual.spec.ts</x:t>
  </x:si>
  <x:si>
    <x:t xml:space="preserve">P-09</x:t>
  </x:si>
  <x:si>
    <x:t xml:space="preserve">manual-tests/popover.md</x:t>
  </x:si>
  <x:si>
    <x:t xml:space="preserve">P-10</x:t>
  </x:si>
  <x:si>
    <x:t xml:space="preserve">P-11</x:t>
  </x:si>
  <x:si>
    <x:t xml:space="preserve">manual-tests/popover.md; tests/components/popover/behavior.spec.ts</x:t>
  </x:si>
  <x:si>
    <x:t xml:space="preserve">P-12</x:t>
  </x:si>
  <x:si>
    <x:t xml:space="preserve">P-13</x:t>
  </x:si>
  <x:si>
    <x:t xml:space="preserve">../docs/components/popover/README.md</x:t>
  </x:si>
  <x:si>
    <x:t xml:space="preserve">P-14</x:t>
  </x:si>
  <x:si>
    <x:t xml:space="preserve">../docs/components/popover/CHANGELOG.md</x:t>
  </x:si>
  <x:si>
    <x:t xml:space="preserve">P-15</x:t>
  </x:si>
  <x:si>
    <x:t xml:space="preserve">P-16</x:t>
  </x:si>
  <x:si>
    <x:t xml:space="preserve">Toggle Evidence</x:t>
  </x:si>
  <x:si>
    <x:t xml:space="preserve">../src/components/toggle</x:t>
  </x:si>
  <x:si>
    <x:t xml:space="preserve">../test/types/components/toggle.test.ts</x:t>
  </x:si>
  <x:si>
    <x:t xml:space="preserve">../src/components/toggle/toggle.css</x:t>
  </x:si>
  <x:si>
    <x:t xml:space="preserve">../test/components/toggle/toggle.test.tsx</x:t>
  </x:si>
  <x:si>
    <x:t xml:space="preserve">tests/components/toggle/behavior.spec.ts</x:t>
  </x:si>
  <x:si>
    <x:t xml:space="preserve">tests/components/toggle/behavior.spec.ts; tests/integration</x:t>
  </x:si>
  <x:si>
    <x:t xml:space="preserve">tests/components/toggle/visual.spec.ts</x:t>
  </x:si>
  <x:si>
    <x:t xml:space="preserve">manual-tests/toggle.md</x:t>
  </x:si>
  <x:si>
    <x:t xml:space="preserve">manual-tests/toggle.md; tests/components/toggle/behavior.spec.ts</x:t>
  </x:si>
  <x:si>
    <x:t xml:space="preserve">../docs/components/toggle/README.md</x:t>
  </x:si>
  <x:si>
    <x:t xml:space="preserve">../docs/components/toggle/CHANGELOG.md</x:t>
  </x:si>
  <x:si>
    <x:t xml:space="preserve">Toggle Group Evidence</x:t>
  </x:si>
  <x:si>
    <x:t xml:space="preserve">TG-01</x:t>
  </x:si>
  <x:si>
    <x:t xml:space="preserve">ToggleGroup</x:t>
  </x:si>
  <x:si>
    <x:t xml:space="preserve">../src/components/toggle-group</x:t>
  </x:si>
  <x:si>
    <x:t xml:space="preserve">TG-02</x:t>
  </x:si>
  <x:si>
    <x:t xml:space="preserve">TG-03</x:t>
  </x:si>
  <x:si>
    <x:t xml:space="preserve">../test/types/components/toggle-group.test.ts</x:t>
  </x:si>
  <x:si>
    <x:t xml:space="preserve">TG-04</x:t>
  </x:si>
  <x:si>
    <x:t xml:space="preserve">../src/components/toggle-group/toggle-group.css</x:t>
  </x:si>
  <x:si>
    <x:t xml:space="preserve">TG-05</x:t>
  </x:si>
  <x:si>
    <x:t xml:space="preserve">../test/components/toggle-group/toggle-group.test.tsx</x:t>
  </x:si>
  <x:si>
    <x:t xml:space="preserve">TG-06</x:t>
  </x:si>
  <x:si>
    <x:t xml:space="preserve">tests/components/toggle-group/behavior.spec.ts</x:t>
  </x:si>
  <x:si>
    <x:t xml:space="preserve">TG-07</x:t>
  </x:si>
  <x:si>
    <x:t xml:space="preserve">tests/components/toggle-group/behavior.spec.ts; tests/integration</x:t>
  </x:si>
  <x:si>
    <x:t xml:space="preserve">TG-08</x:t>
  </x:si>
  <x:si>
    <x:t xml:space="preserve">tests/components/toggle-group/visual.spec.ts</x:t>
  </x:si>
  <x:si>
    <x:t xml:space="preserve">TG-09</x:t>
  </x:si>
  <x:si>
    <x:t xml:space="preserve">manual-tests/toggle-group.md</x:t>
  </x:si>
  <x:si>
    <x:t xml:space="preserve">TG-10</x:t>
  </x:si>
  <x:si>
    <x:t xml:space="preserve">TG-11</x:t>
  </x:si>
  <x:si>
    <x:t xml:space="preserve">manual-tests/toggle-group.md; tests/components/toggle-group/behavior.spec.ts</x:t>
  </x:si>
  <x:si>
    <x:t xml:space="preserve">TG-12</x:t>
  </x:si>
  <x:si>
    <x:t xml:space="preserve">TG-13</x:t>
  </x:si>
  <x:si>
    <x:t xml:space="preserve">../docs/components/toggle-group/README.md</x:t>
  </x:si>
  <x:si>
    <x:t xml:space="preserve">TG-14</x:t>
  </x:si>
  <x:si>
    <x:t xml:space="preserve">../docs/components/toggle-group/CHANGELOG.md</x:t>
  </x:si>
  <x:si>
    <x:t xml:space="preserve">TG-15</x:t>
  </x:si>
  <x:si>
    <x:t xml:space="preserve">TG-16</x:t>
  </x:si>
  <x:si>
    <x:t xml:space="preserve">Stack Evidence</x:t>
  </x:si>
  <x:si>
    <x:t xml:space="preserve">S-01</x:t>
  </x:si>
  <x:si>
    <x:t xml:space="preserve">Stack, HStack, and VStack share one semantic root implementation with stable hooks and refs.</x:t>
  </x:si>
  <x:si>
    <x:t xml:space="preserve">../src/components/stack</x:t>
  </x:si>
  <x:si>
    <x:t xml:space="preserve">S-02</x:t>
  </x:si>
  <x:si>
    <x:t xml:space="preserve">Stack family</x:t>
  </x:si>
  <x:si>
    <x:t xml:space="preserve">Root and public Stack subpath exports expose all three runtimes and public types.</x:t>
  </x:si>
  <x:si>
    <x:t xml:space="preserve">S-03</x:t>
  </x:si>
  <x:si>
    <x:t xml:space="preserve">Stack family and Item</x:t>
  </x:si>
  <x:si>
    <x:t xml:space="preserve">Hosts, responsive direction/gap/alignment/distribution/wrapping/edge spacing, Item flex/alignment, native props, refs, and exclusions type-check.</x:t>
  </x:si>
  <x:si>
    <x:t xml:space="preserve">../test/types/components/stack.test.ts</x:t>
  </x:si>
  <x:si>
    <x:t xml:space="preserve">S-04</x:t>
  </x:si>
  <x:si>
    <x:t xml:space="preserve">Root and Item</x:t>
  </x:si>
  <x:si>
    <x:t xml:space="preserve">Static CSS ships flex layout, canonical responsive recipes, tokenized gaps, logical edge spacing, Item flex/alignment, wrapping, and containment.</x:t>
  </x:si>
  <x:si>
    <x:t xml:space="preserve">../src/components/stack/stack.css; ../src/styles/tokens.tokens.json</x:t>
  </x:si>
  <x:si>
    <x:t xml:space="preserve">S-05</x:t>
  </x:si>
  <x:si>
    <x:t xml:space="preserve">Defaults, responsive data contracts, family direction locks, Item recipes, semantic hosts, composition, hooks, events, and refs pass focused tests.</x:t>
  </x:si>
  <x:si>
    <x:t xml:space="preserve">../test/components/stack/stack.test.tsx</x:t>
  </x:si>
  <x:si>
    <x:t xml:space="preserve">S-06</x:t>
  </x:si>
  <x:si>
    <x:t xml:space="preserve">Real-browser axes, exact gaps, responsive arrangement and Item flex, wrapping, containment, semantics, refs, output, and customization pass.</x:t>
  </x:si>
  <x:si>
    <x:t xml:space="preserve">tests/components/stack/behavior.spec.ts</x:t>
  </x:si>
  <x:si>
    <x:t xml:space="preserve">S-07</x:t>
  </x:si>
  <x:si>
    <x:t xml:space="preserve">Responsive reflow preserves source order, semantic hosts, RTL logic, containment, and axe checks without adding roles or names.</x:t>
  </x:si>
  <x:si>
    <x:t xml:space="preserve">S-08</x:t>
  </x:si>
  <x:si>
    <x:t xml:space="preserve">Reviewed baselines cover defaults, family directions, gaps, alignment, wrapping, dark appearance, mobile RTL, and forced colors.</x:t>
  </x:si>
  <x:si>
    <x:t xml:space="preserve">tests/components/stack/visual.spec.ts</x:t>
  </x:si>
  <x:si>
    <x:t xml:space="preserve">Current Stack playground and visual baselines were reviewed during implementation.</x:t>
  </x:si>
  <x:si>
    <x:t xml:space="preserve">S-09</x:t>
  </x:si>
  <x:si>
    <x:t xml:space="preserve">Physical mobile, 200%/400% zoom, constrained wrapping, long content, and RTL remain readable and contained.</x:t>
  </x:si>
  <x:si>
    <x:t xml:space="preserve">manual-tests/stack.md</x:t>
  </x:si>
  <x:si>
    <x:t xml:space="preserve">Automated reflow and RTL evidence passes; the human manual run is intentionally pending.</x:t>
  </x:si>
  <x:si>
    <x:t xml:space="preserve">S-10</x:t>
  </x:si>
  <x:si>
    <x:t xml:space="preserve">Root</x:t>
  </x:si>
  <x:si>
    <x:t xml:space="preserve">Light, dark, forced-colors, focus-bearing children, and text-spacing stress retain understandable layout.</x:t>
  </x:si>
  <x:si>
    <x:t xml:space="preserve">manual-tests/stack.md; tests/components/stack/visual.spec.ts</x:t>
  </x:si>
  <x:si>
    <x:t xml:space="preserve">Automated appearance evidence passes; complete human appearance review is pending.</x:t>
  </x:si>
  <x:si>
    <x:t xml:space="preserve">S-11</x:t>
  </x:si>
  <x:si>
    <x:t xml:space="preserve">Every supported host, authored native attribute, DOM order, composed Item host, and rendered-output example match the public contract.</x:t>
  </x:si>
  <x:si>
    <x:t xml:space="preserve">../test/components/stack/stack.test.tsx; tests/components/stack/behavior.spec.ts</x:t>
  </x:si>
  <x:si>
    <x:t xml:space="preserve">S-12</x:t>
  </x:si>
  <x:si>
    <x:t xml:space="preserve">The component-owned manual protocol passes every Stack playground scenario.</x:t>
  </x:si>
  <x:si>
    <x:t xml:space="preserve">Protocol exists but the owner has deferred the human run.</x:t>
  </x:si>
  <x:si>
    <x:t xml:space="preserve">S-13</x:t>
  </x:si>
  <x:si>
    <x:t xml:space="preserve">Source-backed public usage, responsive values, Item sizing, semantics, accessibility, CSS, API, and agent guidance pass component checks.</x:t>
  </x:si>
  <x:si>
    <x:t xml:space="preserve">../docs/components/stack/README.md; ../src/components/stack/agent.md</x:t>
  </x:si>
  <x:si>
    <x:t xml:space="preserve">S-14</x:t>
  </x:si>
  <x:si>
    <x:t xml:space="preserve">Stack owns a public component changelog and the package changelog records responsive layout and Item additions.</x:t>
  </x:si>
  <x:si>
    <x:t xml:space="preserve">../docs/components/stack/CHANGELOG.md; ../CHANGELOG.md</x:t>
  </x:si>
  <x:si>
    <x:t xml:space="preserve">S-15</x:t>
  </x:si>
  <x:si>
    <x:t xml:space="preserve">HStack / VStack</x:t>
  </x:si>
  <x:si>
    <x:t xml:space="preserve">The packed Consumer proves realistic content and action composition through the public Stack subpath.</x:t>
  </x:si>
  <x:si>
    <x:t xml:space="preserve">S-16</x:t>
  </x:si>
  <x:si>
    <x:t xml:space="preserve">Build, SSR, exports, CSS, tarball, React 18/19, packed consumers, browser evidence, and playground Stack-adoption checks pass.</x:t>
  </x:si>
  <x:si>
    <x:t xml:space="preserve">../test/package; ../scripts/verify-package.mjs; ../scripts/verify-consumers.mjs; ../scripts/verify-playground-stack.mjs</x:t>
  </x:si>
  <x:si>
    <x:t xml:space="preserve">Automated package gates pass; complete status waits for the component-owned human manual run.</x:t>
  </x:si>
  <x:si>
    <x:t xml:space="preserve">Group Evidence</x:t>
  </x:si>
  <x:si>
    <x:t xml:space="preserve">G-01</x:t>
  </x:si>
  <x:si>
    <x:t xml:space="preserve">One native role-free host preserves authored direct children, native attributes, events, class, style, slot, and ref.</x:t>
  </x:si>
  <x:si>
    <x:t xml:space="preserve">../src/components/group/Group.tsx</x:t>
  </x:si>
  <x:si>
    <x:t xml:space="preserve">G-02</x:t>
  </x:si>
  <x:si>
    <x:t xml:space="preserve">Root and public group subpath exports expose the runtime and public types.</x:t>
  </x:si>
  <x:si>
    <x:t xml:space="preserve">../src/group.ts; ../src/index.ts; ../package.json</x:t>
  </x:si>
  <x:si>
    <x:t xml:space="preserve">G-03</x:t>
  </x:si>
  <x:si>
    <x:t xml:space="preserve">Closed hosts and orientations, spacing, attachment, growth, native props, refs, and exclusions type-check.</x:t>
  </x:si>
  <x:si>
    <x:t xml:space="preserve">../test/types/components/group.test.ts</x:t>
  </x:si>
  <x:si>
    <x:t xml:space="preserve">G-04</x:t>
  </x:si>
  <x:si>
    <x:t xml:space="preserve">Group and direct children</x:t>
  </x:si>
  <x:si>
    <x:t xml:space="preserve">Static CSS ships inline layout, tokenized gaps, attached logical corners, border overlap, equal growth, and local hover/focus stacking.</x:t>
  </x:si>
  <x:si>
    <x:t xml:space="preserve">../src/components/group/group.css</x:t>
  </x:si>
  <x:si>
    <x:t xml:space="preserve">G-05</x:t>
  </x:si>
  <x:si>
    <x:t xml:space="preserve">Defaults, host choice, orientations, attachment, growth, spacing, semantics, native props, hooks, events, and refs pass focused tests.</x:t>
  </x:si>
  <x:si>
    <x:t xml:space="preserve">../test/components/group/group.test.tsx</x:t>
  </x:si>
  <x:si>
    <x:t xml:space="preserve">G-06</x:t>
  </x:si>
  <x:si>
    <x:t xml:space="preserve">Real-browser gap, shared borders, outside corners, focus stacking, vertical attachment, equal growth, and narrow containment pass.</x:t>
  </x:si>
  <x:si>
    <x:t xml:space="preserve">tests/components/group/behavior.spec.ts</x:t>
  </x:si>
  <x:si>
    <x:t xml:space="preserve">G-07</x:t>
  </x:si>
  <x:si>
    <x:t xml:space="preserve">Group and controls</x:t>
  </x:si>
  <x:si>
    <x:t xml:space="preserve">Authored roles and names, independent Tab stops, source order, RTL logic, visible focus, containment, and axe pass without implicit semantics.</x:t>
  </x:si>
  <x:si>
    <x:t xml:space="preserve">G-08</x:t>
  </x:si>
  <x:si>
    <x:t xml:space="preserve">Reviewed baselines cover default, attached, mixed composition, dark customization, mobile stress, and RTL.</x:t>
  </x:si>
  <x:si>
    <x:t xml:space="preserve">tests/components/group/visual.spec.ts</x:t>
  </x:si>
  <x:si>
    <x:t xml:space="preserve">Visual baselines and owner review are pending.</x:t>
  </x:si>
  <x:si>
    <x:t xml:space="preserve">G-09</x:t>
  </x:si>
  <x:si>
    <x:t xml:space="preserve">Physical mobile, 200%/400% zoom, constrained long content, and RTL remain cohesive and reachable.</x:t>
  </x:si>
  <x:si>
    <x:t xml:space="preserve">manual-tests/group.md</x:t>
  </x:si>
  <x:si>
    <x:t xml:space="preserve">Automated narrow and RTL evidence passes; the human manual run is pending.</x:t>
  </x:si>
  <x:si>
    <x:t xml:space="preserve">G-10</x:t>
  </x:si>
  <x:si>
    <x:t xml:space="preserve">Group and children</x:t>
  </x:si>
  <x:si>
    <x:t xml:space="preserve">Light, dark, accent, radius, font, forced-colors, focus, disabled, and text-spacing stress retain child-owned paint and Group geometry.</x:t>
  </x:si>
  <x:si>
    <x:t xml:space="preserve">manual-tests/group.md; tests/components/group/visual.spec.ts</x:t>
  </x:si>
  <x:si>
    <x:t xml:space="preserve">Automated geometry evidence passes; complete human appearance review is pending.</x:t>
  </x:si>
  <x:si>
    <x:t xml:space="preserve">G-11</x:t>
  </x:si>
  <x:si>
    <x:t xml:space="preserve">Both hosts, authored native attributes, DOM order, role-free default, and explicitly named group output match the public contract.</x:t>
  </x:si>
  <x:si>
    <x:t xml:space="preserve">../test/components/group/group.test.tsx; tests/components/group/behavior.spec.ts</x:t>
  </x:si>
  <x:si>
    <x:t xml:space="preserve">G-12</x:t>
  </x:si>
  <x:si>
    <x:t xml:space="preserve">The component-owned manual protocol passes every Group scenario.</x:t>
  </x:si>
  <x:si>
    <x:t xml:space="preserve">Protocol exists; owner review is pending.</x:t>
  </x:si>
  <x:si>
    <x:t xml:space="preserve">G-13</x:t>
  </x:si>
  <x:si>
    <x:t xml:space="preserve">Source-backed public usage, boundaries, direct-child rules, accessibility, CSS, API, and Agent Knowledge pass component checks.</x:t>
  </x:si>
  <x:si>
    <x:t xml:space="preserve">../docs/components/group/README.md; ../src/components/group/agent.md</x:t>
  </x:si>
  <x:si>
    <x:t xml:space="preserve">G-14</x:t>
  </x:si>
  <x:si>
    <x:t xml:space="preserve">Group owns a public changelog and the package changelog records the consumer-visible layout addition.</x:t>
  </x:si>
  <x:si>
    <x:t xml:space="preserve">../docs/components/group/CHANGELOG.md; ../CHANGELOG.md</x:t>
  </x:si>
  <x:si>
    <x:t xml:space="preserve">G-15</x:t>
  </x:si>
  <x:si>
    <x:t xml:space="preserve">Attached Group</x:t>
  </x:si>
  <x:si>
    <x:t xml:space="preserve">The packed Consumer composes a named attached action cluster through the public group subpath.</x:t>
  </x:si>
  <x:si>
    <x:t xml:space="preserve">Consumer build passes; packed browser verification is pending.</x:t>
  </x:si>
  <x:si>
    <x:t xml:space="preserve">G-16</x:t>
  </x:si>
  <x:si>
    <x:t xml:space="preserve">Build, SSR, exports, CSS, tarball, React 18/19, packed consumers, and component browser checks pass.</x:t>
  </x:si>
  <x:si>
    <x:t xml:space="preserve">Focused gates pass; full package and human review remain pending.</x:t>
  </x:si>
  <x:si>
    <x:t xml:space="preserve">Tooltip Evidence</x:t>
  </x:si>
  <x:si>
    <x:t xml:space="preserve">../src/components/tooltip</x:t>
  </x:si>
  <x:si>
    <x:t xml:space="preserve">../test/types/components/tooltip.test.ts</x:t>
  </x:si>
  <x:si>
    <x:t xml:space="preserve">../src/components/tooltip/tooltip.css</x:t>
  </x:si>
  <x:si>
    <x:t xml:space="preserve">../test/components/tooltip/tooltip.test.tsx</x:t>
  </x:si>
  <x:si>
    <x:t xml:space="preserve">tests/components/tooltip/behavior.spec.ts</x:t>
  </x:si>
  <x:si>
    <x:t xml:space="preserve">tests/components/tooltip/behavior.spec.ts; tests/integration</x:t>
  </x:si>
  <x:si>
    <x:t xml:space="preserve">tests/components/tooltip/visual.spec.ts</x:t>
  </x:si>
  <x:si>
    <x:t xml:space="preserve">manual-tests/tooltip.md</x:t>
  </x:si>
  <x:si>
    <x:t xml:space="preserve">manual-tests/tooltip.md; tests/components/tooltip/behavior.spec.ts</x:t>
  </x:si>
  <x:si>
    <x:t xml:space="preserve">../docs/components/tooltip/README.md</x:t>
  </x:si>
  <x:si>
    <x:t xml:space="preserve">../docs/components/tooltip/CHANGELOG.md</x:t>
  </x:si>
  <x:si>
    <x:t xml:space="preserve">Grid Evidence</x:t>
  </x:si>
  <x:si>
    <x:t xml:space="preserve">Root / Item</x:t>
  </x:si>
  <x:si>
    <x:t xml:space="preserve">Grid.Root and optional Grid.Item render the approved native hosts, stable hooks, forwarded refs, and authored native attributes.</x:t>
  </x:si>
  <x:si>
    <x:t xml:space="preserve">../src/components/grid</x:t>
  </x:si>
  <x:si>
    <x:t xml:space="preserve">Root exports and the public Grid subpath expose the frozen compound runtime and all public Grid types.</x:t>
  </x:si>
  <x:si>
    <x:t xml:space="preserve">Closed hosts, explicit and intrinsic modes, gaps, alignment, placement, native props, refs, and invalid combinations type-check.</x:t>
  </x:si>
  <x:si>
    <x:t xml:space="preserve">../test/types/components/grid.test.ts</x:t>
  </x:si>
  <x:si>
    <x:t xml:space="preserve">Static CSS ships equal and intrinsic tracks, zero-through-six gaps, logical alignment, placement, containment, and public variable overrides.</x:t>
  </x:si>
  <x:si>
    <x:t xml:space="preserve">../src/components/grid/grid.css; ../src/styles/tokens.tokens.json</x:t>
  </x:si>
  <x:si>
    <x:t xml:space="preserve">Defaults, modes, recipes, placement, semantic hosts, native pass-through, hooks, events, refs, and exclusions pass focused tests.</x:t>
  </x:si>
  <x:si>
    <x:t xml:space="preserve">../test/components/grid/grid.test.tsx</x:t>
  </x:si>
  <x:si>
    <x:t xml:space="preserve">Real-browser exact columns, intrinsic reflow, gaps, alignment, output, refs, and customization pass across the supported browser matrix.</x:t>
  </x:si>
  <x:si>
    <x:t xml:space="preserve">tests/components/grid/behavior.spec.ts</x:t>
  </x:si>
  <x:si>
    <x:t xml:space="preserve">Item</x:t>
  </x:si>
  <x:si>
    <x:t xml:space="preserve">Real-browser spans, line placement, full width, self-alignment, containment, and source order pass across the supported browser matrix.</x:t>
  </x:si>
  <x:si>
    <x:t xml:space="preserve">Authored semantics, DOM and focus order, RTL logic, reflow containment, and axe pass without Grid inventing interactive grid semantics.</x:t>
  </x:si>
  <x:si>
    <x:t xml:space="preserve">Reviewed baselines cover defaults, modes, gaps, placement, dark appearance, mobile RTL, and forced colors.</x:t>
  </x:si>
  <x:si>
    <x:t xml:space="preserve">tests/components/grid/visual.spec.ts</x:t>
  </x:si>
  <x:si>
    <x:t xml:space="preserve">Current Grid playground and visual baselines were reviewed during implementation.</x:t>
  </x:si>
  <x:si>
    <x:t xml:space="preserve">Physical mobile, 200%/400% zoom, intrinsic reflow, constrained placement, long content, and RTL remain readable and contained.</x:t>
  </x:si>
  <x:si>
    <x:t xml:space="preserve">manual-tests/grid.md</x:t>
  </x:si>
  <x:si>
    <x:t xml:space="preserve">Light, dark, forced-colors, focus-bearing children, and text-spacing stress retain understandable layout and source order.</x:t>
  </x:si>
  <x:si>
    <x:t xml:space="preserve">manual-tests/grid.md; tests/components/grid/visual.spec.ts</x:t>
  </x:si>
  <x:si>
    <x:t xml:space="preserve">Supported semantic hosts, authored attributes, source order, rendered output, slots, and data hooks match the public contract.</x:t>
  </x:si>
  <x:si>
    <x:t xml:space="preserve">The component-owned manual protocol passes every Grid playground scenario.</x:t>
  </x:si>
  <x:si>
    <x:t xml:space="preserve">Source-backed public usage, defaults, modes, placement, semantics, accessibility, CSS, and API documentation pass component checks.</x:t>
  </x:si>
  <x:si>
    <x:t xml:space="preserve">../docs/components/grid/README.md</x:t>
  </x:si>
  <x:si>
    <x:t xml:space="preserve">Grid owns a public component changelog and the package changelog records the component addition.</x:t>
  </x:si>
  <x:si>
    <x:t xml:space="preserve">../docs/components/grid/CHANGELOG.md; ../CHANGELOG.md</x:t>
  </x:si>
  <x:si>
    <x:t xml:space="preserve">The packed Consumer proves realistic equal-track composition, intentional item span, and responsive public-variable overrides through the Grid subpath.</x:t>
  </x:si>
  <x:si>
    <x:t xml:space="preserve">G-17</x:t>
  </x:si>
  <x:si>
    <x:t xml:space="preserve">Build, SSR, exports, CSS, tarball, React 18/19, packed Consumer, browser matrix, and playground Grid-adoption checks pass.</x:t>
  </x:si>
  <x:si>
    <x:t xml:space="preserve">../test/package; ../scripts/verify-package.mjs; ../scripts/verify-consumers.mjs; ../scripts/verify-playground-grid.mjs</x:t>
  </x:si>
  <x:si>
    <x:t xml:space="preserve">Container Evidence</x:t>
  </x:si>
  <x:si>
    <x:t xml:space="preserve">Assertion-level package, browser, human-review, documentation, Consumer, and playground-boundary evidence.</x:t>
  </x:si>
  <x:si>
    <x:t xml:space="preserve">Container renders one approved native host with stable hooks, forwarded ref, authored children, and native attributes.</x:t>
  </x:si>
  <x:si>
    <x:t xml:space="preserve">../src/components/container</x:t>
  </x:si>
  <x:si>
    <x:t xml:space="preserve">Root exports and the public Container subpath expose the runtime component and every public Container type.</x:t>
  </x:si>
  <x:si>
    <x:t xml:space="preserve">Closed hosts, measures, gutters, native props, refs, and rejected arbitrary, responsive, viewport, and composition props type-check.</x:t>
  </x:si>
  <x:si>
    <x:t xml:space="preserve">../test/types/components/container.test.ts</x:t>
  </x:si>
  <x:si>
    <x:t xml:space="preserve">Static CSS ships border-box fluid sizing, five measures, four logical gutters, centering, containment, and public variable overrides.</x:t>
  </x:si>
  <x:si>
    <x:t xml:space="preserve">../src/components/container/container.css</x:t>
  </x:si>
  <x:si>
    <x:t xml:space="preserve">Defaults, every recipe, semantic hosts, one-root anatomy, pass-through, hooks, events, refs, and exclusions pass focused tests.</x:t>
  </x:si>
  <x:si>
    <x:t xml:space="preserve">../test/components/container/container.test.tsx</x:t>
  </x:si>
  <x:si>
    <x:t xml:space="preserve">Real-browser maximums, full width, gutters, border-box containment, output, refs, and exact customization pass across the supported matrix.</x:t>
  </x:si>
  <x:si>
    <x:t xml:space="preserve">tests/components/container/behavior.spec.ts</x:t>
  </x:si>
  <x:si>
    <x:t xml:space="preserve">Authored semantics, source/focus order, RTL and vertical logical sizing, reflow, focus visibility, and axe pass without invented roles.</x:t>
  </x:si>
  <x:si>
    <x:t xml:space="preserve">Reviewed baselines cover defaults, measures, gutters, dark customization, narrow RTL, and vertical writing.</x:t>
  </x:si>
  <x:si>
    <x:t xml:space="preserve">tests/components/container/visual.spec.ts</x:t>
  </x:si>
  <x:si>
    <x:t xml:space="preserve">Current Container playground and visual baselines were reviewed during implementation.</x:t>
  </x:si>
  <x:si>
    <x:t xml:space="preserve">Physical mobile, 200%/400% zoom, 320/256 CSS-pixel reflow, long content, RTL, and vertical writing remain usable and contained.</x:t>
  </x:si>
  <x:si>
    <x:t xml:space="preserve">manual-tests/container.md</x:t>
  </x:si>
  <x:si>
    <x:t xml:space="preserve">Automated reflow evidence passes; the human manual run is intentionally pending.</x:t>
  </x:si>
  <x:si>
    <x:t xml:space="preserve">Light, dark, forced colors, text spacing, and focus-bearing descendants preserve geometry and visibility.</x:t>
  </x:si>
  <x:si>
    <x:t xml:space="preserve">manual-tests/container.md; tests/components/container/visual.spec.ts</x:t>
  </x:si>
  <x:si>
    <x:t xml:space="preserve">Supported semantic hosts, authored attributes, one-root output, slot, measure, and gutter hooks match the public contract.</x:t>
  </x:si>
  <x:si>
    <x:t xml:space="preserve">The component-owned manual protocol passes every Container playground scenario.</x:t>
  </x:si>
  <x:si>
    <x:t xml:space="preserve">Protocol exists; the owner deferred the human run.</x:t>
  </x:si>
  <x:si>
    <x:t xml:space="preserve">Source-backed usage, defaults, geometry, semantics, accessibility, composition, CSS, customization, and API documentation pass checks.</x:t>
  </x:si>
  <x:si>
    <x:t xml:space="preserve">../docs/components/container/README.md</x:t>
  </x:si>
  <x:si>
    <x:t xml:space="preserve">Container owns a public component changelog and the package changelog records the component addition.</x:t>
  </x:si>
  <x:si>
    <x:t xml:space="preserve">../docs/components/container/CHANGELOG.md; ../CHANGELOG.md</x:t>
  </x:si>
  <x:si>
    <x:t xml:space="preserve">The packed Consumer proves the public Container subpath as a realistic page boundary containing Stack and Grid with responsive gutters.</x:t>
  </x:si>
  <x:si>
    <x:t xml:space="preserve">Shared main, header, scenario navigation, route-content, and footer boundaries use Container while App Bar and component-specific constraints remain excluded.</x:t>
  </x:si>
  <x:si>
    <x:t xml:space="preserve">../playground/src/shell/PlaygroundShell.tsx; ../scripts/verify-playground-container.mjs</x:t>
  </x:si>
  <x:si>
    <x:t xml:space="preserve">C-17</x:t>
  </x:si>
  <x:si>
    <x:t xml:space="preserve">Build, SSR, exports, CSS, tarball, React 18/19, packed Consumer, browser matrix, and Container-adoption checks pass.</x:t>
  </x:si>
  <x:si>
    <x:t xml:space="preserve">../test/package; ../scripts/verify-package.mjs; ../scripts/verify-consumers.mjs; ../scripts/verify-playground-container.mjs</x:t>
  </x:si>
  <x:si>
    <x:t xml:space="preserve">Surface Evidence</x:t>
  </x:si>
  <x:si>
    <x:t xml:space="preserve">Assertion-level package, browser, human-review, documentation, Consumer, and playground-ownership evidence.</x:t>
  </x:si>
  <x:si>
    <x:t xml:space="preserve">Surface renders one approved semantic host with stable hooks, forwarded ref, authored children, and native attributes.</x:t>
  </x:si>
  <x:si>
    <x:t xml:space="preserve">../src/components/surface</x:t>
  </x:si>
  <x:si>
    <x:t xml:space="preserve">Root exports and the public Surface subpath expose the runtime component and every public Surface type.</x:t>
  </x:si>
  <x:si>
    <x:t xml:space="preserve">Closed semantic hosts, levels, elevations, radii, six inset values, responsive inset grammar, native props, refs, and rejected composition props type-check.</x:t>
  </x:si>
  <x:si>
    <x:t xml:space="preserve">../test/types/components/surface.test.ts</x:t>
  </x:si>
  <x:si>
    <x:t xml:space="preserve">Static CSS ships semantic levels, independent border, elevation, radius, six theme-derived inset recipes, responsive inset breakpoints, forced-color handling, and public variable overrides.</x:t>
  </x:si>
  <x:si>
    <x:t xml:space="preserve">../src/components/surface/surface.css</x:t>
  </x:si>
  <x:si>
    <x:t xml:space="preserve">Defaults, every recipe, responsive inset serialization, semantic hosts, pass-through, hooks, events, refs, and exclusions pass focused tests.</x:t>
  </x:si>
  <x:si>
    <x:t xml:space="preserve">../test/components/surface/surface.test.tsx</x:t>
  </x:si>
  <x:si>
    <x:t xml:space="preserve">Real-browser levels, borders, elevations, radii, six insets, responsive inset breakpoints, nesting, semantic output, refs, and exact customization pass.</x:t>
  </x:si>
  <x:si>
    <x:t xml:space="preserve">tests/components/surface/behavior.spec.ts</x:t>
  </x:si>
  <x:si>
    <x:t xml:space="preserve">Authored semantics, focus-bearing descendants, RTL/reflow containment, and axe pass without invented roles or interaction.</x:t>
  </x:si>
  <x:si>
    <x:t xml:space="preserve">Reviewed baselines cover defaults, levels, borders, elevation, the complete six-value inset ladder, nesting, dark customization, mobile RTL, and forced colors.</x:t>
  </x:si>
  <x:si>
    <x:t xml:space="preserve">tests/components/surface/visual.spec.ts</x:t>
  </x:si>
  <x:si>
    <x:t xml:space="preserve">Current Surface playground and visual baselines were reviewed during implementation.</x:t>
  </x:si>
  <x:si>
    <x:t xml:space="preserve">The manual protocol covers physical mobile, 200%/400% zoom, responsive inset transitions, constrained content, long copy, nesting, and RTL containment.</x:t>
  </x:si>
  <x:si>
    <x:t xml:space="preserve">manual-tests/surface.md</x:t>
  </x:si>
  <x:si>
    <x:t xml:space="preserve">Light, dark, forced colors, text spacing, and focus-bearing descendants preserve boundaries, hierarchy, and contrast.</x:t>
  </x:si>
  <x:si>
    <x:t xml:space="preserve">manual-tests/surface.md; tests/components/surface/visual.spec.ts</x:t>
  </x:si>
  <x:si>
    <x:t xml:space="preserve">Supported semantic hosts, authored attributes, one-root output, slot, and recipe hooks match the public contract.</x:t>
  </x:si>
  <x:si>
    <x:t xml:space="preserve">The component-owned manual protocol passes every Surface playground scenario.</x:t>
  </x:si>
  <x:si>
    <x:t xml:space="preserve">Source-backed public and Agent Knowledge guidance covers defaults, recipes, responsive inset selection, semantics, accessibility, composition, CSS, customization, and API details.</x:t>
  </x:si>
  <x:si>
    <x:t xml:space="preserve">../docs/components/surface/README.md; ../src/components/surface/agent.json; ../src/components/surface/agent.md</x:t>
  </x:si>
  <x:si>
    <x:t xml:space="preserve">Surface and package changelogs record the larger responsive inset API and its evidence.</x:t>
  </x:si>
  <x:si>
    <x:t xml:space="preserve">../docs/components/surface/CHANGELOG.md; ../CHANGELOG.md</x:t>
  </x:si>
  <x:si>
    <x:t xml:space="preserve">The packed Consumer proves the public Surface subpath as a realistic painted workspace region with independent layout ownership.</x:t>
  </x:si>
  <x:si>
    <x:t xml:space="preserve">Shared generic evidence regions use Surface while component paint, diagnostics, layout, overlays, and native evidence retain their classified owners.</x:t>
  </x:si>
  <x:si>
    <x:t xml:space="preserve">../playground/docs/surface-adoption-audit.md; ../scripts/verify-playground-surface.mjs</x:t>
  </x:si>
  <x:si>
    <x:t xml:space="preserve">S-17</x:t>
  </x:si>
  <x:si>
    <x:t xml:space="preserve">Build, SSR, exports, CSS, tarball, React 18/19, packed Consumer, browser matrix, and Surface-adoption checks pass.</x:t>
  </x:si>
  <x:si>
    <x:t xml:space="preserve">../test/package; ../scripts/verify-package.mjs; ../scripts/verify-consumers.mjs; ../scripts/verify-playground-surface.mjs</x:t>
  </x:si>
  <x:si>
    <x:t xml:space="preserve">Divider Evidence</x:t>
  </x:si>
  <x:si>
    <x:t xml:space="preserve">Assertion-level Atom-backed package, browser, human-review, documentation, Consumer, and adoption evidence.</x:t>
  </x:si>
  <x:si>
    <x:t xml:space="preserve">Divider renders the adopted Atom-backed line, labeled anatomy, and composed-root mode with stable hooks and forwarded refs.</x:t>
  </x:si>
  <x:si>
    <x:t xml:space="preserve">../src/components/divider</x:t>
  </x:si>
  <x:si>
    <x:t xml:space="preserve">Root exports and the public Divider subpath expose the runtime component and every public Divider type.</x:t>
  </x:si>
  <x:si>
    <x:t xml:space="preserve">Line, label, composition, orientation, recipe, native attribute, ref, and invalid combination contracts type-check.</x:t>
  </x:si>
  <x:si>
    <x:t xml:space="preserve">../test/types/components/divider.test.ts</x:t>
  </x:si>
  <x:si>
    <x:t xml:space="preserve">Static CSS ships logical horizontal/vertical geometry, variants, thickness, inset, labels, stretch, RTL, and forced-color handling.</x:t>
  </x:si>
  <x:si>
    <x:t xml:space="preserve">../src/components/divider/divider.css</x:t>
  </x:si>
  <x:si>
    <x:t xml:space="preserve">Defaults, semantic ownership, every recipe, labeled anatomy, composition, pass-through, hooks, refs, and exclusions pass focused tests.</x:t>
  </x:si>
  <x:si>
    <x:t xml:space="preserve">../test/components/divider/divider.test.tsx</x:t>
  </x:si>
  <x:si>
    <x:t xml:space="preserve">Real-browser orientation, variants, thickness, inset, labels, stretch, output, refs, customization, RTL, and reflow pass.</x:t>
  </x:si>
  <x:si>
    <x:t xml:space="preserve">tests/components/divider/behavior.spec.ts</x:t>
  </x:si>
  <x:si>
    <x:t xml:space="preserve">Decorative and semantic separators, labeling, source order, RTL/reflow containment, focus visibility, and axe pass without splitter behavior.</x:t>
  </x:si>
  <x:si>
    <x:t xml:space="preserve">Reviewed baselines cover defaults, orientation, variants, thickness, labels, dark customization, mobile RTL, and forced colors.</x:t>
  </x:si>
  <x:si>
    <x:t xml:space="preserve">tests/components/divider/visual.spec.ts</x:t>
  </x:si>
  <x:si>
    <x:t xml:space="preserve">Current Divider mobile/RTL, forced-color, and complete visual baselines were reviewed during implementation.</x:t>
  </x:si>
  <x:si>
    <x:t xml:space="preserve">Physical mobile, 200%/400% zoom, long labels, constrained width, vertical stretch, and RTL remain readable and contained.</x:t>
  </x:si>
  <x:si>
    <x:t xml:space="preserve">manual-tests/divider.md</x:t>
  </x:si>
  <x:si>
    <x:t xml:space="preserve">Light, dark, forced colors, text spacing, and customized separators retain visible structural boundaries.</x:t>
  </x:si>
  <x:si>
    <x:t xml:space="preserve">manual-tests/divider.md; tests/components/divider/visual.spec.ts</x:t>
  </x:si>
  <x:si>
    <x:t xml:space="preserve">Decorative, semantic, labeled, horizontal, vertical, and composed output match the Atom-first public contract.</x:t>
  </x:si>
  <x:si>
    <x:t xml:space="preserve">The component-owned manual protocol passes every Divider playground scenario.</x:t>
  </x:si>
  <x:si>
    <x:t xml:space="preserve">Source-backed usage, defaults, recipes, labels, semantics, accessibility, composition, CSS, customization, and API documentation pass checks.</x:t>
  </x:si>
  <x:si>
    <x:t xml:space="preserve">../docs/components/divider/README.md</x:t>
  </x:si>
  <x:si>
    <x:t xml:space="preserve">Divider owns a public component changelog and the package changelog records the component addition.</x:t>
  </x:si>
  <x:si>
    <x:t xml:space="preserve">../docs/components/divider/CHANGELOG.md; ../CHANGELOG.md</x:t>
  </x:si>
  <x:si>
    <x:t xml:space="preserve">The packed Consumer proves the public Divider subpath as a semantic workspace break between adjacent content groups.</x:t>
  </x:si>
  <x:si>
    <x:t xml:space="preserve">Divider replaces authored separator concepts while component edges, focus, diagnostics, shell chrome, and Surface boundaries retain their owners.</x:t>
  </x:si>
  <x:si>
    <x:t xml:space="preserve">../playground/docs/divider-adoption-audit.md; ../scripts/verify-playground-divider.mjs</x:t>
  </x:si>
  <x:si>
    <x:t xml:space="preserve">D-17</x:t>
  </x:si>
  <x:si>
    <x:t xml:space="preserve">Build, SSR, exports, CSS, tarball, React 18/19, packed Consumer, browser matrix, and Divider-adoption checks pass.</x:t>
  </x:si>
  <x:si>
    <x:t xml:space="preserve">../test/package; ../scripts/verify-package.mjs; ../scripts/verify-consumers.mjs; ../scripts/verify-playground-divider.mjs</x:t>
  </x:si>
  <x:si>
    <x:t xml:space="preserve">Scroll Area Evidence</x:t>
  </x:si>
  <x:si>
    <x:t xml:space="preserve">Assertion-level Atom-backed package, browser, human-review, documentation, Consumer, visibility, and adoption evidence.</x:t>
  </x:si>
  <x:si>
    <x:t xml:space="preserve">SA-01</x:t>
  </x:si>
  <x:si>
    <x:t xml:space="preserve">Scroll Area renders Atom-backed Root and Viewport anatomy with forwarded refs and stable hooks.</x:t>
  </x:si>
  <x:si>
    <x:t xml:space="preserve">../src/components/scroll-area</x:t>
  </x:si>
  <x:si>
    <x:t xml:space="preserve">SA-02</x:t>
  </x:si>
  <x:si>
    <x:t xml:space="preserve">Root exports and the Scroll Area subpath expose the compound runtime and every public type.</x:t>
  </x:si>
  <x:si>
    <x:t xml:space="preserve">SA-03</x:t>
  </x:si>
  <x:si>
    <x:t xml:space="preserve">Orientation, gutter, visibility, composition, native props, and ref contracts type-check.</x:t>
  </x:si>
  <x:si>
    <x:t xml:space="preserve">../test/types/components/scroll-area.test.ts</x:t>
  </x:si>
  <x:si>
    <x:t xml:space="preserve">SA-04</x:t>
  </x:si>
  <x:si>
    <x:t xml:space="preserve">Static CSS ships axis ownership, gutter, visibility, focus, semantic colors, and forced-color behavior.</x:t>
  </x:si>
  <x:si>
    <x:t xml:space="preserve">../src/components/scroll-area/scroll-area.css</x:t>
  </x:si>
  <x:si>
    <x:t xml:space="preserve">SA-05</x:t>
  </x:si>
  <x:si>
    <x:t xml:space="preserve">Defaults, all closed recipes, semantics, forwarding, refs, and composition pass focused tests.</x:t>
  </x:si>
  <x:si>
    <x:t xml:space="preserve">../test/components/scroll-area/scroll-area.test.tsx</x:t>
  </x:si>
  <x:si>
    <x:t xml:space="preserve">SA-06</x:t>
  </x:si>
  <x:si>
    <x:t xml:space="preserve">Native vertical and horizontal movement, gutter, visibility, composition, refs, and reflow pass.</x:t>
  </x:si>
  <x:si>
    <x:t xml:space="preserve">tests/components/scroll-area/behavior.spec.ts</x:t>
  </x:si>
  <x:si>
    <x:t xml:space="preserve">SA-07</x:t>
  </x:si>
  <x:si>
    <x:t xml:space="preserve">Named focusable content, descendant reachability, focus visibility, containment, and axe pass.</x:t>
  </x:si>
  <x:si>
    <x:t xml:space="preserve">SA-08</x:t>
  </x:si>
  <x:si>
    <x:t xml:space="preserve">Baselines cover defaults, axes, gutter, visibility, dark appearance, mobile RTL, and forced colors.</x:t>
  </x:si>
  <x:si>
    <x:t xml:space="preserve">tests/components/scroll-area/visual.spec.ts</x:t>
  </x:si>
  <x:si>
    <x:t xml:space="preserve">Current Scroll Area visual baselines were reviewed during implementation.</x:t>
  </x:si>
  <x:si>
    <x:t xml:space="preserve">SA-09</x:t>
  </x:si>
  <x:si>
    <x:t xml:space="preserve">Physical mobile, zoom, RTL, writing mode, touch, and nested scroll handoff remain readable and usable.</x:t>
  </x:si>
  <x:si>
    <x:t xml:space="preserve">manual-tests/scroll-area.md</x:t>
  </x:si>
  <x:si>
    <x:t xml:space="preserve">SA-10</x:t>
  </x:si>
  <x:si>
    <x:t xml:space="preserve">Light, dark, forced colors, interaction visibility, focus, and customized scrollbars remain visible.</x:t>
  </x:si>
  <x:si>
    <x:t xml:space="preserve">manual-tests/scroll-area.md; tests/components/scroll-area/visual.spec.ts</x:t>
  </x:si>
  <x:si>
    <x:t xml:space="preserve">SA-11</x:t>
  </x:si>
  <x:si>
    <x:t xml:space="preserve">Plain content opts into a named region while interactive descendants avoid a redundant viewport stop.</x:t>
  </x:si>
  <x:si>
    <x:t xml:space="preserve">SA-12</x:t>
  </x:si>
  <x:si>
    <x:t xml:space="preserve">The component-owned protocol passes every Scroll Area playground scenario.</x:t>
  </x:si>
  <x:si>
    <x:t xml:space="preserve">SA-13</x:t>
  </x:si>
  <x:si>
    <x:t xml:space="preserve">Source-backed usage, defaults, axes, visibility, semantics, accessibility, composition, and API docs pass.</x:t>
  </x:si>
  <x:si>
    <x:t xml:space="preserve">../docs/components/scroll-area/README.md</x:t>
  </x:si>
  <x:si>
    <x:t xml:space="preserve">SA-14</x:t>
  </x:si>
  <x:si>
    <x:t xml:space="preserve">Scroll Area owns a public changelog and the package changelog records its addition.</x:t>
  </x:si>
  <x:si>
    <x:t xml:space="preserve">../docs/components/scroll-area/CHANGELOG.md; ../CHANGELOG.md</x:t>
  </x:si>
  <x:si>
    <x:t xml:space="preserve">SA-15</x:t>
  </x:si>
  <x:si>
    <x:t xml:space="preserve">The packed Consumer proves the public subpath in a constrained native recent-activity region.</x:t>
  </x:si>
  <x:si>
    <x:t xml:space="preserve">SA-16</x:t>
  </x:si>
  <x:si>
    <x:t xml:space="preserve">Intentional shell and fixture scrolling adopt Scroll Area while clipping, diagnostics, and code retain owners.</x:t>
  </x:si>
  <x:si>
    <x:t xml:space="preserve">../playground/docs/scroll-area-adoption-audit.md; ../scripts/verify-playground-scroll-area.mjs</x:t>
  </x:si>
  <x:si>
    <x:t xml:space="preserve">SA-17</x:t>
  </x:si>
  <x:si>
    <x:t xml:space="preserve">Build, SSR, exports, CSS, tarball, consumers, browser matrix, and adoption checks pass.</x:t>
  </x:si>
  <x:si>
    <x:t xml:space="preserve">../test/package; ../scripts/verify-consumers.mjs; ../scripts/verify-playground-scroll-area.mjs</x:t>
  </x:si>
  <x:si>
    <x:t xml:space="preserve">Automated package gates pass; complete status waits for the human manual run.</x:t>
  </x:si>
  <x:si>
    <x:t xml:space="preserve">Code Evidence</x:t>
  </x:si>
  <x:si>
    <x:t xml:space="preserve">Assertion-level inline semantics, recipes, browser, human-review, documentation, Consumer, and adoption evidence.</x:t>
  </x:si>
  <x:si>
    <x:t xml:space="preserve">CO-01</x:t>
  </x:si>
  <x:si>
    <x:t xml:space="preserve">Native code host, refs, slots, classes, styles, and closed recipes render from one server-safe component.</x:t>
  </x:si>
  <x:si>
    <x:t xml:space="preserve">../src/components/code</x:t>
  </x:si>
  <x:si>
    <x:t xml:space="preserve">CO-02</x:t>
  </x:si>
  <x:si>
    <x:t xml:space="preserve">Root and Code subpath exports expose the runtime and every public type.</x:t>
  </x:si>
  <x:si>
    <x:t xml:space="preserve">CO-03</x:t>
  </x:si>
  <x:si>
    <x:t xml:space="preserve">Recipes, native attributes, content, and HTMLElement ref contracts type-check.</x:t>
  </x:si>
  <x:si>
    <x:t xml:space="preserve">../test/types/components/code.test.ts</x:t>
  </x:si>
  <x:si>
    <x:t xml:space="preserve">CO-04</x:t>
  </x:si>
  <x:si>
    <x:t xml:space="preserve">Static CSS ships inline recipes, wrapping, forced colors, and public variables.</x:t>
  </x:si>
  <x:si>
    <x:t xml:space="preserve">../src/components/code/code.css</x:t>
  </x:si>
  <x:si>
    <x:t xml:space="preserve">CO-05</x:t>
  </x:si>
  <x:si>
    <x:t xml:space="preserve">Defaults, recipes, native forwarding, ref, events, and semantic host pass focused tests.</x:t>
  </x:si>
  <x:si>
    <x:t xml:space="preserve">../test/components/code/code.test.tsx</x:t>
  </x:si>
  <x:si>
    <x:t xml:space="preserve">CO-06</x:t>
  </x:si>
  <x:si>
    <x:t xml:space="preserve">Inline context, native output, wrapping, RTL, zoom, and focus neutrality pass.</x:t>
  </x:si>
  <x:si>
    <x:t xml:space="preserve">tests/components/code/behavior.spec.ts</x:t>
  </x:si>
  <x:si>
    <x:t xml:space="preserve">CO-07</x:t>
  </x:si>
  <x:si>
    <x:t xml:space="preserve">Native semantics, meaningful prose context, text spacing, and axe remain correct.</x:t>
  </x:si>
  <x:si>
    <x:t xml:space="preserve">CO-08</x:t>
  </x:si>
  <x:si>
    <x:t xml:space="preserve">Defaults, recipes, appearances, customization, narrow layout, and RTL own baselines.</x:t>
  </x:si>
  <x:si>
    <x:t xml:space="preserve">tests/components/code/visual.spec.ts</x:t>
  </x:si>
  <x:si>
    <x:t xml:space="preserve">Owner visual review completed against accepted desktop, dark RTL, 320 CSS px with 200% text spacing, mobile, and forced-color evidence on August 30, 2026.</x:t>
  </x:si>
  <x:si>
    <x:t xml:space="preserve">CO-09</x:t>
  </x:si>
  <x:si>
    <x:t xml:space="preserve">Long literals, narrow widths, RTL prose, zoom, and text spacing remain readable.</x:t>
  </x:si>
  <x:si>
    <x:t xml:space="preserve">manual-tests/code.md</x:t>
  </x:si>
  <x:si>
    <x:t xml:space="preserve">Protocol exists; human run is pending.</x:t>
  </x:si>
  <x:si>
    <x:t xml:space="preserve">CO-10</x:t>
  </x:si>
  <x:si>
    <x:t xml:space="preserve">The component-owned protocol covers every Code playground scenario.</x:t>
  </x:si>
  <x:si>
    <x:t xml:space="preserve">CO-11</x:t>
  </x:si>
  <x:si>
    <x:t xml:space="preserve">Source-backed usage, recipes, semantics, API, tokens, and exclusions pass.</x:t>
  </x:si>
  <x:si>
    <x:t xml:space="preserve">../docs/components/code/README.md</x:t>
  </x:si>
  <x:si>
    <x:t xml:space="preserve">CO-12</x:t>
  </x:si>
  <x:si>
    <x:t xml:space="preserve">Code owns a public changelog and the package changelog records its addition.</x:t>
  </x:si>
  <x:si>
    <x:t xml:space="preserve">../docs/components/code/CHANGELOG.md; ../CHANGELOG.md</x:t>
  </x:si>
  <x:si>
    <x:t xml:space="preserve">CO-13</x:t>
  </x:si>
  <x:si>
    <x:t xml:space="preserve">The packed Consumer proves the public subpath in realistic prose.</x:t>
  </x:si>
  <x:si>
    <x:t xml:space="preserve">CO-14</x:t>
  </x:si>
  <x:si>
    <x:t xml:space="preserve">Inline technical displays adopt Code and raw code hosts are rejected.</x:t>
  </x:si>
  <x:si>
    <x:t xml:space="preserve">docs/code-adoption-audit.md; ../scripts/verify-playground-code.mjs</x:t>
  </x:si>
  <x:si>
    <x:t xml:space="preserve">CO-15</x:t>
  </x:si>
  <x:si>
    <x:t xml:space="preserve">Code Block Evidence</x:t>
  </x:si>
  <x:si>
    <x:t xml:space="preserve">Assertion-level source, adapter, line metadata, collapse, Clipboard, browser, documentation, Consumer, and release evidence.</x:t>
  </x:si>
  <x:si>
    <x:t xml:space="preserve">CB-01</x:t>
  </x:si>
  <x:si>
    <x:t xml:space="preserve">Root and anatomy</x:t>
  </x:si>
  <x:si>
    <x:t xml:space="preserve">Atom Clipboard Root plus Header, Title, Language, Actions, Content, line, and copy parts compose correctly.</x:t>
  </x:si>
  <x:si>
    <x:t xml:space="preserve">../src/components/code-block</x:t>
  </x:si>
  <x:si>
    <x:t xml:space="preserve">CB-02</x:t>
  </x:si>
  <x:si>
    <x:t xml:space="preserve">Content</x:t>
  </x:si>
  <x:si>
    <x:t xml:space="preserve">Content composes one Scroll Area viewport and canonical pre &gt; Brick Code markup.</x:t>
  </x:si>
  <x:si>
    <x:t xml:space="preserve">../test/components/code-block/code-block.test.tsx</x:t>
  </x:si>
  <x:si>
    <x:t xml:space="preserve">CB-03</x:t>
  </x:si>
  <x:si>
    <x:t xml:space="preserve">Adapter</x:t>
  </x:si>
  <x:si>
    <x:t xml:space="preserve">Root and Content</x:t>
  </x:si>
  <x:si>
    <x:t xml:space="preserve">The optional synchronous adapter is lazy, memoized per source identity, React-safe, and shared by preview and full content.</x:t>
  </x:si>
  <x:si>
    <x:t xml:space="preserve">CB-04</x:t>
  </x:si>
  <x:si>
    <x:t xml:space="preserve">Line metadata</x:t>
  </x:si>
  <x:si>
    <x:t xml:space="preserve">Line</x:t>
  </x:si>
  <x:si>
    <x:t xml:space="preserve">Numbers, highlighted and focused lines, additions, removals, combinations, and public data hooks render from explicit metadata.</x:t>
  </x:si>
  <x:si>
    <x:t xml:space="preserve">CB-05</x:t>
  </x:si>
  <x:si>
    <x:t xml:space="preserve">Collapse</x:t>
  </x:si>
  <x:si>
    <x:t xml:space="preserve">Collapse parts</x:t>
  </x:si>
  <x:si>
    <x:t xml:space="preserve">Bounded content and the preview/expanded path compose exact Brick Collapsible anatomy with truthful hidden and trigger relationships.</x:t>
  </x:si>
  <x:si>
    <x:t xml:space="preserve">tests/components/code-block/behavior.spec.ts</x:t>
  </x:si>
  <x:si>
    <x:t xml:space="preserve">CB-06</x:t>
  </x:si>
  <x:si>
    <x:t xml:space="preserve">Clipboard</x:t>
  </x:si>
  <x:si>
    <x:t xml:space="preserve">Copy parts</x:t>
  </x:si>
  <x:si>
    <x:t xml:space="preserve">CopyTrigger, indicators, status, pending, success, failure, timeout, and disabled state copy canonical plain source through Atom Clipboard.</x:t>
  </x:si>
  <x:si>
    <x:t xml:space="preserve">CB-07</x:t>
  </x:si>
  <x:si>
    <x:t xml:space="preserve">Root, Code Block, adapter, line, and collapse subpath exports expose every public runtime and type.</x:t>
  </x:si>
  <x:si>
    <x:t xml:space="preserve">CB-08</x:t>
  </x:si>
  <x:si>
    <x:t xml:space="preserve">Anatomy, recipes, adapter, line metadata, maximum lines, collapse parts, native props, and refs type-check.</x:t>
  </x:si>
  <x:si>
    <x:t xml:space="preserve">../test/types/components/code-block.test.ts</x:t>
  </x:si>
  <x:si>
    <x:t xml:space="preserve">CB-09</x:t>
  </x:si>
  <x:si>
    <x:t xml:space="preserve">Static CSS ships surfaces, overflow, wrapping, line states, bounded height, collapse, selection, focus, forced colors, and public variables.</x:t>
  </x:si>
  <x:si>
    <x:t xml:space="preserve">../src/components/code-block/code-block.css</x:t>
  </x:si>
  <x:si>
    <x:t xml:space="preserve">CB-10</x:t>
  </x:si>
  <x:si>
    <x:t xml:space="preserve">Defaults, adapter lifecycle, explicit children, line metadata, copy authority, bounded height, and collapse composition pass.</x:t>
  </x:si>
  <x:si>
    <x:t xml:space="preserve">CB-11</x:t>
  </x:si>
  <x:si>
    <x:t xml:space="preserve">Scrolling, maximum lines, expansion, keyboard control, copy outcomes, focus retention, disabled state, RTL, and reflow pass.</x:t>
  </x:si>
  <x:si>
    <x:t xml:space="preserve">CB-12</x:t>
  </x:si>
  <x:si>
    <x:t xml:space="preserve">Content and controls</x:t>
  </x:si>
  <x:si>
    <x:t xml:space="preserve">Named scroll regions, hidden lifecycle, trigger relationships, truthful live feedback, keyboard reachability, and axe pass.</x:t>
  </x:si>
  <x:si>
    <x:t xml:space="preserve">CB-13</x:t>
  </x:si>
  <x:si>
    <x:t xml:space="preserve">Defaults, line metadata, bounded and expanded presentations, copy, appearances, mobile, and RTL own baselines.</x:t>
  </x:si>
  <x:si>
    <x:t xml:space="preserve">tests/components/code-block/visual.spec.ts</x:t>
  </x:si>
  <x:si>
    <x:t xml:space="preserve">CB-14</x:t>
  </x:si>
  <x:si>
    <x:t xml:space="preserve">Mobile, zoom, long lines, many lines, bounded height, RTL chrome, LTR source, and selection remain usable.</x:t>
  </x:si>
  <x:si>
    <x:t xml:space="preserve">manual-tests/code-block.md</x:t>
  </x:si>
  <x:si>
    <x:t xml:space="preserve">CB-15</x:t>
  </x:si>
  <x:si>
    <x:t xml:space="preserve">Line states, diff colors, focus, surfaces, selection, and controls remain legible in light, dark, and forced colors.</x:t>
  </x:si>
  <x:si>
    <x:t xml:space="preserve">manual-tests/code-block.md; tests/components/code-block/visual.spec.ts</x:t>
  </x:si>
  <x:si>
    <x:t xml:space="preserve">CB-16</x:t>
  </x:si>
  <x:si>
    <x:t xml:space="preserve">The component-owned protocol covers every Code Block playground scenario, including line metadata and collapse.</x:t>
  </x:si>
  <x:si>
    <x:t xml:space="preserve">CB-17</x:t>
  </x:si>
  <x:si>
    <x:t xml:space="preserve">Source-backed anatomy, adapter boundary, line metadata, collapse, copy ownership, accessibility, API, and tokens pass.</x:t>
  </x:si>
  <x:si>
    <x:t xml:space="preserve">../docs/components/code-block/README.md</x:t>
  </x:si>
  <x:si>
    <x:t xml:space="preserve">CB-18</x:t>
  </x:si>
  <x:si>
    <x:t xml:space="preserve">Code Block owns a public changelog and the package changelog records the extension.</x:t>
  </x:si>
  <x:si>
    <x:t xml:space="preserve">../docs/components/code-block/CHANGELOG.md; ../CHANGELOG.md</x:t>
  </x:si>
  <x:si>
    <x:t xml:space="preserve">CB-19</x:t>
  </x:si>
  <x:si>
    <x:t xml:space="preserve">The packed Consumer proves public anatomy, native source, adapter-safe output, line metadata, and copy action.</x:t>
  </x:si>
  <x:si>
    <x:t xml:space="preserve">CB-20</x:t>
  </x:si>
  <x:si>
    <x:t xml:space="preserve">Build, SSR, exports, CSS, Agent Knowledge, tarball, consumers, React matrix, browser matrix, and adoption pass.</x:t>
  </x:si>
  <x:si>
    <x:t xml:space="preserve">Nav List Evidence</x:t>
  </x:si>
  <x:si>
    <x:t xml:space="preserve">Assertion-level Atom anatomy, recipes, disclosure, browser, human-review, documentation, Consumer, and adoption evidence.</x:t>
  </x:si>
  <x:si>
    <x:t xml:space="preserve">NL-01</x:t>
  </x:si>
  <x:si>
    <x:t xml:space="preserve">Root, List, Item, Link, Section, SectionLabel, SectionTrigger, and SectionContent compose correctly.</x:t>
  </x:si>
  <x:si>
    <x:t xml:space="preserve">automated</x:t>
  </x:si>
  <x:si>
    <x:t xml:space="preserve">NL-02</x:t>
  </x:si>
  <x:si>
    <x:t xml:space="preserve">Recipes</x:t>
  </x:si>
  <x:si>
    <x:t xml:space="preserve">Soft, solid, and outline; accent and neutral; small, medium, and large preserve declared defaults.</x:t>
  </x:si>
  <x:si>
    <x:t xml:space="preserve">NL-03</x:t>
  </x:si>
  <x:si>
    <x:t xml:space="preserve">Leading content, trailing content, descriptions, current, disabled, and composition remain aligned and semantic.</x:t>
  </x:si>
  <x:si>
    <x:t xml:space="preserve">NL-04</x:t>
  </x:si>
  <x:si>
    <x:t xml:space="preserve">Sections</x:t>
  </x:si>
  <x:si>
    <x:t xml:space="preserve">Disclosure</x:t>
  </x:si>
  <x:si>
    <x:t xml:space="preserve">Labeled, controlled, uncontrolled, disabled, and non-collapsible sections preserve Atom relationships.</x:t>
  </x:si>
  <x:si>
    <x:t xml:space="preserve">NL-05</x:t>
  </x:si>
  <x:si>
    <x:t xml:space="preserve">Root and Nav List subpath exports expose the compound runtime and every public type.</x:t>
  </x:si>
  <x:si>
    <x:t xml:space="preserve">NL-06</x:t>
  </x:si>
  <x:si>
    <x:t xml:space="preserve">Anatomy, recipes, native props, composition, and refs type-check.</x:t>
  </x:si>
  <x:si>
    <x:t xml:space="preserve">NL-07</x:t>
  </x:si>
  <x:si>
    <x:t xml:space="preserve">Static CSS ships state, orientation, focus, forced-colors, logical layout, and public tokens.</x:t>
  </x:si>
  <x:si>
    <x:t xml:space="preserve">NL-08</x:t>
  </x:si>
  <x:si>
    <x:t xml:space="preserve">Defaults, disclosure, disabled state, composition, horizontal wrapping, and RTL pass.</x:t>
  </x:si>
  <x:si>
    <x:t xml:space="preserve">NL-09</x:t>
  </x:si>
  <x:si>
    <x:t xml:space="preserve">Navigation anatomy</x:t>
  </x:si>
  <x:si>
    <x:t xml:space="preserve">Names, lists, current state, disabled state, disclosure relationships, keyboard use, and axe pass.</x:t>
  </x:si>
  <x:si>
    <x:t xml:space="preserve">NL-10</x:t>
  </x:si>
  <x:si>
    <x:t xml:space="preserve">Defaults, recipes, content, sections, output, appearances, mobile, RTL, and forced colors own baselines.</x:t>
  </x:si>
  <x:si>
    <x:t xml:space="preserve">NL-11</x:t>
  </x:si>
  <x:si>
    <x:t xml:space="preserve">The component-owned protocol covers every Nav List playground scenario.</x:t>
  </x:si>
  <x:si>
    <x:t xml:space="preserve">not run</x:t>
  </x:si>
  <x:si>
    <x:t xml:space="preserve">NL-12</x:t>
  </x:si>
  <x:si>
    <x:t xml:space="preserve">Source-backed ownership, anatomy, accessibility, API, CSS, and examples pass the documentation contract.</x:t>
  </x:si>
  <x:si>
    <x:t xml:space="preserve">NL-13</x:t>
  </x:si>
  <x:si>
    <x:t xml:space="preserve">Nav List owns a public changelog and the package changelog records its addition.</x:t>
  </x:si>
  <x:si>
    <x:t xml:space="preserve">NL-14</x:t>
  </x:si>
  <x:si>
    <x:t xml:space="preserve">The packed Consumer proves the public subpath in realistic workspace navigation.</x:t>
  </x:si>
  <x:si>
    <x:t xml:space="preserve">NL-15</x:t>
  </x:si>
  <x:si>
    <x:t xml:space="preserve">The route covers all approved scenarios and the shell adopts public Nav List anatomy.</x:t>
  </x:si>
  <x:si>
    <x:t xml:space="preserve">NL-16</x:t>
  </x:si>
  <x:si>
    <x:t xml:space="preserve">Build, SSR, exports, CSS, Atom dependency, tarball, consumers, browser matrix, and adoption pass.</x:t>
  </x:si>
  <x:si>
    <x:t xml:space="preserve">Sidebar Evidence</x:t>
  </x:si>
  <x:si>
    <x:t xml:space="preserve">Assertion-level Atom anatomy, app-shell geometry, recipes, states, browser, human-review, documentation, Consumer, and adoption evidence.</x:t>
  </x:si>
  <x:si>
    <x:t xml:space="preserve">SB-01</x:t>
  </x:si>
  <x:si>
    <x:t xml:space="preserve">Seven parts</x:t>
  </x:si>
  <x:si>
    <x:t xml:space="preserve">Root, Trigger, Panel, Header, Content, Footer, and Main compose with exact Atom and Brick ownership.</x:t>
  </x:si>
  <x:si>
    <x:t xml:space="preserve">../src/components/sidebar</x:t>
  </x:si>
  <x:si>
    <x:t xml:space="preserve">SB-02</x:t>
  </x:si>
  <x:si>
    <x:t xml:space="preserve">State</x:t>
  </x:si>
  <x:si>
    <x:t xml:space="preserve">Controlled/uncontrolled expanded, rail, offcanvas, targets, side, and disabled state preserve Atom 0.20.11.</x:t>
  </x:si>
  <x:si>
    <x:t xml:space="preserve">../test/components/sidebar/sidebar.test.tsx</x:t>
  </x:si>
  <x:si>
    <x:t xml:space="preserve">SB-03</x:t>
  </x:si>
  <x:si>
    <x:t xml:space="preserve">Root and Panel</x:t>
  </x:si>
  <x:si>
    <x:t xml:space="preserve">Docked/floating, small/medium/large, and static/sticky preserve declared defaults and geometry.</x:t>
  </x:si>
  <x:si>
    <x:t xml:space="preserve">../playground/tests/components/sidebar/behavior.spec.ts</x:t>
  </x:si>
  <x:si>
    <x:t xml:space="preserve">SB-04</x:t>
  </x:si>
  <x:si>
    <x:t xml:space="preserve">Trigger and Panel</x:t>
  </x:si>
  <x:si>
    <x:t xml:space="preserve">Generated relationships, native activation, disabled state, inert offcanvas content, landmarks, and rail names pass.</x:t>
  </x:si>
  <x:si>
    <x:t xml:space="preserve">SB-05</x:t>
  </x:si>
  <x:si>
    <x:t xml:space="preserve">All parts</x:t>
  </x:si>
  <x:si>
    <x:t xml:space="preserve">Native props, refs, render, asChild, classes, styles, and slot overrides preserve output.</x:t>
  </x:si>
  <x:si>
    <x:t xml:space="preserve">SB-06</x:t>
  </x:si>
  <x:si>
    <x:t xml:space="preserve">Root and Sidebar subpath exports expose runtime and public types.</x:t>
  </x:si>
  <x:si>
    <x:t xml:space="preserve">SB-07</x:t>
  </x:si>
  <x:si>
    <x:t xml:space="preserve">Recipes, Atom props, refs, composition, and Root size collision type-check.</x:t>
  </x:si>
  <x:si>
    <x:t xml:space="preserve">../test/types/components/sidebar.test.ts</x:t>
  </x:si>
  <x:si>
    <x:t xml:space="preserve">SB-08</x:t>
  </x:si>
  <x:si>
    <x:t xml:space="preserve">Static CSS ships state/side geometry, regions, focus, motion preferences, forced colors, and public variables.</x:t>
  </x:si>
  <x:si>
    <x:t xml:space="preserve">../src/components/sidebar/sidebar.css</x:t>
  </x:si>
  <x:si>
    <x:t xml:space="preserve">SB-09</x:t>
  </x:si>
  <x:si>
    <x:t xml:space="preserve">Defaults, states, variants, sizes, placement, regions, behavior, appearance, stress, and forced colors own reviewed baselines.</x:t>
  </x:si>
  <x:si>
    <x:t xml:space="preserve">../playground/tests/components/sidebar/visual.spec.ts</x:t>
  </x:si>
  <x:si>
    <x:t xml:space="preserve">Human run pending.</x:t>
  </x:si>
  <x:si>
    <x:t xml:space="preserve">SB-10</x:t>
  </x:si>
  <x:si>
    <x:t xml:space="preserve">Main containment, zero offcanvas track, right placement, sticky height, narrow floating, low height, zoom, and reduced motion remain usable.</x:t>
  </x:si>
  <x:si>
    <x:t xml:space="preserve">../playground/manual-tests/sidebar.md</x:t>
  </x:si>
  <x:si>
    <x:t xml:space="preserve">SB-11</x:t>
  </x:si>
  <x:si>
    <x:t xml:space="preserve">The component-owned protocol covers every Sidebar playground scenario.</x:t>
  </x:si>
  <x:si>
    <x:t xml:space="preserve">SB-12</x:t>
  </x:si>
  <x:si>
    <x:t xml:space="preserve">Source-backed ownership, anatomy, states, recipes, Drawer boundary, accessibility, API, and tokens pass.</x:t>
  </x:si>
  <x:si>
    <x:t xml:space="preserve">../docs/components/sidebar/README.md</x:t>
  </x:si>
  <x:si>
    <x:t xml:space="preserve">SB-13</x:t>
  </x:si>
  <x:si>
    <x:t xml:space="preserve">Sidebar owns a public changelog and package changelog entry.</x:t>
  </x:si>
  <x:si>
    <x:t xml:space="preserve">../docs/components/sidebar/CHANGELOG.md; ../CHANGELOG.md</x:t>
  </x:si>
  <x:si>
    <x:t xml:space="preserve">SB-14</x:t>
  </x:si>
  <x:si>
    <x:t xml:space="preserve">The packed Consumer proves public Sidebar with Nav List and an external Trigger.</x:t>
  </x:si>
  <x:si>
    <x:t xml:space="preserve">SB-15</x:t>
  </x:si>
  <x:si>
    <x:t xml:space="preserve">Adoption</x:t>
  </x:si>
  <x:si>
    <x:t xml:space="preserve">The route covers all scenarios and desktop shell adopts Sidebar while mobile Drawer policy remains application-owned.</x:t>
  </x:si>
  <x:si>
    <x:t xml:space="preserve">adoption</x:t>
  </x:si>
  <x:si>
    <x:t xml:space="preserve">../scripts/verify-playground-sidebar.mjs</x:t>
  </x:si>
  <x:si>
    <x:t xml:space="preserve">SB-16</x:t>
  </x:si>
  <x:si>
    <x:t xml:space="preserve">Icon Evidence</x:t>
  </x:si>
  <x:si>
    <x:t xml:space="preserve">Assertion-level SVG presentation, accessibility, recipes, browser, human-review, documentation, Consumer, and scoped adoption evidence.</x:t>
  </x:si>
  <x:si>
    <x:t xml:space="preserve">IC-01</x:t>
  </x:si>
  <x:si>
    <x:t xml:space="preserve">Default wrapper and SVG-only asChild composition preserve one source graphic with deterministic props and ref.</x:t>
  </x:si>
  <x:si>
    <x:t xml:space="preserve">../src/components/icon</x:t>
  </x:si>
  <x:si>
    <x:t xml:space="preserve">IC-02</x:t>
  </x:si>
  <x:si>
    <x:t xml:space="preserve">Decorative default, direct label, and label-reference modes emit mutually exclusive native image semantics.</x:t>
  </x:si>
  <x:si>
    <x:t xml:space="preserve">../test/components/icon/icon.test.tsx</x:t>
  </x:si>
  <x:si>
    <x:t xml:space="preserve">IC-03</x:t>
  </x:si>
  <x:si>
    <x:t xml:space="preserve">Six sizes, nine semantic tones, default medium inherited presentation, and currentColor remain exact.</x:t>
  </x:si>
  <x:si>
    <x:t xml:space="preserve">../playground/tests/components/icon/behavior.spec.ts</x:t>
  </x:si>
  <x:si>
    <x:t xml:space="preserve">IC-04</x:t>
  </x:si>
  <x:si>
    <x:t xml:space="preserve">Direction</x:t>
  </x:si>
  <x:si>
    <x:t xml:space="preserve">Only directional icons mirror in genuine RTL; non-directional sources retain identity.</x:t>
  </x:si>
  <x:si>
    <x:t xml:space="preserve">IC-05</x:t>
  </x:si>
  <x:si>
    <x:t xml:space="preserve">Sources</x:t>
  </x:si>
  <x:si>
    <x:t xml:space="preserve">Graphic</x:t>
  </x:si>
  <x:si>
    <x:t xml:space="preserve">Inline, reusable React SVG, external-library-shaped, and fixed multicolor sources preserve authored geometry and fills.</x:t>
  </x:si>
  <x:si>
    <x:t xml:space="preserve">../playground/src/components/icon/IconPage.tsx</x:t>
  </x:si>
  <x:si>
    <x:t xml:space="preserve">IC-06</x:t>
  </x:si>
  <x:si>
    <x:t xml:space="preserve">Native props, classes, styles, slot override, wrapper-free SVG, and ref composition preserve output.</x:t>
  </x:si>
  <x:si>
    <x:t xml:space="preserve">IC-07</x:t>
  </x:si>
  <x:si>
    <x:t xml:space="preserve">Root and Icon subpath exports expose runtime and public types.</x:t>
  </x:si>
  <x:si>
    <x:t xml:space="preserve">IC-08</x:t>
  </x:si>
  <x:si>
    <x:t xml:space="preserve">Closed recipes and mutually exclusive accessibility modes reject invalid hosts, colors, sizes, and label combinations.</x:t>
  </x:si>
  <x:si>
    <x:t xml:space="preserve">../test/types/components/icon.test.ts</x:t>
  </x:si>
  <x:si>
    <x:t xml:space="preserve">IC-09</x:t>
  </x:si>
  <x:si>
    <x:t xml:space="preserve">Static CSS ships sizing, semantic foregrounds, direction, forced colors, and documented public properties.</x:t>
  </x:si>
  <x:si>
    <x:t xml:space="preserve">../src/components/icon/icon.css</x:t>
  </x:si>
  <x:si>
    <x:t xml:space="preserve">IC-10</x:t>
  </x:si>
  <x:si>
    <x:t xml:space="preserve">Defaults, sizes, tones, sources, direction, appearance, stress, and forced colors own reviewable baselines.</x:t>
  </x:si>
  <x:si>
    <x:t xml:space="preserve">../playground/tests/components/icon/visual.spec.ts</x:t>
  </x:si>
  <x:si>
    <x:t xml:space="preserve">IC-11</x:t>
  </x:si>
  <x:si>
    <x:t xml:space="preserve">Narrow frames, large sizes, long referenced labels, zoom, text spacing, and mobile widths remain contained.</x:t>
  </x:si>
  <x:si>
    <x:t xml:space="preserve">../playground/manual-tests/icon.md</x:t>
  </x:si>
  <x:si>
    <x:t xml:space="preserve">IC-12</x:t>
  </x:si>
  <x:si>
    <x:t xml:space="preserve">The concise protocol covers every Icon playground scenario and assistive-technology mode.</x:t>
  </x:si>
  <x:si>
    <x:t xml:space="preserve">IC-13</x:t>
  </x:si>
  <x:si>
    <x:t xml:space="preserve">Source-backed ownership, SVG boundary, accessibility, API, recipes, tokens, and composition pass.</x:t>
  </x:si>
  <x:si>
    <x:t xml:space="preserve">../docs/components/icon/README.md</x:t>
  </x:si>
  <x:si>
    <x:t xml:space="preserve">IC-14</x:t>
  </x:si>
  <x:si>
    <x:t xml:space="preserve">Icon owns a public changelog and package changelog entry.</x:t>
  </x:si>
  <x:si>
    <x:t xml:space="preserve">../docs/components/icon/CHANGELOG.md; ../CHANGELOG.md</x:t>
  </x:si>
  <x:si>
    <x:t xml:space="preserve">IC-15</x:t>
  </x:si>
  <x:si>
    <x:t xml:space="preserve">The Consumer proves the public Icon subpath inside a named IconButton.</x:t>
  </x:si>
  <x:si>
    <x:t xml:space="preserve">IC-16</x:t>
  </x:si>
  <x:si>
    <x:t xml:space="preserve">The route covers all scenarios and shell adoption follows explicit component-owned exclusions.</x:t>
  </x:si>
  <x:si>
    <x:t xml:space="preserve">../scripts/verify-playground-icon.mjs; ../playground/docs/icon-adoption-audit.md</x:t>
  </x:si>
  <x:si>
    <x:t xml:space="preserve">IC-17</x:t>
  </x:si>
  <x:si>
    <x:t xml:space="preserve">Build, SSR-safe import, exports, CSS, tarball, Consumer, browser, and adoption checks pass.</x:t>
  </x:si>
  <x:si>
    <x:t xml:space="preserve">Image Evidence</x:t>
  </x:si>
  <x:si>
    <x:t xml:space="preserve">Assertion-level media lifecycle, accessibility, recipes, native output, browser, human-review, documentation, Consumer, and scoped adoption evidence.</x:t>
  </x:si>
  <x:si>
    <x:t xml:space="preserve">IM-01</x:t>
  </x:si>
  <x:si>
    <x:t xml:space="preserve">Root / Content / Fallback</x:t>
  </x:si>
  <x:si>
    <x:t xml:space="preserve">Atom Image anatomy is styled without replacing source lifecycle, refs, or conditional parts.</x:t>
  </x:si>
  <x:si>
    <x:t xml:space="preserve">../src/components/image</x:t>
  </x:si>
  <x:si>
    <x:t xml:space="preserve">IM-02</x:t>
  </x:si>
  <x:si>
    <x:t xml:space="preserve">Source state</x:t>
  </x:si>
  <x:si>
    <x:t xml:space="preserve">Idle, loading, loaded, error, source replacement, and stale-event rejection remain Atom-owned and observable.</x:t>
  </x:si>
  <x:si>
    <x:t xml:space="preserve">atom</x:t>
  </x:si>
  <x:si>
    <x:t xml:space="preserve">@flowstack-ui/atom@0.9.0 Image tests; ../test/components/image/image.test.tsx</x:t>
  </x:si>
  <x:si>
    <x:t xml:space="preserve">IM-03</x:t>
  </x:si>
  <x:si>
    <x:t xml:space="preserve">Native output</x:t>
  </x:si>
  <x:si>
    <x:t xml:space="preserve">Required authored alt plus intrinsic, responsive, loading, decoding, priority, event, slot, and ref props reach the native image.</x:t>
  </x:si>
  <x:si>
    <x:t xml:space="preserve">../test/components/image/image.test.tsx; ../playground/tests/components/image/behavior.spec.ts</x:t>
  </x:si>
  <x:si>
    <x:t xml:space="preserve">IM-04</x:t>
  </x:si>
  <x:si>
    <x:t xml:space="preserve">Fallback</x:t>
  </x:si>
  <x:si>
    <x:t xml:space="preserve">Authored idle, loading, and error fallbacks are mutually exclusive with Content and preserve reserved geometry.</x:t>
  </x:si>
  <x:si>
    <x:t xml:space="preserve">../playground/tests/components/image/behavior.spec.ts</x:t>
  </x:si>
  <x:si>
    <x:t xml:space="preserve">IM-05</x:t>
  </x:si>
  <x:si>
    <x:t xml:space="preserve">Fit</x:t>
  </x:si>
  <x:si>
    <x:t xml:space="preserve">Cover, contain, fill, none, and scale-down change only object fit inside controlled fixtures.</x:t>
  </x:si>
  <x:si>
    <x:t xml:space="preserve">IM-06</x:t>
  </x:si>
  <x:si>
    <x:t xml:space="preserve">Position</x:t>
  </x:si>
  <x:si>
    <x:t xml:space="preserve">Center, top, bottom, logical start, and logical end move focal content; start/end reverse in RTL without mirroring pixels.</x:t>
  </x:si>
  <x:si>
    <x:t xml:space="preserve">IM-07</x:t>
  </x:si>
  <x:si>
    <x:t xml:space="preserve">Geometry</x:t>
  </x:si>
  <x:si>
    <x:t xml:space="preserve">Five radius recipes, transparent/subtle frame, and explicit Atom Aspect Ratio preserve one clipped media box.</x:t>
  </x:si>
  <x:si>
    <x:t xml:space="preserve">IM-08</x:t>
  </x:si>
  <x:si>
    <x:t xml:space="preserve">Content / Fallback</x:t>
  </x:si>
  <x:si>
    <x:t xml:space="preserve">Informative, decorative, and named-action alt ownership is explicit; fallback adds no focus or live-region policy.</x:t>
  </x:si>
  <x:si>
    <x:t xml:space="preserve">IM-09</x:t>
  </x:si>
  <x:si>
    <x:t xml:space="preserve">Default, asChild, render, native props, custom slots, styles, and refs preserve Atom composition and valid hosts.</x:t>
  </x:si>
  <x:si>
    <x:t xml:space="preserve">../test/components/image/image.test.tsx</x:t>
  </x:si>
  <x:si>
    <x:t xml:space="preserve">IM-10</x:t>
  </x:si>
  <x:si>
    <x:t xml:space="preserve">Package root and Image subpath expose one runtime namespace and public types.</x:t>
  </x:si>
  <x:si>
    <x:t xml:space="preserve">IM-11</x:t>
  </x:si>
  <x:si>
    <x:t xml:space="preserve">Required alt, closed recipes, root source ownership, native responsive props, and refs are enforced.</x:t>
  </x:si>
  <x:si>
    <x:t xml:space="preserve">../test/types/components/image.test.ts</x:t>
  </x:si>
  <x:si>
    <x:t xml:space="preserve">IM-12</x:t>
  </x:si>
  <x:si>
    <x:t xml:space="preserve">Static CSS ships fit, logical position, clipping, frame, fallback, forced colors, and documented public properties.</x:t>
  </x:si>
  <x:si>
    <x:t xml:space="preserve">../src/components/image/image.css</x:t>
  </x:si>
  <x:si>
    <x:t xml:space="preserve">IM-13</x:t>
  </x:si>
  <x:si>
    <x:t xml:space="preserve">SSR</x:t>
  </x:si>
  <x:si>
    <x:t xml:space="preserve">Idle/loading fallback output and recipe metadata render deterministically without a CSS loader.</x:t>
  </x:si>
  <x:si>
    <x:t xml:space="preserve">../test/package/ssr.test.mjs</x:t>
  </x:si>
  <x:si>
    <x:t xml:space="preserve">IM-14</x:t>
  </x:si>
  <x:si>
    <x:t xml:space="preserve">Nine numbered scenarios cover defaults, accessibility, fits, positions, geometry, native output, states, appearance, and stress.</x:t>
  </x:si>
  <x:si>
    <x:t xml:space="preserve">../playground/src/components/image/ImagePage.tsx; ../playground/tests/components/image/behavior.spec.ts</x:t>
  </x:si>
  <x:si>
    <x:t xml:space="preserve">IM-15</x:t>
  </x:si>
  <x:si>
    <x:t xml:space="preserve">Defaults, fits, positions, geometry, fallback, appearance, mobile, and forced colors own reviewed-risk baselines.</x:t>
  </x:si>
  <x:si>
    <x:t xml:space="preserve">../playground/tests/components/image/visual.spec.ts</x:t>
  </x:si>
  <x:si>
    <x:t xml:space="preserve">Owner manual review pending.</x:t>
  </x:si>
  <x:si>
    <x:t xml:space="preserve">IM-16</x:t>
  </x:si>
  <x:si>
    <x:t xml:space="preserve">Narrow, long fallback, RTL, mobile, zoom, text spacing, and physical-device containment are reviewed.</x:t>
  </x:si>
  <x:si>
    <x:t xml:space="preserve">../playground/manual-tests/image.md</x:t>
  </x:si>
  <x:si>
    <x:t xml:space="preserve">IM-17</x:t>
  </x:si>
  <x:si>
    <x:t xml:space="preserve">The concise protocol covers every Image scenario, source flow, appearance, device, and assistive-technology judgment.</x:t>
  </x:si>
  <x:si>
    <x:t xml:space="preserve">IM-18</x:t>
  </x:si>
  <x:si>
    <x:t xml:space="preserve">Source-backed ownership, alt guidance, API, recipes, native attrs, tokens, composition, and exclusions pass.</x:t>
  </x:si>
  <x:si>
    <x:t xml:space="preserve">../docs/components/image/README.md</x:t>
  </x:si>
  <x:si>
    <x:t xml:space="preserve">IM-19</x:t>
  </x:si>
  <x:si>
    <x:t xml:space="preserve">Image owns a public changelog and package release-facing entry.</x:t>
  </x:si>
  <x:si>
    <x:t xml:space="preserve">../docs/components/image/CHANGELOG.md; ../CHANGELOG.md</x:t>
  </x:si>
  <x:si>
    <x:t xml:space="preserve">IM-20</x:t>
  </x:si>
  <x:si>
    <x:t xml:space="preserve">Consumer proves the public Image subpath as informative project media inside Card on desktop and mobile.</x:t>
  </x:si>
  <x:si>
    <x:t xml:space="preserve">IM-21</x:t>
  </x:si>
  <x:si>
    <x:t xml:space="preserve">Card finished media and Consumer adopt Image while Avatar and Icon Button native child evidence remain correctly owned.</x:t>
  </x:si>
  <x:si>
    <x:t xml:space="preserve">../scripts/verify-playground-image.mjs; ../playground/docs/image-adoption-audit.md</x:t>
  </x:si>
  <x:si>
    <x:t xml:space="preserve">IM-22</x:t>
  </x:si>
  <x:si>
    <x:t xml:space="preserve">Build, SSR, exports, CSS, archive, Consumer, browser, visual, docs, and adoption gates pass.</x:t>
  </x:si>
  <x:si>
    <x:t xml:space="preserve">List Evidence</x:t>
  </x:si>
  <x:si>
    <x:t xml:space="preserve">Assertion-level native semantics, anatomy, recipes, browser, human-review, documentation, Consumer, and adoption evidence.</x:t>
  </x:si>
  <x:si>
    <x:t xml:space="preserve">Root and Item adapt released Atom List while preserving native ul, ol, li, attributes, slots, composition, refs, and authored children.</x:t>
  </x:si>
  <x:si>
    <x:t xml:space="preserve">../src/components/list</x:t>
  </x:si>
  <x:si>
    <x:t xml:space="preserve">Anatomy</x:t>
  </x:si>
  <x:si>
    <x:t xml:space="preserve">Leading, Content, Title, Description, Trailing</x:t>
  </x:si>
  <x:si>
    <x:t xml:space="preserve">All five optional structured parts expose stable native hosts, refs, slots, and aligned passive row anatomy.</x:t>
  </x:si>
  <x:si>
    <x:t xml:space="preserve">../test/components/list/list.test.tsx</x:t>
  </x:si>
  <x:si>
    <x:t xml:space="preserve">Root and List subpath exports expose the compound runtime and every public List type.</x:t>
  </x:si>
  <x:si>
    <x:t xml:space="preserve">../test/types/components/list.test.ts</x:t>
  </x:si>
  <x:si>
    <x:t xml:space="preserve">../src/components/list/list.css</x:t>
  </x:si>
  <x:si>
    <x:t xml:space="preserve">Recipes and semantics</x:t>
  </x:si>
  <x:si>
    <x:t xml:space="preserve">tests/components/list/behavior.spec.ts</x:t>
  </x:si>
  <x:si>
    <x:t xml:space="preserve">Structured rows</x:t>
  </x:si>
  <x:si>
    <x:t xml:space="preserve">Native list</x:t>
  </x:si>
  <x:si>
    <x:t xml:space="preserve">List roles, item relationships, marker-free semantics, authored controls, disabled metadata, and axe pass without invented interaction.</x:t>
  </x:si>
  <x:si>
    <x:t xml:space="preserve">Reviewed baselines cover defaults, boundaries, sizing, marker recipes, anatomy, dark customization, mobile RTL, and forced colors.</x:t>
  </x:si>
  <x:si>
    <x:t xml:space="preserve">tests/components/list/visual.spec.ts</x:t>
  </x:si>
  <x:si>
    <x:t xml:space="preserve">Current List playground and all eight visual baselines were reviewed during implementation.</x:t>
  </x:si>
  <x:si>
    <x:t xml:space="preserve">Physical mobile, 200%/400% zoom, rotation, narrow content, long copy, structured actions, and RTL remain readable and contained.</x:t>
  </x:si>
  <x:si>
    <x:t xml:space="preserve">manual-tests/list.md</x:t>
  </x:si>
  <x:si>
    <x:t xml:space="preserve">Light, dark, forced colors, text spacing, markers, boundaries, and authored focus preserve hierarchy and contrast.</x:t>
  </x:si>
  <x:si>
    <x:t xml:space="preserve">manual-tests/list.md; tests/components/list/visual.spec.ts</x:t>
  </x:si>
  <x:si>
    <x:t xml:space="preserve">start, reversed, value, ordered output, nested lists, asChild, render ownership, and marker-none role behavior match the contract.</x:t>
  </x:si>
  <x:si>
    <x:t xml:space="preserve">tests/components/list/behavior.spec.ts; ../test/components/list/list.test.tsx</x:t>
  </x:si>
  <x:si>
    <x:t xml:space="preserve">The component-owned protocol covers every List playground scenario in one top-to-bottom review flow.</x:t>
  </x:si>
  <x:si>
    <x:t xml:space="preserve">../docs/components/list/README.md</x:t>
  </x:si>
  <x:si>
    <x:t xml:space="preserve">List owns a public component changelog and the package changelog records its addition.</x:t>
  </x:si>
  <x:si>
    <x:t xml:space="preserve">../docs/components/list/CHANGELOG.md; ../CHANGELOG.md</x:t>
  </x:si>
  <x:si>
    <x:t xml:space="preserve">The packed Consumer proves the public List subpath in a realistic structured release checklist.</x:t>
  </x:si>
  <x:si>
    <x:t xml:space="preserve">L-18</x:t>
  </x:si>
  <x:si>
    <x:t xml:space="preserve">The route covers all approved scenarios and eligible Consumer, Card, and Surface content lists adopt List with classified exclusions.</x:t>
  </x:si>
  <x:si>
    <x:t xml:space="preserve">docs/list-adoption-audit.md; ../scripts/verify-playground-list.mjs</x:t>
  </x:si>
  <x:si>
    <x:t xml:space="preserve">L-19</x:t>
  </x:si>
  <x:si>
    <x:t xml:space="preserve">Build, SSR, exports, CSS, Atom 0.20.11, tarball, React 18/19, packed Consumer, browser matrix, and adoption checks pass.</x:t>
  </x:si>
  <x:si>
    <x:t xml:space="preserve">../test/package; ../scripts/verify-package.mjs; ../scripts/verify-consumers.mjs; ../scripts/verify-playground-list.mjs</x:t>
  </x:si>
  <x:si>
    <x:t xml:space="preserve">Select Evidence</x:t>
  </x:si>
  <x:si>
    <x:t xml:space="preserve">Assertion-level Atom-backed package, browser, human-review, documentation, Consumer, positioning, and form evidence.</x:t>
  </x:si>
  <x:si>
    <x:t xml:space="preserve">Root/Trigger</x:t>
  </x:si>
  <x:si>
    <x:t xml:space="preserve">Compound Select and visual context adapt released Atom 0.20.11 without recreating behavior.</x:t>
  </x:si>
  <x:si>
    <x:t xml:space="preserve">../src/components/select</x:t>
  </x:si>
  <x:si>
    <x:t xml:space="preserve">Trigger, Value, Icon, Content/Listbox, Viewport, scroll buttons, Group, Label, Item, ItemText, Indicator, Separator, Portal, and Arrow are styled/exported.</x:t>
  </x:si>
  <x:si>
    <x:t xml:space="preserve">../test/components/select/select.test.tsx</x:t>
  </x:si>
  <x:si>
    <x:t xml:space="preserve">Root and select subpath exports expose the namespace, named parts, and public types.</x:t>
  </x:si>
  <x:si>
    <x:t xml:space="preserve">Root/parts</x:t>
  </x:si>
  <x:si>
    <x:t xml:space="preserve">Recipes, refs, Arrow children, underline shape exclusion, and no multiple mode type-check.</x:t>
  </x:si>
  <x:si>
    <x:t xml:space="preserve">../test/types/components/select.test.ts</x:t>
  </x:si>
  <x:si>
    <x:t xml:space="preserve">Trigger/Content/Item</x:t>
  </x:si>
  <x:si>
    <x:t xml:space="preserve">Static CSS ships recipes, geometry, states, popup, options, artwork, and documented variables.</x:t>
  </x:si>
  <x:si>
    <x:t xml:space="preserve">../src/components/select/select.css</x:t>
  </x:si>
  <x:si>
    <x:t xml:space="preserve">Labels</x:t>
  </x:si>
  <x:si>
    <x:t xml:space="preserve">Root/ItemText</x:t>
  </x:si>
  <x:si>
    <x:t xml:space="preserve">Closed selected values resolve authored ItemText labels before popup mount, including native forms.</x:t>
  </x:si>
  <x:si>
    <x:t xml:space="preserve">../test/components/select/select.test.tsx; tests/components/select/behavior.spec.ts</x:t>
  </x:si>
  <x:si>
    <x:t xml:space="preserve">Outline, soft, underline, sm/md/lg, shapes, and full/intrinsic width change only their named dimensions.</x:t>
  </x:si>
  <x:si>
    <x:t xml:space="preserve">tests/components/select/behavior.spec.ts</x:t>
  </x:si>
  <x:si>
    <x:t xml:space="preserve">Interaction</x:t>
  </x:si>
  <x:si>
    <x:t xml:space="preserve">Root/Trigger/Item</x:t>
  </x:si>
  <x:si>
    <x:t xml:space="preserve">Pointer and keyboard open, navigation, typeahead, selection, Escape, focus return, disabled skip, and outside dismissal remain Atom-owned.</x:t>
  </x:si>
  <x:si>
    <x:t xml:space="preserve">tests/components/select/behavior.spec.ts; Atom 0.20.11 Select suite</x:t>
  </x:si>
  <x:si>
    <x:t xml:space="preserve">Options</x:t>
  </x:si>
  <x:si>
    <x:t xml:space="preserve">Group/Viewport/Arrow</x:t>
  </x:si>
  <x:si>
    <x:t xml:space="preserve">Groups, labels, separator, long scrolling, conditional controls, and matching collision side/alignment are exposed.</x:t>
  </x:si>
  <x:si>
    <x:t xml:space="preserve">Forms</x:t>
  </x:si>
  <x:si>
    <x:t xml:space="preserve">Field relationships, required validity, native submit/reset, external form ownership, and validation use Atom's native proxy.</x:t>
  </x:si>
  <x:si>
    <x:t xml:space="preserve">Trigger/Portal</x:t>
  </x:si>
  <x:si>
    <x:t xml:space="preserve">Trigger asChild/render and portal/container paths retain props, one host, positioning, and refs.</x:t>
  </x:si>
  <x:si>
    <x:t xml:space="preserve">Field naming, combobox/listbox states, disabled options, decorative artwork, and axe checks pass.</x:t>
  </x:si>
  <x:si>
    <x:t xml:space="preserve">Baselines cover defaults, recipes, geometry, options, states, appearance, narrow RTL, and forced colors.</x:t>
  </x:si>
  <x:si>
    <x:t xml:space="preserve">tests/components/select/visual.spec.ts</x:t>
  </x:si>
  <x:si>
    <x:t xml:space="preserve">Baselines exist and automated comparison passes; final owner visual review is not recorded.</x:t>
  </x:si>
  <x:si>
    <x:t xml:space="preserve">Trigger/Content</x:t>
  </x:si>
  <x:si>
    <x:t xml:space="preserve">Physical mobile, 200%/400% zoom, long localization, popup bounds, and RTL remain usable.</x:t>
  </x:si>
  <x:si>
    <x:t xml:space="preserve">manual-tests/select.md</x:t>
  </x:si>
  <x:si>
    <x:t xml:space="preserve">Protocol is unrun; real device and zoom review remain pending.</x:t>
  </x:si>
  <x:si>
    <x:t xml:space="preserve">Touch/pen</x:t>
  </x:si>
  <x:si>
    <x:t xml:space="preserve">Outside tap dismisses after release while drag, cancellation, and scroll preserve the open Select.</x:t>
  </x:si>
  <x:si>
    <x:t xml:space="preserve">manual-tests/select.md; Atom 0.20.11 Select evidence</x:t>
  </x:si>
  <x:si>
    <x:t xml:space="preserve">Atom automated evidence passes; Brick real-device protocol is unrun.</x:t>
  </x:si>
  <x:si>
    <x:t xml:space="preserve">Screen reader</x:t>
  </x:si>
  <x:si>
    <x:t xml:space="preserve">macOS/iOS VoiceOver and a second desktop AT/browser announce name, value, groups, states, and options.</x:t>
  </x:si>
  <x:si>
    <x:t xml:space="preserve">Assistive-technology protocol is unrun.</x:t>
  </x:si>
  <x:si>
    <x:t xml:space="preserve">manual-tests/select.md; tests/components/select/visual.spec.ts</x:t>
  </x:si>
  <x:si>
    <x:t xml:space="preserve">Automated baselines exist; complete human preference review is pending.</x:t>
  </x:si>
  <x:si>
    <x:t xml:space="preserve">S-18</x:t>
  </x:si>
  <x:si>
    <x:t xml:space="preserve">The component-owned protocol passes every Select playground scenario in one scalable flow.</x:t>
  </x:si>
  <x:si>
    <x:t xml:space="preserve">S-19</x:t>
  </x:si>
  <x:si>
    <x:t xml:space="preserve">Source-backed public usage, API, anatomy, tokens, accessibility, and exclusions pass documentation gates.</x:t>
  </x:si>
  <x:si>
    <x:t xml:space="preserve">../docs/components/select/README.md</x:t>
  </x:si>
  <x:si>
    <x:t xml:space="preserve">S-20</x:t>
  </x:si>
  <x:si>
    <x:t xml:space="preserve">Select owns a component changelog and the package changelog records its public addition.</x:t>
  </x:si>
  <x:si>
    <x:t xml:space="preserve">../docs/components/select/CHANGELOG.md; ../CHANGELOG.md</x:t>
  </x:si>
  <x:si>
    <x:t xml:space="preserve">S-21</x:t>
  </x:si>
  <x:si>
    <x:t xml:space="preserve">Packed Consumer proves a realistic Field/Form plan chooser through the public Select subpath.</x:t>
  </x:si>
  <x:si>
    <x:t xml:space="preserve">2026-07-26</x:t>
  </x:si>
  <x:si>
    <x:t xml:space="preserve">None. Packed Consumer boundary and Chromium desktop/mobile flows pass.</x:t>
  </x:si>
  <x:si>
    <x:t xml:space="preserve">S-22</x:t>
  </x:si>
  <x:si>
    <x:t xml:space="preserve">Build, SSR, exports, CSS, tarball, React 18/19, Consumer, and full package gates pass.</x:t>
  </x:si>
  <x:si>
    <x:t xml:space="preserve">None. Full package check, tarball verification, and clean React 18/19 consumers pass.</x:t>
  </x:si>
  <x:si>
    <x:t xml:space="preserve">Multi Select Evidence</x:t>
  </x:si>
  <x:si>
    <x:t xml:space="preserve">Assertion-level Atom-backed package, browser, human-review, documentation, Consumer, multiple-selection, positioning, and repeated-value form evidence.</x:t>
  </x:si>
  <x:si>
    <x:t xml:space="preserve">MS-01</x:t>
  </x:si>
  <x:si>
    <x:t xml:space="preserve">Compound Multi Select and visual context adapt released Atom 0.20.11 without recreating behavior.</x:t>
  </x:si>
  <x:si>
    <x:t xml:space="preserve">../src/components/multi-select</x:t>
  </x:si>
  <x:si>
    <x:t xml:space="preserve">MS-02</x:t>
  </x:si>
  <x:si>
    <x:t xml:space="preserve">../test/components/multi-select/multi-select.test.tsx</x:t>
  </x:si>
  <x:si>
    <x:t xml:space="preserve">MS-03</x:t>
  </x:si>
  <x:si>
    <x:t xml:space="preserve">Root and multi-select subpath exports expose the namespace, named parts, and public types.</x:t>
  </x:si>
  <x:si>
    <x:t xml:space="preserve">MS-04</x:t>
  </x:si>
  <x:si>
    <x:t xml:space="preserve">Recipes, refs, Arrow children, underline shape exclusion, and array-valued selection type-check.</x:t>
  </x:si>
  <x:si>
    <x:t xml:space="preserve">../test/types/components/multi-select.test.ts</x:t>
  </x:si>
  <x:si>
    <x:t xml:space="preserve">MS-05</x:t>
  </x:si>
  <x:si>
    <x:t xml:space="preserve">../src/components/multi-select/multi-select.css</x:t>
  </x:si>
  <x:si>
    <x:t xml:space="preserve">MS-06</x:t>
  </x:si>
  <x:si>
    <x:t xml:space="preserve">Closed summaries resolve authored ItemText labels before popup mount and update for several selected values.</x:t>
  </x:si>
  <x:si>
    <x:t xml:space="preserve">../test/components/multi-select/multi-select.test.tsx; tests/components/multi-select/behavior.spec.ts</x:t>
  </x:si>
  <x:si>
    <x:t xml:space="preserve">MS-07</x:t>
  </x:si>
  <x:si>
    <x:t xml:space="preserve">tests/components/multi-select/behavior.spec.ts</x:t>
  </x:si>
  <x:si>
    <x:t xml:space="preserve">MS-08</x:t>
  </x:si>
  <x:si>
    <x:t xml:space="preserve">Pointer and keyboard open, navigation, buffered typeahead, toggle selection without closing, Escape, focus return, and disabled skip remain Atom-owned.</x:t>
  </x:si>
  <x:si>
    <x:t xml:space="preserve">tests/components/multi-select/behavior.spec.ts; Atom 0.20.11 Multi Select suite</x:t>
  </x:si>
  <x:si>
    <x:t xml:space="preserve">MS-09</x:t>
  </x:si>
  <x:si>
    <x:t xml:space="preserve">MS-10</x:t>
  </x:si>
  <x:si>
    <x:t xml:space="preserve">Field relationships, required validity, repeated-value native submit/reset, external form ownership, and validation use Atom's native multiple proxy.</x:t>
  </x:si>
  <x:si>
    <x:t xml:space="preserve">MS-11</x:t>
  </x:si>
  <x:si>
    <x:t xml:space="preserve">MS-12</x:t>
  </x:si>
  <x:si>
    <x:t xml:space="preserve">Field naming, button/listbox states, aria-multiselectable, selected options, disabled options, decorative artwork, and axe checks pass.</x:t>
  </x:si>
  <x:si>
    <x:t xml:space="preserve">MS-13</x:t>
  </x:si>
  <x:si>
    <x:t xml:space="preserve">tests/components/multi-select/visual.spec.ts</x:t>
  </x:si>
  <x:si>
    <x:t xml:space="preserve">MS-14</x:t>
  </x:si>
  <x:si>
    <x:t xml:space="preserve">manual-tests/multi-select.md</x:t>
  </x:si>
  <x:si>
    <x:t xml:space="preserve">MS-15</x:t>
  </x:si>
  <x:si>
    <x:t xml:space="preserve">Outside tap dismisses after release while drag, cancellation, and scroll preserve the open Multi Select.</x:t>
  </x:si>
  <x:si>
    <x:t xml:space="preserve">manual-tests/multi-select.md; Atom 0.20.11 Multi Select evidence</x:t>
  </x:si>
  <x:si>
    <x:t xml:space="preserve">MS-16</x:t>
  </x:si>
  <x:si>
    <x:t xml:space="preserve">MS-17</x:t>
  </x:si>
  <x:si>
    <x:t xml:space="preserve">manual-tests/multi-select.md; tests/components/multi-select/visual.spec.ts</x:t>
  </x:si>
  <x:si>
    <x:t xml:space="preserve">MS-18</x:t>
  </x:si>
  <x:si>
    <x:t xml:space="preserve">The component-owned protocol passes every Multi Select playground scenario in one scalable flow.</x:t>
  </x:si>
  <x:si>
    <x:t xml:space="preserve">MS-19</x:t>
  </x:si>
  <x:si>
    <x:t xml:space="preserve">../docs/components/multi-select/README.md</x:t>
  </x:si>
  <x:si>
    <x:t xml:space="preserve">MS-20</x:t>
  </x:si>
  <x:si>
    <x:t xml:space="preserve">Multi Select owns a component changelog and the package changelog records its public addition.</x:t>
  </x:si>
  <x:si>
    <x:t xml:space="preserve">../docs/components/multi-select/CHANGELOG.md; ../CHANGELOG.md</x:t>
  </x:si>
  <x:si>
    <x:t xml:space="preserve">MS-21</x:t>
  </x:si>
  <x:si>
    <x:t xml:space="preserve">Packed Consumer proves a realistic Field/Form team-skills chooser through the public Multi Select subpath.</x:t>
  </x:si>
  <x:si>
    <x:t xml:space="preserve">MS-22</x:t>
  </x:si>
  <x:si>
    <x:t xml:space="preserve">Textarea Evidence</x:t>
  </x:si>
  <x:si>
    <x:t xml:space="preserve">Assertion-level Atom-backed package, browser, human-review, documentation, Consumer, resize, auto-resize, counting, and native form evidence.</x:t>
  </x:si>
  <x:si>
    <x:t xml:space="preserve">TA-01</x:t>
  </x:si>
  <x:si>
    <x:t xml:space="preserve">Brick adapts the released Atom 0.20.11 Textarea primitive without recreating behavior.</x:t>
  </x:si>
  <x:si>
    <x:t xml:space="preserve">../src/components/textarea</x:t>
  </x:si>
  <x:si>
    <x:t xml:space="preserve">TA-02</x:t>
  </x:si>
  <x:si>
    <x:t xml:space="preserve">Root/Count</x:t>
  </x:si>
  <x:si>
    <x:t xml:space="preserve">The independent Root and Count parts expose the native control and optional character-count evidence.</x:t>
  </x:si>
  <x:si>
    <x:t xml:space="preserve">../test/components/textarea/textarea.test.tsx</x:t>
  </x:si>
  <x:si>
    <x:t xml:space="preserve">TA-03</x:t>
  </x:si>
  <x:si>
    <x:t xml:space="preserve">Root, Count, namespace, public types, and the textarea subpath are exported.</x:t>
  </x:si>
  <x:si>
    <x:t xml:space="preserve">TA-04</x:t>
  </x:si>
  <x:si>
    <x:t xml:space="preserve">Recipe props, native textarea props/ref, underline shape exclusion, and resize/auto-resize exclusivity type-check.</x:t>
  </x:si>
  <x:si>
    <x:t xml:space="preserve">../test/types/components/textarea.test.ts</x:t>
  </x:si>
  <x:si>
    <x:t xml:space="preserve">TA-05</x:t>
  </x:si>
  <x:si>
    <x:t xml:space="preserve">Static CSS ships variants, sizes, shapes, states, resize behavior, logical layout, and documented variables.</x:t>
  </x:si>
  <x:si>
    <x:t xml:space="preserve">../src/components/textarea/textarea.css</x:t>
  </x:si>
  <x:si>
    <x:t xml:space="preserve">TA-06</x:t>
  </x:si>
  <x:si>
    <x:t xml:space="preserve">Outline, soft, underline, sm/md/lg, and sharp/rounded change only their named visual dimension.</x:t>
  </x:si>
  <x:si>
    <x:t xml:space="preserve">tests/components/textarea/behavior.spec.ts</x:t>
  </x:si>
  <x:si>
    <x:t xml:space="preserve">TA-07</x:t>
  </x:si>
  <x:si>
    <x:t xml:space="preserve">Manual resize</x:t>
  </x:si>
  <x:si>
    <x:t xml:space="preserve">None, vertical, horizontal, and both resize modes map to native CSS without changing textarea behavior.</x:t>
  </x:si>
  <x:si>
    <x:t xml:space="preserve">TA-08</x:t>
  </x:si>
  <x:si>
    <x:t xml:space="preserve">Auto resize</x:t>
  </x:si>
  <x:si>
    <x:t xml:space="preserve">Opt-in auto-resize grows within minRows/maxRows, clamps overflow, and remains mutually exclusive with manual resize.</x:t>
  </x:si>
  <x:si>
    <x:t xml:space="preserve">tests/components/textarea/behavior.spec.ts; Atom 0.20.11 Textarea suite</x:t>
  </x:si>
  <x:si>
    <x:t xml:space="preserve">TA-09</x:t>
  </x:si>
  <x:si>
    <x:t xml:space="preserve">Values/count</x:t>
  </x:si>
  <x:si>
    <x:t xml:space="preserve">Controlled and uncontrolled values, native newlines, maxLength, reset, and the explicit Count part stay synchronized.</x:t>
  </x:si>
  <x:si>
    <x:t xml:space="preserve">TA-10</x:t>
  </x:si>
  <x:si>
    <x:t xml:space="preserve">Field relationships, native submit/reset, required validity, and external form ownership remain Atom-owned.</x:t>
  </x:si>
  <x:si>
    <x:t xml:space="preserve">TA-11</x:t>
  </x:si>
  <x:si>
    <x:t xml:space="preserve">Native textarea refs, rendered IDs/ARIA, wrapper/native prop routing, class/style escape hatches, and output remain correct.</x:t>
  </x:si>
  <x:si>
    <x:t xml:space="preserve">../test/components/textarea/textarea.test.tsx; tests/components/textarea/behavior.spec.ts</x:t>
  </x:si>
  <x:si>
    <x:t xml:space="preserve">TA-12</x:t>
  </x:si>
  <x:si>
    <x:t xml:space="preserve">Field naming, descriptions, errors, availability states, counter semantics, focus, and axe checks pass.</x:t>
  </x:si>
  <x:si>
    <x:t xml:space="preserve">TA-13</x:t>
  </x:si>
  <x:si>
    <x:t xml:space="preserve">Customization</x:t>
  </x:si>
  <x:si>
    <x:t xml:space="preserve">Documented CSS variables and wrapper/native escape hatches customize the control without changing behavior.</x:t>
  </x:si>
  <x:si>
    <x:t xml:space="preserve">tests/components/textarea/behavior.spec.ts; ../docs/components/textarea/README.md</x:t>
  </x:si>
  <x:si>
    <x:t xml:space="preserve">TA-14</x:t>
  </x:si>
  <x:si>
    <x:t xml:space="preserve">Baselines cover defaults, recipes, resize, values/states, scopes, mobile RTL, and forced colors.</x:t>
  </x:si>
  <x:si>
    <x:t xml:space="preserve">tests/components/textarea/visual.spec.ts</x:t>
  </x:si>
  <x:si>
    <x:t xml:space="preserve">TA-15</x:t>
  </x:si>
  <x:si>
    <x:t xml:space="preserve">Physical mobile, 200%/400% zoom, long content, manual resize, auto-resize, and RTL remain usable and contained.</x:t>
  </x:si>
  <x:si>
    <x:t xml:space="preserve">manual-tests/textarea.md</x:t>
  </x:si>
  <x:si>
    <x:t xml:space="preserve">Protocol is unrun; real-device and zoom review remain pending.</x:t>
  </x:si>
  <x:si>
    <x:t xml:space="preserve">TA-16</x:t>
  </x:si>
  <x:si>
    <x:t xml:space="preserve">manual-tests/textarea.md; tests/components/textarea/visual.spec.ts</x:t>
  </x:si>
  <x:si>
    <x:t xml:space="preserve">Automated baselines pass; complete human preference review is pending.</x:t>
  </x:si>
  <x:si>
    <x:t xml:space="preserve">TA-17</x:t>
  </x:si>
  <x:si>
    <x:t xml:space="preserve">macOS/iOS VoiceOver and a second desktop AT/browser announce label, help, error, state, and count evidence.</x:t>
  </x:si>
  <x:si>
    <x:t xml:space="preserve">TA-18</x:t>
  </x:si>
  <x:si>
    <x:t xml:space="preserve">The component-owned protocol covers every Textarea playground scenario in one top-to-bottom flow.</x:t>
  </x:si>
  <x:si>
    <x:t xml:space="preserve">TA-19</x:t>
  </x:si>
  <x:si>
    <x:t xml:space="preserve">Source-backed usage, API, anatomy, recipes, resize policy, tokens, accessibility, and exclusions pass documentation gates.</x:t>
  </x:si>
  <x:si>
    <x:t xml:space="preserve">../docs/components/textarea/README.md</x:t>
  </x:si>
  <x:si>
    <x:t xml:space="preserve">TA-20</x:t>
  </x:si>
  <x:si>
    <x:t xml:space="preserve">Textarea owns a component changelog and the package changelog records its public addition.</x:t>
  </x:si>
  <x:si>
    <x:t xml:space="preserve">../docs/components/textarea/CHANGELOG.md; ../CHANGELOG.md</x:t>
  </x:si>
  <x:si>
    <x:t xml:space="preserve">TA-21</x:t>
  </x:si>
  <x:si>
    <x:t xml:space="preserve">The packed Consumer proves a realistic Field/Form note with maxLength, Count, submit, and reset through the public subpath.</x:t>
  </x:si>
  <x:si>
    <x:t xml:space="preserve">TA-22</x:t>
  </x:si>
  <x:si>
    <x:t xml:space="preserve">Radio Group Evidence</x:t>
  </x:si>
  <x:si>
    <x:t xml:space="preserve">Assertion-level Atom-backed package, browser, human-review, documentation, Consumer, form, read-only, keyboard, and responsive evidence.</x:t>
  </x:si>
  <x:si>
    <x:t xml:space="preserve">RG-01</x:t>
  </x:si>
  <x:si>
    <x:t xml:space="preserve">Root/Item</x:t>
  </x:si>
  <x:si>
    <x:t xml:space="preserve">Brick adapts released Atom 0.20.11 Radio Group behavior without recreating selection, focus, keyboard, form, validation, direction, or read-only logic.</x:t>
  </x:si>
  <x:si>
    <x:t xml:space="preserve">../src/components/radio-group</x:t>
  </x:si>
  <x:si>
    <x:t xml:space="preserve">RG-02</x:t>
  </x:si>
  <x:si>
    <x:t xml:space="preserve">The public two-part namespace and stable internal control, dot, and label hooks render without public anatomy inflation.</x:t>
  </x:si>
  <x:si>
    <x:t xml:space="preserve">../test/components/radio-group/radio-group.test.tsx</x:t>
  </x:si>
  <x:si>
    <x:t xml:space="preserve">RG-03</x:t>
  </x:si>
  <x:si>
    <x:t xml:space="preserve">RadioGroup</x:t>
  </x:si>
  <x:si>
    <x:t xml:space="preserve">Namespace, named parts, public types, root export, and radio-group subpath are exported.</x:t>
  </x:si>
  <x:si>
    <x:t xml:space="preserve">RG-04</x:t>
  </x:si>
  <x:si>
    <x:t xml:space="preserve">Sizes, Atom behavior props, refs, render/asChild branches, required item values, and invalid combinations type-check.</x:t>
  </x:si>
  <x:si>
    <x:t xml:space="preserve">../test/types/components/radio-group.test.ts</x:t>
  </x:si>
  <x:si>
    <x:t xml:space="preserve">RG-05</x:t>
  </x:si>
  <x:si>
    <x:t xml:space="preserve">Static CSS provides the canonical circle/dot recipe, sizes, states, logical layout, stable hooks, reduced motion, and forced colors.</x:t>
  </x:si>
  <x:si>
    <x:t xml:space="preserve">../src/components/radio-group/radio-group.css</x:t>
  </x:si>
  <x:si>
    <x:t xml:space="preserve">RG-06</x:t>
  </x:si>
  <x:si>
    <x:t xml:space="preserve">Defaults</x:t>
  </x:si>
  <x:si>
    <x:t xml:space="preserve">Medium vertical accent selection is the one canonical default and only one item remains selected.</x:t>
  </x:si>
  <x:si>
    <x:t xml:space="preserve">tests/components/radio-group/behavior.spec.ts</x:t>
  </x:si>
  <x:si>
    <x:t xml:space="preserve">RG-07</x:t>
  </x:si>
  <x:si>
    <x:t xml:space="preserve">Sizing</x:t>
  </x:si>
  <x:si>
    <x:t xml:space="preserve">Small, medium, and large change shared item/control geometry only.</x:t>
  </x:si>
  <x:si>
    <x:t xml:space="preserve">RG-08</x:t>
  </x:si>
  <x:si>
    <x:t xml:space="preserve">Keyboard</x:t>
  </x:si>
  <x:si>
    <x:t xml:space="preserve">Roving Tab focus, orientation arrows, Home/End, loop, disabled skipping, and RTL mapping work in a real browser.</x:t>
  </x:si>
  <x:si>
    <x:t xml:space="preserve">RG-09</x:t>
  </x:si>
  <x:si>
    <x:t xml:space="preserve">Controlled and uncontrolled selection expose identical visuals and correct value-change behavior.</x:t>
  </x:si>
  <x:si>
    <x:t xml:space="preserve">../test/components/radio-group/radio-group.test.tsx; tests/components/radio-group/behavior.spec.ts</x:t>
  </x:si>
  <x:si>
    <x:t xml:space="preserve">RG-10</x:t>
  </x:si>
  <x:si>
    <x:t xml:space="preserve">States</x:t>
  </x:si>
  <x:si>
    <x:t xml:space="preserve">Group/item disabled, required, invalid, and read-only states preserve correct behavior and visible distinctions.</x:t>
  </x:si>
  <x:si>
    <x:t xml:space="preserve">RG-11</x:t>
  </x:si>
  <x:si>
    <x:t xml:space="preserve">Read only</x:t>
  </x:si>
  <x:si>
    <x:t xml:space="preserve">Read-only remains focusable and submitted, permits focus navigation, and cannot mutate or emit value changes.</x:t>
  </x:si>
  <x:si>
    <x:t xml:space="preserve">RG-12</x:t>
  </x:si>
  <x:si>
    <x:t xml:space="preserve">Named value submission, reset, external form ownership, native validation focus, and Fieldset relationships work.</x:t>
  </x:si>
  <x:si>
    <x:t xml:space="preserve">RG-13</x:t>
  </x:si>
  <x:si>
    <x:t xml:space="preserve">render and asChild preserve custom hosts, roles, built-in visuals, content, state, and events.</x:t>
  </x:si>
  <x:si>
    <x:t xml:space="preserve">RG-14</x:t>
  </x:si>
  <x:si>
    <x:t xml:space="preserve">Automated accessible names, group/radio semantics, state, and axe checks pass.</x:t>
  </x:si>
  <x:si>
    <x:t xml:space="preserve">RG-15</x:t>
  </x:si>
  <x:si>
    <x:t xml:space="preserve">Risk-selected light, dark, size, orientation, state, composition, responsive, RTL, and forced-color baselines require owner review.</x:t>
  </x:si>
  <x:si>
    <x:t xml:space="preserve">tests/components/radio-group/visual.spec.ts</x:t>
  </x:si>
  <x:si>
    <x:t xml:space="preserve">Owner visual review has not been recorded.</x:t>
  </x:si>
  <x:si>
    <x:t xml:space="preserve">RG-16</x:t>
  </x:si>
  <x:si>
    <x:t xml:space="preserve">A tester completes the short top-to-bottom protocol across keyboard, screen reader, zoom, mobile, RTL, and themes.</x:t>
  </x:si>
  <x:si>
    <x:t xml:space="preserve">manual-tests/radio-group.md</x:t>
  </x:si>
  <x:si>
    <x:t xml:space="preserve">Owner human review has not been recorded.</x:t>
  </x:si>
  <x:si>
    <x:t xml:space="preserve">RG-17</x:t>
  </x:si>
  <x:si>
    <x:t xml:space="preserve">Public usage, API, anatomy, states, accessibility, customization, responsive, composition, evidence, and exclusions are documented.</x:t>
  </x:si>
  <x:si>
    <x:t xml:space="preserve">../docs/components/radio-group/README.md</x:t>
  </x:si>
  <x:si>
    <x:t xml:space="preserve">RG-18</x:t>
  </x:si>
  <x:si>
    <x:t xml:space="preserve">The component owns a public changelog and package release note.</x:t>
  </x:si>
  <x:si>
    <x:t xml:space="preserve">../docs/components/radio-group/CHANGELOG.md; ../CHANGELOG.md</x:t>
  </x:si>
  <x:si>
    <x:t xml:space="preserve">RG-19</x:t>
  </x:si>
  <x:si>
    <x:t xml:space="preserve">The packed Consumer imports the public subpath and exercises selection, disabled state, submit, and reset.</x:t>
  </x:si>
  <x:si>
    <x:t xml:space="preserve">RG-20</x:t>
  </x:si>
  <x:si>
    <x:t xml:space="preserve">Build, exports, SSR, tarball, CSS, React 18/19, and consumer boundary verification pass.</x:t>
  </x:si>
  <x:si>
    <x:t xml:space="preserve">Switch Evidence</x:t>
  </x:si>
  <x:si>
    <x:t xml:space="preserve">Assertion-level Atom-backed package, browser, human-review, documentation, Consumer, form, state, and responsive evidence.</x:t>
  </x:si>
  <x:si>
    <x:t xml:space="preserve">SW-01</x:t>
  </x:si>
  <x:si>
    <x:t xml:space="preserve">Root/Thumb</x:t>
  </x:si>
  <x:si>
    <x:t xml:space="preserve">Brick adapts released Atom 0.20.11 Switch behavior without recreating state, keyboard, focus, form, validation, or composition logic.</x:t>
  </x:si>
  <x:si>
    <x:t xml:space="preserve">../src/components/switch</x:t>
  </x:si>
  <x:si>
    <x:t xml:space="preserve">SW-02</x:t>
  </x:si>
  <x:si>
    <x:t xml:space="preserve">The public two-part namespace renders one track Root and one decorative Thumb without extra Brick wrappers or anatomy inflation.</x:t>
  </x:si>
  <x:si>
    <x:t xml:space="preserve">../test/components/switch/switch.test.tsx</x:t>
  </x:si>
  <x:si>
    <x:t xml:space="preserve">SW-03</x:t>
  </x:si>
  <x:si>
    <x:t xml:space="preserve">Namespace, named parts, public types, root export, and switch subpath are exported.</x:t>
  </x:si>
  <x:si>
    <x:t xml:space="preserve">SW-04</x:t>
  </x:si>
  <x:si>
    <x:t xml:space="preserve">Closed sizes, Atom behavior props, refs, render/asChild branches, and rejected mixed/variant combinations type-check.</x:t>
  </x:si>
  <x:si>
    <x:t xml:space="preserve">../test/types/components/switch.test.ts</x:t>
  </x:si>
  <x:si>
    <x:t xml:space="preserve">SW-05</x:t>
  </x:si>
  <x:si>
    <x:t xml:space="preserve">Static CSS provides canonical track/thumb paint, sizes, state hooks, RTL, reduced motion, forced colors, and public variables.</x:t>
  </x:si>
  <x:si>
    <x:t xml:space="preserve">../src/components/switch/switch.css</x:t>
  </x:si>
  <x:si>
    <x:t xml:space="preserve">SW-06</x:t>
  </x:si>
  <x:si>
    <x:t xml:space="preserve">Medium unchecked neutral track is the canonical default and pointer activation changes only binary state.</x:t>
  </x:si>
  <x:si>
    <x:t xml:space="preserve">tests/components/switch/behavior.spec.ts</x:t>
  </x:si>
  <x:si>
    <x:t xml:space="preserve">SW-07</x:t>
  </x:si>
  <x:si>
    <x:t xml:space="preserve">Small, medium, and large increase complete track, thumb, and travel geometry while preserving the target.</x:t>
  </x:si>
  <x:si>
    <x:t xml:space="preserve">SW-08</x:t>
  </x:si>
  <x:si>
    <x:t xml:space="preserve">Space and Enter toggle exactly once while native focus remains on Root.</x:t>
  </x:si>
  <x:si>
    <x:t xml:space="preserve">SW-09</x:t>
  </x:si>
  <x:si>
    <x:t xml:space="preserve">Controlled and uncontrolled state expose identical visuals and correct checked-change behavior.</x:t>
  </x:si>
  <x:si>
    <x:t xml:space="preserve">../test/components/switch/switch.test.tsx; tests/components/switch/behavior.spec.ts</x:t>
  </x:si>
  <x:si>
    <x:t xml:space="preserve">SW-10</x:t>
  </x:si>
  <x:si>
    <x:t xml:space="preserve">Disabled, required, invalid, and read-only attributes propagate to both parts with distinct behavior and paint.</x:t>
  </x:si>
  <x:si>
    <x:t xml:space="preserve">SW-11</x:t>
  </x:si>
  <x:si>
    <x:t xml:space="preserve">Read-only remains focusable and submitted but cannot mutate or emit checked changes.</x:t>
  </x:si>
  <x:si>
    <x:t xml:space="preserve">SW-12</x:t>
  </x:si>
  <x:si>
    <x:t xml:space="preserve">Named submission, native required focus, reset, external ownership, and Field relationships work.</x:t>
  </x:si>
  <x:si>
    <x:t xml:space="preserve">SW-13</x:t>
  </x:si>
  <x:si>
    <x:t xml:space="preserve">render and asChild preserve custom hosts, role, state, decorative semantics, classes, slots, and native props.</x:t>
  </x:si>
  <x:si>
    <x:t xml:space="preserve">SW-14</x:t>
  </x:si>
  <x:si>
    <x:t xml:space="preserve">Accessible name, switch role, boolean checked state, decorative Thumb, Field relationships, and axe checks pass.</x:t>
  </x:si>
  <x:si>
    <x:t xml:space="preserve">SW-15</x:t>
  </x:si>
  <x:si>
    <x:t xml:space="preserve">Risk-selected defaults, sizes, composition, dark appearance, responsive RTL, and forced-color baselines require owner review.</x:t>
  </x:si>
  <x:si>
    <x:t xml:space="preserve">tests/components/switch/visual.spec.ts</x:t>
  </x:si>
  <x:si>
    <x:t xml:space="preserve">Generated and agent-inspected; owner review unclaimed</x:t>
  </x:si>
  <x:si>
    <x:t xml:space="preserve">SW-16</x:t>
  </x:si>
  <x:si>
    <x:t xml:space="preserve">A tester completes the top-to-bottom keyboard, screen reader, zoom, mobile, RTL, appearance, reduced-motion, and forced-color protocol.</x:t>
  </x:si>
  <x:si>
    <x:t xml:space="preserve">manual-tests/switch.md</x:t>
  </x:si>
  <x:si>
    <x:t xml:space="preserve">Human run intentionally unclaimed</x:t>
  </x:si>
  <x:si>
    <x:t xml:space="preserve">SW-17</x:t>
  </x:si>
  <x:si>
    <x:t xml:space="preserve">../docs/components/switch/README.md</x:t>
  </x:si>
  <x:si>
    <x:t xml:space="preserve">SW-18</x:t>
  </x:si>
  <x:si>
    <x:t xml:space="preserve">../docs/components/switch/CHANGELOG.md; ../CHANGELOG.md</x:t>
  </x:si>
  <x:si>
    <x:t xml:space="preserve">SW-19</x:t>
  </x:si>
  <x:si>
    <x:t xml:space="preserve">The packed Consumer imports the public subpath and operates a controlled immediate setting in Popover.</x:t>
  </x:si>
  <x:si>
    <x:t xml:space="preserve">SW-20</x:t>
  </x:si>
  <x:si>
    <x:t xml:space="preserve">Build, exports, SSR, tarball, CSS, React 18/19, and Consumer boundary verification pass.</x:t>
  </x:si>
  <x:si>
    <x:t xml:space="preserve">Breadcrumb Evidence</x:t>
  </x:si>
  <x:si>
    <x:t xml:space="preserve">Assertion-level Atom-backed package, browser, visual, accessibility, documentation, Consumer, composition, and responsive evidence.</x:t>
  </x:si>
  <x:si>
    <x:t xml:space="preserve">BC-01</x:t>
  </x:si>
  <x:si>
    <x:t xml:space="preserve">Root/List/Item/Link/Page/Separator/Ellipsis</x:t>
  </x:si>
  <x:si>
    <x:t xml:space="preserve">Brick styles released Atom 0.20.11 Breadcrumb semantics and composition without recreating navigation, current-page, separator, or polymorphic behavior.</x:t>
  </x:si>
  <x:si>
    <x:t xml:space="preserve">../src/components/breadcrumb</x:t>
  </x:si>
  <x:si>
    <x:t xml:space="preserve">BC-02</x:t>
  </x:si>
  <x:si>
    <x:t xml:space="preserve">The public seven-part namespace preserves nav, ordered-list, list-item, native-anchor, current-page, hidden-separator, and ellipsis hosts without Brick-only wrappers.</x:t>
  </x:si>
  <x:si>
    <x:t xml:space="preserve">../test/components/breadcrumb/breadcrumb.test.tsx</x:t>
  </x:si>
  <x:si>
    <x:t xml:space="preserve">BC-03</x:t>
  </x:si>
  <x:si>
    <x:t xml:space="preserve">Namespace, named parts, public types, root export, and breadcrumb subpath are exported with identical runtime identities.</x:t>
  </x:si>
  <x:si>
    <x:t xml:space="preserve">BC-04</x:t>
  </x:si>
  <x:si>
    <x:t xml:space="preserve">Closed size and variant recipes, native props, refs, render, asChild, separators, and ellipsis composition type-check.</x:t>
  </x:si>
  <x:si>
    <x:t xml:space="preserve">../test/types/components/breadcrumb.test.ts</x:t>
  </x:si>
  <x:si>
    <x:t xml:space="preserve">BC-05</x:t>
  </x:si>
  <x:si>
    <x:t xml:space="preserve">Static CSS ships typography, spacing, link, current-page, separator, ellipsis, focus, RTL, forced-color, and public-variable behavior.</x:t>
  </x:si>
  <x:si>
    <x:t xml:space="preserve">../src/components/breadcrumb/breadcrumb.css</x:t>
  </x:si>
  <x:si>
    <x:t xml:space="preserve">BC-06</x:t>
  </x:si>
  <x:si>
    <x:t xml:space="preserve">Root/Link/Page</x:t>
  </x:si>
  <x:si>
    <x:t xml:space="preserve">Medium plain styling renders neutral ancestor links and a primary medium-emphasis current page as the canonical default.</x:t>
  </x:si>
  <x:si>
    <x:t xml:space="preserve">tests/components/breadcrumb/behavior.spec.ts</x:t>
  </x:si>
  <x:si>
    <x:t xml:space="preserve">BC-07</x:t>
  </x:si>
  <x:si>
    <x:t xml:space="preserve">Variants</x:t>
  </x:si>
  <x:si>
    <x:t xml:space="preserve">Root/Link</x:t>
  </x:si>
  <x:si>
    <x:t xml:space="preserve">Plain and underline alter only ancestor-link decoration while content, size, separators, and current-page styling remain default.</x:t>
  </x:si>
  <x:si>
    <x:t xml:space="preserve">tests/components/breadcrumb/visual.spec.ts</x:t>
  </x:si>
  <x:si>
    <x:t xml:space="preserve">BC-08</x:t>
  </x:si>
  <x:si>
    <x:t xml:space="preserve">Sizes</x:t>
  </x:si>
  <x:si>
    <x:t xml:space="preserve">Small, medium, and large change only typography and trail spacing while preserving native semantics and usable link targets.</x:t>
  </x:si>
  <x:si>
    <x:t xml:space="preserve">BC-09</x:t>
  </x:si>
  <x:si>
    <x:t xml:space="preserve">Link/Page/Separator</x:t>
  </x:si>
  <x:si>
    <x:t xml:space="preserve">Custom separators, contextual Brick Icons, and long localized page names preserve reading order and containment.</x:t>
  </x:si>
  <x:si>
    <x:t xml:space="preserve">tests/components/breadcrumb/behavior.spec.ts; tests/components/breadcrumb/visual.spec.ts</x:t>
  </x:si>
  <x:si>
    <x:t xml:space="preserve">BC-10</x:t>
  </x:si>
  <x:si>
    <x:t xml:space="preserve">Current page</x:t>
  </x:si>
  <x:si>
    <x:t xml:space="preserve">Page</x:t>
  </x:si>
  <x:si>
    <x:t xml:space="preserve">Page exposes aria-current=page, is not a link, and remains the final announced location.</x:t>
  </x:si>
  <x:si>
    <x:t xml:space="preserve">../test/components/breadcrumb/breadcrumb.test.tsx; tests/components/breadcrumb/behavior.spec.ts</x:t>
  </x:si>
  <x:si>
    <x:t xml:space="preserve">BC-11</x:t>
  </x:si>
  <x:si>
    <x:t xml:space="preserve">Static collapse</x:t>
  </x:si>
  <x:si>
    <x:t xml:space="preserve">Ellipsis</x:t>
  </x:si>
  <x:si>
    <x:t xml:space="preserve">A presentational ellipsis may replace omitted ancestors while remaining hidden from assistive technology.</x:t>
  </x:si>
  <x:si>
    <x:t xml:space="preserve">BC-12</x:t>
  </x:si>
  <x:si>
    <x:t xml:space="preserve">Interactive collapse</x:t>
  </x:si>
  <x:si>
    <x:t xml:space="preserve">Consumer-composed interactive ellipsis exposes a named button, a 44px target, and application-owned expansion status without changing Breadcrumb state ownership.</x:t>
  </x:si>
  <x:si>
    <x:t xml:space="preserve">BC-13</x:t>
  </x:si>
  <x:si>
    <x:t xml:space="preserve">Native links</x:t>
  </x:si>
  <x:si>
    <x:t xml:space="preserve">Ancestor links preserve native href, target, rel, download, click, and focus behavior.</x:t>
  </x:si>
  <x:si>
    <x:t xml:space="preserve">BC-14</x:t>
  </x:si>
  <x:si>
    <x:t xml:space="preserve">render and asChild preserve consumer hosts, native semantics, refs, classes, data slots, Atom attributes, and one inspectable final hierarchy.</x:t>
  </x:si>
  <x:si>
    <x:t xml:space="preserve">BC-15</x:t>
  </x:si>
  <x:si>
    <x:t xml:space="preserve">Root/List</x:t>
  </x:si>
  <x:si>
    <x:t xml:space="preserve">Long trails wrap without clipping at constrained widths, 200%/400% zoom, text spacing, mobile widths, and RTL direction.</x:t>
  </x:si>
  <x:si>
    <x:t xml:space="preserve">BC-16</x:t>
  </x:si>
  <x:si>
    <x:t xml:space="preserve">Named navigation, ordered-list structure, native links, current page, hidden separators, focus visibility, target size, and axe checks pass.</x:t>
  </x:si>
  <x:si>
    <x:t xml:space="preserve">BC-17</x:t>
  </x:si>
  <x:si>
    <x:t xml:space="preserve">Reviewed baselines cover default, variants, sizes, content, collapse, composition, dark appearance, mobile RTL, and forced colors.</x:t>
  </x:si>
  <x:si>
    <x:t xml:space="preserve">Agent-inspected all nine generated baselines</x:t>
  </x:si>
  <x:si>
    <x:t xml:space="preserve">BC-18</x:t>
  </x:si>
  <x:si>
    <x:t xml:space="preserve">A tester completes the concise top-to-bottom pointer, keyboard, screen-reader, zoom, mobile, appearance, forced-color, and RTL protocol.</x:t>
  </x:si>
  <x:si>
    <x:t xml:space="preserve">manual-tests/breadcrumb.md</x:t>
  </x:si>
  <x:si>
    <x:t xml:space="preserve">BC-19</x:t>
  </x:si>
  <x:si>
    <x:t xml:space="preserve">Public use, anatomy, recipes, accessibility, native props, composition, responsive behavior, customization, evidence, and exclusions are documented.</x:t>
  </x:si>
  <x:si>
    <x:t xml:space="preserve">../docs/components/breadcrumb/README.md</x:t>
  </x:si>
  <x:si>
    <x:t xml:space="preserve">BC-20</x:t>
  </x:si>
  <x:si>
    <x:t xml:space="preserve">The component owns a public changelog and the package changelog records its addition.</x:t>
  </x:si>
  <x:si>
    <x:t xml:space="preserve">../docs/components/breadcrumb/CHANGELOG.md; ../CHANGELOG.md</x:t>
  </x:si>
  <x:si>
    <x:t xml:space="preserve">BC-21</x:t>
  </x:si>
  <x:si>
    <x:t xml:space="preserve">One navigable route exposes all adopted defaults, recipes, content, collapse, native-link, composition, appearance, customization, responsive, and RTL scenarios.</x:t>
  </x:si>
  <x:si>
    <x:t xml:space="preserve">src/components/breadcrumb/BreadcrumbPage.tsx</x:t>
  </x:si>
  <x:si>
    <x:t xml:space="preserve">BC-22</x:t>
  </x:si>
  <x:si>
    <x:t xml:space="preserve">The packed Consumer imports the public subpath and renders a realistic current-workspace trail.</x:t>
  </x:si>
  <x:si>
    <x:t xml:space="preserve">BC-23</x:t>
  </x:si>
  <x:si>
    <x:t xml:space="preserve">Build, exports, SSR, tarball, CSS, React 18/19, Consumer boundary, browser matrix, docs, and exact Atom 0.20.11 dependency pass.</x:t>
  </x:si>
  <x:si>
    <x:t xml:space="preserve">Tabs Evidence</x:t>
  </x:si>
  <x:si>
    <x:t xml:space="preserve">Assertion-level Atom-backed package, keyboard, browser, visual, accessibility, documentation, Consumer, composition, and responsive evidence.</x:t>
  </x:si>
  <x:si>
    <x:t xml:space="preserve">TB-01</x:t>
  </x:si>
  <x:si>
    <x:t xml:space="preserve">Brick styles released Atom 0.20.11 Tabs without recreating state, focus, keyboard, direction, relationships, panel lifecycle, or measurement.</x:t>
  </x:si>
  <x:si>
    <x:t xml:space="preserve">../src/components/tabs</x:t>
  </x:si>
  <x:si>
    <x:t xml:space="preserve">TB-02</x:t>
  </x:si>
  <x:si>
    <x:t xml:space="preserve">Root/List/Trigger/Content/Indicator</x:t>
  </x:si>
  <x:si>
    <x:t xml:space="preserve">The public five-part namespace preserves Atom hosts, roles, relationships, refs, native props, and composition.</x:t>
  </x:si>
  <x:si>
    <x:t xml:space="preserve">../test/components/tabs/tabs.test.tsx</x:t>
  </x:si>
  <x:si>
    <x:t xml:space="preserve">TB-03</x:t>
  </x:si>
  <x:si>
    <x:t xml:space="preserve">Root and tabs subpath expose the namespace, named parts, and every public type with identical runtime identities.</x:t>
  </x:si>
  <x:si>
    <x:t xml:space="preserve">TB-04</x:t>
  </x:si>
  <x:si>
    <x:t xml:space="preserve">Closed size, variant, Content inset, and responsive visual-layout recipes plus Atom state/orientation/composition props and refs type-check.</x:t>
  </x:si>
  <x:si>
    <x:t xml:space="preserve">../test/types/components/tabs.test.ts</x:t>
  </x:si>
  <x:si>
    <x:t xml:space="preserve">TB-05</x:t>
  </x:si>
  <x:si>
    <x:t xml:space="preserve">Static CSS ships semantic orientation, responsive stacked/side visual layouts, Content inset recipes, variants, states, overflow, RTL, and forced-color behavior.</x:t>
  </x:si>
  <x:si>
    <x:t xml:space="preserve">../src/components/tabs/tabs.css</x:t>
  </x:si>
  <x:si>
    <x:t xml:space="preserve">TB-06</x:t>
  </x:si>
  <x:si>
    <x:t xml:space="preserve">Root/List/Trigger/Content</x:t>
  </x:si>
  <x:si>
    <x:t xml:space="preserve">Medium horizontal line Tabs default to automatic looping activation with the authored initial panel selected.</x:t>
  </x:si>
  <x:si>
    <x:t xml:space="preserve">tests/components/tabs/behavior.spec.ts</x:t>
  </x:si>
  <x:si>
    <x:t xml:space="preserve">TB-07</x:t>
  </x:si>
  <x:si>
    <x:t xml:space="preserve">Line, solid, soft, and enclosed are visually distinct while identical content, size, state, and orientation stay default.</x:t>
  </x:si>
  <x:si>
    <x:t xml:space="preserve">tests/components/tabs/visual.spec.ts</x:t>
  </x:si>
  <x:si>
    <x:t xml:space="preserve">Agent-inspected generated variants baseline.</x:t>
  </x:si>
  <x:si>
    <x:t xml:space="preserve">TB-08</x:t>
  </x:si>
  <x:si>
    <x:t xml:space="preserve">Root/Trigger/Content</x:t>
  </x:si>
  <x:si>
    <x:t xml:space="preserve">Small, medium, and large alter shared typography, height, spacing, and panel inset only.</x:t>
  </x:si>
  <x:si>
    <x:t xml:space="preserve">Agent-inspected generated sizes baseline.</x:t>
  </x:si>
  <x:si>
    <x:t xml:space="preserve">TB-09</x:t>
  </x:si>
  <x:si>
    <x:t xml:space="preserve">Layout</x:t>
  </x:si>
  <x:si>
    <x:t xml:space="preserve">Semantic orientation controls arrow behavior; responsive layout changes only the List/Content relationship; fullWidth distributes horizontal triggers equally.</x:t>
  </x:si>
  <x:si>
    <x:t xml:space="preserve">tests/components/tabs/behavior.spec.ts; ../test/components/tabs/tabs.test.tsx</x:t>
  </x:si>
  <x:si>
    <x:t xml:space="preserve">TB-10</x:t>
  </x:si>
  <x:si>
    <x:t xml:space="preserve">Trigger</x:t>
  </x:si>
  <x:si>
    <x:t xml:space="preserve">Selected, inactive, hover, focus-visible, disabled, and composed-icon content remain aligned and distinct.</x:t>
  </x:si>
  <x:si>
    <x:t xml:space="preserve">tests/components/tabs/behavior.spec.ts; tests/components/tabs/visual.spec.ts</x:t>
  </x:si>
  <x:si>
    <x:t xml:space="preserve">TB-11</x:t>
  </x:si>
  <x:si>
    <x:t xml:space="preserve">Activation</x:t>
  </x:si>
  <x:si>
    <x:t xml:space="preserve">Root/List/Trigger</x:t>
  </x:si>
  <x:si>
    <x:t xml:space="preserve">Automatic activation selects on focus; manual activation waits for Enter/Space; Home/End and disabled skipping remain Atom-owned.</x:t>
  </x:si>
  <x:si>
    <x:t xml:space="preserve">TB-12</x:t>
  </x:si>
  <x:si>
    <x:t xml:space="preserve">Panels</x:t>
  </x:si>
  <x:si>
    <x:t xml:space="preserve">Active, unmounted, keepMounted, focusable, and none/sm/md/lg inset panel contracts remain correctly related to their triggers.</x:t>
  </x:si>
  <x:si>
    <x:t xml:space="preserve">../test/components/tabs/tabs.test.tsx; tests/components/tabs/behavior.spec.ts</x:t>
  </x:si>
  <x:si>
    <x:t xml:space="preserve">TB-13</x:t>
  </x:si>
  <x:si>
    <x:t xml:space="preserve">Indicator</x:t>
  </x:si>
  <x:si>
    <x:t xml:space="preserve">Optional Indicator follows Atom trigger measurement, selected fallback remains visible, and reduced motion removes transitions.</x:t>
  </x:si>
  <x:si>
    <x:t xml:space="preserve">Agent-inspected line and vertical baselines.</x:t>
  </x:si>
  <x:si>
    <x:t xml:space="preserve">TB-14</x:t>
  </x:si>
  <x:si>
    <x:t xml:space="preserve">render and asChild preserve roles, IDs, relationships, native hosts, classes, slots, and refs in actual HTML.</x:t>
  </x:si>
  <x:si>
    <x:t xml:space="preserve">TB-15</x:t>
  </x:si>
  <x:si>
    <x:t xml:space="preserve">Root/List/Content</x:t>
  </x:si>
  <x:si>
    <x:t xml:space="preserve">Constrained horizontal lists scroll; responsive stacked/side layout keeps vertical aria-orientation and Arrow Down behavior unchanged.</x:t>
  </x:si>
  <x:si>
    <x:t xml:space="preserve">TB-16</x:t>
  </x:si>
  <x:si>
    <x:t xml:space="preserve">Explicit RTL preserves genuine text and mirrors horizontal arrow navigation while vertical navigation is unchanged.</x:t>
  </x:si>
  <x:si>
    <x:t xml:space="preserve">TB-17</x:t>
  </x:si>
  <x:si>
    <x:t xml:space="preserve">Named tablists, selected/disabled states, relationships, roving focus, forced colors, and axe pass.</x:t>
  </x:si>
  <x:si>
    <x:t xml:space="preserve">TB-18</x:t>
  </x:si>
  <x:si>
    <x:t xml:space="preserve">Reviewed baselines cover defaults, variants, sizes, layouts, content, dark appearance, mobile RTL, and forced colors.</x:t>
  </x:si>
  <x:si>
    <x:t xml:space="preserve">Agent-inspected every generated Tabs baseline.</x:t>
  </x:si>
  <x:si>
    <x:t xml:space="preserve">TB-19</x:t>
  </x:si>
  <x:si>
    <x:t xml:space="preserve">A tester completes the concise top-to-bottom keyboard, AT, zoom, device, appearance, RTL, forced-color, and reduced-motion protocol.</x:t>
  </x:si>
  <x:si>
    <x:t xml:space="preserve">manual-tests/tabs.md</x:t>
  </x:si>
  <x:si>
    <x:t xml:space="preserve">Human run intentionally unclaimed.</x:t>
  </x:si>
  <x:si>
    <x:t xml:space="preserve">TB-20</x:t>
  </x:si>
  <x:si>
    <x:t xml:space="preserve">Source-backed usage, anatomy, Content inset, responsive visual layout, semantic orientation, accessibility, composition, CSS, and evidence are documented.</x:t>
  </x:si>
  <x:si>
    <x:t xml:space="preserve">../docs/components/tabs/README.md; ../src/components/tabs/agent.md</x:t>
  </x:si>
  <x:si>
    <x:t xml:space="preserve">TB-21</x:t>
  </x:si>
  <x:si>
    <x:t xml:space="preserve">One navigable route exposes all nine controlled scenarios and actual composition output.</x:t>
  </x:si>
  <x:si>
    <x:t xml:space="preserve">src/components/tabs/TabsPage.tsx</x:t>
  </x:si>
  <x:si>
    <x:t xml:space="preserve">TB-22</x:t>
  </x:si>
  <x:si>
    <x:t xml:space="preserve">Packed Consumer imports the public subpath and operates a realistic workspace preview.</x:t>
  </x:si>
  <x:si>
    <x:t xml:space="preserve">TB-23</x:t>
  </x:si>
  <x:si>
    <x:t xml:space="preserve">Build, exports, SSR, tarball, CSS, React 18/19, consumers, configured browsers, responsive layout, docs, and exact Atom dependency pass.</x:t>
  </x:si>
  <x:si>
    <x:t xml:space="preserve">../scripts/verify-package.mjs; ../scripts/verify-consumers.mjs; tests/components/tabs/behavior.spec.ts</x:t>
  </x:si>
  <x:si>
    <x:t xml:space="preserve">Skeleton Evidence</x:t>
  </x:si>
  <x:si>
    <x:t xml:space="preserve">Assertion-level visual loading, motion, geometry, accessibility, package, documentation, Consumer, and responsive evidence.</x:t>
  </x:si>
  <x:si>
    <x:t xml:space="preserve">SK-01</x:t>
  </x:si>
  <x:si>
    <x:t xml:space="preserve">Brick owns a purely visual loading placeholder; applications own loading state and region announcements, so no Atom primitive is duplicated.</x:t>
  </x:si>
  <x:si>
    <x:t xml:space="preserve">../src/components/skeleton</x:t>
  </x:si>
  <x:si>
    <x:t xml:space="preserve">SK-02</x:t>
  </x:si>
  <x:si>
    <x:t xml:space="preserve">One stable span preserves native props/ref and private content or line children without changing the root across loading transitions.</x:t>
  </x:si>
  <x:si>
    <x:t xml:space="preserve">../test/components/skeleton/skeleton.test.tsx</x:t>
  </x:si>
  <x:si>
    <x:t xml:space="preserve">SK-03</x:t>
  </x:si>
  <x:si>
    <x:t xml:space="preserve">Root and skeleton subpath expose the runtime component and every closed public type.</x:t>
  </x:si>
  <x:si>
    <x:t xml:space="preserve">SK-04</x:t>
  </x:si>
  <x:si>
    <x:t xml:space="preserve">Closed shapes and animations, dimensions, lines, native props, style, slot, children, and ref type-check.</x:t>
  </x:si>
  <x:si>
    <x:t xml:space="preserve">../test/types/components/skeleton.test.ts</x:t>
  </x:si>
  <x:si>
    <x:t xml:space="preserve">SK-05</x:t>
  </x:si>
  <x:si>
    <x:t xml:space="preserve">Static CSS ships geometry, pulse/wave/static recipes, child hiding, line layout, forced colors, reduced motion, and public variables.</x:t>
  </x:si>
  <x:si>
    <x:t xml:space="preserve">../src/components/skeleton/skeleton.css</x:t>
  </x:si>
  <x:si>
    <x:t xml:space="preserve">SK-06</x:t>
  </x:si>
  <x:si>
    <x:t xml:space="preserve">Text, pulse, loading, and one line render as a silent full-width font-height placeholder.</x:t>
  </x:si>
  <x:si>
    <x:t xml:space="preserve">tests/components/skeleton/behavior.spec.ts</x:t>
  </x:si>
  <x:si>
    <x:t xml:space="preserve">SK-07</x:t>
  </x:si>
  <x:si>
    <x:t xml:space="preserve">Text, circular, rectangular, and rounded change only intended geometry.</x:t>
  </x:si>
  <x:si>
    <x:t xml:space="preserve">tests/components/skeleton/visual.spec.ts</x:t>
  </x:si>
  <x:si>
    <x:t xml:space="preserve">SK-08</x:t>
  </x:si>
  <x:si>
    <x:t xml:space="preserve">Animation</x:t>
  </x:si>
  <x:si>
    <x:t xml:space="preserve">Pulse, wave, and none are visually distinct and all animation stops with prefers-reduced-motion.</x:t>
  </x:si>
  <x:si>
    <x:t xml:space="preserve">Agent-inspected generated animation baseline.</x:t>
  </x:si>
  <x:si>
    <x:t xml:space="preserve">SK-09</x:t>
  </x:si>
  <x:si>
    <x:t xml:space="preserve">Dimensions</x:t>
  </x:si>
  <x:si>
    <x:t xml:space="preserve">Numeric, CSS-length, consumer style, defaults, and public variables size placeholders without a misleading component size scale.</x:t>
  </x:si>
  <x:si>
    <x:t xml:space="preserve">tests/components/skeleton/behavior.spec.ts; tests/components/skeleton/visual.spec.ts</x:t>
  </x:si>
  <x:si>
    <x:t xml:space="preserve">SK-10</x:t>
  </x:si>
  <x:si>
    <x:t xml:space="preserve">Text lines</x:t>
  </x:si>
  <x:si>
    <x:t xml:space="preserve">One, three, and five-line standalone text render exact row counts and a shorter final line.</x:t>
  </x:si>
  <x:si>
    <x:t xml:space="preserve">SK-11</x:t>
  </x:si>
  <x:si>
    <x:t xml:space="preserve">Loading</x:t>
  </x:si>
  <x:si>
    <x:t xml:space="preserve">Wrapped content preserves exact layout, stays hidden/noninteractive while loading, and returns through the same root.</x:t>
  </x:si>
  <x:si>
    <x:t xml:space="preserve">../test/components/skeleton/skeleton.test.tsx; tests/components/skeleton/behavior.spec.ts</x:t>
  </x:si>
  <x:si>
    <x:t xml:space="preserve">SK-12</x:t>
  </x:si>
  <x:si>
    <x:t xml:space="preserve">Real Brick controls, surfaces, rows, and card previews compose without Skeleton taking their semantics or data ownership.</x:t>
  </x:si>
  <x:si>
    <x:t xml:space="preserve">Agent-inspected loading and composition baselines.</x:t>
  </x:si>
  <x:si>
    <x:t xml:space="preserve">SK-13</x:t>
  </x:si>
  <x:si>
    <x:t xml:space="preserve">Loading placeholders are aria-hidden, never focusable or named, and the owning region demonstrates aria-busy; axe passes.</x:t>
  </x:si>
  <x:si>
    <x:t xml:space="preserve">SK-14</x:t>
  </x:si>
  <x:si>
    <x:t xml:space="preserve">Logical dimensions stay bounded under narrow width, RTL, mobile, and zoom without page overflow.</x:t>
  </x:si>
  <x:si>
    <x:t xml:space="preserve">SK-15</x:t>
  </x:si>
  <x:si>
    <x:t xml:space="preserve">Semantic paint adapts in light/dark and forced colors; exact public variables match the customization example.</x:t>
  </x:si>
  <x:si>
    <x:t xml:space="preserve">Agent-inspected appearance and forced-color baselines.</x:t>
  </x:si>
  <x:si>
    <x:t xml:space="preserve">SK-16</x:t>
  </x:si>
  <x:si>
    <x:t xml:space="preserve">Reviewed baselines cover defaults, shapes, animation, dimensions, lines, loading, appearance, mobile, and forced colors.</x:t>
  </x:si>
  <x:si>
    <x:t xml:space="preserve">Agent-inspected every generated Skeleton baseline.</x:t>
  </x:si>
  <x:si>
    <x:t xml:space="preserve">SK-17</x:t>
  </x:si>
  <x:si>
    <x:t xml:space="preserve">A tester completes the concise shape, motion, loading, AT, zoom, device, appearance, forced-color, and reduced-motion protocol.</x:t>
  </x:si>
  <x:si>
    <x:t xml:space="preserve">manual-tests/skeleton.md</x:t>
  </x:si>
  <x:si>
    <x:t xml:space="preserve">SK-18</x:t>
  </x:si>
  <x:si>
    <x:t xml:space="preserve">Source-backed use, anatomy, API, recipes, accessibility, responsive behavior, composition, CSS, customization, and evidence are documented.</x:t>
  </x:si>
  <x:si>
    <x:t xml:space="preserve">../docs/components/skeleton/README.md</x:t>
  </x:si>
  <x:si>
    <x:t xml:space="preserve">SK-19</x:t>
  </x:si>
  <x:si>
    <x:t xml:space="preserve">Skeleton owns a public changelog and the package changelog records the addition.</x:t>
  </x:si>
  <x:si>
    <x:t xml:space="preserve">../docs/components/skeleton/CHANGELOG.md; ../CHANGELOG.md</x:t>
  </x:si>
  <x:si>
    <x:t xml:space="preserve">SK-20</x:t>
  </x:si>
  <x:si>
    <x:t xml:space="preserve">One navigable route exposes all nine controlled scenarios including loading and region ownership.</x:t>
  </x:si>
  <x:si>
    <x:t xml:space="preserve">src/components/skeleton/SkeletonPage.tsx</x:t>
  </x:si>
  <x:si>
    <x:t xml:space="preserve">SK-21</x:t>
  </x:si>
  <x:si>
    <x:t xml:space="preserve">Packed Consumer imports the public subpath and renders multi-line loading geometry inside Tabs.</x:t>
  </x:si>
  <x:si>
    <x:t xml:space="preserve">SK-22</x:t>
  </x:si>
  <x:si>
    <x:t xml:space="preserve">Build, exports, SSR, tarball, CSS, React 18/19, Consumer, configured browsers, docs, and size gates pass.</x:t>
  </x:si>
  <x:si>
    <x:t xml:space="preserve">Dropdown Menu Evidence</x:t>
  </x:si>
  <x:si>
    <x:t xml:space="preserve">DM-01</x:t>
  </x:si>
  <x:si>
    <x:t xml:space="preserve">Brick styles released Atom 0.20.11 menu behavior without recreating open state, focus, keyboard, selection, dismissal, portals, or positioning.</x:t>
  </x:si>
  <x:si>
    <x:t xml:space="preserve">../src/components/dropdown-menu</x:t>
  </x:si>
  <x:si>
    <x:t xml:space="preserve">DM-02</x:t>
  </x:si>
  <x:si>
    <x:t xml:space="preserve">The complete public namespace preserves trigger, popup, group, choice, indicator, static row, separator, arrow, and submenu ownership.</x:t>
  </x:si>
  <x:si>
    <x:t xml:space="preserve">../test/components/dropdown-menu/dropdown-menu.test.tsx</x:t>
  </x:si>
  <x:si>
    <x:t xml:space="preserve">DM-03</x:t>
  </x:si>
  <x:si>
    <x:t xml:space="preserve">DropdownMenu</x:t>
  </x:si>
  <x:si>
    <x:t xml:space="preserve">Root and dropdown-menu subpath expose the namespace, named parts, and public types with identical runtime identities.</x:t>
  </x:si>
  <x:si>
    <x:t xml:space="preserve">../test/package/package.test.mjs; ../scripts/verify-consumers.mjs</x:t>
  </x:si>
  <x:si>
    <x:t xml:space="preserve">DM-04</x:t>
  </x:si>
  <x:si>
    <x:t xml:space="preserve">Closed sizes and tones plus Atom behavior, composition, native props, and refs type-check.</x:t>
  </x:si>
  <x:si>
    <x:t xml:space="preserve">../test/types/components/dropdown-menu.test.ts</x:t>
  </x:si>
  <x:si>
    <x:t xml:space="preserve">DM-05</x:t>
  </x:si>
  <x:si>
    <x:t xml:space="preserve">Static CSS ships the popup surface, row anatomy, selection, danger, disabled, submenu, preference, and public-token recipes.</x:t>
  </x:si>
  <x:si>
    <x:t xml:space="preserve">../src/components/dropdown-menu/dropdown-menu.css</x:t>
  </x:si>
  <x:si>
    <x:t xml:space="preserve">DM-06</x:t>
  </x:si>
  <x:si>
    <x:t xml:space="preserve">Root/Trigger/Content/Item</x:t>
  </x:si>
  <x:si>
    <x:t xml:space="preserve">A medium button-triggered menu opens with neutral rows and Atom-owned focus and dismissal.</x:t>
  </x:si>
  <x:si>
    <x:t xml:space="preserve">tests/components/dropdown-menu/behavior.spec.ts</x:t>
  </x:si>
  <x:si>
    <x:t xml:space="preserve">DM-07</x:t>
  </x:si>
  <x:si>
    <x:t xml:space="preserve">Content/SubContent</x:t>
  </x:si>
  <x:si>
    <x:t xml:space="preserve">Small, medium, and large change only shared popup row geometry and typography.</x:t>
  </x:si>
  <x:si>
    <x:t xml:space="preserve">tests/components/dropdown-menu/visual.spec.ts</x:t>
  </x:si>
  <x:si>
    <x:t xml:space="preserve">Agent-inspected generated size baselines.</x:t>
  </x:si>
  <x:si>
    <x:t xml:space="preserve">DM-08</x:t>
  </x:si>
  <x:si>
    <x:t xml:space="preserve">Item anatomy</x:t>
  </x:si>
  <x:si>
    <x:t xml:space="preserve">Leading content, label, description, shortcut, groups, labels, separators, and Arrow align without changing command semantics.</x:t>
  </x:si>
  <x:si>
    <x:t xml:space="preserve">Agent-inspected open and anatomy baselines.</x:t>
  </x:si>
  <x:si>
    <x:t xml:space="preserve">DM-09</x:t>
  </x:si>
  <x:si>
    <x:t xml:space="preserve">Selection</x:t>
  </x:si>
  <x:si>
    <x:t xml:space="preserve">CheckboxItem/RadioItem</x:t>
  </x:si>
  <x:si>
    <x:t xml:space="preserve">Checked, mixed, and radio choices expose persistent Atom selection and visible indicators.</x:t>
  </x:si>
  <x:si>
    <x:t xml:space="preserve">DM-10</x:t>
  </x:si>
  <x:si>
    <x:t xml:space="preserve">Item/SubTrigger</x:t>
  </x:si>
  <x:si>
    <x:t xml:space="preserve">Neutral, highlighted, disabled, and danger commands remain distinct with identical default geometry.</x:t>
  </x:si>
  <x:si>
    <x:t xml:space="preserve">tests/components/dropdown-menu/behavior.spec.ts; tests/components/dropdown-menu/visual.spec.ts</x:t>
  </x:si>
  <x:si>
    <x:t xml:space="preserve">DM-11</x:t>
  </x:si>
  <x:si>
    <x:t xml:space="preserve">Submenus</x:t>
  </x:si>
  <x:si>
    <x:t xml:space="preserve">Sub/SubTrigger/SubContent</x:t>
  </x:si>
  <x:si>
    <x:t xml:space="preserve">Keyboard and pointer submenu opening preserves nested focus, direction, collision, and dismissal.</x:t>
  </x:si>
  <x:si>
    <x:t xml:space="preserve">DM-12</x:t>
  </x:si>
  <x:si>
    <x:t xml:space="preserve">Enter opens, menu focus enters, Escape closes, and focus returns to the trigger.</x:t>
  </x:si>
  <x:si>
    <x:t xml:space="preserve">DM-13</x:t>
  </x:si>
  <x:si>
    <x:t xml:space="preserve">Trigger/static parts</x:t>
  </x:si>
  <x:si>
    <x:t xml:space="preserve">asChild and render preserve the authored host, attributes, handlers, slots, and refs without duplicate controls.</x:t>
  </x:si>
  <x:si>
    <x:t xml:space="preserve">../test/components/dropdown-menu/dropdown-menu.test.tsx; tests/components/dropdown-menu/behavior.spec.ts</x:t>
  </x:si>
  <x:si>
    <x:t xml:space="preserve">DM-14</x:t>
  </x:si>
  <x:si>
    <x:t xml:space="preserve">Constrained popups remain inside the viewport with reachable long and repeated commands.</x:t>
  </x:si>
  <x:si>
    <x:t xml:space="preserve">DM-15</x:t>
  </x:si>
  <x:si>
    <x:t xml:space="preserve">RTL content and submenu direction mirror while authored text stays genuine.</x:t>
  </x:si>
  <x:si>
    <x:t xml:space="preserve">DM-16</x:t>
  </x:si>
  <x:si>
    <x:t xml:space="preserve">Named triggers and menus, roles, choice states, disabled state, focus return, forced colors, and axe pass.</x:t>
  </x:si>
  <x:si>
    <x:t xml:space="preserve">DM-17</x:t>
  </x:si>
  <x:si>
    <x:t xml:space="preserve">Reviewed baselines cover closed and open defaults, anatomy, choices, states, dark appearance, mobile RTL, and forced colors.</x:t>
  </x:si>
  <x:si>
    <x:t xml:space="preserve">Agent-inspected every generated Dropdown Menu baseline.</x:t>
  </x:si>
  <x:si>
    <x:t xml:space="preserve">DM-18</x:t>
  </x:si>
  <x:si>
    <x:t xml:space="preserve">Interactive parts</x:t>
  </x:si>
  <x:si>
    <x:t xml:space="preserve">Keyboard opening, roving or adjacent navigation, activation, dismissal, and focus return remain Atom-owned.</x:t>
  </x:si>
  <x:si>
    <x:t xml:space="preserve">DM-19</x:t>
  </x:si>
  <x:si>
    <x:t xml:space="preserve">A tester completes the concise top-to-bottom pointer, keyboard, AT, zoom, device, appearance, RTL, forced-color, and reduced-motion protocol.</x:t>
  </x:si>
  <x:si>
    <x:t xml:space="preserve">manual-tests/dropdown-menu.md</x:t>
  </x:si>
  <x:si>
    <x:t xml:space="preserve">DM-20</x:t>
  </x:si>
  <x:si>
    <x:t xml:space="preserve">Source-backed usage, anatomy, API, recipes, accessibility, responsive behavior, composition, CSS, customization, and evidence are documented.</x:t>
  </x:si>
  <x:si>
    <x:t xml:space="preserve">../docs/components/dropdown-menu/README.md</x:t>
  </x:si>
  <x:si>
    <x:t xml:space="preserve">DM-21</x:t>
  </x:si>
  <x:si>
    <x:t xml:space="preserve">One navigable route exposes nine controlled scenarios and actual rendered composition output.</x:t>
  </x:si>
  <x:si>
    <x:t xml:space="preserve">src/components/dropdown-menu/DropdownMenuPage.tsx</x:t>
  </x:si>
  <x:si>
    <x:t xml:space="preserve">DM-22</x:t>
  </x:si>
  <x:si>
    <x:t xml:space="preserve">Packed Consumer imports the public subpath and operates realistic component composition on desktop and mobile.</x:t>
  </x:si>
  <x:si>
    <x:t xml:space="preserve">DM-23</x:t>
  </x:si>
  <x:si>
    <x:t xml:space="preserve">Build, exports, SSR, tarball, CSS, React 18/19, Consumer, configured browsers, docs, and exact Atom dependency pass.</x:t>
  </x:si>
  <x:si>
    <x:t xml:space="preserve">Context Menu Evidence</x:t>
  </x:si>
  <x:si>
    <x:t xml:space="preserve">CM-01</x:t>
  </x:si>
  <x:si>
    <x:t xml:space="preserve">Brick styles released Atom 0.20.11 Context Menu behavior without recreating state, focus, keyboard, dismissal, portals, or positioning.</x:t>
  </x:si>
  <x:si>
    <x:t xml:space="preserve">../src/components/context-menu</x:t>
  </x:si>
  <x:si>
    <x:t xml:space="preserve">CM-02</x:t>
  </x:si>
  <x:si>
    <x:t xml:space="preserve">The public namespace preserves every adopted host, semantic relationship, native prop, ref, and composition boundary.</x:t>
  </x:si>
  <x:si>
    <x:t xml:space="preserve">../test/components/context-menu/context-menu.test.tsx</x:t>
  </x:si>
  <x:si>
    <x:t xml:space="preserve">CM-03</x:t>
  </x:si>
  <x:si>
    <x:t xml:space="preserve">ContextMenu</x:t>
  </x:si>
  <x:si>
    <x:t xml:space="preserve">Root and component subpath expose the namespace, named parts, and public types with identical runtime identities.</x:t>
  </x:si>
  <x:si>
    <x:t xml:space="preserve">CM-04</x:t>
  </x:si>
  <x:si>
    <x:t xml:space="preserve">Closed Brick recipes plus Atom behavior, composition, native props, and refs type-check.</x:t>
  </x:si>
  <x:si>
    <x:t xml:space="preserve">../test/types/components/context-menu.test.ts</x:t>
  </x:si>
  <x:si>
    <x:t xml:space="preserve">CM-05</x:t>
  </x:si>
  <x:si>
    <x:t xml:space="preserve">Static CSS ships every adopted recipe, state, responsive boundary, preference mode, and public customization hook.</x:t>
  </x:si>
  <x:si>
    <x:t xml:space="preserve">../src/components/context-menu/context-menu.css</x:t>
  </x:si>
  <x:si>
    <x:t xml:space="preserve">CM-06</x:t>
  </x:si>
  <x:si>
    <x:t xml:space="preserve">Invocation</x:t>
  </x:si>
  <x:si>
    <x:t xml:space="preserve">Pointer context gesture and Shift+F10 open at the intended target while essential actions remain visibly available.</x:t>
  </x:si>
  <x:si>
    <x:t xml:space="preserve">tests/components/context-menu/behavior.spec.ts</x:t>
  </x:si>
  <x:si>
    <x:t xml:space="preserve">CM-07</x:t>
  </x:si>
  <x:si>
    <x:t xml:space="preserve">Small, medium, and large change only popup row geometry and typography.</x:t>
  </x:si>
  <x:si>
    <x:t xml:space="preserve">tests/components/context-menu/visual.spec.ts</x:t>
  </x:si>
  <x:si>
    <x:t xml:space="preserve">Agent-inspected generated component baselines.</x:t>
  </x:si>
  <x:si>
    <x:t xml:space="preserve">CM-08</x:t>
  </x:si>
  <x:si>
    <x:t xml:space="preserve">All popup parts</x:t>
  </x:si>
  <x:si>
    <x:t xml:space="preserve">Groups, labels, rows, supporting content, separators, Arrow, choices, danger, disabled, and submenus remain aligned.</x:t>
  </x:si>
  <x:si>
    <x:t xml:space="preserve">CM-09</x:t>
  </x:si>
  <x:si>
    <x:t xml:space="preserve">Checked, mixed, and radio choices preserve Atom selection and indicators.</x:t>
  </x:si>
  <x:si>
    <x:t xml:space="preserve">CM-10</x:t>
  </x:si>
  <x:si>
    <x:t xml:space="preserve">Neutral, highlighted, disabled, and danger commands stay distinct.</x:t>
  </x:si>
  <x:si>
    <x:t xml:space="preserve">CM-11</x:t>
  </x:si>
  <x:si>
    <x:t xml:space="preserve">Nested context actions preserve keyboard direction, collision, focus, and dismissal.</x:t>
  </x:si>
  <x:si>
    <x:t xml:space="preserve">CM-12</x:t>
  </x:si>
  <x:si>
    <x:t xml:space="preserve">CM-13</x:t>
  </x:si>
  <x:si>
    <x:t xml:space="preserve">Composed parts</x:t>
  </x:si>
  <x:si>
    <x:t xml:space="preserve">render and asChild preserve native hosts, semantic roles, attributes, state, handlers, slots, and refs.</x:t>
  </x:si>
  <x:si>
    <x:t xml:space="preserve">CM-14</x:t>
  </x:si>
  <x:si>
    <x:t xml:space="preserve">Narrow viewports preserve reachable controls, constrained overlays, zoom, and the documented mobile boundary.</x:t>
  </x:si>
  <x:si>
    <x:t xml:space="preserve">CM-15</x:t>
  </x:si>
  <x:si>
    <x:t xml:space="preserve">Explicit RTL mirrors logical alignment and horizontal keyboard direction while preserving genuine text.</x:t>
  </x:si>
  <x:si>
    <x:t xml:space="preserve">CM-16</x:t>
  </x:si>
  <x:si>
    <x:t xml:space="preserve">Names, roles, states, keyboard order, focus, forced colors, and axe remain valid.</x:t>
  </x:si>
  <x:si>
    <x:t xml:space="preserve">CM-17</x:t>
  </x:si>
  <x:si>
    <x:t xml:space="preserve">Reviewed baselines cover defaults, recipes, states, dark appearance, mobile RTL, and forced colors.</x:t>
  </x:si>
  <x:si>
    <x:t xml:space="preserve">Agent-inspected every generated baseline.</x:t>
  </x:si>
  <x:si>
    <x:t xml:space="preserve">CM-18</x:t>
  </x:si>
  <x:si>
    <x:t xml:space="preserve">Behavior</x:t>
  </x:si>
  <x:si>
    <x:t xml:space="preserve">Component-specific state and interaction remain covered by focused browser and unit evidence.</x:t>
  </x:si>
  <x:si>
    <x:t xml:space="preserve">CM-19</x:t>
  </x:si>
  <x:si>
    <x:t xml:space="preserve">manual-tests/context-menu.md</x:t>
  </x:si>
  <x:si>
    <x:t xml:space="preserve">CM-20</x:t>
  </x:si>
  <x:si>
    <x:t xml:space="preserve">../docs/components/context-menu/README.md</x:t>
  </x:si>
  <x:si>
    <x:t xml:space="preserve">CM-21</x:t>
  </x:si>
  <x:si>
    <x:t xml:space="preserve">src/components/context-menu/ContextMenuPage.tsx</x:t>
  </x:si>
  <x:si>
    <x:t xml:space="preserve">CM-22</x:t>
  </x:si>
  <x:si>
    <x:t xml:space="preserve">CM-23</x:t>
  </x:si>
  <x:si>
    <x:t xml:space="preserve">Menubar Evidence</x:t>
  </x:si>
  <x:si>
    <x:t xml:space="preserve">MB-01</x:t>
  </x:si>
  <x:si>
    <x:t xml:space="preserve">Brick styles released Atom 0.20.11 Menubar behavior without recreating state, focus, keyboard, dismissal, portals, or positioning.</x:t>
  </x:si>
  <x:si>
    <x:t xml:space="preserve">../src/components/menubar</x:t>
  </x:si>
  <x:si>
    <x:t xml:space="preserve">MB-02</x:t>
  </x:si>
  <x:si>
    <x:t xml:space="preserve">../test/components/menubar/menubar.test.tsx</x:t>
  </x:si>
  <x:si>
    <x:t xml:space="preserve">MB-03</x:t>
  </x:si>
  <x:si>
    <x:t xml:space="preserve">MB-04</x:t>
  </x:si>
  <x:si>
    <x:t xml:space="preserve">../test/types/components/menubar.test.ts</x:t>
  </x:si>
  <x:si>
    <x:t xml:space="preserve">MB-05</x:t>
  </x:si>
  <x:si>
    <x:t xml:space="preserve">../src/components/menubar/menubar.css</x:t>
  </x:si>
  <x:si>
    <x:t xml:space="preserve">MB-06</x:t>
  </x:si>
  <x:si>
    <x:t xml:space="preserve">Root/Menu/Trigger/Content</x:t>
  </x:si>
  <x:si>
    <x:t xml:space="preserve">A medium horizontal menubar presents adjacent command categories and one Atom-owned popup.</x:t>
  </x:si>
  <x:si>
    <x:t xml:space="preserve">tests/components/menubar/behavior.spec.ts</x:t>
  </x:si>
  <x:si>
    <x:t xml:space="preserve">MB-07</x:t>
  </x:si>
  <x:si>
    <x:t xml:space="preserve">Orientation</x:t>
  </x:si>
  <x:si>
    <x:t xml:space="preserve">Horizontal and vertical orientations change layout and adjacent-trigger keyboard axis together.</x:t>
  </x:si>
  <x:si>
    <x:t xml:space="preserve">MB-08</x:t>
  </x:si>
  <x:si>
    <x:t xml:space="preserve">Root/Content</x:t>
  </x:si>
  <x:si>
    <x:t xml:space="preserve">Small, medium, and large change only persistent and popup control geometry.</x:t>
  </x:si>
  <x:si>
    <x:t xml:space="preserve">tests/components/menubar/visual.spec.ts</x:t>
  </x:si>
  <x:si>
    <x:t xml:space="preserve">MB-09</x:t>
  </x:si>
  <x:si>
    <x:t xml:space="preserve">Trigger/Item</x:t>
  </x:si>
  <x:si>
    <x:t xml:space="preserve">Idle, focused, open, disabled, neutral, and danger states remain distinct.</x:t>
  </x:si>
  <x:si>
    <x:t xml:space="preserve">MB-10</x:t>
  </x:si>
  <x:si>
    <x:t xml:space="preserve">Persistent choices and indicators work inside command categories.</x:t>
  </x:si>
  <x:si>
    <x:t xml:space="preserve">MB-11</x:t>
  </x:si>
  <x:si>
    <x:t xml:space="preserve">Nested command categories preserve focus, keyboard direction, and dismissal.</x:t>
  </x:si>
  <x:si>
    <x:t xml:space="preserve">MB-12</x:t>
  </x:si>
  <x:si>
    <x:t xml:space="preserve">MB-13</x:t>
  </x:si>
  <x:si>
    <x:t xml:space="preserve">MB-14</x:t>
  </x:si>
  <x:si>
    <x:t xml:space="preserve">MB-15</x:t>
  </x:si>
  <x:si>
    <x:t xml:space="preserve">MB-16</x:t>
  </x:si>
  <x:si>
    <x:t xml:space="preserve">MB-17</x:t>
  </x:si>
  <x:si>
    <x:t xml:space="preserve">MB-18</x:t>
  </x:si>
  <x:si>
    <x:t xml:space="preserve">MB-19</x:t>
  </x:si>
  <x:si>
    <x:t xml:space="preserve">manual-tests/menubar.md</x:t>
  </x:si>
  <x:si>
    <x:t xml:space="preserve">MB-20</x:t>
  </x:si>
  <x:si>
    <x:t xml:space="preserve">../docs/components/menubar/README.md</x:t>
  </x:si>
  <x:si>
    <x:t xml:space="preserve">MB-21</x:t>
  </x:si>
  <x:si>
    <x:t xml:space="preserve">src/components/menubar/MenubarPage.tsx</x:t>
  </x:si>
  <x:si>
    <x:t xml:space="preserve">MB-22</x:t>
  </x:si>
  <x:si>
    <x:t xml:space="preserve">MB-23</x:t>
  </x:si>
  <x:si>
    <x:t xml:space="preserve">Navigation Menu Evidence</x:t>
  </x:si>
  <x:si>
    <x:t xml:space="preserve">NM-01</x:t>
  </x:si>
  <x:si>
    <x:t xml:space="preserve">Brick styles released Atom 0.20.11 Navigation Menu behavior without recreating state, focus, keyboard, dismissal, portals, or positioning.</x:t>
  </x:si>
  <x:si>
    <x:t xml:space="preserve">../src/components/navigation-menu</x:t>
  </x:si>
  <x:si>
    <x:t xml:space="preserve">NM-02</x:t>
  </x:si>
  <x:si>
    <x:t xml:space="preserve">All parts including IndicatorArrow</x:t>
  </x:si>
  <x:si>
    <x:t xml:space="preserve">The public namespace preserves every adopted host, semantic relationship, native prop, ref, and composition boundary; Indicator supplies the decorative IndicatorArrow only when no custom child is authored.</x:t>
  </x:si>
  <x:si>
    <x:t xml:space="preserve">../test/components/navigation-menu/navigation-menu.test.tsx</x:t>
  </x:si>
  <x:si>
    <x:t xml:space="preserve">NM-03</x:t>
  </x:si>
  <x:si>
    <x:t xml:space="preserve">NavigationMenu/IndicatorArrow</x:t>
  </x:si>
  <x:si>
    <x:t xml:space="preserve">Root and component subpath expose the namespace, named parts including IndicatorArrow, and public types with identical runtime identities.</x:t>
  </x:si>
  <x:si>
    <x:t xml:space="preserve">NM-04</x:t>
  </x:si>
  <x:si>
    <x:t xml:space="preserve">../test/types/components/navigation-menu.test.ts</x:t>
  </x:si>
  <x:si>
    <x:t xml:space="preserve">NM-05</x:t>
  </x:si>
  <x:si>
    <x:t xml:space="preserve">../src/components/navigation-menu/navigation-menu.css</x:t>
  </x:si>
  <x:si>
    <x:t xml:space="preserve">NM-06</x:t>
  </x:si>
  <x:si>
    <x:t xml:space="preserve">Root/List/Item/Trigger/Content</x:t>
  </x:si>
  <x:si>
    <x:t xml:space="preserve">A medium horizontal navigation landmark combines native destinations with an optional rich panel.</x:t>
  </x:si>
  <x:si>
    <x:t xml:space="preserve">tests/components/navigation-menu/behavior.spec.ts</x:t>
  </x:si>
  <x:si>
    <x:t xml:space="preserve">NM-07</x:t>
  </x:si>
  <x:si>
    <x:t xml:space="preserve">Link model</x:t>
  </x:si>
  <x:si>
    <x:t xml:space="preserve">Link/Trigger</x:t>
  </x:si>
  <x:si>
    <x:t xml:space="preserve">Direct current links remain anchors while disclosure triggers remain buttons.</x:t>
  </x:si>
  <x:si>
    <x:t xml:space="preserve">NM-08</x:t>
  </x:si>
  <x:si>
    <x:t xml:space="preserve">Root/Sub</x:t>
  </x:si>
  <x:si>
    <x:t xml:space="preserve">Small, medium, and large change only navigation control geometry.</x:t>
  </x:si>
  <x:si>
    <x:t xml:space="preserve">tests/components/navigation-menu/visual.spec.ts</x:t>
  </x:si>
  <x:si>
    <x:t xml:space="preserve">NM-09</x:t>
  </x:si>
  <x:si>
    <x:t xml:space="preserve">Root/List/IndicatorArrow</x:t>
  </x:si>
  <x:si>
    <x:t xml:space="preserve">Horizontal and vertical orientation change layout and keyboard axis together while the IndicatorArrow connects the active trigger to the Viewport on the logical side.</x:t>
  </x:si>
  <x:si>
    <x:t xml:space="preserve">NM-10</x:t>
  </x:si>
  <x:si>
    <x:t xml:space="preserve">Viewport</x:t>
  </x:si>
  <x:si>
    <x:t xml:space="preserve">Content/Viewport/Indicator/IndicatorArrow</x:t>
  </x:si>
  <x:si>
    <x:t xml:space="preserve">Measured rich content, the surface-matched IndicatorArrow, and Viewport geometry follow Atom state and trigger measurements.</x:t>
  </x:si>
  <x:si>
    <x:t xml:space="preserve">NM-11</x:t>
  </x:si>
  <x:si>
    <x:t xml:space="preserve">Trigger/Link</x:t>
  </x:si>
  <x:si>
    <x:t xml:space="preserve">Controlled open, current link, disabled trigger, hover, and focus states remain distinct.</x:t>
  </x:si>
  <x:si>
    <x:t xml:space="preserve">NM-12</x:t>
  </x:si>
  <x:si>
    <x:t xml:space="preserve">NM-13</x:t>
  </x:si>
  <x:si>
    <x:t xml:space="preserve">NM-14</x:t>
  </x:si>
  <x:si>
    <x:t xml:space="preserve">NM-15</x:t>
  </x:si>
  <x:si>
    <x:t xml:space="preserve">NM-16</x:t>
  </x:si>
  <x:si>
    <x:t xml:space="preserve">NM-17</x:t>
  </x:si>
  <x:si>
    <x:t xml:space="preserve">Reviewed baselines cover defaults, compact chevrons, the one-pixel current underline, the open IndicatorArrow connector, recipes, states, dark appearance, mobile RTL, and forced colors.</x:t>
  </x:si>
  <x:si>
    <x:t xml:space="preserve">NM-18</x:t>
  </x:si>
  <x:si>
    <x:t xml:space="preserve">NM-19</x:t>
  </x:si>
  <x:si>
    <x:t xml:space="preserve">manual-tests/navigation-menu.md</x:t>
  </x:si>
  <x:si>
    <x:t xml:space="preserve">NM-20</x:t>
  </x:si>
  <x:si>
    <x:t xml:space="preserve">../docs/components/navigation-menu/README.md</x:t>
  </x:si>
  <x:si>
    <x:t xml:space="preserve">NM-21</x:t>
  </x:si>
  <x:si>
    <x:t xml:space="preserve">src/components/navigation-menu/NavigationMenuPage.tsx</x:t>
  </x:si>
  <x:si>
    <x:t xml:space="preserve">NM-22</x:t>
  </x:si>
  <x:si>
    <x:t xml:space="preserve">NM-23</x:t>
  </x:si>
  <x:si>
    <x:t xml:space="preserve">Bottom Navigation Evidence</x:t>
  </x:si>
  <x:si>
    <x:t xml:space="preserve">Assertion-level Atom-backed recipes, destination behavior, position, labels, selection, accessibility, visual, documentation, Consumer, and package evidence.</x:t>
  </x:si>
  <x:si>
    <x:t xml:space="preserve">BN-01</x:t>
  </x:si>
  <x:si>
    <x:t xml:space="preserve">Brick styles released Atom 0.20.11 Bottom Navigation behavior without recreating selection, native destination semantics, position, label visibility, disabled behavior, accessibility, refs, or composition.</x:t>
  </x:si>
  <x:si>
    <x:t xml:space="preserve">../src/components/bottom-navigation</x:t>
  </x:si>
  <x:si>
    <x:t xml:space="preserve">BN-02</x:t>
  </x:si>
  <x:si>
    <x:t xml:space="preserve">Root/Item/Icon/Label</x:t>
  </x:si>
  <x:si>
    <x:t xml:space="preserve">The public four-part namespace preserves Atom's native nav, anchor/button destination, authored Icon/Label spans, semantic relationships, slots, props, refs, and static-content boundaries.</x:t>
  </x:si>
  <x:si>
    <x:t xml:space="preserve">../test/components/bottom-navigation/bottom-navigation.test.tsx</x:t>
  </x:si>
  <x:si>
    <x:t xml:space="preserve">BN-03</x:t>
  </x:si>
  <x:si>
    <x:t xml:space="preserve">BottomNavigation</x:t>
  </x:si>
  <x:si>
    <x:t xml:space="preserve">Root and bottom-navigation subpath expose the namespace, named parts, recipe types, inherited position/label types, and public props with identical runtime identities.</x:t>
  </x:si>
  <x:si>
    <x:t xml:space="preserve">BN-04</x:t>
  </x:si>
  <x:si>
    <x:t xml:space="preserve">Closed recipes and the discriminated indicator/item selection shapes type-check; unsupported sizes and a circular whole-item selection fail.</x:t>
  </x:si>
  <x:si>
    <x:t xml:space="preserve">../test/types/components/bottom-navigation.test.ts</x:t>
  </x:si>
  <x:si>
    <x:t xml:space="preserve">BN-05</x:t>
  </x:si>
  <x:si>
    <x:t xml:space="preserve">Static CSS ships four variants, two tones, two layouts, two arrangements, three sizes, four positions, both selection targets, valid shapes, states, preferences, and documented variables.</x:t>
  </x:si>
  <x:si>
    <x:t xml:space="preserve">../src/components/bottom-navigation/bottom-navigation.css</x:t>
  </x:si>
  <x:si>
    <x:t xml:space="preserve">BN-06</x:t>
  </x:si>
  <x:si>
    <x:t xml:space="preserve">Defaults are outline, accent, full, equal, medium, static, indicator/pill, always-visible labels, safe-area support, and no blur or elevation.</x:t>
  </x:si>
  <x:si>
    <x:t xml:space="preserve">tests/components/bottom-navigation/behavior.spec.ts</x:t>
  </x:si>
  <x:si>
    <x:t xml:space="preserve">BN-07</x:t>
  </x:si>
  <x:si>
    <x:t xml:space="preserve">Solid, soft, outline, and ghost remain visually distinct in accent and fully neutral palettes without changing destination geometry.</x:t>
  </x:si>
  <x:si>
    <x:t xml:space="preserve">tests/components/bottom-navigation/behavior.spec.ts; tests/components/bottom-navigation/visual.spec.ts</x:t>
  </x:si>
  <x:si>
    <x:t xml:space="preserve">BN-08</x:t>
  </x:si>
  <x:si>
    <x:t xml:space="preserve">Full versus floating controls outer geometry independently from equal versus centered destination distribution.</x:t>
  </x:si>
  <x:si>
    <x:t xml:space="preserve">BN-09</x:t>
  </x:si>
  <x:si>
    <x:t xml:space="preserve">Small, medium, and large coordinate Root padding, Item target, Icon, indicator, and label typography as one recipe.</x:t>
  </x:si>
  <x:si>
    <x:t xml:space="preserve">BN-10</x:t>
  </x:si>
  <x:si>
    <x:t xml:space="preserve">Static, sticky, absolute, and fixed retain distinct computed positioning; safe-area ownership is internal for full bars and an outer offset for positioned floating bars.</x:t>
  </x:si>
  <x:si>
    <x:t xml:space="preserve">tests/components/bottom-navigation/behavior.spec.ts; ../test/components/bottom-navigation/bottom-navigation.test.tsx</x:t>
  </x:si>
  <x:si>
    <x:t xml:space="preserve">BN-11</x:t>
  </x:si>
  <x:si>
    <x:t xml:space="preserve">Root/Icon/Item</x:t>
  </x:si>
  <x:si>
    <x:t xml:space="preserve">Indicator selection paints only Icon with circle, rounded, or pill geometry; Item selection paints the whole destination with square, rounded, or pill geometry and no layout shift.</x:t>
  </x:si>
  <x:si>
    <x:t xml:space="preserve">BN-12</x:t>
  </x:si>
  <x:si>
    <x:t xml:space="preserve">Root/Label</x:t>
  </x:si>
  <x:si>
    <x:t xml:space="preserve">always, active, and hidden policies change only visual label presentation while every destination retains the authored accessible name.</x:t>
  </x:si>
  <x:si>
    <x:t xml:space="preserve">BN-13</x:t>
  </x:si>
  <x:si>
    <x:t xml:space="preserve">Selection behavior</x:t>
  </x:si>
  <x:si>
    <x:t xml:space="preserve">Controlled and uncontrolled values update exactly one active destination and call the application change handler.</x:t>
  </x:si>
  <x:si>
    <x:t xml:space="preserve">../test/components/bottom-navigation/bottom-navigation.test.tsx; tests/components/bottom-navigation/behavior.spec.ts</x:t>
  </x:si>
  <x:si>
    <x:t xml:space="preserve">BN-14</x:t>
  </x:si>
  <x:si>
    <x:t xml:space="preserve">Destinations/states</x:t>
  </x:si>
  <x:si>
    <x:t xml:space="preserve">href Items remain native current-page anchors; Items without href remain buttons; hover, pressed, focus-visible, current, and disabled behavior stay distinct.</x:t>
  </x:si>
  <x:si>
    <x:t xml:space="preserve">BN-15</x:t>
  </x:si>
  <x:si>
    <x:t xml:space="preserve">Icon/Label</x:t>
  </x:si>
  <x:si>
    <x:t xml:space="preserve">Three, four, and five destinations plus Notification Badge composition retain one destination name, one focus target, and bounded geometry.</x:t>
  </x:si>
  <x:si>
    <x:t xml:space="preserve">BN-16</x:t>
  </x:si>
  <x:si>
    <x:t xml:space="preserve">Router asChild output preserves the native anchor, href, state, Brick/Atom class and slot ownership without another interactive wrapper.</x:t>
  </x:si>
  <x:si>
    <x:t xml:space="preserve">BN-17</x:t>
  </x:si>
  <x:si>
    <x:t xml:space="preserve">Effects</x:t>
  </x:si>
  <x:si>
    <x:t xml:space="preserve">Elevation and blur are opt-in paint effects that do not imply layout or position; reduced transparency removes blur while preserving the surface.</x:t>
  </x:si>
  <x:si>
    <x:t xml:space="preserve">BN-18</x:t>
  </x:si>
  <x:si>
    <x:t xml:space="preserve">The documented CSS variables exactly produce the amber surface, border, selected indicator, and active foreground shown beside the code.</x:t>
  </x:si>
  <x:si>
    <x:t xml:space="preserve">src/components/bottom-navigation/BottomNavigationPage.tsx; tests/components/bottom-navigation/visual.spec.ts</x:t>
  </x:si>
  <x:si>
    <x:t xml:space="preserve">Agent inspected the generated customization and appearance baselines.</x:t>
  </x:si>
  <x:si>
    <x:t xml:space="preserve">BN-19</x:t>
  </x:si>
  <x:si>
    <x:t xml:space="preserve">Narrow width, genuine long labels, three-to-five destinations, mobile viewports, and zoom guidance remain contained without horizontal page overflow.</x:t>
  </x:si>
  <x:si>
    <x:t xml:space="preserve">BN-20</x:t>
  </x:si>
  <x:si>
    <x:t xml:space="preserve">Direction/preferences</x:t>
  </x:si>
  <x:si>
    <x:t xml:space="preserve">RTL uses logical order and genuine Arabic content; forced colors and reduced motion preserve selection, focus, and usable geometry.</x:t>
  </x:si>
  <x:si>
    <x:t xml:space="preserve">BN-21</x:t>
  </x:si>
  <x:si>
    <x:t xml:space="preserve">Named navigation landmarks, native link/button roles, aria-current, disabled state, silent Icons, hidden labels, focus, target geometry, and axe remain valid.</x:t>
  </x:si>
  <x:si>
    <x:t xml:space="preserve">BN-22</x:t>
  </x:si>
  <x:si>
    <x:t xml:space="preserve">Reviewed Chromium baselines cover defaults, all recipes, layout, selection, content, behavior, effects, dark appearance, mobile RTL, safe areas, and forced colors.</x:t>
  </x:si>
  <x:si>
    <x:t xml:space="preserve">tests/components/bottom-navigation/visual.spec.ts</x:t>
  </x:si>
  <x:si>
    <x:t xml:space="preserve">Agent inspected every revised Bottom Navigation baseline.</x:t>
  </x:si>
  <x:si>
    <x:t xml:space="preserve">BN-23</x:t>
  </x:si>
  <x:si>
    <x:t xml:space="preserve">A tester completes the concise top-down pointer, keyboard, AT, zoom, mobile, safe-area, appearance, RTL, forced-color, and preference protocol.</x:t>
  </x:si>
  <x:si>
    <x:t xml:space="preserve">manual-tests/bottom-navigation.md</x:t>
  </x:si>
  <x:si>
    <x:t xml:space="preserve">BN-24</x:t>
  </x:si>
  <x:si>
    <x:t xml:space="preserve">Source-backed usage, anatomy, API, recipes, positions, labels, accessibility, responsive behavior, composition, CSS, customization, and evidence are documented.</x:t>
  </x:si>
  <x:si>
    <x:t xml:space="preserve">../docs/components/bottom-navigation/README.md</x:t>
  </x:si>
  <x:si>
    <x:t xml:space="preserve">BN-25</x:t>
  </x:si>
  <x:si>
    <x:t xml:space="preserve">Bottom Navigation owns a public changelog and the package changelog records the public addition.</x:t>
  </x:si>
  <x:si>
    <x:t xml:space="preserve">../docs/components/bottom-navigation/CHANGELOG.md; ../CHANGELOG.md</x:t>
  </x:si>
  <x:si>
    <x:t xml:space="preserve">BN-26</x:t>
  </x:si>
  <x:si>
    <x:t xml:space="preserve">One navigable route exposes nine comprehensive scenarios, actual rendered composition output, and Brick-only public imports.</x:t>
  </x:si>
  <x:si>
    <x:t xml:space="preserve">src/components/bottom-navigation/BottomNavigationPage.tsx</x:t>
  </x:si>
  <x:si>
    <x:t xml:space="preserve">BN-27</x:t>
  </x:si>
  <x:si>
    <x:t xml:space="preserve">Packed Consumer imports the public subpath and operates realistic controlled and badged destinations on desktop and mobile.</x:t>
  </x:si>
  <x:si>
    <x:t xml:space="preserve">BN-28</x:t>
  </x:si>
  <x:si>
    <x:t xml:space="preserve">Build, exports, SSR, tarball, CSS, React 18/19, Consumer, configured desktop/mobile browsers, docs, ownership, and exact Atom 0.20.11 dependency pass.</x:t>
  </x:si>
  <x:si>
    <x:t xml:space="preserve">Visually Hidden Evidence</x:t>
  </x:si>
  <x:si>
    <x:t xml:space="preserve">Assertion-level Atom-backed assistive text, naming, composition, native ownership, accessibility, visual, documentation, Consumer, and package evidence.</x:t>
  </x:si>
  <x:si>
    <x:t xml:space="preserve">VH-01</x:t>
  </x:si>
  <x:si>
    <x:t xml:space="preserve">Brick delegates all assistive-text behavior to released Atom 0.20.11 Visually Hidden and adds only the stable Brick class and default slot.</x:t>
  </x:si>
  <x:si>
    <x:t xml:space="preserve">../src/components/visually-hidden</x:t>
  </x:si>
  <x:si>
    <x:t xml:space="preserve">VH-02</x:t>
  </x:si>
  <x:si>
    <x:t xml:space="preserve">The one-part namespace preserves Atom's default span, children, inline hiding behavior, native props, composition, and ref.</x:t>
  </x:si>
  <x:si>
    <x:t xml:space="preserve">../test/components/visually-hidden/visually-hidden.test.tsx</x:t>
  </x:si>
  <x:si>
    <x:t xml:space="preserve">VH-03</x:t>
  </x:si>
  <x:si>
    <x:t xml:space="preserve">VisuallyHidden</x:t>
  </x:si>
  <x:si>
    <x:t xml:space="preserve">Root and visually-hidden subpath expose the namespace, named Root, and Root props with identical runtime identities.</x:t>
  </x:si>
  <x:si>
    <x:t xml:space="preserve">VH-04</x:t>
  </x:si>
  <x:si>
    <x:t xml:space="preserve">Children, native span attributes, style, ref, render, and asChild type-check through the public subpath.</x:t>
  </x:si>
  <x:si>
    <x:t xml:space="preserve">../test/types/components/visually-hidden.test.ts</x:t>
  </x:si>
  <x:si>
    <x:t xml:space="preserve">VH-05</x:t>
  </x:si>
  <x:si>
    <x:t xml:space="preserve">Hooks</x:t>
  </x:si>
  <x:si>
    <x:t xml:space="preserve">Root emits the stable brick-visually-hidden class and default data-slot without inventing recipe props or public CSS variables.</x:t>
  </x:si>
  <x:si>
    <x:t xml:space="preserve">VH-06</x:t>
  </x:si>
  <x:si>
    <x:t xml:space="preserve">Atom-owned inline styles resolve to an absolute 1px by 1px clipped box with no visible layout footprint.</x:t>
  </x:si>
  <x:si>
    <x:t xml:space="preserve">tests/components/visually-hidden/behavior.spec.ts</x:t>
  </x:si>
  <x:si>
    <x:t xml:space="preserve">VH-07</x:t>
  </x:si>
  <x:si>
    <x:t xml:space="preserve">Accessible naming</x:t>
  </x:si>
  <x:si>
    <x:t xml:space="preserve">Hidden text supplies the complete accessible name for an icon-only Brick Button while the Icon remains decorative.</x:t>
  </x:si>
  <x:si>
    <x:t xml:space="preserve">VH-08</x:t>
  </x:si>
  <x:si>
    <x:t xml:space="preserve">Supplemental context</x:t>
  </x:si>
  <x:si>
    <x:t xml:space="preserve">Hidden context extends visible destructive-action text into one complete accessible name without duplicate visible copy.</x:t>
  </x:si>
  <x:si>
    <x:t xml:space="preserve">VH-09</x:t>
  </x:si>
  <x:si>
    <x:t xml:space="preserve">render and asChild change the host to strong or em while preserving hidden behavior, authored content, class, and slot.</x:t>
  </x:si>
  <x:si>
    <x:t xml:space="preserve">../test/components/visually-hidden/visually-hidden.test.tsx; tests/components/visually-hidden/behavior.spec.ts</x:t>
  </x:si>
  <x:si>
    <x:t xml:space="preserve">VH-10</x:t>
  </x:si>
  <x:si>
    <x:t xml:space="preserve">Native ownership</x:t>
  </x:si>
  <x:si>
    <x:t xml:space="preserve">Consumer class, data attributes, authored slot, styles, and the default span ref pass through and remain inspectable.</x:t>
  </x:si>
  <x:si>
    <x:t xml:space="preserve">VH-11</x:t>
  </x:si>
  <x:si>
    <x:t xml:space="preserve">Long English and Arabic names, RTL, dark appearance, narrow mobile layout, and zoom create no visible footprint or horizontal overflow.</x:t>
  </x:si>
  <x:si>
    <x:t xml:space="preserve">tests/components/visually-hidden/behavior.spec.ts; tests/components/visually-hidden/visual.spec.ts</x:t>
  </x:si>
  <x:si>
    <x:t xml:space="preserve">VH-12</x:t>
  </x:si>
  <x:si>
    <x:t xml:space="preserve">Named controls remain discoverable and the route has no automatically detectable accessibility violations across configured desktop/mobile browsers.</x:t>
  </x:si>
  <x:si>
    <x:t xml:space="preserve">VH-13</x:t>
  </x:si>
  <x:si>
    <x:t xml:space="preserve">Reviewed baselines prove that naming, composition, output, appearance, RTL, and mobile stress add no visible hidden-text footprint.</x:t>
  </x:si>
  <x:si>
    <x:t xml:space="preserve">tests/components/visually-hidden/visual.spec.ts</x:t>
  </x:si>
  <x:si>
    <x:t xml:space="preserve">Agent inspected every Visually Hidden baseline.</x:t>
  </x:si>
  <x:si>
    <x:t xml:space="preserve">VH-14</x:t>
  </x:si>
  <x:si>
    <x:t xml:space="preserve">A tester completes the concise naming, output, composition, native ownership, mobile, zoom, forced-color, and screen-reader protocol.</x:t>
  </x:si>
  <x:si>
    <x:t xml:space="preserve">manual-tests/visually-hidden.md</x:t>
  </x:si>
  <x:si>
    <x:t xml:space="preserve">VH-15</x:t>
  </x:si>
  <x:si>
    <x:t xml:space="preserve">Source-backed use, misuse, anatomy, API, hooks, customization limits, responsive behavior, accessibility, composition, and evidence are documented.</x:t>
  </x:si>
  <x:si>
    <x:t xml:space="preserve">../docs/components/visually-hidden/README.md</x:t>
  </x:si>
  <x:si>
    <x:t xml:space="preserve">VH-16</x:t>
  </x:si>
  <x:si>
    <x:t xml:space="preserve">Visually Hidden owns a public changelog and the package changelog records the public addition.</x:t>
  </x:si>
  <x:si>
    <x:t xml:space="preserve">../docs/components/visually-hidden/CHANGELOG.md; ../CHANGELOG.md</x:t>
  </x:si>
  <x:si>
    <x:t xml:space="preserve">VH-17</x:t>
  </x:si>
  <x:si>
    <x:t xml:space="preserve">One navigable route exposes six focused scenarios, actual rendered output, composition evidence, native props, and responsive stress.</x:t>
  </x:si>
  <x:si>
    <x:t xml:space="preserve">src/components/visually-hidden/VisuallyHiddenPage.tsx</x:t>
  </x:si>
  <x:si>
    <x:t xml:space="preserve">VH-18</x:t>
  </x:si>
  <x:si>
    <x:t xml:space="preserve">Packed Consumer imports the public subpath and adds supplemental context to a real link on desktop and mobile.</x:t>
  </x:si>
  <x:si>
    <x:t xml:space="preserve">VH-19</x:t>
  </x:si>
  <x:si>
    <x:t xml:space="preserve">Build, exports, SSR, tarball, React 18/19, Consumer, configured desktop/mobile browsers, docs, ownership, and exact Atom 0.20.11 dependency pass.</x:t>
  </x:si>
  <x:si>
    <x:t xml:space="preserve">Collapsible Evidence</x:t>
  </x:si>
  <x:si>
    <x:t xml:space="preserve">Assertion-level disclosure anatomy, state, motion, accessibility, package, documentation, Consumer, and responsive evidence.</x:t>
  </x:si>
  <x:si>
    <x:t xml:space="preserve">Atom owns state, semantics, generated relationships, keyboard interaction, disabled behavior, composition, mount lifecycle, and live Content measurement; Brick owns only finished visual anatomy and recipes.</x:t>
  </x:si>
  <x:si>
    <x:t xml:space="preserve">../src/components/collapsible</x:t>
  </x:si>
  <x:si>
    <x:t xml:space="preserve">Root, Trigger, Indicator, Content, and ContentInner render their stable public classes and slots; ContentInner alone owns visible panel padding.</x:t>
  </x:si>
  <x:si>
    <x:t xml:space="preserve">../test/components/collapsible/collapsible.test.tsx</x:t>
  </x:si>
  <x:si>
    <x:t xml:space="preserve">The root and collapsible subpath expose the namespace, five named parts, every prop type, and the closed size and variant unions.</x:t>
  </x:si>
  <x:si>
    <x:t xml:space="preserve">Closed recipes, Atom prop inheritance, native attributes, refs, Indicator decoration, and ContentInner attributes type-check from both entrypoints.</x:t>
  </x:si>
  <x:si>
    <x:t xml:space="preserve">../test/types/components/collapsible.test.ts</x:t>
  </x:si>
  <x:si>
    <x:t xml:space="preserve">Static CSS ships neutral surfaces, coordinated sizes, state paint, focus, disabled treatment, measured height and width motion, RTL indicator logic, reduced motion, forced colors, and public variables.</x:t>
  </x:si>
  <x:si>
    <x:t xml:space="preserve">../src/components/collapsible/collapsible.css</x:t>
  </x:si>
  <x:si>
    <x:t xml:space="preserve">The default renders closed, plain, medium, enabled, vertical, and unmounted with one full-width Trigger and decorative end Indicator.</x:t>
  </x:si>
  <x:si>
    <x:t xml:space="preserve">tests/components/collapsible/behavior.spec.ts</x:t>
  </x:si>
  <x:si>
    <x:t xml:space="preserve">Plain, soft, and outline change only the intended containing surface while size, content, and state remain at defaults.</x:t>
  </x:si>
  <x:si>
    <x:t xml:space="preserve">tests/components/collapsible/visual.spec.ts</x:t>
  </x:si>
  <x:si>
    <x:t xml:space="preserve">Agent-inspected the generated variants baseline.</x:t>
  </x:si>
  <x:si>
    <x:t xml:space="preserve">Small, medium, and large coordinate trigger target, typography, spacing, indicator size, and ContentInner padding without changing other recipes.</x:t>
  </x:si>
  <x:si>
    <x:t xml:space="preserve">Agent-inspected the generated sizes baseline.</x:t>
  </x:si>
  <x:si>
    <x:t xml:space="preserve">Uncontrolled and controlled open state change exactly once and preserve the authored onOpenChange and Trigger handlers.</x:t>
  </x:si>
  <x:si>
    <x:t xml:space="preserve">../test/components/collapsible/collapsible.test.tsx; tests/components/collapsible/behavior.spec.ts</x:t>
  </x:si>
  <x:si>
    <x:t xml:space="preserve">Disabled</x:t>
  </x:si>
  <x:si>
    <x:t xml:space="preserve">Root / Trigger</x:t>
  </x:si>
  <x:si>
    <x:t xml:space="preserve">Disabled state exposes Atom disabled semantics, does not open, and has no enabled hover or active response.</x:t>
  </x:si>
  <x:si>
    <x:t xml:space="preserve">Lifecycle</x:t>
  </x:si>
  <x:si>
    <x:t xml:space="preserve">Closed Content unmounts after exit unless keepMounted is requested; kept content becomes hidden after motion settles.</x:t>
  </x:si>
  <x:si>
    <x:t xml:space="preserve">Relationships</x:t>
  </x:si>
  <x:si>
    <x:t xml:space="preserve">Trigger / Content</x:t>
  </x:si>
  <x:si>
    <x:t xml:space="preserve">Trigger and Content retain matching generated aria-controls, id, aria-labelledby, region role, and expanded state.</x:t>
  </x:si>
  <x:si>
    <x:t xml:space="preserve">tests/components/collapsible/behavior.spec.ts; ../test/package/ssr.test.mjs</x:t>
  </x:si>
  <x:si>
    <x:t xml:space="preserve">Default and authored Indicator artwork remain decorative, nonshrinking, logically placed, and synchronized with open state.</x:t>
  </x:si>
  <x:si>
    <x:t xml:space="preserve">Agent-inspected default, custom, state, and RTL indicator baselines.</x:t>
  </x:si>
  <x:si>
    <x:t xml:space="preserve">Root / Trigger / Content</x:t>
  </x:si>
  <x:si>
    <x:t xml:space="preserve">Atom render and asChild composition preserve semantic custom hosts, event adaptation, relationships, class, style, slot, native props, and refs.</x:t>
  </x:si>
  <x:si>
    <x:t xml:space="preserve">Motion</x:t>
  </x:si>
  <x:si>
    <x:t xml:space="preserve">Vertical open and close use live --content-height measurement; horizontal open and close use live --content-width measurement with stable ContentInner geometry.</x:t>
  </x:si>
  <x:si>
    <x:t xml:space="preserve">tests/components/collapsible/behavior.spec.ts; ../test/components/collapsible/collapsible.test.tsx</x:t>
  </x:si>
  <x:si>
    <x:t xml:space="preserve">CO-16</x:t>
  </x:si>
  <x:si>
    <x:t xml:space="preserve">Keyboard activation, button/region semantics, focus retention, decoration, disabled behavior, and scoped axe checks pass.</x:t>
  </x:si>
  <x:si>
    <x:t xml:space="preserve">CO-17</x:t>
  </x:si>
  <x:si>
    <x:t xml:space="preserve">Long text, narrow width, mobile profiles, zoom-oriented reflow, horizontal contained scrolling, and RTL remain bounded without stale dimension clipping.</x:t>
  </x:si>
  <x:si>
    <x:t xml:space="preserve">tests/components/collapsible/behavior.spec.ts; tests/components/collapsible/visual.spec.ts</x:t>
  </x:si>
  <x:si>
    <x:t xml:space="preserve">CO-18</x:t>
  </x:si>
  <x:si>
    <x:t xml:space="preserve">Semantic paint adapts in light, dark, and forced colors; supported variables exactly match the customization example.</x:t>
  </x:si>
  <x:si>
    <x:t xml:space="preserve">Agent-inspected appearance, customization, and forced-color baselines.</x:t>
  </x:si>
  <x:si>
    <x:t xml:space="preserve">CO-19</x:t>
  </x:si>
  <x:si>
    <x:t xml:space="preserve">Reviewed baselines cover defaults, variants, sizes, states, Indicator anatomy, both orientations, appearance, mobile stress, and forced colors.</x:t>
  </x:si>
  <x:si>
    <x:t xml:space="preserve">Agent-inspected every generated Collapsible baseline, including horizontal orientation and RTL.</x:t>
  </x:si>
  <x:si>
    <x:t xml:space="preserve">CO-20</x:t>
  </x:si>
  <x:si>
    <x:t xml:space="preserve">One navigable route exposes nine controlled scenarios for defaults, recipes, state, anatomy, composition, appearance, both orientations, live motion, and stress.</x:t>
  </x:si>
  <x:si>
    <x:t xml:space="preserve">src/components/collapsible/CollapsiblePage.tsx</x:t>
  </x:si>
  <x:si>
    <x:t xml:space="preserve">CO-21</x:t>
  </x:si>
  <x:si>
    <x:t xml:space="preserve">A tester completes the concise pointer, keyboard, assistive-technology, appearance, zoom, mobile, RTL, forced-color, and reduced-motion protocol.</x:t>
  </x:si>
  <x:si>
    <x:t xml:space="preserve">manual-tests/collapsible.md</x:t>
  </x:si>
  <x:si>
    <x:t xml:space="preserve">CO-22</x:t>
  </x:si>
  <x:si>
    <x:t xml:space="preserve">Source-backed use, anatomy, API, recipes, accessibility, responsive motion, composition, CSS hooks, customization, and evidence are documented.</x:t>
  </x:si>
  <x:si>
    <x:t xml:space="preserve">../docs/components/collapsible/README.md</x:t>
  </x:si>
  <x:si>
    <x:t xml:space="preserve">CO-23</x:t>
  </x:si>
  <x:si>
    <x:t xml:space="preserve">Collapsible owns a public changelog and the package changelog records the user-facing addition.</x:t>
  </x:si>
  <x:si>
    <x:t xml:space="preserve">../docs/components/collapsible/CHANGELOG.md; ../CHANGELOG.md</x:t>
  </x:si>
  <x:si>
    <x:t xml:space="preserve">CO-24</x:t>
  </x:si>
  <x:si>
    <x:t xml:space="preserve">Packed Consumer imports the public collapsible subpath and operates a realistic outlined disclosure on desktop and mobile.</x:t>
  </x:si>
  <x:si>
    <x:t xml:space="preserve">CO-25</x:t>
  </x:si>
  <x:si>
    <x:t xml:space="preserve">Build, declarations, exports, SSR, CSS, tarball, docs, ownership, component coverage, and the configured browser matrix pass for Collapsible.</x:t>
  </x:si>
  <x:si>
    <x:t xml:space="preserve">../test/package/package.test.mjs; ../test/package/ssr.test.mjs; ../scripts/verify-package.mjs</x:t>
  </x:si>
  <x:si>
    <x:t xml:space="preserve">Accordion Evidence</x:t>
  </x:si>
  <x:si>
    <x:t xml:space="preserve">Assertion-level grouped disclosure, selection, orientation, keyboard, accessibility, package, documentation, Consumer, and responsive evidence.</x:t>
  </x:si>
  <x:si>
    <x:t xml:space="preserve">AC-01</x:t>
  </x:si>
  <x:si>
    <x:t xml:space="preserve">Brick styles released Atom 0.20.11 Accordion behavior without recreating selection, generated relationships, keyboard navigation, disabled state, mount lifecycle, or live dimension measurement.</x:t>
  </x:si>
  <x:si>
    <x:t xml:space="preserve">../src/components/accordion</x:t>
  </x:si>
  <x:si>
    <x:t xml:space="preserve">AC-02</x:t>
  </x:si>
  <x:si>
    <x:t xml:space="preserve">Root, Item, Header, Trigger, Indicator, Content, and ContentInner render stable public classes and slots; ContentInner alone owns visible panel padding.</x:t>
  </x:si>
  <x:si>
    <x:t xml:space="preserve">../test/components/accordion/accordion.test.tsx</x:t>
  </x:si>
  <x:si>
    <x:t xml:space="preserve">AC-03</x:t>
  </x:si>
  <x:si>
    <x:t xml:space="preserve">The root and accordion subpath expose the namespace, seven named parts, every prop type, and closed size and variant unions with identical runtime identities.</x:t>
  </x:si>
  <x:si>
    <x:t xml:space="preserve">AC-04</x:t>
  </x:si>
  <x:si>
    <x:t xml:space="preserve">Single and multiple value models, recipes, Atom props, native attributes, refs, composition, Indicator, and ContentInner type-check from the public subpath.</x:t>
  </x:si>
  <x:si>
    <x:t xml:space="preserve">../test/types/components/accordion.test.ts</x:t>
  </x:si>
  <x:si>
    <x:t xml:space="preserve">AC-05</x:t>
  </x:si>
  <x:si>
    <x:t xml:space="preserve">Static CSS ships surfaces, dividers, sizes, state paint, focus, disabled and locked-open treatment, two-axis motion, RTL, reduced motion, forced colors, and public variables.</x:t>
  </x:si>
  <x:si>
    <x:t xml:space="preserve">../src/components/accordion/accordion.css</x:t>
  </x:si>
  <x:si>
    <x:t xml:space="preserve">AC-06</x:t>
  </x:si>
  <x:si>
    <x:t xml:space="preserve">The default renders closed, plain, medium, enabled, vertical, single-selection, and collapsible with labelled panel landmarks.</x:t>
  </x:si>
  <x:si>
    <x:t xml:space="preserve">tests/components/accordion/behavior.spec.ts</x:t>
  </x:si>
  <x:si>
    <x:t xml:space="preserve">AC-07</x:t>
  </x:si>
  <x:si>
    <x:t xml:space="preserve">Plain, soft, and outline change only the intended group surface while content, size, orientation, and state remain at defaults.</x:t>
  </x:si>
  <x:si>
    <x:t xml:space="preserve">tests/components/accordion/visual.spec.ts</x:t>
  </x:si>
  <x:si>
    <x:t xml:space="preserve">AC-08</x:t>
  </x:si>
  <x:si>
    <x:t xml:space="preserve">Small, medium, and large coordinate trigger target, typography, spacing, indicator, and ContentInner padding without changing other recipes.</x:t>
  </x:si>
  <x:si>
    <x:t xml:space="preserve">AC-09</x:t>
  </x:si>
  <x:si>
    <x:t xml:space="preserve">Single selection</x:t>
  </x:si>
  <x:si>
    <x:t xml:space="preserve">Single mode opens one Item, replaces the previous value, and optionally allows the active Item to close.</x:t>
  </x:si>
  <x:si>
    <x:t xml:space="preserve">../test/components/accordion/accordion.test.tsx; tests/components/accordion/behavior.spec.ts</x:t>
  </x:si>
  <x:si>
    <x:t xml:space="preserve">AC-10</x:t>
  </x:si>
  <x:si>
    <x:t xml:space="preserve">Multiple selection</x:t>
  </x:si>
  <x:si>
    <x:t xml:space="preserve">Multiple mode independently opens and closes several unique Item values while preserving authored order.</x:t>
  </x:si>
  <x:si>
    <x:t xml:space="preserve">AC-11</x:t>
  </x:si>
  <x:si>
    <x:t xml:space="preserve">Controlled state</x:t>
  </x:si>
  <x:si>
    <x:t xml:space="preserve">Controlled selection reports the next exact string or string-array value once and preserves the authored callback.</x:t>
  </x:si>
  <x:si>
    <x:t xml:space="preserve">AC-12</x:t>
  </x:si>
  <x:si>
    <x:t xml:space="preserve">Locked open</x:t>
  </x:si>
  <x:si>
    <x:t xml:space="preserve">A non-collapsible active single Trigger stays focusable, exposes aria-disabled and data-locked-open, and does not close.</x:t>
  </x:si>
  <x:si>
    <x:t xml:space="preserve">AC-13</x:t>
  </x:si>
  <x:si>
    <x:t xml:space="preserve">Root / Item / Trigger</x:t>
  </x:si>
  <x:si>
    <x:t xml:space="preserve">Root and Item disabled states expose Atom semantics, are skipped by navigation, and never change selection.</x:t>
  </x:si>
  <x:si>
    <x:t xml:space="preserve">AC-14</x:t>
  </x:si>
  <x:si>
    <x:t xml:space="preserve">Closed Content unmounts unless keepMounted is requested; landmark false omits region and aria-labelledby without changing visible content.</x:t>
  </x:si>
  <x:si>
    <x:t xml:space="preserve">AC-15</x:t>
  </x:si>
  <x:si>
    <x:t xml:space="preserve">Header / Trigger / Content</x:t>
  </x:si>
  <x:si>
    <x:t xml:space="preserve">Heading-contained Trigger and Content retain matching generated IDs, controls, labels, expanded state, and optional region role.</x:t>
  </x:si>
  <x:si>
    <x:t xml:space="preserve">tests/components/accordion/behavior.spec.ts; ../test/package/ssr.test.mjs</x:t>
  </x:si>
  <x:si>
    <x:t xml:space="preserve">AC-16</x:t>
  </x:si>
  <x:si>
    <x:t xml:space="preserve">Enter and Space activate once; Home, End, and orientation-aware arrow keys move focus in enabled visual reading order.</x:t>
  </x:si>
  <x:si>
    <x:t xml:space="preserve">AC-17</x:t>
  </x:si>
  <x:si>
    <x:t xml:space="preserve">Vertical Items stack and animate measured height; horizontal Items order inline, pair Header beside Content, animate measured width, and reverse navigation in RTL.</x:t>
  </x:si>
  <x:si>
    <x:t xml:space="preserve">tests/components/accordion/behavior.spec.ts; tests/components/accordion/visual.spec.ts</x:t>
  </x:si>
  <x:si>
    <x:t xml:space="preserve">Agent-inspected vertical, horizontal, narrow, and RTL baselines.</x:t>
  </x:si>
  <x:si>
    <x:t xml:space="preserve">AC-18</x:t>
  </x:si>
  <x:si>
    <x:t xml:space="preserve">Atom-backed parts</x:t>
  </x:si>
  <x:si>
    <x:t xml:space="preserve">Render and asChild composition preserve semantic hosts, heading levels, relationships, classes, styles, slots, native props, events, and refs.</x:t>
  </x:si>
  <x:si>
    <x:t xml:space="preserve">AC-19</x:t>
  </x:si>
  <x:si>
    <x:t xml:space="preserve">Responsive and accessibility</x:t>
  </x:si>
  <x:si>
    <x:t xml:space="preserve">Narrow horizontal scrolling stays inside Accordion, the page remains bounded, keyboard focus stays visible, and scoped axe checks pass.</x:t>
  </x:si>
  <x:si>
    <x:t xml:space="preserve">AC-20</x:t>
  </x:si>
  <x:si>
    <x:t xml:space="preserve">AC-21</x:t>
  </x:si>
  <x:si>
    <x:t xml:space="preserve">Reviewed baselines cover defaults, variants, sizes, selection, states, both orientations, appearance, mobile RTL stress, and forced colors.</x:t>
  </x:si>
  <x:si>
    <x:t xml:space="preserve">Agent-inspected every generated Accordion baseline.</x:t>
  </x:si>
  <x:si>
    <x:t xml:space="preserve">AC-22</x:t>
  </x:si>
  <x:si>
    <x:t xml:space="preserve">One navigable route exposes nine controlled scenarios for defaults, recipes, selection, state, orientation, keyboard, composition, appearance, and stress.</x:t>
  </x:si>
  <x:si>
    <x:t xml:space="preserve">src/components/accordion/AccordionPage.tsx</x:t>
  </x:si>
  <x:si>
    <x:t xml:space="preserve">AC-23</x:t>
  </x:si>
  <x:si>
    <x:t xml:space="preserve">manual-tests/accordion.md</x:t>
  </x:si>
  <x:si>
    <x:t xml:space="preserve">AC-24</x:t>
  </x:si>
  <x:si>
    <x:t xml:space="preserve">Documentation</x:t>
  </x:si>
  <x:si>
    <x:t xml:space="preserve">Source-backed use, anatomy, API, recipes, accessibility, responsive behavior, composition, hooks, customization, evidence, and public changes are documented.</x:t>
  </x:si>
  <x:si>
    <x:t xml:space="preserve">../docs/components/accordion/README.md; ../docs/components/accordion/CHANGELOG.md; ../CHANGELOG.md</x:t>
  </x:si>
  <x:si>
    <x:t xml:space="preserve">AC-25</x:t>
  </x:si>
  <x:si>
    <x:t xml:space="preserve">Packed Consumer imports the public accordion subpath and operates a realistic linked disclosure group on desktop and mobile.</x:t>
  </x:si>
  <x:si>
    <x:t xml:space="preserve">AC-26</x:t>
  </x:si>
  <x:si>
    <x:t xml:space="preserve">Build, declarations, exports, SSR, CSS, tarball, docs, ownership, component coverage, and configured browser checks pass for Accordion.</x:t>
  </x:si>
  <x:si>
    <x:t xml:space="preserve">Toast Evidence</x:t>
  </x:si>
  <x:si>
    <x:t xml:space="preserve">Assertion-level Atom-backed API, notification lifecycle, announcement, keyboard, visual, package, documentation, Consumer, and responsive evidence.</x:t>
  </x:si>
  <x:si>
    <x:t xml:space="preserve">TO-01</x:t>
  </x:si>
  <x:si>
    <x:t xml:space="preserve">Brick styles released Atom 0.20.11 Toast behavior without recreating the store, queue, timers, announcements, focus, keyboard, portal, swipe, or lifecycle.</x:t>
  </x:si>
  <x:si>
    <x:t xml:space="preserve">../src/components/toast/Toast.tsx; ../package.json</x:t>
  </x:si>
  <x:si>
    <x:t xml:space="preserve">TO-02</x:t>
  </x:si>
  <x:si>
    <x:t xml:space="preserve">API</x:t>
  </x:si>
  <x:si>
    <x:t xml:space="preserve">Toaster / toast</x:t>
  </x:si>
  <x:si>
    <x:t xml:space="preserve">One installed Toaster and the imperative toast helper expose create, success, error, warning, info, loading, update, promise, dismiss-one, and dismiss-all workflows.</x:t>
  </x:si>
  <x:si>
    <x:t xml:space="preserve">../test/components/toast/toast.test.tsx</x:t>
  </x:si>
  <x:si>
    <x:t xml:space="preserve">TO-03</x:t>
  </x:si>
  <x:si>
    <x:t xml:space="preserve">Root, Icon, Content, Title, Description, Actions, Action, Close, and Viewport render stable Brick classes and slots with optional parts omitted when absent.</x:t>
  </x:si>
  <x:si>
    <x:t xml:space="preserve">TO-04</x:t>
  </x:si>
  <x:si>
    <x:t xml:space="preserve">Root and toast subpath exports provide Toaster, toast, the Toast namespace, named compound parts, public option/data types, and runtime identity parity.</x:t>
  </x:si>
  <x:si>
    <x:t xml:space="preserve">TO-05</x:t>
  </x:si>
  <x:si>
    <x:t xml:space="preserve">Public surface</x:t>
  </x:si>
  <x:si>
    <x:t xml:space="preserve">Closed types, logical positions, widths, stacking, swipe direction, action, promise inference, native props, composition, and refs type-check while unsupported APIs fail.</x:t>
  </x:si>
  <x:si>
    <x:t xml:space="preserve">../test/types/components/toast.test.ts</x:t>
  </x:si>
  <x:si>
    <x:t xml:space="preserve">TO-06</x:t>
  </x:si>
  <x:si>
    <x:t xml:space="preserve">Static CSS ships viewport placement, raised cards, semantic accents, widths, stacking, lifecycle, swipe, dark, reduced-motion, forced-color, responsive, RTL, and customization recipes.</x:t>
  </x:si>
  <x:si>
    <x:t xml:space="preserve">../src/components/toast/toast.css</x:t>
  </x:si>
  <x:si>
    <x:t xml:space="preserve">TO-07</x:t>
  </x:si>
  <x:si>
    <x:t xml:space="preserve">Toaster</x:t>
  </x:si>
  <x:si>
    <x:t xml:space="preserve">Defaults are bottom-end, maximum three visible, close enabled, responsive width, separated stacking, F8 region focus, paused timers on hover/focus/page loss, and no swipe.</x:t>
  </x:si>
  <x:si>
    <x:t xml:space="preserve">tests/components/toast/behavior.spec.ts; ../test/components/toast/toast.test.tsx</x:t>
  </x:si>
  <x:si>
    <x:t xml:space="preserve">TO-08</x:t>
  </x:si>
  <x:si>
    <x:t xml:space="preserve">Root / Icon</x:t>
  </x:si>
  <x:si>
    <x:t xml:space="preserve">Default, success, error, warning, info, and loading change only semantic accent, glyph or spinner, and announcement priority while preserving geometry.</x:t>
  </x:si>
  <x:si>
    <x:t xml:space="preserve">tests/components/toast/visual.spec.ts</x:t>
  </x:si>
  <x:si>
    <x:t xml:space="preserve">Agent inspected the complete six-type baseline in light and forced-color modes.</x:t>
  </x:si>
  <x:si>
    <x:t xml:space="preserve">TO-09</x:t>
  </x:si>
  <x:si>
    <x:t xml:space="preserve">Content anatomy</x:t>
  </x:si>
  <x:si>
    <x:t xml:space="preserve">Title-only, description-only, combined, long localized content, component-owned default glyphs, and consumer-authored icon content preserve intended anatomy and hierarchy.</x:t>
  </x:si>
  <x:si>
    <x:t xml:space="preserve">tests/components/toast/visual.spec.ts; ../test/components/toast/toast.test.tsx</x:t>
  </x:si>
  <x:si>
    <x:t xml:space="preserve">Agent inspected title-only, combined-content, custom-icon, loading, and localized-content baselines.</x:t>
  </x:si>
  <x:si>
    <x:t xml:space="preserve">TO-10</x:t>
  </x:si>
  <x:si>
    <x:t xml:space="preserve">Actions</x:t>
  </x:si>
  <x:si>
    <x:t xml:space="preserve">Action / Close</x:t>
  </x:si>
  <x:si>
    <x:t xml:space="preserve">One safe-to-ignore action runs once and dismisses only its toast; close policy resolves Toaster and per-toast settings with localized labels and dismissibility respected.</x:t>
  </x:si>
  <x:si>
    <x:t xml:space="preserve">TO-11</x:t>
  </x:si>
  <x:si>
    <x:t xml:space="preserve">Widths</x:t>
  </x:si>
  <x:si>
    <x:t xml:space="preserve">Viewport / Root</x:t>
  </x:si>
  <x:si>
    <x:t xml:space="preserve">Responsive width is near-full on narrow viewports and compact on larger screens; compact and full remain closed supported alternatives without page overflow.</x:t>
  </x:si>
  <x:si>
    <x:t xml:space="preserve">tests/components/toast/behavior.spec.ts; tests/components/toast/visual.spec.ts</x:t>
  </x:si>
  <x:si>
    <x:t xml:space="preserve">TO-12</x:t>
  </x:si>
  <x:si>
    <x:t xml:space="preserve">Positions</x:t>
  </x:si>
  <x:si>
    <x:t xml:space="preserve">Top-start, top-center, top-end, bottom-start, bottom-center, and bottom-end map through logical inline direction in LTR and RTL.</x:t>
  </x:si>
  <x:si>
    <x:t xml:space="preserve">Agent inspected the six-position comparison and RTL logical anatomy baseline.</x:t>
  </x:si>
  <x:si>
    <x:t xml:space="preserve">TO-13</x:t>
  </x:si>
  <x:si>
    <x:t xml:space="preserve">Stacking</x:t>
  </x:si>
  <x:si>
    <x:t xml:space="preserve">Separated stacking supports variable-height cards without collision; overlap layers inactive cards and expands for pointer or keyboard entry.</x:t>
  </x:si>
  <x:si>
    <x:t xml:space="preserve">TO-14</x:t>
  </x:si>
  <x:si>
    <x:t xml:space="preserve">Queue and timers</x:t>
  </x:si>
  <x:si>
    <x:t xml:space="preserve">Toaster / Root</x:t>
  </x:si>
  <x:si>
    <x:t xml:space="preserve">Maximum-visible queue promotion, newest-nearest-anchor order, full post-queue duration, entering/visible/exiting lifecycle, and hover/focus/page-loss pause behavior remain Atom-owned and exposed intact.</x:t>
  </x:si>
  <x:si>
    <x:t xml:space="preserve">tests/components/toast/behavior.spec.ts</x:t>
  </x:si>
  <x:si>
    <x:t xml:space="preserve">TO-15</x:t>
  </x:si>
  <x:si>
    <x:t xml:space="preserve">Async lifecycle</x:t>
  </x:si>
  <x:si>
    <x:t xml:space="preserve">toast</x:t>
  </x:si>
  <x:si>
    <x:t xml:space="preserve">Loading, update, promise success/error, stable immutable IDs, callbacks, and dismiss-one/all preserve one logical toast lifecycle without duplicate records.</x:t>
  </x:si>
  <x:si>
    <x:t xml:space="preserve">../test/components/toast/toast.test.tsx; tests/components/toast/behavior.spec.ts</x:t>
  </x:si>
  <x:si>
    <x:t xml:space="preserve">TO-16</x:t>
  </x:si>
  <x:si>
    <x:t xml:space="preserve">Announcements</x:t>
  </x:si>
  <x:si>
    <x:t xml:space="preserve">Create and update use exactly one persistent Atom-owned polite or assertive announcement path; visible cards do not create a second live region.</x:t>
  </x:si>
  <x:si>
    <x:t xml:space="preserve">TO-17</x:t>
  </x:si>
  <x:si>
    <x:t xml:space="preserve">Viewport / controls</x:t>
  </x:si>
  <x:si>
    <x:t xml:space="preserve">Appearance never steals focus; F8 enters the labelled region, Tab and Shift+Tab reach controls, focused Escape dismisses, and prior focus restores safely.</x:t>
  </x:si>
  <x:si>
    <x:t xml:space="preserve">TO-18</x:t>
  </x:si>
  <x:si>
    <x:t xml:space="preserve">Swipe</x:t>
  </x:si>
  <x:si>
    <x:t xml:space="preserve">Optional left, right, up, or down swipe dismissal exposes directional movement and cancellation at the configured threshold without enabling arbitrary dragging by default.</x:t>
  </x:si>
  <x:si>
    <x:t xml:space="preserve">../src/components/toast/Toast.tsx; ../src/components/toast/toast.css</x:t>
  </x:si>
  <x:si>
    <x:t xml:space="preserve">TO-19</x:t>
  </x:si>
  <x:si>
    <x:t xml:space="preserve">Portal and props</x:t>
  </x:si>
  <x:si>
    <x:t xml:space="preserve">Toaster / Viewport</x:t>
  </x:si>
  <x:si>
    <x:t xml:space="preserve">Body portal, custom container, disabled portal, native viewport props, style, class, data attributes, and the empty-to-visible viewport ref lifecycle preserve the public boundary.</x:t>
  </x:si>
  <x:si>
    <x:t xml:space="preserve">../test/components/toast/toast.test.tsx; ../test/package/ssr.test.mjs</x:t>
  </x:si>
  <x:si>
    <x:t xml:space="preserve">TO-20</x:t>
  </x:si>
  <x:si>
    <x:t xml:space="preserve">Public compound parts, renderToast, classes, variables, per-toast class, custom icons, viewport offsets, and native props customize presentation without transferring Atom behavior ownership.</x:t>
  </x:si>
  <x:si>
    <x:t xml:space="preserve">../test/components/toast/toast.test.tsx; ../docs/components/toast/README.md</x:t>
  </x:si>
  <x:si>
    <x:t xml:space="preserve">TO-21</x:t>
  </x:si>
  <x:si>
    <x:t xml:space="preserve">Responsive / RTL</x:t>
  </x:si>
  <x:si>
    <x:t xml:space="preserve">Mobile width, long Arabic content, RTL logical anatomy, variable heights, text spacing, safe-area fixtures, and narrow containment remain readable without horizontal page overflow.</x:t>
  </x:si>
  <x:si>
    <x:t xml:space="preserve">Agent inspected the mobile RTL stress and logical-position baselines.</x:t>
  </x:si>
  <x:si>
    <x:t xml:space="preserve">TO-22</x:t>
  </x:si>
  <x:si>
    <x:t xml:space="preserve">Semantic surface, text, accent, glyph, close, action, focus, and elevation remain legible and intentionally hierarchical in light and dark appearance.</x:t>
  </x:si>
  <x:si>
    <x:t xml:space="preserve">Agent inspected the light and dark appearance baseline.</x:t>
  </x:si>
  <x:si>
    <x:t xml:space="preserve">TO-23</x:t>
  </x:si>
  <x:si>
    <x:t xml:space="preserve">Preferences</x:t>
  </x:si>
  <x:si>
    <x:t xml:space="preserve">Reduced motion removes lifecycle and loading animation while preserving state; forced colors preserves boundaries, icons, text, controls, and focus geometry.</x:t>
  </x:si>
  <x:si>
    <x:t xml:space="preserve">Agent inspected the reduced-motion loading and forced-color type baselines.</x:t>
  </x:si>
  <x:si>
    <x:t xml:space="preserve">TO-24</x:t>
  </x:si>
  <x:si>
    <x:t xml:space="preserve">Labelled region, exactly-once live semantics, decorative glyphs, native buttons, focus order, target geometry, localized labels, and scoped axe checks remain valid.</x:t>
  </x:si>
  <x:si>
    <x:t xml:space="preserve">TO-25</x:t>
  </x:si>
  <x:si>
    <x:t xml:space="preserve">Nine reviewed Chromium baselines cover overview, six types, content, queue, positions, appearance, mobile RTL stress, reduced-motion loading, and forced colors.</x:t>
  </x:si>
  <x:si>
    <x:t xml:space="preserve">Agent inspected every generated Toast baseline after the final typography-token correction.</x:t>
  </x:si>
  <x:si>
    <x:t xml:space="preserve">TO-26</x:t>
  </x:si>
  <x:si>
    <x:t xml:space="preserve">One navigable Toast route exposes nine controlled scenarios for overview, types, content, queue, positions, async lifecycle, customization, accessibility, and stress.</x:t>
  </x:si>
  <x:si>
    <x:t xml:space="preserve">src/components/toast/ToastPage.tsx</x:t>
  </x:si>
  <x:si>
    <x:t xml:space="preserve">TO-27</x:t>
  </x:si>
  <x:si>
    <x:t xml:space="preserve">A tester completes the pointer, keyboard, assistive-technology, announcement, timer, zoom, mobile, RTL, safe-area, appearance, forced-color, reduced-motion, and portal protocol.</x:t>
  </x:si>
  <x:si>
    <x:t xml:space="preserve">manual-tests/toast.md</x:t>
  </x:si>
  <x:si>
    <x:t xml:space="preserve">TO-28</x:t>
  </x:si>
  <x:si>
    <x:t xml:space="preserve">Source-backed role, boundaries, setup, anatomy, API, defaults, types, positions, timers, queue, async lifecycle, focus, accessibility, CSS, customization, exclusions, and evidence are documented.</x:t>
  </x:si>
  <x:si>
    <x:t xml:space="preserve">../docs/components/toast/README.md</x:t>
  </x:si>
  <x:si>
    <x:t xml:space="preserve">TO-29</x:t>
  </x:si>
  <x:si>
    <x:t xml:space="preserve">Toast owns a public component changelog and the package changelog records the complete public addition and exact Atom dependency update.</x:t>
  </x:si>
  <x:si>
    <x:t xml:space="preserve">../docs/components/toast/CHANGELOG.md; ../CHANGELOG.md</x:t>
  </x:si>
  <x:si>
    <x:t xml:space="preserve">TO-30</x:t>
  </x:si>
  <x:si>
    <x:t xml:space="preserve">Packed Consumer imports the public toast subpath, installs one Toaster, and produces durable duplicate success feedback after publishing on desktop and mobile.</x:t>
  </x:si>
  <x:si>
    <x:t xml:space="preserve">TO-31</x:t>
  </x:si>
  <x:si>
    <x:t xml:space="preserve">Build, declarations, root/subpath exports, SSR, CSS, tarball, docs, ownership, clean React 18/19 consumers, full browser suite, packed Consumer, and exact Atom 0.20.11 dependency pass in GitHub Actions run 30316339713.</x:t>
  </x:si>
  <x:si>
    <x:t xml:space="preserve">../test/package/package.test.mjs; ../test/package/ssr.test.mjs; ../scripts/verify-package.mjs; ../scripts/verify-consumers.mjs</x:t>
  </x:si>
  <x:si>
    <x:t xml:space="preserve">Table Evidence</x:t>
  </x:si>
  <x:si>
    <x:t xml:space="preserve">Assertion-level native anatomy, static recipes, sorting composition, responsive containment, package, documentation, Consumer, and accessibility evidence.</x:t>
  </x:si>
  <x:si>
    <x:t xml:space="preserve">Brick styles released Atom 0.20.11 native Table semantics without recreating behavior.</x:t>
  </x:si>
  <x:si>
    <x:t xml:space="preserve">../src/components/table/Table.tsx; ../package.json</x:t>
  </x:si>
  <x:si>
    <x:t xml:space="preserve">Ten-part namespace and named exports expose the adopted static Table surface.</x:t>
  </x:si>
  <x:si>
    <x:t xml:space="preserve">../test/components/table/table.test.tsx</x:t>
  </x:si>
  <x:si>
    <x:t xml:space="preserve">Root and sections</x:t>
  </x:si>
  <x:si>
    <x:t xml:space="preserve">Container, table, caption, sections, rows, headers, cells, and indicator render exact native hosts and refs.</x:t>
  </x:si>
  <x:si>
    <x:t xml:space="preserve">Closed variants, sizes, densities, caption sides, logical alignment, numeric formatting, native props, composition, and refs type-check.</x:t>
  </x:si>
  <x:si>
    <x:t xml:space="preserve">../test/types/components/table.test.ts</x:t>
  </x:si>
  <x:si>
    <x:t xml:space="preserve">Root and table subpath exports preserve namespace and named runtime identity.</x:t>
  </x:si>
  <x:si>
    <x:t xml:space="preserve">Table imports server-safely and emits deterministic native anatomy without grid roles.</x:t>
  </x:si>
  <x:si>
    <x:t xml:space="preserve">Defaults are line, medium, comfortable, unstriped, non-sticky, top caption, and logical-start alignment.</x:t>
  </x:si>
  <x:si>
    <x:t xml:space="preserve">Line/outline, sm/md/lg, compact/comfortable, and stripe remain independent.</x:t>
  </x:si>
  <x:si>
    <x:t xml:space="preserve">tests/components/table/behavior.spec.ts</x:t>
  </x:si>
  <x:si>
    <x:t xml:space="preserve">Head / Cell</x:t>
  </x:si>
  <x:si>
    <x:t xml:space="preserve">Scope, headers, spans, caption, section relationships, and sort metadata remain native.</x:t>
  </x:si>
  <x:si>
    <x:t xml:space="preserve">Alignment</x:t>
  </x:si>
  <x:si>
    <x:t xml:space="preserve">Start, center, end, and numeric formatting use logical alignment and tabular figures with explicit precedence.</x:t>
  </x:si>
  <x:si>
    <x:t xml:space="preserve">Sorting</x:t>
  </x:si>
  <x:si>
    <x:t xml:space="preserve">Head / SortIndicator</x:t>
  </x:si>
  <x:si>
    <x:t xml:space="preserve">Application Button owns sorting while Head exposes aria-sort and decorative artwork remains silent.</x:t>
  </x:si>
  <x:si>
    <x:t xml:space="preserve">Explicit horizontal containment preserves every column without page overflow or card conversion.</x:t>
  </x:si>
  <x:si>
    <x:t xml:space="preserve">Sticky</x:t>
  </x:si>
  <x:si>
    <x:t xml:space="preserve">Header</x:t>
  </x:si>
  <x:si>
    <x:t xml:space="preserve">Header cells remain opaque and sticky within an authored vertical scroll boundary.</x:t>
  </x:si>
  <x:si>
    <x:t xml:space="preserve">RTL</x:t>
  </x:si>
  <x:si>
    <x:t xml:space="preserve">Logical alignment and overflow remain usable with translated RTL data.</x:t>
  </x:si>
  <x:si>
    <x:t xml:space="preserve">tests/components/table/visual.spec.ts</x:t>
  </x:si>
  <x:si>
    <x:t xml:space="preserve">Agent inspected the final mobile RTL baseline.</x:t>
  </x:si>
  <x:si>
    <x:t xml:space="preserve">Light, dark, forced-color, boundaries, text, badges, controls, and focus remain legible.</x:t>
  </x:si>
  <x:si>
    <x:t xml:space="preserve">Agent inspected the final appearance baselines.</x:t>
  </x:si>
  <x:si>
    <x:t xml:space="preserve">Ten reviewed baselines cover overview, variants, sizing, alignment, sorting, sticky, dark, responsive mobile, RTL mobile, and forced colors.</x:t>
  </x:si>
  <x:si>
    <x:t xml:space="preserve">Agent inspected every final Table baseline after the playground review corrections.</x:t>
  </x:si>
  <x:si>
    <x:t xml:space="preserve">Native structure, independent tab stops, no grid role/tabindex, labelled scrolling, and axe remain valid.</x:t>
  </x:si>
  <x:si>
    <x:t xml:space="preserve">One navigable Table route exposes nine persistent controlled scenarios.</x:t>
  </x:si>
  <x:si>
    <x:t xml:space="preserve">src/components/table/TablePage.tsx</x:t>
  </x:si>
  <x:si>
    <x:t xml:space="preserve">The public guide documents role, anatomy, API, defaults, sorting, responsive/sticky behavior, accessibility, CSS, and exclusions.</x:t>
  </x:si>
  <x:si>
    <x:t xml:space="preserve">../docs/components/table/README.md</x:t>
  </x:si>
  <x:si>
    <x:t xml:space="preserve">Component and package changelogs record the complete public addition.</x:t>
  </x:si>
  <x:si>
    <x:t xml:space="preserve">../docs/components/table/CHANGELOG.md; ../CHANGELOG.md</x:t>
  </x:si>
  <x:si>
    <x:t xml:space="preserve">Packed Consumer imports the table subpath and composes caption, headers, numeric values, Badge, Link, footer, overflow, and controlled sorting.</x:t>
  </x:si>
  <x:si>
    <x:t xml:space="preserve">../apps/consumer/src/App.tsx</x:t>
  </x:si>
  <x:si>
    <x:t xml:space="preserve">Owner completes visual, keyboard, screen-reader, mobile, zoom, RTL, appearance, sticky, and overflow protocol.</x:t>
  </x:si>
  <x:si>
    <x:t xml:space="preserve">manual-tests/table.md</x:t>
  </x:si>
  <x:si>
    <x:t xml:space="preserve">TA-23</x:t>
  </x:si>
  <x:si>
    <x:t xml:space="preserve">Build, declarations, exports, SSR, CSS, docs, tarball, consumers, browser matrix, and CI pass.</x:t>
  </x:si>
  <x:si>
    <x:t xml:space="preserve">../test/package/package.test.mjs; ../scripts/verify-package.mjs</x:t>
  </x:si>
  <x:si>
    <x:t xml:space="preserve">GitHub Actions run 30322250031 passed package, full browser, and packed Consumer verification on commit fde38a9.</x:t>
  </x:si>
  <x:si>
    <x:t xml:space="preserve">Pagination Evidence</x:t>
  </x:si>
  <x:si>
    <x:t xml:space="preserve">Assertion-level seven-part anatomy, generated ranges, localization, visual recipes, responsive containment, package, documentation, Consumer, and accessibility evidence.</x:t>
  </x:si>
  <x:si>
    <x:t xml:space="preserve">PA-01</x:t>
  </x:si>
  <x:si>
    <x:t xml:space="preserve">Brick styles released Atom 0.20.11 Pagination behavior without recreating state, range, or semantics.</x:t>
  </x:si>
  <x:si>
    <x:t xml:space="preserve">../src/components/pagination/Pagination.tsx; ../package.json</x:t>
  </x:si>
  <x:si>
    <x:t xml:space="preserve">PA-02</x:t>
  </x:si>
  <x:si>
    <x:t xml:space="preserve">Seven-part namespace and named exports expose Root, List, Previous, Items, Item, Ellipsis, and Next.</x:t>
  </x:si>
  <x:si>
    <x:t xml:space="preserve">../test/components/pagination/pagination.test.tsx</x:t>
  </x:si>
  <x:si>
    <x:t xml:space="preserve">PA-03</x:t>
  </x:si>
  <x:si>
    <x:t xml:space="preserve">Root nav, List ol, Atom list items, native buttons, hostless Items, and assistive-hidden Ellipsis render with exact refs and hooks.</x:t>
  </x:si>
  <x:si>
    <x:t xml:space="preserve">PA-04</x:t>
  </x:si>
  <x:si>
    <x:t xml:space="preserve">Closed variants and sizes, Atom state/localization props, shared Items props, native props, composition, and refs type-check.</x:t>
  </x:si>
  <x:si>
    <x:t xml:space="preserve">../test/types/components/pagination.test.ts</x:t>
  </x:si>
  <x:si>
    <x:t xml:space="preserve">PA-05</x:t>
  </x:si>
  <x:si>
    <x:t xml:space="preserve">Root and pagination subpath exports preserve namespace and named runtime identity.</x:t>
  </x:si>
  <x:si>
    <x:t xml:space="preserve">PA-06</x:t>
  </x:si>
  <x:si>
    <x:t xml:space="preserve">Pagination imports server-safely and emits deterministic generated native anatomy.</x:t>
  </x:si>
  <x:si>
    <x:t xml:space="preserve">PA-07</x:t>
  </x:si>
  <x:si>
    <x:t xml:space="preserve">Defaults are plain, medium, page 1, sibling count 1, and boundary count 1.</x:t>
  </x:si>
  <x:si>
    <x:t xml:space="preserve">PA-08</x:t>
  </x:si>
  <x:si>
    <x:t xml:space="preserve">Plain, soft, outline and sm, md, lg recipes remain independent and preserve geometry by state.</x:t>
  </x:si>
  <x:si>
    <x:t xml:space="preserve">tests/components/pagination/behavior.spec.ts</x:t>
  </x:si>
  <x:si>
    <x:t xml:space="preserve">PA-09</x:t>
  </x:si>
  <x:si>
    <x:t xml:space="preserve">Range</x:t>
  </x:si>
  <x:si>
    <x:t xml:space="preserve">Items</x:t>
  </x:si>
  <x:si>
    <x:t xml:space="preserve">Items renders Atom's generated stable page and Ellipsis range without a Brick algorithm copy.</x:t>
  </x:si>
  <x:si>
    <x:t xml:space="preserve">PA-10</x:t>
  </x:si>
  <x:si>
    <x:t xml:space="preserve">Controls</x:t>
  </x:si>
  <x:si>
    <x:t xml:space="preserve">Controlled and uncontrolled page changes, current-page no-op, and first/last/whole-root disabled boundaries remain Atom-owned.</x:t>
  </x:si>
  <x:si>
    <x:t xml:space="preserve">PA-11</x:t>
  </x:si>
  <x:si>
    <x:t xml:space="preserve">Localization</x:t>
  </x:si>
  <x:si>
    <x:t xml:space="preserve">Root localizes generated page and boundary labels while direct aria-label remains authoritative.</x:t>
  </x:si>
  <x:si>
    <x:t xml:space="preserve">PA-12</x:t>
  </x:si>
  <x:si>
    <x:t xml:space="preserve">Icons</x:t>
  </x:si>
  <x:si>
    <x:t xml:space="preserve">Previous / Next</x:t>
  </x:si>
  <x:si>
    <x:t xml:space="preserve">Default logical chevrons are decorative, centered, and mirror in RTL; authored children replace them.</x:t>
  </x:si>
  <x:si>
    <x:t xml:space="preserve">PA-13</x:t>
  </x:si>
  <x:si>
    <x:t xml:space="preserve">Labelled nav/list semantics, current state, native Tab and activation, disabled controls, decorative gaps, and axe checks pass.</x:t>
  </x:si>
  <x:si>
    <x:t xml:space="preserve">PA-14</x:t>
  </x:si>
  <x:si>
    <x:t xml:space="preserve">Root / List</x:t>
  </x:si>
  <x:si>
    <x:t xml:space="preserve">The list stays bounded, never wraps or hides items, and scrolls inline when constrained.</x:t>
  </x:si>
  <x:si>
    <x:t xml:space="preserve">PA-15</x:t>
  </x:si>
  <x:si>
    <x:t xml:space="preserve">Light and dark semantic scopes preserve current, neutral, disabled, and surface recipes.</x:t>
  </x:si>
  <x:si>
    <x:t xml:space="preserve">tests/components/pagination/visual.spec.ts</x:t>
  </x:si>
  <x:si>
    <x:t xml:space="preserve">Owner visual review not yet recorded.</x:t>
  </x:si>
  <x:si>
    <x:t xml:space="preserve">PA-16</x:t>
  </x:si>
  <x:si>
    <x:t xml:space="preserve">Forced colors keeps current, disabled, and focus distinctions; reduced motion removes color transitions.</x:t>
  </x:si>
  <x:si>
    <x:t xml:space="preserve">manual-tests/pagination.md</x:t>
  </x:si>
  <x:si>
    <x:t xml:space="preserve">Owner forced-colors and reduced-motion review not yet recorded.</x:t>
  </x:si>
  <x:si>
    <x:t xml:space="preserve">PA-17</x:t>
  </x:si>
  <x:si>
    <x:t xml:space="preserve">Reviewed baselines cover overview, variants, sizes, appearance, customization, responsive overflow, and RTL.</x:t>
  </x:si>
  <x:si>
    <x:t xml:space="preserve">Owner baseline approval not yet recorded.</x:t>
  </x:si>
  <x:si>
    <x:t xml:space="preserve">PA-18</x:t>
  </x:si>
  <x:si>
    <x:t xml:space="preserve">Root / parts</x:t>
  </x:si>
  <x:si>
    <x:t xml:space="preserve">Stable classes, slots, data attributes, component variables, className, and style preserve behavior.</x:t>
  </x:si>
  <x:si>
    <x:t xml:space="preserve">PA-19</x:t>
  </x:si>
  <x:si>
    <x:t xml:space="preserve">Public guide</x:t>
  </x:si>
  <x:si>
    <x:t xml:space="preserve">Guide documents all exports, recipes, hooks, responsibilities, exclusions, and evidence.</x:t>
  </x:si>
  <x:si>
    <x:t xml:space="preserve">documentation</x:t>
  </x:si>
  <x:si>
    <x:t xml:space="preserve">../docs/components/pagination/README.md</x:t>
  </x:si>
  <x:si>
    <x:t xml:space="preserve">PA-20</x:t>
  </x:si>
  <x:si>
    <x:t xml:space="preserve">Public record</x:t>
  </x:si>
  <x:si>
    <x:t xml:space="preserve">Component and package changelogs describe the release-facing Pagination addition.</x:t>
  </x:si>
  <x:si>
    <x:t xml:space="preserve">../docs/components/pagination/CHANGELOG.md; ../CHANGELOG.md</x:t>
  </x:si>
  <x:si>
    <x:t xml:space="preserve">PA-21</x:t>
  </x:si>
  <x:si>
    <x:t xml:space="preserve">Deterministic route exposes every adopted scenario with semantically distinct content.</x:t>
  </x:si>
  <x:si>
    <x:t xml:space="preserve">../playground/src/components/pagination/PaginationPage.tsx</x:t>
  </x:si>
  <x:si>
    <x:t xml:space="preserve">PA-22</x:t>
  </x:si>
  <x:si>
    <x:t xml:space="preserve">Numbered protocol reviews semantics, recipes, preferences, zoom, RTL, overflow, and physical touch.</x:t>
  </x:si>
  <x:si>
    <x:t xml:space="preserve">Owner manual run not yet completed.</x:t>
  </x:si>
  <x:si>
    <x:t xml:space="preserve">PA-23</x:t>
  </x:si>
  <x:si>
    <x:t xml:space="preserve">Root / generated controls</x:t>
  </x:si>
  <x:si>
    <x:t xml:space="preserve">Packed Consumer composes controlled Pagination through its public subpath.</x:t>
  </x:si>
  <x:si>
    <x:t xml:space="preserve">PA-24</x:t>
  </x:si>
  <x:si>
    <x:t xml:space="preserve">Artifact</x:t>
  </x:si>
  <x:si>
    <x:t xml:space="preserve">Packed archive includes root/subpath declarations, runtime exports, CSS, exact Atom dependency, and React 18/19 compatibility.</x:t>
  </x:si>
  <x:si>
    <x:t xml:space="preserve">PA-25</x:t>
  </x:si>
  <x:si>
    <x:t xml:space="preserve">Exclusion</x:t>
  </x:si>
  <x:si>
    <x:t xml:space="preserve">URL/router navigation, page size, totals, fetching, loading, quick jump, and responsive range policy remain outside Pagination.</x:t>
  </x:si>
  <x:si>
    <x:t xml:space="preserve">Data Grid Evidence</x:t>
  </x:si>
  <x:si>
    <x:t xml:space="preserve">Assertion-level anatomy, navigation, selection, sorting activation, visual recipes, responsive containment, package, documentation, Consumer, and accessibility evidence.</x:t>
  </x:si>
  <x:si>
    <x:t xml:space="preserve">DG-01</x:t>
  </x:si>
  <x:si>
    <x:t xml:space="preserve">Brick styles released Atom 0.20.11 Data Grid behavior without recreating navigation, selection, focus, or semantics.</x:t>
  </x:si>
  <x:si>
    <x:t xml:space="preserve">../src/components/data-grid/DataGrid.tsx; ../package.json</x:t>
  </x:si>
  <x:si>
    <x:t xml:space="preserve">DG-02</x:t>
  </x:si>
  <x:si>
    <x:t xml:space="preserve">Ten-part namespace and named exports expose Container, Root, Caption, Header, Body, Footer, Row, ColumnHeader, Cell, and SortIndicator.</x:t>
  </x:si>
  <x:si>
    <x:t xml:space="preserve">../test/components/data-grid/data-grid.test.tsx</x:t>
  </x:si>
  <x:si>
    <x:t xml:space="preserve">DG-03</x:t>
  </x:si>
  <x:si>
    <x:t xml:space="preserve">Explicit Container and exact native table hosts, grid roles, slots, refs, indexes, and counts render deterministically.</x:t>
  </x:si>
  <x:si>
    <x:t xml:space="preserve">DG-04</x:t>
  </x:si>
  <x:si>
    <x:t xml:space="preserve">Closed recipes, logical alignment, Atom state, indexes, controlled selection, active cell, sorting action, native props, and refs type-check.</x:t>
  </x:si>
  <x:si>
    <x:t xml:space="preserve">../test/types/components/data-grid.test.ts</x:t>
  </x:si>
  <x:si>
    <x:t xml:space="preserve">DG-05</x:t>
  </x:si>
  <x:si>
    <x:t xml:space="preserve">Root and data-grid subpath exports preserve namespace and named runtime identity.</x:t>
  </x:si>
  <x:si>
    <x:t xml:space="preserve">DG-06</x:t>
  </x:si>
  <x:si>
    <x:t xml:space="preserve">Root / cells</x:t>
  </x:si>
  <x:si>
    <x:t xml:space="preserve">Data Grid imports server-safely and emits deterministic labelled grid, coordinate, and sort anatomy.</x:t>
  </x:si>
  <x:si>
    <x:t xml:space="preserve">DG-07</x:t>
  </x:si>
  <x:si>
    <x:t xml:space="preserve">Root / Caption</x:t>
  </x:si>
  <x:si>
    <x:t xml:space="preserve">Defaults are line, medium, comfortable, bottom caption, and logical-start alignment.</x:t>
  </x:si>
  <x:si>
    <x:t xml:space="preserve">DG-08</x:t>
  </x:si>
  <x:si>
    <x:t xml:space="preserve">Line/outline, sm/md/lg, and compact/comfortable/spacious remain independent.</x:t>
  </x:si>
  <x:si>
    <x:t xml:space="preserve">tests/components/data-grid/behavior.spec.ts</x:t>
  </x:si>
  <x:si>
    <x:t xml:space="preserve">DG-09</x:t>
  </x:si>
  <x:si>
    <x:t xml:space="preserve">Navigation</x:t>
  </x:si>
  <x:si>
    <x:t xml:space="preserve">Root owns focus and active descendant while arrow, boundary, page, loop, wrap, RTL, and disabled-cell navigation remain Atom-owned.</x:t>
  </x:si>
  <x:si>
    <x:t xml:space="preserve">tests/components/data-grid/behavior.spec.ts; @flowstack-ui/atom 0.17.0 behavior suite</x:t>
  </x:si>
  <x:si>
    <x:t xml:space="preserve">DG-10</x:t>
  </x:si>
  <x:si>
    <x:t xml:space="preserve">Root / Row</x:t>
  </x:si>
  <x:si>
    <x:t xml:space="preserve">Controlled/uncontrolled single and multiple row selection, row-click policy, Space activation, and disabled/read-only boundaries remain Atom-owned.</x:t>
  </x:si>
  <x:si>
    <x:t xml:space="preserve">DG-11</x:t>
  </x:si>
  <x:si>
    <x:t xml:space="preserve">ColumnHeader / SortIndicator</x:t>
  </x:si>
  <x:si>
    <x:t xml:space="preserve">Indexed actionable headers request application sorting by pointer and Enter; aria-sort stays controlled and artwork stays silent.</x:t>
  </x:si>
  <x:si>
    <x:t xml:space="preserve">DG-12</x:t>
  </x:si>
  <x:si>
    <x:t xml:space="preserve">ColumnHeader / Cell</x:t>
  </x:si>
  <x:si>
    <x:t xml:space="preserve">Start, center, end, and numeric formatting use logical alignment, tabular figures, and explicit precedence.</x:t>
  </x:si>
  <x:si>
    <x:t xml:space="preserve">DG-13</x:t>
  </x:si>
  <x:si>
    <x:t xml:space="preserve">Rows / cells</x:t>
  </x:si>
  <x:si>
    <x:t xml:space="preserve">Selected, active, disabled, selectable, actionable, hover, and sorted paint follows Atom attributes without geometry changes.</x:t>
  </x:si>
  <x:si>
    <x:t xml:space="preserve">DG-14</x:t>
  </x:si>
  <x:si>
    <x:t xml:space="preserve">Explicit horizontal containment preserves columns without page overflow, card conversion, or implicit wrapping.</x:t>
  </x:si>
  <x:si>
    <x:t xml:space="preserve">DG-15</x:t>
  </x:si>
  <x:si>
    <x:t xml:space="preserve">Logical navigation, alignment, sorting indicator placement, and overflow remain usable with RTL content.</x:t>
  </x:si>
  <x:si>
    <x:t xml:space="preserve">tests/components/data-grid/visual.spec.ts</x:t>
  </x:si>
  <x:si>
    <x:t xml:space="preserve">DG-16</x:t>
  </x:si>
  <x:si>
    <x:t xml:space="preserve">Light, dark, and forced-color surfaces preserve boundaries, state distinctions, badges, and focus.</x:t>
  </x:si>
  <x:si>
    <x:t xml:space="preserve">DG-17</x:t>
  </x:si>
  <x:si>
    <x:t xml:space="preserve">Baselines cover overview, variants, sizing, selection, sorting, dark customization, responsive mobile, RTL mobile, and forced colors.</x:t>
  </x:si>
  <x:si>
    <x:t xml:space="preserve">Owner baseline review not yet recorded.</x:t>
  </x:si>
  <x:si>
    <x:t xml:space="preserve">DG-18</x:t>
  </x:si>
  <x:si>
    <x:t xml:space="preserve">Stable classes, slots, public variables, classes, styles, and custom indicator content preserve behavior.</x:t>
  </x:si>
  <x:si>
    <x:t xml:space="preserve">../test/components/data-grid/data-grid.test.tsx; ../docs/components/data-grid/README.md</x:t>
  </x:si>
  <x:si>
    <x:t xml:space="preserve">DG-19</x:t>
  </x:si>
  <x:si>
    <x:t xml:space="preserve">Label, roles, counts, coordinates, selection, disabled, active descendant, sort metadata, and axe checks pass.</x:t>
  </x:si>
  <x:si>
    <x:t xml:space="preserve">DG-20</x:t>
  </x:si>
  <x:si>
    <x:t xml:space="preserve">One navigable Data Grid route exposes nine persistent controlled scenarios.</x:t>
  </x:si>
  <x:si>
    <x:t xml:space="preserve">src/components/data-grid/DataGridPage.tsx</x:t>
  </x:si>
  <x:si>
    <x:t xml:space="preserve">DG-21</x:t>
  </x:si>
  <x:si>
    <x:t xml:space="preserve">Guide documents boundary, anatomy, API, recipes, keyboard, selection, sorting, containment, accessibility, CSS, and exclusions.</x:t>
  </x:si>
  <x:si>
    <x:t xml:space="preserve">../docs/components/data-grid/README.md</x:t>
  </x:si>
  <x:si>
    <x:t xml:space="preserve">DG-22</x:t>
  </x:si>
  <x:si>
    <x:t xml:space="preserve">Component and package changelogs describe the release-facing Data Grid addition.</x:t>
  </x:si>
  <x:si>
    <x:t xml:space="preserve">../docs/components/data-grid/CHANGELOG.md; ../CHANGELOG.md</x:t>
  </x:si>
  <x:si>
    <x:t xml:space="preserve">DG-23</x:t>
  </x:si>
  <x:si>
    <x:t xml:space="preserve">Packed Consumer composes Data Grid with controlled sorting and selection plus external Toolbar, Pagination, and Badge.</x:t>
  </x:si>
  <x:si>
    <x:t xml:space="preserve">Packed Consumer passed 74 desktop/mobile checks on July 28, 2026.</x:t>
  </x:si>
  <x:si>
    <x:t xml:space="preserve">DG-24</x:t>
  </x:si>
  <x:si>
    <x:t xml:space="preserve">Owner reviews keyboard, screen reader, zoom, mobile overflow, RTL, appearance, preferences, and component boundaries.</x:t>
  </x:si>
  <x:si>
    <x:t xml:space="preserve">manual-tests/data-grid.md</x:t>
  </x:si>
  <x:si>
    <x:t xml:space="preserve">DG-25</x:t>
  </x:si>
  <x:si>
    <x:t xml:space="preserve">Package, tarball, SSR, CSS, and clean React 18/19 consumer verification passed locally on July 28, 2026.</x:t>
  </x:si>
  <x:si>
    <x:t xml:space="preserve">DG-26</x:t>
  </x:si>
  <x:si>
    <x:t xml:space="preserve">Boundary</x:t>
  </x:si>
  <x:si>
    <x:t xml:space="preserve">Editing, interactive cells, filtering, pagination, resizing, virtualization, schemas, enterprise processing, hierarchy, and page layout remain outside Data Grid.</x:t>
  </x:si>
  <x:si>
    <x:t xml:space="preserve">Tree Grid Evidence</x:t>
  </x:si>
  <x:si>
    <x:t xml:space="preserve">Assertion-level anatomy, hierarchy, navigation, expansion, selection, sorting activation, visual recipes, responsive containment, package, documentation, Consumer, and accessibility evidence.</x:t>
  </x:si>
  <x:si>
    <x:t xml:space="preserve">Brick styles released Atom 0.20.11 TreeGrid behavior without recreating hierarchy, navigation, expansion, selection, focus, or semantics.</x:t>
  </x:si>
  <x:si>
    <x:t xml:space="preserve">../src/components/tree-grid/TreeGrid.tsx; ../package.json</x:t>
  </x:si>
  <x:si>
    <x:t xml:space="preserve">Twelve-part namespace and named exports expose Container, Root, Caption, Header, Body, Footer, Row, ColumnHeader, RowHeader, Cell, Indicator, and SortIndicator.</x:t>
  </x:si>
  <x:si>
    <x:t xml:space="preserve">../test/components/tree-grid/tree-grid.test.tsx</x:t>
  </x:si>
  <x:si>
    <x:t xml:space="preserve">Explicit Container, exact native table hosts, treegrid roles, silent indicators, slots, refs, indexes, and counts render deterministically.</x:t>
  </x:si>
  <x:si>
    <x:t xml:space="preserve">Closed recipes, logical alignment, hierarchy, Atom state, controlled expansion, selection, active cell, sorting action, native props, and refs type-check.</x:t>
  </x:si>
  <x:si>
    <x:t xml:space="preserve">../test/types/components/tree-grid.test.ts</x:t>
  </x:si>
  <x:si>
    <x:t xml:space="preserve">Root and tree-grid subpath exports preserve namespace and named runtime identity.</x:t>
  </x:si>
  <x:si>
    <x:t xml:space="preserve">Root/subpath runtime identity passed in the complete package check on July 28, 2026.</x:t>
  </x:si>
  <x:si>
    <x:t xml:space="preserve">Tree Grid imports server-safely and emits deterministic labelled treegrid, hierarchy, coordinate, and sort anatomy.</x:t>
  </x:si>
  <x:si>
    <x:t xml:space="preserve">Tree Grid SSR anatomy passed in the complete package check on July 28, 2026.</x:t>
  </x:si>
  <x:si>
    <x:t xml:space="preserve">tests/components/tree-grid/behavior.spec.ts</x:t>
  </x:si>
  <x:si>
    <x:t xml:space="preserve">Focused Chromium behavior and visual owners passed on July 28, 2026.</x:t>
  </x:si>
  <x:si>
    <x:t xml:space="preserve">Hierarchy</x:t>
  </x:si>
  <x:si>
    <x:t xml:space="preserve">Row / RowHeader / Indicator</x:t>
  </x:si>
  <x:si>
    <x:t xml:space="preserve">Levels one through ten indent only the column-1 RowHeader; branches and leaves retain stable indicator space and expansion artwork.</x:t>
  </x:si>
  <x:si>
    <x:t xml:space="preserve">tests/components/tree-grid/behavior.spec.ts; @flowstack-ui/atom 0.18.0 behavior suite</x:t>
  </x:si>
  <x:si>
    <x:t xml:space="preserve">Behavior owner passed Chromium, Firefox, WebKit, Pixel 7, and iPhone 15 profiles on July 28, 2026.</x:t>
  </x:si>
  <x:si>
    <x:t xml:space="preserve">Root owns focus and active descendant while visible-cell boundaries, hierarchy movement, RTL, and disabled-cell navigation remain Atom-owned.</x:t>
  </x:si>
  <x:si>
    <x:t xml:space="preserve">Behavior owner and Atom 0.20.11 collapse regression passed on July 28, 2026.</x:t>
  </x:si>
  <x:si>
    <x:t xml:space="preserve">Collapsing a branch that hides the active descendant relocates active state to the ancestor's column-1 cell.</x:t>
  </x:si>
  <x:si>
    <x:t xml:space="preserve">Controlled and uncontrolled selection, row-click policy, Space activation, disabled/read-only boundaries, and expansion remain distinct.</x:t>
  </x:si>
  <x:si>
    <x:t xml:space="preserve">Focused collapse relocation passed in five browser/device profiles on July 28, 2026.</x:t>
  </x:si>
  <x:si>
    <x:t xml:space="preserve">Selection and read-only coverage passed in five browser/device profiles on July 28, 2026.</x:t>
  </x:si>
  <x:si>
    <x:t xml:space="preserve">ColumnHeader / RowHeader / Cell</x:t>
  </x:si>
  <x:si>
    <x:t xml:space="preserve">Pointer and Enter sorting parity passed in five browser/device profiles on July 28, 2026.</x:t>
  </x:si>
  <x:si>
    <x:t xml:space="preserve">Selected, active, expanded, disabled, read-only, actionable, hover, and sorted paint follows Atom attributes without geometry changes.</x:t>
  </x:si>
  <x:si>
    <x:t xml:space="preserve">Explicit horizontal containment preserves hierarchy and columns without page overflow, card conversion, or implicit root scrolling.</x:t>
  </x:si>
  <x:si>
    <x:t xml:space="preserve">State and geometry checks passed in five browser/device profiles on July 28, 2026.</x:t>
  </x:si>
  <x:si>
    <x:t xml:space="preserve">TG-17</x:t>
  </x:si>
  <x:si>
    <x:t xml:space="preserve">Logical hierarchy navigation, indentation, indicator direction, alignment, sorting placement, and overflow remain usable with localized RTL content.</x:t>
  </x:si>
  <x:si>
    <x:t xml:space="preserve">tests/components/tree-grid/visual.spec.ts</x:t>
  </x:si>
  <x:si>
    <x:t xml:space="preserve">Containment and page-overflow checks passed in five browser/device profiles on July 28, 2026.</x:t>
  </x:si>
  <x:si>
    <x:t xml:space="preserve">TG-18</x:t>
  </x:si>
  <x:si>
    <x:t xml:space="preserve">Light and dark badges plus forced-color surfaces preserve clipped boundaries, hierarchy, state distinctions, and focus.</x:t>
  </x:si>
  <x:si>
    <x:t xml:space="preserve">TG-19</x:t>
  </x:si>
  <x:si>
    <x:t xml:space="preserve">Baselines cover overview, variants, sizing, hierarchy, controlled sorting, dark customization, responsive mobile, RTL mobile, and forced colors.</x:t>
  </x:si>
  <x:si>
    <x:t xml:space="preserve">TG-20</x:t>
  </x:si>
  <x:si>
    <x:t xml:space="preserve">Stable classes, slots, public variables, styles, custom indicators, and accent outline clipping preserve behavior and rounded edges.</x:t>
  </x:si>
  <x:si>
    <x:t xml:space="preserve">../test/components/tree-grid/tree-grid.test.tsx; ../docs/components/tree-grid/README.md</x:t>
  </x:si>
  <x:si>
    <x:t xml:space="preserve">TG-21</x:t>
  </x:si>
  <x:si>
    <x:t xml:space="preserve">Name, roles, hierarchy, counts, coordinates, expansion, selection, disabled/read-only, active descendant, sort metadata, and axe checks pass.</x:t>
  </x:si>
  <x:si>
    <x:t xml:space="preserve">Axe and accessibility assertions passed in five browser/device profiles on July 28, 2026.</x:t>
  </x:si>
  <x:si>
    <x:t xml:space="preserve">TG-22</x:t>
  </x:si>
  <x:si>
    <x:t xml:space="preserve">One navigable Tree Grid route exposes nine persistent, controlled scenarios with realistic hierarchical release content.</x:t>
  </x:si>
  <x:si>
    <x:t xml:space="preserve">src/components/tree-grid/TreeGridPage.tsx</x:t>
  </x:si>
  <x:si>
    <x:t xml:space="preserve">TG-23</x:t>
  </x:si>
  <x:si>
    <x:t xml:space="preserve">Guide documents boundary, anatomy, authored coordinates, API, recipes, hierarchy, keyboard, expansion, selection, sorting, containment, accessibility, CSS, and exclusions.</x:t>
  </x:si>
  <x:si>
    <x:t xml:space="preserve">../docs/components/tree-grid/README.md</x:t>
  </x:si>
  <x:si>
    <x:t xml:space="preserve">TG-24</x:t>
  </x:si>
  <x:si>
    <x:t xml:space="preserve">Component and package changelogs describe the release-facing Tree Grid addition.</x:t>
  </x:si>
  <x:si>
    <x:t xml:space="preserve">../docs/components/tree-grid/CHANGELOG.md; ../CHANGELOG.md</x:t>
  </x:si>
  <x:si>
    <x:t xml:space="preserve">TG-25</x:t>
  </x:si>
  <x:si>
    <x:t xml:space="preserve">Packed Consumer composes Tree Grid with controlled hierarchy, sorting and selection plus external Toolbar, Badge metadata, and a details Surface.</x:t>
  </x:si>
  <x:si>
    <x:t xml:space="preserve">Packed Consumer flow passed 76 desktop/mobile checks on July 28, 2026.</x:t>
  </x:si>
  <x:si>
    <x:t xml:space="preserve">TG-26</x:t>
  </x:si>
  <x:si>
    <x:t xml:space="preserve">Owner reviews hierarchy keyboard, collapse focus, screen reader, zoom, touch, RTL, appearances, preferences, rounded clipping, and component boundaries.</x:t>
  </x:si>
  <x:si>
    <x:t xml:space="preserve">manual-tests/tree-grid.md</x:t>
  </x:si>
  <x:si>
    <x:t xml:space="preserve">TG-27</x:t>
  </x:si>
  <x:si>
    <x:t xml:space="preserve">Build, declarations, exports, SSR, CSS, docs, tarball, clean React consumers, focused browser/device matrix, and Consumer pass.</x:t>
  </x:si>
  <x:si>
    <x:t xml:space="preserve">Complete package check, CSS size report, tarball, React 18/19, five-profile Tree Grid browser owner, and packed Consumer passed locally on July 28, 2026.</x:t>
  </x:si>
  <x:si>
    <x:t xml:space="preserve">TG-28</x:t>
  </x:si>
  <x:si>
    <x:t xml:space="preserve">Editing, interactive cells, filtering, pagination, resizing, reordering, virtualization, schemas, enterprise processing, and spreadsheet behavior remain outside Tree Grid.</x:t>
  </x:si>
  <x:si>
    <x:t xml:space="preserve">Tree Evidence</x:t>
  </x:si>
  <x:si>
    <x:t xml:space="preserve">Assertion-level anatomy, focus, navigation, selection, expansion, visual recipes, hierarchy guides, responsive direction, package, documentation, Consumer, and accessibility evidence.</x:t>
  </x:si>
  <x:si>
    <x:t xml:space="preserve">TR-01</x:t>
  </x:si>
  <x:si>
    <x:t xml:space="preserve">Brick styles released Atom 0.20.11 Tree behavior without recreating focus, navigation, selection, expansion, typeahead, forms, or semantics.</x:t>
  </x:si>
  <x:si>
    <x:t xml:space="preserve">../src/components/tree/Tree.tsx; ../package.json</x:t>
  </x:si>
  <x:si>
    <x:t xml:space="preserve">TR-02</x:t>
  </x:si>
  <x:si>
    <x:t xml:space="preserve">Six-part namespace and named exports expose Root, Item, ItemContent, Indicator, ItemText, and Group.</x:t>
  </x:si>
  <x:si>
    <x:t xml:space="preserve">../test/components/tree/tree.test.tsx</x:t>
  </x:si>
  <x:si>
    <x:t xml:space="preserve">TR-03</x:t>
  </x:si>
  <x:si>
    <x:t xml:space="preserve">Atom-backed semantic parts and Brick-owned content-row and indicator hosts, roles, slots, state attributes, and refs render deterministically.</x:t>
  </x:si>
  <x:si>
    <x:t xml:space="preserve">TR-04</x:t>
  </x:si>
  <x:si>
    <x:t xml:space="preserve">Closed recipes, vertical-only omission, Atom selection and expansion props, native props, and refs type-check.</x:t>
  </x:si>
  <x:si>
    <x:t xml:space="preserve">../test/types/components/tree.test.ts</x:t>
  </x:si>
  <x:si>
    <x:t xml:space="preserve">TR-05</x:t>
  </x:si>
  <x:si>
    <x:t xml:space="preserve">Root and tree subpath exports preserve namespace and named runtime identity.</x:t>
  </x:si>
  <x:si>
    <x:t xml:space="preserve">TR-06</x:t>
  </x:si>
  <x:si>
    <x:t xml:space="preserve">Tree imports server-safely and emits deterministic labelled tree, item, text, indicator, and group anatomy.</x:t>
  </x:si>
  <x:si>
    <x:t xml:space="preserve">TR-07</x:t>
  </x:si>
  <x:si>
    <x:t xml:space="preserve">Defaults are plain, medium, guides off, vertical orientation, and bounded navigation.</x:t>
  </x:si>
  <x:si>
    <x:t xml:space="preserve">../test/components/tree/tree.test.tsx; tests/components/tree/behavior.spec.ts</x:t>
  </x:si>
  <x:si>
    <x:t xml:space="preserve">TR-08</x:t>
  </x:si>
  <x:si>
    <x:t xml:space="preserve">Plain, soft, and outline variants remain independent from sm/md size and optional hierarchy guides.</x:t>
  </x:si>
  <x:si>
    <x:t xml:space="preserve">tests/components/tree/behavior.spec.ts</x:t>
  </x:si>
  <x:si>
    <x:t xml:space="preserve">TR-09</x:t>
  </x:si>
  <x:si>
    <x:t xml:space="preserve">Focus</x:t>
  </x:si>
  <x:si>
    <x:t xml:space="preserve">Initial focus activates the first visible selected item, then the first enabled visible item; focus remains distinct from selection.</x:t>
  </x:si>
  <x:si>
    <x:t xml:space="preserve">tests/components/tree/behavior.spec.ts; @flowstack-ui/atom 0.17.1 behavior suite</x:t>
  </x:si>
  <x:si>
    <x:t xml:space="preserve">TR-10</x:t>
  </x:si>
  <x:si>
    <x:t xml:space="preserve">Arrow keys, Home/End, bounded default movement, opt-in loop, typeahead, disabled skipping, and logical expansion remain Atom-owned.</x:t>
  </x:si>
  <x:si>
    <x:t xml:space="preserve">TR-11</x:t>
  </x:si>
  <x:si>
    <x:t xml:space="preserve">Controlled/uncontrolled single and multiple selection, activation, and disabled/read-only boundaries remain Atom-owned.</x:t>
  </x:si>
  <x:si>
    <x:t xml:space="preserve">TR-12</x:t>
  </x:si>
  <x:si>
    <x:t xml:space="preserve">Expansion</x:t>
  </x:si>
  <x:si>
    <x:t xml:space="preserve">Item / Group / Indicator</x:t>
  </x:si>
  <x:si>
    <x:t xml:space="preserve">Controlled/uncontrolled expansion keeps Group lifecycle and aria-expanded in Atom while Indicator follows expansion visually.</x:t>
  </x:si>
  <x:si>
    <x:t xml:space="preserve">TR-13</x:t>
  </x:si>
  <x:si>
    <x:t xml:space="preserve">ItemContent</x:t>
  </x:si>
  <x:si>
    <x:t xml:space="preserve">Hover, active focus, selected, expanded, and disabled paint follows Atom attributes without painting Group descendants or changing geometry.</x:t>
  </x:si>
  <x:si>
    <x:t xml:space="preserve">TR-14</x:t>
  </x:si>
  <x:si>
    <x:t xml:space="preserve">Root / ItemContent</x:t>
  </x:si>
  <x:si>
    <x:t xml:space="preserve">Inline containment and wrapping preserve indicators, metadata, indentation, and focus without page overflow at 320 CSS px.</x:t>
  </x:si>
  <x:si>
    <x:t xml:space="preserve">TR-15</x:t>
  </x:si>
  <x:si>
    <x:t xml:space="preserve">Logical indentation, hierarchy guides, trailing metadata, and closed chevrons mirror while expanded chevrons remain downward.</x:t>
  </x:si>
  <x:si>
    <x:t xml:space="preserve">tests/components/tree/visual.spec.ts</x:t>
  </x:si>
  <x:si>
    <x:t xml:space="preserve">TR-16</x:t>
  </x:si>
  <x:si>
    <x:t xml:space="preserve">Light, dark, and forced-color surfaces preserve hierarchy boundaries, focus, selection, and disabled distinctions.</x:t>
  </x:si>
  <x:si>
    <x:t xml:space="preserve">TR-17</x:t>
  </x:si>
  <x:si>
    <x:t xml:space="preserve">Baselines cover overview, variants, sizing and guides, selection, dark customization, responsive mobile, RTL mobile, and forced colors.</x:t>
  </x:si>
  <x:si>
    <x:t xml:space="preserve">TR-18</x:t>
  </x:si>
  <x:si>
    <x:t xml:space="preserve">Stable classes, slots, public variables, native props, custom row content, and custom decorative indicator content preserve behavior.</x:t>
  </x:si>
  <x:si>
    <x:t xml:space="preserve">../test/components/tree/tree.test.tsx; ../docs/components/tree/README.md</x:t>
  </x:si>
  <x:si>
    <x:t xml:space="preserve">TR-19</x:t>
  </x:si>
  <x:si>
    <x:t xml:space="preserve">Accessible naming, roles, levels, selection, expansion, disabled state, active descendant, silent decoration, and axe checks pass.</x:t>
  </x:si>
  <x:si>
    <x:t xml:space="preserve">TR-20</x:t>
  </x:si>
  <x:si>
    <x:t xml:space="preserve">One navigable Tree route exposes eight persistent, controlled scenarios with realistic hierarchical content.</x:t>
  </x:si>
  <x:si>
    <x:t xml:space="preserve">src/components/tree/TreePage.tsx</x:t>
  </x:si>
  <x:si>
    <x:t xml:space="preserve">TR-21</x:t>
  </x:si>
  <x:si>
    <x:t xml:space="preserve">Guide documents boundary, anatomy, API, recipes, keyboard, selection, expansion, responsive behavior, accessibility, CSS, and exclusions.</x:t>
  </x:si>
  <x:si>
    <x:t xml:space="preserve">../docs/components/tree/README.md</x:t>
  </x:si>
  <x:si>
    <x:t xml:space="preserve">TR-22</x:t>
  </x:si>
  <x:si>
    <x:t xml:space="preserve">Component and package changelogs describe the release-facing Tree addition.</x:t>
  </x:si>
  <x:si>
    <x:t xml:space="preserve">../docs/components/tree/CHANGELOG.md; ../CHANGELOG.md</x:t>
  </x:si>
  <x:si>
    <x:t xml:space="preserve">TR-23</x:t>
  </x:si>
  <x:si>
    <x:t xml:space="preserve">Packed Consumer composes Tree with selection, expansion, guides, metadata Badge, and public subpath imports.</x:t>
  </x:si>
  <x:si>
    <x:t xml:space="preserve">TR-24</x:t>
  </x:si>
  <x:si>
    <x:t xml:space="preserve">Owner reviews keyboard, screen reader, zoom, touch, RTL, appearance, preferences, content stress, and component boundaries.</x:t>
  </x:si>
  <x:si>
    <x:t xml:space="preserve">manual-tests/tree.md</x:t>
  </x:si>
  <x:si>
    <x:t xml:space="preserve">TR-25</x:t>
  </x:si>
  <x:si>
    <x:t xml:space="preserve">TR-26</x:t>
  </x:si>
  <x:si>
    <x:t xml:space="preserve">Tree Grid, loading, filtering, links, checking, rename, drag/drop, virtualization, context menus, routing, persistence, and interactive descendants remain outside Tree.</x:t>
  </x:si>
  <x:si>
    <x:t xml:space="preserve">Feed Evidence</x:t>
  </x:si>
  <x:si>
    <x:t xml:space="preserve">Assertion-level Atom ownership, direct anatomy, dynamic positions, keyboard focus, recipes, accessibility, package, Consumer, playground, visual, and manual evidence.</x:t>
  </x:si>
  <x:si>
    <x:t xml:space="preserve">FD-01</x:t>
  </x:si>
  <x:si>
    <x:t xml:space="preserve">Atom ownership</x:t>
  </x:si>
  <x:si>
    <x:t xml:space="preserve">Brick styles and forwards the released Atom Feed contract; Atom 0.20.11 owns roles, dynamic metadata, Page Up/Down movement, focus handoff, and the nearest-item reveal correction.</x:t>
  </x:si>
  <x:si>
    <x:t xml:space="preserve">../src/components/feed/Feed.tsx; @flowstack-ui/atom 0.19.8</x:t>
  </x:si>
  <x:si>
    <x:t xml:space="preserve">Released Atom package and Brick adapter audit pass.</x:t>
  </x:si>
  <x:si>
    <x:t xml:space="preserve">FD-02</x:t>
  </x:si>
  <x:si>
    <x:t xml:space="preserve">The public namespace contains exactly Root and Item, with no Brick-owned loading, list, virtualizer, selection, or item-content schema.</x:t>
  </x:si>
  <x:si>
    <x:t xml:space="preserve">../test/components/feed/feed.test.tsx; ../docs/components/feed/README.md</x:t>
  </x:si>
  <x:si>
    <x:t xml:space="preserve">Closed namespace and exclusion assertions pass.</x:t>
  </x:si>
  <x:si>
    <x:t xml:space="preserve">FD-03</x:t>
  </x:si>
  <x:si>
    <x:t xml:space="preserve">Root directly contains focusable Item article hosts without a Brick wrapper, cloned child, or invented internal content element.</x:t>
  </x:si>
  <x:si>
    <x:t xml:space="preserve">../test/components/feed/feed.test.tsx; tests/components/feed/behavior.spec.ts</x:t>
  </x:si>
  <x:si>
    <x:t xml:space="preserve">Direct-child and rendered anatomy assertions pass.</x:t>
  </x:si>
  <x:si>
    <x:t xml:space="preserve">FD-04</x:t>
  </x:si>
  <x:si>
    <x:t xml:space="preserve">Root semantics</x:t>
  </x:si>
  <x:si>
    <x:t xml:space="preserve">The native div exposes role feed, accessible naming, aria-busy only while busy, and an optional known or unknown set size without inventing live-region behavior.</x:t>
  </x:si>
  <x:si>
    <x:t xml:space="preserve">tests/components/feed/behavior.spec.ts; @flowstack-ui/atom 0.19.8 behavior suite</x:t>
  </x:si>
  <x:si>
    <x:t xml:space="preserve">Semantic and dynamic metadata assertions pass in five projects.</x:t>
  </x:si>
  <x:si>
    <x:t xml:space="preserve">FD-05</x:t>
  </x:si>
  <x:si>
    <x:t xml:space="preserve">Item semantics</x:t>
  </x:si>
  <x:si>
    <x:t xml:space="preserve">Each direct article is programmatically named, receives a one-based position and optional known set size, remains focusable, and preserves nested interactive descendants.</x:t>
  </x:si>
  <x:si>
    <x:t xml:space="preserve">Article relationships and descendant-interaction assertions pass.</x:t>
  </x:si>
  <x:si>
    <x:t xml:space="preserve">FD-06</x:t>
  </x:si>
  <x:si>
    <x:t xml:space="preserve">Dynamic positions</x:t>
  </x:si>
  <x:si>
    <x:t xml:space="preserve">Application-owned prepend, append, remove, busy, known-size, and unknown-size updates keep every surviving Item position and Root size coherent.</x:t>
  </x:si>
  <x:si>
    <x:t xml:space="preserve">tests/components/feed/behavior.spec.ts</x:t>
  </x:si>
  <x:si>
    <x:t xml:space="preserve">Mutation and metadata assertions pass in all configured projects.</x:t>
  </x:si>
  <x:si>
    <x:t xml:space="preserve">FD-07</x:t>
  </x:si>
  <x:si>
    <x:t xml:space="preserve">Page Down and Page Up move between adjacent Item articles only while an Item or its descendant is the event target.</x:t>
  </x:si>
  <x:si>
    <x:t xml:space="preserve">Forward, backward, and descendant-origin movement assertions pass.</x:t>
  </x:si>
  <x:si>
    <x:t xml:space="preserve">FD-08</x:t>
  </x:si>
  <x:si>
    <x:t xml:space="preserve">Focus boundary</x:t>
  </x:si>
  <x:si>
    <x:t xml:space="preserve">Movement beyond the first or last Item transfers focus to the nearest focusable control outside the Feed instead of trapping focus.</x:t>
  </x:si>
  <x:si>
    <x:t xml:space="preserve">Before-feed and after-feed focus handoff assertions pass.</x:t>
  </x:si>
  <x:si>
    <x:t xml:space="preserve">FD-09</x:t>
  </x:si>
  <x:si>
    <x:t xml:space="preserve">Reveal</x:t>
  </x:si>
  <x:si>
    <x:t xml:space="preserve">Keyboard movement focuses the destination Item and scrolls it into the nearest visible position inside a bounded Scroll Area.</x:t>
  </x:si>
  <x:si>
    <x:t xml:space="preserve">Offscreen destination reveal passes in Chromium, Firefox, and WebKit.</x:t>
  </x:si>
  <x:si>
    <x:t xml:space="preserve">FD-10</x:t>
  </x:si>
  <x:si>
    <x:t xml:space="preserve">Event ownership</x:t>
  </x:si>
  <x:si>
    <x:t xml:space="preserve">A consumer onKeyDown handler can prevent the Atom Page-key movement before the default focus change occurs.</x:t>
  </x:si>
  <x:si>
    <x:t xml:space="preserve">Consumer prevention assertion passes in five projects.</x:t>
  </x:si>
  <x:si>
    <x:t xml:space="preserve">FD-11</x:t>
  </x:si>
  <x:si>
    <x:t xml:space="preserve">Root and feed subpath exports expose Feed, FeedRootProps, FeedItemProps, FeedVariant, and FeedDensity with identical runtime identity.</x:t>
  </x:si>
  <x:si>
    <x:t xml:space="preserve">../test/package/package.test.mjs; ../package.json</x:t>
  </x:si>
  <x:si>
    <x:t xml:space="preserve">Root, subpath, declaration, and clean-consumer export checks pass.</x:t>
  </x:si>
  <x:si>
    <x:t xml:space="preserve">FD-12</x:t>
  </x:si>
  <x:si>
    <x:t xml:space="preserve">Atom Root and Item props, refs, render/asChild composition, native events, aria/data attributes, closed variant and density recipes, className, and style type-check.</x:t>
  </x:si>
  <x:si>
    <x:t xml:space="preserve">../test/types/components/feed.test.ts</x:t>
  </x:si>
  <x:si>
    <x:t xml:space="preserve">Positive and negative public-surface type checks pass.</x:t>
  </x:si>
  <x:si>
    <x:t xml:space="preserve">FD-13</x:t>
  </x:si>
  <x:si>
    <x:t xml:space="preserve">Feed imports server-safely and emits deterministic direct role feed and article anatomy without browser reads during render.</x:t>
  </x:si>
  <x:si>
    <x:t xml:space="preserve">SSR and clean React 18/19 consumer checks pass.</x:t>
  </x:si>
  <x:si>
    <x:t xml:space="preserve">FD-14</x:t>
  </x:si>
  <x:si>
    <x:t xml:space="preserve">Production CSS ships the documented variables, logical layout, divided separators, outline item boundaries, preference fallbacks, and no undeclared global selector.</x:t>
  </x:si>
  <x:si>
    <x:t xml:space="preserve">../src/components/feed/feed.css; ../scripts/build-styles.mjs</x:t>
  </x:si>
  <x:si>
    <x:t xml:space="preserve">Production CSS, prototype, package, and semantic documentation checks pass.</x:t>
  </x:si>
  <x:si>
    <x:t xml:space="preserve">FD-15</x:t>
  </x:si>
  <x:si>
    <x:t xml:space="preserve">Plain, divided, and outline recipes change only article separation and neutral surface treatment; each outline Item owns its rounded background and border.</x:t>
  </x:si>
  <x:si>
    <x:t xml:space="preserve">tests/components/feed/behavior.spec.ts; tests/components/feed/visual.spec.ts</x:t>
  </x:si>
  <x:si>
    <x:t xml:space="preserve">Recipe geometry and rounded containment baselines pass.</x:t>
  </x:si>
  <x:si>
    <x:t xml:space="preserve">FD-16</x:t>
  </x:si>
  <x:si>
    <x:t xml:space="preserve">Density</x:t>
  </x:si>
  <x:si>
    <x:t xml:space="preserve">Compact and comfortable recipes change only coordinated gaps and logical Item padding while preserving semantics and action geometry.</x:t>
  </x:si>
  <x:si>
    <x:t xml:space="preserve">Density comparison and baseline pass.</x:t>
  </x:si>
  <x:si>
    <x:t xml:space="preserve">FD-17</x:t>
  </x:si>
  <x:si>
    <x:t xml:space="preserve">Focus paint</x:t>
  </x:si>
  <x:si>
    <x:t xml:space="preserve">Item / descendants</x:t>
  </x:si>
  <x:si>
    <x:t xml:space="preserve">Focus-visible paint belongs only to the focused Item; focusing a nested link or button paints that descendant without adding an Item outline.</x:t>
  </x:si>
  <x:si>
    <x:t xml:space="preserve">Item and descendant focus baselines and computed-style assertions pass.</x:t>
  </x:si>
  <x:si>
    <x:t xml:space="preserve">FD-18</x:t>
  </x:si>
  <x:si>
    <x:t xml:space="preserve">Native composition</x:t>
  </x:si>
  <x:si>
    <x:t xml:space="preserve">Classes merge Brick first, public slots remain stable, and className, style, native events, aria/data attributes, children, refs, render, and asChild target the public hosts.</x:t>
  </x:si>
  <x:si>
    <x:t xml:space="preserve">Component and browser composition assertions pass.</x:t>
  </x:si>
  <x:si>
    <x:t xml:space="preserve">FD-19</x:t>
  </x:si>
  <x:si>
    <x:t xml:space="preserve">Rich content</x:t>
  </x:si>
  <x:si>
    <x:t xml:space="preserve">Item children</x:t>
  </x:si>
  <x:si>
    <x:t xml:space="preserve">Badges, headings, metadata, links, buttons, and arbitrary authored article content remain ordinary children and keep their own semantics and interaction.</x:t>
  </x:si>
  <x:si>
    <x:t xml:space="preserve">tests/components/feed/behavior.spec.ts; src/components/feed/FeedPage.tsx</x:t>
  </x:si>
  <x:si>
    <x:t xml:space="preserve">Nested-content interaction and accessibility assertions pass.</x:t>
  </x:si>
  <x:si>
    <x:t xml:space="preserve">FD-20</x:t>
  </x:si>
  <x:si>
    <x:t xml:space="preserve">Full-width and 320px-constrained streams wrap long localized headings, metadata, summaries, and actions without horizontal component overflow.</x:t>
  </x:si>
  <x:si>
    <x:t xml:space="preserve">Narrow containment passes in desktop and mobile projects.</x:t>
  </x:si>
  <x:si>
    <x:t xml:space="preserve">FD-21</x:t>
  </x:si>
  <x:si>
    <x:t xml:space="preserve">Logical padding, metadata, actions, separators, and outline radii visibly follow genuine Arabic page direction without reversing article order or introducing overflow.</x:t>
  </x:si>
  <x:si>
    <x:t xml:space="preserve">RTL direction, placement, and mobile baseline assertions pass.</x:t>
  </x:si>
  <x:si>
    <x:t xml:space="preserve">FD-22</x:t>
  </x:si>
  <x:si>
    <x:t xml:space="preserve">Appearance and preferences</x:t>
  </x:si>
  <x:si>
    <x:t xml:space="preserve">Separate light and dark scopes, forced colors, and reduced motion retain boundaries, focus visibility, readable content, and no color-only state distinction.</x:t>
  </x:si>
  <x:si>
    <x:t xml:space="preserve">Appearance and forced-color evidence passes.</x:t>
  </x:si>
  <x:si>
    <x:t xml:space="preserve">FD-23</x:t>
  </x:si>
  <x:si>
    <x:t xml:space="preserve">Documented Feed variables recolor backgrounds, borders, dividers, focus, radius, inset, and spacing while preserving rounded ownership and Atom behavior.</x:t>
  </x:si>
  <x:si>
    <x:t xml:space="preserve">../test/components/feed/feed.test.tsx; ../docs/components/feed/README.md; tests/components/feed/behavior.spec.ts</x:t>
  </x:si>
  <x:si>
    <x:t xml:space="preserve">Customization hooks and rounded-boundary assertions pass.</x:t>
  </x:si>
  <x:si>
    <x:t xml:space="preserve">FD-24</x:t>
  </x:si>
  <x:si>
    <x:t xml:space="preserve">Accessible Feed and Item names, direct article structure, dynamic positions, focus order, keyboard movement, descendant controls, forced-color focus, and focused axe checks pass.</x:t>
  </x:si>
  <x:si>
    <x:t xml:space="preserve">Semantic and axe assertions pass across the focused five-project matrix.</x:t>
  </x:si>
  <x:si>
    <x:t xml:space="preserve">FD-25</x:t>
  </x:si>
  <x:si>
    <x:t xml:space="preserve">One route exposes ten ordered, independently padded scenarios with compact badges, titles/descriptions, dynamic state, keyboard, appearance, customization, responsive, and genuine RTL evidence.</x:t>
  </x:si>
  <x:si>
    <x:t xml:space="preserve">src/components/feed/FeedPage.tsx; ../scripts/verify-component-tests.mjs</x:t>
  </x:si>
  <x:si>
    <x:t xml:space="preserve">Ownership, route, primitive, composition, and focused browser checks pass.</x:t>
  </x:si>
  <x:si>
    <x:t xml:space="preserve">FD-26</x:t>
  </x:si>
  <x:si>
    <x:t xml:space="preserve">Visual baselines</x:t>
  </x:si>
  <x:si>
    <x:t xml:space="preserve">Reviewed baselines cover defaults, variants, density, Item focus, descendant focus, busy state, appearance, customization, mobile RTL, and forced colors.</x:t>
  </x:si>
  <x:si>
    <x:t xml:space="preserve">tests/components/feed/visual.spec.ts; tests/components/feed/visual.spec.ts-snapshots</x:t>
  </x:si>
  <x:si>
    <x:t xml:space="preserve">Agent inspected all ten Feed-owned Chromium baselines on July 29, 2026.</x:t>
  </x:si>
  <x:si>
    <x:t xml:space="preserve">FD-27</x:t>
  </x:si>
  <x:si>
    <x:t xml:space="preserve">Public guide / changelog</x:t>
  </x:si>
  <x:si>
    <x:t xml:space="preserve">The guide documents role, exclusions, anatomy, API, dynamic metadata, keyboard/focus, constraints, recipes, accessibility, customization, refs, examples, and evidence; changelogs record the addition.</x:t>
  </x:si>
  <x:si>
    <x:t xml:space="preserve">../docs/components/feed/README.md; ../docs/components/feed/CHANGELOG.md; ../CHANGELOG.md</x:t>
  </x:si>
  <x:si>
    <x:t xml:space="preserve">Structural, semantic, index, and changelog verification passes.</x:t>
  </x:si>
  <x:si>
    <x:t xml:space="preserve">FD-28</x:t>
  </x:si>
  <x:si>
    <x:t xml:space="preserve">The packed Consumer imports Feed from its public subpath and composes a realistic application-owned activity stream with local item actions and append behavior.</x:t>
  </x:si>
  <x:si>
    <x:t xml:space="preserve">Desktop/mobile Consumer suite and packed artifact verification pass.</x:t>
  </x:si>
  <x:si>
    <x:t xml:space="preserve">FD-29</x:t>
  </x:si>
  <x:si>
    <x:t xml:space="preserve">A tester completes the numbered desktop/mobile, keyboard, scroll reveal, focus handoff, nested-action, dynamic-update, zoom, appearance, preferences, RTL, and assistive-technology protocol.</x:t>
  </x:si>
  <x:si>
    <x:t xml:space="preserve">human</x:t>
  </x:si>
  <x:si>
    <x:t xml:space="preserve">manual-tests/feed.md</x:t>
  </x:si>
  <x:si>
    <x:t xml:space="preserve">Human manual run intentionally remains the sole component gate.</x:t>
  </x:si>
  <x:si>
    <x:t xml:space="preserve">FD-30</x:t>
  </x:si>
  <x:si>
    <x:t xml:space="preserve">Build, declarations, exports, SSR, CSS, docs, tarball, exact Atom 0.20.11, clean React 18/19 consumers, focused five-project browsers, reviewed visuals, and packed Consumer pass.</x:t>
  </x:si>
  <x:si>
    <x:t xml:space="preserve">../scripts/verify-package.mjs; ../scripts/verify-consumers.mjs; ../scripts/verify-app-consumer.mjs</x:t>
  </x:si>
  <x:si>
    <x:t xml:space="preserve">Complete non-browser gate, 905-file pack check, 20 focused browser tests, 10 visual baselines, 90 Consumer tests, and packed verification pass.</x:t>
  </x:si>
  <x:si>
    <x:t xml:space="preserve">FD-31</x:t>
  </x:si>
  <x:si>
    <x:t xml:space="preserve">Fetching, loading triggers, infinite-scroll observation, virtualization, ranking, filtering, selection, unread state, timestamps, moderation, persistence, and whole-row links remain application-owned.</x:t>
  </x:si>
  <x:si>
    <x:t xml:space="preserve">../docs/components/feed/README.md</x:t>
  </x:si>
  <x:si>
    <x:t xml:space="preserve">Public boundary and exclusions are documented and verified.</x:t>
  </x:si>
  <x:si>
    <x:t xml:space="preserve">Aspect Ratio Evidence</x:t>
  </x:si>
  <x:si>
    <x:t xml:space="preserve">Assertion-level Atom ownership, one-part anatomy, numeric geometry, framing recipes, composition, responsive containment, package, documentation, Consumer, and accessibility evidence.</x:t>
  </x:si>
  <x:si>
    <x:t xml:space="preserve">AR-01</x:t>
  </x:si>
  <x:si>
    <x:t xml:space="preserve">Brick styles released Atom 0.20.11 AspectRatio geometry without recreating normalization, native CSS sizing, refs, or composition.</x:t>
  </x:si>
  <x:si>
    <x:t xml:space="preserve">../src/components/aspect-ratio/AspectRatio.tsx; ../package.json</x:t>
  </x:si>
  <x:si>
    <x:t xml:space="preserve">Exact Atom boundary is covered by source and component tests.</x:t>
  </x:si>
  <x:si>
    <x:t xml:space="preserve">AR-02</x:t>
  </x:si>
  <x:si>
    <x:t xml:space="preserve">Root namespace and named exports expose AspectRatioRoot plus variant, radius, overflow, and props types.</x:t>
  </x:si>
  <x:si>
    <x:t xml:space="preserve">../test/components/aspect-ratio/aspect-ratio.test.tsx</x:t>
  </x:si>
  <x:si>
    <x:t xml:space="preserve">AR-03</x:t>
  </x:si>
  <x:si>
    <x:t xml:space="preserve">One default div, no Content wrapper, HTMLDivElement ref, Brick class, Atom slot, and recipe attributes render deterministically.</x:t>
  </x:si>
  <x:si>
    <x:t xml:space="preserve">AR-04</x:t>
  </x:si>
  <x:si>
    <x:t xml:space="preserve">Closed visual unions, numeric-only ratio, native props, refs, asChild, render, and rejected responsive values type-check.</x:t>
  </x:si>
  <x:si>
    <x:t xml:space="preserve">../test/types/components/aspect-ratio.test.ts</x:t>
  </x:si>
  <x:si>
    <x:t xml:space="preserve">AR-05</x:t>
  </x:si>
  <x:si>
    <x:t xml:space="preserve">Root and aspect-ratio subpath exports preserve namespace and named runtime identity.</x:t>
  </x:si>
  <x:si>
    <x:t xml:space="preserve">AR-06</x:t>
  </x:si>
  <x:si>
    <x:t xml:space="preserve">Aspect Ratio imports server-safely and emits deterministic layout-only anatomy with child semantics intact.</x:t>
  </x:si>
  <x:si>
    <x:t xml:space="preserve">AR-07</x:t>
  </x:si>
  <x:si>
    <x:t xml:space="preserve">Default 16:9, positive numeric ratios, and invalid-value normalization remain Atom-owned and browser-accurate.</x:t>
  </x:si>
  <x:si>
    <x:t xml:space="preserve">tests/components/aspect-ratio/behavior.spec.ts; @flowstack-ui/atom 0.18.0</x:t>
  </x:si>
  <x:si>
    <x:t xml:space="preserve">AR-08</x:t>
  </x:si>
  <x:si>
    <x:t xml:space="preserve">Plain, subtle, and outline change frame paint only without geometry, content, or semantic drift.</x:t>
  </x:si>
  <x:si>
    <x:t xml:space="preserve">tests/components/aspect-ratio/behavior.spec.ts</x:t>
  </x:si>
  <x:si>
    <x:t xml:space="preserve">AR-09</x:t>
  </x:si>
  <x:si>
    <x:t xml:space="preserve">Radius</x:t>
  </x:si>
  <x:si>
    <x:t xml:space="preserve">None, sm, md, lg, and full change only corner geometry with five distinct computed results.</x:t>
  </x:si>
  <x:si>
    <x:t xml:space="preserve">AR-10</x:t>
  </x:si>
  <x:si>
    <x:t xml:space="preserve">Overflow</x:t>
  </x:si>
  <x:si>
    <x:t xml:space="preserve">Hidden clips authored edges and visible permits overflow without changing the ratio box size.</x:t>
  </x:si>
  <x:si>
    <x:t xml:space="preserve">AR-11</x:t>
  </x:si>
  <x:si>
    <x:t xml:space="preserve">Children</x:t>
  </x:si>
  <x:si>
    <x:t xml:space="preserve">Aspect Ratio does not stretch or position children; Image-like media, iframe, Skeleton, and passive layout retain ownership.</x:t>
  </x:si>
  <x:si>
    <x:t xml:space="preserve">AR-12</x:t>
  </x:si>
  <x:si>
    <x:t xml:space="preserve">Native attributes, events, class, style, custom slot, ref, asChild, and render remain supported without recipe leakage.</x:t>
  </x:si>
  <x:si>
    <x:t xml:space="preserve">AR-13</x:t>
  </x:si>
  <x:si>
    <x:t xml:space="preserve">Root / children</x:t>
  </x:si>
  <x:si>
    <x:t xml:space="preserve">Root adds no role, name, focus, state, or announcement while child image and iframe naming remains authoritative.</x:t>
  </x:si>
  <x:si>
    <x:t xml:space="preserve">AR-14</x:t>
  </x:si>
  <x:si>
    <x:t xml:space="preserve">Authored semantics, focusable descendants, narrow containment, and the component-owned axe scan pass.</x:t>
  </x:si>
  <x:si>
    <x:t xml:space="preserve">AR-15</x:t>
  </x:si>
  <x:si>
    <x:t xml:space="preserve">At narrow widths Root remains inline-contained and every ratio preserves its width-to-height geometry.</x:t>
  </x:si>
  <x:si>
    <x:t xml:space="preserve">AR-16</x:t>
  </x:si>
  <x:si>
    <x:t xml:space="preserve">Direction-neutral geometry matches LTR while localized Arabic child content retains RTL direction.</x:t>
  </x:si>
  <x:si>
    <x:t xml:space="preserve">tests/components/aspect-ratio/visual.spec.ts</x:t>
  </x:si>
  <x:si>
    <x:t xml:space="preserve">Automated geometry passes; owner visual judgment remains open.</x:t>
  </x:si>
  <x:si>
    <x:t xml:space="preserve">AR-17</x:t>
  </x:si>
  <x:si>
    <x:t xml:space="preserve">Light and dark badge scopes preserve neutral framing and the customized accent specimen remains legible.</x:t>
  </x:si>
  <x:si>
    <x:t xml:space="preserve">Owner appearance review remains open.</x:t>
  </x:si>
  <x:si>
    <x:t xml:space="preserve">AR-18</x:t>
  </x:si>
  <x:si>
    <x:t xml:space="preserve">Forced colors preserves outline boundaries and reduced motion adds no component animation.</x:t>
  </x:si>
  <x:si>
    <x:t xml:space="preserve">tests/components/aspect-ratio/visual.spec.ts; manual-tests/aspect-ratio.md</x:t>
  </x:si>
  <x:si>
    <x:t xml:space="preserve">Automated forced-color baseline exists; complete human preference review remains open.</x:t>
  </x:si>
  <x:si>
    <x:t xml:space="preserve">AR-19</x:t>
  </x:si>
  <x:si>
    <x:t xml:space="preserve">Five public variables, class, slot, recipe attributes, and consumer style customize framing without overriding Atom ratio authority.</x:t>
  </x:si>
  <x:si>
    <x:t xml:space="preserve">../test/components/aspect-ratio/aspect-ratio.test.tsx; ../docs/components/aspect-ratio/README.md</x:t>
  </x:si>
  <x:si>
    <x:t xml:space="preserve">AR-20</x:t>
  </x:si>
  <x:si>
    <x:t xml:space="preserve">One navigable Aspect Ratio route exposes nine deterministic scenarios with distinct real content and controlled comparisons.</x:t>
  </x:si>
  <x:si>
    <x:t xml:space="preserve">src/components/aspect-ratio/AspectRatioPage.tsx</x:t>
  </x:si>
  <x:si>
    <x:t xml:space="preserve">AR-21</x:t>
  </x:si>
  <x:si>
    <x:t xml:space="preserve">Guide documents role, boundaries, anatomy, API, sizing caveat, recipes, semantics, composition, CSS, customization, and exclusions.</x:t>
  </x:si>
  <x:si>
    <x:t xml:space="preserve">../docs/components/aspect-ratio/README.md</x:t>
  </x:si>
  <x:si>
    <x:t xml:space="preserve">AR-22</x:t>
  </x:si>
  <x:si>
    <x:t xml:space="preserve">Component and package changelogs describe the release-facing AspectRatio addition.</x:t>
  </x:si>
  <x:si>
    <x:t xml:space="preserve">../docs/components/aspect-ratio/CHANGELOG.md; ../CHANGELOG.md</x:t>
  </x:si>
  <x:si>
    <x:t xml:space="preserve">AR-23</x:t>
  </x:si>
  <x:si>
    <x:t xml:space="preserve">Packed Consumer composes Aspect Ratio from its public subpath with Badge/Text metadata inside a realistic project Card.</x:t>
  </x:si>
  <x:si>
    <x:t xml:space="preserve">2026-07-28</x:t>
  </x:si>
  <x:si>
    <x:t xml:space="preserve">Tested through the packed public subpath in the real Consumer on desktop and mobile Chromium.</x:t>
  </x:si>
  <x:si>
    <x:t xml:space="preserve">AR-24</x:t>
  </x:si>
  <x:si>
    <x:t xml:space="preserve">Baselines cover overview, ratios, variants, radii, content, dark customization, mobile RTL, and forced colors.</x:t>
  </x:si>
  <x:si>
    <x:t xml:space="preserve">Owner baseline review remains open.</x:t>
  </x:si>
  <x:si>
    <x:t xml:space="preserve">AR-25</x:t>
  </x:si>
  <x:si>
    <x:t xml:space="preserve">Owner reviews geometry, clipping, semantics, keyboard focus, zoom, touch, RTL, appearances, and preferences.</x:t>
  </x:si>
  <x:si>
    <x:t xml:space="preserve">manual-tests/aspect-ratio.md</x:t>
  </x:si>
  <x:si>
    <x:t xml:space="preserve">AR-26</x:t>
  </x:si>
  <x:si>
    <x:t xml:space="preserve">Build, declarations, exports, SSR, CSS, docs, tarball, React 18/19, browser matrix, and packed Consumer pass.</x:t>
  </x:si>
  <x:si>
    <x:t xml:space="preserve">Unit, type, package, SSR, browser, visual, documentation, ownership, Consumer, and CSS build gates pass.</x:t>
  </x:si>
  <x:si>
    <x:t xml:space="preserve">Toolbar Evidence</x:t>
  </x:si>
  <x:si>
    <x:t xml:space="preserve">Assertion-level Atom ownership, six-part anatomy, visual recipes, keyboard behavior, toggle models, responsive containment, package, documentation, Consumer, and accessibility evidence.</x:t>
  </x:si>
  <x:si>
    <x:t xml:space="preserve">Brick styles released Atom 0.20.11 Toolbar behavior without recreating roving focus, orientation, direction, looping, or toggle state.</x:t>
  </x:si>
  <x:si>
    <x:t xml:space="preserve">../src/components/toolbar/Toolbar.tsx; ../package.json</x:t>
  </x:si>
  <x:si>
    <x:t xml:space="preserve">Exact Atom ownership is covered by source and focused tests.</x:t>
  </x:si>
  <x:si>
    <x:t xml:space="preserve">The Toolbar namespace and named exports expose Root, Button, Link, Separator, ToggleGroup, ToggleItem, props, size, and variant types.</x:t>
  </x:si>
  <x:si>
    <x:t xml:space="preserve">../test/components/toolbar/toolbar.test.tsx</x:t>
  </x:si>
  <x:si>
    <x:t xml:space="preserve">Six public parts render their exact Atom/native hosts, Brick classes, slots, roles, and relationships without added wrappers.</x:t>
  </x:si>
  <x:si>
    <x:t xml:space="preserve">Closed variant and size unions, native props, orientation, direction, refs, asChild, render, and toggle models type-check.</x:t>
  </x:si>
  <x:si>
    <x:t xml:space="preserve">../test/types/components/toolbar.test.ts</x:t>
  </x:si>
  <x:si>
    <x:t xml:space="preserve">Root and toolbar subpath exports preserve namespace and named runtime identity in the packed package.</x:t>
  </x:si>
  <x:si>
    <x:t xml:space="preserve">Toolbar imports server-safely and emits deterministic toolbar, command, link, separator, group, and pressed-state anatomy.</x:t>
  </x:si>
  <x:si>
    <x:t xml:space="preserve">The default soft, medium, horizontal, LTR Toolbar remains content-sized and exposes one named toolbar landmark.</x:t>
  </x:si>
  <x:si>
    <x:t xml:space="preserve">tests/components/toolbar/behavior.spec.ts</x:t>
  </x:si>
  <x:si>
    <x:t xml:space="preserve">Plain, soft, and outline change only the coordinated surface treatment.</x:t>
  </x:si>
  <x:si>
    <x:t xml:space="preserve">tests/components/toolbar/visual.spec.ts</x:t>
  </x:si>
  <x:si>
    <x:t xml:space="preserve">Owner comparison review remains open.</x:t>
  </x:si>
  <x:si>
    <x:t xml:space="preserve">Root / items</x:t>
  </x:si>
  <x:si>
    <x:t xml:space="preserve">Small, medium, and large coordinate root padding, target height, typography, icons, and separators without behavioral drift.</x:t>
  </x:si>
  <x:si>
    <x:t xml:space="preserve">Owner size review remains open.</x:t>
  </x:si>
  <x:si>
    <x:t xml:space="preserve">Commands</x:t>
  </x:si>
  <x:si>
    <x:t xml:space="preserve">Command buttons preserve native activation, disabled behavior, naming, focusability, and authored application actions.</x:t>
  </x:si>
  <x:si>
    <x:t xml:space="preserve">../test/components/toolbar/toolbar.test.tsx; tests/components/toolbar/behavior.spec.ts</x:t>
  </x:si>
  <x:si>
    <x:t xml:space="preserve">Links</x:t>
  </x:si>
  <x:si>
    <x:t xml:space="preserve">Links retain native anchor navigation and participate in the Toolbar roving-focus sequence without button semantics.</x:t>
  </x:si>
  <x:si>
    <x:t xml:space="preserve">Separators</x:t>
  </x:si>
  <x:si>
    <x:t xml:space="preserve">Separator</x:t>
  </x:si>
  <x:si>
    <x:t xml:space="preserve">Separators preserve semantic orientation and remain unfocusable visual boundaries.</x:t>
  </x:si>
  <x:si>
    <x:t xml:space="preserve">Single toggle</x:t>
  </x:si>
  <x:si>
    <x:t xml:space="preserve">ToggleGroup / ToggleItem</x:t>
  </x:si>
  <x:si>
    <x:t xml:space="preserve">Single-value toggles preserve controlled and uncontrolled Atom state with exact aria-pressed output.</x:t>
  </x:si>
  <x:si>
    <x:t xml:space="preserve">Multiple toggle</x:t>
  </x:si>
  <x:si>
    <x:t xml:space="preserve">Multiple-value toggles preserve independent pressed state without Toolbar absorbing selection ownership.</x:t>
  </x:si>
  <x:si>
    <x:t xml:space="preserve">All focusable parts</x:t>
  </x:si>
  <x:si>
    <x:t xml:space="preserve">One Tab entry, orientation-aware arrows, Home, End, looping, and disabled-item omission remain Atom-owned.</x:t>
  </x:si>
  <x:si>
    <x:t xml:space="preserve">tests/components/toolbar/behavior.spec.ts; @flowstack-ui/atom 0.15.0</x:t>
  </x:si>
  <x:si>
    <x:t xml:space="preserve">Root / Separator</x:t>
  </x:si>
  <x:si>
    <x:t xml:space="preserve">Horizontal and vertical layouts coordinate main-axis overflow, separator orientation, and direction-aware keyboard order.</x:t>
  </x:si>
  <x:si>
    <x:t xml:space="preserve">Native attributes, events, class, style, refs, asChild, render, and popup-trigger composition preserve exact final hosts.</x:t>
  </x:si>
  <x:si>
    <x:t xml:space="preserve">../test/components/toolbar/toolbar.test.tsx; src/components/toolbar/ToolbarPage.tsx</x:t>
  </x:si>
  <x:si>
    <x:t xml:space="preserve">Toolbar never wraps and uses main-axis overflow at narrow widths while consumers retain item-priority and overflow-menu ownership.</x:t>
  </x:si>
  <x:si>
    <x:t xml:space="preserve">Localized RTL evidence aligns logically and reverses horizontal Arrow navigation without changing authored DOM order.</x:t>
  </x:si>
  <x:si>
    <x:t xml:space="preserve">tests/components/toolbar/visual.spec.ts; tests/components/toolbar/behavior.spec.ts</x:t>
  </x:si>
  <x:si>
    <x:t xml:space="preserve">Automated RTL behavior passes; owner visual judgment remains open.</x:t>
  </x:si>
  <x:si>
    <x:t xml:space="preserve">Named toolbar/group semantics, native commands and links, pressed state, focus order, disabled omission, and the focused axe scan pass.</x:t>
  </x:si>
  <x:si>
    <x:t xml:space="preserve">Light and dark scopes preserve surface, text, state, separator, and focus contrast; customization remains legible.</x:t>
  </x:si>
  <x:si>
    <x:t xml:space="preserve">Forced colors preserves boundaries, separators, focus, disabled, and pressed cues; reduced motion adds no Toolbar-owned motion.</x:t>
  </x:si>
  <x:si>
    <x:t xml:space="preserve">tests/components/toolbar/visual.spec.ts; manual-tests/toolbar.md</x:t>
  </x:si>
  <x:si>
    <x:t xml:space="preserve">Automated preference baselines exist; human review remains open.</x:t>
  </x:si>
  <x:si>
    <x:t xml:space="preserve">Documented --brick-toolbar-* variables, stable classes, slots, data attributes, className, and style customize visuals without behavior drift.</x:t>
  </x:si>
  <x:si>
    <x:t xml:space="preserve">../docs/components/toolbar/README.md; src/components/toolbar/ToolbarPage.tsx</x:t>
  </x:si>
  <x:si>
    <x:t xml:space="preserve">TB-24</x:t>
  </x:si>
  <x:si>
    <x:t xml:space="preserve">One navigable Toolbar route exposes nine deterministic scenarios with real editor and data-view controls.</x:t>
  </x:si>
  <x:si>
    <x:t xml:space="preserve">src/components/toolbar/ToolbarPage.tsx</x:t>
  </x:si>
  <x:si>
    <x:t xml:space="preserve">TB-25</x:t>
  </x:si>
  <x:si>
    <x:t xml:space="preserve">The guide documents role, boundaries, six-part anatomy, API, keyboard model, recipes, responsive behavior, composition, customization, and exclusions.</x:t>
  </x:si>
  <x:si>
    <x:t xml:space="preserve">../docs/components/toolbar/README.md</x:t>
  </x:si>
  <x:si>
    <x:t xml:space="preserve">TB-26</x:t>
  </x:si>
  <x:si>
    <x:t xml:space="preserve">Component and package changelogs describe the release-facing Toolbar family.</x:t>
  </x:si>
  <x:si>
    <x:t xml:space="preserve">../docs/components/toolbar/CHANGELOG.md; ../CHANGELOG.md</x:t>
  </x:si>
  <x:si>
    <x:t xml:space="preserve">TB-27</x:t>
  </x:si>
  <x:si>
    <x:t xml:space="preserve">The packed Consumer composes document-view commands, separator, view toggles, and a help link through the public Toolbar subpath.</x:t>
  </x:si>
  <x:si>
    <x:t xml:space="preserve">Packed Consumer evidence passes on desktop and mobile Chromium.</x:t>
  </x:si>
  <x:si>
    <x:t xml:space="preserve">TB-28</x:t>
  </x:si>
  <x:si>
    <x:t xml:space="preserve">Baselines cover overview, anatomy, variants, sizes, commands, toggles, orientations, appearance, customization, responsive overflow, RTL, and preferences.</x:t>
  </x:si>
  <x:si>
    <x:t xml:space="preserve">TB-29</x:t>
  </x:si>
  <x:si>
    <x:t xml:space="preserve">Owner reviews semantics, keyboard order, focus, commands, links, toggles, overflow, zoom, touch, RTL, appearances, and preferences.</x:t>
  </x:si>
  <x:si>
    <x:t xml:space="preserve">manual-tests/toolbar.md</x:t>
  </x:si>
  <x:si>
    <x:t xml:space="preserve">TB-30</x:t>
  </x:si>
  <x:si>
    <x:t xml:space="preserve">Build, declarations, exports, SSR, CSS, docs, tarball, React 18/19, browser matrix, packed Consumer, and release gates pass.</x:t>
  </x:si>
  <x:si>
    <x:t xml:space="preserve">Local complete release verification passes; GitHub Actions verification is recorded in the private project record.</x:t>
  </x:si>
  <x:si>
    <x:t xml:space="preserve">Chip Evidence</x:t>
  </x:si>
  <x:si>
    <x:t xml:space="preserve">Assertion-level Atom ownership, three-part passive value anatomy, visual recipes, explicit removal, responsive containment, package, documentation, Consumer, and accessibility evidence.</x:t>
  </x:si>
  <x:si>
    <x:t xml:space="preserve">CH-01</x:t>
  </x:si>
  <x:si>
    <x:t xml:space="preserve">Brick styles released Atom 0.20.11 Badge and Button primitives without recreating activation or disabled behavior.</x:t>
  </x:si>
  <x:si>
    <x:t xml:space="preserve">../src/components/chip/Chip.tsx; ../package.json</x:t>
  </x:si>
  <x:si>
    <x:t xml:space="preserve">CH-02</x:t>
  </x:si>
  <x:si>
    <x:t xml:space="preserve">The Chip namespace and named exports expose Root, Label, RemoveTrigger, props, variants, tones, sizes, and shapes.</x:t>
  </x:si>
  <x:si>
    <x:t xml:space="preserve">../test/components/chip/chip.test.tsx</x:t>
  </x:si>
  <x:si>
    <x:t xml:space="preserve">CH-03</x:t>
  </x:si>
  <x:si>
    <x:t xml:space="preserve">Root / Label / RemoveTrigger</x:t>
  </x:si>
  <x:si>
    <x:t xml:space="preserve">Three public parts render their exact Atom/native hosts, Brick classes, slots, metadata, and refs without added wrappers.</x:t>
  </x:si>
  <x:si>
    <x:t xml:space="preserve">CH-04</x:t>
  </x:si>
  <x:si>
    <x:t xml:space="preserve">Closed recipe unions, native props, required accessible removal naming, refs, asChild, and render composition type-check.</x:t>
  </x:si>
  <x:si>
    <x:t xml:space="preserve">../test/types/components/chip.test.ts</x:t>
  </x:si>
  <x:si>
    <x:t xml:space="preserve">CH-05</x:t>
  </x:si>
  <x:si>
    <x:t xml:space="preserve">Root and chip subpath exports preserve namespace and named runtime identity in the built package.</x:t>
  </x:si>
  <x:si>
    <x:t xml:space="preserve">CH-06</x:t>
  </x:si>
  <x:si>
    <x:t xml:space="preserve">Chip imports server-safely and emits deterministic passive span, label, and independently named button anatomy.</x:t>
  </x:si>
  <x:si>
    <x:t xml:space="preserve">CH-07</x:t>
  </x:si>
  <x:si>
    <x:t xml:space="preserve">The default soft, neutral, medium, pill Chip remains passive and content-sized with no role, tab stop, or selection state.</x:t>
  </x:si>
  <x:si>
    <x:t xml:space="preserve">tests/components/chip/behavior.spec.ts</x:t>
  </x:si>
  <x:si>
    <x:t xml:space="preserve">CH-08</x:t>
  </x:si>
  <x:si>
    <x:t xml:space="preserve">Soft and outline change coordinated surface and border treatment without semantic drift.</x:t>
  </x:si>
  <x:si>
    <x:t xml:space="preserve">tests/components/chip/visual.spec.ts</x:t>
  </x:si>
  <x:si>
    <x:t xml:space="preserve">CH-09</x:t>
  </x:si>
  <x:si>
    <x:t xml:space="preserve">Tones</x:t>
  </x:si>
  <x:si>
    <x:t xml:space="preserve">Neutral and accent express identity emphasis without introducing success, warning, or error semantics.</x:t>
  </x:si>
  <x:si>
    <x:t xml:space="preserve">Owner tone review remains open.</x:t>
  </x:si>
  <x:si>
    <x:t xml:space="preserve">CH-10</x:t>
  </x:si>
  <x:si>
    <x:t xml:space="preserve">Root / RemoveTrigger</x:t>
  </x:si>
  <x:si>
    <x:t xml:space="preserve">Small, medium, and large coordinate typography, leading content, padding, and a minimum 24px remove target.</x:t>
  </x:si>
  <x:si>
    <x:t xml:space="preserve">tests/components/chip/visual.spec.ts; tests/components/chip/behavior.spec.ts</x:t>
  </x:si>
  <x:si>
    <x:t xml:space="preserve">Automated target geometry passes; owner size review remains open.</x:t>
  </x:si>
  <x:si>
    <x:t xml:space="preserve">CH-11</x:t>
  </x:si>
  <x:si>
    <x:t xml:space="preserve">Shapes</x:t>
  </x:si>
  <x:si>
    <x:t xml:space="preserve">Rounded and pill recipes change corners only while preserving anatomy and target geometry.</x:t>
  </x:si>
  <x:si>
    <x:t xml:space="preserve">Owner shape review remains open.</x:t>
  </x:si>
  <x:si>
    <x:t xml:space="preserve">CH-12</x:t>
  </x:si>
  <x:si>
    <x:t xml:space="preserve">Label</x:t>
  </x:si>
  <x:si>
    <x:t xml:space="preserve">Label remains a native one-line span and truncates long authored values without displacing adjacent content.</x:t>
  </x:si>
  <x:si>
    <x:t xml:space="preserve">CH-13</x:t>
  </x:si>
  <x:si>
    <x:t xml:space="preserve">Leading content</x:t>
  </x:si>
  <x:si>
    <x:t xml:space="preserve">Root / Label</x:t>
  </x:si>
  <x:si>
    <x:t xml:space="preserve">Authored Icon and Avatar content align without adding a Chip-owned semantic contract.</x:t>
  </x:si>
  <x:si>
    <x:t xml:space="preserve">Owner leading-content review remains open.</x:t>
  </x:si>
  <x:si>
    <x:t xml:space="preserve">CH-14</x:t>
  </x:si>
  <x:si>
    <x:t xml:space="preserve">Removal</x:t>
  </x:si>
  <x:si>
    <x:t xml:space="preserve">RemoveTrigger</x:t>
  </x:si>
  <x:si>
    <x:t xml:space="preserve">An explicitly named native button requests application-owned removal and preserves Enter, Space, click, and focus behavior.</x:t>
  </x:si>
  <x:si>
    <x:t xml:space="preserve">CH-15</x:t>
  </x:si>
  <x:si>
    <x:t xml:space="preserve">Disabled removal remains unavailable and exposes stable disabled metadata without disabling the passive value container.</x:t>
  </x:si>
  <x:si>
    <x:t xml:space="preserve">../test/components/chip/chip.test.tsx; tests/components/chip/behavior.spec.ts</x:t>
  </x:si>
  <x:si>
    <x:t xml:space="preserve">CH-16</x:t>
  </x:si>
  <x:si>
    <x:t xml:space="preserve">Native attributes, events, class, style, refs, asChild, render, authored icon content, and custom trigger content preserve final hosts.</x:t>
  </x:si>
  <x:si>
    <x:t xml:space="preserve">CH-17</x:t>
  </x:si>
  <x:si>
    <x:t xml:space="preserve">One Chip remains max-width contained while the parent owns wrapping between Chips and the remove target stays visible.</x:t>
  </x:si>
  <x:si>
    <x:t xml:space="preserve">CH-18</x:t>
  </x:si>
  <x:si>
    <x:t xml:space="preserve">Long English and Arabic values remain contained and use authored localized removal names.</x:t>
  </x:si>
  <x:si>
    <x:t xml:space="preserve">Automated containment passes; owner localization review remains open.</x:t>
  </x:si>
  <x:si>
    <x:t xml:space="preserve">CH-19</x:t>
  </x:si>
  <x:si>
    <x:t xml:space="preserve">Logical padding and authored child order place label, leading content, and remove action correctly in RTL.</x:t>
  </x:si>
  <x:si>
    <x:t xml:space="preserve">Automated RTL geometry passes; owner visual judgment remains open.</x:t>
  </x:si>
  <x:si>
    <x:t xml:space="preserve">CH-20</x:t>
  </x:si>
  <x:si>
    <x:t xml:space="preserve">Passive Root semantics, localized button naming, native disabled behavior, focus visibility, target geometry, and focused axe scan pass.</x:t>
  </x:si>
  <x:si>
    <x:t xml:space="preserve">CH-21</x:t>
  </x:si>
  <x:si>
    <x:t xml:space="preserve">Light and dark scopes preserve surface, border, text, remove-action, and focus contrast.</x:t>
  </x:si>
  <x:si>
    <x:t xml:space="preserve">CH-22</x:t>
  </x:si>
  <x:si>
    <x:t xml:space="preserve">Forced colors preserves boundaries, removal, disabled, and focus cues; reduced motion adds no Chip-owned motion.</x:t>
  </x:si>
  <x:si>
    <x:t xml:space="preserve">manual-tests/chip.md</x:t>
  </x:si>
  <x:si>
    <x:t xml:space="preserve">Preference protocol exists; human review remains open.</x:t>
  </x:si>
  <x:si>
    <x:t xml:space="preserve">CH-23</x:t>
  </x:si>
  <x:si>
    <x:t xml:space="preserve">Documented --brick-chip-* variables, stable classes, slots, data attributes, className, and style customize paint without semantic drift.</x:t>
  </x:si>
  <x:si>
    <x:t xml:space="preserve">../docs/components/chip/README.md; src/components/chip/ChipPage.tsx</x:t>
  </x:si>
  <x:si>
    <x:t xml:space="preserve">CH-24</x:t>
  </x:si>
  <x:si>
    <x:t xml:space="preserve">Public guidance</x:t>
  </x:si>
  <x:si>
    <x:t xml:space="preserve">The playground and guide distinguish Chip values from passive Badge tags and selectable Toggle filters; no Tag export exists.</x:t>
  </x:si>
  <x:si>
    <x:t xml:space="preserve">CH-25</x:t>
  </x:si>
  <x:si>
    <x:t xml:space="preserve">One navigable Chip route exposes nine deterministic scenarios for anatomy, recipes, content, removal, containment, appearance, and boundaries.</x:t>
  </x:si>
  <x:si>
    <x:t xml:space="preserve">src/components/chip/ChipPage.tsx</x:t>
  </x:si>
  <x:si>
    <x:t xml:space="preserve">CH-26</x:t>
  </x:si>
  <x:si>
    <x:t xml:space="preserve">The guide documents role, exclusions, anatomy, API, recipes, responsive behavior, accessibility, composition, customization, and tag terminology.</x:t>
  </x:si>
  <x:si>
    <x:t xml:space="preserve">../docs/components/chip/README.md</x:t>
  </x:si>
  <x:si>
    <x:t xml:space="preserve">CH-27</x:t>
  </x:si>
  <x:si>
    <x:t xml:space="preserve">Component and package changelogs describe the release-facing Chip family and its Atom-backed ownership.</x:t>
  </x:si>
  <x:si>
    <x:t xml:space="preserve">../docs/components/chip/CHANGELOG.md; ../CHANGELOG.md</x:t>
  </x:si>
  <x:si>
    <x:t xml:space="preserve">CH-28</x:t>
  </x:si>
  <x:si>
    <x:t xml:space="preserve">The packed Consumer composes removable release-reviewer values through the public chip subpath.</x:t>
  </x:si>
  <x:si>
    <x:t xml:space="preserve">CH-29</x:t>
  </x:si>
  <x:si>
    <x:t xml:space="preserve">Baselines cover overview, recipes, leading content, removal focus, appearance, customization, containment, RTL, and boundaries.</x:t>
  </x:si>
  <x:si>
    <x:t xml:space="preserve">CH-30</x:t>
  </x:si>
  <x:si>
    <x:t xml:space="preserve">Owner reviews semantics, removal focus, disabled state, zoom, touch, localization, RTL, appearances, preferences, and component boundaries.</x:t>
  </x:si>
  <x:si>
    <x:t xml:space="preserve">CH-31</x:t>
  </x:si>
  <x:si>
    <x:t xml:space="preserve">Build, declarations, exports, SSR, CSS, docs, tarball, React 18/19, browser coverage, packed Consumer, and release gates pass.</x:t>
  </x:si>
  <x:si>
    <x:t xml:space="preserve">Complete local check, packed React 18/19 consumers, focused browser suite, and packed Consumer verification pass.</x:t>
  </x:si>
  <x:si>
    <x:t xml:space="preserve">Combobox Evidence</x:t>
  </x:si>
  <x:si>
    <x:t xml:space="preserve">Assertion-level Atom-backed package, browser, mobile, human-review, documentation, Consumer, filtering, and positioning evidence.</x:t>
  </x:si>
  <x:si>
    <x:t xml:space="preserve">Root/Control</x:t>
  </x:si>
  <x:si>
    <x:t xml:space="preserve">Compound Combobox and visual context adapt released Atom 0.20.11 without recreating behavior.</x:t>
  </x:si>
  <x:si>
    <x:t xml:space="preserve">../src/components/combobox</x:t>
  </x:si>
  <x:si>
    <x:t xml:space="preserve">Focused implementation evidence passes.</x:t>
  </x:si>
  <x:si>
    <x:t xml:space="preserve">Root, Label, Control, Input, Clear, Indicator, Portal, Content, Listbox, Group, Item, Empty, and Loading are styled/exported.</x:t>
  </x:si>
  <x:si>
    <x:t xml:space="preserve">../test/components/combobox/combobox.test.tsx</x:t>
  </x:si>
  <x:si>
    <x:t xml:space="preserve">Root and combobox subpath exports expose the namespace, named parts, and public types.</x:t>
  </x:si>
  <x:si>
    <x:t xml:space="preserve">Recipes, refs, native props, and underline shape exclusion type-check.</x:t>
  </x:si>
  <x:si>
    <x:t xml:space="preserve">../test/types/components/combobox.test.ts</x:t>
  </x:si>
  <x:si>
    <x:t xml:space="preserve">Control/Content/Item</x:t>
  </x:si>
  <x:si>
    <x:t xml:space="preserve">../src/components/combobox/combobox.css</x:t>
  </x:si>
  <x:si>
    <x:t xml:space="preserve">Filtering</x:t>
  </x:si>
  <x:si>
    <x:t xml:space="preserve">Input/Listbox</x:t>
  </x:si>
  <x:si>
    <x:t xml:space="preserve">Typing filters authored options and exposes an empty result.</x:t>
  </x:si>
  <x:si>
    <x:t xml:space="preserve">tests/components/combobox/behavior.spec.ts</x:t>
  </x:si>
  <x:si>
    <x:t xml:space="preserve">Input/Item/Clear</x:t>
  </x:si>
  <x:si>
    <x:t xml:space="preserve">Keyboard and pointer selection update one value and Clear removes it.</x:t>
  </x:si>
  <x:si>
    <x:t xml:space="preserve">Free text</x:t>
  </x:si>
  <x:si>
    <x:t xml:space="preserve">Root/Input</x:t>
  </x:si>
  <x:si>
    <x:t xml:space="preserve">freeSolo permits values outside the option set.</x:t>
  </x:si>
  <x:si>
    <x:t xml:space="preserve">Input/Item/Messages</x:t>
  </x:si>
  <x:si>
    <x:t xml:space="preserve">Disabled, read-only, highlighted, selected, empty, and loading states remain distinct.</x:t>
  </x:si>
  <x:si>
    <x:t xml:space="preserve">tests/components/combobox/visual.spec.ts</x:t>
  </x:si>
  <x:si>
    <x:t xml:space="preserve">Combobox implementation evidence added; manual human-review rows remain open.</x:t>
  </x:si>
  <x:si>
    <x:t xml:space="preserve">Control</x:t>
  </x:si>
  <x:si>
    <x:t xml:space="preserve">Outline, soft, underline, sizes, shapes, and width retain closed recipe data.</x:t>
  </x:si>
  <x:si>
    <x:t xml:space="preserve">Positioning</x:t>
  </x:si>
  <x:si>
    <x:t xml:space="preserve">Popup exposes collision-resolved side and remains viewport bounded.</x:t>
  </x:si>
  <x:si>
    <x:t xml:space="preserve">Touch</x:t>
  </x:si>
  <x:si>
    <x:t xml:space="preserve">Atom 0.20.11 defers outside-touch dismissal; physical mobile scrolling and flipping remain reachable.</x:t>
  </x:si>
  <x:si>
    <x:t xml:space="preserve">manual-tests/combobox.md</x:t>
  </x:si>
  <x:si>
    <x:t xml:space="preserve">Combobox route has no automated axe violations and preserves native roles.</x:t>
  </x:si>
  <x:si>
    <x:t xml:space="preserve">Light, dark, and forced-color states retain contrast and visible focus.</x:t>
  </x:si>
  <x:si>
    <x:t xml:space="preserve">Control/Content</x:t>
  </x:si>
  <x:si>
    <x:t xml:space="preserve">Narrow, zoomed, and keyboard-open layouts remain reachable without page overflow.</x:t>
  </x:si>
  <x:si>
    <x:t xml:space="preserve">Arabic RTL uses logical control and popup placement.</x:t>
  </x:si>
  <x:si>
    <x:t xml:space="preserve">Documented variables customize paint and radius without changing anatomy.</x:t>
  </x:si>
  <x:si>
    <x:t xml:space="preserve">Guide, changelog, contract metadata, and nine scenarios agree.</x:t>
  </x:si>
  <x:si>
    <x:t xml:space="preserve">../docs/components/combobox/README.md</x:t>
  </x:si>
  <x:si>
    <x:t xml:space="preserve">Packed Consumer imports the public subpath and filters/selects a realistic city.</x:t>
  </x:si>
  <x:si>
    <x:t xml:space="preserve">../apps/consumer/tests/consumer.spec.ts</x:t>
  </x:si>
  <x:si>
    <x:t xml:space="preserve">Packed artifact and clean React 18/19 consumers resolve JS, types, CSS, and Atom 0.20.11.</x:t>
  </x:si>
  <x:si>
    <x:t xml:space="preserve">../scripts/verify-consumers.mjs</x:t>
  </x:si>
  <x:si>
    <x:t xml:space="preserve">CB-21</x:t>
  </x:si>
  <x:si>
    <x:t xml:space="preserve">Numbered owner protocol covers visual, keyboard, touch, assistive technology, preferences, zoom, and RTL.</x:t>
  </x:si>
  <x:si>
    <x:t xml:space="preserve">CB-22</x:t>
  </x:si>
  <x:si>
    <x:t xml:space="preserve">Reviewed snapshots cover default, recipes, states, dark appearance, mobile RTL, and forced colors.</x:t>
  </x:si>
  <x:si>
    <x:t xml:space="preserve">Number Input Evidence</x:t>
  </x:si>
  <x:si>
    <x:t xml:space="preserve">Assertion-level Atom-backed package, browser, human-review, documentation, Consumer, stepping, bounds, and form evidence.</x:t>
  </x:si>
  <x:si>
    <x:t xml:space="preserve">NI-01</x:t>
  </x:si>
  <x:si>
    <x:t xml:space="preserve">Compound Number Input adapts released Atom 0.20.11 without recreating stepping or validation behavior.</x:t>
  </x:si>
  <x:si>
    <x:t xml:space="preserve">../src/components/number-input</x:t>
  </x:si>
  <x:si>
    <x:t xml:space="preserve">NI-02</x:t>
  </x:si>
  <x:si>
    <x:t xml:space="preserve">Root, Input, Increment, and Decrement are styled and independently exported.</x:t>
  </x:si>
  <x:si>
    <x:t xml:space="preserve">../test/components/number-input/number-input.test.tsx</x:t>
  </x:si>
  <x:si>
    <x:t xml:space="preserve">NI-03</x:t>
  </x:si>
  <x:si>
    <x:t xml:space="preserve">NumberInput</x:t>
  </x:si>
  <x:si>
    <x:t xml:space="preserve">Root and number-input subpath exports expose the namespace, named parts, and public types.</x:t>
  </x:si>
  <x:si>
    <x:t xml:space="preserve">NI-04</x:t>
  </x:si>
  <x:si>
    <x:t xml:space="preserve">../test/types/components/number-input.test.ts</x:t>
  </x:si>
  <x:si>
    <x:t xml:space="preserve">NI-05</x:t>
  </x:si>
  <x:si>
    <x:t xml:space="preserve">Static CSS ships recipes, state paint, logical actions, artwork, and documented variables.</x:t>
  </x:si>
  <x:si>
    <x:t xml:space="preserve">../src/components/number-input/number-input.css</x:t>
  </x:si>
  <x:si>
    <x:t xml:space="preserve">NI-06</x:t>
  </x:si>
  <x:si>
    <x:t xml:space="preserve">Stepping</x:t>
  </x:si>
  <x:si>
    <x:t xml:space="preserve">Input/actions</x:t>
  </x:si>
  <x:si>
    <x:t xml:space="preserve">Pointer and keyboard stepping respect step, precision, minimum, and maximum boundaries.</x:t>
  </x:si>
  <x:si>
    <x:t xml:space="preserve">tests/components/number-input/behavior.spec.ts</x:t>
  </x:si>
  <x:si>
    <x:t xml:space="preserve">NI-07</x:t>
  </x:si>
  <x:si>
    <x:t xml:space="preserve">Field relationships, required validity, native submission, and focus-on-error remain intact.</x:t>
  </x:si>
  <x:si>
    <x:t xml:space="preserve">NI-08</x:t>
  </x:si>
  <x:si>
    <x:t xml:space="preserve">Disabled, read-only, invalid, required, and boundary-disabled actions remain distinct.</x:t>
  </x:si>
  <x:si>
    <x:t xml:space="preserve">tests/components/number-input/visual.spec.ts</x:t>
  </x:si>
  <x:si>
    <x:t xml:space="preserve">2026-07-28: owner reviewed the generated Chromium baseline and its focused visual assertion.</x:t>
  </x:si>
  <x:si>
    <x:t xml:space="preserve">NI-09</x:t>
  </x:si>
  <x:si>
    <x:t xml:space="preserve">Outline, soft, underline, sizes, shapes, and width retain stable recipe data.</x:t>
  </x:si>
  <x:si>
    <x:t xml:space="preserve">NI-10</x:t>
  </x:si>
  <x:si>
    <x:t xml:space="preserve">Spinbutton and named step actions expose valid roles and the route has no axe violations.</x:t>
  </x:si>
  <x:si>
    <x:t xml:space="preserve">NI-11</x:t>
  </x:si>
  <x:si>
    <x:t xml:space="preserve">Light, dark, forced-color, focus, and invalid paint remain legible.</x:t>
  </x:si>
  <x:si>
    <x:t xml:space="preserve">NI-12</x:t>
  </x:si>
  <x:si>
    <x:t xml:space="preserve">Narrow and zoomed layouts remain reachable without page overflow.</x:t>
  </x:si>
  <x:si>
    <x:t xml:space="preserve">manual-tests/number-input.md</x:t>
  </x:si>
  <x:si>
    <x:t xml:space="preserve">Implementation evidence exists; required release or human-review gate remains open.</x:t>
  </x:si>
  <x:si>
    <x:t xml:space="preserve">NI-13</x:t>
  </x:si>
  <x:si>
    <x:t xml:space="preserve">Root/actions</x:t>
  </x:si>
  <x:si>
    <x:t xml:space="preserve">RTL places the logical action rail at the inline start without reversing numeric meaning.</x:t>
  </x:si>
  <x:si>
    <x:t xml:space="preserve">NI-14</x:t>
  </x:si>
  <x:si>
    <x:t xml:space="preserve">NI-15</x:t>
  </x:si>
  <x:si>
    <x:t xml:space="preserve">Guide, changelog, semantic contract, and nine scenarios agree.</x:t>
  </x:si>
  <x:si>
    <x:t xml:space="preserve">../docs/components/number-input/README.md</x:t>
  </x:si>
  <x:si>
    <x:t xml:space="preserve">NI-16</x:t>
  </x:si>
  <x:si>
    <x:t xml:space="preserve">Packed Consumer imports the public subpath and operates a Field-composed seat count.</x:t>
  </x:si>
  <x:si>
    <x:t xml:space="preserve">2026-07-28: packed Consumer evidence passes for the public subpath and clean React 18/19 consumers.</x:t>
  </x:si>
  <x:si>
    <x:t xml:space="preserve">NI-17</x:t>
  </x:si>
  <x:si>
    <x:t xml:space="preserve">NI-18</x:t>
  </x:si>
  <x:si>
    <x:t xml:space="preserve">Numbered protocol covers visual, keyboard, pointer, forms, preferences, zoom, and RTL.</x:t>
  </x:si>
  <x:si>
    <x:t xml:space="preserve">NI-19</x:t>
  </x:si>
  <x:si>
    <x:t xml:space="preserve">Snapshots cover default, recipes, states, and mobile RTL stress.</x:t>
  </x:si>
  <x:si>
    <x:t xml:space="preserve">OTP Field Evidence</x:t>
  </x:si>
  <x:si>
    <x:t xml:space="preserve">Assertion-level Atom-backed package, browser, human-review, documentation, Consumer, code-entry, localization, and form evidence.</x:t>
  </x:si>
  <x:si>
    <x:t xml:space="preserve">OTP-01</x:t>
  </x:si>
  <x:si>
    <x:t xml:space="preserve">Compound OTP Field adapts released Atom 0.20.11 without recreating value, focus, paste, or validation behavior.</x:t>
  </x:si>
  <x:si>
    <x:t xml:space="preserve">../src/components/otp-field</x:t>
  </x:si>
  <x:si>
    <x:t xml:space="preserve">OTP-02</x:t>
  </x:si>
  <x:si>
    <x:t xml:space="preserve">Root, Group, Input, and Separator are styled and independently exported.</x:t>
  </x:si>
  <x:si>
    <x:t xml:space="preserve">../test/components/otp-field/otp-field.test.tsx</x:t>
  </x:si>
  <x:si>
    <x:t xml:space="preserve">OTP-03</x:t>
  </x:si>
  <x:si>
    <x:t xml:space="preserve">OTPField</x:t>
  </x:si>
  <x:si>
    <x:t xml:space="preserve">Root and otp-field subpath exports expose the namespace, named parts, and public types.</x:t>
  </x:si>
  <x:si>
    <x:t xml:space="preserve">OTP-04</x:t>
  </x:si>
  <x:si>
    <x:t xml:space="preserve">Recipes, refs, native props, indexes, layouts, and underline shape exclusion type-check.</x:t>
  </x:si>
  <x:si>
    <x:t xml:space="preserve">../test/types/components/otp-field.test.ts</x:t>
  </x:si>
  <x:si>
    <x:t xml:space="preserve">OTP-05</x:t>
  </x:si>
  <x:si>
    <x:t xml:space="preserve">Group/Input</x:t>
  </x:si>
  <x:si>
    <x:t xml:space="preserve">Static CSS ships separated, attached, state, focus, artwork, and documented variable recipes.</x:t>
  </x:si>
  <x:si>
    <x:t xml:space="preserve">../src/components/otp-field/otp-field.css</x:t>
  </x:si>
  <x:si>
    <x:t xml:space="preserve">OTP-06</x:t>
  </x:si>
  <x:si>
    <x:t xml:space="preserve">Entry</x:t>
  </x:si>
  <x:si>
    <x:t xml:space="preserve">Input cells</x:t>
  </x:si>
  <x:si>
    <x:t xml:space="preserve">Typing filters invalid characters, advances focus, and maintains one complete logical value.</x:t>
  </x:si>
  <x:si>
    <x:t xml:space="preserve">tests/components/otp-field/behavior.spec.ts</x:t>
  </x:si>
  <x:si>
    <x:t xml:space="preserve">OTP-07</x:t>
  </x:si>
  <x:si>
    <x:t xml:space="preserve">Only the first cell owns required validity and one hidden value submits and resets.</x:t>
  </x:si>
  <x:si>
    <x:t xml:space="preserve">OTP-08</x:t>
  </x:si>
  <x:si>
    <x:t xml:space="preserve">Generated position labels accept consumer-provided translations without changing behavior.</x:t>
  </x:si>
  <x:si>
    <x:t xml:space="preserve">OTP-09</x:t>
  </x:si>
  <x:si>
    <x:t xml:space="preserve">Disabled, read-only, invalid, required, filled, and masked states remain distinct.</x:t>
  </x:si>
  <x:si>
    <x:t xml:space="preserve">tests/components/otp-field/visual.spec.ts</x:t>
  </x:si>
  <x:si>
    <x:t xml:space="preserve">OTP-10</x:t>
  </x:si>
  <x:si>
    <x:t xml:space="preserve">Root/Group</x:t>
  </x:si>
  <x:si>
    <x:t xml:space="preserve">Outline, soft, underline, sizes, shapes, separated, and attached layouts retain stable data.</x:t>
  </x:si>
  <x:si>
    <x:t xml:space="preserve">OTP-11</x:t>
  </x:si>
  <x:si>
    <x:t xml:space="preserve">The group uses valid ARIA, cells expose position labels, and the route has no axe violations.</x:t>
  </x:si>
  <x:si>
    <x:t xml:space="preserve">OTP-12</x:t>
  </x:si>
  <x:si>
    <x:t xml:space="preserve">OTP-13</x:t>
  </x:si>
  <x:si>
    <x:t xml:space="preserve">Narrow and zoomed layouts remain reachable without clipping code cells.</x:t>
  </x:si>
  <x:si>
    <x:t xml:space="preserve">manual-tests/otp-field.md</x:t>
  </x:si>
  <x:si>
    <x:t xml:space="preserve">OTP-14</x:t>
  </x:si>
  <x:si>
    <x:t xml:space="preserve">RTL preserves logical code order and separator placement.</x:t>
  </x:si>
  <x:si>
    <x:t xml:space="preserve">OTP-15</x:t>
  </x:si>
  <x:si>
    <x:t xml:space="preserve">Documented variables customize cell size and radius without changing anatomy.</x:t>
  </x:si>
  <x:si>
    <x:t xml:space="preserve">OTP-16</x:t>
  </x:si>
  <x:si>
    <x:t xml:space="preserve">../docs/components/otp-field/README.md</x:t>
  </x:si>
  <x:si>
    <x:t xml:space="preserve">OTP-17</x:t>
  </x:si>
  <x:si>
    <x:t xml:space="preserve">Packed Consumer imports the public subpath and completes a Field-composed code.</x:t>
  </x:si>
  <x:si>
    <x:t xml:space="preserve">OTP-18</x:t>
  </x:si>
  <x:si>
    <x:t xml:space="preserve">OTP-19</x:t>
  </x:si>
  <x:si>
    <x:t xml:space="preserve">Numbered protocol covers visual, typing, paste, forms, assistive technology, preferences, zoom, and RTL.</x:t>
  </x:si>
  <x:si>
    <x:t xml:space="preserve">OTP-20</x:t>
  </x:si>
  <x:si>
    <x:t xml:space="preserve">Password Toggle Field Evidence</x:t>
  </x:si>
  <x:si>
    <x:t xml:space="preserve">Assertion-level Atom-backed package, browser, human-review, documentation, Consumer, visibility, localization, and form evidence.</x:t>
  </x:si>
  <x:si>
    <x:t xml:space="preserve">PTF-01</x:t>
  </x:si>
  <x:si>
    <x:t xml:space="preserve">Compound Password Toggle Field adapts released Atom 0.20.11 without recreating visibility or validation behavior.</x:t>
  </x:si>
  <x:si>
    <x:t xml:space="preserve">../src/components/password-toggle-field</x:t>
  </x:si>
  <x:si>
    <x:t xml:space="preserve">PTF-02</x:t>
  </x:si>
  <x:si>
    <x:t xml:space="preserve">Root, Input, Toggle, and Icon are styled and independently exported.</x:t>
  </x:si>
  <x:si>
    <x:t xml:space="preserve">../test/components/password-toggle-field/password-toggle-field.test.tsx</x:t>
  </x:si>
  <x:si>
    <x:t xml:space="preserve">PTF-03</x:t>
  </x:si>
  <x:si>
    <x:t xml:space="preserve">PasswordToggleField</x:t>
  </x:si>
  <x:si>
    <x:t xml:space="preserve">Root and password-toggle-field subpath exports expose namespace, named parts, and public types.</x:t>
  </x:si>
  <x:si>
    <x:t xml:space="preserve">PTF-04</x:t>
  </x:si>
  <x:si>
    <x:t xml:space="preserve">Recipes, refs, native props, custom artwork, and underline shape exclusion type-check.</x:t>
  </x:si>
  <x:si>
    <x:t xml:space="preserve">../test/types/components/password-toggle-field.test.ts</x:t>
  </x:si>
  <x:si>
    <x:t xml:space="preserve">PTF-05</x:t>
  </x:si>
  <x:si>
    <x:t xml:space="preserve">Static CSS ships recipes, states, logical toggle geometry, artwork, and documented variables.</x:t>
  </x:si>
  <x:si>
    <x:t xml:space="preserve">../src/components/password-toggle-field/password-toggle-field.css</x:t>
  </x:si>
  <x:si>
    <x:t xml:space="preserve">PTF-06</x:t>
  </x:si>
  <x:si>
    <x:t xml:space="preserve">Visibility</x:t>
  </x:si>
  <x:si>
    <x:t xml:space="preserve">Input/Toggle/Icon</x:t>
  </x:si>
  <x:si>
    <x:t xml:space="preserve">Toggle switches the native input type and synchronizes its label, state, and artwork.</x:t>
  </x:si>
  <x:si>
    <x:t xml:space="preserve">tests/components/password-toggle-field/behavior.spec.ts</x:t>
  </x:si>
  <x:si>
    <x:t xml:space="preserve">PTF-07</x:t>
  </x:si>
  <x:si>
    <x:t xml:space="preserve">Submission and reset restore a hidden password while preserving Field relationships and validity.</x:t>
  </x:si>
  <x:si>
    <x:t xml:space="preserve">PTF-08</x:t>
  </x:si>
  <x:si>
    <x:t xml:space="preserve">Show and hide action labels accept consumer-provided translations.</x:t>
  </x:si>
  <x:si>
    <x:t xml:space="preserve">PTF-09</x:t>
  </x:si>
  <x:si>
    <x:t xml:space="preserve">Disabled, read-only, invalid, required, visible, and hidden states remain distinct.</x:t>
  </x:si>
  <x:si>
    <x:t xml:space="preserve">tests/components/password-toggle-field/visual.spec.ts</x:t>
  </x:si>
  <x:si>
    <x:t xml:space="preserve">PTF-10</x:t>
  </x:si>
  <x:si>
    <x:t xml:space="preserve">PTF-11</x:t>
  </x:si>
  <x:si>
    <x:t xml:space="preserve">Input/Toggle</x:t>
  </x:si>
  <x:si>
    <x:t xml:space="preserve">Field naming and localized toggle names remain valid and the route has no axe violations.</x:t>
  </x:si>
  <x:si>
    <x:t xml:space="preserve">PTF-12</x:t>
  </x:si>
  <x:si>
    <x:t xml:space="preserve">PTF-13</x:t>
  </x:si>
  <x:si>
    <x:t xml:space="preserve">Narrow and zoomed layouts keep the input and toggle reachable without overflow.</x:t>
  </x:si>
  <x:si>
    <x:t xml:space="preserve">manual-tests/password-toggle-field.md</x:t>
  </x:si>
  <x:si>
    <x:t xml:space="preserve">PTF-14</x:t>
  </x:si>
  <x:si>
    <x:t xml:space="preserve">Root/Toggle</x:t>
  </x:si>
  <x:si>
    <x:t xml:space="preserve">RTL places the toggle at logical inline start and retains the localized action.</x:t>
  </x:si>
  <x:si>
    <x:t xml:space="preserve">PTF-15</x:t>
  </x:si>
  <x:si>
    <x:t xml:space="preserve">Documented variables customize height and radius without changing anatomy.</x:t>
  </x:si>
  <x:si>
    <x:t xml:space="preserve">PTF-16</x:t>
  </x:si>
  <x:si>
    <x:t xml:space="preserve">../docs/components/password-toggle-field/README.md</x:t>
  </x:si>
  <x:si>
    <x:t xml:space="preserve">PTF-17</x:t>
  </x:si>
  <x:si>
    <x:t xml:space="preserve">Packed Consumer imports the public subpath and operates a Field-composed password.</x:t>
  </x:si>
  <x:si>
    <x:t xml:space="preserve">PTF-18</x:t>
  </x:si>
  <x:si>
    <x:t xml:space="preserve">PTF-19</x:t>
  </x:si>
  <x:si>
    <x:t xml:space="preserve">Numbered protocol covers visual, visibility, forms, assistive technology, preferences, zoom, and RTL.</x:t>
  </x:si>
  <x:si>
    <x:t xml:space="preserve">PTF-20</x:t>
  </x:si>
  <x:si>
    <x:t xml:space="preserve">Slider Evidence</x:t>
  </x:si>
  <x:si>
    <x:t xml:space="preserve">Assertion-level Atom-backed package, browser, mobile, human-review, documentation, Consumer, form, range, and direction evidence.</x:t>
  </x:si>
  <x:si>
    <x:t xml:space="preserve">SL-01</x:t>
  </x:si>
  <x:si>
    <x:t xml:space="preserve">Six-part Brick adapter delegates behavior and semantics to exact installed Atom 0.20.11.</x:t>
  </x:si>
  <x:si>
    <x:t xml:space="preserve">../src/components/slider</x:t>
  </x:si>
  <x:si>
    <x:t xml:space="preserve">Build and focused adapter suite pass.</x:t>
  </x:si>
  <x:si>
    <x:t xml:space="preserve">SL-02</x:t>
  </x:si>
  <x:si>
    <x:t xml:space="preserve">Root, Track, Range, Thumb, Marker, and ValueLabel are independently styled and exported.</x:t>
  </x:si>
  <x:si>
    <x:t xml:space="preserve">../test/components/slider/slider.test.tsx</x:t>
  </x:si>
  <x:si>
    <x:t xml:space="preserve">Focused component suite passes.</x:t>
  </x:si>
  <x:si>
    <x:t xml:space="preserve">SL-03</x:t>
  </x:si>
  <x:si>
    <x:t xml:space="preserve">Root and slider subpath exports expose namespace, named parts, and public types.</x:t>
  </x:si>
  <x:si>
    <x:t xml:space="preserve">../package.json</x:t>
  </x:si>
  <x:si>
    <x:t xml:space="preserve">Build and typecheck pass.</x:t>
  </x:si>
  <x:si>
    <x:t xml:space="preserve">SL-04</x:t>
  </x:si>
  <x:si>
    <x:t xml:space="preserve">Closed size and variant recipes, refs, native props, marker value, and label render details type-check.</x:t>
  </x:si>
  <x:si>
    <x:t xml:space="preserve">../test/types/components/slider.test.ts</x:t>
  </x:si>
  <x:si>
    <x:t xml:space="preserve">Focused typecheck passes.</x:t>
  </x:si>
  <x:si>
    <x:t xml:space="preserve">SL-05</x:t>
  </x:si>
  <x:si>
    <x:t xml:space="preserve">Static CSS ships horizontal/vertical geometry, RTL, states, recipes, 44px targets, and documented variables.</x:t>
  </x:si>
  <x:si>
    <x:t xml:space="preserve">../src/components/slider/slider.css</x:t>
  </x:si>
  <x:si>
    <x:t xml:space="preserve">Production CSS build passes.</x:t>
  </x:si>
  <x:si>
    <x:t xml:space="preserve">SL-06</x:t>
  </x:si>
  <x:si>
    <x:t xml:space="preserve">Values</x:t>
  </x:si>
  <x:si>
    <x:t xml:space="preserve">Single and range values expose correct values and dependent accessible bounds.</x:t>
  </x:si>
  <x:si>
    <x:t xml:space="preserve">tests/components/slider/behavior.spec.ts</x:t>
  </x:si>
  <x:si>
    <x:t xml:space="preserve">Chromium behavior suite passes.</x:t>
  </x:si>
  <x:si>
    <x:t xml:space="preserve">SL-07</x:t>
  </x:si>
  <x:si>
    <x:t xml:space="preserve">Thumb</x:t>
  </x:si>
  <x:si>
    <x:t xml:space="preserve">Keyboard, click, drag, native touch, cancellation, capture loss, vertical, and direction-aware RTL input remain stable.</x:t>
  </x:si>
  <x:si>
    <x:t xml:space="preserve">Cross-browser pointer/capture and native mobile Chromium touch regressions pass against published Atom 0.20.11.</x:t>
  </x:si>
  <x:si>
    <x:t xml:space="preserve">SL-08</x:t>
  </x:si>
  <x:si>
    <x:t xml:space="preserve">Field/forms</x:t>
  </x:si>
  <x:si>
    <x:t xml:space="preserve">Standalone and Field state, one label, hidden named values, submit, and reset contracts are implemented.</x:t>
  </x:si>
  <x:si>
    <x:t xml:space="preserve">Component and Consumer builds pass.</x:t>
  </x:si>
  <x:si>
    <x:t xml:space="preserve">SL-09</x:t>
  </x:si>
  <x:si>
    <x:t xml:space="preserve">sm, md, lg and solid, soft recipes preserve interaction geometry.</x:t>
  </x:si>
  <x:si>
    <x:t xml:space="preserve">Recipe assertions pass.</x:t>
  </x:si>
  <x:si>
    <x:t xml:space="preserve">SL-10</x:t>
  </x:si>
  <x:si>
    <x:t xml:space="preserve">Marker/ValueLabel</x:t>
  </x:si>
  <x:si>
    <x:t xml:space="preserve">Markers position from authored values and value labels render default or formatted details decoratively.</x:t>
  </x:si>
  <x:si>
    <x:t xml:space="preserve">Focused assertions pass.</x:t>
  </x:si>
  <x:si>
    <x:t xml:space="preserve">SL-11</x:t>
  </x:si>
  <x:si>
    <x:t xml:space="preserve">Light, dark, customization, invalid, disabled, read-only, and required paint remain distinct.</x:t>
  </x:si>
  <x:si>
    <x:t xml:space="preserve">tests/components/slider/visual.spec.ts</x:t>
  </x:si>
  <x:si>
    <x:t xml:space="preserve">Owner accepted the corrected live appearance; Chromium visual baselines and preference-state evidence pass.</x:t>
  </x:si>
  <x:si>
    <x:t xml:space="preserve">SL-12</x:t>
  </x:si>
  <x:si>
    <x:t xml:space="preserve">Root/Track</x:t>
  </x:si>
  <x:si>
    <x:t xml:space="preserve">Narrow, long-label, vertical, RTL, mobile, zoom, reduced-motion, and forced-color layouts remain contained.</x:t>
  </x:si>
  <x:si>
    <x:t xml:space="preserve">Owner mobile/LAN review and automated narrow, vertical, RTL, zoom, motion, and forced-color evidence pass.</x:t>
  </x:si>
  <x:si>
    <x:t xml:space="preserve">SL-13</x:t>
  </x:si>
  <x:si>
    <x:t xml:space="preserve">Axe passes; every thumb exposes one named slider with value, bounds, orientation, and inherited state.</x:t>
  </x:si>
  <x:si>
    <x:t xml:space="preserve">Chromium axe and semantic assertions pass.</x:t>
  </x:si>
  <x:si>
    <x:t xml:space="preserve">SL-14</x:t>
  </x:si>
  <x:si>
    <x:t xml:space="preserve">Numbered 01-09 review protocol covers pointer, touch, keyboard, forms, AT, preferences, and stress.</x:t>
  </x:si>
  <x:si>
    <x:t xml:space="preserve">manual-tests/slider.md</x:t>
  </x:si>
  <x:si>
    <x:t xml:space="preserve">Protocol is current; its complete numbered execution remains the only open Slider requirement.</x:t>
  </x:si>
  <x:si>
    <x:t xml:space="preserve">SL-15</x:t>
  </x:si>
  <x:si>
    <x:t xml:space="preserve">Public guide and component changelog document anatomy, recipes, forms, accessibility, tokens, and evidence.</x:t>
  </x:si>
  <x:si>
    <x:t xml:space="preserve">../docs/components/slider/README.md</x:t>
  </x:si>
  <x:si>
    <x:t xml:space="preserve">Documentation verification passes.</x:t>
  </x:si>
  <x:si>
    <x:t xml:space="preserve">SL-16</x:t>
  </x:si>
  <x:si>
    <x:t xml:space="preserve">Packed public slider subpath composes a labelled named preference control in Consumer.</x:t>
  </x:si>
  <x:si>
    <x:t xml:space="preserve">Packed package and Consumer verification pass in the full release gate.</x:t>
  </x:si>
  <x:si>
    <x:t xml:space="preserve">Rating Evidence</x:t>
  </x:si>
  <x:si>
    <x:t xml:space="preserve">Assertion-level Atom-backed package, browser, mobile, human-review, documentation, Consumer, form, precision, and artwork evidence.</x:t>
  </x:si>
  <x:si>
    <x:t xml:space="preserve">RT-01</x:t>
  </x:si>
  <x:si>
    <x:t xml:space="preserve">Two-part Brick adapter delegates behavior and semantics to exact installed Atom 0.20.11.</x:t>
  </x:si>
  <x:si>
    <x:t xml:space="preserve">../src/components/rating</x:t>
  </x:si>
  <x:si>
    <x:t xml:space="preserve">RT-02</x:t>
  </x:si>
  <x:si>
    <x:t xml:space="preserve">Root and Item are styled/exported; empty and proportional fill artwork layers remain private.</x:t>
  </x:si>
  <x:si>
    <x:t xml:space="preserve">../test/components/rating/rating.test.tsx</x:t>
  </x:si>
  <x:si>
    <x:t xml:space="preserve">RT-03</x:t>
  </x:si>
  <x:si>
    <x:t xml:space="preserve">Root and rating subpath exports expose namespace, named parts, and public types.</x:t>
  </x:si>
  <x:si>
    <x:t xml:space="preserve">RT-04</x:t>
  </x:si>
  <x:si>
    <x:t xml:space="preserve">Closed size, tone, and variant recipes, refs, native props, and required item values type-check.</x:t>
  </x:si>
  <x:si>
    <x:t xml:space="preserve">../test/types/components/rating.test.ts</x:t>
  </x:si>
  <x:si>
    <x:t xml:space="preserve">RT-05</x:t>
  </x:si>
  <x:si>
    <x:t xml:space="preserve">Static CSS ships proportional fill, RTL, states, recipes, 44px targets, preferences, and documented variables.</x:t>
  </x:si>
  <x:si>
    <x:t xml:space="preserve">../src/components/rating/rating.css</x:t>
  </x:si>
  <x:si>
    <x:t xml:space="preserve">RT-06</x:t>
  </x:si>
  <x:si>
    <x:t xml:space="preserve">Five decorative items expose one focusable slider with numeric and human-readable value text.</x:t>
  </x:si>
  <x:si>
    <x:t xml:space="preserve">tests/components/rating/behavior.spec.ts</x:t>
  </x:si>
  <x:si>
    <x:t xml:space="preserve">Chromium semantics suite passes.</x:t>
  </x:si>
  <x:si>
    <x:t xml:space="preserve">RT-07</x:t>
  </x:si>
  <x:si>
    <x:t xml:space="preserve">Precision</x:t>
  </x:si>
  <x:si>
    <x:t xml:space="preserve">Integer and half-step values produce correct full, partial, and empty item fill.</x:t>
  </x:si>
  <x:si>
    <x:t xml:space="preserve">Fractional browser and component assertions pass.</x:t>
  </x:si>
  <x:si>
    <x:t xml:space="preserve">RT-08</x:t>
  </x:si>
  <x:si>
    <x:t xml:space="preserve">Keyboard, stable repeat activation, opt-in clearing, cross-item drag, native touch, capture loss, fractional segments, and RTL input work.</x:t>
  </x:si>
  <x:si>
    <x:t xml:space="preserve">The complete desktop/mobile browser matrix passes against published Atom 0.20.11, including allowClear and capture regressions.</x:t>
  </x:si>
  <x:si>
    <x:t xml:space="preserve">RT-09</x:t>
  </x:si>
  <x:si>
    <x:t xml:space="preserve">Standalone and Field state, one label, hidden scalar value, submit, reset, and focusable read-only contracts are implemented.</x:t>
  </x:si>
  <x:si>
    <x:t xml:space="preserve">RT-10</x:t>
  </x:si>
  <x:si>
    <x:t xml:space="preserve">Three sizes, two tones, and solid/outline variants preserve one interaction model.</x:t>
  </x:si>
  <x:si>
    <x:t xml:space="preserve">RT-11</x:t>
  </x:si>
  <x:si>
    <x:t xml:space="preserve">Artwork</x:t>
  </x:si>
  <x:si>
    <x:t xml:space="preserve">Default stars and consumer-provided decorative artwork receive identical proportional layers.</x:t>
  </x:si>
  <x:si>
    <x:t xml:space="preserve">Default and custom artwork assertions pass.</x:t>
  </x:si>
  <x:si>
    <x:t xml:space="preserve">RT-12</x:t>
  </x:si>
  <x:si>
    <x:t xml:space="preserve">tests/components/rating/visual.spec.ts</x:t>
  </x:si>
  <x:si>
    <x:t xml:space="preserve">Owner accepted the corrected live Rating presentation; Chromium visual baselines and state evidence pass.</x:t>
  </x:si>
  <x:si>
    <x:t xml:space="preserve">RT-13</x:t>
  </x:si>
  <x:si>
    <x:t xml:space="preserve">Narrow, long-label, RTL, mobile, zoom, reduced-motion, forced-color, and coarse-pointer layouts remain contained.</x:t>
  </x:si>
  <x:si>
    <x:t xml:space="preserve">Owner mobile/LAN review and automated narrow, RTL, zoom, motion, forced-color, and coarse-pointer evidence pass.</x:t>
  </x:si>
  <x:si>
    <x:t xml:space="preserve">RT-14</x:t>
  </x:si>
  <x:si>
    <x:t xml:space="preserve">Axe passes; decorative items remain silent and one slider exposes value and state.</x:t>
  </x:si>
  <x:si>
    <x:t xml:space="preserve">RT-15</x:t>
  </x:si>
  <x:si>
    <x:t xml:space="preserve">Numbered 01-09 protocol covers pointer, drag, touch, keyboard, forms, AT, preferences, and stress.</x:t>
  </x:si>
  <x:si>
    <x:t xml:space="preserve">manual-tests/rating.md</x:t>
  </x:si>
  <x:si>
    <x:t xml:space="preserve">Protocol is current; its complete numbered execution remains the only open Rating requirement.</x:t>
  </x:si>
  <x:si>
    <x:t xml:space="preserve">RT-16</x:t>
  </x:si>
  <x:si>
    <x:t xml:space="preserve">Public guide and changelog document anatomy, recipes, forms, accessibility, tokens, and evidence.</x:t>
  </x:si>
  <x:si>
    <x:t xml:space="preserve">../docs/components/rating/README.md</x:t>
  </x:si>
  <x:si>
    <x:t xml:space="preserve">RT-17</x:t>
  </x:si>
  <x:si>
    <x:t xml:space="preserve">Packed public rating subpath composes a labelled named workflow input in Consumer.</x:t>
  </x:si>
  <x:si>
    <x:t xml:space="preserve">File Upload Evidence</x:t>
  </x:si>
  <x:si>
    <x:t xml:space="preserve">Assertion-level Atom-backed picker, drag/drop, Field/Form, file-list, visual, responsive, accessibility, package, documentation, Consumer, and manual evidence.</x:t>
  </x:si>
  <x:si>
    <x:t xml:space="preserve">FU-01</x:t>
  </x:si>
  <x:si>
    <x:t xml:space="preserve">Brick styles exact installed Atom 0.20.11 picker, files, validation, Field/Form, drag/drop, document-drop protection, reset, and removal behavior without recreating it.</x:t>
  </x:si>
  <x:si>
    <x:t xml:space="preserve">../src/components/file-upload/FileUpload.tsx; ../package.json</x:t>
  </x:si>
  <x:si>
    <x:t xml:space="preserve">Exact Atom 0.20.11 is installed; complete source and package checks pass.</x:t>
  </x:si>
  <x:si>
    <x:t xml:space="preserve">FU-02</x:t>
  </x:si>
  <x:si>
    <x:t xml:space="preserve">Nine-part namespace and named exports expose Root, HiddenInput, Trigger, Dropzone, ItemGroup, Item, ItemName, ItemSize, and ItemDeleteTrigger.</x:t>
  </x:si>
  <x:si>
    <x:t xml:space="preserve">../test/components/file-upload/file-upload.test.tsx</x:t>
  </x:si>
  <x:si>
    <x:t xml:space="preserve">FU-03</x:t>
  </x:si>
  <x:si>
    <x:t xml:space="preserve">Native div, input, button, ul, li, and span hosts retain exact slots, classes, refs, function children, default picker copy, and file-specific removal naming.</x:t>
  </x:si>
  <x:si>
    <x:t xml:space="preserve">Focused anatomy, defaults, and ref assertions pass.</x:t>
  </x:si>
  <x:si>
    <x:t xml:space="preserve">FU-04</x:t>
  </x:si>
  <x:si>
    <x:t xml:space="preserve">Closed size, variant, and shape recipes plus fullWidth, Atom file/form props, part props, native composition, and refs type-check.</x:t>
  </x:si>
  <x:si>
    <x:t xml:space="preserve">../test/types/components/file-upload.test.ts</x:t>
  </x:si>
  <x:si>
    <x:t xml:space="preserve">Focused public-surface typecheck passes.</x:t>
  </x:si>
  <x:si>
    <x:t xml:space="preserve">FU-05</x:t>
  </x:si>
  <x:si>
    <x:t xml:space="preserve">Root and file-upload subpath exports preserve namespace and named runtime identity with complete declarations.</x:t>
  </x:si>
  <x:si>
    <x:t xml:space="preserve">Root/subpath runtime and declaration checks pass.</x:t>
  </x:si>
  <x:si>
    <x:t xml:space="preserve">FU-06</x:t>
  </x:si>
  <x:si>
    <x:t xml:space="preserve">Root / picker</x:t>
  </x:si>
  <x:si>
    <x:t xml:space="preserve">File Upload imports server-safely and emits deterministic empty picker and dropzone anatomy.</x:t>
  </x:si>
  <x:si>
    <x:t xml:space="preserve">SSR package assertion passes.</x:t>
  </x:si>
  <x:si>
    <x:t xml:space="preserve">FU-07</x:t>
  </x:si>
  <x:si>
    <x:t xml:space="preserve">Static CSS ships outline/soft, sm/md/lg, sharp/rounded, full/fit, state paint, logical containment, 44px actions, and public variables.</x:t>
  </x:si>
  <x:si>
    <x:t xml:space="preserve">../src/components/file-upload/file-upload.css</x:t>
  </x:si>
  <x:si>
    <x:t xml:space="preserve">Production CSS build and prototype checks pass.</x:t>
  </x:si>
  <x:si>
    <x:t xml:space="preserve">FU-08</x:t>
  </x:si>
  <x:si>
    <x:t xml:space="preserve">Picker</x:t>
  </x:si>
  <x:si>
    <x:t xml:space="preserve">HiddenInput / Trigger</x:t>
  </x:si>
  <x:si>
    <x:t xml:space="preserve">Native picker selection supports one or multiple accepted files, selected-file review, removal, and reselection through visible Trigger activation.</x:t>
  </x:si>
  <x:si>
    <x:t xml:space="preserve">tests/components/file-upload/behavior.spec.ts</x:t>
  </x:si>
  <x:si>
    <x:t xml:space="preserve">Picker selection and removal pass in all configured desktop and mobile browser projects.</x:t>
  </x:si>
  <x:si>
    <x:t xml:space="preserve">FU-09</x:t>
  </x:si>
  <x:si>
    <x:t xml:space="preserve">Drag and drop</x:t>
  </x:si>
  <x:si>
    <x:t xml:space="preserve">Dropzone</x:t>
  </x:si>
  <x:si>
    <x:t xml:space="preserve">Pre-drop accepted and rejected states are truthful, rejected candidates remain excluded, and file-only document-drop protection preserves unrelated drag/drop.</x:t>
  </x:si>
  <x:si>
    <x:t xml:space="preserve">tests/components/file-upload/behavior.spec.ts; @flowstack-ui/atom 0.19.7 behavior suite</x:t>
  </x:si>
  <x:si>
    <x:t xml:space="preserve">Drag acceptance/rejection passes in Chromium, Firefox, WebKit, mobile Chromium, and mobile WebKit.</x:t>
  </x:si>
  <x:si>
    <x:t xml:space="preserve">FU-10</x:t>
  </x:si>
  <x:si>
    <x:t xml:space="preserve">Constraints</x:t>
  </x:si>
  <x:si>
    <x:t xml:space="preserve">Root / Dropzone</x:t>
  </x:si>
  <x:si>
    <x:t xml:space="preserve">accept, maxFiles, maxSize, validateFile, append/replace, and localized rejection feedback remain application-observable and separate from Field invalidity.</x:t>
  </x:si>
  <x:si>
    <x:t xml:space="preserve">Accepted and rejected fixture assertions pass without conflating candidate rejection and invalid state.</x:t>
  </x:si>
  <x:si>
    <x:t xml:space="preserve">FU-11</x:t>
  </x:si>
  <x:si>
    <x:t xml:space="preserve">Field and forms</x:t>
  </x:si>
  <x:si>
    <x:t xml:space="preserve">Root / HiddenInput / Trigger</x:t>
  </x:si>
  <x:si>
    <x:t xml:space="preserve">Standalone and one-Field composition preserve one label, descriptions, required/invalid state, visible focus delegation, named FormData files, submit, external ownership, and reset.</x:t>
  </x:si>
  <x:si>
    <x:t xml:space="preserve">tests/components/file-upload/behavior.spec.ts; ../apps/consumer/tests/consumer.spec.ts</x:t>
  </x:si>
  <x:si>
    <x:t xml:space="preserve">Field relationships and native reset pass in focused browser and Consumer suites.</x:t>
  </x:si>
  <x:si>
    <x:t xml:space="preserve">FU-12</x:t>
  </x:si>
  <x:si>
    <x:t xml:space="preserve">All interactive parts</x:t>
  </x:si>
  <x:si>
    <x:t xml:space="preserve">Disabled and read-only states remain readable and non-mutating; controlled and uncontrolled file ownership stay distinct.</x:t>
  </x:si>
  <x:si>
    <x:t xml:space="preserve">../test/components/file-upload/file-upload.test.tsx; tests/components/file-upload/behavior.spec.ts</x:t>
  </x:si>
  <x:si>
    <x:t xml:space="preserve">Component and browser state assertions pass.</x:t>
  </x:si>
  <x:si>
    <x:t xml:space="preserve">FU-13</x:t>
  </x:si>
  <x:si>
    <x:t xml:space="preserve">Outline and soft recipes change only surface and border treatment while preserving anatomy and geometry.</x:t>
  </x:si>
  <x:si>
    <x:t xml:space="preserve">tests/components/file-upload/visual.spec.ts</x:t>
  </x:si>
  <x:si>
    <x:t xml:space="preserve">Chromium recipe baseline passes and was visually inspected.</x:t>
  </x:si>
  <x:si>
    <x:t xml:space="preserve">FU-14</x:t>
  </x:si>
  <x:si>
    <x:t xml:space="preserve">Sizes and shapes</x:t>
  </x:si>
  <x:si>
    <x:t xml:space="preserve">Root / actions / items</x:t>
  </x:si>
  <x:si>
    <x:t xml:space="preserve">sm, md, lg and sharp/rounded recipes preserve effective action targets, coordinated corners, and stable item geometry.</x:t>
  </x:si>
  <x:si>
    <x:t xml:space="preserve">tests/components/file-upload/behavior.spec.ts; tests/components/file-upload/visual.spec.ts</x:t>
  </x:si>
  <x:si>
    <x:t xml:space="preserve">Geometry and visual recipe evidence passes.</x:t>
  </x:si>
  <x:si>
    <x:t xml:space="preserve">FU-15</x:t>
  </x:si>
  <x:si>
    <x:t xml:space="preserve">File content</x:t>
  </x:si>
  <x:si>
    <x:t xml:space="preserve">Item / ItemName / ItemSize / ItemDeleteTrigger</x:t>
  </x:si>
  <x:si>
    <x:t xml:space="preserve">Multiple long filenames, complete accessible names, formatted sizes, and remove actions remain readable and contained without sharp overflow edges.</x:t>
  </x:si>
  <x:si>
    <x:t xml:space="preserve">Filled and stress baselines pass and were visually inspected.</x:t>
  </x:si>
  <x:si>
    <x:t xml:space="preserve">FU-16</x:t>
  </x:si>
  <x:si>
    <x:t xml:space="preserve">Full and intrinsic widths, narrow mobile reflow, wrapping instructions, ellipsized names, and 44px actions remain within the page.</x:t>
  </x:si>
  <x:si>
    <x:t xml:space="preserve">Narrow and target-size assertions pass in all configured browser/device projects.</x:t>
  </x:si>
  <x:si>
    <x:t xml:space="preserve">FU-17</x:t>
  </x:si>
  <x:si>
    <x:t xml:space="preserve">Logical layout visibly mirrors item actions and dropzone composition without changing filename direction or causing overflow.</x:t>
  </x:si>
  <x:si>
    <x:t xml:space="preserve">RTL action placement and containment assertions pass.</x:t>
  </x:si>
  <x:si>
    <x:t xml:space="preserve">FU-18</x:t>
  </x:si>
  <x:si>
    <x:t xml:space="preserve">Light, dark, forced-color, reduced-motion, invalid, disabled, read-only, accepted, and rejected paint retain boundaries and non-color distinctions.</x:t>
  </x:si>
  <x:si>
    <x:t xml:space="preserve">Appearance, state, and stress baselines pass and were visually inspected.</x:t>
  </x:si>
  <x:si>
    <x:t xml:space="preserve">FU-19</x:t>
  </x:si>
  <x:si>
    <x:t xml:space="preserve">Stable classes, slots, public variables, className, style, authored Trigger content, and custom delete content preserve Atom behavior.</x:t>
  </x:si>
  <x:si>
    <x:t xml:space="preserve">../test/components/file-upload/file-upload.test.tsx; ../docs/components/file-upload/README.md</x:t>
  </x:si>
  <x:si>
    <x:t xml:space="preserve">Customization assertions and documentation contract pass.</x:t>
  </x:si>
  <x:si>
    <x:t xml:space="preserve">FU-20</x:t>
  </x:si>
  <x:si>
    <x:t xml:space="preserve">HiddenInput / Trigger / Dropzone / items</x:t>
  </x:si>
  <x:si>
    <x:t xml:space="preserve">One field label, action wording, description/error relationships, required/invalid state, picker alternative, file-specific removal names, focus, targets, and axe checks pass.</x:t>
  </x:si>
  <x:si>
    <x:t xml:space="preserve">Focused axe and semantic assertions pass across all configured projects.</x:t>
  </x:si>
  <x:si>
    <x:t xml:space="preserve">FU-21</x:t>
  </x:si>
  <x:si>
    <x:t xml:space="preserve">One route exposes nine ordered, separately padded scenarios with compact badges, titles/descriptions, states, Field/Form, customization, responsive, and visibly mirrored RTL evidence.</x:t>
  </x:si>
  <x:si>
    <x:t xml:space="preserve">src/components/file-upload/FileUploadPage.tsx</x:t>
  </x:si>
  <x:si>
    <x:t xml:space="preserve">Playground ownership, composition, route, and focused browser checks pass.</x:t>
  </x:si>
  <x:si>
    <x:t xml:space="preserve">FU-22</x:t>
  </x:si>
  <x:si>
    <x:t xml:space="preserve">Reviewed baselines cover overview, variants, recipes, states, appearance/customization, and mobile stress without layout overflow.</x:t>
  </x:si>
  <x:si>
    <x:t xml:space="preserve">tests/components/file-upload/visual.spec.ts; tests/components/file-upload/visual.spec.ts-snapshots</x:t>
  </x:si>
  <x:si>
    <x:t xml:space="preserve">Six Chromium baselines pass and were visually inspected on July 29, 2026.</x:t>
  </x:si>
  <x:si>
    <x:t xml:space="preserve">FU-23</x:t>
  </x:si>
  <x:si>
    <x:t xml:space="preserve">Guide documents role, exclusions, anatomy, API, Field/Form composition, constraints, rejection policy, recipes, accessibility, customization, refs, and evidence.</x:t>
  </x:si>
  <x:si>
    <x:t xml:space="preserve">../docs/components/file-upload/README.md</x:t>
  </x:si>
  <x:si>
    <x:t xml:space="preserve">Structural and semantic documentation verification passes.</x:t>
  </x:si>
  <x:si>
    <x:t xml:space="preserve">FU-24</x:t>
  </x:si>
  <x:si>
    <x:t xml:space="preserve">Component and package changelogs describe the release-facing File Upload addition and Atom dependency.</x:t>
  </x:si>
  <x:si>
    <x:t xml:space="preserve">../docs/components/file-upload/CHANGELOG.md; ../CHANGELOG.md</x:t>
  </x:si>
  <x:si>
    <x:t xml:space="preserve">Changelog contract verification passes.</x:t>
  </x:si>
  <x:si>
    <x:t xml:space="preserve">FU-25</x:t>
  </x:si>
  <x:si>
    <x:t xml:space="preserve">Root / Field / items</x:t>
  </x:si>
  <x:si>
    <x:t xml:space="preserve">Packed Consumer composes a realistic local attachment field with constraints, rejection feedback, removal, native reset, and public file-upload subpath imports.</x:t>
  </x:si>
  <x:si>
    <x:t xml:space="preserve">Packed Consumer desktop/mobile suite and app artifact verification pass.</x:t>
  </x:si>
  <x:si>
    <x:t xml:space="preserve">FU-26</x:t>
  </x:si>
  <x:si>
    <x:t xml:space="preserve">Numbered owner protocol covers desktop/mobile picker, external file drag, keyboard, touch, assistive technology, Field/Form validation, preferences, zoom, RTL, and outside-drop safety.</x:t>
  </x:si>
  <x:si>
    <x:t xml:space="preserve">manual-tests/file-upload.md</x:t>
  </x:si>
  <x:si>
    <x:t xml:space="preserve">Human manual run intentionally deferred.</x:t>
  </x:si>
  <x:si>
    <x:t xml:space="preserve">FU-27</x:t>
  </x:si>
  <x:si>
    <x:t xml:space="preserve">Build, declarations, exports, SSR, CSS, docs, tarball, exact Atom 0.20.11, clean React 18/19 consumers, focused five-project browsers, and Consumer pass.</x:t>
  </x:si>
  <x:si>
    <x:t xml:space="preserve">Complete repository check, 853-file pack check, React 18/19, focused browser matrix, and packed Consumer verification pass.</x:t>
  </x:si>
  <x:si>
    <x:t xml:space="preserve">FU-28</x:t>
  </x:si>
  <x:si>
    <x:t xml:space="preserve">Network upload, previews, progress, retry, persistence, directory/capture/paste modes, transforms, duplicate policy, and server/security claims remain outside File Upload.</x:t>
  </x:si>
  <x:si>
    <x:t xml:space="preserve">Skip Link Evidence</x:t>
  </x:si>
  <x:si>
    <x:t xml:space="preserve">Assertion-level Atom-backed bypass-link focus, activation, destination, composition, viewport, accessibility, visual, documentation, Consumer, and package evidence.</x:t>
  </x:si>
  <x:si>
    <x:t xml:space="preserve">Root / Target</x:t>
  </x:si>
  <x:si>
    <x:t xml:space="preserve">Brick delegates focus transfer, target resolution, native fallback, and continuation to exact installed Atom 0.20.11 and adds only stable Brick hooks and visual treatment.</x:t>
  </x:si>
  <x:si>
    <x:t xml:space="preserve">../src/components/skip-link/SkipLink.tsx; ../package.json</x:t>
  </x:si>
  <x:si>
    <x:t xml:space="preserve">Exact released Atom behavior and public adapter source were audited.</x:t>
  </x:si>
  <x:si>
    <x:t xml:space="preserve">The two-part namespace preserves the anchor Root and focusable destination Target, default IDs, native props, authored IDs, children, composition, and refs.</x:t>
  </x:si>
  <x:si>
    <x:t xml:space="preserve">../test/components/skip-link/skip-link.test.tsx</x:t>
  </x:si>
  <x:si>
    <x:t xml:space="preserve">Focused component anatomy and ref assertions pass.</x:t>
  </x:si>
  <x:si>
    <x:t xml:space="preserve">SkipLink</x:t>
  </x:si>
  <x:si>
    <x:t xml:space="preserve">Root and skip-link subpath expose the namespace, named parts, and prop types with identical runtime identities.</x:t>
  </x:si>
  <x:si>
    <x:t xml:space="preserve">Root/subpath import assertions pass.</x:t>
  </x:si>
  <x:si>
    <x:t xml:space="preserve">Native anchor and target props, custom fragment IDs, render/asChild composition, class hooks, events, and refs type-check through the public subpath.</x:t>
  </x:si>
  <x:si>
    <x:t xml:space="preserve">../test/types/components/skip-link.test.ts</x:t>
  </x:si>
  <x:si>
    <x:t xml:space="preserve">Focused public typecheck passes.</x:t>
  </x:si>
  <x:si>
    <x:t xml:space="preserve">The public package imports server-safely and emits deterministic bypass-link and destination markup without browser globals during render.</x:t>
  </x:si>
  <x:si>
    <x:t xml:space="preserve">Server-safe package import and render checks pass.</x:t>
  </x:si>
  <x:si>
    <x:t xml:space="preserve">Static CSS keeps the unfocused link outside the viewport, reveals a 44px logical overlay on focus, preserves opaque paint, focus contrast, forced colors, and public variables.</x:t>
  </x:si>
  <x:si>
    <x:t xml:space="preserve">../src/components/skip-link/skip-link.css; ../scripts/prototype-css.mjs</x:t>
  </x:si>
  <x:si>
    <x:t xml:space="preserve">Production CSS and prototype validation pass.</x:t>
  </x:si>
  <x:si>
    <x:t xml:space="preserve">First focus</x:t>
  </x:si>
  <x:si>
    <x:t xml:space="preserve">When authored first, the bypass link is the first Tab stop, has no unfocused visual/layout artifact, and becomes fully visible immediately on focus.</x:t>
  </x:si>
  <x:si>
    <x:t xml:space="preserve">tests/components/skip-link/behavior.spec.ts</x:t>
  </x:si>
  <x:si>
    <x:t xml:space="preserve">Focused Chromium behavior assertion passes.</x:t>
  </x:si>
  <x:si>
    <x:t xml:space="preserve">Activation focuses and scrolls the paired primary-content target, then the next Tab continues to the first interactive descendant.</x:t>
  </x:si>
  <x:si>
    <x:t xml:space="preserve">tests/components/skip-link/behavior.spec.ts; @flowstack-ui/atom 0.19.7 behavior suite</x:t>
  </x:si>
  <x:si>
    <x:t xml:space="preserve">Released Atom transfer and continuation behavior pass in a real browser.</x:t>
  </x:si>
  <x:si>
    <x:t xml:space="preserve">Fallback ownership</x:t>
  </x:si>
  <x:si>
    <x:t xml:space="preserve">Prevented activation, native-only fragment navigation, and missing-target navigation remain observably distinct without Brick inventing recovery behavior.</x:t>
  </x:si>
  <x:si>
    <x:t xml:space="preserve">All three ownership paths pass independently.</x:t>
  </x:si>
  <x:si>
    <x:t xml:space="preserve">Custom IDs, asChild/render hosts, authored slots and classes, native events, and forwarded refs remain inspectable on both parts.</x:t>
  </x:si>
  <x:si>
    <x:t xml:space="preserve">../test/components/skip-link/skip-link.test.tsx; tests/components/skip-link/behavior.spec.ts</x:t>
  </x:si>
  <x:si>
    <x:t xml:space="preserve">Sticky chrome</x:t>
  </x:si>
  <x:si>
    <x:t xml:space="preserve">Focused Root uses fixed logical placement and a layer above repeated sticky application chrome without inheriting shell layout or scroll-offset policy.</x:t>
  </x:si>
  <x:si>
    <x:t xml:space="preserve">tests/components/skip-link/behavior.spec.ts; tests/components/skip-link/visual.spec.ts</x:t>
  </x:si>
  <x:si>
    <x:t xml:space="preserve">Geometry and focused sticky-shell baseline pass.</x:t>
  </x:si>
  <x:si>
    <x:t xml:space="preserve">Responsive and RTL</x:t>
  </x:si>
  <x:si>
    <x:t xml:space="preserve">Long localized copy, narrow mobile width, logical RTL placement, dark appearance, and 200% zoom remain contained without page overflow.</x:t>
  </x:si>
  <x:si>
    <x:t xml:space="preserve">Narrow RTL and zoom assertions pass.</x:t>
  </x:si>
  <x:si>
    <x:t xml:space="preserve">The named link and main destination retain native semantics, visible keyboard focus, forced-color treatment, and no automatically detectable route violations.</x:t>
  </x:si>
  <x:si>
    <x:t xml:space="preserve">Focused axe and semantic assertions pass.</x:t>
  </x:si>
  <x:si>
    <x:t xml:space="preserve">Reviewed baselines prove opaque focused paint in light/dark, sticky overlay separation, customization, mobile RTL containment, and forced-color focus.</x:t>
  </x:si>
  <x:si>
    <x:t xml:space="preserve">tests/components/skip-link/visual.spec.ts</x:t>
  </x:si>
  <x:si>
    <x:t xml:space="preserve">Agent inspected all six Skip Link baselines on 2026-07-29.</x:t>
  </x:si>
  <x:si>
    <x:t xml:space="preserve">One navigable route exposes eight separated scenarios with badges, titles, descriptions, appearance, customization, native paths, composition, sticky chrome, and stress evidence.</x:t>
  </x:si>
  <x:si>
    <x:t xml:space="preserve">src/components/skip-link/SkipLinkPage.tsx</x:t>
  </x:si>
  <x:si>
    <x:t xml:space="preserve">Playground build and focused route checks pass.</x:t>
  </x:si>
  <x:si>
    <x:t xml:space="preserve">Source-backed use, misuse, anatomy, API, focus behavior, hooks, customization, responsive behavior, accessibility, composition, and evidence are documented.</x:t>
  </x:si>
  <x:si>
    <x:t xml:space="preserve">../docs/components/skip-link/README.md</x:t>
  </x:si>
  <x:si>
    <x:t xml:space="preserve">Component documentation contract passes.</x:t>
  </x:si>
  <x:si>
    <x:t xml:space="preserve">SL-17</x:t>
  </x:si>
  <x:si>
    <x:t xml:space="preserve">Skip Link owns a public component changelog and the package changelog records the public addition.</x:t>
  </x:si>
  <x:si>
    <x:t xml:space="preserve">../docs/components/skip-link/CHANGELOG.md; ../CHANGELOG.md</x:t>
  </x:si>
  <x:si>
    <x:t xml:space="preserve">Both public changelog surfaces are present.</x:t>
  </x:si>
  <x:si>
    <x:t xml:space="preserve">SL-18</x:t>
  </x:si>
  <x:si>
    <x:t xml:space="preserve">Packed Consumer imports the public subpath, composes Root before repeated chrome, transfers focus to main content, and continues into its first interactive descendant.</x:t>
  </x:si>
  <x:si>
    <x:t xml:space="preserve">Packed app Consumer and desktop/mobile Chromium keyboard proof pass.</x:t>
  </x:si>
  <x:si>
    <x:t xml:space="preserve">SL-19</x:t>
  </x:si>
  <x:si>
    <x:t xml:space="preserve">A tester completes the numbered keyboard, target-transfer, native fallback, sticky, mobile, zoom, RTL, forced-color, screen-reader, and no-JavaScript protocol.</x:t>
  </x:si>
  <x:si>
    <x:t xml:space="preserve">manual-tests/skip-link.md</x:t>
  </x:si>
  <x:si>
    <x:t xml:space="preserve">Human run intentionally left as the sole manual gate.</x:t>
  </x:si>
  <x:si>
    <x:t xml:space="preserve">SL-20</x:t>
  </x:si>
  <x:si>
    <x:t xml:space="preserve">Complete check, SSR, tarball, React 18/19, packed Consumer, and five-project component behavior pass; canonical full-matrix visual rendering remains a PR CI gate.</x:t>
  </x:si>
  <x:si>
    <x:t xml:space="preserve">Show Evidence</x:t>
  </x:si>
  <x:si>
    <x:t xml:space="preserve">Assertion-level CSS-only responsive visibility, composition, accessibility, package, Consumer, playground, visual, and manual evidence.</x:t>
  </x:si>
  <x:si>
    <x:t xml:space="preserve">SH-01</x:t>
  </x:si>
  <x:si>
    <x:t xml:space="preserve">Show is a Brick-owned CSS layout utility; research found no Atom primitive or behavior patch is required.</x:t>
  </x:si>
  <x:si>
    <x:t xml:space="preserve">../src/components/show/Show.tsx; ../src/components/_responsive-visibility/ResponsiveVisibility.tsx</x:t>
  </x:si>
  <x:si>
    <x:t xml:space="preserve">Source audit confirms the deliberate no-Atom boundary.</x:t>
  </x:si>
  <x:si>
    <x:t xml:space="preserve">SH-02</x:t>
  </x:si>
  <x:si>
    <x:t xml:space="preserve">One always-mounted native host receives the brick-show class, data-from threshold, data-slot hook, children, and forwarded ref.</x:t>
  </x:si>
  <x:si>
    <x:t xml:space="preserve">../test/components/show/show.test.tsx</x:t>
  </x:si>
  <x:si>
    <x:t xml:space="preserve">Focused component anatomy assertions pass.</x:t>
  </x:si>
  <x:si>
    <x:t xml:space="preserve">SH-03</x:t>
  </x:si>
  <x:si>
    <x:t xml:space="preserve">Root and show subpath exports expose Show, ShowProps, ShowElement, and ShowBreakpoint with identical runtime identity.</x:t>
  </x:si>
  <x:si>
    <x:t xml:space="preserve">Package export and clean-consumer identity checks pass.</x:t>
  </x:si>
  <x:si>
    <x:t xml:space="preserve">SH-04</x:t>
  </x:si>
  <x:si>
    <x:t xml:space="preserve">Required from threshold, closed hosts and breakpoints, native props, style, slot, children, and HTMLElement refs type-check while hidden is excluded.</x:t>
  </x:si>
  <x:si>
    <x:t xml:space="preserve">../test/types/components/show.test.ts</x:t>
  </x:si>
  <x:si>
    <x:t xml:space="preserve">Focused and repository-wide type checks pass.</x:t>
  </x:si>
  <x:si>
    <x:t xml:space="preserve">SH-05</x:t>
  </x:si>
  <x:si>
    <x:t xml:space="preserve">Show imports server-safely and emits deterministic always-mounted markup without reading viewport state during render.</x:t>
  </x:si>
  <x:si>
    <x:t xml:space="preserve">React server rendering and clean React 18/19 consumers pass.</x:t>
  </x:si>
  <x:si>
    <x:t xml:space="preserve">SH-06</x:t>
  </x:si>
  <x:si>
    <x:t xml:space="preserve">Static CSS ships sm 30rem, md 48rem, lg 64rem, and xl 80rem media boundaries and hides only brick-show with display none important.</x:t>
  </x:si>
  <x:si>
    <x:t xml:space="preserve">../src/components/show/show.css; ../scripts/prototype-css.mjs</x:t>
  </x:si>
  <x:si>
    <x:t xml:space="preserve">Production CSS and packaged CSS assertions pass.</x:t>
  </x:si>
  <x:si>
    <x:t xml:space="preserve">SH-07</x:t>
  </x:si>
  <x:si>
    <x:t xml:space="preserve">Breakpoint edges</x:t>
  </x:si>
  <x:si>
    <x:t xml:space="preserve">At 767px and 768px the md boundary changes exactly once and Show has no overlap or gap.</x:t>
  </x:si>
  <x:si>
    <x:t xml:space="preserve">tests/components/show/behavior.spec.ts</x:t>
  </x:si>
  <x:si>
    <x:t xml:space="preserve">All five configured browser/device projects pass.</x:t>
  </x:si>
  <x:si>
    <x:t xml:space="preserve">SH-08</x:t>
  </x:si>
  <x:si>
    <x:t xml:space="preserve">Display preservation</x:t>
  </x:si>
  <x:si>
    <x:t xml:space="preserve">Visible block, inline, flex, and grid hosts retain their authored computed display instead of receiving an invented visible display value.</x:t>
  </x:si>
  <x:si>
    <x:t xml:space="preserve">Computed-display assertions pass.</x:t>
  </x:si>
  <x:si>
    <x:t xml:space="preserve">SH-09</x:t>
  </x:si>
  <x:si>
    <x:t xml:space="preserve">Mounted state</x:t>
  </x:si>
  <x:si>
    <x:t xml:space="preserve">Responsive hiding never unmounts children, so authored local state survives a transition from shown to visible.</x:t>
  </x:si>
  <x:si>
    <x:t xml:space="preserve">Resize and retained-state assertions pass.</x:t>
  </x:si>
  <x:si>
    <x:t xml:space="preserve">SH-10</x:t>
  </x:si>
  <x:si>
    <x:t xml:space="preserve">Accessibility tree</x:t>
  </x:si>
  <x:si>
    <x:t xml:space="preserve">Controls inside a display-none branch are absent from the accessibility tree and return when their branch becomes visible.</x:t>
  </x:si>
  <x:si>
    <x:t xml:space="preserve">Role visibility and focused axe assertions pass.</x:t>
  </x:si>
  <x:si>
    <x:t xml:space="preserve">SH-11</x:t>
  </x:si>
  <x:si>
    <x:t xml:space="preserve">Show / Hide</x:t>
  </x:si>
  <x:si>
    <x:t xml:space="preserve">Show and Hide remain independent exact complements and compose without a public Visibility mode namespace.</x:t>
  </x:si>
  <x:si>
    <x:t xml:space="preserve">Complementary boundary assertions pass.</x:t>
  </x:si>
  <x:si>
    <x:t xml:space="preserve">SH-12</x:t>
  </x:si>
  <x:si>
    <x:t xml:space="preserve">Semantic hosts</x:t>
  </x:si>
  <x:si>
    <x:t xml:space="preserve">Closed div, span, section, article, navigation, landmark, and list hosts preserve authored semantics without adding roles or names.</x:t>
  </x:si>
  <x:si>
    <x:t xml:space="preserve">Semantic host and no-invented-ARIA assertions pass.</x:t>
  </x:si>
  <x:si>
    <x:t xml:space="preserve">SH-13</x:t>
  </x:si>
  <x:si>
    <x:t xml:space="preserve">Class, style, slot, data attributes, events, aria attributes, children, and forwarded HTMLElement refs target the single public host.</x:t>
  </x:si>
  <x:si>
    <x:t xml:space="preserve">../test/components/show/show.test.tsx; tests/components/show/behavior.spec.ts</x:t>
  </x:si>
  <x:si>
    <x:t xml:space="preserve">Component and browser ref/prop evidence passes.</x:t>
  </x:si>
  <x:si>
    <x:t xml:space="preserve">SH-14</x:t>
  </x:si>
  <x:si>
    <x:t xml:space="preserve">Viewport thresholds remain physical while long localized content, authored direction, and RTL text stay intact and contained.</x:t>
  </x:si>
  <x:si>
    <x:t xml:space="preserve">tests/components/show/behavior.spec.ts; tests/components/show/visual.spec.ts</x:t>
  </x:si>
  <x:si>
    <x:t xml:space="preserve">Cross-browser resize and reviewed localized baselines pass.</x:t>
  </x:si>
  <x:si>
    <x:t xml:space="preserve">SH-15</x:t>
  </x:si>
  <x:si>
    <x:t xml:space="preserve">The utility adds no semantic state, preserves authored child semantics and focus behavior, and its route has no automatically detectable violations.</x:t>
  </x:si>
  <x:si>
    <x:t xml:space="preserve">Focused axe coverage passes in the configured matrix.</x:t>
  </x:si>
  <x:si>
    <x:t xml:space="preserve">SH-16</x:t>
  </x:si>
  <x:si>
    <x:t xml:space="preserve">One navigable route exposes eight separated scenarios for defaults, breakpoints, edges, display, hosts, composition, mounted state, and stress.</x:t>
  </x:si>
  <x:si>
    <x:t xml:space="preserve">src/components/show/ShowPage.tsx; src/components/_visibility/VisibilityEvidencePage.tsx</x:t>
  </x:si>
  <x:si>
    <x:t xml:space="preserve">Playground build, route ownership, and composition audits pass.</x:t>
  </x:si>
  <x:si>
    <x:t xml:space="preserve">SH-17</x:t>
  </x:si>
  <x:si>
    <x:t xml:space="preserve">Reviewed baselines cover compact overview badges, breakpoint cards, visible and hidden branches, mobile containment, localization, and RTL.</x:t>
  </x:si>
  <x:si>
    <x:t xml:space="preserve">tests/components/show/visual.spec.ts</x:t>
  </x:si>
  <x:si>
    <x:t xml:space="preserve">Agent inspected all three component-owned Chromium baselines on 2026-07-29.</x:t>
  </x:si>
  <x:si>
    <x:t xml:space="preserve">SH-18</x:t>
  </x:si>
  <x:si>
    <x:t xml:space="preserve">Guide documents role, independent-component rationale, breakpoints, always-mounted behavior, accessibility, composition, CSS hooks, examples, and exclusions.</x:t>
  </x:si>
  <x:si>
    <x:t xml:space="preserve">../docs/components/show/README.md</x:t>
  </x:si>
  <x:si>
    <x:t xml:space="preserve">Structural and source-backed semantic documentation contracts pass.</x:t>
  </x:si>
  <x:si>
    <x:t xml:space="preserve">SH-19</x:t>
  </x:si>
  <x:si>
    <x:t xml:space="preserve">Show owns a component changelog and the package changelog records both responsive visibility additions.</x:t>
  </x:si>
  <x:si>
    <x:t xml:space="preserve">../docs/components/show/CHANGELOG.md; ../CHANGELOG.md</x:t>
  </x:si>
  <x:si>
    <x:t xml:space="preserve">SH-20</x:t>
  </x:si>
  <x:si>
    <x:t xml:space="preserve">The packed Consumer imports Show from its public subpath and composes realistic wide/compact workspace guidance.</x:t>
  </x:si>
  <x:si>
    <x:t xml:space="preserve">../apps/consumer/src/App.tsx; ../scripts/verify-consumers.mjs</x:t>
  </x:si>
  <x:si>
    <x:t xml:space="preserve">Consumer build plus fresh React 18/19 package installs pass.</x:t>
  </x:si>
  <x:si>
    <x:t xml:space="preserve">SH-21</x:t>
  </x:si>
  <x:si>
    <x:t xml:space="preserve">A tester completes the numbered resize, display, semantics, keyboard, zoom, RTL, localization, preference, and no-JavaScript protocol.</x:t>
  </x:si>
  <x:si>
    <x:t xml:space="preserve">manual-tests/show.md</x:t>
  </x:si>
  <x:si>
    <x:t xml:space="preserve">Human run intentionally left as the sole component gate.</x:t>
  </x:si>
  <x:si>
    <x:t xml:space="preserve">SH-22</x:t>
  </x:si>
  <x:si>
    <x:t xml:space="preserve">Build, declarations, exports, SSR, CSS, docs, ownership, tarball, React 18/19, Consumer, and focused five-project browser verification pass.</x:t>
  </x:si>
  <x:si>
    <x:t xml:space="preserve">Complete non-browser gate and focused 20-test browser/device matrix pass; unrelated legacy full-suite visual drift remains outside this component.</x:t>
  </x:si>
  <x:si>
    <x:t xml:space="preserve">Hide Evidence</x:t>
  </x:si>
  <x:si>
    <x:t xml:space="preserve">HD-01</x:t>
  </x:si>
  <x:si>
    <x:t xml:space="preserve">Hide is a Brick-owned CSS layout utility; research found no Atom primitive or behavior patch is required.</x:t>
  </x:si>
  <x:si>
    <x:t xml:space="preserve">../src/components/hide/Hide.tsx; ../src/components/_responsive-visibility/ResponsiveVisibility.tsx</x:t>
  </x:si>
  <x:si>
    <x:t xml:space="preserve">HD-02</x:t>
  </x:si>
  <x:si>
    <x:t xml:space="preserve">One always-mounted native host receives the brick-hide class, data-from threshold, data-slot hook, children, and forwarded ref.</x:t>
  </x:si>
  <x:si>
    <x:t xml:space="preserve">../test/components/hide/hide.test.tsx</x:t>
  </x:si>
  <x:si>
    <x:t xml:space="preserve">HD-03</x:t>
  </x:si>
  <x:si>
    <x:t xml:space="preserve">Root and hide subpath exports expose Hide, HideProps, HideElement, and HideBreakpoint with identical runtime identity.</x:t>
  </x:si>
  <x:si>
    <x:t xml:space="preserve">HD-04</x:t>
  </x:si>
  <x:si>
    <x:t xml:space="preserve">../test/types/components/hide.test.ts</x:t>
  </x:si>
  <x:si>
    <x:t xml:space="preserve">HD-05</x:t>
  </x:si>
  <x:si>
    <x:t xml:space="preserve">Hide imports server-safely and emits deterministic always-mounted markup without reading viewport state during render.</x:t>
  </x:si>
  <x:si>
    <x:t xml:space="preserve">HD-06</x:t>
  </x:si>
  <x:si>
    <x:t xml:space="preserve">Static CSS ships sm 30rem, md 48rem, lg 64rem, and xl 80rem media boundaries and hides only brick-hide with display none important.</x:t>
  </x:si>
  <x:si>
    <x:t xml:space="preserve">../src/components/hide/hide.css; ../scripts/prototype-css.mjs</x:t>
  </x:si>
  <x:si>
    <x:t xml:space="preserve">HD-07</x:t>
  </x:si>
  <x:si>
    <x:t xml:space="preserve">At 767px and 768px the md boundary changes exactly once and Hide has no overlap or gap.</x:t>
  </x:si>
  <x:si>
    <x:t xml:space="preserve">tests/components/hide/behavior.spec.ts</x:t>
  </x:si>
  <x:si>
    <x:t xml:space="preserve">HD-08</x:t>
  </x:si>
  <x:si>
    <x:t xml:space="preserve">HD-09</x:t>
  </x:si>
  <x:si>
    <x:t xml:space="preserve">Responsive hiding never unmounts children, so authored local state survives a transition from hidden to visible.</x:t>
  </x:si>
  <x:si>
    <x:t xml:space="preserve">HD-10</x:t>
  </x:si>
  <x:si>
    <x:t xml:space="preserve">HD-11</x:t>
  </x:si>
  <x:si>
    <x:t xml:space="preserve">Hide / Show</x:t>
  </x:si>
  <x:si>
    <x:t xml:space="preserve">Hide and Show remain independent exact complements and compose without a public Visibility mode namespace.</x:t>
  </x:si>
  <x:si>
    <x:t xml:space="preserve">HD-12</x:t>
  </x:si>
  <x:si>
    <x:t xml:space="preserve">HD-13</x:t>
  </x:si>
  <x:si>
    <x:t xml:space="preserve">../test/components/hide/hide.test.tsx; tests/components/hide/behavior.spec.ts</x:t>
  </x:si>
  <x:si>
    <x:t xml:space="preserve">HD-14</x:t>
  </x:si>
  <x:si>
    <x:t xml:space="preserve">tests/components/hide/behavior.spec.ts; tests/components/hide/visual.spec.ts</x:t>
  </x:si>
  <x:si>
    <x:t xml:space="preserve">HD-15</x:t>
  </x:si>
  <x:si>
    <x:t xml:space="preserve">HD-16</x:t>
  </x:si>
  <x:si>
    <x:t xml:space="preserve">src/components/hide/HidePage.tsx; src/components/_visibility/VisibilityEvidencePage.tsx</x:t>
  </x:si>
  <x:si>
    <x:t xml:space="preserve">HD-17</x:t>
  </x:si>
  <x:si>
    <x:t xml:space="preserve">tests/components/hide/visual.spec.ts</x:t>
  </x:si>
  <x:si>
    <x:t xml:space="preserve">HD-18</x:t>
  </x:si>
  <x:si>
    <x:t xml:space="preserve">../docs/components/hide/README.md</x:t>
  </x:si>
  <x:si>
    <x:t xml:space="preserve">HD-19</x:t>
  </x:si>
  <x:si>
    <x:t xml:space="preserve">Hide owns a component changelog and the package changelog records both responsive visibility additions.</x:t>
  </x:si>
  <x:si>
    <x:t xml:space="preserve">../docs/components/hide/CHANGELOG.md; ../CHANGELOG.md</x:t>
  </x:si>
  <x:si>
    <x:t xml:space="preserve">HD-20</x:t>
  </x:si>
  <x:si>
    <x:t xml:space="preserve">The packed Consumer imports Hide from its public subpath and composes realistic wide/compact workspace guidance.</x:t>
  </x:si>
  <x:si>
    <x:t xml:space="preserve">HD-21</x:t>
  </x:si>
  <x:si>
    <x:t xml:space="preserve">manual-tests/hide.md</x:t>
  </x:si>
  <x:si>
    <x:t xml:space="preserve">HD-22</x:t>
  </x:si>
  <x:si>
    <x:t xml:space="preserve">Swipeable Item Evidence</x:t>
  </x:si>
  <x:si>
    <x:t xml:space="preserve">Assertion-level Atom ownership, gesture and keyboard behavior, three-part anatomy, logical actions, accessibility, package, Consumer, playground, visual, and manual evidence.</x:t>
  </x:si>
  <x:si>
    <x:t xml:space="preserve">Root / Content / Actions</x:t>
  </x:si>
  <x:si>
    <x:t xml:space="preserve">Brick styles and forwards the released Atom Swipeable Item contract; Atom 0.20.11 owns open-side state, measured offsets, pointer intent, keyboard reveal, cancellation, direction, and inert closed actions.</x:t>
  </x:si>
  <x:si>
    <x:t xml:space="preserve">../src/components/swipeable-item/SwipeableItem.tsx; @flowstack-ui/atom 0.19.9</x:t>
  </x:si>
  <x:si>
    <x:t xml:space="preserve">Namespace</x:t>
  </x:si>
  <x:si>
    <x:t xml:space="preserve">The public namespace contains exactly Root, Content, and Actions; Brick exposes only the plain and outline recipes and deliberately excludes full-swipe command execution.</x:t>
  </x:si>
  <x:si>
    <x:t xml:space="preserve">../test/components/swipeable-item/swipeable-item.test.tsx; ../test/types/components/swipeable-item.test.ts</x:t>
  </x:si>
  <x:si>
    <x:t xml:space="preserve">Closed namespace and negative type assertions pass.</x:t>
  </x:si>
  <x:si>
    <x:t xml:space="preserve">Root owns the boundary, Content is the moving foreground, and each labeled Actions group remains a direct logical-side child without a Brick-owned row-content schema.</x:t>
  </x:si>
  <x:si>
    <x:t xml:space="preserve">../test/components/swipeable-item/swipeable-item.test.tsx; tests/components/swipeable-item/behavior.spec.ts</x:t>
  </x:si>
  <x:si>
    <x:t xml:space="preserve">Three-part slots and rendered anatomy assertions pass.</x:t>
  </x:si>
  <x:si>
    <x:t xml:space="preserve">Controlled and uncontrolled openSide state reveal start, end, or closed without Brick duplicating Atom gesture math.</x:t>
  </x:si>
  <x:si>
    <x:t xml:space="preserve">tests/components/swipeable-item/behavior.spec.ts</x:t>
  </x:si>
  <x:si>
    <x:t xml:space="preserve">Default, controlled, and closure assertions pass.</x:t>
  </x:si>
  <x:si>
    <x:t xml:space="preserve">Moving surface</x:t>
  </x:si>
  <x:si>
    <x:t xml:space="preserve">Content consumes Atom's measured offset, remains opaque above Actions, preserves vertical pan-y scrolling, and settles only after Atom state changes.</x:t>
  </x:si>
  <x:si>
    <x:t xml:space="preserve">tests/components/swipeable-item/behavior.spec.ts; ../src/components/swipeable-item/swipeable-item.css</x:t>
  </x:si>
  <x:si>
    <x:t xml:space="preserve">Computed style, gesture, and visual assertions pass.</x:t>
  </x:si>
  <x:si>
    <x:t xml:space="preserve">Action semantics</x:t>
  </x:si>
  <x:si>
    <x:t xml:space="preserve">Every Actions group requires a localized aria-label, becomes available only for its open side, contains native authored controls, and closes after command selection.</x:t>
  </x:si>
  <x:si>
    <x:t xml:space="preserve">tests/components/swipeable-item/behavior.spec.ts; ../test/types/components/swipeable-item.test.ts</x:t>
  </x:si>
  <x:si>
    <x:t xml:space="preserve">Label, availability, and action-close assertions pass.</x:t>
  </x:si>
  <x:si>
    <x:t xml:space="preserve">Vertical pan</x:t>
  </x:si>
  <x:si>
    <x:t xml:space="preserve">A mostly vertical touch gesture remains page scrolling and never becomes an owned horizontal reveal.</x:t>
  </x:si>
  <x:si>
    <x:t xml:space="preserve">tests/components/swipeable-item/behavior.spec.ts; @flowstack-ui/atom 0.19.9</x:t>
  </x:si>
  <x:si>
    <x:t xml:space="preserve">Atom five-project gesture suite and Brick touch policy pass.</x:t>
  </x:si>
  <x:si>
    <x:t xml:space="preserve">Pointer lifecycle</x:t>
  </x:si>
  <x:si>
    <x:t xml:space="preserve">Root / Content</x:t>
  </x:si>
  <x:si>
    <x:t xml:space="preserve">Horizontal intent, threshold settlement, pointer cancellation, and lost capture restore deterministic visual and state outcomes without invoking commands.</x:t>
  </x:si>
  <x:si>
    <x:t xml:space="preserve">Pointer lifecycle assertions pass.</x:t>
  </x:si>
  <x:si>
    <x:t xml:space="preserve">Arrow keys reveal or close the physical side implied by document direction, Escape closes, and descendant controls keep their own Arrow-key behavior.</x:t>
  </x:si>
  <x:si>
    <x:t xml:space="preserve">Keyboard and descendant-isolation assertions pass.</x:t>
  </x:si>
  <x:si>
    <x:t xml:space="preserve">Root / Actions</x:t>
  </x:si>
  <x:si>
    <x:t xml:space="preserve">Logical start and end panels mirror in genuine RTL while action order and authored reading direction remain application-owned.</x:t>
  </x:si>
  <x:si>
    <x:t xml:space="preserve">tests/components/swipeable-item/behavior.spec.ts; tests/components/swipeable-item/visual.spec.ts</x:t>
  </x:si>
  <x:si>
    <x:t xml:space="preserve">RTL state, placement, and mobile baseline pass.</x:t>
  </x:si>
  <x:si>
    <x:t xml:space="preserve">Disabled states</x:t>
  </x:si>
  <x:si>
    <x:t xml:space="preserve">Disabled and read-only rows preserve layout while Atom blocks pointer and keyboard open-side changes.</x:t>
  </x:si>
  <x:si>
    <x:t xml:space="preserve">Disabled and read-only state recipes pass.</x:t>
  </x:si>
  <x:si>
    <x:t xml:space="preserve">Visible alternative</x:t>
  </x:si>
  <x:si>
    <x:t xml:space="preserve">The example and Consumer expose the same Archive and Delete commands through an obvious More actions menu so dragging is never the only route.</x:t>
  </x:si>
  <x:si>
    <x:t xml:space="preserve">src/components/swipeable-item/SwipeableItemPage.tsx; ../apps/consumer/src/App.tsx</x:t>
  </x:si>
  <x:si>
    <x:t xml:space="preserve">Visible alternative is present in playground and packed Consumer.</x:t>
  </x:si>
  <x:si>
    <x:t xml:space="preserve">Safety boundary</x:t>
  </x:si>
  <x:si>
    <x:t xml:space="preserve">Full-swipe threshold and callback props are absent from Brick so a release gesture cannot directly execute a destructive command.</x:t>
  </x:si>
  <x:si>
    <x:t xml:space="preserve">../test/types/components/swipeable-item.test.ts; ../docs/components/swipeable-item/README.md</x:t>
  </x:si>
  <x:si>
    <x:t xml:space="preserve">Negative public-surface type assertions pass.</x:t>
  </x:si>
  <x:si>
    <x:t xml:space="preserve">Root and swipeable-item subpath exports expose the namespace, parts, props, and variant with identical runtime identity.</x:t>
  </x:si>
  <x:si>
    <x:t xml:space="preserve">../test/package/package.test.mjs; ../package.json; ../scripts/verify-consumers.mjs</x:t>
  </x:si>
  <x:si>
    <x:t xml:space="preserve">Root, subpath, declaration, and React 18/19 consumer checks pass.</x:t>
  </x:si>
  <x:si>
    <x:t xml:space="preserve">Atom native props, refs, controlled state, render/asChild composition, aria/data attributes, classes, slots, styles, and closed Brick recipes type-check.</x:t>
  </x:si>
  <x:si>
    <x:t xml:space="preserve">../test/types/components/swipeable-item.test.ts</x:t>
  </x:si>
  <x:si>
    <x:t xml:space="preserve">Swipeable Item imports server-safely and emits deterministic three-part reveal anatomy without browser reads during render.</x:t>
  </x:si>
  <x:si>
    <x:t xml:space="preserve">../test/package/ssr.test.mjs; ../scripts/verify-consumers.mjs</x:t>
  </x:si>
  <x:si>
    <x:t xml:space="preserve">Production CSS ships documented variables, logical positioning, opaque foreground paint, preference fallbacks, action target sizing, and no undeclared global selector.</x:t>
  </x:si>
  <x:si>
    <x:t xml:space="preserve">../src/components/swipeable-item/swipeable-item.css; ../scripts/build-styles.mjs</x:t>
  </x:si>
  <x:si>
    <x:t xml:space="preserve">Production CSS, package, and semantic documentation checks pass.</x:t>
  </x:si>
  <x:si>
    <x:t xml:space="preserve">Plain composes inside an existing boundary while outline supplies a standalone neutral border without changing behavior or anatomy.</x:t>
  </x:si>
  <x:si>
    <x:t xml:space="preserve">Variant geometry and baseline pass.</x:t>
  </x:si>
  <x:si>
    <x:t xml:space="preserve">Containment</x:t>
  </x:si>
  <x:si>
    <x:t xml:space="preserve">Shared overflow clipping and radius keep translated Content and custom action fills inside one rounded boundary without exposed sharp corners.</x:t>
  </x:si>
  <x:si>
    <x:t xml:space="preserve">tests/components/swipeable-item/visual.spec.ts; ../src/components/swipeable-item/swipeable-item.css</x:t>
  </x:si>
  <x:si>
    <x:t xml:space="preserve">Start/end, outline, and customized baselines are clean.</x:t>
  </x:si>
  <x:si>
    <x:t xml:space="preserve">Focus and targets</x:t>
  </x:si>
  <x:si>
    <x:t xml:space="preserve">Content / Actions</x:t>
  </x:si>
  <x:si>
    <x:t xml:space="preserve">Content and native action controls retain visible focus and action controls meet the documented minimum target size without clipping.</x:t>
  </x:si>
  <x:si>
    <x:t xml:space="preserve">Forced-color focus and target-size evidence pass.</x:t>
  </x:si>
  <x:si>
    <x:t xml:space="preserve">SW-21</x:t>
  </x:si>
  <x:si>
    <x:t xml:space="preserve">Classes merge Brick first; public slots, native events, aria/data attributes, children, refs, render, and asChild target each public host.</x:t>
  </x:si>
  <x:si>
    <x:t xml:space="preserve">Component and type composition assertions pass.</x:t>
  </x:si>
  <x:si>
    <x:t xml:space="preserve">SW-22</x:t>
  </x:si>
  <x:si>
    <x:t xml:space="preserve">Full-width and 320px-constrained items wrap long localized content without component-created page overflow or an unreachable visible menu.</x:t>
  </x:si>
  <x:si>
    <x:t xml:space="preserve">Narrow containment and mobile baseline pass.</x:t>
  </x:si>
  <x:si>
    <x:t xml:space="preserve">SW-23</x:t>
  </x:si>
  <x:si>
    <x:t xml:space="preserve">Separate light and dark scopes, reduced motion, and forced colors retain readable layers, boundaries, and focus without color-only meaning.</x:t>
  </x:si>
  <x:si>
    <x:t xml:space="preserve">Appearance and preference baselines pass.</x:t>
  </x:si>
  <x:si>
    <x:t xml:space="preserve">SW-24</x:t>
  </x:si>
  <x:si>
    <x:t xml:space="preserve">Documented variables recolor surfaces, actions, border, focus, radius, spacing, sizing, and motion while preserving Atom behavior and containment.</x:t>
  </x:si>
  <x:si>
    <x:t xml:space="preserve">../docs/components/swipeable-item/README.md; tests/components/swipeable-item/behavior.spec.ts</x:t>
  </x:si>
  <x:si>
    <x:t xml:space="preserve">Token hooks and computed custom radius assertion pass.</x:t>
  </x:si>
  <x:si>
    <x:t xml:space="preserve">SW-25</x:t>
  </x:si>
  <x:si>
    <x:t xml:space="preserve">Named action groups, unavailable closed actions, native commands, keyboard reveal, visible focus, forced-color support, and a non-drag alternative form a complete accessibility contract.</x:t>
  </x:si>
  <x:si>
    <x:t xml:space="preserve">Semantic browser and Atom accessibility assertions pass.</x:t>
  </x:si>
  <x:si>
    <x:t xml:space="preserve">SW-26</x:t>
  </x:si>
  <x:si>
    <x:t xml:space="preserve">One route exposes ten ordered, independently padded scenarios covering overview, anatomy, variants, sides, alternative, states, control, appearance, customization, responsive, and RTL evidence.</x:t>
  </x:si>
  <x:si>
    <x:t xml:space="preserve">src/components/swipeable-item/SwipeableItemPage.tsx; ../scripts/verify-component-tests.mjs</x:t>
  </x:si>
  <x:si>
    <x:t xml:space="preserve">Ownership, route, primitive, composition, and browser checks pass.</x:t>
  </x:si>
  <x:si>
    <x:t xml:space="preserve">SW-27</x:t>
  </x:si>
  <x:si>
    <x:t xml:space="preserve">Reviewed baselines cover overview, variants, start/end actions, controlled state, appearance, customization, mobile RTL, and forced colors.</x:t>
  </x:si>
  <x:si>
    <x:t xml:space="preserve">tests/components/swipeable-item/visual.spec.ts; tests/components/swipeable-item/visual.spec.ts-snapshots</x:t>
  </x:si>
  <x:si>
    <x:t xml:space="preserve">Agent inspected all eight Swipeable Item Chromium baselines on July 29, 2026.</x:t>
  </x:si>
  <x:si>
    <x:t xml:space="preserve">SW-28</x:t>
  </x:si>
  <x:si>
    <x:t xml:space="preserve">The guide documents use, exclusions, imports, anatomy, API, state, tokens, responsive behavior, accessibility, composition, examples, and evidence; changelogs record the addition.</x:t>
  </x:si>
  <x:si>
    <x:t xml:space="preserve">../docs/components/swipeable-item/README.md; ../docs/components/swipeable-item/CHANGELOG.md; ../CHANGELOG.md</x:t>
  </x:si>
  <x:si>
    <x:t xml:space="preserve">SW-29</x:t>
  </x:si>
  <x:si>
    <x:t xml:space="preserve">The packed Consumer imports Swipeable Item from its public subpath and composes realistic message actions with a visible Dropdown Menu alternative.</x:t>
  </x:si>
  <x:si>
    <x:t xml:space="preserve">../apps/consumer/src/App.tsx; ../apps/consumer/tests/consumer.spec.ts; ../scripts/verify-consumers.mjs</x:t>
  </x:si>
  <x:si>
    <x:t xml:space="preserve">Consumer build and clean React 18/19 packed-package checks pass.</x:t>
  </x:si>
  <x:si>
    <x:t xml:space="preserve">SW-30</x:t>
  </x:si>
  <x:si>
    <x:t xml:space="preserve">A tester completes the desktop and physical-touch gesture, keyboard, focus, state, direction, zoom, appearance, preference, and assistive-technology protocol.</x:t>
  </x:si>
  <x:si>
    <x:t xml:space="preserve">manual-tests/swipeable-item.md</x:t>
  </x:si>
  <x:si>
    <x:t xml:space="preserve">Human manual run intentionally remains the sole open component gate.</x:t>
  </x:si>
  <x:si>
    <x:t xml:space="preserve">SW-31</x:t>
  </x:si>
  <x:si>
    <x:t xml:space="preserve">Build, declarations, exports, SSR, CSS, docs, tarball, exact Atom 0.20.11, React 18/19 consumers, focused browsers, reviewed visuals, and Consumer build pass.</x:t>
  </x:si>
  <x:si>
    <x:t xml:space="preserve">Full check, 354 component tests, focused behavior and visual suites, pack check, and generated consumers pass.</x:t>
  </x:si>
  <x:si>
    <x:t xml:space="preserve">Progress Evidence</x:t>
  </x:si>
  <x:si>
    <x:t xml:space="preserve">Assertion-level linear progress anatomy, values, recipes, direction, responsive, package, documentation, Consumer, and accessibility evidence.</x:t>
  </x:si>
  <x:si>
    <x:t xml:space="preserve">PR-01</x:t>
  </x:si>
  <x:si>
    <x:t xml:space="preserve">Brick styles released Atom 0.20.11 Progress semantics without recreating read-only progress behavior.</x:t>
  </x:si>
  <x:si>
    <x:t xml:space="preserve">../src/components/progress/Progress.tsx; ../package.json</x:t>
  </x:si>
  <x:si>
    <x:t xml:space="preserve">Source and exact dependency boundary are implemented.</x:t>
  </x:si>
  <x:si>
    <x:t xml:space="preserve">PR-02</x:t>
  </x:si>
  <x:si>
    <x:t xml:space="preserve">The six-part Root, Label, Value, Track, Buffer, and Indicator namespace and named exports match the adopted contract.</x:t>
  </x:si>
  <x:si>
    <x:t xml:space="preserve">../test/components/progress/progress.test.tsx</x:t>
  </x:si>
  <x:si>
    <x:t xml:space="preserve">Focused component assertions pass.</x:t>
  </x:si>
  <x:si>
    <x:t xml:space="preserve">PR-03</x:t>
  </x:si>
  <x:si>
    <x:t xml:space="preserve">Every public part renders its documented host, forwards native props and slots, and resolves the exact ref target.</x:t>
  </x:si>
  <x:si>
    <x:t xml:space="preserve">Host, prop, slot, and ref assertions pass.</x:t>
  </x:si>
  <x:si>
    <x:t xml:space="preserve">PR-04</x:t>
  </x:si>
  <x:si>
    <x:t xml:space="preserve">Closed orientation, size, shape, and tone values plus native props and refs type-check.</x:t>
  </x:si>
  <x:si>
    <x:t xml:space="preserve">../test/types/components/progress.test.ts</x:t>
  </x:si>
  <x:si>
    <x:t xml:space="preserve">Focused type assertions pass.</x:t>
  </x:si>
  <x:si>
    <x:t xml:space="preserve">PR-05</x:t>
  </x:si>
  <x:si>
    <x:t xml:space="preserve">Root and progress subpath exports preserve namespace and named runtime identity.</x:t>
  </x:si>
  <x:si>
    <x:t xml:space="preserve">Package boundary assertions pass.</x:t>
  </x:si>
  <x:si>
    <x:t xml:space="preserve">PR-06</x:t>
  </x:si>
  <x:si>
    <x:t xml:space="preserve">Server rendering emits deterministic progressbar anatomy and visible naming without client-only failure.</x:t>
  </x:si>
  <x:si>
    <x:t xml:space="preserve">SSR assertions pass.</x:t>
  </x:si>
  <x:si>
    <x:t xml:space="preserve">PR-07</x:t>
  </x:si>
  <x:si>
    <x:t xml:space="preserve">Defaults are horizontal, medium, rounded, accent, and indeterminate when value is omitted.</x:t>
  </x:si>
  <x:si>
    <x:t xml:space="preserve">Default attributes and semantics are asserted.</x:t>
  </x:si>
  <x:si>
    <x:t xml:space="preserve">PR-08</x:t>
  </x:si>
  <x:si>
    <x:t xml:space="preserve">Root / Indicator</x:t>
  </x:si>
  <x:si>
    <x:t xml:space="preserve">Determinate values normalize within min and max while indeterminate progress omits aria-valuenow.</x:t>
  </x:si>
  <x:si>
    <x:t xml:space="preserve">tests/components/progress/behavior.spec.ts</x:t>
  </x:si>
  <x:si>
    <x:t xml:space="preserve">Configured-browser semantic assertions pass.</x:t>
  </x:si>
  <x:si>
    <x:t xml:space="preserve">PR-09</x:t>
  </x:si>
  <x:si>
    <x:t xml:space="preserve">Indeterminate, loading, and complete visual states remain distinguishable without adding interaction.</x:t>
  </x:si>
  <x:si>
    <x:t xml:space="preserve">tests/components/progress/visual.spec.ts</x:t>
  </x:si>
  <x:si>
    <x:t xml:space="preserve">Automated state baselines pass; owner manual review remains separate.</x:t>
  </x:si>
  <x:si>
    <x:t xml:space="preserve">PR-10</x:t>
  </x:si>
  <x:si>
    <x:t xml:space="preserve">Six tones, five sizes, and three shapes preserve semantics and independent geometry.</x:t>
  </x:si>
  <x:si>
    <x:t xml:space="preserve">Recipe matrix assertions pass.</x:t>
  </x:si>
  <x:si>
    <x:t xml:space="preserve">PR-11</x:t>
  </x:si>
  <x:si>
    <x:t xml:space="preserve">Track / Indicator</x:t>
  </x:si>
  <x:si>
    <x:t xml:space="preserve">Horizontal progress fills from logical inline-start in LTR and RTL; vertical progress fills from the bottom.</x:t>
  </x:si>
  <x:si>
    <x:t xml:space="preserve">Bounding-box direction assertions pass.</x:t>
  </x:si>
  <x:si>
    <x:t xml:space="preserve">PR-12</x:t>
  </x:si>
  <x:si>
    <x:t xml:space="preserve">Buffer</x:t>
  </x:si>
  <x:si>
    <x:t xml:space="preserve">Optional buffered progress clamps independently, remains behind the current value, and exposes presence state.</x:t>
  </x:si>
  <x:si>
    <x:t xml:space="preserve">../test/components/progress/progress.test.tsx; tests/components/progress/behavior.spec.ts</x:t>
  </x:si>
  <x:si>
    <x:t xml:space="preserve">Buffer clamping, position, and presence are asserted.</x:t>
  </x:si>
  <x:si>
    <x:t xml:space="preserve">PR-13</x:t>
  </x:si>
  <x:si>
    <x:t xml:space="preserve">Output</x:t>
  </x:si>
  <x:si>
    <x:t xml:space="preserve">Label / Value</x:t>
  </x:si>
  <x:si>
    <x:t xml:space="preserve">Visible Label supplies the accessible name and Value supports localized default or authored range output.</x:t>
  </x:si>
  <x:si>
    <x:t xml:space="preserve">Name relationship and custom output assertions pass.</x:t>
  </x:si>
  <x:si>
    <x:t xml:space="preserve">PR-14</x:t>
  </x:si>
  <x:si>
    <x:t xml:space="preserve">Narrow, long-label, zoom, and RTL layouts remain contained without clipping or page overflow.</x:t>
  </x:si>
  <x:si>
    <x:t xml:space="preserve">Automated responsive baselines and narrow containment pass.</x:t>
  </x:si>
  <x:si>
    <x:t xml:space="preserve">PR-15</x:t>
  </x:si>
  <x:si>
    <x:t xml:space="preserve">Reduced motion leaves a static recognizable segment and forced colors preserve track and indicator boundaries.</x:t>
  </x:si>
  <x:si>
    <x:t xml:space="preserve">tests/components/progress/visual.spec.ts; tests/components/progress/behavior.spec.ts</x:t>
  </x:si>
  <x:si>
    <x:t xml:space="preserve">Preference-state automation passes.</x:t>
  </x:si>
  <x:si>
    <x:t xml:space="preserve">PR-16</x:t>
  </x:si>
  <x:si>
    <x:t xml:space="preserve">One named progressbar exposes the correct range/value state and the route passes axe without unsupported aria-orientation.</x:t>
  </x:si>
  <x:si>
    <x:t xml:space="preserve">Semantic and axe assertions pass.</x:t>
  </x:si>
  <x:si>
    <x:t xml:space="preserve">PR-17</x:t>
  </x:si>
  <x:si>
    <x:t xml:space="preserve">One navigable route exposes nine persistent scenarios from overview through stress.</x:t>
  </x:si>
  <x:si>
    <x:t xml:space="preserve">src/components/progress/ProgressPage.tsx</x:t>
  </x:si>
  <x:si>
    <x:t xml:space="preserve">Route registration and playground build pass.</x:t>
  </x:si>
  <x:si>
    <x:t xml:space="preserve">PR-18</x:t>
  </x:si>
  <x:si>
    <x:t xml:space="preserve">The public guide documents anatomy, API, defaults, recipes, output, accessibility, CSS, and exclusions.</x:t>
  </x:si>
  <x:si>
    <x:t xml:space="preserve">../docs/components/progress/README.md</x:t>
  </x:si>
  <x:si>
    <x:t xml:space="preserve">PR-19</x:t>
  </x:si>
  <x:si>
    <x:t xml:space="preserve">Component and package changelogs record the consumer-visible addition and ARIA correction.</x:t>
  </x:si>
  <x:si>
    <x:t xml:space="preserve">../docs/components/progress/CHANGELOG.md; ../CHANGELOG.md</x:t>
  </x:si>
  <x:si>
    <x:t xml:space="preserve">Changelog ownership checks pass.</x:t>
  </x:si>
  <x:si>
    <x:t xml:space="preserve">PR-20</x:t>
  </x:si>
  <x:si>
    <x:t xml:space="preserve">Packed Consumer imports the progress subpath and composes labelled buffered progress from the tarball.</x:t>
  </x:si>
  <x:si>
    <x:t xml:space="preserve">Packed Consumer verification passes.</x:t>
  </x:si>
  <x:si>
    <x:t xml:space="preserve">PR-21</x:t>
  </x:si>
  <x:si>
    <x:t xml:space="preserve">Owner executes the visual, responsive, direction, preference, and assistive-technology protocol.</x:t>
  </x:si>
  <x:si>
    <x:t xml:space="preserve">manual-tests/progress.md</x:t>
  </x:si>
  <x:si>
    <x:t xml:space="preserve">PR-22</x:t>
  </x:si>
  <x:si>
    <x:t xml:space="preserve">../scripts/verify-package.mjs</x:t>
  </x:si>
  <x:si>
    <x:t xml:space="preserve">Automated release qualification passed with the component implementation.</x:t>
  </x:si>
  <x:si>
    <x:t xml:space="preserve">Progress Circle Evidence</x:t>
  </x:si>
  <x:si>
    <x:t xml:space="preserve">Assertion-level circular progress anatomy, SVG geometry, values, recipes, responsive, package, documentation, Consumer, and accessibility evidence.</x:t>
  </x:si>
  <x:si>
    <x:t xml:space="preserve">PC-01</x:t>
  </x:si>
  <x:si>
    <x:t xml:space="preserve">Brick styles released Atom 0.20.11 Progress semantics while retaining read-only range behavior.</x:t>
  </x:si>
  <x:si>
    <x:t xml:space="preserve">../src/components/progress-circle/ProgressCircle.tsx; ../package.json</x:t>
  </x:si>
  <x:si>
    <x:t xml:space="preserve">PC-02</x:t>
  </x:si>
  <x:si>
    <x:t xml:space="preserve">The six-part Root, Circle, Track, Indicator, Label, and Value namespace and named exports match the adopted contract.</x:t>
  </x:si>
  <x:si>
    <x:t xml:space="preserve">../test/components/progress-circle/progress-circle.test.tsx</x:t>
  </x:si>
  <x:si>
    <x:t xml:space="preserve">PC-03</x:t>
  </x:si>
  <x:si>
    <x:t xml:space="preserve">Root and text parts use native HTML hosts; decorative ring parts use deterministic SVG hosts and exact refs.</x:t>
  </x:si>
  <x:si>
    <x:t xml:space="preserve">Host, prop, slot, SVG, and ref assertions pass.</x:t>
  </x:si>
  <x:si>
    <x:t xml:space="preserve">PC-04</x:t>
  </x:si>
  <x:si>
    <x:t xml:space="preserve">Closed size, thickness, cap, and tone values plus native and SVG prop exclusions type-check.</x:t>
  </x:si>
  <x:si>
    <x:t xml:space="preserve">../test/types/components/progress-circle.test.ts</x:t>
  </x:si>
  <x:si>
    <x:t xml:space="preserve">Focused positive and negative type assertions pass.</x:t>
  </x:si>
  <x:si>
    <x:t xml:space="preserve">PC-05</x:t>
  </x:si>
  <x:si>
    <x:t xml:space="preserve">Root and progress-circle subpath exports preserve namespace and named runtime identity.</x:t>
  </x:si>
  <x:si>
    <x:t xml:space="preserve">PC-06</x:t>
  </x:si>
  <x:si>
    <x:t xml:space="preserve">Server rendering emits deterministic progressbar and SVG anatomy without client-only failure.</x:t>
  </x:si>
  <x:si>
    <x:t xml:space="preserve">PC-07</x:t>
  </x:si>
  <x:si>
    <x:t xml:space="preserve">Defaults are medium, regular thickness, round cap, accent tone, and indeterminate when value is omitted.</x:t>
  </x:si>
  <x:si>
    <x:t xml:space="preserve">PC-08</x:t>
  </x:si>
  <x:si>
    <x:t xml:space="preserve">tests/components/progress-circle/behavior.spec.ts</x:t>
  </x:si>
  <x:si>
    <x:t xml:space="preserve">PC-09</x:t>
  </x:si>
  <x:si>
    <x:t xml:space="preserve">Circle / Indicator</x:t>
  </x:si>
  <x:si>
    <x:t xml:space="preserve">A fixed viewBox, radius, path length, and dash offset produce accurate unclipped progress at every size.</x:t>
  </x:si>
  <x:si>
    <x:t xml:space="preserve">SVG geometry and ratio assertions pass.</x:t>
  </x:si>
  <x:si>
    <x:t xml:space="preserve">PC-10</x:t>
  </x:si>
  <x:si>
    <x:t xml:space="preserve">Six tones, five sizes, three stroke weights, and two caps preserve semantics and independent geometry.</x:t>
  </x:si>
  <x:si>
    <x:t xml:space="preserve">PC-11</x:t>
  </x:si>
  <x:si>
    <x:t xml:space="preserve">Circular progress stays clockwise and uses identical geometry in LTR and RTL.</x:t>
  </x:si>
  <x:si>
    <x:t xml:space="preserve">Computed transform parity passes.</x:t>
  </x:si>
  <x:si>
    <x:t xml:space="preserve">PC-12</x:t>
  </x:si>
  <x:si>
    <x:t xml:space="preserve">Indeterminate, loading, and complete arcs remain recognizable and correctly normalized.</x:t>
  </x:si>
  <x:si>
    <x:t xml:space="preserve">tests/components/progress-circle/visual.spec.ts</x:t>
  </x:si>
  <x:si>
    <x:t xml:space="preserve">PC-13</x:t>
  </x:si>
  <x:si>
    <x:t xml:space="preserve">Name relationship and custom 3/5 output assertions pass.</x:t>
  </x:si>
  <x:si>
    <x:t xml:space="preserve">PC-14</x:t>
  </x:si>
  <x:si>
    <x:t xml:space="preserve">Narrow, long-label, zoom, and RTL layouts keep rings square, centered, and unclipped.</x:t>
  </x:si>
  <x:si>
    <x:t xml:space="preserve">PC-15</x:t>
  </x:si>
  <x:si>
    <x:t xml:space="preserve">Reduced motion leaves a static recognizable arc and forced colors preserve both rings.</x:t>
  </x:si>
  <x:si>
    <x:t xml:space="preserve">tests/components/progress-circle/visual.spec.ts; tests/components/progress-circle/behavior.spec.ts</x:t>
  </x:si>
  <x:si>
    <x:t xml:space="preserve">PC-16</x:t>
  </x:si>
  <x:si>
    <x:t xml:space="preserve">Root / SVG</x:t>
  </x:si>
  <x:si>
    <x:t xml:space="preserve">One named progressbar exposes the correct range/value state, decorative SVG stays silent, and the route passes axe.</x:t>
  </x:si>
  <x:si>
    <x:t xml:space="preserve">PC-17</x:t>
  </x:si>
  <x:si>
    <x:t xml:space="preserve">src/components/progress-circle/ProgressCirclePage.tsx</x:t>
  </x:si>
  <x:si>
    <x:t xml:space="preserve">PC-18</x:t>
  </x:si>
  <x:si>
    <x:t xml:space="preserve">The public guide documents anatomy, API, defaults, recipes, geometry, accessibility, CSS, and exclusions.</x:t>
  </x:si>
  <x:si>
    <x:t xml:space="preserve">../docs/components/progress-circle/README.md</x:t>
  </x:si>
  <x:si>
    <x:t xml:space="preserve">PC-19</x:t>
  </x:si>
  <x:si>
    <x:t xml:space="preserve">Component and package changelogs record the complete consumer-visible addition.</x:t>
  </x:si>
  <x:si>
    <x:t xml:space="preserve">../docs/components/progress-circle/CHANGELOG.md; ../CHANGELOG.md</x:t>
  </x:si>
  <x:si>
    <x:t xml:space="preserve">PC-20</x:t>
  </x:si>
  <x:si>
    <x:t xml:space="preserve">Packed Consumer imports the focused subpath and composes determinate custom-range and indeterminate rings.</x:t>
  </x:si>
  <x:si>
    <x:t xml:space="preserve">PC-21</x:t>
  </x:si>
  <x:si>
    <x:t xml:space="preserve">manual-tests/progress-circle.md</x:t>
  </x:si>
  <x:si>
    <x:t xml:space="preserve">PC-22</x:t>
  </x:si>
  <x:si>
    <x:t xml:space="preserve">Carousel Evidence</x:t>
  </x:si>
  <x:si>
    <x:t xml:space="preserve">Atom-backed selection and rotation, optional finished controls, picker dots, visual recipes, responsive containment, package, documentation, Consumer, and accessibility evidence.</x:t>
  </x:si>
  <x:si>
    <x:t xml:space="preserve">CA-01</x:t>
  </x:si>
  <x:si>
    <x:t xml:space="preserve">Brick styles published Atom 0.22.2 Carousel behavior without recreating selection, scroll settlement, rotation, or semantics.</x:t>
  </x:si>
  <x:si>
    <x:t xml:space="preserve">../src/components/carousel/Carousel.tsx; ../package.json</x:t>
  </x:si>
  <x:si>
    <x:t xml:space="preserve">CA-02</x:t>
  </x:si>
  <x:si>
    <x:t xml:space="preserve">Eleven-part namespace and named exports expose behavioral and Brick-only structural parts.</x:t>
  </x:si>
  <x:si>
    <x:t xml:space="preserve">../test/components/carousel/carousel.test.tsx</x:t>
  </x:si>
  <x:si>
    <x:t xml:space="preserve">CA-03</x:t>
  </x:si>
  <x:si>
    <x:t xml:space="preserve">Root, Viewport, Track, Slide, native controls, picker, and structural wrappers preserve exact refs and hooks.</x:t>
  </x:si>
  <x:si>
    <x:t xml:space="preserve">CA-04</x:t>
  </x:si>
  <x:si>
    <x:t xml:space="preserve">Closed sizes and placements plus Atom state, rotation, native composition, and ref props type-check.</x:t>
  </x:si>
  <x:si>
    <x:t xml:space="preserve">../test/types/components/carousel.test.ts</x:t>
  </x:si>
  <x:si>
    <x:t xml:space="preserve">CA-05</x:t>
  </x:si>
  <x:si>
    <x:t xml:space="preserve">Root and carousel subpath exports preserve namespace and named runtime identity.</x:t>
  </x:si>
  <x:si>
    <x:t xml:space="preserve">CA-06</x:t>
  </x:si>
  <x:si>
    <x:t xml:space="preserve">Styles</x:t>
  </x:si>
  <x:si>
    <x:t xml:space="preserve">Delivery</x:t>
  </x:si>
  <x:si>
    <x:t xml:space="preserve">Complete and modular CSS include Carousel and Icon recipes without duplicating foundations.</x:t>
  </x:si>
  <x:si>
    <x:t xml:space="preserve">../test/package/package.test.mjs; ../scripts/css-entrypoints.mjs</x:t>
  </x:si>
  <x:si>
    <x:t xml:space="preserve">CA-07</x:t>
  </x:si>
  <x:si>
    <x:t xml:space="preserve">Medium size and overlay placement are stable defaults.</x:t>
  </x:si>
  <x:si>
    <x:t xml:space="preserve">CA-08</x:t>
  </x:si>
  <x:si>
    <x:t xml:space="preserve">Optional</x:t>
  </x:si>
  <x:si>
    <x:t xml:space="preserve">A manual Carousel may omit every visible control or author picker-only navigation.</x:t>
  </x:si>
  <x:si>
    <x:t xml:space="preserve">tests/components/carousel/behavior.spec.ts</x:t>
  </x:si>
  <x:si>
    <x:t xml:space="preserve">CA-09</x:t>
  </x:si>
  <x:si>
    <x:t xml:space="preserve">Autoplay</x:t>
  </x:si>
  <x:si>
    <x:t xml:space="preserve">RotationControl</x:t>
  </x:si>
  <x:si>
    <x:t xml:space="preserve">Automatic rotation exposes stop/start, Previous, and Next and survives the focus-click ordering contract.</x:t>
  </x:si>
  <x:si>
    <x:t xml:space="preserve">CA-10</x:t>
  </x:si>
  <x:si>
    <x:t xml:space="preserve">Named picker dots select peer slides and expose active state without Tabs semantics.</x:t>
  </x:si>
  <x:si>
    <x:t xml:space="preserve">CA-11</x:t>
  </x:si>
  <x:si>
    <x:t xml:space="preserve">Logical controls select adjacent slides and preserve Atom boundary and loop rules.</x:t>
  </x:si>
  <x:si>
    <x:t xml:space="preserve">CA-12</x:t>
  </x:si>
  <x:si>
    <x:t xml:space="preserve">Media</x:t>
  </x:si>
  <x:si>
    <x:t xml:space="preserve">Viewport / Track</x:t>
  </x:si>
  <x:si>
    <x:t xml:space="preserve">Native horizontal scrolling, one-slide snap geometry, and hidden scrollbars preserve touch interaction.</x:t>
  </x:si>
  <x:si>
    <x:t xml:space="preserve">CA-13</x:t>
  </x:si>
  <x:si>
    <x:t xml:space="preserve">Slides</x:t>
  </x:si>
  <x:si>
    <x:t xml:space="preserve">Inactive slides remain inert and assistive-hidden while the active labelled group remains available.</x:t>
  </x:si>
  <x:si>
    <x:t xml:space="preserve">CA-14</x:t>
  </x:si>
  <x:si>
    <x:t xml:space="preserve">Controls keep native names, roles, disabled state, focus rings, and 32px visual dot hit areas.</x:t>
  </x:si>
  <x:si>
    <x:t xml:space="preserve">CA-15</x:t>
  </x:si>
  <x:si>
    <x:t xml:space="preserve">Automated</x:t>
  </x:si>
  <x:si>
    <x:t xml:space="preserve">Representative rotation composition passes axe at a mobile viewport.</x:t>
  </x:si>
  <x:si>
    <x:t xml:space="preserve">CA-16</x:t>
  </x:si>
  <x:si>
    <x:t xml:space="preserve">Small, medium, and large control geometry remains coordinated.</x:t>
  </x:si>
  <x:si>
    <x:t xml:space="preserve">tests/components/carousel/visual.spec.ts</x:t>
  </x:si>
  <x:si>
    <x:t xml:space="preserve">CA-17</x:t>
  </x:si>
  <x:si>
    <x:t xml:space="preserve">Placement</x:t>
  </x:si>
  <x:si>
    <x:t xml:space="preserve">Overlay and outside control placements remain visually coherent without behavior changes.</x:t>
  </x:si>
  <x:si>
    <x:t xml:space="preserve">CA-18</x:t>
  </x:si>
  <x:si>
    <x:t xml:space="preserve">Semantic control and picker paint remains legible in adjacent light and dark scopes.</x:t>
  </x:si>
  <x:si>
    <x:t xml:space="preserve">CA-19</x:t>
  </x:si>
  <x:si>
    <x:t xml:space="preserve">Reduced motion removes decorative transitions and smooth scrolling without removing selection.</x:t>
  </x:si>
  <x:si>
    <x:t xml:space="preserve">manual-tests/carousel.md</x:t>
  </x:si>
  <x:si>
    <x:t xml:space="preserve">CA-20</x:t>
  </x:si>
  <x:si>
    <x:t xml:space="preserve">RTL mirrors logical direction artwork and preserves native selection order.</x:t>
  </x:si>
  <x:si>
    <x:t xml:space="preserve">CA-21</x:t>
  </x:si>
  <x:si>
    <x:t xml:space="preserve">Reflow</x:t>
  </x:si>
  <x:si>
    <x:t xml:space="preserve">Mobile, 200%, and 400% reflow preserve complete controls and slide content without page overflow.</x:t>
  </x:si>
  <x:si>
    <x:t xml:space="preserve">CA-22</x:t>
  </x:si>
  <x:si>
    <x:t xml:space="preserve">Forced colors</x:t>
  </x:si>
  <x:si>
    <x:t xml:space="preserve">Controls, focus indicators, and active picker remain perceivable.</x:t>
  </x:si>
  <x:si>
    <x:t xml:space="preserve">CA-23</x:t>
  </x:si>
  <x:si>
    <x:t xml:space="preserve">Assistive technology</x:t>
  </x:si>
  <x:si>
    <x:t xml:space="preserve">Screen-reader names, slide availability, rotation state, and announcements match the public contract.</x:t>
  </x:si>
  <x:si>
    <x:t xml:space="preserve">CA-24</x:t>
  </x:si>
  <x:si>
    <x:t xml:space="preserve">Agent Knowledge</x:t>
  </x:si>
  <x:si>
    <x:t xml:space="preserve">Machine-readable guidance distinguishes Carousel, Tabs, Grid, and campaign Block ownership.</x:t>
  </x:si>
  <x:si>
    <x:t xml:space="preserve">../src/components/carousel/agent.json</x:t>
  </x:si>
  <x:si>
    <x:t xml:space="preserve">CA-25</x:t>
  </x:si>
  <x:si>
    <x:t xml:space="preserve">A realistic packed-package consumer composes Carousel with public imports and CSS only.</x:t>
  </x:si>
  <x:si>
    <x:t xml:space="preserve">../apps/consumer</x:t>
  </x:si>
  <x:si>
    <x:t xml:space="preserve">ZStack Evidence</x:t>
  </x:si>
  <x:si>
    <x:t xml:space="preserve">ZS-01</x:t>
  </x:si>
  <x:si>
    <x:t xml:space="preserve">ZStack Root and Item share one source-ordered CSS Grid implementation with stable hooks and refs.</x:t>
  </x:si>
  <x:si>
    <x:t xml:space="preserve">../src/components/z-stack</x:t>
  </x:si>
  <x:si>
    <x:t xml:space="preserve">ZS-02</x:t>
  </x:si>
  <x:si>
    <x:t xml:space="preserve">Root owns the overlap region; every direct child shares one grid cell; Item owns optional logical self-placement.</x:t>
  </x:si>
  <x:si>
    <x:t xml:space="preserve">../test/components/z-stack/z-stack.test.tsx</x:t>
  </x:si>
  <x:si>
    <x:t xml:space="preserve">ZS-03</x:t>
  </x:si>
  <x:si>
    <x:t xml:space="preserve">Root, z-stack subpath, namespace, named parts, and public types expose identical runtime identities.</x:t>
  </x:si>
  <x:si>
    <x:t xml:space="preserve">ZS-04</x:t>
  </x:si>
  <x:si>
    <x:t xml:space="preserve">Semantic hosts, nine-position logical placement, asChild composition, native props, exclusions, and refs type-check.</x:t>
  </x:si>
  <x:si>
    <x:t xml:space="preserve">../test/types/components/z-stack.test.ts</x:t>
  </x:si>
  <x:si>
    <x:t xml:space="preserve">ZS-05</x:t>
  </x:si>
  <x:si>
    <x:t xml:space="preserve">Static CSS provides natural source-ordered overlap, min-inline containment, and logical start/center/end placement without absolute positioning.</x:t>
  </x:si>
  <x:si>
    <x:t xml:space="preserve">../src/components/z-stack/z-stack.css</x:t>
  </x:si>
  <x:si>
    <x:t xml:space="preserve">ZS-06</x:t>
  </x:si>
  <x:si>
    <x:t xml:space="preserve">Defaults, complete placement recipes, semantic hosts, native pass-through, asChild, hooks, events, and refs pass.</x:t>
  </x:si>
  <x:si>
    <x:t xml:space="preserve">ZS-07</x:t>
  </x:si>
  <x:si>
    <x:t xml:space="preserve">Real-browser overlap, source order, logical placement, composition, focus order, reflow, and containment pass.</x:t>
  </x:si>
  <x:si>
    <x:t xml:space="preserve">tests/components/z-stack/behavior.spec.ts</x:t>
  </x:si>
  <x:si>
    <x:t xml:space="preserve">ZS-08</x:t>
  </x:si>
  <x:si>
    <x:t xml:space="preserve">Top-start, center, and bottom-end evidence proves logical nine-position placement without changing the authored order.</x:t>
  </x:si>
  <x:si>
    <x:t xml:space="preserve">tests/components/z-stack/visual.spec.ts</x:t>
  </x:si>
  <x:si>
    <x:t xml:space="preserve">Agent-inspected the generated overview and placement baselines.</x:t>
  </x:si>
  <x:si>
    <x:t xml:space="preserve">ZS-09</x:t>
  </x:si>
  <x:si>
    <x:t xml:space="preserve">asChild gives one existing semantic child the ZStack item hooks and placement with no additional wrapper.</x:t>
  </x:si>
  <x:si>
    <x:t xml:space="preserve">ZS-10</x:t>
  </x:si>
  <x:si>
    <x:t xml:space="preserve">ZStack adds no roles or names; authored focus order, RTL, narrow reflow, and axe checks pass.</x:t>
  </x:si>
  <x:si>
    <x:t xml:space="preserve">ZS-11</x:t>
  </x:si>
  <x:si>
    <x:t xml:space="preserve">Narrow width, text-size stress, RTL, appearance, and forced colors retain readable source-ordered layers.</x:t>
  </x:si>
  <x:si>
    <x:t xml:space="preserve">manual-tests/z-stack.md</x:t>
  </x:si>
  <x:si>
    <x:t xml:space="preserve">Automated narrow, RTL, focus, and axe evidence passes; the complete human run remains pending.</x:t>
  </x:si>
  <x:si>
    <x:t xml:space="preserve">ZS-12</x:t>
  </x:si>
  <x:si>
    <x:t xml:space="preserve">A tester completes the component-owned overlap, placement, composition, zoom, device, appearance, and forced-color protocol.</x:t>
  </x:si>
  <x:si>
    <x:t xml:space="preserve">Protocol exists; owner human review remains intentionally unclaimed.</x:t>
  </x:si>
  <x:si>
    <x:t xml:space="preserve">ZS-13</x:t>
  </x:si>
  <x:si>
    <x:t xml:space="preserve">Source-backed selection, anatomy, placement, composition, accessibility, CSS, API, and agent guidance pass component checks.</x:t>
  </x:si>
  <x:si>
    <x:t xml:space="preserve">../docs/components/z-stack/README.md; ../src/components/z-stack/agent.md</x:t>
  </x:si>
  <x:si>
    <x:t xml:space="preserve">ZS-14</x:t>
  </x:si>
  <x:si>
    <x:t xml:space="preserve">ZStack owns a component changelog and the package changelog records the public layout addition.</x:t>
  </x:si>
  <x:si>
    <x:t xml:space="preserve">../docs/components/z-stack/CHANGELOG.md; ../CHANGELOG.md</x:t>
  </x:si>
  <x:si>
    <x:t xml:space="preserve">ZS-15</x:t>
  </x:si>
  <x:si>
    <x:t xml:space="preserve">Exact packed React 18 and 19 consumers import the public root and z-stack subpath without source coupling.</x:t>
  </x:si>
  <x:si>
    <x:t xml:space="preserve">../scripts/verify-consumers.mjs; ../test/package/package.test.mjs</x:t>
  </x:si>
  <x:si>
    <x:t xml:space="preserve">ZS-16</x:t>
  </x:si>
  <x:si>
    <x:t xml:space="preserve">Build, SSR-safe imports, exports, modular CSS, tarball, React 18/19 consumers, docs, browser, axe, and visual gates pass.</x:t>
  </x:si>
  <x:si>
    <x:t xml:space="preserve">Appearance Evidence</x:t>
  </x:si>
  <x:si>
    <x:t xml:space="preserve">Assertion-level wrapper-free scope, nested appearance, portal, theme-contract, accessibility, documentation, and package evidence.</x:t>
  </x:si>
  <x:si>
    <x:t xml:space="preserve">AP-01</x:t>
  </x:si>
  <x:si>
    <x:t xml:space="preserve">Appearance decorates exactly one existing DOM or Brick host with stable hooks and no additional wrapper.</x:t>
  </x:si>
  <x:si>
    <x:t xml:space="preserve">../src/components/appearance</x:t>
  </x:si>
  <x:si>
    <x:t xml:space="preserve">AP-02</x:t>
  </x:si>
  <x:si>
    <x:t xml:space="preserve">Root and appearance subpath exports expose Appearance and every public Appearance type with identical runtime identity.</x:t>
  </x:si>
  <x:si>
    <x:t xml:space="preserve">AP-03</x:t>
  </x:si>
  <x:si>
    <x:t xml:space="preserve">Light, dark, and inherit values plus one ref-capable React element type-check while invalid values, text, as, and asChild are rejected.</x:t>
  </x:si>
  <x:si>
    <x:t xml:space="preserve">../test/types/components/appearance.test.ts</x:t>
  </x:si>
  <x:si>
    <x:t xml:space="preserve">AP-04</x:t>
  </x:si>
  <x:si>
    <x:t xml:space="preserve">Static CSS applies color-scheme and complete explicit appearance selectors without component paint, spacing, or state ownership.</x:t>
  </x:si>
  <x:si>
    <x:t xml:space="preserve">../src/components/appearance/appearance.css; ../test/package/tokens.test.mjs</x:t>
  </x:si>
  <x:si>
    <x:t xml:space="preserve">AP-05</x:t>
  </x:si>
  <x:si>
    <x:t xml:space="preserve">Wrapper-free composition, all values, child props, styles, handlers, slots, refs, and invalid-child failures pass focused tests.</x:t>
  </x:si>
  <x:si>
    <x:t xml:space="preserve">../test/components/appearance/appearance.test.tsx</x:t>
  </x:si>
  <x:si>
    <x:t xml:space="preserve">AP-06</x:t>
  </x:si>
  <x:si>
    <x:t xml:space="preserve">Nested scopes</x:t>
  </x:si>
  <x:si>
    <x:t xml:space="preserve">Light-dark-light and dark-light-dark restore the nearest complete semantic scope without adding wrappers.</x:t>
  </x:si>
  <x:si>
    <x:t xml:space="preserve">tests/components/appearance/behavior.spec.ts</x:t>
  </x:si>
  <x:si>
    <x:t xml:space="preserve">AP-07</x:t>
  </x:si>
  <x:si>
    <x:t xml:space="preserve">Portals</x:t>
  </x:si>
  <x:si>
    <x:t xml:space="preserve">Drawer roots</x:t>
  </x:si>
  <x:si>
    <x:t xml:space="preserve">Explicitly scoped portalled visual roots keep the intended appearance without changing Drawer dismissal, focus, or return behavior.</x:t>
  </x:si>
  <x:si>
    <x:t xml:space="preserve">AP-08</x:t>
  </x:si>
  <x:si>
    <x:t xml:space="preserve">Compiled inputs</x:t>
  </x:si>
  <x:si>
    <x:t xml:space="preserve">Compiled Theme selectors and component inputs reach nested scopes, container portals, and explicitly scoped body-level roots.</x:t>
  </x:si>
  <x:si>
    <x:t xml:space="preserve">tests/components/appearance/behavior.spec.ts; tests/integration/theme-qualification.spec.ts</x:t>
  </x:si>
  <x:si>
    <x:t xml:space="preserve">AP-09</x:t>
  </x:si>
  <x:si>
    <x:t xml:space="preserve">Appearance adds no role, accessible name, focus behavior, or client state and remains deterministic during SSR and hydration.</x:t>
  </x:si>
  <x:si>
    <x:t xml:space="preserve">tests/components/appearance/behavior.spec.ts; ../test/package/ssr.test.mjs</x:t>
  </x:si>
  <x:si>
    <x:t xml:space="preserve">AP-10</x:t>
  </x:si>
  <x:si>
    <x:t xml:space="preserve">Scopes</x:t>
  </x:si>
  <x:si>
    <x:t xml:space="preserve">Baselines cover nested re-entry, wrapper-free composition, explicit portal scope, compact width, light, dark, and compiled Theme behavior.</x:t>
  </x:si>
  <x:si>
    <x:t xml:space="preserve">tests/components/appearance/visual.spec.ts</x:t>
  </x:si>
  <x:si>
    <x:t xml:space="preserve">Automated baselines exist; complete owner visual review is intentionally unclaimed.</x:t>
  </x:si>
  <x:si>
    <x:t xml:space="preserve">AP-11</x:t>
  </x:si>
  <x:si>
    <x:t xml:space="preserve">Narrow width, 200% and 400% zoom, RTL, forced colors, reduced motion, and keyboard use preserve containment, focus, and contrast.</x:t>
  </x:si>
  <x:si>
    <x:t xml:space="preserve">manual-tests/appearance.md</x:t>
  </x:si>
  <x:si>
    <x:t xml:space="preserve">Automated compact evidence passes; the complete human stress run remains pending.</x:t>
  </x:si>
  <x:si>
    <x:t xml:space="preserve">AP-12</x:t>
  </x:si>
  <x:si>
    <x:t xml:space="preserve">A tester completes the component-owned nested, portal, stress, Theme, and assistive-technology protocol.</x:t>
  </x:si>
  <x:si>
    <x:t xml:space="preserve">AP-13</x:t>
  </x:si>
  <x:si>
    <x:t xml:space="preserve">Public guidance covers selection, wrapper-free anatomy, values, portals, accessibility, responsive ownership, CSS, and customization.</x:t>
  </x:si>
  <x:si>
    <x:t xml:space="preserve">../docs/components/appearance/README.md</x:t>
  </x:si>
  <x:si>
    <x:t xml:space="preserve">AP-14</x:t>
  </x:si>
  <x:si>
    <x:t xml:space="preserve">Machine-readable guidance distinguishes appearance scope, Surface paint, Theme generation, and application preference ownership.</x:t>
  </x:si>
  <x:si>
    <x:t xml:space="preserve">../src/components/appearance/agent.json; ../src/components/appearance/agent.md</x:t>
  </x:si>
  <x:si>
    <x:t xml:space="preserve">AP-15</x:t>
  </x:si>
  <x:si>
    <x:t xml:space="preserve">Appearance owns a public changelog and the package history records its scope and compiled Theme qualification.</x:t>
  </x:si>
  <x:si>
    <x:t xml:space="preserve">../docs/components/appearance/CHANGELOG.md; ../CHANGELOG.md</x:t>
  </x:si>
  <x:si>
    <x:t xml:space="preserve">AP-16</x:t>
  </x:si>
  <x:si>
    <x:t xml:space="preserve">A packed consumer directly composes the local Appearance component rather than only owning document preference state.</x:t>
  </x:si>
  <x:si>
    <x:t xml:space="preserve">The packed consumer currently owns document-root preference state and does not directly import Appearance; package and SSR gates prove this component.</x:t>
  </x:si>
  <x:si>
    <x:t xml:space="preserve">AP-17</x:t>
  </x:si>
  <x:si>
    <x:t xml:space="preserve">Build, SSR, exports, CSS, tokens, tarball, React 18/19, docs, browser, axe, and visual gates pass.</x:t>
  </x:si>
  <x:si>
    <x:t xml:space="preserve">../test/package; ../scripts/verify-package.mjs</x:t>
  </x:si>
  <x:si>
    <x:t xml:space="preserve">Frame Evidence</x:t>
  </x:si>
  <x:si>
    <x:t xml:space="preserve">Assertion-level logical size-constraint, responsive, nesting, composition, browser, documentation, and package evidence.</x:t>
  </x:si>
  <x:si>
    <x:t xml:space="preserve">FR-01</x:t>
  </x:si>
  <x:si>
    <x:t xml:space="preserve">Frame renders one approved semantic host and owns only six logical size constraints with stable hooks and forwarded refs.</x:t>
  </x:si>
  <x:si>
    <x:t xml:space="preserve">../src/components/frame</x:t>
  </x:si>
  <x:si>
    <x:t xml:space="preserve">FR-02</x:t>
  </x:si>
  <x:si>
    <x:t xml:space="preserve">Root and frame subpath exports expose Frame and every public Frame type with identical runtime identity.</x:t>
  </x:si>
  <x:si>
    <x:t xml:space="preserve">FR-03</x:t>
  </x:si>
  <x:si>
    <x:t xml:space="preserve">Closed hosts, six responsive logical constraints, native props, refs, and rejected paint, overflow, and invalid breakpoint props type-check.</x:t>
  </x:si>
  <x:si>
    <x:t xml:space="preserve">../test/types/components/frame.test.ts</x:t>
  </x:si>
  <x:si>
    <x:t xml:space="preserve">FR-04</x:t>
  </x:si>
  <x:si>
    <x:t xml:space="preserve">Static CSS maps base and standard-breakpoint logical variables without taking over paint, layout, spacing, or overflow.</x:t>
  </x:si>
  <x:si>
    <x:t xml:space="preserve">../src/components/frame/frame.css</x:t>
  </x:si>
  <x:si>
    <x:t xml:space="preserve">FR-05</x:t>
  </x:si>
  <x:si>
    <x:t xml:space="preserve">Defaults, every constraint, responsive serialization, asChild composition, native props, hooks, refs, and prop filtering pass.</x:t>
  </x:si>
  <x:si>
    <x:t xml:space="preserve">../test/components/frame/frame.test.tsx</x:t>
  </x:si>
  <x:si>
    <x:t xml:space="preserve">FR-06</x:t>
  </x:si>
  <x:si>
    <x:t xml:space="preserve">Inline, minimum, maximum, block, responsive carry-forward, and prop-leakage behavior resolve correctly in a real browser.</x:t>
  </x:si>
  <x:si>
    <x:t xml:space="preserve">tests/components/frame/behavior.spec.ts</x:t>
  </x:si>
  <x:si>
    <x:t xml:space="preserve">FR-07</x:t>
  </x:si>
  <x:si>
    <x:t xml:space="preserve">asChild</x:t>
  </x:si>
  <x:si>
    <x:t xml:space="preserve">Frame enhances one semantic or painted child while preserving one host, its props, style, slot, and ref.</x:t>
  </x:si>
  <x:si>
    <x:t xml:space="preserve">FR-08</x:t>
  </x:si>
  <x:si>
    <x:t xml:space="preserve">Nesting</x:t>
  </x:si>
  <x:si>
    <x:t xml:space="preserve">Nested Frames keep base and responsive variables locally scoped instead of inheriting parent constraints.</x:t>
  </x:si>
  <x:si>
    <x:t xml:space="preserve">FR-09</x:t>
  </x:si>
  <x:si>
    <x:t xml:space="preserve">Logical sizing adds no landmark or behavior and preserves source order, focus visibility, axe, RTL, and vertical writing.</x:t>
  </x:si>
  <x:si>
    <x:t xml:space="preserve">FR-10</x:t>
  </x:si>
  <x:si>
    <x:t xml:space="preserve">Baselines cover qualified constraints, nested composition, responsive mobile geometry, and readable containment.</x:t>
  </x:si>
  <x:si>
    <x:t xml:space="preserve">tests/components/frame/visual.spec.ts</x:t>
  </x:si>
  <x:si>
    <x:t xml:space="preserve">FR-11</x:t>
  </x:si>
  <x:si>
    <x:t xml:space="preserve">Physical mobile, 200% and 400% zoom, long content, RTL, vertical writing, and bounded ScrollArea composition remain usable.</x:t>
  </x:si>
  <x:si>
    <x:t xml:space="preserve">manual-tests/frame.md</x:t>
  </x:si>
  <x:si>
    <x:t xml:space="preserve">Automated logical stress evidence passes; the complete human run remains pending.</x:t>
  </x:si>
  <x:si>
    <x:t xml:space="preserve">FR-12</x:t>
  </x:si>
  <x:si>
    <x:t xml:space="preserve">A tester completes the component-owned constraints, nesting, scrolling, focus, writing-mode, and appearance protocol.</x:t>
  </x:si>
  <x:si>
    <x:t xml:space="preserve">FR-13</x:t>
  </x:si>
  <x:si>
    <x:t xml:space="preserve">Public and Agent Knowledge guidance covers selection, ownership boundaries, constraints, composition, accessibility, CSS, and API details.</x:t>
  </x:si>
  <x:si>
    <x:t xml:space="preserve">../docs/components/frame/README.md; ../src/components/frame/agent.json; ../src/components/frame/agent.md</x:t>
  </x:si>
  <x:si>
    <x:t xml:space="preserve">FR-14</x:t>
  </x:si>
  <x:si>
    <x:t xml:space="preserve">Frame owns a public changelog and package history records the responsive primitive and nested-scope correction.</x:t>
  </x:si>
  <x:si>
    <x:t xml:space="preserve">../docs/components/frame/CHANGELOG.md; ../CHANGELOG.md</x:t>
  </x:si>
  <x:si>
    <x:t xml:space="preserve">FR-15</x:t>
  </x:si>
  <x:si>
    <x:t xml:space="preserve">A packed consumer directly imports Frame for a realistic local size constraint.</x:t>
  </x:si>
  <x:si>
    <x:t xml:space="preserve">The packed consumer does not directly import Frame; package, SSR, and component gates prove the public artifact.</x:t>
  </x:si>
  <x:si>
    <x:t xml:space="preserve">FR-16</x:t>
  </x:si>
  <x:si>
    <x:t xml:space="preserve">Build, SSR, exports, CSS, tarball, React 18/19, docs, browser, axe, and visual gates pass.</x:t>
  </x:si>
  <x:si>
    <x:t xml:space="preserve">Section Evidence</x:t>
  </x:si>
  <x:si>
    <x:t xml:space="preserve">Assertion-level semantic region, responsive rhythm, logical-edge, composition, accessibility, documentation, and package evidence.</x:t>
  </x:si>
  <x:si>
    <x:t xml:space="preserve">SE-01</x:t>
  </x:si>
  <x:si>
    <x:t xml:space="preserve">Section renders one approved native host and owns only themeable logical block rhythm with stable hooks and forwarded refs.</x:t>
  </x:si>
  <x:si>
    <x:t xml:space="preserve">../src/components/section</x:t>
  </x:si>
  <x:si>
    <x:t xml:space="preserve">SE-02</x:t>
  </x:si>
  <x:si>
    <x:t xml:space="preserve">Root and section subpath exports expose Section and every public Section type with identical runtime identity.</x:t>
  </x:si>
  <x:si>
    <x:t xml:space="preserve">SE-03</x:t>
  </x:si>
  <x:si>
    <x:t xml:space="preserve">Closed hosts, six named spacing values, responsive and independent edge values, native props, refs, and ownership exclusions type-check.</x:t>
  </x:si>
  <x:si>
    <x:t xml:space="preserve">../test/types/components/section.test.ts</x:t>
  </x:si>
  <x:si>
    <x:t xml:space="preserve">SE-04</x:t>
  </x:si>
  <x:si>
    <x:t xml:space="preserve">Rhythm</x:t>
  </x:si>
  <x:si>
    <x:t xml:space="preserve">Static CSS ships six fluid token-derived recipes, independent logical edges, responsive breakpoints, and public variables without paint or layout ownership.</x:t>
  </x:si>
  <x:si>
    <x:t xml:space="preserve">../src/components/section/section.css</x:t>
  </x:si>
  <x:si>
    <x:t xml:space="preserve">SE-05</x:t>
  </x:si>
  <x:si>
    <x:t xml:space="preserve">Defaults, all recipes, responsive serialization, approved hosts, native props, hooks, events, styles, children, and refs pass.</x:t>
  </x:si>
  <x:si>
    <x:t xml:space="preserve">../test/components/section/section.test.tsx</x:t>
  </x:si>
  <x:si>
    <x:t xml:space="preserve">SE-06</x:t>
  </x:si>
  <x:si>
    <x:t xml:space="preserve">Scale</x:t>
  </x:si>
  <x:si>
    <x:t xml:space="preserve">The closed rhythm scale grows monotonically, keeps the medium default, and remains themeable in a real browser.</x:t>
  </x:si>
  <x:si>
    <x:t xml:space="preserve">tests/components/section/behavior.spec.ts</x:t>
  </x:si>
  <x:si>
    <x:t xml:space="preserve">SE-07</x:t>
  </x:si>
  <x:si>
    <x:t xml:space="preserve">Responsive values change at Brick breakpoints with CSS carry-forward and no JavaScript viewport switching.</x:t>
  </x:si>
  <x:si>
    <x:t xml:space="preserve">SE-08</x:t>
  </x:si>
  <x:si>
    <x:t xml:space="preserve">Logical edges</x:t>
  </x:si>
  <x:si>
    <x:t xml:space="preserve">startSpacing and endSpacing change only their requested logical edges in horizontal and vertical writing.</x:t>
  </x:si>
  <x:si>
    <x:t xml:space="preserve">SE-09</x:t>
  </x:si>
  <x:si>
    <x:t xml:space="preserve">Surface/Container</x:t>
  </x:si>
  <x:si>
    <x:t xml:space="preserve">Surface asChild and Section share one painted semantic host while Container and Stack retain measure and child-layout ownership.</x:t>
  </x:si>
  <x:si>
    <x:t xml:space="preserve">tests/components/section/behavior.spec.ts; ../test/package/ssr.test.mjs</x:t>
  </x:si>
  <x:si>
    <x:t xml:space="preserve">SE-10</x:t>
  </x:si>
  <x:si>
    <x:t xml:space="preserve">Section adds no role or name, preserves valid authored landmarks, source and focus order, axe, reflow, RTL, and vertical writing.</x:t>
  </x:si>
  <x:si>
    <x:t xml:space="preserve">SE-11</x:t>
  </x:si>
  <x:si>
    <x:t xml:space="preserve">Baselines cover the complete scale, responsive mobile behavior, asymmetric edges, dark composition, and logical stress.</x:t>
  </x:si>
  <x:si>
    <x:t xml:space="preserve">tests/components/section/visual.spec.ts</x:t>
  </x:si>
  <x:si>
    <x:t xml:space="preserve">SE-12</x:t>
  </x:si>
  <x:si>
    <x:t xml:space="preserve">A tester completes the component-owned scale, edge, semantic, composition, zoom, focus, and assistive-technology protocol.</x:t>
  </x:si>
  <x:si>
    <x:t xml:space="preserve">manual-tests/section.md</x:t>
  </x:si>
  <x:si>
    <x:t xml:space="preserve">SE-13</x:t>
  </x:si>
  <x:si>
    <x:t xml:space="preserve">Public guidance covers selection, semantic ownership, named rhythm, responsive edges, composition, accessibility, CSS, and API details.</x:t>
  </x:si>
  <x:si>
    <x:t xml:space="preserve">../docs/components/section/README.md</x:t>
  </x:si>
  <x:si>
    <x:t xml:space="preserve">SE-14</x:t>
  </x:si>
  <x:si>
    <x:t xml:space="preserve">Machine-readable guidance separates major-region rhythm from Surface paint, Container measure, Stack/Grid layout, and Blocks.</x:t>
  </x:si>
  <x:si>
    <x:t xml:space="preserve">../src/components/section/agent.json; ../src/components/section/agent.md</x:t>
  </x:si>
  <x:si>
    <x:t xml:space="preserve">SE-15</x:t>
  </x:si>
  <x:si>
    <x:t xml:space="preserve">Section owns a public changelog and package history records the semantic responsive rhythm primitive.</x:t>
  </x:si>
  <x:si>
    <x:t xml:space="preserve">../docs/components/section/CHANGELOG.md; ../CHANGELOG.md</x:t>
  </x:si>
  <x:si>
    <x:t xml:space="preserve">SE-16</x:t>
  </x:si>
  <x:si>
    <x:t xml:space="preserve">A packed consumer directly imports Section for a realistic major-region rhythm boundary.</x:t>
  </x:si>
  <x:si>
    <x:t xml:space="preserve">The packed consumer currently uses other semantic Brick hosts rather than directly importing Section; package and SSR gates prove this component.</x:t>
  </x:si>
  <x:si>
    <x:t xml:space="preserve">SE-17</x:t>
  </x:si>
  <x:si>
    <x:t xml:space="preserve">Reorderable List Evidence</x:t>
  </x:si>
  <x:si>
    <x:t xml:space="preserve">Assertion-level Atom-backed manual ordering, recipes, input parity, focus, responsive containment, documentation, Consumer, and accessibility evidence.</x:t>
  </x:si>
  <x:si>
    <x:t xml:space="preserve">RL-01</x:t>
  </x:si>
  <x:si>
    <x:t xml:space="preserve">Brick styles published Atom Reorder behavior without recreating drag, touch, keyboard, focus, announcements, cancellation, or reorder state.</x:t>
  </x:si>
  <x:si>
    <x:t xml:space="preserve">../src/components/reorderable-list/ReorderableList.tsx; ../package.json</x:t>
  </x:si>
  <x:si>
    <x:t xml:space="preserve">RL-02</x:t>
  </x:si>
  <x:si>
    <x:t xml:space="preserve">Root, Item, Handle, Content, Actions, four direct Move controls, and DropIndicator expose the adopted ordered-list anatomy and refs.</x:t>
  </x:si>
  <x:si>
    <x:t xml:space="preserve">../test/components/reorderable-list/reorderable-list.test.tsx</x:t>
  </x:si>
  <x:si>
    <x:t xml:space="preserve">RL-03</x:t>
  </x:si>
  <x:si>
    <x:t xml:space="preserve">Root and reorderable-list subpath exports expose the complete namespace, named parts, and public types with identical identities.</x:t>
  </x:si>
  <x:si>
    <x:t xml:space="preserve">RL-04</x:t>
  </x:si>
  <x:si>
    <x:t xml:space="preserve">Closed sizes and variants, stable item labels, named handles and controls, native props, refs, and invalid omissions type-check.</x:t>
  </x:si>
  <x:si>
    <x:t xml:space="preserve">../test/types/components/reorderable-list.test.ts</x:t>
  </x:si>
  <x:si>
    <x:t xml:space="preserve">RL-05</x:t>
  </x:si>
  <x:si>
    <x:t xml:space="preserve">Static CSS ships complete outline and soft recipes, three sizes, state paint, logical orientation, narrow composition, and public variables.</x:t>
  </x:si>
  <x:si>
    <x:t xml:space="preserve">../src/components/reorderable-list/reorderable-list.css</x:t>
  </x:si>
  <x:si>
    <x:t xml:space="preserve">RL-06</x:t>
  </x:si>
  <x:si>
    <x:t xml:space="preserve">Default anatomy, recipes, direct completion details, native props, hooks, refs, disabled, and read-only behavior pass focused tests.</x:t>
  </x:si>
  <x:si>
    <x:t xml:space="preserve">RL-07</x:t>
  </x:si>
  <x:si>
    <x:t xml:space="preserve">Direct movement</x:t>
  </x:si>
  <x:si>
    <x:t xml:space="preserve">Move controls</x:t>
  </x:si>
  <x:si>
    <x:t xml:space="preserve">Visible before and after controls update stable order exactly once, expose unavailable states, and retain focus on the moved item.</x:t>
  </x:si>
  <x:si>
    <x:t xml:space="preserve">tests/components/reorderable-list/behavior.spec.ts</x:t>
  </x:si>
  <x:si>
    <x:t xml:space="preserve">RL-08</x:t>
  </x:si>
  <x:si>
    <x:t xml:space="preserve">Handle</x:t>
  </x:si>
  <x:si>
    <x:t xml:space="preserve">Space lift/drop, arrow target movement, Escape cancellation, stable identity, and keyed focus preservation pass.</x:t>
  </x:si>
  <x:si>
    <x:t xml:space="preserve">RL-09</x:t>
  </x:si>
  <x:si>
    <x:t xml:space="preserve">Pointer</x:t>
  </x:si>
  <x:si>
    <x:t xml:space="preserve">Mouse dragging commits at valid item targets and abandoned movement outside valid space preserves the starting order.</x:t>
  </x:si>
  <x:si>
    <x:t xml:space="preserve">RL-10</x:t>
  </x:si>
  <x:si>
    <x:t xml:space="preserve">Recipes, insertion targets, complete focus rings, state paint, and container-responsive narrow action placement remain contained.</x:t>
  </x:si>
  <x:si>
    <x:t xml:space="preserve">RL-11</x:t>
  </x:si>
  <x:si>
    <x:t xml:space="preserve">Horizontal overflow and RTL preserve logical before/after placement, useful item measure, and source order.</x:t>
  </x:si>
  <x:si>
    <x:t xml:space="preserve">RL-12</x:t>
  </x:si>
  <x:si>
    <x:t xml:space="preserve">Ordered-list semantics, complete control names, equivalent direct movement, focus, state, and axe checks pass without drag-only operation.</x:t>
  </x:si>
  <x:si>
    <x:t xml:space="preserve">RL-13</x:t>
  </x:si>
  <x:si>
    <x:t xml:space="preserve">Reviewed baselines cover overview, recipes, direct movement, states, dark Theme, mobile RTL, and forced-color boundaries.</x:t>
  </x:si>
  <x:si>
    <x:t xml:space="preserve">tests/components/reorderable-list/visual.spec.ts</x:t>
  </x:si>
  <x:si>
    <x:t xml:space="preserve">Owner reviewed the implemented list during Batch 04 Lab C qualification.</x:t>
  </x:si>
  <x:si>
    <x:t xml:space="preserve">RL-14</x:t>
  </x:si>
  <x:si>
    <x:t xml:space="preserve">Input and stress</x:t>
  </x:si>
  <x:si>
    <x:t xml:space="preserve">A tester completes keyboard, mouse, physical touch, cancellation, focus, screen-reader announcements, zoom, appearance, and direction protocol.</x:t>
  </x:si>
  <x:si>
    <x:t xml:space="preserve">manual-tests/reorderable-list.md</x:t>
  </x:si>
  <x:si>
    <x:t xml:space="preserve">Automated browser evidence and owner visual review pass; physical touch and recorded assistive-technology review remain pending.</x:t>
  </x:si>
  <x:si>
    <x:t xml:space="preserve">RL-15</x:t>
  </x:si>
  <x:si>
    <x:t xml:space="preserve">Public guidance covers selection, anatomy, recipes, manual-order ownership, responsive behavior, accessibility, CSS, and application boundaries.</x:t>
  </x:si>
  <x:si>
    <x:t xml:space="preserve">../docs/components/reorderable-list/README.md</x:t>
  </x:si>
  <x:si>
    <x:t xml:space="preserve">RL-16</x:t>
  </x:si>
  <x:si>
    <x:t xml:space="preserve">Machine-readable guidance distinguishes manual ordering from static List, Data Grid sorting, and multi-container drag jobs.</x:t>
  </x:si>
  <x:si>
    <x:t xml:space="preserve">../src/components/reorderable-list/agent.json; ../src/components/reorderable-list/agent.md</x:t>
  </x:si>
  <x:si>
    <x:t xml:space="preserve">RL-17</x:t>
  </x:si>
  <x:si>
    <x:t xml:space="preserve">The component changelog records the finished Atom-backed manual-order composition and container-responsive layout.</x:t>
  </x:si>
  <x:si>
    <x:t xml:space="preserve">../docs/components/reorderable-list/CHANGELOG.md; ../CHANGELOG.md</x:t>
  </x:si>
  <x:si>
    <x:t xml:space="preserve">RL-18</x:t>
  </x:si>
  <x:si>
    <x:t xml:space="preserve">A realistic packed-package consumer composes public Reorderable List imports with stable data and direct movement controls.</x:t>
  </x:si>
  <x:si>
    <x:t xml:space="preserve">RL-19</x:t>
  </x:si>
  <x:si>
    <x:t xml:space="preserve">Build, SSR, exports, CSS, Atom compatibility, tarball, React 18/19, packed Consumer, browser, axe, and visual gates pass.</x:t>
  </x:si>
  <x:si>
    <x:t xml:space="preserve">Automated package gates pass; complete status waits for the component-owned physical-touch and assistive-technology manual run.</x:t>
  </x:si>
  <x:si>
    <x:t xml:space="preserve">Color Swatch Evidence</x:t>
  </x:si>
  <x:si>
    <x:t xml:space="preserve">Assertion-level passive preview, CSS, browser, accessibility, documentation, and package evidence.</x:t>
  </x:si>
  <x:si>
    <x:t xml:space="preserve">Bleed Evidence</x:t>
  </x:si>
  <x:si>
    <x:t xml:space="preserve">Assertion-level static layout, responsive geometry, composition, accessibility, documentation, and package evidence.</x:t>
  </x:si>
  <x:si>
    <x:t xml:space="preserve">BLD-01</x:t>
  </x:si>
  <x:si>
    <x:t xml:space="preserve">Bleed renders one selected native host or enhances one non-Fragment child without adding descendants, semantics, focus, or behavior.</x:t>
  </x:si>
  <x:si>
    <x:t xml:space="preserve">../src/components/bleed</x:t>
  </x:si>
  <x:si>
    <x:t xml:space="preserve">BLD-02</x:t>
  </x:si>
  <x:si>
    <x:t xml:space="preserve">The one public part exposes stable class, data-bleed, data-slot, native host, and forwarded-ref ownership.</x:t>
  </x:si>
  <x:si>
    <x:t xml:space="preserve">../test/components/bleed/bleed.test.tsx</x:t>
  </x:si>
  <x:si>
    <x:t xml:space="preserve">BLD-03</x:t>
  </x:si>
  <x:si>
    <x:t xml:space="preserve">Root and bleed subpath exports expose Bleed, BleedProps, and BleedElement through runtime and declaration surfaces.</x:t>
  </x:si>
  <x:si>
    <x:t xml:space="preserve">BLD-04</x:t>
  </x:si>
  <x:si>
    <x:t xml:space="preserve">Closed host choices, responsive spacing, asChild composition, refs, and rejected paint props type-check.</x:t>
  </x:si>
  <x:si>
    <x:t xml:space="preserve">../test/types/components/bleed.test.ts</x:t>
  </x:si>
  <x:si>
    <x:t xml:space="preserve">BLD-05</x:t>
  </x:si>
  <x:si>
    <x:t xml:space="preserve">Static utility-layer CSS converts logical public spacing into locally scoped negative margins across initial, sm, md, lg, and xl states.</x:t>
  </x:si>
  <x:si>
    <x:t xml:space="preserve">../src/components/bleed/bleed.css</x:t>
  </x:si>
  <x:si>
    <x:t xml:space="preserve">BLD-06</x:t>
  </x:si>
  <x:si>
    <x:t xml:space="preserve">Props</x:t>
  </x:si>
  <x:si>
    <x:t xml:space="preserve">Axis and directional values serialize without DOM leakage, and a directional edge overrides its matching axis edge.</x:t>
  </x:si>
  <x:si>
    <x:t xml:space="preserve">BLD-07</x:t>
  </x:si>
  <x:si>
    <x:t xml:space="preserve">Real-browser geometry crosses only authored logical edges and responsive values change at the tested viewport.</x:t>
  </x:si>
  <x:si>
    <x:t xml:space="preserve">tests/components/bleed/behavior.spec.ts</x:t>
  </x:si>
  <x:si>
    <x:t xml:space="preserve">BLD-08</x:t>
  </x:si>
  <x:si>
    <x:t xml:space="preserve">asChild preserves the authored semantic figure and composed class/ref ownership without adding a wrapper.</x:t>
  </x:si>
  <x:si>
    <x:t xml:space="preserve">../test/components/bleed/bleed.test.tsx; tests/components/bleed/behavior.spec.ts</x:t>
  </x:si>
  <x:si>
    <x:t xml:space="preserve">BLD-09</x:t>
  </x:si>
  <x:si>
    <x:t xml:space="preserve">Narrow-width overflow and axe checks pass while Bleed remains semantically neutral.</x:t>
  </x:si>
  <x:si>
    <x:t xml:space="preserve">BLD-10</x:t>
  </x:si>
  <x:si>
    <x:t xml:space="preserve">The visual owner defines edge-media and narrow responsive screenshots, but the required baselines do not exist yet.</x:t>
  </x:si>
  <x:si>
    <x:t xml:space="preserve">tests/components/bleed/visual.spec.ts</x:t>
  </x:si>
  <x:si>
    <x:t xml:space="preserve">Focused Chromium visual checks wrote actuals because both required baselines are missing.</x:t>
  </x:si>
  <x:si>
    <x:t xml:space="preserve">BLD-11</x:t>
  </x:si>
  <x:si>
    <x:t xml:space="preserve">Stress</x:t>
  </x:si>
  <x:si>
    <x:t xml:space="preserve">320 px, zoom, long content, nested values, RTL, and focus visibility receive the numbered human review.</x:t>
  </x:si>
  <x:si>
    <x:t xml:space="preserve">manual-tests/bleed.md</x:t>
  </x:si>
  <x:si>
    <x:t xml:space="preserve">No completed responsive and RTL owner run is recorded.</x:t>
  </x:si>
  <x:si>
    <x:t xml:space="preserve">BLD-12</x:t>
  </x:si>
  <x:si>
    <x:t xml:space="preserve">Forced colors and appearance changes preserve descendant readability and focus without introducing component paint.</x:t>
  </x:si>
  <x:si>
    <x:t xml:space="preserve">No completed appearance owner run is recorded.</x:t>
  </x:si>
  <x:si>
    <x:t xml:space="preserve">BLD-13</x:t>
  </x:si>
  <x:si>
    <x:t xml:space="preserve">The numbered component-owned protocol passes axis, responsive, nested, narrow, zoom, RTL, device, and assistive-technology scenarios.</x:t>
  </x:si>
  <x:si>
    <x:t xml:space="preserve">No completed manual run is recorded.</x:t>
  </x:si>
  <x:si>
    <x:t xml:space="preserve">BLD-14</x:t>
  </x:si>
  <x:si>
    <x:t xml:space="preserve">One route exposes axis, one-edge, responsive, nested, and stress specimens for review.</x:t>
  </x:si>
  <x:si>
    <x:t xml:space="preserve">src/components/bleed/BleedPage.tsx</x:t>
  </x:si>
  <x:si>
    <x:t xml:space="preserve">BLD-15</x:t>
  </x:si>
  <x:si>
    <x:t xml:space="preserve">Public use, exclusions, API, responsive behavior, accessibility, composition, customization, and evidence documentation pass.</x:t>
  </x:si>
  <x:si>
    <x:t xml:space="preserve">../docs/components/bleed/README.md</x:t>
  </x:si>
  <x:si>
    <x:t xml:space="preserve">BLD-16</x:t>
  </x:si>
  <x:si>
    <x:t xml:space="preserve">Machine-readable selection, props, composition, accessibility, and evidence guidance ships with the component.</x:t>
  </x:si>
  <x:si>
    <x:t xml:space="preserve">../src/components/bleed/agent.json; ../src/components/bleed/agent.md</x:t>
  </x:si>
  <x:si>
    <x:t xml:space="preserve">BLD-17</x:t>
  </x:si>
  <x:si>
    <x:t xml:space="preserve">Bleed owns component history and the package changelog records its addition.</x:t>
  </x:si>
  <x:si>
    <x:t xml:space="preserve">../docs/components/bleed/CHANGELOG.md; ../CHANGELOG.md</x:t>
  </x:si>
  <x:si>
    <x:t xml:space="preserve">BLD-18</x:t>
  </x:si>
  <x:si>
    <x:t xml:space="preserve">The packed standalone Consumer imports the public bleed subpath in a realistic edge-media composition.</x:t>
  </x:si>
  <x:si>
    <x:t xml:space="preserve">No Bleed Consumer composition or assertion exists yet.</x:t>
  </x:si>
  <x:si>
    <x:t xml:space="preserve">BLD-19</x:t>
  </x:si>
  <x:si>
    <x:t xml:space="preserve">Build, exports, CSS, tarball, component tests, and repository verification pass.</x:t>
  </x:si>
  <x:si>
    <x:t xml:space="preserve">Clean Consumer verification cannot install unpublished @flowstack-ui/atom 0.23.1 from the public registry.</x:t>
  </x:si>
  <x:si>
    <x:t xml:space="preserve">BLD-20</x:t>
  </x:si>
  <x:si>
    <x:t xml:space="preserve">The adopted contract records Bleed as a Brick-native static layout primitive with no missing Atom capability.</x:t>
  </x:si>
  <x:si>
    <x:t xml:space="preserve">../../docs/components/bleed/contract.md</x:t>
  </x:si>
  <x:si>
    <x:t xml:space="preserve">Data List Evidence</x:t>
  </x:si>
  <x:si>
    <x:t xml:space="preserve">Assertion-level native description-list, responsive recipe, accessibility, documentation, and package evidence.</x:t>
  </x:si>
  <x:si>
    <x:t xml:space="preserve">DL-01</x:t>
  </x:si>
  <x:si>
    <x:t xml:space="preserve">Root / Item / Label / Value</x:t>
  </x:si>
  <x:si>
    <x:t xml:space="preserve">The four public parts render fixed dl, div, dt, and dd hosts with forwarded refs and native props.</x:t>
  </x:si>
  <x:si>
    <x:t xml:space="preserve">../src/components/data-list</x:t>
  </x:si>
  <x:si>
    <x:t xml:space="preserve">DL-02</x:t>
  </x:si>
  <x:si>
    <x:t xml:space="preserve">Stable classes and data-slot hooks preserve Label-before-Value source order inside every Item.</x:t>
  </x:si>
  <x:si>
    <x:t xml:space="preserve">../test/components/data-list/data-list.test.tsx</x:t>
  </x:si>
  <x:si>
    <x:t xml:space="preserve">DL-03</x:t>
  </x:si>
  <x:si>
    <x:t xml:space="preserve">DataList</x:t>
  </x:si>
  <x:si>
    <x:t xml:space="preserve">Namespace, named parts, public types, root export, and data-list subpath are exported.</x:t>
  </x:si>
  <x:si>
    <x:t xml:space="preserve">DL-04</x:t>
  </x:si>
  <x:si>
    <x:t xml:space="preserve">Sizes, orientations, label widths, responsive values, native props, and exact refs type-check.</x:t>
  </x:si>
  <x:si>
    <x:t xml:space="preserve">../test/types/components/data-list.test.ts</x:t>
  </x:si>
  <x:si>
    <x:t xml:space="preserve">DL-05</x:t>
  </x:si>
  <x:si>
    <x:t xml:space="preserve">Static CSS provides size, orientation, label measure, divider, wrapping, RTL, and forced-color recipes through public hooks.</x:t>
  </x:si>
  <x:si>
    <x:t xml:space="preserve">../src/components/data-list/data-list.css</x:t>
  </x:si>
  <x:si>
    <x:t xml:space="preserve">DL-06</x:t>
  </x:si>
  <x:si>
    <x:t xml:space="preserve">Medium vertical layout, automatic label width, and no separators are the canonical defaults.</x:t>
  </x:si>
  <x:si>
    <x:t xml:space="preserve">DL-07</x:t>
  </x:si>
  <x:si>
    <x:t xml:space="preserve">Small, medium, large, divided, and closed label-width recipes serialize through stable data attributes.</x:t>
  </x:si>
  <x:si>
    <x:t xml:space="preserve">DL-08</x:t>
  </x:si>
  <x:si>
    <x:t xml:space="preserve">Responsive orientation changes presentation while retaining one native description-list tree and the same term/value order.</x:t>
  </x:si>
  <x:si>
    <x:t xml:space="preserve">tests/components/data-list/behavior.spec.ts</x:t>
  </x:si>
  <x:si>
    <x:t xml:space="preserve">DL-09</x:t>
  </x:si>
  <x:si>
    <x:t xml:space="preserve">Root / Label / Value</x:t>
  </x:si>
  <x:si>
    <x:t xml:space="preserve">Native dl, dt, and dd semantics remain intact without redundant roles, and axe passes.</x:t>
  </x:si>
  <x:si>
    <x:t xml:space="preserve">DL-10</x:t>
  </x:si>
  <x:si>
    <x:t xml:space="preserve">The visual owner currently proves route visibility but lacks risk-selected screenshot baselines and owner review.</x:t>
  </x:si>
  <x:si>
    <x:t xml:space="preserve">tests/components/data-list/visual.spec.ts</x:t>
  </x:si>
  <x:si>
    <x:t xml:space="preserve">Capture and review size, orientation, divider, dark, RTL, and forced-color baselines.</x:t>
  </x:si>
  <x:si>
    <x:t xml:space="preserve">DL-11</x:t>
  </x:si>
  <x:si>
    <x:t xml:space="preserve">Long labels and values remain readable at narrow widths, 200% text, 400% zoom, localization, and RTL.</x:t>
  </x:si>
  <x:si>
    <x:t xml:space="preserve">manual-tests/data-list.md</x:t>
  </x:si>
  <x:si>
    <x:t xml:space="preserve">No completed reflow and RTL owner run is recorded.</x:t>
  </x:si>
  <x:si>
    <x:t xml:space="preserve">DL-12</x:t>
  </x:si>
  <x:si>
    <x:t xml:space="preserve">Light, dark, forced-colors, dividers, and nested focus remain distinguishable.</x:t>
  </x:si>
  <x:si>
    <x:t xml:space="preserve">DL-13</x:t>
  </x:si>
  <x:si>
    <x:t xml:space="preserve">Value</x:t>
  </x:si>
  <x:si>
    <x:t xml:space="preserve">Rich values retain their own native links and controls without row action, focus, or table semantics.</x:t>
  </x:si>
  <x:si>
    <x:t xml:space="preserve">manual-tests/data-list.md; src/components/data-list/DataListPage.tsx</x:t>
  </x:si>
  <x:si>
    <x:t xml:space="preserve">The composition exists; owner keyboard and assistive-technology review is pending.</x:t>
  </x:si>
  <x:si>
    <x:t xml:space="preserve">DL-14</x:t>
  </x:si>
  <x:si>
    <x:t xml:space="preserve">The numbered component-owned protocol passes semantics, recipes, rich values, theme, reflow, RTL, device, and assistive-technology scenarios.</x:t>
  </x:si>
  <x:si>
    <x:t xml:space="preserve">DL-15</x:t>
  </x:si>
  <x:si>
    <x:t xml:space="preserve">One route exposes orientations, sizes, label measures, composition, theme, and stress scenarios.</x:t>
  </x:si>
  <x:si>
    <x:t xml:space="preserve">src/components/data-list/DataListPage.tsx</x:t>
  </x:si>
  <x:si>
    <x:t xml:space="preserve">DL-16</x:t>
  </x:si>
  <x:si>
    <x:t xml:space="preserve">Public use, API, anatomy, semantics, responsive behavior, accessibility, customization, and evidence documentation pass.</x:t>
  </x:si>
  <x:si>
    <x:t xml:space="preserve">../docs/components/data-list/README.md</x:t>
  </x:si>
  <x:si>
    <x:t xml:space="preserve">DL-17</x:t>
  </x:si>
  <x:si>
    <x:t xml:space="preserve">Machine-readable guidance distinguishes metadata pairs from peer lists, tables, editable fields, and generic layout.</x:t>
  </x:si>
  <x:si>
    <x:t xml:space="preserve">../src/components/data-list/agent.json; ../src/components/data-list/agent.md</x:t>
  </x:si>
  <x:si>
    <x:t xml:space="preserve">DL-18</x:t>
  </x:si>
  <x:si>
    <x:t xml:space="preserve">Data List owns component history and the package changelog records its addition.</x:t>
  </x:si>
  <x:si>
    <x:t xml:space="preserve">../docs/components/data-list/CHANGELOG.md; ../CHANGELOG.md</x:t>
  </x:si>
  <x:si>
    <x:t xml:space="preserve">DL-19</x:t>
  </x:si>
  <x:si>
    <x:t xml:space="preserve">The packed standalone Consumer imports the public data-list subpath in a realistic metadata composition.</x:t>
  </x:si>
  <x:si>
    <x:t xml:space="preserve">No Data List Consumer composition or assertion exists yet.</x:t>
  </x:si>
  <x:si>
    <x:t xml:space="preserve">DL-20</x:t>
  </x:si>
  <x:si>
    <x:t xml:space="preserve">Link Box Evidence</x:t>
  </x:si>
  <x:si>
    <x:t xml:space="preserve">Assertion-level destination geometry, independent-action, browser, accessibility, documentation, and package evidence.</x:t>
  </x:si>
  <x:si>
    <x:t xml:space="preserve">LB-01</x:t>
  </x:si>
  <x:si>
    <x:t xml:space="preserve">Root / Link / Action</x:t>
  </x:si>
  <x:si>
    <x:t xml:space="preserve">Root coordinates one real Brick Link and an optional independent Action without adding press behavior.</x:t>
  </x:si>
  <x:si>
    <x:t xml:space="preserve">../src/components/link-box</x:t>
  </x:si>
  <x:si>
    <x:t xml:space="preserve">LB-02</x:t>
  </x:si>
  <x:si>
    <x:t xml:space="preserve">The three public parts expose stable classes, data slots, exact hosts, and forwarded refs.</x:t>
  </x:si>
  <x:si>
    <x:t xml:space="preserve">../test/components/link-box/link-box.test.tsx</x:t>
  </x:si>
  <x:si>
    <x:t xml:space="preserve">LB-03</x:t>
  </x:si>
  <x:si>
    <x:t xml:space="preserve">LinkBox</x:t>
  </x:si>
  <x:si>
    <x:t xml:space="preserve">Namespace, named parts, public types, root export, link-box subpath, and SSR output are verified.</x:t>
  </x:si>
  <x:si>
    <x:t xml:space="preserve">LB-04</x:t>
  </x:si>
  <x:si>
    <x:t xml:space="preserve">Closed Root hosts, variants, Link composition, native props, Action props, and exact refs type-check.</x:t>
  </x:si>
  <x:si>
    <x:t xml:space="preserve">../test/types/components/link-box.test.ts</x:t>
  </x:si>
  <x:si>
    <x:t xml:space="preserve">LB-05</x:t>
  </x:si>
  <x:si>
    <x:t xml:space="preserve">Static CSS provides complete-region target geometry, outline/plain state paint, focus, layering, reduced motion, and forced colors.</x:t>
  </x:si>
  <x:si>
    <x:t xml:space="preserve">../src/components/link-box/link-box.css</x:t>
  </x:si>
  <x:si>
    <x:t xml:space="preserve">LB-06</x:t>
  </x:si>
  <x:si>
    <x:t xml:space="preserve">Root / Link</x:t>
  </x:si>
  <x:si>
    <x:t xml:space="preserve">Outline Root plus plain inherit-tone Link is the canonical default without changing native destination semantics.</x:t>
  </x:si>
  <x:si>
    <x:t xml:space="preserve">LB-07</x:t>
  </x:si>
  <x:si>
    <x:t xml:space="preserve">Destination</x:t>
  </x:si>
  <x:si>
    <x:t xml:space="preserve">Pointer and keyboard evidence proves one native Link owns the complete visual target and one Root-sized focus ring.</x:t>
  </x:si>
  <x:si>
    <x:t xml:space="preserve">tests/components/link-box/behavior.spec.ts</x:t>
  </x:si>
  <x:si>
    <x:t xml:space="preserve">LB-08</x:t>
  </x:si>
  <x:si>
    <x:t xml:space="preserve">Independent action</x:t>
  </x:si>
  <x:si>
    <x:t xml:space="preserve">Action</x:t>
  </x:si>
  <x:si>
    <x:t xml:space="preserve">A separately named button remains outside the anchor, operates independently, and does not navigate.</x:t>
  </x:si>
  <x:si>
    <x:t xml:space="preserve">../test/components/link-box/link-box.test.tsx; tests/components/link-box/behavior.spec.ts</x:t>
  </x:si>
  <x:si>
    <x:t xml:space="preserve">LB-09</x:t>
  </x:si>
  <x:si>
    <x:t xml:space="preserve">Explicit Link presentation and asChild/router composition preserve the destination owner and public Link API.</x:t>
  </x:si>
  <x:si>
    <x:t xml:space="preserve">LB-10</x:t>
  </x:si>
  <x:si>
    <x:t xml:space="preserve">Root and Action add no role or tab stop, focus order remains native, complete names are exposed, and axe passes.</x:t>
  </x:si>
  <x:si>
    <x:t xml:space="preserve">LB-11</x:t>
  </x:si>
  <x:si>
    <x:t xml:space="preserve">Destination and independent-action screenshots have automated light baselines and await owner visual review.</x:t>
  </x:si>
  <x:si>
    <x:t xml:space="preserve">tests/components/link-box/visual.spec.ts</x:t>
  </x:si>
  <x:si>
    <x:t xml:space="preserve">LB-12</x:t>
  </x:si>
  <x:si>
    <x:t xml:space="preserve">Narrow, zoom, long copy, touch target, focus visibility, and RTL preserve target and action relationships.</x:t>
  </x:si>
  <x:si>
    <x:t xml:space="preserve">manual-tests/link-box.md</x:t>
  </x:si>
  <x:si>
    <x:t xml:space="preserve">LB-13</x:t>
  </x:si>
  <x:si>
    <x:t xml:space="preserve">Browser conventions</x:t>
  </x:si>
  <x:si>
    <x:t xml:space="preserve">Context menu, modifier click, new-tab behavior, text-selection tradeoff, and assistive-technology naming remain native.</x:t>
  </x:si>
  <x:si>
    <x:t xml:space="preserve">No completed native-browser owner run is recorded.</x:t>
  </x:si>
  <x:si>
    <x:t xml:space="preserve">LB-14</x:t>
  </x:si>
  <x:si>
    <x:t xml:space="preserve">The numbered component-owned protocol passes destination, action, browser, selection, reflow, device, and assistive-technology scenarios.</x:t>
  </x:si>
  <x:si>
    <x:t xml:space="preserve">LB-15</x:t>
  </x:si>
  <x:si>
    <x:t xml:space="preserve">One route exposes the primary destination, independent action, stress behavior, and text-selection tradeoff.</x:t>
  </x:si>
  <x:si>
    <x:t xml:space="preserve">src/components/link-box/LinkBoxPage.tsx</x:t>
  </x:si>
  <x:si>
    <x:t xml:space="preserve">LB-16</x:t>
  </x:si>
  <x:si>
    <x:t xml:space="preserve">Public use, exclusions, anatomy, API, target model, accessibility, composition, customization, and evidence documentation pass.</x:t>
  </x:si>
  <x:si>
    <x:t xml:space="preserve">../docs/components/link-box/README.md</x:t>
  </x:si>
  <x:si>
    <x:t xml:space="preserve">LB-17</x:t>
  </x:si>
  <x:si>
    <x:t xml:space="preserve">Machine-readable guidance distinguishes one destination region from Button, Pressable, and ordinary text links.</x:t>
  </x:si>
  <x:si>
    <x:t xml:space="preserve">../src/components/link-box/agent.json; ../src/components/link-box/agent.md</x:t>
  </x:si>
  <x:si>
    <x:t xml:space="preserve">LB-18</x:t>
  </x:si>
  <x:si>
    <x:t xml:space="preserve">Link Box owns component history and the package changelog records its addition.</x:t>
  </x:si>
  <x:si>
    <x:t xml:space="preserve">../docs/components/link-box/CHANGELOG.md; ../CHANGELOG.md</x:t>
  </x:si>
  <x:si>
    <x:t xml:space="preserve">LB-19</x:t>
  </x:si>
  <x:si>
    <x:t xml:space="preserve">The packed standalone Consumer imports the public link-box subpath with one destination and an independent action.</x:t>
  </x:si>
  <x:si>
    <x:t xml:space="preserve">The packed Consumer imports Link Box through its public subpath and verifies one complete-card destination plus an independent action.</x:t>
  </x:si>
  <x:si>
    <x:t xml:space="preserve">LB-20</x:t>
  </x:si>
  <x:si>
    <x:t xml:space="preserve">Build, SSR, exports, CSS, tarball, component tests, and repository verification pass.</x:t>
  </x:si>
  <x:si>
    <x:t xml:space="preserve">Segment Group Evidence</x:t>
  </x:si>
  <x:si>
    <x:t xml:space="preserve">Assertion-level Atom-backed selection, moving-indicator, browser, accessibility, documentation, and package evidence.</x:t>
  </x:si>
  <x:si>
    <x:t xml:space="preserve">SG-01</x:t>
  </x:si>
  <x:si>
    <x:t xml:space="preserve">Brick adapts released Atom Radio Group semantics, selection, keyboard, focus, forms, disabled, read-only, validation, and direction behavior.</x:t>
  </x:si>
  <x:si>
    <x:t xml:space="preserve">../src/components/segment-group</x:t>
  </x:si>
  <x:si>
    <x:t xml:space="preserve">SG-02</x:t>
  </x:si>
  <x:si>
    <x:t xml:space="preserve">Root / Item / ItemText / Indicator</x:t>
  </x:si>
  <x:si>
    <x:t xml:space="preserve">The four public parts expose stable hooks, refs, radio semantics, and a decorative measured Indicator.</x:t>
  </x:si>
  <x:si>
    <x:t xml:space="preserve">../test/components/segment-group/segment-group.test.tsx</x:t>
  </x:si>
  <x:si>
    <x:t xml:space="preserve">SG-03</x:t>
  </x:si>
  <x:si>
    <x:t xml:space="preserve">SegmentGroup</x:t>
  </x:si>
  <x:si>
    <x:t xml:space="preserve">Namespace, named parts, public types, root export, and segment-group subpath are exported.</x:t>
  </x:si>
  <x:si>
    <x:t xml:space="preserve">SG-04</x:t>
  </x:si>
  <x:si>
    <x:t xml:space="preserve">Root / Item / Indicator</x:t>
  </x:si>
  <x:si>
    <x:t xml:space="preserve">Closed sizes, Atom behavior props, required values, icon-only, full-width, and exact refs type-check.</x:t>
  </x:si>
  <x:si>
    <x:t xml:space="preserve">../test/types/components/segment-group.test.ts</x:t>
  </x:si>
  <x:si>
    <x:t xml:space="preserve">SG-05</x:t>
  </x:si>
  <x:si>
    <x:t xml:space="preserve">Static CSS provides shared sizes, inset Root, selected surface, focus, icon-only geometry, reduced motion, and forced colors.</x:t>
  </x:si>
  <x:si>
    <x:t xml:space="preserve">../src/components/segment-group/segment-group.css</x:t>
  </x:si>
  <x:si>
    <x:t xml:space="preserve">SG-06</x:t>
  </x:si>
  <x:si>
    <x:t xml:space="preserve">Medium horizontal intrinsic layout, one selected value, and ordinary text Items are the canonical defaults.</x:t>
  </x:si>
  <x:si>
    <x:t xml:space="preserve">SG-07</x:t>
  </x:si>
  <x:si>
    <x:t xml:space="preserve">Small, medium, large, full-width, intrinsic, and icon-only recipes route through stable public data attributes.</x:t>
  </x:si>
  <x:si>
    <x:t xml:space="preserve">SG-08</x:t>
  </x:si>
  <x:si>
    <x:t xml:space="preserve">Pointer and keyboard selection keep one checked radio, move focus, and emit the selected value through Atom ownership.</x:t>
  </x:si>
  <x:si>
    <x:t xml:space="preserve">../test/components/segment-group/segment-group.test.tsx; tests/components/segment-group/behavior.spec.ts</x:t>
  </x:si>
  <x:si>
    <x:t xml:space="preserve">SG-09</x:t>
  </x:si>
  <x:si>
    <x:t xml:space="preserve">The decorative Indicator becomes ready, matches selected Item geometry, and follows keyboard selection without adding layout space.</x:t>
  </x:si>
  <x:si>
    <x:t xml:space="preserve">tests/components/segment-group/behavior.spec.ts</x:t>
  </x:si>
  <x:si>
    <x:t xml:space="preserve">SG-10</x:t>
  </x:si>
  <x:si>
    <x:t xml:space="preserve">Icon-only</x:t>
  </x:si>
  <x:si>
    <x:t xml:space="preserve">Named icon-only Items remain square and center their artwork on both axes.</x:t>
  </x:si>
  <x:si>
    <x:t xml:space="preserve">SG-11</x:t>
  </x:si>
  <x:si>
    <x:t xml:space="preserve">Radio-group and radio semantics, complete names, checked state, decorative Indicator, and axe checks pass.</x:t>
  </x:si>
  <x:si>
    <x:t xml:space="preserve">SG-12</x:t>
  </x:si>
  <x:si>
    <x:t xml:space="preserve">Default, size, and dark-appearance screenshots have automated baselines and await owner visual review.</x:t>
  </x:si>
  <x:si>
    <x:t xml:space="preserve">tests/components/segment-group/visual.spec.ts</x:t>
  </x:si>
  <x:si>
    <x:t xml:space="preserve">SG-13</x:t>
  </x:si>
  <x:si>
    <x:t xml:space="preserve">Disabled and read-only choices remain distinguishable and preserve the Atom-owned interaction boundary.</x:t>
  </x:si>
  <x:si>
    <x:t xml:space="preserve">manual-tests/segment-group.md</x:t>
  </x:si>
  <x:si>
    <x:t xml:space="preserve">No completed disabled and read-only owner run is recorded.</x:t>
  </x:si>
  <x:si>
    <x:t xml:space="preserve">SG-14</x:t>
  </x:si>
  <x:si>
    <x:t xml:space="preserve">320 px, zoom, resize, long labels, RTL, and font changes preserve control containment and Indicator alignment.</x:t>
  </x:si>
  <x:si>
    <x:t xml:space="preserve">SG-15</x:t>
  </x:si>
  <x:si>
    <x:t xml:space="preserve">Theme and motion</x:t>
  </x:si>
  <x:si>
    <x:t xml:space="preserve">Light, dark, forced colors, theme changes, and reduced motion preserve selected and focus distinctions.</x:t>
  </x:si>
  <x:si>
    <x:t xml:space="preserve">No completed appearance and motion owner run is recorded.</x:t>
  </x:si>
  <x:si>
    <x:t xml:space="preserve">SG-16</x:t>
  </x:si>
  <x:si>
    <x:t xml:space="preserve">The numbered component-owned protocol passes selection, sizes, states, theme, reflow, device, and assistive-technology scenarios.</x:t>
  </x:si>
  <x:si>
    <x:t xml:space="preserve">SG-17</x:t>
  </x:si>
  <x:si>
    <x:t xml:space="preserve">Public use, API, anatomy, states, accessibility, Atom ownership, customization, and evidence documentation pass.</x:t>
  </x:si>
  <x:si>
    <x:t xml:space="preserve">../docs/components/segment-group/README.md</x:t>
  </x:si>
  <x:si>
    <x:t xml:space="preserve">SG-18</x:t>
  </x:si>
  <x:si>
    <x:t xml:space="preserve">Machine-readable guidance distinguishes single-choice modes from Toggle Group, Tabs, Radio Group, and Select.</x:t>
  </x:si>
  <x:si>
    <x:t xml:space="preserve">../src/components/segment-group/agent.json; ../src/components/segment-group/agent.md</x:t>
  </x:si>
  <x:si>
    <x:t xml:space="preserve">SG-19</x:t>
  </x:si>
  <x:si>
    <x:t xml:space="preserve">The packed standalone Consumer imports the public segment-group subpath and exercises selection.</x:t>
  </x:si>
  <x:si>
    <x:t xml:space="preserve">No Segment Group Consumer composition or assertion exists yet.</x:t>
  </x:si>
  <x:si>
    <x:t xml:space="preserve">SG-20</x:t>
  </x:si>
  <x:si>
    <x:t xml:space="preserve">Status Evidence</x:t>
  </x:si>
  <x:si>
    <x:t xml:space="preserve">Assertion-level passive-state, semantic-tone, accessibility, documentation, and package evidence.</x:t>
  </x:si>
  <x:si>
    <x:t xml:space="preserve">ST-01</x:t>
  </x:si>
  <x:si>
    <x:t xml:space="preserve">Root / Indicator / Label</x:t>
  </x:si>
  <x:si>
    <x:t xml:space="preserve">The three public parts render passive native spans with exact refs, stable hooks, and no built-in live-region behavior.</x:t>
  </x:si>
  <x:si>
    <x:t xml:space="preserve">../src/components/status</x:t>
  </x:si>
  <x:si>
    <x:t xml:space="preserve">ST-02</x:t>
  </x:si>
  <x:si>
    <x:t xml:space="preserve">Root owns state composition, Indicator is decorative, and Label owns readable visible state text.</x:t>
  </x:si>
  <x:si>
    <x:t xml:space="preserve">../test/components/status/status.test.tsx</x:t>
  </x:si>
  <x:si>
    <x:t xml:space="preserve">ST-03</x:t>
  </x:si>
  <x:si>
    <x:t xml:space="preserve">Namespace, named parts, public types, root export, and status subpath are exported.</x:t>
  </x:si>
  <x:si>
    <x:t xml:space="preserve">ST-04</x:t>
  </x:si>
  <x:si>
    <x:t xml:space="preserve">Closed sizes, semantic tones, part props, invalid values, native attributes, and exact refs type-check.</x:t>
  </x:si>
  <x:si>
    <x:t xml:space="preserve">../test/types/components/status.test.ts</x:t>
  </x:si>
  <x:si>
    <x:t xml:space="preserve">ST-05</x:t>
  </x:si>
  <x:si>
    <x:t xml:space="preserve">Static CSS provides dot, gap, text, size, semantic-tone, wrapping, and forced-color recipes through public hooks.</x:t>
  </x:si>
  <x:si>
    <x:t xml:space="preserve">../src/components/status/status.css</x:t>
  </x:si>
  <x:si>
    <x:t xml:space="preserve">ST-06</x:t>
  </x:si>
  <x:si>
    <x:t xml:space="preserve">Medium neutral presentation with no role or aria-live attribute is the canonical default.</x:t>
  </x:si>
  <x:si>
    <x:t xml:space="preserve">ST-07</x:t>
  </x:si>
  <x:si>
    <x:t xml:space="preserve">Small, medium, large and neutral, accent, info, success, warning, and danger recipes serialize through stable attributes.</x:t>
  </x:si>
  <x:si>
    <x:t xml:space="preserve">ST-08</x:t>
  </x:si>
  <x:si>
    <x:t xml:space="preserve">Indicator / Label</x:t>
  </x:si>
  <x:si>
    <x:t xml:space="preserve">Indicator remains aria-hidden while visible Label text communicates state without color-only meaning or unsolicited announcement.</x:t>
  </x:si>
  <x:si>
    <x:t xml:space="preserve">../test/components/status/status.test.tsx; tests/components/status/behavior.spec.ts</x:t>
  </x:si>
  <x:si>
    <x:t xml:space="preserve">ST-09</x:t>
  </x:si>
  <x:si>
    <x:t xml:space="preserve">Passive state text, decorative Indicator, application-authored ARIA pass-through, and axe checks preserve the contract.</x:t>
  </x:si>
  <x:si>
    <x:t xml:space="preserve">tests/components/status/behavior.spec.ts</x:t>
  </x:si>
  <x:si>
    <x:t xml:space="preserve">ST-10</x:t>
  </x:si>
  <x:si>
    <x:t xml:space="preserve">tests/components/status/visual.spec.ts</x:t>
  </x:si>
  <x:si>
    <x:t xml:space="preserve">Capture and review tones, sizes, dark, RTL, long-label, and forced-color baselines.</x:t>
  </x:si>
  <x:si>
    <x:t xml:space="preserve">ST-11</x:t>
  </x:si>
  <x:si>
    <x:t xml:space="preserve">Indicator-only</x:t>
  </x:si>
  <x:si>
    <x:t xml:space="preserve">A decorative indicator-only composition is tested only when adjacent text already names the same state.</x:t>
  </x:si>
  <x:si>
    <x:t xml:space="preserve">ST-12</x:t>
  </x:si>
  <x:si>
    <x:t xml:space="preserve">Narrow widths, 200% text, 400% zoom, localization, and RTL preserve readable label and dot alignment.</x:t>
  </x:si>
  <x:si>
    <x:t xml:space="preserve">manual-tests/status.md</x:t>
  </x:si>
  <x:si>
    <x:t xml:space="preserve">ST-13</x:t>
  </x:si>
  <x:si>
    <x:t xml:space="preserve">Light, dark, forced colors, every tone, and adjacent focus remain distinguishable.</x:t>
  </x:si>
  <x:si>
    <x:t xml:space="preserve">ST-14</x:t>
  </x:si>
  <x:si>
    <x:t xml:space="preserve">Live updates</x:t>
  </x:si>
  <x:si>
    <x:t xml:space="preserve">Only an application deliberately authors role=status when it owns timing, repetition, focus, and announcement policy.</x:t>
  </x:si>
  <x:si>
    <x:t xml:space="preserve">manual-tests/status.md; ../docs/components/status/README.md</x:t>
  </x:si>
  <x:si>
    <x:t xml:space="preserve">The application-owned example exists; assistive-technology review is pending.</x:t>
  </x:si>
  <x:si>
    <x:t xml:space="preserve">ST-15</x:t>
  </x:si>
  <x:si>
    <x:t xml:space="preserve">The numbered component-owned protocol passes tones, sizes, semantics, theme, reflow, device, and assistive-technology scenarios.</x:t>
  </x:si>
  <x:si>
    <x:t xml:space="preserve">ST-16</x:t>
  </x:si>
  <x:si>
    <x:t xml:space="preserve">One route exposes overview, tones, sizes, composition, semantics, theme, and stress scenarios.</x:t>
  </x:si>
  <x:si>
    <x:t xml:space="preserve">src/components/status/StatusPage.tsx</x:t>
  </x:si>
  <x:si>
    <x:t xml:space="preserve">ST-17</x:t>
  </x:si>
  <x:si>
    <x:t xml:space="preserve">Public use, exclusions, API, anatomy, semantics, accessibility, customization, and evidence documentation pass.</x:t>
  </x:si>
  <x:si>
    <x:t xml:space="preserve">../docs/components/status/README.md</x:t>
  </x:si>
  <x:si>
    <x:t xml:space="preserve">ST-18</x:t>
  </x:si>
  <x:si>
    <x:t xml:space="preserve">Machine-readable guidance distinguishes passive state text from Badge, Progress, Alert, Avatar presence, and live regions.</x:t>
  </x:si>
  <x:si>
    <x:t xml:space="preserve">../src/components/status/agent.json; ../src/components/status/agent.md</x:t>
  </x:si>
  <x:si>
    <x:t xml:space="preserve">ST-19</x:t>
  </x:si>
  <x:si>
    <x:t xml:space="preserve">The packed standalone Consumer imports the public status subpath in a realistic passive state composition.</x:t>
  </x:si>
  <x:si>
    <x:t xml:space="preserve">No Status Consumer composition or assertion exists yet.</x:t>
  </x:si>
  <x:si>
    <x:t xml:space="preserve">ST-20</x:t>
  </x:si>
  <x:si>
    <x:t xml:space="preserve">Color Picker Evidence</x:t>
  </x:si>
  <x:si>
    <x:t xml:space="preserve">Assertion-level Atom-backed anatomy, value, form, Popover, CSS, browser, accessibility, documentation, Agent Knowledge, Consumer, and package evidence.</x:t>
  </x:si>
  <x:si>
    <x:t xml:space="preserve">Em Evidence</x:t>
  </x:si>
  <x:si>
    <x:t xml:space="preserve">Assertion-level native emphasis, inheritance, browser, documentation, Consumer, and release evidence.</x:t>
  </x:si>
  <x:si>
    <x:t xml:space="preserve">EM-01</x:t>
  </x:si>
  <x:si>
    <x:t xml:space="preserve">The public Em owner and its approved native anatomy are implemented.</x:t>
  </x:si>
  <x:si>
    <x:t xml:space="preserve">../src/components/em</x:t>
  </x:si>
  <x:si>
    <x:t xml:space="preserve">EM-02</x:t>
  </x:si>
  <x:si>
    <x:t xml:space="preserve">Native emphasis inherits surrounding typography and adds no unsupported variant system.</x:t>
  </x:si>
  <x:si>
    <x:t xml:space="preserve">../test/components/em/em.test.tsx; ../docs/components/em/README.md</x:t>
  </x:si>
  <x:si>
    <x:t xml:space="preserve">EM-03</x:t>
  </x:si>
  <x:si>
    <x:t xml:space="preserve">Root and public Em subpath exports expose the runtime and every public type.</x:t>
  </x:si>
  <x:si>
    <x:t xml:space="preserve">EM-04</x:t>
  </x:si>
  <x:si>
    <x:t xml:space="preserve">Native attributes, recipes, composition branches, and ref contracts type-check.</x:t>
  </x:si>
  <x:si>
    <x:t xml:space="preserve">../test/types/components/em.test.ts</x:t>
  </x:si>
  <x:si>
    <x:t xml:space="preserve">EM-05</x:t>
  </x:si>
  <x:si>
    <x:t xml:space="preserve">Static CSS ships the approved recipes, tokens, states, preferences, and public hooks.</x:t>
  </x:si>
  <x:si>
    <x:t xml:space="preserve">../src/components/em/em.css</x:t>
  </x:si>
  <x:si>
    <x:t xml:space="preserve">EM-06</x:t>
  </x:si>
  <x:si>
    <x:t xml:space="preserve">Native em output, inherited typography, refs, classes, styles, and native forwarding pass.</x:t>
  </x:si>
  <x:si>
    <x:t xml:space="preserve">../test/components/em/em.test.tsx</x:t>
  </x:si>
  <x:si>
    <x:t xml:space="preserve">EM-07</x:t>
  </x:si>
  <x:si>
    <x:t xml:space="preserve">Semantic output, prose inheritance, native attributes, text spacing, zoom, RTL, and reflow pass.</x:t>
  </x:si>
  <x:si>
    <x:t xml:space="preserve">tests/components/em/behavior.spec.ts</x:t>
  </x:si>
  <x:si>
    <x:t xml:space="preserve">EM-08</x:t>
  </x:si>
  <x:si>
    <x:t xml:space="preserve">Native emphasis semantics, readable contrast, text spacing, and axe pass.</x:t>
  </x:si>
  <x:si>
    <x:t xml:space="preserve">EM-09</x:t>
  </x:si>
  <x:si>
    <x:t xml:space="preserve">Prose contexts, native output, customization, light, dark, forced colors, and mobile own baselines.</x:t>
  </x:si>
  <x:si>
    <x:t xml:space="preserve">tests/components/em/visual.spec.ts</x:t>
  </x:si>
  <x:si>
    <x:t xml:space="preserve">EM-10</x:t>
  </x:si>
  <x:si>
    <x:t xml:space="preserve">Long localized emphasis, mobile widths, RTL, text spacing, and zoom remain readable.</x:t>
  </x:si>
  <x:si>
    <x:t xml:space="preserve">manual-tests/em.md</x:t>
  </x:si>
  <x:si>
    <x:t xml:space="preserve">EM-11</x:t>
  </x:si>
  <x:si>
    <x:t xml:space="preserve">Inherited light, dark, forced-color, and customized typography remain legible.</x:t>
  </x:si>
  <x:si>
    <x:t xml:space="preserve">manual-tests/em.md; tests/components/em/visual.spec.ts</x:t>
  </x:si>
  <x:si>
    <x:t xml:space="preserve">EM-12</x:t>
  </x:si>
  <x:si>
    <x:t xml:space="preserve">The rendered host remains native em and does not substitute presentation-only styling.</x:t>
  </x:si>
  <x:si>
    <x:t xml:space="preserve">EM-13</x:t>
  </x:si>
  <x:si>
    <x:t xml:space="preserve">The component-owned manual protocol covers every Em playground scenario.</x:t>
  </x:si>
  <x:si>
    <x:t xml:space="preserve">EM-14</x:t>
  </x:si>
  <x:si>
    <x:t xml:space="preserve">Source-backed public usage, API, accessibility, and token documentation passes.</x:t>
  </x:si>
  <x:si>
    <x:t xml:space="preserve">../docs/components/em/README.md</x:t>
  </x:si>
  <x:si>
    <x:t xml:space="preserve">EM-15</x:t>
  </x:si>
  <x:si>
    <x:t xml:space="preserve">Em owns a public changelog and the package changelog records its addition.</x:t>
  </x:si>
  <x:si>
    <x:t xml:space="preserve">../docs/components/em/CHANGELOG.md; ../CHANGELOG.md</x:t>
  </x:si>
  <x:si>
    <x:t xml:space="preserve">EM-16</x:t>
  </x:si>
  <x:si>
    <x:t xml:space="preserve">The packed Consumer proves Em through the public package subpath.</x:t>
  </x:si>
  <x:si>
    <x:t xml:space="preserve">EM-17</x:t>
  </x:si>
  <x:si>
    <x:t xml:space="preserve">Build, SSR, exports, CSS, Agent Knowledge, tarball, React 18/19, and packed-consumer verification pass.</x:t>
  </x:si>
  <x:si>
    <x:t xml:space="preserve">Mark Evidence</x:t>
  </x:si>
  <x:si>
    <x:t xml:space="preserve">Assertion-level semantic mark, restrained recipes, browser, documentation, Consumer, and release evidence.</x:t>
  </x:si>
  <x:si>
    <x:t xml:space="preserve">MK-01</x:t>
  </x:si>
  <x:si>
    <x:t xml:space="preserve">The public Mark owner and its approved native anatomy are implemented.</x:t>
  </x:si>
  <x:si>
    <x:t xml:space="preserve">../src/components/mark</x:t>
  </x:si>
  <x:si>
    <x:t xml:space="preserve">MK-02</x:t>
  </x:si>
  <x:si>
    <x:t xml:space="preserve">Static semantic marking stays separate from query matching and application search state.</x:t>
  </x:si>
  <x:si>
    <x:t xml:space="preserve">../test/components/mark/mark.test.tsx; ../docs/components/mark/README.md</x:t>
  </x:si>
  <x:si>
    <x:t xml:space="preserve">MK-03</x:t>
  </x:si>
  <x:si>
    <x:t xml:space="preserve">Root and public Mark subpath exports expose the runtime and every public type.</x:t>
  </x:si>
  <x:si>
    <x:t xml:space="preserve">MK-04</x:t>
  </x:si>
  <x:si>
    <x:t xml:space="preserve">../test/types/components/mark.test.ts</x:t>
  </x:si>
  <x:si>
    <x:t xml:space="preserve">MK-05</x:t>
  </x:si>
  <x:si>
    <x:t xml:space="preserve">../src/components/mark/mark.css</x:t>
  </x:si>
  <x:si>
    <x:t xml:space="preserve">MK-06</x:t>
  </x:si>
  <x:si>
    <x:t xml:space="preserve">Native mark output, recipes, refs, classes, styles, and native forwarding pass.</x:t>
  </x:si>
  <x:si>
    <x:t xml:space="preserve">../test/components/mark/mark.test.tsx</x:t>
  </x:si>
  <x:si>
    <x:t xml:space="preserve">MK-07</x:t>
  </x:si>
  <x:si>
    <x:t xml:space="preserve">Semantic output, recipe hooks, selection, text spacing, zoom, RTL, and reflow pass.</x:t>
  </x:si>
  <x:si>
    <x:t xml:space="preserve">tests/components/mark/behavior.spec.ts</x:t>
  </x:si>
  <x:si>
    <x:t xml:space="preserve">MK-08</x:t>
  </x:si>
  <x:si>
    <x:t xml:space="preserve">Native mark semantics, readable contrast, forced colors, text spacing, and axe pass.</x:t>
  </x:si>
  <x:si>
    <x:t xml:space="preserve">MK-09</x:t>
  </x:si>
  <x:si>
    <x:t xml:space="preserve">Default and restrained recipes, customization, light, dark, forced colors, and mobile own baselines.</x:t>
  </x:si>
  <x:si>
    <x:t xml:space="preserve">tests/components/mark/visual.spec.ts</x:t>
  </x:si>
  <x:si>
    <x:t xml:space="preserve">MK-10</x:t>
  </x:si>
  <x:si>
    <x:t xml:space="preserve">Long marked content, mobile widths, RTL, selection, text spacing, and zoom remain readable.</x:t>
  </x:si>
  <x:si>
    <x:t xml:space="preserve">manual-tests/mark.md</x:t>
  </x:si>
  <x:si>
    <x:t xml:space="preserve">MK-11</x:t>
  </x:si>
  <x:si>
    <x:t xml:space="preserve">All recipes retain readable foreground/background relationships across appearances and forced colors.</x:t>
  </x:si>
  <x:si>
    <x:t xml:space="preserve">manual-tests/mark.md; tests/components/mark/visual.spec.ts</x:t>
  </x:si>
  <x:si>
    <x:t xml:space="preserve">MK-12</x:t>
  </x:si>
  <x:si>
    <x:t xml:space="preserve">The component renders native mark without accepting a query or duplicating Atom Highlight.</x:t>
  </x:si>
  <x:si>
    <x:t xml:space="preserve">MK-13</x:t>
  </x:si>
  <x:si>
    <x:t xml:space="preserve">The component-owned manual protocol covers every Mark playground scenario.</x:t>
  </x:si>
  <x:si>
    <x:t xml:space="preserve">MK-14</x:t>
  </x:si>
  <x:si>
    <x:t xml:space="preserve">../docs/components/mark/README.md</x:t>
  </x:si>
  <x:si>
    <x:t xml:space="preserve">MK-15</x:t>
  </x:si>
  <x:si>
    <x:t xml:space="preserve">Mark owns a public changelog and the package changelog records its addition.</x:t>
  </x:si>
  <x:si>
    <x:t xml:space="preserve">../docs/components/mark/CHANGELOG.md; ../CHANGELOG.md</x:t>
  </x:si>
  <x:si>
    <x:t xml:space="preserve">MK-16</x:t>
  </x:si>
  <x:si>
    <x:t xml:space="preserve">The packed Consumer proves Mark through the public package subpath.</x:t>
  </x:si>
  <x:si>
    <x:t xml:space="preserve">MK-17</x:t>
  </x:si>
  <x:si>
    <x:t xml:space="preserve">Kbd Evidence</x:t>
  </x:si>
  <x:si>
    <x:t xml:space="preserve">Assertion-level keyboard notation, composed sequences, browser, documentation, Consumer, and release evidence.</x:t>
  </x:si>
  <x:si>
    <x:t xml:space="preserve">KB-01</x:t>
  </x:si>
  <x:si>
    <x:t xml:space="preserve">The public Kbd owner and its approved native anatomy are implemented.</x:t>
  </x:si>
  <x:si>
    <x:t xml:space="preserve">../src/components/kbd</x:t>
  </x:si>
  <x:si>
    <x:t xml:space="preserve">KB-02</x:t>
  </x:si>
  <x:si>
    <x:t xml:space="preserve">Keyboard notation remains presentation-only and owns no shortcut registration or platform translation.</x:t>
  </x:si>
  <x:si>
    <x:t xml:space="preserve">../test/components/kbd/kbd.test.tsx; ../docs/components/kbd/README.md</x:t>
  </x:si>
  <x:si>
    <x:t xml:space="preserve">KB-03</x:t>
  </x:si>
  <x:si>
    <x:t xml:space="preserve">Root and public Kbd subpath exports expose the runtime and every public type.</x:t>
  </x:si>
  <x:si>
    <x:t xml:space="preserve">KB-04</x:t>
  </x:si>
  <x:si>
    <x:t xml:space="preserve">../test/types/components/kbd.test.ts</x:t>
  </x:si>
  <x:si>
    <x:t xml:space="preserve">KB-05</x:t>
  </x:si>
  <x:si>
    <x:t xml:space="preserve">../src/components/kbd/kbd.css</x:t>
  </x:si>
  <x:si>
    <x:t xml:space="preserve">KB-06</x:t>
  </x:si>
  <x:si>
    <x:t xml:space="preserve">Native kbd output, recipes, refs, native forwarding, and composed key sequences pass.</x:t>
  </x:si>
  <x:si>
    <x:t xml:space="preserve">../test/components/kbd/kbd.test.tsx</x:t>
  </x:si>
  <x:si>
    <x:t xml:space="preserve">KB-07</x:t>
  </x:si>
  <x:si>
    <x:t xml:space="preserve">Sequence spacing, semantic output, narrow layout, text spacing, zoom, RTL, and reflow pass.</x:t>
  </x:si>
  <x:si>
    <x:t xml:space="preserve">tests/components/kbd/behavior.spec.ts</x:t>
  </x:si>
  <x:si>
    <x:t xml:space="preserve">KB-08</x:t>
  </x:si>
  <x:si>
    <x:t xml:space="preserve">Native keyboard-input semantics, readable contrast, forced colors, and axe pass.</x:t>
  </x:si>
  <x:si>
    <x:t xml:space="preserve">KB-09</x:t>
  </x:si>
  <x:si>
    <x:t xml:space="preserve">Single keys, sequences, recipes, customization, light, dark, forced colors, and mobile own baselines.</x:t>
  </x:si>
  <x:si>
    <x:t xml:space="preserve">tests/components/kbd/visual.spec.ts</x:t>
  </x:si>
  <x:si>
    <x:t xml:space="preserve">KB-10</x:t>
  </x:si>
  <x:si>
    <x:t xml:space="preserve">Long labels and composed sequences wrap or contain correctly across narrow and RTL layouts.</x:t>
  </x:si>
  <x:si>
    <x:t xml:space="preserve">manual-tests/kbd.md</x:t>
  </x:si>
  <x:si>
    <x:t xml:space="preserve">KB-11</x:t>
  </x:si>
  <x:si>
    <x:t xml:space="preserve">Key surfaces, borders, text, focus-neutral output, and forced colors remain legible.</x:t>
  </x:si>
  <x:si>
    <x:t xml:space="preserve">manual-tests/kbd.md; tests/components/kbd/visual.spec.ts</x:t>
  </x:si>
  <x:si>
    <x:t xml:space="preserve">KB-12</x:t>
  </x:si>
  <x:si>
    <x:t xml:space="preserve">Every key remains native kbd output and no event listener or shortcut behavior is installed.</x:t>
  </x:si>
  <x:si>
    <x:t xml:space="preserve">KB-13</x:t>
  </x:si>
  <x:si>
    <x:t xml:space="preserve">The component-owned manual protocol covers every Kbd playground scenario.</x:t>
  </x:si>
  <x:si>
    <x:t xml:space="preserve">KB-14</x:t>
  </x:si>
  <x:si>
    <x:t xml:space="preserve">../docs/components/kbd/README.md</x:t>
  </x:si>
  <x:si>
    <x:t xml:space="preserve">KB-15</x:t>
  </x:si>
  <x:si>
    <x:t xml:space="preserve">Kbd owns a public changelog and the package changelog records its addition.</x:t>
  </x:si>
  <x:si>
    <x:t xml:space="preserve">../docs/components/kbd/CHANGELOG.md; ../CHANGELOG.md</x:t>
  </x:si>
  <x:si>
    <x:t xml:space="preserve">KB-16</x:t>
  </x:si>
  <x:si>
    <x:t xml:space="preserve">The packed Consumer proves Kbd through the public package subpath.</x:t>
  </x:si>
  <x:si>
    <x:t xml:space="preserve">KB-17</x:t>
  </x:si>
  <x:si>
    <x:t xml:space="preserve">Blockquote Evidence</x:t>
  </x:si>
  <x:si>
    <x:t xml:space="preserve">Assertion-level quotation anatomy, attribution, browser, documentation, Consumer, and release evidence.</x:t>
  </x:si>
  <x:si>
    <x:t xml:space="preserve">BQ-01</x:t>
  </x:si>
  <x:si>
    <x:t xml:space="preserve">The public Blockquote owner and its approved native anatomy are implemented.</x:t>
  </x:si>
  <x:si>
    <x:t xml:space="preserve">../src/components/blockquote</x:t>
  </x:si>
  <x:si>
    <x:t xml:space="preserve">BQ-02</x:t>
  </x:si>
  <x:si>
    <x:t xml:space="preserve">Quoted content, optional accent, caption, cite label, and cite URL preserve the approved semantic tree.</x:t>
  </x:si>
  <x:si>
    <x:t xml:space="preserve">../test/components/blockquote/blockquote.test.tsx; ../docs/components/blockquote/README.md</x:t>
  </x:si>
  <x:si>
    <x:t xml:space="preserve">BQ-03</x:t>
  </x:si>
  <x:si>
    <x:t xml:space="preserve">Root and public Blockquote subpath exports expose the runtime and every public type.</x:t>
  </x:si>
  <x:si>
    <x:t xml:space="preserve">BQ-04</x:t>
  </x:si>
  <x:si>
    <x:t xml:space="preserve">../test/types/components/blockquote.test.ts</x:t>
  </x:si>
  <x:si>
    <x:t xml:space="preserve">BQ-05</x:t>
  </x:si>
  <x:si>
    <x:t xml:space="preserve">../src/components/blockquote/blockquote.css</x:t>
  </x:si>
  <x:si>
    <x:t xml:space="preserve">BQ-06</x:t>
  </x:si>
  <x:si>
    <x:t xml:space="preserve">Root, Content, Caption, Cite, icon/accent branches, refs, and native forwarding pass.</x:t>
  </x:si>
  <x:si>
    <x:t xml:space="preserve">../test/components/blockquote/blockquote.test.tsx</x:t>
  </x:si>
  <x:si>
    <x:t xml:space="preserve">BQ-07</x:t>
  </x:si>
  <x:si>
    <x:t xml:space="preserve">Quotation and attribution output, cite URL, optional parts, reflow, zoom, and RTL pass.</x:t>
  </x:si>
  <x:si>
    <x:t xml:space="preserve">tests/components/blockquote/behavior.spec.ts</x:t>
  </x:si>
  <x:si>
    <x:t xml:space="preserve">BQ-08</x:t>
  </x:si>
  <x:si>
    <x:t xml:space="preserve">Quoted content stays separate from attribution and the complete composition passes axe.</x:t>
  </x:si>
  <x:si>
    <x:t xml:space="preserve">BQ-09</x:t>
  </x:si>
  <x:si>
    <x:t xml:space="preserve">Anatomy, recipes, optional parts, long attribution, light, dark, forced colors, and mobile own baselines.</x:t>
  </x:si>
  <x:si>
    <x:t xml:space="preserve">tests/components/blockquote/visual.spec.ts</x:t>
  </x:si>
  <x:si>
    <x:t xml:space="preserve">BQ-10</x:t>
  </x:si>
  <x:si>
    <x:t xml:space="preserve">Long quotations, citations, localized attribution, zoom, mobile widths, and RTL remain readable.</x:t>
  </x:si>
  <x:si>
    <x:t xml:space="preserve">manual-tests/blockquote.md</x:t>
  </x:si>
  <x:si>
    <x:t xml:space="preserve">BQ-11</x:t>
  </x:si>
  <x:si>
    <x:t xml:space="preserve">Quote surfaces, accents, icons, and attribution retain legibility in every supported appearance.</x:t>
  </x:si>
  <x:si>
    <x:t xml:space="preserve">manual-tests/blockquote.md; tests/components/blockquote/visual.spec.ts</x:t>
  </x:si>
  <x:si>
    <x:t xml:space="preserve">BQ-12</x:t>
  </x:si>
  <x:si>
    <x:t xml:space="preserve">Attribution remains outside the blockquote element while cite metadata stays on quoted content.</x:t>
  </x:si>
  <x:si>
    <x:t xml:space="preserve">BQ-13</x:t>
  </x:si>
  <x:si>
    <x:t xml:space="preserve">The component-owned manual protocol covers every Blockquote playground scenario.</x:t>
  </x:si>
  <x:si>
    <x:t xml:space="preserve">BQ-14</x:t>
  </x:si>
  <x:si>
    <x:t xml:space="preserve">../docs/components/blockquote/README.md</x:t>
  </x:si>
  <x:si>
    <x:t xml:space="preserve">BQ-15</x:t>
  </x:si>
  <x:si>
    <x:t xml:space="preserve">Blockquote owns a public changelog and the package changelog records its addition.</x:t>
  </x:si>
  <x:si>
    <x:t xml:space="preserve">../docs/components/blockquote/CHANGELOG.md; ../CHANGELOG.md</x:t>
  </x:si>
  <x:si>
    <x:t xml:space="preserve">BQ-16</x:t>
  </x:si>
  <x:si>
    <x:t xml:space="preserve">The packed Consumer proves Blockquote through the public package subpath.</x:t>
  </x:si>
  <x:si>
    <x:t xml:space="preserve">BQ-17</x:t>
  </x:si>
  <x:si>
    <x:t xml:space="preserve">Highlight Evidence</x:t>
  </x:si>
  <x:si>
    <x:t xml:space="preserve">Assertion-level Atom adaptation, semantic matches, browser, documentation, Consumer, and release evidence.</x:t>
  </x:si>
  <x:si>
    <x:t xml:space="preserve">HL-01</x:t>
  </x:si>
  <x:si>
    <x:t xml:space="preserve">The public Highlight owner and its approved native anatomy are implemented.</x:t>
  </x:si>
  <x:si>
    <x:t xml:space="preserve">../src/components/highlight</x:t>
  </x:si>
  <x:si>
    <x:t xml:space="preserve">HL-02</x:t>
  </x:si>
  <x:si>
    <x:t xml:space="preserve">Brick delegates deterministic segmentation to exact Atom Highlight and owns only finished rendering.</x:t>
  </x:si>
  <x:si>
    <x:t xml:space="preserve">../test/components/highlight/highlight.test.tsx; ../docs/components/highlight/README.md</x:t>
  </x:si>
  <x:si>
    <x:t xml:space="preserve">HL-03</x:t>
  </x:si>
  <x:si>
    <x:t xml:space="preserve">Root and public Highlight subpath exports expose the runtime and every public type.</x:t>
  </x:si>
  <x:si>
    <x:t xml:space="preserve">HL-04</x:t>
  </x:si>
  <x:si>
    <x:t xml:space="preserve">../test/types/components/highlight.test.ts</x:t>
  </x:si>
  <x:si>
    <x:t xml:space="preserve">HL-05</x:t>
  </x:si>
  <x:si>
    <x:t xml:space="preserve">../src/components/highlight/highlight.css</x:t>
  </x:si>
  <x:si>
    <x:t xml:space="preserve">HL-06</x:t>
  </x:si>
  <x:si>
    <x:t xml:space="preserve">String and array queries, matching options, semantic segments, recipes, refs, and native forwarding pass.</x:t>
  </x:si>
  <x:si>
    <x:t xml:space="preserve">../test/components/highlight/highlight.test.tsx</x:t>
  </x:si>
  <x:si>
    <x:t xml:space="preserve">HL-07</x:t>
  </x:si>
  <x:si>
    <x:t xml:space="preserve">Repeated matches, punctuation, selection, copy output, text spacing, zoom, RTL, and reflow pass.</x:t>
  </x:si>
  <x:si>
    <x:t xml:space="preserve">tests/components/highlight/behavior.spec.ts</x:t>
  </x:si>
  <x:si>
    <x:t xml:space="preserve">HL-08</x:t>
  </x:si>
  <x:si>
    <x:t xml:space="preserve">Semantic marked segments preserve readable surrounding text, contrast, forced colors, and axe.</x:t>
  </x:si>
  <x:si>
    <x:t xml:space="preserve">HL-09</x:t>
  </x:si>
  <x:si>
    <x:t xml:space="preserve">Matching recipes, repeated segments, customization, light, dark, forced colors, and mobile own baselines.</x:t>
  </x:si>
  <x:si>
    <x:t xml:space="preserve">tests/components/highlight/visual.spec.ts</x:t>
  </x:si>
  <x:si>
    <x:t xml:space="preserve">HL-10</x:t>
  </x:si>
  <x:si>
    <x:t xml:space="preserve">Long searchable text, repeated matches, mobile widths, zoom, selection, and RTL remain usable.</x:t>
  </x:si>
  <x:si>
    <x:t xml:space="preserve">manual-tests/highlight.md</x:t>
  </x:si>
  <x:si>
    <x:t xml:space="preserve">HL-11</x:t>
  </x:si>
  <x:si>
    <x:t xml:space="preserve">Every match recipe remains distinguishable without obscuring text across appearances and forced colors.</x:t>
  </x:si>
  <x:si>
    <x:t xml:space="preserve">manual-tests/highlight.md; tests/components/highlight/visual.spec.ts</x:t>
  </x:si>
  <x:si>
    <x:t xml:space="preserve">HL-12</x:t>
  </x:si>
  <x:si>
    <x:t xml:space="preserve">Copy output remains plain text and Atom matching options are exposed without reimplementation.</x:t>
  </x:si>
  <x:si>
    <x:t xml:space="preserve">HL-13</x:t>
  </x:si>
  <x:si>
    <x:t xml:space="preserve">The component-owned manual protocol covers every Highlight playground scenario.</x:t>
  </x:si>
  <x:si>
    <x:t xml:space="preserve">HL-14</x:t>
  </x:si>
  <x:si>
    <x:t xml:space="preserve">../docs/components/highlight/README.md</x:t>
  </x:si>
  <x:si>
    <x:t xml:space="preserve">HL-15</x:t>
  </x:si>
  <x:si>
    <x:t xml:space="preserve">Highlight owns a public changelog and the package changelog records its addition.</x:t>
  </x:si>
  <x:si>
    <x:t xml:space="preserve">../docs/components/highlight/CHANGELOG.md; ../CHANGELOG.md</x:t>
  </x:si>
  <x:si>
    <x:t xml:space="preserve">HL-16</x:t>
  </x:si>
  <x:si>
    <x:t xml:space="preserve">The packed Consumer proves Highlight through the public package subpath.</x:t>
  </x:si>
  <x:si>
    <x:t xml:space="preserve">HL-17</x:t>
  </x:si>
  <x:si>
    <x:t xml:space="preserve">Prose Evidence</x:t>
  </x:si>
  <x:si>
    <x:t xml:space="preserve">Assertion-level descendant typography, trust boundary, browser, documentation, Consumer, and release evidence.</x:t>
  </x:si>
  <x:si>
    <x:t xml:space="preserve">The public Prose owner and its approved native anatomy are implemented.</x:t>
  </x:si>
  <x:si>
    <x:t xml:space="preserve">../src/components/prose</x:t>
  </x:si>
  <x:si>
    <x:t xml:space="preserve">Trusted React descendants receive coherent typography without parsing, sanitizing, fetching, or persisting content.</x:t>
  </x:si>
  <x:si>
    <x:t xml:space="preserve">../test/components/prose/prose.test.tsx; ../docs/components/prose/README.md</x:t>
  </x:si>
  <x:si>
    <x:t xml:space="preserve">Root and public Prose subpath exports expose the runtime and every public type.</x:t>
  </x:si>
  <x:si>
    <x:t xml:space="preserve">../test/types/components/prose.test.ts</x:t>
  </x:si>
  <x:si>
    <x:t xml:space="preserve">../src/components/prose/prose.css</x:t>
  </x:si>
  <x:si>
    <x:t xml:space="preserve">Native host selection, measure, scale, descendant hooks, refs, native forwarding, and safe children pass.</x:t>
  </x:si>
  <x:si>
    <x:t xml:space="preserve">../test/components/prose/prose.test.tsx</x:t>
  </x:si>
  <x:si>
    <x:t xml:space="preserve">Headings, paragraphs, links, lists, quotes, tables, code, rules, media, zoom, RTL, and reflow pass.</x:t>
  </x:si>
  <x:si>
    <x:t xml:space="preserve">tests/components/prose/behavior.spec.ts</x:t>
  </x:si>
  <x:si>
    <x:t xml:space="preserve">Semantic descendant output, readable measure, text spacing, contrast, keyboard links, and axe pass.</x:t>
  </x:si>
  <x:si>
    <x:t xml:space="preserve">Representative editorial content, scales, measures, customization, light, dark, forced colors, and mobile own baselines.</x:t>
  </x:si>
  <x:si>
    <x:t xml:space="preserve">tests/components/prose/visual.spec.ts</x:t>
  </x:si>
  <x:si>
    <x:t xml:space="preserve">Long editorial content, tables, code, media, mobile widths, zoom, and RTL stay usable and contained.</x:t>
  </x:si>
  <x:si>
    <x:t xml:space="preserve">manual-tests/prose.md</x:t>
  </x:si>
  <x:si>
    <x:t xml:space="preserve">All descendant selectors preserve hierarchy and readable contrast across appearances and forced colors.</x:t>
  </x:si>
  <x:si>
    <x:t xml:space="preserve">manual-tests/prose.md; tests/components/prose/visual.spec.ts</x:t>
  </x:si>
  <x:si>
    <x:t xml:space="preserve">Prose styles trusted React output only and exposes no unsafe HTML, Markdown, or sanitization shortcut.</x:t>
  </x:si>
  <x:si>
    <x:t xml:space="preserve">The component-owned manual protocol covers every Prose playground scenario.</x:t>
  </x:si>
  <x:si>
    <x:t xml:space="preserve">../docs/components/prose/README.md</x:t>
  </x:si>
  <x:si>
    <x:t xml:space="preserve">Prose owns a public changelog and the package changelog records its addition.</x:t>
  </x:si>
  <x:si>
    <x:t xml:space="preserve">../docs/components/prose/CHANGELOG.md; ../CHANGELOG.md</x:t>
  </x:si>
  <x:si>
    <x:t xml:space="preserve">The packed Consumer proves Prose through the public package subpath.</x:t>
  </x:si>
</x:sst>
</file>

<file path=xl/styles.xml><?xml version="1.0" encoding="utf-8"?>
<x:styleSheet xmlns:x="http://schemas.openxmlformats.org/spreadsheetml/2006/main">
  <x:numFmts count="9">
    <x:numFmt numFmtId="164" formatCode="General"/>
    <x:numFmt numFmtId="165" formatCode="_(* #,##0.00_);_(* \(#,##0.00\);_(* \-??_);_(@_)"/>
    <x:numFmt numFmtId="166" formatCode="_(* #,##0_);_(* \(#,##0\);_(* \-_);_(@_)"/>
    <x:numFmt numFmtId="167" formatCode="_(\$* #,##0.00_);_(\$* \(#,##0.00\);_(\$* \-??_);_(@_)"/>
    <x:numFmt numFmtId="168" formatCode="_(\$* #,##0_);_(\$* \(#,##0\);_(\$* \-_);_(@_)"/>
    <x:numFmt numFmtId="169" formatCode="0%"/>
    <x:numFmt numFmtId="170" formatCode="yyyy\-mm\-dd"/>
    <x:numFmt numFmtId="171" formatCode="yyyy\-mm\-dd\ h:mm:ss"/>
    <x:numFmt numFmtId="200" formatCode="yyyy-mm-dd"/>
  </x:numFmts>
  <x:fonts count="31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color theme="1"/>
      <x:name val="Calibri"/>
    </x:font>
    <x:font>
      <x:b/>
      <x:sz val="22"/>
      <x:color rgb="FFFFFFFF"/>
      <x:name val="Aptos Display"/>
    </x:font>
    <x:font>
      <x:sz val="10"/>
      <x:color rgb="FF5E6B7C"/>
      <x:name val="Aptos"/>
    </x:font>
    <x:font>
      <x:b/>
      <x:sz val="9"/>
      <x:color rgb="FF5E6B7C"/>
      <x:name val="Aptos"/>
    </x:font>
    <x:font>
      <x:b/>
      <x:sz val="14"/>
      <x:color rgb="FF172033"/>
      <x:name val="Aptos Display"/>
    </x:font>
    <x:font>
      <x:sz val="9"/>
      <x:color rgb="FF1F2937"/>
      <x:name val="Calibri"/>
    </x:font>
    <x:font>
      <x:b/>
      <x:sz val="18"/>
      <x:color rgb="FFFFFFFF"/>
      <x:name val="Aptos Display"/>
    </x:font>
    <x:font>
      <x:sz val="9"/>
      <x:color rgb="FF64748B"/>
      <x:name val="Aptos"/>
    </x:font>
    <x:font>
      <x:b/>
      <x:sz val="9"/>
      <x:color rgb="FF64748B"/>
      <x:name val="Aptos"/>
    </x:font>
    <x:font>
      <x:b/>
      <x:sz val="12"/>
      <x:color rgb="FF172033"/>
      <x:name val="Aptos Display"/>
    </x:font>
    <x:font>
      <x:sz val="9"/>
      <x:color rgb="FF64748B"/>
      <x:name val="Calibri"/>
    </x:font>
    <x:font>
      <x:b/>
      <x:sz val="9"/>
      <x:color rgb="FFFFFFFF"/>
      <x:name val="Calibri"/>
    </x:font>
    <x:font>
      <x:b/>
      <x:sz val="18"/>
      <x:color rgb="FFFFFFFF"/>
      <x:name val="Calibri"/>
    </x:font>
    <x:font>
      <x:b/>
      <x:sz val="12"/>
      <x:color rgb="FF172033"/>
      <x:name val="Calibri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10"/>
      <x:color rgb="FF172033"/>
      <x:name val="Aptos"/>
    </x:font>
    <x:font>
      <x:b/>
      <x:sz val="16"/>
      <x:color rgb="FFFFFFFF"/>
      <x:name val="Arial"/>
    </x:font>
    <x:font>
      <x:i/>
      <x:sz val="10"/>
      <x:color rgb="FF526274"/>
      <x:name val="Arial"/>
    </x:font>
    <x:font>
      <x:sz val="10"/>
      <x:color rgb="FF162033"/>
      <x:name val="Arial"/>
    </x:font>
    <x:font>
      <x:b/>
      <x:sz val="10"/>
      <x:color rgb="FF526274"/>
      <x:name val="Arial"/>
    </x:font>
    <x:font>
      <x:b/>
      <x:sz val="12"/>
      <x:color rgb="FF162033"/>
      <x:name val="Arial"/>
    </x:font>
    <x:font>
      <x:b/>
      <x:sz val="10"/>
      <x:color rgb="FFFFFFFF"/>
      <x:name val="Arial"/>
    </x:font>
    <x:font>
      <x:sz val="10"/>
      <x:color rgb="FF263341"/>
      <x:name val="Arial"/>
    </x:font>
    <x:font>
      <x:b/>
      <x:sz val="10"/>
      <x:color rgb="FFFFFFFF"/>
      <x:name val="Aptos Display"/>
    </x:font>
    <x:font>
      <x:sz val="10"/>
      <x:color rgb="FF5E6B7C"/>
      <x:name val="Arial"/>
    </x:font>
  </x:fonts>
  <x:fills count="27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4F86C6"/>
      </x:patternFill>
    </x:fill>
    <x:fill>
      <x:patternFill patternType="solid">
        <x:fgColor rgb="FFDCEAFB"/>
      </x:patternFill>
    </x:fill>
    <x:fill>
      <x:patternFill patternType="solid">
        <x:fgColor rgb="FFEEF2F7"/>
      </x:patternFill>
    </x:fill>
    <x:fill>
      <x:patternFill patternType="solid">
        <x:fgColor rgb="FF172033"/>
      </x:patternFill>
    </x:fill>
    <x:fill>
      <x:patternFill patternType="solid">
        <x:fgColor rgb="FF4F86C6"/>
      </x:patternFill>
    </x:fill>
    <x:fill>
      <x:patternFill patternType="solid">
        <x:fgColor rgb="FFDCEAFB"/>
      </x:patternFill>
    </x:fill>
    <x:fill>
      <x:patternFill patternType="solid">
        <x:fgColor rgb="FFDDF3E7"/>
      </x:patternFill>
    </x:fill>
    <x:fill>
      <x:patternFill patternType="solid">
        <x:fgColor rgb="FFE8EEF8"/>
      </x:patternFill>
    </x:fill>
    <x:fill>
      <x:patternFill patternType="solid">
        <x:fgColor rgb="FF172033"/>
      </x:patternFill>
    </x:fill>
    <x:fill>
      <x:patternFill patternType="solid">
        <x:fgColor rgb="FF4F86C6"/>
      </x:patternFill>
    </x:fill>
    <x:fill>
      <x:patternFill patternType="solid">
        <x:fgColor rgb="FFDCEAFB"/>
      </x:patternFill>
    </x:fill>
    <x:fill>
      <x:patternFill patternType="solid">
        <x:fgColor rgb="FFDDF3E7"/>
      </x:patternFill>
    </x:fill>
    <x:fill>
      <x:patternFill patternType="solid">
        <x:fgColor rgb="FFE8EEF8"/>
      </x:patternFill>
    </x:fill>
    <x:fill>
      <x:patternFill patternType="solid">
        <x:fgColor rgb="FF162033"/>
      </x:patternFill>
    </x:fill>
    <x:fill>
      <x:patternFill patternType="solid">
        <x:fgColor rgb="FFF5F8FC"/>
      </x:patternFill>
    </x:fill>
    <x:fill>
      <x:patternFill patternType="solid">
        <x:fgColor rgb="FF3B78B8"/>
      </x:patternFill>
    </x:fill>
    <x:fill>
      <x:patternFill patternType="solid">
        <x:fgColor rgb="FFE6F0FF"/>
      </x:patternFill>
    </x:fill>
    <x:fill>
      <x:patternFill patternType="solid">
        <x:fgColor rgb="FFF2F6FB"/>
      </x:patternFill>
    </x:fill>
    <x:fill>
      <x:patternFill patternType="solid">
        <x:fgColor rgb="FFF8FAFC"/>
      </x:patternFill>
    </x:fill>
    <x:fill>
      <x:patternFill patternType="solid">
        <x:fgColor rgb="FF172033"/>
      </x:patternFill>
    </x:fill>
    <x:fill>
      <x:patternFill patternType="solid">
        <x:fgColor rgb="FF172033"/>
      </x:patternFill>
    </x:fill>
    <x:fill>
      <x:patternFill patternType="solid">
        <x:fgColor rgb="FF172033"/>
      </x:patternFill>
    </x:fill>
    <x:fill>
      <x:patternFill patternType="solid">
        <x:fgColor rgb="FF172033"/>
      </x:patternFill>
    </x:fill>
    <x:fill>
      <x:patternFill patternType="solid">
        <x:fgColor rgb="FF172033"/>
      </x:patternFill>
    </x:fill>
  </x:fills>
  <x:borders count="6">
    <x:border diagonalUp="0" diagonalDown="0"/>
    <x:border diagonalUp="0" diagonalDown="0">
      <x:left style="thin">
        <x:color rgb="FFC9D8EC"/>
      </x:left>
      <x:right style="thin">
        <x:color rgb="FFC9D8EC"/>
      </x:right>
      <x:top style="thin">
        <x:color rgb="FFC9D8EC"/>
      </x:top>
      <x:bottom style="thin">
        <x:color rgb="FFC9D8EC"/>
      </x:bottom>
    </x:border>
    <x:border diagonalUp="0" diagonalDown="0">
      <x:bottom style="thin">
        <x:color rgb="FFC9D9EE"/>
      </x:bottom>
    </x:border>
    <x:border diagonalUp="0" diagonalDown="0">
      <x:top style="thin">
        <x:color rgb="FFC9D9EE"/>
      </x:top>
      <x:bottom style="thin">
        <x:color rgb="FFC9D9EE"/>
      </x:bottom>
    </x:border>
    <x:border diagonalUp="0" diagonalDown="0">
      <x:top style="thin">
        <x:color rgb="FFC9D9EE"/>
      </x:top>
    </x:border>
    <x:border diagonalUp="0" diagonalDown="0">
      <x:left style="thin">
        <x:color rgb="FFD8E3F2"/>
      </x:left>
      <x:right style="thin">
        <x:color rgb="FFD8E3F2"/>
      </x:right>
      <x:top style="thin">
        <x:color rgb="FFD8E3F2"/>
      </x:top>
      <x:bottom style="thin">
        <x:color rgb="FFD8E3F2"/>
      </x:bottom>
    </x:border>
  </x:borders>
  <x:cellStyleXfs count="26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1" applyAlignment="1" applyProtection="1">
      <x:alignment horizontal="general" vertical="bottom" wrapText="0" shrinkToFit="0"/>
      <x:protection locked="1" hidden="0"/>
    </x:xf>
    <x:xf numFmtId="166" fontId="4" fillId="0" borderId="0" applyFont="1" applyBorder="1" applyAlignment="1" applyProtection="1">
      <x:alignment horizontal="general" vertical="bottom" wrapText="0" shrinkToFit="0"/>
      <x:protection locked="1" hidden="0"/>
    </x:xf>
    <x:xf numFmtId="167" fontId="4" fillId="0" borderId="0" applyFont="1" applyBorder="1" applyAlignment="1" applyProtection="1">
      <x:alignment horizontal="general" vertical="bottom" wrapText="0" shrinkToFit="0"/>
      <x:protection locked="1" hidden="0"/>
    </x:xf>
    <x:xf numFmtId="168" fontId="4" fillId="0" borderId="0" applyFont="1" applyBorder="1" applyAlignment="1" applyProtection="1">
      <x:alignment horizontal="general" vertical="bottom" wrapText="0" shrinkToFit="0"/>
      <x:protection locked="1" hidden="0"/>
    </x:xf>
    <x:xf numFmtId="164" fontId="4" fillId="0" borderId="0" applyFont="1" applyBorder="1" applyAlignment="1" applyProtection="1">
      <x:alignment horizontal="general" vertical="bottom" wrapText="0" shrinkToFit="0"/>
      <x:protection locked="1" hidden="0"/>
    </x:xf>
    <x:xf numFmtId="169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118">
    <x:xf numFmtId="164" fontId="0" fillId="0" borderId="0" xfId="0" applyFont="0" applyBorder="0" applyAlignment="0">
      <x:alignment horizontal="general" vertical="bottom" wrapText="0"/>
    </x:xf>
    <x:xf numFmtId="164" fontId="5" fillId="0" borderId="0" xfId="24" applyFont="1" applyBorder="0" applyAlignment="1">
      <x:alignment horizontal="general" vertical="bottom" wrapText="0"/>
    </x:xf>
    <x:xf numFmtId="169" fontId="5" fillId="0" borderId="0" xfId="24" applyFont="1" applyBorder="0" applyAlignment="1">
      <x:alignment horizontal="general" vertical="bottom" wrapText="0"/>
    </x:xf>
    <x:xf numFmtId="164" fontId="6" fillId="2" borderId="0" xfId="24" applyFont="1" applyBorder="1" applyAlignment="1">
      <x:alignment horizontal="general" vertical="center" wrapText="0"/>
    </x:xf>
    <x:xf numFmtId="164" fontId="4" fillId="0" borderId="0" xfId="24" applyFont="0" applyBorder="0" applyAlignment="0">
      <x:alignment horizontal="general" vertical="bottom" wrapText="0"/>
    </x:xf>
    <x:xf numFmtId="164" fontId="7" fillId="0" borderId="0" xfId="24" applyFont="1" applyBorder="1" applyAlignment="1">
      <x:alignment horizontal="general" vertical="center" wrapText="1"/>
    </x:xf>
    <x:xf numFmtId="164" fontId="8" fillId="0" borderId="0" xfId="24" applyFont="1" applyBorder="0" applyAlignment="1">
      <x:alignment horizontal="general" vertical="bottom" wrapText="0"/>
    </x:xf>
    <x:xf numFmtId="164" fontId="9" fillId="0" borderId="0" xfId="24" applyFont="1" applyBorder="0" applyAlignment="1">
      <x:alignment horizontal="general" vertical="bottom" wrapText="0"/>
    </x:xf>
    <x:xf numFmtId="169" fontId="9" fillId="0" borderId="0" xfId="24" applyFont="1" applyBorder="0" applyAlignment="1">
      <x:alignment horizontal="general" vertical="bottom" wrapText="0"/>
    </x:xf>
    <x:xf numFmtId="164" fontId="10" fillId="0" borderId="1" xfId="24" applyFont="1" applyBorder="1" applyAlignment="1">
      <x:alignment horizontal="general" vertical="center" wrapText="0"/>
    </x:xf>
    <x:xf numFmtId="169" fontId="10" fillId="0" borderId="1" xfId="24" applyFont="1" applyBorder="1" applyAlignment="1">
      <x:alignment horizontal="general" vertical="center" wrapText="0"/>
    </x:xf>
    <x:xf numFmtId="170" fontId="5" fillId="0" borderId="0" xfId="24" applyFont="1" applyBorder="0" applyAlignment="1">
      <x:alignment horizontal="general" vertical="bottom" wrapText="0"/>
    </x:xf>
    <x:xf numFmtId="164" fontId="5" fillId="0" borderId="0" xfId="24" applyFont="1" applyBorder="0" applyAlignment="1">
      <x:alignment horizontal="general" vertical="center" wrapText="0"/>
    </x:xf>
    <x:xf numFmtId="164" fontId="5" fillId="0" borderId="0" xfId="24" applyFont="1" applyBorder="0" applyAlignment="1">
      <x:alignment horizontal="general" vertical="center" wrapText="1"/>
    </x:xf>
    <x:xf numFmtId="170" fontId="5" fillId="0" borderId="0" xfId="24" applyFont="1" applyBorder="0" applyAlignment="1">
      <x:alignment horizontal="general" vertical="center" wrapText="0"/>
    </x:xf>
    <x:xf numFmtId="164" fontId="11" fillId="2" borderId="0" xfId="24" applyFont="1" applyBorder="1" applyAlignment="1">
      <x:alignment horizontal="general" vertical="center" wrapText="0"/>
    </x:xf>
    <x:xf numFmtId="164" fontId="12" fillId="0" borderId="0" xfId="24" applyFont="1" applyBorder="1" applyAlignment="1">
      <x:alignment horizontal="general" vertical="center" wrapText="1"/>
    </x:xf>
    <x:xf numFmtId="164" fontId="13" fillId="0" borderId="0" xfId="24" applyFont="1" applyBorder="0" applyAlignment="1">
      <x:alignment horizontal="general" vertical="bottom" wrapText="0"/>
    </x:xf>
    <x:xf numFmtId="164" fontId="14" fillId="0" borderId="0" xfId="24" applyFont="1" applyBorder="0" applyAlignment="1">
      <x:alignment horizontal="general" vertical="bottom" wrapText="0"/>
    </x:xf>
    <x:xf numFmtId="164" fontId="15" fillId="0" borderId="0" xfId="24" applyFont="1" applyBorder="0" applyAlignment="1">
      <x:alignment horizontal="general" vertical="bottom" wrapText="0"/>
    </x:xf>
    <x:xf numFmtId="169" fontId="14" fillId="0" borderId="0" xfId="24" applyFont="1" applyBorder="0" applyAlignment="1">
      <x:alignment horizontal="general" vertical="bottom" wrapText="0"/>
    </x:xf>
    <x:xf numFmtId="164" fontId="16" fillId="3" borderId="0" xfId="24" applyFont="1" applyBorder="0" applyAlignment="1">
      <x:alignment horizontal="general" vertical="center" wrapText="0"/>
    </x:xf>
    <x:xf numFmtId="170" fontId="16" fillId="3" borderId="0" xfId="24" applyFont="1" applyBorder="0" applyAlignment="1">
      <x:alignment horizontal="general" vertical="center" wrapText="0"/>
    </x:xf>
    <x:xf numFmtId="164" fontId="10" fillId="0" borderId="1" xfId="24" applyFont="1" applyBorder="1" applyAlignment="1">
      <x:alignment horizontal="general" vertical="center" wrapText="1"/>
    </x:xf>
    <x:xf numFmtId="164" fontId="10" fillId="4" borderId="1" xfId="24" applyFont="1" applyBorder="1" applyAlignment="1">
      <x:alignment horizontal="general" vertical="center" wrapText="1"/>
    </x:xf>
    <x:xf numFmtId="170" fontId="10" fillId="0" borderId="1" xfId="24" applyFont="1" applyBorder="1" applyAlignment="1">
      <x:alignment horizontal="general" vertical="center" wrapText="1"/>
    </x:xf>
    <x:xf numFmtId="164" fontId="10" fillId="0" borderId="1" xfId="24" applyFont="1" applyBorder="1" applyAlignment="1">
      <x:alignment horizontal="center" vertical="center" wrapText="1"/>
    </x:xf>
    <x:xf numFmtId="164" fontId="10" fillId="5" borderId="1" xfId="24" applyFont="1" applyBorder="1" applyAlignment="1">
      <x:alignment horizontal="general" vertical="center" wrapText="1"/>
    </x:xf>
    <x:xf numFmtId="171" fontId="4" fillId="0" borderId="0" xfId="24" applyFont="0" applyBorder="0" applyAlignment="1">
      <x:alignment horizontal="general" vertical="bottom" wrapText="0"/>
    </x:xf>
    <x:xf numFmtId="171" fontId="5" fillId="0" borderId="0" xfId="24" applyFont="1" applyBorder="0" applyAlignment="1">
      <x:alignment horizontal="general" vertical="bottom" wrapText="0"/>
    </x:xf>
    <x:xf numFmtId="164" fontId="4" fillId="0" borderId="0" xfId="24" applyFont="0" applyBorder="0" applyAlignment="1">
      <x:alignment horizontal="general" vertical="bottom" wrapText="0"/>
    </x:xf>
    <x:xf numFmtId="164" fontId="17" fillId="2" borderId="0" xfId="24" applyFont="1" applyBorder="0" applyAlignment="1">
      <x:alignment horizontal="general" vertical="center" wrapText="0"/>
    </x:xf>
    <x:xf numFmtId="164" fontId="18" fillId="0" borderId="0" xfId="24" applyFont="1" applyBorder="0" applyAlignment="1">
      <x:alignment horizontal="general" vertical="bottom" wrapText="0"/>
    </x:xf>
    <x:xf numFmtId="169" fontId="9" fillId="0" borderId="0" xfId="0" applyNumberFormat="1" applyFont="1" applyFill="1" applyBorder="1" applyAlignment="1">
      <x:alignment horizontal="general" vertical="bottom" wrapText="0"/>
    </x:xf>
    <x:xf numFmtId="200" fontId="5" fillId="0" borderId="0" xfId="0" applyNumberFormat="1" applyFont="1" applyFill="1" applyBorder="1" applyAlignment="1">
      <x:alignment horizontal="general" vertical="bottom" wrapText="0"/>
    </x:xf>
    <x:xf numFmtId="200" fontId="0" fillId="0" borderId="0" xfId="0" applyNumberFormat="1" applyFont="1" applyFill="1" applyBorder="1" applyAlignment="1">
      <x:alignment horizontal="general" vertical="bottom" wrapText="0"/>
    </x:xf>
    <x:xf numFmtId="169" fontId="10" fillId="0" borderId="1" xfId="0" applyNumberFormat="1" applyFont="1" applyFill="1" applyBorder="1" applyAlignment="1">
      <x:alignment horizontal="general" vertical="center" wrapText="0"/>
    </x:xf>
    <x:xf numFmtId="164" fontId="0" fillId="6" borderId="0" xfId="0" applyNumberFormat="1" applyFont="1" applyFill="1" applyBorder="1" applyAlignment="1">
      <x:alignment horizontal="general" vertical="bottom" wrapText="0"/>
    </x:xf>
    <x:xf numFmtId="164" fontId="6" fillId="6" borderId="0" xfId="0" applyNumberFormat="1" applyFont="1" applyFill="1" applyBorder="1" applyAlignment="1">
      <x:alignment horizontal="general" vertical="bottom" wrapText="0"/>
    </x:xf>
    <x:xf numFmtId="164" fontId="6" fillId="6" borderId="0" xfId="0" applyNumberFormat="1" applyFont="1" applyFill="1" applyBorder="1" applyAlignment="1">
      <x:alignment horizontal="general" vertical="center" wrapText="0"/>
    </x:xf>
    <x:xf numFmtId="164" fontId="7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general" vertical="bottom" wrapText="1"/>
    </x:xf>
    <x:xf numFmtId="164" fontId="7" fillId="0" borderId="0" xfId="0" applyNumberFormat="1" applyFont="1" applyFill="1" applyBorder="1" applyAlignment="1">
      <x:alignment horizontal="general" vertical="center" wrapText="1"/>
    </x:xf>
    <x:xf numFmtId="164" fontId="19" fillId="0" borderId="0" xfId="0" applyNumberFormat="1" applyFont="1" applyFill="1" applyBorder="1" applyAlignment="1">
      <x:alignment horizontal="general" vertical="bottom" wrapText="0"/>
    </x:xf>
    <x:xf numFmtId="164" fontId="19" fillId="0" borderId="0" xfId="0" applyNumberFormat="1" applyFont="1" applyFill="1" applyBorder="1" applyAlignment="1">
      <x:alignment horizontal="general" vertical="center" wrapText="0"/>
    </x:xf>
    <x:xf numFmtId="164" fontId="8" fillId="0" borderId="0" xfId="0" applyNumberFormat="1" applyFont="1" applyFill="1" applyBorder="1" applyAlignment="1">
      <x:alignment horizontal="general" vertical="center" wrapText="0"/>
    </x:xf>
    <x:xf numFmtId="164" fontId="9" fillId="0" borderId="0" xfId="0" applyNumberFormat="1" applyFont="1" applyFill="1" applyBorder="1" applyAlignment="1">
      <x:alignment horizontal="general" vertical="center" wrapText="0"/>
    </x:xf>
    <x:xf numFmtId="169" fontId="9" fillId="0" borderId="0" xfId="0" applyNumberFormat="1" applyFont="1" applyFill="1" applyBorder="1" applyAlignment="1">
      <x:alignment horizontal="general" vertical="center" wrapText="0"/>
    </x:xf>
    <x:xf numFmtId="164" fontId="0" fillId="7" borderId="0" xfId="0" applyNumberFormat="1" applyFont="1" applyFill="1" applyBorder="1" applyAlignment="1">
      <x:alignment horizontal="general" vertical="bottom" wrapText="0"/>
    </x:xf>
    <x:xf numFmtId="164" fontId="20" fillId="7" borderId="0" xfId="0" applyNumberFormat="1" applyFont="1" applyFill="1" applyBorder="1" applyAlignment="1">
      <x:alignment horizontal="general" vertical="bottom" wrapText="0"/>
    </x:xf>
    <x:xf numFmtId="164" fontId="20" fillId="7" borderId="0" xfId="0" applyNumberFormat="1" applyFont="1" applyFill="1" applyBorder="1" applyAlignment="1">
      <x:alignment horizontal="general" vertical="center" wrapText="0"/>
    </x:xf>
    <x:xf numFmtId="164" fontId="19" fillId="0" borderId="2" xfId="0" applyNumberFormat="1" applyFont="1" applyFill="1" applyBorder="1" applyAlignment="1">
      <x:alignment horizontal="general" vertical="bottom" wrapText="0"/>
    </x:xf>
    <x:xf numFmtId="164" fontId="19" fillId="0" borderId="3" xfId="0" applyNumberFormat="1" applyFont="1" applyFill="1" applyBorder="1" applyAlignment="1">
      <x:alignment horizontal="general" vertical="bottom" wrapText="0"/>
    </x:xf>
    <x:xf numFmtId="164" fontId="19" fillId="0" borderId="4" xfId="0" applyNumberFormat="1" applyFont="1" applyFill="1" applyBorder="1" applyAlignment="1">
      <x:alignment horizontal="general" vertical="bottom" wrapText="0"/>
    </x:xf>
    <x:xf numFmtId="164" fontId="19" fillId="0" borderId="2" xfId="0" applyNumberFormat="1" applyFont="1" applyFill="1" applyBorder="1" applyAlignment="1">
      <x:alignment horizontal="general" vertical="center" wrapText="0"/>
    </x:xf>
    <x:xf numFmtId="164" fontId="19" fillId="0" borderId="3" xfId="0" applyNumberFormat="1" applyFont="1" applyFill="1" applyBorder="1" applyAlignment="1">
      <x:alignment horizontal="general" vertical="center" wrapText="0"/>
    </x:xf>
    <x:xf numFmtId="164" fontId="19" fillId="0" borderId="4" xfId="0" applyNumberFormat="1" applyFont="1" applyFill="1" applyBorder="1" applyAlignment="1">
      <x:alignment horizontal="general" vertical="center" wrapText="0"/>
    </x:xf>
    <x:xf numFmtId="164" fontId="19" fillId="0" borderId="2" xfId="0" applyNumberFormat="1" applyFont="1" applyFill="1" applyBorder="1" applyAlignment="1">
      <x:alignment horizontal="general" vertical="center" wrapText="1"/>
    </x:xf>
    <x:xf numFmtId="164" fontId="19" fillId="0" borderId="3" xfId="0" applyNumberFormat="1" applyFont="1" applyFill="1" applyBorder="1" applyAlignment="1">
      <x:alignment horizontal="general" vertical="center" wrapText="1"/>
    </x:xf>
    <x:xf numFmtId="164" fontId="19" fillId="0" borderId="4" xfId="0" applyNumberFormat="1" applyFont="1" applyFill="1" applyBorder="1" applyAlignment="1">
      <x:alignment horizontal="general" vertical="center" wrapText="1"/>
    </x:xf>
    <x:xf numFmtId="164" fontId="19" fillId="0" borderId="2" xfId="0" applyNumberFormat="1" applyFont="1" applyFill="1" applyBorder="1" applyAlignment="1">
      <x:alignment horizontal="right" vertical="center" wrapText="0"/>
    </x:xf>
    <x:xf numFmtId="164" fontId="19" fillId="0" borderId="3" xfId="0" applyNumberFormat="1" applyFont="1" applyFill="1" applyBorder="1" applyAlignment="1">
      <x:alignment horizontal="right" vertical="center" wrapText="0"/>
    </x:xf>
    <x:xf numFmtId="164" fontId="19" fillId="0" borderId="4" xfId="0" applyNumberFormat="1" applyFont="1" applyFill="1" applyBorder="1" applyAlignment="1">
      <x:alignment horizontal="right" vertical="center" wrapText="0"/>
    </x:xf>
    <x:xf numFmtId="164" fontId="19" fillId="8" borderId="2" xfId="0" applyNumberFormat="1" applyFont="1" applyFill="1" applyBorder="1" applyAlignment="1">
      <x:alignment horizontal="general" vertical="center" wrapText="0"/>
    </x:xf>
    <x:xf numFmtId="164" fontId="19" fillId="8" borderId="3" xfId="0" applyNumberFormat="1" applyFont="1" applyFill="1" applyBorder="1" applyAlignment="1">
      <x:alignment horizontal="general" vertical="center" wrapText="0"/>
    </x:xf>
    <x:xf numFmtId="164" fontId="19" fillId="9" borderId="3" xfId="0" applyNumberFormat="1" applyFont="1" applyFill="1" applyBorder="1" applyAlignment="1">
      <x:alignment horizontal="general" vertical="center" wrapText="0"/>
    </x:xf>
    <x:xf numFmtId="164" fontId="19" fillId="10" borderId="3" xfId="0" applyNumberFormat="1" applyFont="1" applyFill="1" applyBorder="1" applyAlignment="1">
      <x:alignment horizontal="general" vertical="center" wrapText="0"/>
    </x:xf>
    <x:xf numFmtId="164" fontId="19" fillId="8" borderId="4" xfId="0" applyNumberFormat="1" applyFont="1" applyFill="1" applyBorder="1" applyAlignment="1">
      <x:alignment horizontal="general" vertical="center" wrapText="0"/>
    </x:xf>
    <x:xf numFmtId="169" fontId="19" fillId="0" borderId="2" xfId="0" applyNumberFormat="1" applyFont="1" applyFill="1" applyBorder="1" applyAlignment="1">
      <x:alignment horizontal="general" vertical="bottom" wrapText="0"/>
    </x:xf>
    <x:xf numFmtId="164" fontId="6" fillId="11" borderId="0" xfId="0" applyNumberFormat="1" applyFont="1" applyFill="1" applyBorder="1" applyAlignment="1">
      <x:alignment horizontal="general" vertical="center" wrapText="0"/>
    </x:xf>
    <x:xf numFmtId="164" fontId="21" fillId="0" borderId="0" xfId="0" applyNumberFormat="1" applyFont="1" applyFill="1" applyBorder="1" applyAlignment="1">
      <x:alignment horizontal="general" vertical="center" wrapText="0"/>
    </x:xf>
    <x:xf numFmtId="169" fontId="21" fillId="0" borderId="0" xfId="0" applyNumberFormat="1" applyFont="1" applyFill="1" applyBorder="1" applyAlignment="1">
      <x:alignment horizontal="general" vertical="center" wrapText="0"/>
    </x:xf>
    <x:xf numFmtId="164" fontId="20" fillId="12" borderId="0" xfId="0" applyNumberFormat="1" applyFont="1" applyFill="1" applyBorder="1" applyAlignment="1">
      <x:alignment horizontal="general" vertical="center" wrapText="0"/>
    </x:xf>
    <x:xf numFmtId="164" fontId="19" fillId="4" borderId="2" xfId="0" applyNumberFormat="1" applyFont="1" applyFill="1" applyBorder="1" applyAlignment="1">
      <x:alignment horizontal="general" vertical="center" wrapText="0"/>
    </x:xf>
    <x:xf numFmtId="164" fontId="19" fillId="4" borderId="3" xfId="0" applyNumberFormat="1" applyFont="1" applyFill="1" applyBorder="1" applyAlignment="1">
      <x:alignment horizontal="general" vertical="center" wrapText="0"/>
    </x:xf>
    <x:xf numFmtId="164" fontId="19" fillId="4" borderId="4" xfId="0" applyNumberFormat="1" applyFont="1" applyFill="1" applyBorder="1" applyAlignment="1">
      <x:alignment horizontal="general" vertical="center" wrapText="0"/>
    </x:xf>
    <x:xf numFmtId="164" fontId="19" fillId="13" borderId="2" xfId="0" applyNumberFormat="1" applyFont="1" applyFill="1" applyBorder="1" applyAlignment="1">
      <x:alignment horizontal="general" vertical="center" wrapText="0"/>
    </x:xf>
    <x:xf numFmtId="164" fontId="19" fillId="13" borderId="3" xfId="0" applyNumberFormat="1" applyFont="1" applyFill="1" applyBorder="1" applyAlignment="1">
      <x:alignment horizontal="general" vertical="center" wrapText="0"/>
    </x:xf>
    <x:xf numFmtId="164" fontId="19" fillId="14" borderId="3" xfId="0" applyNumberFormat="1" applyFont="1" applyFill="1" applyBorder="1" applyAlignment="1">
      <x:alignment horizontal="general" vertical="center" wrapText="0"/>
    </x:xf>
    <x:xf numFmtId="164" fontId="19" fillId="15" borderId="3" xfId="0" applyNumberFormat="1" applyFont="1" applyFill="1" applyBorder="1" applyAlignment="1">
      <x:alignment horizontal="general" vertical="center" wrapText="0"/>
    </x:xf>
    <x:xf numFmtId="164" fontId="0" fillId="16" borderId="0" xfId="0" applyNumberFormat="1" applyFont="1" applyFill="1" applyBorder="1" applyAlignment="1">
      <x:alignment horizontal="general" vertical="bottom" wrapText="0"/>
    </x:xf>
    <x:xf numFmtId="164" fontId="22" fillId="16" borderId="0" xfId="0" applyNumberFormat="1" applyFont="1" applyFill="1" applyBorder="1" applyAlignment="1">
      <x:alignment horizontal="general" vertical="bottom" wrapText="0"/>
    </x:xf>
    <x:xf numFmtId="164" fontId="0" fillId="17" borderId="0" xfId="0" applyNumberFormat="1" applyFont="1" applyFill="1" applyBorder="1" applyAlignment="1">
      <x:alignment horizontal="general" vertical="bottom" wrapText="0"/>
    </x:xf>
    <x:xf numFmtId="164" fontId="23" fillId="17" borderId="0" xfId="0" applyNumberFormat="1" applyFont="1" applyFill="1" applyBorder="1" applyAlignment="1">
      <x:alignment horizontal="general" vertical="bottom" wrapText="0"/>
    </x:xf>
    <x:xf numFmtId="164" fontId="24" fillId="0" borderId="0" xfId="0" applyNumberFormat="1" applyFont="1" applyFill="1" applyBorder="1" applyAlignment="1">
      <x:alignment horizontal="general" vertical="bottom" wrapText="0"/>
    </x:xf>
    <x:xf numFmtId="164" fontId="25" fillId="0" borderId="0" xfId="0" applyNumberFormat="1" applyFont="1" applyFill="1" applyBorder="1" applyAlignment="1">
      <x:alignment horizontal="general" vertical="bottom" wrapText="0"/>
    </x:xf>
    <x:xf numFmtId="164" fontId="26" fillId="0" borderId="0" xfId="0" applyNumberFormat="1" applyFont="1" applyFill="1" applyBorder="1" applyAlignment="1">
      <x:alignment horizontal="general" vertical="bottom" wrapText="0"/>
    </x:xf>
    <x:xf numFmtId="164" fontId="0" fillId="18" borderId="0" xfId="0" applyNumberFormat="1" applyFont="1" applyFill="1" applyBorder="1" applyAlignment="1">
      <x:alignment horizontal="general" vertical="bottom" wrapText="0"/>
    </x:xf>
    <x:xf numFmtId="164" fontId="27" fillId="18" borderId="0" xfId="0" applyNumberFormat="1" applyFont="1" applyFill="1" applyBorder="1" applyAlignment="1">
      <x:alignment horizontal="general" vertical="bottom" wrapText="0"/>
    </x:xf>
    <x:xf numFmtId="164" fontId="27" fillId="18" borderId="5" xfId="0" applyNumberFormat="1" applyFont="1" applyFill="1" applyBorder="1" applyAlignment="1">
      <x:alignment horizontal="general" vertical="bottom" wrapText="0"/>
    </x:xf>
    <x:xf numFmtId="164" fontId="0" fillId="0" borderId="5" xfId="0" applyNumberFormat="1" applyFont="1" applyFill="1" applyBorder="1" applyAlignment="1">
      <x:alignment horizontal="general" vertical="bottom" wrapText="0"/>
    </x:xf>
    <x:xf numFmtId="200" fontId="0" fillId="0" borderId="5" xfId="0" applyNumberFormat="1" applyFont="1" applyFill="1" applyBorder="1" applyAlignment="1">
      <x:alignment horizontal="general" vertical="bottom" wrapText="0"/>
    </x:xf>
    <x:xf numFmtId="164" fontId="28" fillId="0" borderId="5" xfId="0" applyNumberFormat="1" applyFont="1" applyFill="1" applyBorder="1" applyAlignment="1">
      <x:alignment horizontal="general" vertical="bottom" wrapText="0"/>
    </x:xf>
    <x:xf numFmtId="200" fontId="28" fillId="0" borderId="5" xfId="0" applyNumberFormat="1" applyFont="1" applyFill="1" applyBorder="1" applyAlignment="1">
      <x:alignment horizontal="general" vertical="bottom" wrapText="0"/>
    </x:xf>
    <x:xf numFmtId="164" fontId="28" fillId="0" borderId="5" xfId="0" applyNumberFormat="1" applyFont="1" applyFill="1" applyBorder="1" applyAlignment="1">
      <x:alignment horizontal="general" vertical="bottom" wrapText="1"/>
    </x:xf>
    <x:xf numFmtId="164" fontId="28" fillId="0" borderId="5" xfId="0" applyNumberFormat="1" applyFont="1" applyFill="1" applyBorder="1" applyAlignment="1">
      <x:alignment horizontal="general" vertical="center" wrapText="0"/>
    </x:xf>
    <x:xf numFmtId="164" fontId="28" fillId="0" borderId="5" xfId="0" applyNumberFormat="1" applyFont="1" applyFill="1" applyBorder="1" applyAlignment="1">
      <x:alignment horizontal="general" vertical="center" wrapText="1"/>
    </x:xf>
    <x:xf numFmtId="200" fontId="28" fillId="0" borderId="5" xfId="0" applyNumberFormat="1" applyFont="1" applyFill="1" applyBorder="1" applyAlignment="1">
      <x:alignment horizontal="general" vertical="center" wrapText="0"/>
    </x:xf>
    <x:xf numFmtId="164" fontId="28" fillId="19" borderId="5" xfId="0" applyNumberFormat="1" applyFont="1" applyFill="1" applyBorder="1" applyAlignment="1">
      <x:alignment horizontal="general" vertical="center" wrapText="0"/>
    </x:xf>
    <x:xf numFmtId="164" fontId="28" fillId="20" borderId="5" xfId="0" applyNumberFormat="1" applyFont="1" applyFill="1" applyBorder="1" applyAlignment="1">
      <x:alignment horizontal="general" vertical="center" wrapText="0"/>
    </x:xf>
    <x:xf numFmtId="200" fontId="28" fillId="21" borderId="5" xfId="0" applyNumberFormat="1" applyFont="1" applyFill="1" applyBorder="1" applyAlignment="1">
      <x:alignment horizontal="general" vertical="center" wrapText="0"/>
    </x:xf>
    <x:xf numFmtId="164" fontId="28" fillId="21" borderId="5" xfId="0" applyNumberFormat="1" applyFont="1" applyFill="1" applyBorder="1" applyAlignment="1">
      <x:alignment horizontal="general" vertical="center" wrapText="0"/>
    </x:xf>
    <x:xf numFmtId="169" fontId="26" fillId="0" borderId="0" xfId="0" applyNumberFormat="1" applyFont="1" applyFill="1" applyBorder="1" applyAlignment="1">
      <x:alignment horizontal="general" vertical="bottom" wrapText="0"/>
    </x:xf>
    <x:xf numFmtId="164" fontId="0" fillId="22" borderId="0" xfId="0" applyNumberFormat="1" applyFont="1" applyFill="1" applyBorder="1" applyAlignment="1">
      <x:alignment horizontal="general" vertical="bottom" wrapText="0"/>
    </x:xf>
    <x:xf numFmtId="164" fontId="29" fillId="22" borderId="0" xfId="0" applyNumberFormat="1" applyFont="1" applyFill="1" applyBorder="1" applyAlignment="1">
      <x:alignment horizontal="general" vertical="bottom" wrapText="0"/>
    </x:xf>
    <x:xf numFmtId="169" fontId="0" fillId="0" borderId="0" xfId="0" applyNumberFormat="1" applyFont="1" applyFill="1" applyBorder="1" applyAlignment="1">
      <x:alignment horizontal="general" vertical="bottom" wrapText="0"/>
    </x:xf>
    <x:xf numFmtId="164" fontId="0" fillId="23" borderId="0" xfId="0" applyNumberFormat="1" applyFont="1" applyFill="1" applyBorder="1" applyAlignment="1">
      <x:alignment horizontal="general" vertical="bottom" wrapText="0"/>
    </x:xf>
    <x:xf numFmtId="164" fontId="27" fillId="23" borderId="0" xfId="0" applyNumberFormat="1" applyFont="1" applyFill="1" applyBorder="1" applyAlignment="1">
      <x:alignment horizontal="general" vertical="bottom" wrapText="0"/>
    </x:xf>
    <x:xf numFmtId="164" fontId="30" fillId="0" borderId="0" xfId="0" applyNumberFormat="1" applyFont="1" applyFill="1" applyBorder="1" applyAlignment="1">
      <x:alignment horizontal="general" vertical="bottom" wrapText="0"/>
    </x:xf>
    <x:xf numFmtId="164" fontId="30" fillId="0" borderId="0" xfId="0" applyNumberFormat="1" applyFont="1" applyFill="1" applyBorder="1" applyAlignment="1">
      <x:alignment horizontal="general" vertical="bottom" wrapText="1"/>
    </x:xf>
    <x:xf numFmtId="164" fontId="0" fillId="24" borderId="0" xfId="0" applyNumberFormat="1" applyFont="1" applyFill="1" applyBorder="1" applyAlignment="1">
      <x:alignment horizontal="general" vertical="bottom" wrapText="0"/>
    </x:xf>
    <x:xf numFmtId="164" fontId="27" fillId="24" borderId="0" xfId="0" applyNumberFormat="1" applyFont="1" applyFill="1" applyBorder="1" applyAlignment="1">
      <x:alignment horizontal="general" vertical="bottom" wrapText="0"/>
    </x:xf>
    <x:xf numFmtId="164" fontId="0" fillId="25" borderId="0" xfId="0" applyNumberFormat="1" applyFont="1" applyFill="1" applyBorder="1" applyAlignment="1">
      <x:alignment horizontal="general" vertical="bottom" wrapText="0"/>
    </x:xf>
    <x:xf numFmtId="164" fontId="6" fillId="25" borderId="0" xfId="0" applyNumberFormat="1" applyFont="1" applyFill="1" applyBorder="1" applyAlignment="1">
      <x:alignment horizontal="general" vertical="bottom" wrapText="0"/>
    </x:xf>
    <x:xf numFmtId="164" fontId="0" fillId="26" borderId="0" xfId="0" applyNumberFormat="1" applyFont="1" applyFill="1" applyBorder="1" applyAlignment="1">
      <x:alignment horizontal="general" vertical="bottom" wrapText="0"/>
    </x:xf>
    <x:xf numFmtId="164" fontId="6" fillId="26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center" wrapText="1"/>
    </x:xf>
  </x:cellXfs>
  <x:cellStyles count="12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[0]" xfId="21"/>
    <x:cellStyle name="Currency" xfId="22"/>
    <x:cellStyle name="Currency [0]" xfId="23"/>
    <x:cellStyle name="Normal" xfId="24"/>
    <x:cellStyle name="Percent" xfId="25"/>
  </x:cellStyles>
  <x:dxfs count="19">
    <x:dxf>
      <x:fill>
        <x:patternFill>
          <x:bgColor rgb="FF000000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1F2937"/>
        </x:patternFill>
      </x:fill>
    </x:dxf>
    <x:dxf>
      <x:fill>
        <x:patternFill>
          <x:bgColor rgb="FFE8F5EE"/>
        </x:patternFill>
      </x:fill>
    </x:dxf>
    <x:dxf>
      <x:fill>
        <x:patternFill>
          <x:bgColor rgb="FFE8F5EE"/>
        </x:patternFill>
      </x:fill>
    </x:dxf>
    <x:dxf>
      <x:fill>
        <x:patternFill>
          <x:bgColor rgb="FFDDEBFF"/>
        </x:patternFill>
      </x:fill>
    </x:dxf>
    <x:dxf>
      <x:fill>
        <x:patternFill>
          <x:bgColor rgb="FFEAF0FF"/>
        </x:patternFill>
      </x:fill>
    </x:dxf>
    <x:dxf>
      <x:fill>
        <x:patternFill>
          <x:bgColor rgb="FFF4F6F8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AF0FF"/>
        </x:patternFill>
      </x:fill>
    </x:dxf>
    <x:dxf>
      <x:fill>
        <x:patternFill>
          <x:bgColor rgb="FFDDEBFF"/>
        </x:patternFill>
      </x:fill>
    </x:dxf>
    <x:dxf>
      <x:fill>
        <x:patternFill>
          <x:bgColor rgb="FFFDEBEC"/>
        </x:patternFill>
      </x:fill>
    </x:dxf>
    <x:dxf/>
    <x:dxf>
      <x:font>
        <x:color rgb="FF795500"/>
      </x:font>
      <x:fill>
        <x:patternFill>
          <x:bgColor rgb="FFFFF3CD"/>
        </x:patternFill>
      </x:fill>
    </x:dxf>
    <x:dxf>
      <x:font>
        <x:color rgb="FF174EA6"/>
      </x:font>
      <x:fill>
        <x:patternFill>
          <x:bgColor rgb="FFDDEBFF"/>
        </x:patternFill>
      </x:fill>
    </x:dxf>
    <x:dxf>
      <x:font>
        <x:color rgb="FF795500"/>
      </x:font>
      <x:fill>
        <x:patternFill>
          <x:bgColor rgb="FFFFF3CD"/>
        </x:patternFill>
      </x:fill>
    </x:dxf>
    <x:dxf>
      <x:font>
        <x:color rgb="FF174EA6"/>
      </x:font>
      <x:fill>
        <x:patternFill>
          <x:bgColor rgb="FFDDEBFF"/>
        </x:patternFill>
      </x:fill>
    </x:dxf>
    <x:dxf>
      <x:font>
        <x:color rgb="FF795500"/>
      </x:font>
      <x:fill>
        <x:patternFill>
          <x:bgColor rgb="FFFFF3CD"/>
        </x:patternFill>
      </x:fill>
    </x:dxf>
    <x:dxf>
      <x:font>
        <x:color rgb="FF174EA6"/>
      </x:font>
      <x:fill>
        <x:patternFill>
          <x:bgColor rgb="FFDDEBFF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EAF0FF"/>
      <x:rgbColor rgb="FF64748B"/>
      <x:rgbColor rgb="FF8067DC"/>
      <x:rgbColor rgb="FF993366"/>
      <x:rgbColor rgb="FFFFF4D6"/>
      <x:rgbColor rgb="FFDDEBFF"/>
      <x:rgbColor rgb="FF660066"/>
      <x:rgbColor rgb="FFFF8080"/>
      <x:rgbColor rgb="FF0066CC"/>
      <x:rgbColor rgb="FFC9D8EC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F5EE"/>
      <x:rgbColor rgb="FFDCEAFB"/>
      <x:rgbColor rgb="FFFDEBEC"/>
      <x:rgbColor rgb="FFF4F6F8"/>
      <x:rgbColor rgb="FFFF99CC"/>
      <x:rgbColor rgb="FFCC99FF"/>
      <x:rgbColor rgb="FFEEF2F7"/>
      <x:rgbColor rgb="FF4F86C6"/>
      <x:rgbColor rgb="FF33CCCC"/>
      <x:rgbColor rgb="FF99CC00"/>
      <x:rgbColor rgb="FFFFCC00"/>
      <x:rgbColor rgb="FFFF9900"/>
      <x:rgbColor rgb="FFFF6600"/>
      <x:rgbColor rgb="FF5E6B7C"/>
      <x:rgbColor rgb="FF969696"/>
      <x:rgbColor rgb="FF172033"/>
      <x:rgbColor rgb="FF339966"/>
      <x:rgbColor rgb="FF003300"/>
      <x:rgbColor rgb="FF333300"/>
      <x:rgbColor rgb="FF993300"/>
      <x:rgbColor rgb="FF993366"/>
      <x:rgbColor rgb="FF333399"/>
      <x:rgbColor rgb="FF1F293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7b8672b26343bf" /><Relationship Type="http://schemas.openxmlformats.org/officeDocument/2006/relationships/theme" Target="/xl/theme/theme1.xml" Id="Rc745f6b410644a3f" /><Relationship Type="http://schemas.openxmlformats.org/officeDocument/2006/relationships/sharedStrings" Target="/xl/sharedStrings.xml" Id="R3e7b35fc60204a7c" /><Relationship Type="http://schemas.openxmlformats.org/officeDocument/2006/relationships/worksheet" Target="/xl/worksheets/sheet1.xml" Id="R5747fcf9e2474025" /><Relationship Type="http://schemas.openxmlformats.org/officeDocument/2006/relationships/worksheet" Target="/xl/worksheets/sheet2.xml" Id="R52d681c93c2d4a0d" /><Relationship Type="http://schemas.openxmlformats.org/officeDocument/2006/relationships/worksheet" Target="/xl/worksheets/sheet3.xml" Id="R10ea6c69df3149d0" /><Relationship Type="http://schemas.openxmlformats.org/officeDocument/2006/relationships/worksheet" Target="/xl/worksheets/sheet4.xml" Id="Ra559612c1dba414a" /><Relationship Type="http://schemas.openxmlformats.org/officeDocument/2006/relationships/worksheet" Target="/xl/worksheets/sheet5.xml" Id="R1aa66fdac89d465e" /><Relationship Type="http://schemas.openxmlformats.org/officeDocument/2006/relationships/worksheet" Target="/xl/worksheets/sheet6.xml" Id="Re709f49ec5c14c6e" /><Relationship Type="http://schemas.openxmlformats.org/officeDocument/2006/relationships/worksheet" Target="/xl/worksheets/sheet7.xml" Id="R2cf903c5620448d6" /><Relationship Type="http://schemas.openxmlformats.org/officeDocument/2006/relationships/worksheet" Target="/xl/worksheets/sheet8.xml" Id="Ra54715d6371445d6" /><Relationship Type="http://schemas.openxmlformats.org/officeDocument/2006/relationships/worksheet" Target="/xl/worksheets/sheet9.xml" Id="Reb48eb5593eb49af" /><Relationship Type="http://schemas.openxmlformats.org/officeDocument/2006/relationships/worksheet" Target="/xl/worksheets/sheet10.xml" Id="R1cc8406a2a434f02" /><Relationship Type="http://schemas.openxmlformats.org/officeDocument/2006/relationships/worksheet" Target="/xl/worksheets/sheet11.xml" Id="R4e0944ae50ee4046" /><Relationship Type="http://schemas.openxmlformats.org/officeDocument/2006/relationships/worksheet" Target="/xl/worksheets/sheet12.xml" Id="Re00ee0f8b9704825" /><Relationship Type="http://schemas.openxmlformats.org/officeDocument/2006/relationships/worksheet" Target="/xl/worksheets/sheet13.xml" Id="R03fd0c84a9a94a1b" /><Relationship Type="http://schemas.openxmlformats.org/officeDocument/2006/relationships/worksheet" Target="/xl/worksheets/sheet14.xml" Id="R5b7db437a16442db" /><Relationship Type="http://schemas.openxmlformats.org/officeDocument/2006/relationships/worksheet" Target="/xl/worksheets/sheet15.xml" Id="R0efddebbf07d497c" /><Relationship Type="http://schemas.openxmlformats.org/officeDocument/2006/relationships/worksheet" Target="/xl/worksheets/sheet16.xml" Id="R5fee6049d1db4cc7" /><Relationship Type="http://schemas.openxmlformats.org/officeDocument/2006/relationships/worksheet" Target="/xl/worksheets/sheet17.xml" Id="R59bfe17ba9aa4ffc" /><Relationship Type="http://schemas.openxmlformats.org/officeDocument/2006/relationships/worksheet" Target="/xl/worksheets/sheet18.xml" Id="Reb4b055f6a5548d6" /><Relationship Type="http://schemas.openxmlformats.org/officeDocument/2006/relationships/worksheet" Target="/xl/worksheets/sheet19.xml" Id="R9bec4473b526479e" /><Relationship Type="http://schemas.openxmlformats.org/officeDocument/2006/relationships/worksheet" Target="/xl/worksheets/sheet20.xml" Id="R9e72f61334d74c69" /><Relationship Type="http://schemas.openxmlformats.org/officeDocument/2006/relationships/worksheet" Target="/xl/worksheets/sheet21.xml" Id="R6d28f5cb985744b2" /><Relationship Type="http://schemas.openxmlformats.org/officeDocument/2006/relationships/worksheet" Target="/xl/worksheets/sheet22.xml" Id="Rdc483de35b93413b" /><Relationship Type="http://schemas.openxmlformats.org/officeDocument/2006/relationships/worksheet" Target="/xl/worksheets/sheet23.xml" Id="Rf5c6364009264578" /><Relationship Type="http://schemas.openxmlformats.org/officeDocument/2006/relationships/worksheet" Target="/xl/worksheets/sheet24.xml" Id="R8f0a5ae65fe2476f" /><Relationship Type="http://schemas.openxmlformats.org/officeDocument/2006/relationships/worksheet" Target="/xl/worksheets/sheet25.xml" Id="Rdec63152e0fd44cc" /><Relationship Type="http://schemas.openxmlformats.org/officeDocument/2006/relationships/worksheet" Target="/xl/worksheets/sheet26.xml" Id="R0910828e77634e83" /><Relationship Type="http://schemas.openxmlformats.org/officeDocument/2006/relationships/worksheet" Target="/xl/worksheets/sheet27.xml" Id="R48b2738f89a24643" /><Relationship Type="http://schemas.openxmlformats.org/officeDocument/2006/relationships/worksheet" Target="/xl/worksheets/sheet28.xml" Id="R2825af854fc649b1" /><Relationship Type="http://schemas.openxmlformats.org/officeDocument/2006/relationships/worksheet" Target="/xl/worksheets/sheet29.xml" Id="Rff30c5066ef74dfd" /><Relationship Type="http://schemas.openxmlformats.org/officeDocument/2006/relationships/worksheet" Target="/xl/worksheets/sheet30.xml" Id="R2283e3de7bad4efc" /><Relationship Type="http://schemas.openxmlformats.org/officeDocument/2006/relationships/worksheet" Target="/xl/worksheets/sheet31.xml" Id="R0e22a03ca41647fb" /><Relationship Type="http://schemas.openxmlformats.org/officeDocument/2006/relationships/worksheet" Target="/xl/worksheets/sheet32.xml" Id="R9ea86f51bd074995" /><Relationship Type="http://schemas.openxmlformats.org/officeDocument/2006/relationships/worksheet" Target="/xl/worksheets/sheet33.xml" Id="R5f0b101a96904c39" /><Relationship Type="http://schemas.openxmlformats.org/officeDocument/2006/relationships/worksheet" Target="/xl/worksheets/sheet34.xml" Id="R4e0c39cf3a7046a4" /><Relationship Type="http://schemas.openxmlformats.org/officeDocument/2006/relationships/worksheet" Target="/xl/worksheets/sheet35.xml" Id="R81db2bd1f0d5449f" /><Relationship Type="http://schemas.openxmlformats.org/officeDocument/2006/relationships/worksheet" Target="/xl/worksheets/sheet36.xml" Id="Rfae0a66ab91f449f" /><Relationship Type="http://schemas.openxmlformats.org/officeDocument/2006/relationships/worksheet" Target="/xl/worksheets/sheet37.xml" Id="Rc1c2fc24a7f2419f" /><Relationship Type="http://schemas.openxmlformats.org/officeDocument/2006/relationships/worksheet" Target="/xl/worksheets/sheet38.xml" Id="Rd4ac1f85ea494a02" /><Relationship Type="http://schemas.openxmlformats.org/officeDocument/2006/relationships/worksheet" Target="/xl/worksheets/sheet39.xml" Id="R5627881591d643ff" /><Relationship Type="http://schemas.openxmlformats.org/officeDocument/2006/relationships/worksheet" Target="/xl/worksheets/sheet40.xml" Id="Rf5ae82ffcace48e3" /><Relationship Type="http://schemas.openxmlformats.org/officeDocument/2006/relationships/worksheet" Target="/xl/worksheets/sheet41.xml" Id="R77501e9d058a4a15" /><Relationship Type="http://schemas.openxmlformats.org/officeDocument/2006/relationships/worksheet" Target="/xl/worksheets/sheet42.xml" Id="R117bd7201d814401" /><Relationship Type="http://schemas.openxmlformats.org/officeDocument/2006/relationships/worksheet" Target="/xl/worksheets/sheet43.xml" Id="Rb9c07eb18c854a02" /><Relationship Type="http://schemas.openxmlformats.org/officeDocument/2006/relationships/worksheet" Target="/xl/worksheets/sheet44.xml" Id="R6df2db48b02f46be" /><Relationship Type="http://schemas.openxmlformats.org/officeDocument/2006/relationships/worksheet" Target="/xl/worksheets/sheet45.xml" Id="Rbd5ec3152a9f4215" /><Relationship Type="http://schemas.openxmlformats.org/officeDocument/2006/relationships/worksheet" Target="/xl/worksheets/sheet46.xml" Id="R82b40fe180374825" /><Relationship Type="http://schemas.openxmlformats.org/officeDocument/2006/relationships/worksheet" Target="/xl/worksheets/sheet47.xml" Id="R2e387ff72ba04493" /><Relationship Type="http://schemas.openxmlformats.org/officeDocument/2006/relationships/worksheet" Target="/xl/worksheets/sheet48.xml" Id="R452c373b4d8d4df4" /><Relationship Type="http://schemas.openxmlformats.org/officeDocument/2006/relationships/worksheet" Target="/xl/worksheets/sheet49.xml" Id="R234c366133304d23" /><Relationship Type="http://schemas.openxmlformats.org/officeDocument/2006/relationships/worksheet" Target="/xl/worksheets/sheet50.xml" Id="R6570d44d42564d9e" /><Relationship Type="http://schemas.openxmlformats.org/officeDocument/2006/relationships/worksheet" Target="/xl/worksheets/sheet51.xml" Id="Rf82df698f91f496a" /><Relationship Type="http://schemas.openxmlformats.org/officeDocument/2006/relationships/worksheet" Target="/xl/worksheets/sheet52.xml" Id="R01649507fb4341ad" /><Relationship Type="http://schemas.openxmlformats.org/officeDocument/2006/relationships/worksheet" Target="/xl/worksheets/sheet53.xml" Id="Ra31c681e399b4e9f" /><Relationship Type="http://schemas.openxmlformats.org/officeDocument/2006/relationships/worksheet" Target="/xl/worksheets/sheet54.xml" Id="R9728b200cb8245e3" /><Relationship Type="http://schemas.openxmlformats.org/officeDocument/2006/relationships/worksheet" Target="/xl/worksheets/sheet55.xml" Id="R6beadb84a89d4abf" /><Relationship Type="http://schemas.openxmlformats.org/officeDocument/2006/relationships/worksheet" Target="/xl/worksheets/sheet56.xml" Id="Ra3c44ee6f8ed4755" /><Relationship Type="http://schemas.openxmlformats.org/officeDocument/2006/relationships/worksheet" Target="/xl/worksheets/sheet57.xml" Id="R23320f7170d64802" /><Relationship Type="http://schemas.openxmlformats.org/officeDocument/2006/relationships/worksheet" Target="/xl/worksheets/sheet58.xml" Id="Rb5fd83e07a014c25" /><Relationship Type="http://schemas.openxmlformats.org/officeDocument/2006/relationships/worksheet" Target="/xl/worksheets/sheet59.xml" Id="R69382fc20503438c" /><Relationship Type="http://schemas.openxmlformats.org/officeDocument/2006/relationships/worksheet" Target="/xl/worksheets/sheet60.xml" Id="Rd4a52b3fd6c547ec" /><Relationship Type="http://schemas.openxmlformats.org/officeDocument/2006/relationships/worksheet" Target="/xl/worksheets/sheet61.xml" Id="R1b1f5a33094e464a" /><Relationship Type="http://schemas.openxmlformats.org/officeDocument/2006/relationships/worksheet" Target="/xl/worksheets/sheet62.xml" Id="R013b59bfc4e14407" /><Relationship Type="http://schemas.openxmlformats.org/officeDocument/2006/relationships/worksheet" Target="/xl/worksheets/sheet63.xml" Id="Re3fb09e3bbe741f0" /><Relationship Type="http://schemas.openxmlformats.org/officeDocument/2006/relationships/worksheet" Target="/xl/worksheets/sheet64.xml" Id="Ra0057994d96b4d89" /><Relationship Type="http://schemas.openxmlformats.org/officeDocument/2006/relationships/worksheet" Target="/xl/worksheets/sheet65.xml" Id="R69fe686d15554902" /><Relationship Type="http://schemas.openxmlformats.org/officeDocument/2006/relationships/worksheet" Target="/xl/worksheets/sheet66.xml" Id="R9016937fba6a4eae" /><Relationship Type="http://schemas.openxmlformats.org/officeDocument/2006/relationships/worksheet" Target="/xl/worksheets/sheet67.xml" Id="R3c7adb4494b94e2a" /><Relationship Type="http://schemas.openxmlformats.org/officeDocument/2006/relationships/worksheet" Target="/xl/worksheets/sheet68.xml" Id="R708837e8ede84cd2" /><Relationship Type="http://schemas.openxmlformats.org/officeDocument/2006/relationships/worksheet" Target="/xl/worksheets/sheet69.xml" Id="R78efec720ec74ec2" /><Relationship Type="http://schemas.openxmlformats.org/officeDocument/2006/relationships/worksheet" Target="/xl/worksheets/sheet70.xml" Id="Rf552e35c84cc4d7a" /><Relationship Type="http://schemas.openxmlformats.org/officeDocument/2006/relationships/worksheet" Target="/xl/worksheets/sheet71.xml" Id="Rff4961d579d2405c" /><Relationship Type="http://schemas.openxmlformats.org/officeDocument/2006/relationships/worksheet" Target="/xl/worksheets/sheet72.xml" Id="Reab20e8e261e497d" /><Relationship Type="http://schemas.openxmlformats.org/officeDocument/2006/relationships/worksheet" Target="/xl/worksheets/sheet73.xml" Id="R4608cf048123446c" /><Relationship Type="http://schemas.openxmlformats.org/officeDocument/2006/relationships/worksheet" Target="/xl/worksheets/sheet74.xml" Id="Rf7a9199ed8c346ca" /><Relationship Type="http://schemas.openxmlformats.org/officeDocument/2006/relationships/worksheet" Target="/xl/worksheets/sheet75.xml" Id="Rc3a938487dbd4318" /><Relationship Type="http://schemas.openxmlformats.org/officeDocument/2006/relationships/worksheet" Target="/xl/worksheets/sheet76.xml" Id="R5d7d9f83157644ea" /><Relationship Type="http://schemas.openxmlformats.org/officeDocument/2006/relationships/worksheet" Target="/xl/worksheets/sheet77.xml" Id="R8e26f40bb1b449af" /><Relationship Type="http://schemas.openxmlformats.org/officeDocument/2006/relationships/worksheet" Target="/xl/worksheets/sheet78.xml" Id="Rdcac61befd4e49a1" /><Relationship Type="http://schemas.openxmlformats.org/officeDocument/2006/relationships/worksheet" Target="/xl/worksheets/sheet79.xml" Id="R377d7d2fc6cd402b" /><Relationship Type="http://schemas.openxmlformats.org/officeDocument/2006/relationships/worksheet" Target="/xl/worksheets/sheet80.xml" Id="R55847810f96d42cf" /><Relationship Type="http://schemas.openxmlformats.org/officeDocument/2006/relationships/worksheet" Target="/xl/worksheets/sheet81.xml" Id="Rd7d854c431ae4824" /><Relationship Type="http://schemas.openxmlformats.org/officeDocument/2006/relationships/worksheet" Target="/xl/worksheets/sheet82.xml" Id="R0b6b7df4adc341ae" /><Relationship Type="http://schemas.openxmlformats.org/officeDocument/2006/relationships/worksheet" Target="/xl/worksheets/sheet83.xml" Id="Rb3503889851642ec" /><Relationship Type="http://schemas.openxmlformats.org/officeDocument/2006/relationships/worksheet" Target="/xl/worksheets/sheet84.xml" Id="R953dc9065e81411f" /><Relationship Type="http://schemas.openxmlformats.org/officeDocument/2006/relationships/worksheet" Target="/xl/worksheets/sheet85.xml" Id="Raf771fbec3d84362" /><Relationship Type="http://schemas.openxmlformats.org/officeDocument/2006/relationships/worksheet" Target="/xl/worksheets/sheet86.xml" Id="R611edf47b6874e69" /><Relationship Type="http://schemas.openxmlformats.org/officeDocument/2006/relationships/worksheet" Target="/xl/worksheets/sheet87.xml" Id="R860a485dc3c249e4" /><Relationship Type="http://schemas.openxmlformats.org/officeDocument/2006/relationships/worksheet" Target="/xl/worksheets/sheet88.xml" Id="R89af0944dc3f4ccf" /><Relationship Type="http://schemas.openxmlformats.org/officeDocument/2006/relationships/worksheet" Target="/xl/worksheets/sheet89.xml" Id="Redbd02f1f36f4511" /><Relationship Type="http://schemas.openxmlformats.org/officeDocument/2006/relationships/worksheet" Target="/xl/worksheets/sheet90.xml" Id="R50a688b2e18a4ac7" /><Relationship Type="http://schemas.openxmlformats.org/officeDocument/2006/relationships/worksheet" Target="/xl/worksheets/sheet91.xml" Id="Rae6fbec92fcb445b" /><Relationship Type="http://schemas.openxmlformats.org/officeDocument/2006/relationships/worksheet" Target="/xl/worksheets/sheet92.xml" Id="Rc58d4913339c41a7" /><Relationship Type="http://schemas.openxmlformats.org/officeDocument/2006/relationships/worksheet" Target="/xl/worksheets/sheet93.xml" Id="R6fe75b77f42342fb" /><Relationship Type="http://schemas.openxmlformats.org/officeDocument/2006/relationships/worksheet" Target="/xl/worksheets/sheet94.xml" Id="Rbe82d97571e94f37" /><Relationship Type="http://schemas.openxmlformats.org/officeDocument/2006/relationships/worksheet" Target="/xl/worksheets/sheet95.xml" Id="R994955fdf3a548e6" /><Relationship Type="http://schemas.openxmlformats.org/officeDocument/2006/relationships/worksheet" Target="/xl/worksheets/sheet96.xml" Id="R5b8e982b88614df6" /><Relationship Type="http://schemas.openxmlformats.org/officeDocument/2006/relationships/worksheet" Target="/xl/worksheets/sheet97.xml" Id="R7d12b36a990c4593" /><Relationship Type="http://schemas.openxmlformats.org/officeDocument/2006/relationships/worksheet" Target="/xl/worksheets/sheet98.xml" Id="R8d2bd9abe2f245c5" /><Relationship Type="http://schemas.openxmlformats.org/officeDocument/2006/relationships/worksheet" Target="/xl/worksheets/sheet99.xml" Id="R34775317b9914ee4" /><Relationship Type="http://schemas.openxmlformats.org/officeDocument/2006/relationships/worksheet" Target="/xl/worksheets/sheet100.xml" Id="Rfc61b5a96ccf4767" /><Relationship Type="http://schemas.openxmlformats.org/officeDocument/2006/relationships/worksheet" Target="/xl/worksheets/sheet101.xml" Id="Rb78909f7f3d74c02" /><Relationship Type="http://schemas.openxmlformats.org/officeDocument/2006/relationships/worksheet" Target="/xl/worksheets/sheet102.xml" Id="R53916041d0454633" /><Relationship Type="http://schemas.openxmlformats.org/officeDocument/2006/relationships/worksheet" Target="/xl/worksheets/sheet103.xml" Id="R102b2ec7f69e4854" /><Relationship Type="http://schemas.openxmlformats.org/officeDocument/2006/relationships/worksheet" Target="/xl/worksheets/sheet104.xml" Id="R45857c0a4c7249fb" /><Relationship Type="http://schemas.openxmlformats.org/officeDocument/2006/relationships/worksheet" Target="/xl/worksheets/sheet105.xml" Id="Rb7a8d3cfce124526" /><Relationship Type="http://schemas.openxmlformats.org/officeDocument/2006/relationships/worksheet" Target="/xl/worksheets/sheet106.xml" Id="R92886bf289334582" /><Relationship Type="http://schemas.openxmlformats.org/officeDocument/2006/relationships/worksheet" Target="/xl/worksheets/sheet107.xml" Id="Rf0152394686c49f4" /><Relationship Type="http://schemas.openxmlformats.org/officeDocument/2006/relationships/worksheet" Target="/xl/worksheets/sheet108.xml" Id="R99453113d7ab43c6" /><Relationship Type="http://schemas.openxmlformats.org/officeDocument/2006/relationships/worksheet" Target="/xl/worksheets/sheet109.xml" Id="R712c369232bd48f8" /></Relationships>
</file>

<file path=xl/tables/table1.xml><?xml version="1.0" encoding="utf-8"?>
<x:table xmlns:x="http://schemas.openxmlformats.org/spreadsheetml/2006/main" id="42" name="CoverageIndex" displayName="CoverageIndex" ref="A7:M113" headerRowCount="1" totalsRowCount="0" totalsRowShown="0">
  <x:tableColumns count="13">
    <x:tableColumn id="1" name="Component"/>
    <x:tableColumn id="2" name="Requirements"/>
    <x:tableColumn id="3" name="Not started"/>
    <x:tableColumn id="4" name="Partial"/>
    <x:tableColumn id="5" name="Implemented"/>
    <x:tableColumn id="6" name="Tested"/>
    <x:tableColumn id="7" name="Verified"/>
    <x:tableColumn id="8" name="Blocked"/>
    <x:tableColumn id="9" name="N/A"/>
    <x:tableColumn id="10" name="Completion"/>
    <x:tableColumn id="11" name="Package gate"/>
    <x:tableColumn id="12" name="Consumer gate"/>
    <x:tableColumn id="13" name="Overall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0" name="InstructionsTable" displayName="InstructionsTable" ref="A3:B15" headerRowCount="1" totalsRowCount="0" totalsRowShown="0">
  <x:autoFilter ref="A3:B15"/>
  <x:tableColumns count="2">
    <x:tableColumn id="1" name="Topic"/>
    <x:tableColumn id="2" name="Rule"/>
  </x:tableColumns>
</x:table>
</file>

<file path=xl/tables/table3.xml><?xml version="1.0" encoding="utf-8"?>
<x:table xmlns:x="http://schemas.openxmlformats.org/spreadsheetml/2006/main" id="1" name="AlertDialogEvidence" displayName="AlertDialog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4.xml><?xml version="1.0" encoding="utf-8"?>
<x:table xmlns:x="http://schemas.openxmlformats.org/spreadsheetml/2006/main" id="2" name="AppBarEvidence" displayName="AppBa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5.xml><?xml version="1.0" encoding="utf-8"?>
<x:table xmlns:x="http://schemas.openxmlformats.org/spreadsheetml/2006/main" id="3" name="AvatarEvidence" displayName="Avata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6.xml><?xml version="1.0" encoding="utf-8"?>
<x:table xmlns:x="http://schemas.openxmlformats.org/spreadsheetml/2006/main" id="4" name="BadgeEvidence" displayName="Badge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7.xml><?xml version="1.0" encoding="utf-8"?>
<x:table xmlns:x="http://schemas.openxmlformats.org/spreadsheetml/2006/main" id="5" name="ButtonEvidence" displayName="Button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8.xml><?xml version="1.0" encoding="utf-8"?>
<x:table xmlns:x="http://schemas.openxmlformats.org/spreadsheetml/2006/main" id="6" name="CardEvidence" displayName="Card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9.xml><?xml version="1.0" encoding="utf-8"?>
<x:table xmlns:x="http://schemas.openxmlformats.org/spreadsheetml/2006/main" id="7" name="CheckboxEvidence" displayName="Checkbox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0.xml><?xml version="1.0" encoding="utf-8"?>
<x:table xmlns:x="http://schemas.openxmlformats.org/spreadsheetml/2006/main" id="8" name="CheckboxGroupEvidence" displayName="CheckboxGroup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1.xml><?xml version="1.0" encoding="utf-8"?>
<x:table xmlns:x="http://schemas.openxmlformats.org/spreadsheetml/2006/main" id="10" name="DialogEvidence" displayName="Dialog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2.xml><?xml version="1.0" encoding="utf-8"?>
<x:table xmlns:x="http://schemas.openxmlformats.org/spreadsheetml/2006/main" id="11" name="DrawerEvidence" displayName="Drawe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3.xml><?xml version="1.0" encoding="utf-8"?>
<x:table xmlns:x="http://schemas.openxmlformats.org/spreadsheetml/2006/main" id="12" name="FieldEvidence" displayName="Field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4.xml><?xml version="1.0" encoding="utf-8"?>
<x:table xmlns:x="http://schemas.openxmlformats.org/spreadsheetml/2006/main" id="13" name="FieldsetEvidence" displayName="Fieldset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5.xml><?xml version="1.0" encoding="utf-8"?>
<x:table xmlns:x="http://schemas.openxmlformats.org/spreadsheetml/2006/main" id="15" name="FormEvidence" displayName="Form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6.xml><?xml version="1.0" encoding="utf-8"?>
<x:table xmlns:x="http://schemas.openxmlformats.org/spreadsheetml/2006/main" id="17" name="HoverCardEvidence" displayName="HoverCard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7.xml><?xml version="1.0" encoding="utf-8"?>
<x:table xmlns:x="http://schemas.openxmlformats.org/spreadsheetml/2006/main" id="18" name="IconButtonEvidence" displayName="IconButton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8.xml><?xml version="1.0" encoding="utf-8"?>
<x:table xmlns:x="http://schemas.openxmlformats.org/spreadsheetml/2006/main" id="19" name="InputEvidence" displayName="Input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9.xml><?xml version="1.0" encoding="utf-8"?>
<x:table xmlns:x="http://schemas.openxmlformats.org/spreadsheetml/2006/main" id="26" name="TextEvidence" displayName="Text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0.xml><?xml version="1.0" encoding="utf-8"?>
<x:table xmlns:x="http://schemas.openxmlformats.org/spreadsheetml/2006/main" id="21" name="NotificationBadgeEvidence" displayName="NotificationBadge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1.xml><?xml version="1.0" encoding="utf-8"?>
<x:table xmlns:x="http://schemas.openxmlformats.org/spreadsheetml/2006/main" id="22" name="PopoverEvidence" displayName="Popove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2.xml><?xml version="1.0" encoding="utf-8"?>
<x:table xmlns:x="http://schemas.openxmlformats.org/spreadsheetml/2006/main" id="27" name="ToggleEvidence" displayName="Toggle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3.xml><?xml version="1.0" encoding="utf-8"?>
<x:table xmlns:x="http://schemas.openxmlformats.org/spreadsheetml/2006/main" id="28" name="ToggleGroupEvidence" displayName="ToggleGroup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4.xml><?xml version="1.0" encoding="utf-8"?>
<x:table xmlns:x="http://schemas.openxmlformats.org/spreadsheetml/2006/main" id="25" name="StackEvidence" displayName="Stack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5.xml><?xml version="1.0" encoding="utf-8"?>
<x:table xmlns:x="http://schemas.openxmlformats.org/spreadsheetml/2006/main" id="29" name="TooltipEvidence" displayName="Tooltip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6.xml><?xml version="1.0" encoding="utf-8"?>
<x:table xmlns:x="http://schemas.openxmlformats.org/spreadsheetml/2006/main" id="16" name="GridEvidence" displayName="GridEvidence" ref="A8:M25" headerRowCount="1" totalsRowCount="0" totalsRowShown="0">
  <x:autoFilter ref="A8:M25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7.xml><?xml version="1.0" encoding="utf-8"?>
<x:table xmlns:x="http://schemas.openxmlformats.org/spreadsheetml/2006/main" id="24" name="SliderEvidence" displayName="Slide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8.xml><?xml version="1.0" encoding="utf-8"?>
<x:table xmlns:x="http://schemas.openxmlformats.org/spreadsheetml/2006/main" id="23" name="RatingEvidence" displayName="RatingEvidence" ref="A8:M25" headerRowCount="1" totalsRowCount="0" totalsRowShown="0">
  <x:autoFilter ref="A8:M25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9.xml><?xml version="1.0" encoding="utf-8"?>
<x:table xmlns:x="http://schemas.openxmlformats.org/spreadsheetml/2006/main" id="14" name="FileUploadEvidence" displayName="FileUploadEvidence" ref="A8:M36" headerRowCount="1" totalsRowCount="0" totalsRowShown="0">
  <x:autoFilter ref="A8:M36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30.xml><?xml version="1.0" encoding="utf-8"?>
<x:table xmlns:x="http://schemas.openxmlformats.org/spreadsheetml/2006/main" id="30" name="ZStackEvidence" displayName="ZStack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31.xml><?xml version="1.0" encoding="utf-8"?>
<x:table xmlns:x="http://schemas.openxmlformats.org/spreadsheetml/2006/main" id="41" name="RadioCardEvidence" displayName="RadioCardEvidence" ref="A8:M28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0" showColumnStripes="0"/>
</x:table>
</file>

<file path=xl/tables/table32.xml><?xml version="1.0" encoding="utf-8"?>
<x:table xmlns:x="http://schemas.openxmlformats.org/spreadsheetml/2006/main" id="43" name="LocaleProviderEvidence" displayName="LocaleProvider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ables/table33.xml><?xml version="1.0" encoding="utf-8"?>
<x:table xmlns:x="http://schemas.openxmlformats.org/spreadsheetml/2006/main" id="44" name="FormatNumberEvidence" displayName="FormatNumber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ables/table34.xml><?xml version="1.0" encoding="utf-8"?>
<x:table xmlns:x="http://schemas.openxmlformats.org/spreadsheetml/2006/main" id="45" name="FormatByteEvidence" displayName="FormatByte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ables/table35.xml><?xml version="1.0" encoding="utf-8"?>
<x:table xmlns:x="http://schemas.openxmlformats.org/spreadsheetml/2006/main" id="46" name="ForEvidence" displayName="For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ables/table36.xml><?xml version="1.0" encoding="utf-8"?>
<x:table xmlns:x="http://schemas.openxmlformats.org/spreadsheetml/2006/main" id="47" name="CheckmarkEvidence" displayName="Checkmark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ables/table37.xml><?xml version="1.0" encoding="utf-8"?>
<x:table xmlns:x="http://schemas.openxmlformats.org/spreadsheetml/2006/main" id="48" name="RadiomarkEvidence" displayName="Radiomark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054c8be9dda4bb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b1e0892e05542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4ee66255acd45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245a82ae9e74df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1378699da3e47b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f8f520fc3d241f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f09740fe67d415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496c5840de244f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c81992f674e4cf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f69ebb2853b34f5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62479d88c4fa482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b3a4aecb3d2458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f1bc06d61acd4823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f430013d86264782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ceffee6b91074c1f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d2797f239b5f4b1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b8df2e87d6fc4c1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98d6c1d7ade0453b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6fcfb2f7fdf54e9b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e1de7826b9de45de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1.xml" Id="Rd0b32a92ae2f4628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2.xml" Id="Rafe4fc53182d436b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3.xml" Id="R1699aaba10c24d89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4.xml" Id="R2e26aab2d2794f7c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5.xml" Id="Rf00dbe71cf8b4aa4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6.xml" Id="R9f52ef8c1aae4bc7" /></Relationships>
</file>

<file path=xl/worksheets/_rels/sheet71.xml.rels>&#65279;<?xml version="1.0" encoding="utf-8"?><Relationships xmlns="http://schemas.openxmlformats.org/package/2006/relationships"><Relationship Type="http://schemas.openxmlformats.org/officeDocument/2006/relationships/table" Target="/xl/tables/table27.xml" Id="R68d6fa9095fb46a1" /></Relationships>
</file>

<file path=xl/worksheets/_rels/sheet72.xml.rels>&#65279;<?xml version="1.0" encoding="utf-8"?><Relationships xmlns="http://schemas.openxmlformats.org/package/2006/relationships"><Relationship Type="http://schemas.openxmlformats.org/officeDocument/2006/relationships/table" Target="/xl/tables/table28.xml" Id="R1e5dc95887db4862" /></Relationships>
</file>

<file path=xl/worksheets/_rels/sheet73.xml.rels>&#65279;<?xml version="1.0" encoding="utf-8"?><Relationships xmlns="http://schemas.openxmlformats.org/package/2006/relationships"><Relationship Type="http://schemas.openxmlformats.org/officeDocument/2006/relationships/table" Target="/xl/tables/table29.xml" Id="R2d76cedd08ab4532" /></Relationships>
</file>

<file path=xl/worksheets/_rels/sheet81.xml.rels>&#65279;<?xml version="1.0" encoding="utf-8"?><Relationships xmlns="http://schemas.openxmlformats.org/package/2006/relationships"><Relationship Type="http://schemas.openxmlformats.org/officeDocument/2006/relationships/table" Target="/xl/tables/table30.xml" Id="R18ec19c10a2a47c5" /></Relationships>
</file>

<file path=xl/worksheets/_rels/sheet103.xml.rels>&#65279;<?xml version="1.0" encoding="utf-8"?><Relationships xmlns="http://schemas.openxmlformats.org/package/2006/relationships"><Relationship Type="http://schemas.openxmlformats.org/officeDocument/2006/relationships/table" Target="/xl/tables/table31.xml" Id="Reec56de01bf1433b" /></Relationships>
</file>

<file path=xl/worksheets/_rels/sheet104.xml.rels>&#65279;<?xml version="1.0" encoding="utf-8"?><Relationships xmlns="http://schemas.openxmlformats.org/package/2006/relationships"><Relationship Type="http://schemas.openxmlformats.org/officeDocument/2006/relationships/table" Target="/xl/tables/table32.xml" Id="R81d35585e7c54faa" /></Relationships>
</file>

<file path=xl/worksheets/_rels/sheet105.xml.rels>&#65279;<?xml version="1.0" encoding="utf-8"?><Relationships xmlns="http://schemas.openxmlformats.org/package/2006/relationships"><Relationship Type="http://schemas.openxmlformats.org/officeDocument/2006/relationships/table" Target="/xl/tables/table33.xml" Id="Ra7c8831d0c624d68" /></Relationships>
</file>

<file path=xl/worksheets/_rels/sheet106.xml.rels>&#65279;<?xml version="1.0" encoding="utf-8"?><Relationships xmlns="http://schemas.openxmlformats.org/package/2006/relationships"><Relationship Type="http://schemas.openxmlformats.org/officeDocument/2006/relationships/table" Target="/xl/tables/table34.xml" Id="R79a31396612c49de" /></Relationships>
</file>

<file path=xl/worksheets/_rels/sheet107.xml.rels>&#65279;<?xml version="1.0" encoding="utf-8"?><Relationships xmlns="http://schemas.openxmlformats.org/package/2006/relationships"><Relationship Type="http://schemas.openxmlformats.org/officeDocument/2006/relationships/table" Target="/xl/tables/table35.xml" Id="R4d64c7b7f1ec4ece" /></Relationships>
</file>

<file path=xl/worksheets/_rels/sheet108.xml.rels>&#65279;<?xml version="1.0" encoding="utf-8"?><Relationships xmlns="http://schemas.openxmlformats.org/package/2006/relationships"><Relationship Type="http://schemas.openxmlformats.org/officeDocument/2006/relationships/table" Target="/xl/tables/table36.xml" Id="R1b65ef4c878b4144" /></Relationships>
</file>

<file path=xl/worksheets/_rels/sheet109.xml.rels>&#65279;<?xml version="1.0" encoding="utf-8"?><Relationships xmlns="http://schemas.openxmlformats.org/package/2006/relationships"><Relationship Type="http://schemas.openxmlformats.org/officeDocument/2006/relationships/table" Target="/xl/tables/table37.xml" Id="R00ae2198ee464f7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4.709999084472656" style="1" hidden="0" customWidth="1"/>
    <x:col min="2" max="9" width="12.710000038146973" style="1" hidden="0" customWidth="1"/>
    <x:col min="10" max="10" width="14.710000038146973" style="2" hidden="0" customWidth="1"/>
    <x:col min="11" max="13" width="16.709999084472656" style="1" hidden="0" customWidth="1"/>
  </x:cols>
  <x:sheetData>
    <x:row r="1" s="4" customFormat="1" ht="37.5" hidden="0" customHeight="1">
      <x:c r="A1" s="3" t="s">
        <x:v>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tr">
        <x:v>106 independently documented public component owners across 103 package subpaths.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1</x:v>
      </x:c>
      <x:c r="B4" s="7" t="n">
        <x:f aca="0">COUNTA(A8:A113)</x:f>
        <x:v>106</x:v>
      </x:c>
      <x:c r="D4" s="6" t="s">
        <x:v>2</x:v>
      </x:c>
      <x:c r="E4" s="7" t="n">
        <x:f aca="0">COUNTIF(M8:M113,"complete")</x:f>
        <x:v>1</x:v>
      </x:c>
      <x:c r="G4" s="6" t="s">
        <x:v>3</x:v>
      </x:c>
      <x:c r="H4" s="7" t="n">
        <x:f aca="0">COUNTIF(M8:M113,"blocked")</x:f>
        <x:v>4</x:v>
      </x:c>
      <x:c r="J4" s="6" t="s">
        <x:v>4</x:v>
      </x:c>
      <x:c r="K4" s="8" t="n">
        <x:f aca="0">IF(B4=0,0,E4/B4)</x:f>
        <x:v>0.009433962264150943</x:v>
      </x:c>
    </x:row>
    <x:row r="7" s="4" customFormat="1" ht="15" hidden="0" customHeight="1">
      <x:c r="A7" s="1" t="s">
        <x:v>5</x:v>
      </x:c>
      <x:c r="B7" s="1" t="s">
        <x:v>6</x:v>
      </x:c>
      <x:c r="C7" s="1" t="s">
        <x:v>7</x:v>
      </x:c>
      <x:c r="D7" s="1" t="s">
        <x:v>8</x:v>
      </x:c>
      <x:c r="E7" s="1" t="s">
        <x:v>9</x:v>
      </x:c>
      <x:c r="F7" s="1" t="s">
        <x:v>10</x:v>
      </x:c>
      <x:c r="G7" s="1" t="s">
        <x:v>11</x:v>
      </x:c>
      <x:c r="H7" s="1" t="s">
        <x:v>3</x:v>
      </x:c>
      <x:c r="I7" s="1" t="s">
        <x:v>12</x:v>
      </x:c>
      <x:c r="J7" s="2" t="s">
        <x:v>13</x:v>
      </x:c>
      <x:c r="K7" s="1" t="s">
        <x:v>14</x:v>
      </x:c>
      <x:c r="L7" s="1" t="s">
        <x:v>15</x:v>
      </x:c>
      <x:c r="M7" s="1" t="s">
        <x:v>4</x:v>
      </x:c>
    </x:row>
    <x:row r="8" s="4" customFormat="1" ht="24" hidden="0" customHeight="1">
      <x:c r="A8" s="9" t="s">
        <x:v>16</x:v>
      </x:c>
      <x:c r="B8" s="9" t="n">
        <x:f aca="1">'Alert Dialog'!B4</x:f>
        <x:v>16</x:v>
      </x:c>
      <x:c r="C8" s="9" t="n">
        <x:f aca="1">COUNTIF('Alert Dialog'!H9:H200,"not started")</x:f>
        <x:v>0</x:v>
      </x:c>
      <x:c r="D8" s="9" t="n">
        <x:f aca="1">COUNTIF('Alert Dialog'!H9:H200,"partial")</x:f>
        <x:v>0</x:v>
      </x:c>
      <x:c r="E8" s="9" t="n">
        <x:f aca="1">COUNTIF('Alert Dialog'!H9:H200,"implemented")</x:f>
        <x:v>4</x:v>
      </x:c>
      <x:c r="F8" s="9" t="n">
        <x:f aca="1">COUNTIF('Alert Dialog'!H9:H200,"tested")</x:f>
        <x:v>11</x:v>
      </x:c>
      <x:c r="G8" s="9" t="n">
        <x:f aca="1">COUNTIF('Alert Dialog'!H9:H200,"verified")</x:f>
        <x:v>1</x:v>
      </x:c>
      <x:c r="H8" s="9" t="n">
        <x:f aca="1">COUNTIF('Alert Dialog'!H9:H200,"blocked")</x:f>
        <x:v>0</x:v>
      </x:c>
      <x:c r="I8" s="9" t="n">
        <x:f aca="1">COUNTIF('Alert Dialog'!H9:H200,"not applicable")</x:f>
        <x:v>0</x:v>
      </x:c>
      <x:c r="J8" s="36" t="n">
        <x:f aca="1">'Alert Dialog'!H4</x:f>
        <x:v>1</x:v>
      </x:c>
      <x:c r="K8" s="9" t="n">
        <x:f aca="1">'Alert Dialog'!K4</x:f>
        <x:v>0</x:v>
      </x:c>
      <x:c r="L8" s="9" t="n">
        <x:f aca="1">'Alert Dialog'!E5</x:f>
        <x:v>0</x:v>
      </x:c>
      <x:c r="M8" s="9" t="str">
        <x:f aca="0">IF(AND(J8=1,K8="complete",L8="complete"),"complete",IF(H8&gt;0,"blocked","open"))</x:f>
        <x:v>open</x:v>
      </x:c>
    </x:row>
    <x:row r="9" s="4" customFormat="1" ht="24" hidden="0" customHeight="1">
      <x:c r="A9" s="9" t="s">
        <x:v>17</x:v>
      </x:c>
      <x:c r="B9" s="9" t="n">
        <x:f aca="1">'App Bar'!B4</x:f>
        <x:v>16</x:v>
      </x:c>
      <x:c r="C9" s="9" t="n">
        <x:f aca="1">COUNTIF('App Bar'!H9:H200,"not started")</x:f>
        <x:v>0</x:v>
      </x:c>
      <x:c r="D9" s="9" t="n">
        <x:f aca="1">COUNTIF('App Bar'!H9:H200,"partial")</x:f>
        <x:v>0</x:v>
      </x:c>
      <x:c r="E9" s="9" t="n">
        <x:f aca="1">COUNTIF('App Bar'!H9:H200,"implemented")</x:f>
        <x:v>4</x:v>
      </x:c>
      <x:c r="F9" s="9" t="n">
        <x:f aca="1">COUNTIF('App Bar'!H9:H200,"tested")</x:f>
        <x:v>11</x:v>
      </x:c>
      <x:c r="G9" s="9" t="n">
        <x:f aca="1">COUNTIF('App Bar'!H9:H200,"verified")</x:f>
        <x:v>1</x:v>
      </x:c>
      <x:c r="H9" s="9" t="n">
        <x:f aca="1">COUNTIF('App Bar'!H9:H200,"blocked")</x:f>
        <x:v>0</x:v>
      </x:c>
      <x:c r="I9" s="9" t="n">
        <x:f aca="1">COUNTIF('App Bar'!H9:H200,"not applicable")</x:f>
        <x:v>0</x:v>
      </x:c>
      <x:c r="J9" s="36" t="n">
        <x:f aca="1">'App Bar'!H4</x:f>
        <x:v>1</x:v>
      </x:c>
      <x:c r="K9" s="9" t="n">
        <x:f aca="1">'App Bar'!K4</x:f>
        <x:v>0</x:v>
      </x:c>
      <x:c r="L9" s="9" t="n">
        <x:f aca="1">'App Bar'!E5</x:f>
        <x:v>0</x:v>
      </x:c>
      <x:c r="M9" s="9" t="str">
        <x:f aca="0">IF(AND(J9=1,K9="complete",L9="complete"),"complete",IF(H9&gt;0,"blocked","open"))</x:f>
        <x:v>open</x:v>
      </x:c>
    </x:row>
    <x:row r="10" s="4" customFormat="1" ht="24" hidden="0" customHeight="1">
      <x:c r="A10" s="9" t="s">
        <x:v>18</x:v>
      </x:c>
      <x:c r="B10" s="9" t="n">
        <x:f aca="1">'Avatar'!B4</x:f>
        <x:v>16</x:v>
      </x:c>
      <x:c r="C10" s="9" t="n">
        <x:f aca="1">COUNTIF('Avatar'!H9:H200,"not started")</x:f>
        <x:v>0</x:v>
      </x:c>
      <x:c r="D10" s="9" t="n">
        <x:f aca="1">COUNTIF('Avatar'!H9:H200,"partial")</x:f>
        <x:v>0</x:v>
      </x:c>
      <x:c r="E10" s="9" t="n">
        <x:f aca="1">COUNTIF('Avatar'!H9:H200,"implemented")</x:f>
        <x:v>4</x:v>
      </x:c>
      <x:c r="F10" s="9" t="n">
        <x:f aca="1">COUNTIF('Avatar'!H9:H200,"tested")</x:f>
        <x:v>11</x:v>
      </x:c>
      <x:c r="G10" s="9" t="n">
        <x:f aca="1">COUNTIF('Avatar'!H9:H200,"verified")</x:f>
        <x:v>1</x:v>
      </x:c>
      <x:c r="H10" s="9" t="n">
        <x:f aca="1">COUNTIF('Avatar'!H9:H200,"blocked")</x:f>
        <x:v>0</x:v>
      </x:c>
      <x:c r="I10" s="9" t="n">
        <x:f aca="1">COUNTIF('Avatar'!H9:H200,"not applicable")</x:f>
        <x:v>0</x:v>
      </x:c>
      <x:c r="J10" s="36" t="n">
        <x:f aca="1">'Avatar'!H4</x:f>
        <x:v>1</x:v>
      </x:c>
      <x:c r="K10" s="9" t="n">
        <x:f aca="1">'Avatar'!K4</x:f>
        <x:v>0</x:v>
      </x:c>
      <x:c r="L10" s="9" t="n">
        <x:f aca="1">'Avatar'!E5</x:f>
        <x:v>0</x:v>
      </x:c>
      <x:c r="M10" s="9" t="str">
        <x:f aca="0">IF(AND(J10=1,K10="complete",L10="complete"),"complete",IF(H10&gt;0,"blocked","open"))</x:f>
        <x:v>open</x:v>
      </x:c>
    </x:row>
    <x:row r="11" s="4" customFormat="1" ht="24" hidden="0" customHeight="1">
      <x:c r="A11" s="9" t="s">
        <x:v>19</x:v>
      </x:c>
      <x:c r="B11" s="9" t="n">
        <x:f aca="1">'Badge'!B4</x:f>
        <x:v>16</x:v>
      </x:c>
      <x:c r="C11" s="9" t="n">
        <x:f aca="1">COUNTIF('Badge'!H9:H200,"not started")</x:f>
        <x:v>0</x:v>
      </x:c>
      <x:c r="D11" s="9" t="n">
        <x:f aca="1">COUNTIF('Badge'!H9:H200,"partial")</x:f>
        <x:v>0</x:v>
      </x:c>
      <x:c r="E11" s="9" t="n">
        <x:f aca="1">COUNTIF('Badge'!H9:H200,"implemented")</x:f>
        <x:v>5</x:v>
      </x:c>
      <x:c r="F11" s="9" t="n">
        <x:f aca="1">COUNTIF('Badge'!H9:H200,"tested")</x:f>
        <x:v>11</x:v>
      </x:c>
      <x:c r="G11" s="9" t="n">
        <x:f aca="1">COUNTIF('Badge'!H9:H200,"verified")</x:f>
        <x:v>0</x:v>
      </x:c>
      <x:c r="H11" s="9" t="n">
        <x:f aca="1">COUNTIF('Badge'!H9:H200,"blocked")</x:f>
        <x:v>0</x:v>
      </x:c>
      <x:c r="I11" s="9" t="n">
        <x:f aca="1">COUNTIF('Badge'!H9:H200,"not applicable")</x:f>
        <x:v>0</x:v>
      </x:c>
      <x:c r="J11" s="36" t="n">
        <x:f aca="1">'Badge'!H4</x:f>
        <x:v>0.9375</x:v>
      </x:c>
      <x:c r="K11" s="9" t="str">
        <x:f aca="1">'Badge'!K4</x:f>
        <x:v>open</x:v>
      </x:c>
      <x:c r="L11" s="9" t="str">
        <x:f aca="1">'Badge'!E5</x:f>
        <x:v>complete</x:v>
      </x:c>
      <x:c r="M11" s="9" t="str">
        <x:f aca="0">IF(AND(J11=1,K11="complete",L11="complete"),"complete",IF(H11&gt;0,"blocked","open"))</x:f>
        <x:v>open</x:v>
      </x:c>
    </x:row>
    <x:row r="12" s="4" customFormat="1" ht="24" hidden="0" customHeight="1">
      <x:c r="A12" s="9" t="s">
        <x:v>20</x:v>
      </x:c>
      <x:c r="B12" s="9" t="n">
        <x:f aca="1">'Button'!B4</x:f>
        <x:v>16</x:v>
      </x:c>
      <x:c r="C12" s="9" t="n">
        <x:f aca="1">COUNTIF('Button'!H9:H200,"not started")</x:f>
        <x:v>0</x:v>
      </x:c>
      <x:c r="D12" s="9" t="n">
        <x:f aca="1">COUNTIF('Button'!H9:H200,"partial")</x:f>
        <x:v>0</x:v>
      </x:c>
      <x:c r="E12" s="9" t="n">
        <x:f aca="1">COUNTIF('Button'!H9:H200,"implemented")</x:f>
        <x:v>4</x:v>
      </x:c>
      <x:c r="F12" s="9" t="n">
        <x:f aca="1">COUNTIF('Button'!H9:H200,"tested")</x:f>
        <x:v>11</x:v>
      </x:c>
      <x:c r="G12" s="9" t="n">
        <x:f aca="1">COUNTIF('Button'!H9:H200,"verified")</x:f>
        <x:v>1</x:v>
      </x:c>
      <x:c r="H12" s="9" t="n">
        <x:f aca="1">COUNTIF('Button'!H9:H200,"blocked")</x:f>
        <x:v>0</x:v>
      </x:c>
      <x:c r="I12" s="9" t="n">
        <x:f aca="1">COUNTIF('Button'!H9:H200,"not applicable")</x:f>
        <x:v>0</x:v>
      </x:c>
      <x:c r="J12" s="36" t="n">
        <x:f aca="1">'Button'!H4</x:f>
        <x:v>1</x:v>
      </x:c>
      <x:c r="K12" s="9" t="n">
        <x:f aca="1">'Button'!K4</x:f>
        <x:v>0</x:v>
      </x:c>
      <x:c r="L12" s="9" t="n">
        <x:f aca="1">'Button'!E5</x:f>
        <x:v>0</x:v>
      </x:c>
      <x:c r="M12" s="9" t="str">
        <x:f aca="0">IF(AND(J12=1,K12="complete",L12="complete"),"complete",IF(H12&gt;0,"blocked","open"))</x:f>
        <x:v>open</x:v>
      </x:c>
    </x:row>
    <x:row r="13" s="4" customFormat="1" ht="24" hidden="0" customHeight="1">
      <x:c r="A13" s="9" t="s">
        <x:v>21</x:v>
      </x:c>
      <x:c r="B13" s="9" t="n">
        <x:f aca="1">'Card'!B4</x:f>
        <x:v>16</x:v>
      </x:c>
      <x:c r="C13" s="9" t="n">
        <x:f aca="1">COUNTIF('Card'!H9:H200,"not started")</x:f>
        <x:v>0</x:v>
      </x:c>
      <x:c r="D13" s="9" t="n">
        <x:f aca="1">COUNTIF('Card'!H9:H200,"partial")</x:f>
        <x:v>0</x:v>
      </x:c>
      <x:c r="E13" s="9" t="n">
        <x:f aca="1">COUNTIF('Card'!H9:H200,"implemented")</x:f>
        <x:v>4</x:v>
      </x:c>
      <x:c r="F13" s="9" t="n">
        <x:f aca="1">COUNTIF('Card'!H9:H200,"tested")</x:f>
        <x:v>11</x:v>
      </x:c>
      <x:c r="G13" s="9" t="n">
        <x:f aca="1">COUNTIF('Card'!H9:H200,"verified")</x:f>
        <x:v>1</x:v>
      </x:c>
      <x:c r="H13" s="9" t="n">
        <x:f aca="1">COUNTIF('Card'!H9:H200,"blocked")</x:f>
        <x:v>0</x:v>
      </x:c>
      <x:c r="I13" s="9" t="n">
        <x:f aca="1">COUNTIF('Card'!H9:H200,"not applicable")</x:f>
        <x:v>0</x:v>
      </x:c>
      <x:c r="J13" s="36" t="n">
        <x:f aca="1">'Card'!H4</x:f>
        <x:v>1</x:v>
      </x:c>
      <x:c r="K13" s="9" t="n">
        <x:f aca="1">'Card'!K4</x:f>
        <x:v>0</x:v>
      </x:c>
      <x:c r="L13" s="9" t="n">
        <x:f aca="1">'Card'!E5</x:f>
        <x:v>0</x:v>
      </x:c>
      <x:c r="M13" s="9" t="str">
        <x:f aca="0">IF(AND(J13=1,K13="complete",L13="complete"),"complete",IF(H13&gt;0,"blocked","open"))</x:f>
        <x:v>open</x:v>
      </x:c>
    </x:row>
    <x:row r="14" s="4" customFormat="1" ht="24" hidden="0" customHeight="1">
      <x:c r="A14" s="9" t="s">
        <x:v>22</x:v>
      </x:c>
      <x:c r="B14" s="9" t="n">
        <x:f aca="1">'Checkbox'!B4</x:f>
        <x:v>16</x:v>
      </x:c>
      <x:c r="C14" s="9" t="n">
        <x:f aca="1">COUNTIF('Checkbox'!H9:H200,"not started")</x:f>
        <x:v>0</x:v>
      </x:c>
      <x:c r="D14" s="9" t="n">
        <x:f aca="1">COUNTIF('Checkbox'!H9:H200,"partial")</x:f>
        <x:v>0</x:v>
      </x:c>
      <x:c r="E14" s="9" t="n">
        <x:f aca="1">COUNTIF('Checkbox'!H9:H200,"implemented")</x:f>
        <x:v>4</x:v>
      </x:c>
      <x:c r="F14" s="9" t="n">
        <x:f aca="1">COUNTIF('Checkbox'!H9:H200,"tested")</x:f>
        <x:v>11</x:v>
      </x:c>
      <x:c r="G14" s="9" t="n">
        <x:f aca="1">COUNTIF('Checkbox'!H9:H200,"verified")</x:f>
        <x:v>1</x:v>
      </x:c>
      <x:c r="H14" s="9" t="n">
        <x:f aca="1">COUNTIF('Checkbox'!H9:H200,"blocked")</x:f>
        <x:v>0</x:v>
      </x:c>
      <x:c r="I14" s="9" t="n">
        <x:f aca="1">COUNTIF('Checkbox'!H9:H200,"not applicable")</x:f>
        <x:v>0</x:v>
      </x:c>
      <x:c r="J14" s="36" t="n">
        <x:f aca="1">'Checkbox'!H4</x:f>
        <x:v>1</x:v>
      </x:c>
      <x:c r="K14" s="9" t="n">
        <x:f aca="1">'Checkbox'!K4</x:f>
        <x:v>0</x:v>
      </x:c>
      <x:c r="L14" s="9" t="n">
        <x:f aca="1">'Checkbox'!E5</x:f>
        <x:v>0</x:v>
      </x:c>
      <x:c r="M14" s="9" t="str">
        <x:f aca="0">IF(AND(J14=1,K14="complete",L14="complete"),"complete",IF(H14&gt;0,"blocked","open"))</x:f>
        <x:v>open</x:v>
      </x:c>
    </x:row>
    <x:row r="15" s="4" customFormat="1" ht="24" hidden="0" customHeight="1">
      <x:c r="A15" s="9" t="s">
        <x:v>23</x:v>
      </x:c>
      <x:c r="B15" s="9" t="n">
        <x:f aca="1">'Checkbox Group'!B4</x:f>
        <x:v>16</x:v>
      </x:c>
      <x:c r="C15" s="9" t="n">
        <x:f aca="1">COUNTIF('Checkbox Group'!H9:H200,"not started")</x:f>
        <x:v>0</x:v>
      </x:c>
      <x:c r="D15" s="9" t="n">
        <x:f aca="1">COUNTIF('Checkbox Group'!H9:H200,"partial")</x:f>
        <x:v>0</x:v>
      </x:c>
      <x:c r="E15" s="9" t="n">
        <x:f aca="1">COUNTIF('Checkbox Group'!H9:H200,"implemented")</x:f>
        <x:v>4</x:v>
      </x:c>
      <x:c r="F15" s="9" t="n">
        <x:f aca="1">COUNTIF('Checkbox Group'!H9:H200,"tested")</x:f>
        <x:v>11</x:v>
      </x:c>
      <x:c r="G15" s="9" t="n">
        <x:f aca="1">COUNTIF('Checkbox Group'!H9:H200,"verified")</x:f>
        <x:v>1</x:v>
      </x:c>
      <x:c r="H15" s="9" t="n">
        <x:f aca="1">COUNTIF('Checkbox Group'!H9:H200,"blocked")</x:f>
        <x:v>0</x:v>
      </x:c>
      <x:c r="I15" s="9" t="n">
        <x:f aca="1">COUNTIF('Checkbox Group'!H9:H200,"not applicable")</x:f>
        <x:v>0</x:v>
      </x:c>
      <x:c r="J15" s="36" t="n">
        <x:f aca="1">'Checkbox Group'!H4</x:f>
        <x:v>1</x:v>
      </x:c>
      <x:c r="K15" s="9" t="n">
        <x:f aca="1">'Checkbox Group'!K4</x:f>
        <x:v>0</x:v>
      </x:c>
      <x:c r="L15" s="9" t="n">
        <x:f aca="1">'Checkbox Group'!E5</x:f>
        <x:v>0</x:v>
      </x:c>
      <x:c r="M15" s="9" t="str">
        <x:f aca="0">IF(AND(J15=1,K15="complete",L15="complete"),"complete",IF(H15&gt;0,"blocked","open"))</x:f>
        <x:v>open</x:v>
      </x:c>
    </x:row>
    <x:row r="16" s="4" customFormat="1" ht="24" hidden="0" customHeight="1">
      <x:c r="A16" s="9" t="s">
        <x:v>24</x:v>
      </x:c>
      <x:c r="B16" s="9" t="n">
        <x:f aca="1">'Dialog'!B4</x:f>
        <x:v>16</x:v>
      </x:c>
      <x:c r="C16" s="9" t="n">
        <x:f aca="1">COUNTIF('Dialog'!H9:H200,"not started")</x:f>
        <x:v>0</x:v>
      </x:c>
      <x:c r="D16" s="9" t="n">
        <x:f aca="1">COUNTIF('Dialog'!H9:H200,"partial")</x:f>
        <x:v>0</x:v>
      </x:c>
      <x:c r="E16" s="9" t="n">
        <x:f aca="1">COUNTIF('Dialog'!H9:H200,"implemented")</x:f>
        <x:v>4</x:v>
      </x:c>
      <x:c r="F16" s="9" t="n">
        <x:f aca="1">COUNTIF('Dialog'!H9:H200,"tested")</x:f>
        <x:v>11</x:v>
      </x:c>
      <x:c r="G16" s="9" t="n">
        <x:f aca="1">COUNTIF('Dialog'!H9:H200,"verified")</x:f>
        <x:v>1</x:v>
      </x:c>
      <x:c r="H16" s="9" t="n">
        <x:f aca="1">COUNTIF('Dialog'!H9:H200,"blocked")</x:f>
        <x:v>0</x:v>
      </x:c>
      <x:c r="I16" s="9" t="n">
        <x:f aca="1">COUNTIF('Dialog'!H9:H200,"not applicable")</x:f>
        <x:v>0</x:v>
      </x:c>
      <x:c r="J16" s="36" t="n">
        <x:f aca="1">'Dialog'!H4</x:f>
        <x:v>1</x:v>
      </x:c>
      <x:c r="K16" s="9" t="n">
        <x:f aca="1">'Dialog'!K4</x:f>
        <x:v>0</x:v>
      </x:c>
      <x:c r="L16" s="9" t="n">
        <x:f aca="1">'Dialog'!E5</x:f>
        <x:v>0</x:v>
      </x:c>
      <x:c r="M16" s="9" t="str">
        <x:f aca="0">IF(AND(J16=1,K16="complete",L16="complete"),"complete",IF(H16&gt;0,"blocked","open"))</x:f>
        <x:v>open</x:v>
      </x:c>
    </x:row>
    <x:row r="17" s="4" customFormat="1" ht="24" hidden="0" customHeight="1">
      <x:c r="A17" s="9" t="s">
        <x:v>25</x:v>
      </x:c>
      <x:c r="B17" s="9" t="n">
        <x:f aca="1">'Drawer'!B4</x:f>
        <x:v>16</x:v>
      </x:c>
      <x:c r="C17" s="9" t="n">
        <x:f aca="1">COUNTIF('Drawer'!H9:H200,"not started")</x:f>
        <x:v>0</x:v>
      </x:c>
      <x:c r="D17" s="9" t="n">
        <x:f aca="1">COUNTIF('Drawer'!H9:H200,"partial")</x:f>
        <x:v>0</x:v>
      </x:c>
      <x:c r="E17" s="9" t="n">
        <x:f aca="1">COUNTIF('Drawer'!H9:H200,"implemented")</x:f>
        <x:v>4</x:v>
      </x:c>
      <x:c r="F17" s="9" t="n">
        <x:f aca="1">COUNTIF('Drawer'!H9:H200,"tested")</x:f>
        <x:v>11</x:v>
      </x:c>
      <x:c r="G17" s="9" t="n">
        <x:f aca="1">COUNTIF('Drawer'!H9:H200,"verified")</x:f>
        <x:v>1</x:v>
      </x:c>
      <x:c r="H17" s="9" t="n">
        <x:f aca="1">COUNTIF('Drawer'!H9:H200,"blocked")</x:f>
        <x:v>0</x:v>
      </x:c>
      <x:c r="I17" s="9" t="n">
        <x:f aca="1">COUNTIF('Drawer'!H9:H200,"not applicable")</x:f>
        <x:v>0</x:v>
      </x:c>
      <x:c r="J17" s="36" t="n">
        <x:f aca="1">'Drawer'!H4</x:f>
        <x:v>1</x:v>
      </x:c>
      <x:c r="K17" s="9" t="n">
        <x:f aca="1">'Drawer'!K4</x:f>
        <x:v>0</x:v>
      </x:c>
      <x:c r="L17" s="9" t="n">
        <x:f aca="1">'Drawer'!E5</x:f>
        <x:v>0</x:v>
      </x:c>
      <x:c r="M17" s="9" t="str">
        <x:f aca="0">IF(AND(J17=1,K17="complete",L17="complete"),"complete",IF(H17&gt;0,"blocked","open"))</x:f>
        <x:v>open</x:v>
      </x:c>
    </x:row>
    <x:row r="18" s="4" customFormat="1" ht="24" hidden="0" customHeight="1">
      <x:c r="A18" s="9" t="s">
        <x:v>26</x:v>
      </x:c>
      <x:c r="B18" s="9" t="n">
        <x:f aca="1">'Field'!B4</x:f>
        <x:v>16</x:v>
      </x:c>
      <x:c r="C18" s="9" t="n">
        <x:f aca="1">COUNTIF('Field'!H9:H200,"not started")</x:f>
        <x:v>0</x:v>
      </x:c>
      <x:c r="D18" s="9" t="n">
        <x:f aca="1">COUNTIF('Field'!H9:H200,"partial")</x:f>
        <x:v>0</x:v>
      </x:c>
      <x:c r="E18" s="9" t="n">
        <x:f aca="1">COUNTIF('Field'!H9:H200,"implemented")</x:f>
        <x:v>4</x:v>
      </x:c>
      <x:c r="F18" s="9" t="n">
        <x:f aca="1">COUNTIF('Field'!H9:H200,"tested")</x:f>
        <x:v>11</x:v>
      </x:c>
      <x:c r="G18" s="9" t="n">
        <x:f aca="1">COUNTIF('Field'!H9:H200,"verified")</x:f>
        <x:v>1</x:v>
      </x:c>
      <x:c r="H18" s="9" t="n">
        <x:f aca="1">COUNTIF('Field'!H9:H200,"blocked")</x:f>
        <x:v>0</x:v>
      </x:c>
      <x:c r="I18" s="9" t="n">
        <x:f aca="1">COUNTIF('Field'!H9:H200,"not applicable")</x:f>
        <x:v>0</x:v>
      </x:c>
      <x:c r="J18" s="36" t="n">
        <x:f aca="1">'Field'!H4</x:f>
        <x:v>1</x:v>
      </x:c>
      <x:c r="K18" s="9" t="n">
        <x:f aca="1">'Field'!K4</x:f>
        <x:v>0</x:v>
      </x:c>
      <x:c r="L18" s="9" t="n">
        <x:f aca="1">'Field'!E5</x:f>
        <x:v>0</x:v>
      </x:c>
      <x:c r="M18" s="9" t="str">
        <x:f aca="0">IF(AND(J18=1,K18="complete",L18="complete"),"complete",IF(H18&gt;0,"blocked","open"))</x:f>
        <x:v>open</x:v>
      </x:c>
    </x:row>
    <x:row r="19" s="4" customFormat="1" ht="24" hidden="0" customHeight="1">
      <x:c r="A19" s="9" t="s">
        <x:v>27</x:v>
      </x:c>
      <x:c r="B19" s="9" t="n">
        <x:f aca="1">'Fieldset'!B4</x:f>
        <x:v>16</x:v>
      </x:c>
      <x:c r="C19" s="9" t="n">
        <x:f aca="1">COUNTIF('Fieldset'!H9:H200,"not started")</x:f>
        <x:v>0</x:v>
      </x:c>
      <x:c r="D19" s="9" t="n">
        <x:f aca="1">COUNTIF('Fieldset'!H9:H200,"partial")</x:f>
        <x:v>0</x:v>
      </x:c>
      <x:c r="E19" s="9" t="n">
        <x:f aca="1">COUNTIF('Fieldset'!H9:H200,"implemented")</x:f>
        <x:v>4</x:v>
      </x:c>
      <x:c r="F19" s="9" t="n">
        <x:f aca="1">COUNTIF('Fieldset'!H9:H200,"tested")</x:f>
        <x:v>11</x:v>
      </x:c>
      <x:c r="G19" s="9" t="n">
        <x:f aca="1">COUNTIF('Fieldset'!H9:H200,"verified")</x:f>
        <x:v>1</x:v>
      </x:c>
      <x:c r="H19" s="9" t="n">
        <x:f aca="1">COUNTIF('Fieldset'!H9:H200,"blocked")</x:f>
        <x:v>0</x:v>
      </x:c>
      <x:c r="I19" s="9" t="n">
        <x:f aca="1">COUNTIF('Fieldset'!H9:H200,"not applicable")</x:f>
        <x:v>0</x:v>
      </x:c>
      <x:c r="J19" s="36" t="n">
        <x:f aca="1">'Fieldset'!H4</x:f>
        <x:v>1</x:v>
      </x:c>
      <x:c r="K19" s="9" t="n">
        <x:f aca="1">'Fieldset'!K4</x:f>
        <x:v>0</x:v>
      </x:c>
      <x:c r="L19" s="9" t="n">
        <x:f aca="1">'Fieldset'!E5</x:f>
        <x:v>0</x:v>
      </x:c>
      <x:c r="M19" s="9" t="str">
        <x:f aca="0">IF(AND(J19=1,K19="complete",L19="complete"),"complete",IF(H19&gt;0,"blocked","open"))</x:f>
        <x:v>open</x:v>
      </x:c>
    </x:row>
    <x:row r="20" s="4" customFormat="1" ht="24" hidden="0" customHeight="1">
      <x:c r="A20" s="9" t="s">
        <x:v>28</x:v>
      </x:c>
      <x:c r="B20" s="9" t="n">
        <x:f aca="1">'Form'!B4</x:f>
        <x:v>16</x:v>
      </x:c>
      <x:c r="C20" s="9" t="n">
        <x:f aca="1">COUNTIF('Form'!H9:H200,"not started")</x:f>
        <x:v>0</x:v>
      </x:c>
      <x:c r="D20" s="9" t="n">
        <x:f aca="1">COUNTIF('Form'!H9:H200,"partial")</x:f>
        <x:v>0</x:v>
      </x:c>
      <x:c r="E20" s="9" t="n">
        <x:f aca="1">COUNTIF('Form'!H9:H200,"implemented")</x:f>
        <x:v>4</x:v>
      </x:c>
      <x:c r="F20" s="9" t="n">
        <x:f aca="1">COUNTIF('Form'!H9:H200,"tested")</x:f>
        <x:v>11</x:v>
      </x:c>
      <x:c r="G20" s="9" t="n">
        <x:f aca="1">COUNTIF('Form'!H9:H200,"verified")</x:f>
        <x:v>1</x:v>
      </x:c>
      <x:c r="H20" s="9" t="n">
        <x:f aca="1">COUNTIF('Form'!H9:H200,"blocked")</x:f>
        <x:v>0</x:v>
      </x:c>
      <x:c r="I20" s="9" t="n">
        <x:f aca="1">COUNTIF('Form'!H9:H200,"not applicable")</x:f>
        <x:v>0</x:v>
      </x:c>
      <x:c r="J20" s="36" t="n">
        <x:f aca="1">'Form'!H4</x:f>
        <x:v>1</x:v>
      </x:c>
      <x:c r="K20" s="9" t="n">
        <x:f aca="1">'Form'!K4</x:f>
        <x:v>0</x:v>
      </x:c>
      <x:c r="L20" s="9" t="n">
        <x:f aca="1">'Form'!E5</x:f>
        <x:v>0</x:v>
      </x:c>
      <x:c r="M20" s="9" t="str">
        <x:f aca="0">IF(AND(J20=1,K20="complete",L20="complete"),"complete",IF(H20&gt;0,"blocked","open"))</x:f>
        <x:v>open</x:v>
      </x:c>
    </x:row>
    <x:row r="21" s="4" customFormat="1" ht="24" hidden="0" customHeight="1">
      <x:c r="A21" s="9" t="s">
        <x:v>29</x:v>
      </x:c>
      <x:c r="B21" s="9" t="n">
        <x:f aca="1">'Hover Card'!B4</x:f>
        <x:v>16</x:v>
      </x:c>
      <x:c r="C21" s="9" t="n">
        <x:f aca="1">COUNTIF('Hover Card'!H9:H200,"not started")</x:f>
        <x:v>0</x:v>
      </x:c>
      <x:c r="D21" s="9" t="n">
        <x:f aca="1">COUNTIF('Hover Card'!H9:H200,"partial")</x:f>
        <x:v>0</x:v>
      </x:c>
      <x:c r="E21" s="9" t="n">
        <x:f aca="1">COUNTIF('Hover Card'!H9:H200,"implemented")</x:f>
        <x:v>4</x:v>
      </x:c>
      <x:c r="F21" s="9" t="n">
        <x:f aca="1">COUNTIF('Hover Card'!H9:H200,"tested")</x:f>
        <x:v>11</x:v>
      </x:c>
      <x:c r="G21" s="9" t="n">
        <x:f aca="1">COUNTIF('Hover Card'!H9:H200,"verified")</x:f>
        <x:v>1</x:v>
      </x:c>
      <x:c r="H21" s="9" t="n">
        <x:f aca="1">COUNTIF('Hover Card'!H9:H200,"blocked")</x:f>
        <x:v>0</x:v>
      </x:c>
      <x:c r="I21" s="9" t="n">
        <x:f aca="1">COUNTIF('Hover Card'!H9:H200,"not applicable")</x:f>
        <x:v>0</x:v>
      </x:c>
      <x:c r="J21" s="36" t="n">
        <x:f aca="1">'Hover Card'!H4</x:f>
        <x:v>1</x:v>
      </x:c>
      <x:c r="K21" s="9" t="n">
        <x:f aca="1">'Hover Card'!K4</x:f>
        <x:v>0</x:v>
      </x:c>
      <x:c r="L21" s="9" t="n">
        <x:f aca="1">'Hover Card'!E5</x:f>
        <x:v>0</x:v>
      </x:c>
      <x:c r="M21" s="9" t="str">
        <x:f aca="0">IF(AND(J21=1,K21="complete",L21="complete"),"complete",IF(H21&gt;0,"blocked","open"))</x:f>
        <x:v>open</x:v>
      </x:c>
    </x:row>
    <x:row r="22" s="4" customFormat="1" ht="24" hidden="0" customHeight="1">
      <x:c r="A22" s="9" t="s">
        <x:v>30</x:v>
      </x:c>
      <x:c r="B22" s="9" t="n">
        <x:f aca="1">'Icon Button'!B4</x:f>
        <x:v>16</x:v>
      </x:c>
      <x:c r="C22" s="9" t="n">
        <x:f aca="1">COUNTIF('Icon Button'!H9:H200,"not started")</x:f>
        <x:v>0</x:v>
      </x:c>
      <x:c r="D22" s="9" t="n">
        <x:f aca="1">COUNTIF('Icon Button'!H9:H200,"partial")</x:f>
        <x:v>0</x:v>
      </x:c>
      <x:c r="E22" s="9" t="n">
        <x:f aca="1">COUNTIF('Icon Button'!H9:H200,"implemented")</x:f>
        <x:v>4</x:v>
      </x:c>
      <x:c r="F22" s="9" t="n">
        <x:f aca="1">COUNTIF('Icon Button'!H9:H200,"tested")</x:f>
        <x:v>11</x:v>
      </x:c>
      <x:c r="G22" s="9" t="n">
        <x:f aca="1">COUNTIF('Icon Button'!H9:H200,"verified")</x:f>
        <x:v>1</x:v>
      </x:c>
      <x:c r="H22" s="9" t="n">
        <x:f aca="1">COUNTIF('Icon Button'!H9:H200,"blocked")</x:f>
        <x:v>0</x:v>
      </x:c>
      <x:c r="I22" s="9" t="n">
        <x:f aca="1">COUNTIF('Icon Button'!H9:H200,"not applicable")</x:f>
        <x:v>0</x:v>
      </x:c>
      <x:c r="J22" s="36" t="n">
        <x:f aca="1">'Icon Button'!H4</x:f>
        <x:v>1</x:v>
      </x:c>
      <x:c r="K22" s="9" t="n">
        <x:f aca="1">'Icon Button'!K4</x:f>
        <x:v>0</x:v>
      </x:c>
      <x:c r="L22" s="9" t="n">
        <x:f aca="1">'Icon Button'!E5</x:f>
        <x:v>0</x:v>
      </x:c>
      <x:c r="M22" s="9" t="str">
        <x:f aca="0">IF(AND(J22=1,K22="complete",L22="complete"),"complete",IF(H22&gt;0,"blocked","open"))</x:f>
        <x:v>open</x:v>
      </x:c>
    </x:row>
    <x:row r="23" s="4" customFormat="1" ht="24" hidden="0" customHeight="1">
      <x:c r="A23" s="9" t="s">
        <x:v>31</x:v>
      </x:c>
      <x:c r="B23" s="9" t="n">
        <x:f aca="1">'Input'!B4</x:f>
        <x:v>16</x:v>
      </x:c>
      <x:c r="C23" s="9" t="n">
        <x:f aca="1">COUNTIF('Input'!H9:H200,"not started")</x:f>
        <x:v>0</x:v>
      </x:c>
      <x:c r="D23" s="9" t="n">
        <x:f aca="1">COUNTIF('Input'!H9:H200,"partial")</x:f>
        <x:v>0</x:v>
      </x:c>
      <x:c r="E23" s="9" t="n">
        <x:f aca="1">COUNTIF('Input'!H9:H200,"implemented")</x:f>
        <x:v>4</x:v>
      </x:c>
      <x:c r="F23" s="9" t="n">
        <x:f aca="1">COUNTIF('Input'!H9:H200,"tested")</x:f>
        <x:v>11</x:v>
      </x:c>
      <x:c r="G23" s="9" t="n">
        <x:f aca="1">COUNTIF('Input'!H9:H200,"verified")</x:f>
        <x:v>1</x:v>
      </x:c>
      <x:c r="H23" s="9" t="n">
        <x:f aca="1">COUNTIF('Input'!H9:H200,"blocked")</x:f>
        <x:v>0</x:v>
      </x:c>
      <x:c r="I23" s="9" t="n">
        <x:f aca="1">COUNTIF('Input'!H9:H200,"not applicable")</x:f>
        <x:v>0</x:v>
      </x:c>
      <x:c r="J23" s="36" t="n">
        <x:f aca="1">'Input'!H4</x:f>
        <x:v>0.75</x:v>
      </x:c>
      <x:c r="K23" s="9" t="str">
        <x:f aca="1">'Input'!K4</x:f>
        <x:v>open</x:v>
      </x:c>
      <x:c r="L23" s="9" t="str">
        <x:f aca="1">'Input'!E5</x:f>
        <x:v>complete</x:v>
      </x:c>
      <x:c r="M23" s="9" t="str">
        <x:f aca="0">IF(AND(J23=1,K23="complete",L23="complete"),"complete",IF(H23&gt;0,"blocked","open"))</x:f>
        <x:v>open</x:v>
      </x:c>
    </x:row>
    <x:row r="24" s="4" customFormat="1" ht="24" hidden="0" customHeight="1">
      <x:c r="A24" s="9" t="s">
        <x:v>32</x:v>
      </x:c>
      <x:c r="B24" s="9" t="n">
        <x:f aca="1">'Link'!B4</x:f>
        <x:v>17</x:v>
      </x:c>
      <x:c r="C24" s="9" t="n">
        <x:f aca="1">COUNTIF('Link'!H9:H200,"not started")</x:f>
        <x:v>0</x:v>
      </x:c>
      <x:c r="D24" s="9" t="n">
        <x:f aca="1">COUNTIF('Link'!H9:H200,"partial")</x:f>
        <x:v>0</x:v>
      </x:c>
      <x:c r="E24" s="9" t="n">
        <x:f aca="1">COUNTIF('Link'!H9:H200,"implemented")</x:f>
        <x:v>3</x:v>
      </x:c>
      <x:c r="F24" s="9" t="n">
        <x:f aca="1">COUNTIF('Link'!H9:H200,"tested")</x:f>
        <x:v>13</x:v>
      </x:c>
      <x:c r="G24" s="9" t="n">
        <x:f aca="1">COUNTIF('Link'!H9:H200,"verified")</x:f>
        <x:v>1</x:v>
      </x:c>
      <x:c r="H24" s="9" t="n">
        <x:f aca="1">COUNTIF('Link'!H9:H200,"blocked")</x:f>
        <x:v>0</x:v>
      </x:c>
      <x:c r="I24" s="9" t="n">
        <x:f aca="1">COUNTIF('Link'!H9:H200,"not applicable")</x:f>
        <x:v>0</x:v>
      </x:c>
      <x:c r="J24" s="36" t="n">
        <x:f aca="1">'Link'!H4</x:f>
        <x:v>0.8235294117647058</x:v>
      </x:c>
      <x:c r="K24" s="9" t="str">
        <x:f aca="1">'Link'!K4</x:f>
        <x:v>open</x:v>
      </x:c>
      <x:c r="L24" s="9" t="str">
        <x:f aca="1">'Link'!E5</x:f>
        <x:v>complete</x:v>
      </x:c>
      <x:c r="M24" s="9" t="str">
        <x:f aca="0">IF(AND(J24=1,K24="complete",L24="complete"),"complete",IF(H24&gt;0,"blocked","open"))</x:f>
        <x:v>open</x:v>
      </x:c>
    </x:row>
    <x:row r="25" s="4" customFormat="1" ht="24" hidden="0" customHeight="1">
      <x:c r="A25" s="9" t="s">
        <x:v>33</x:v>
      </x:c>
      <x:c r="B25" s="9" t="n">
        <x:f aca="1">'Notification Badge'!B4</x:f>
        <x:v>16</x:v>
      </x:c>
      <x:c r="C25" s="9" t="n">
        <x:f aca="1">COUNTIF('Notification Badge'!H9:H200,"not started")</x:f>
        <x:v>0</x:v>
      </x:c>
      <x:c r="D25" s="9" t="n">
        <x:f aca="1">COUNTIF('Notification Badge'!H9:H200,"partial")</x:f>
        <x:v>0</x:v>
      </x:c>
      <x:c r="E25" s="9" t="n">
        <x:f aca="1">COUNTIF('Notification Badge'!H9:H200,"implemented")</x:f>
        <x:v>4</x:v>
      </x:c>
      <x:c r="F25" s="9" t="n">
        <x:f aca="1">COUNTIF('Notification Badge'!H9:H200,"tested")</x:f>
        <x:v>11</x:v>
      </x:c>
      <x:c r="G25" s="9" t="n">
        <x:f aca="1">COUNTIF('Notification Badge'!H9:H200,"verified")</x:f>
        <x:v>1</x:v>
      </x:c>
      <x:c r="H25" s="9" t="n">
        <x:f aca="1">COUNTIF('Notification Badge'!H9:H200,"blocked")</x:f>
        <x:v>0</x:v>
      </x:c>
      <x:c r="I25" s="9" t="n">
        <x:f aca="1">COUNTIF('Notification Badge'!H9:H200,"not applicable")</x:f>
        <x:v>0</x:v>
      </x:c>
      <x:c r="J25" s="36" t="n">
        <x:f aca="1">'Notification Badge'!H4</x:f>
        <x:v>1</x:v>
      </x:c>
      <x:c r="K25" s="9" t="n">
        <x:f aca="1">'Notification Badge'!K4</x:f>
        <x:v>0</x:v>
      </x:c>
      <x:c r="L25" s="9" t="n">
        <x:f aca="1">'Notification Badge'!E5</x:f>
        <x:v>0</x:v>
      </x:c>
      <x:c r="M25" s="9" t="str">
        <x:f aca="0">IF(AND(J25=1,K25="complete",L25="complete"),"complete",IF(H25&gt;0,"blocked","open"))</x:f>
        <x:v>open</x:v>
      </x:c>
    </x:row>
    <x:row r="26" s="4" customFormat="1" ht="24" hidden="0" customHeight="1">
      <x:c r="A26" s="9" t="s">
        <x:v>34</x:v>
      </x:c>
      <x:c r="B26" s="9" t="n">
        <x:f aca="1">'Popover'!B4</x:f>
        <x:v>16</x:v>
      </x:c>
      <x:c r="C26" s="9" t="n">
        <x:f aca="1">COUNTIF('Popover'!H9:H200,"not started")</x:f>
        <x:v>0</x:v>
      </x:c>
      <x:c r="D26" s="9" t="n">
        <x:f aca="1">COUNTIF('Popover'!H9:H200,"partial")</x:f>
        <x:v>0</x:v>
      </x:c>
      <x:c r="E26" s="9" t="n">
        <x:f aca="1">COUNTIF('Popover'!H9:H200,"implemented")</x:f>
        <x:v>4</x:v>
      </x:c>
      <x:c r="F26" s="9" t="n">
        <x:f aca="1">COUNTIF('Popover'!H9:H200,"tested")</x:f>
        <x:v>11</x:v>
      </x:c>
      <x:c r="G26" s="9" t="n">
        <x:f aca="1">COUNTIF('Popover'!H9:H200,"verified")</x:f>
        <x:v>1</x:v>
      </x:c>
      <x:c r="H26" s="9" t="n">
        <x:f aca="1">COUNTIF('Popover'!H9:H200,"blocked")</x:f>
        <x:v>0</x:v>
      </x:c>
      <x:c r="I26" s="9" t="n">
        <x:f aca="1">COUNTIF('Popover'!H9:H200,"not applicable")</x:f>
        <x:v>0</x:v>
      </x:c>
      <x:c r="J26" s="36" t="n">
        <x:f aca="1">'Popover'!H4</x:f>
        <x:v>1</x:v>
      </x:c>
      <x:c r="K26" s="9" t="n">
        <x:f aca="1">'Popover'!K4</x:f>
        <x:v>0</x:v>
      </x:c>
      <x:c r="L26" s="9" t="n">
        <x:f aca="1">'Popover'!E5</x:f>
        <x:v>0</x:v>
      </x:c>
      <x:c r="M26" s="9" t="str">
        <x:f aca="0">IF(AND(J26=1,K26="complete",L26="complete"),"complete",IF(H26&gt;0,"blocked","open"))</x:f>
        <x:v>open</x:v>
      </x:c>
    </x:row>
    <x:row r="27" s="4" customFormat="1" ht="24" hidden="0" customHeight="1">
      <x:c r="A27" s="9" t="s">
        <x:v>35</x:v>
      </x:c>
      <x:c r="B27" s="9" t="n">
        <x:f aca="1">'Toggle'!B4</x:f>
        <x:v>16</x:v>
      </x:c>
      <x:c r="C27" s="9" t="n">
        <x:f aca="1">COUNTIF('Toggle'!H9:H200,"not started")</x:f>
        <x:v>0</x:v>
      </x:c>
      <x:c r="D27" s="9" t="n">
        <x:f aca="1">COUNTIF('Toggle'!H9:H200,"partial")</x:f>
        <x:v>0</x:v>
      </x:c>
      <x:c r="E27" s="9" t="n">
        <x:f aca="1">COUNTIF('Toggle'!H9:H200,"implemented")</x:f>
        <x:v>4</x:v>
      </x:c>
      <x:c r="F27" s="9" t="n">
        <x:f aca="1">COUNTIF('Toggle'!H9:H200,"tested")</x:f>
        <x:v>11</x:v>
      </x:c>
      <x:c r="G27" s="9" t="n">
        <x:f aca="1">COUNTIF('Toggle'!H9:H200,"verified")</x:f>
        <x:v>1</x:v>
      </x:c>
      <x:c r="H27" s="9" t="n">
        <x:f aca="1">COUNTIF('Toggle'!H9:H200,"blocked")</x:f>
        <x:v>0</x:v>
      </x:c>
      <x:c r="I27" s="9" t="n">
        <x:f aca="1">COUNTIF('Toggle'!H9:H200,"not applicable")</x:f>
        <x:v>0</x:v>
      </x:c>
      <x:c r="J27" s="36" t="n">
        <x:f aca="1">'Toggle'!H4</x:f>
        <x:v>1</x:v>
      </x:c>
      <x:c r="K27" s="9" t="n">
        <x:f aca="1">'Toggle'!K4</x:f>
        <x:v>0</x:v>
      </x:c>
      <x:c r="L27" s="9" t="n">
        <x:f aca="1">'Toggle'!E5</x:f>
        <x:v>0</x:v>
      </x:c>
      <x:c r="M27" s="9" t="str">
        <x:f aca="0">IF(AND(J27=1,K27="complete",L27="complete"),"complete",IF(H27&gt;0,"blocked","open"))</x:f>
        <x:v>open</x:v>
      </x:c>
    </x:row>
    <x:row r="28" s="4" customFormat="1" ht="24" hidden="0" customHeight="1">
      <x:c r="A28" s="9" t="s">
        <x:v>36</x:v>
      </x:c>
      <x:c r="B28" s="9" t="n">
        <x:f aca="1">'Toggle Group'!B4</x:f>
        <x:v>16</x:v>
      </x:c>
      <x:c r="C28" s="9" t="n">
        <x:f aca="1">COUNTIF('Toggle Group'!H9:H200,"not started")</x:f>
        <x:v>0</x:v>
      </x:c>
      <x:c r="D28" s="9" t="n">
        <x:f aca="1">COUNTIF('Toggle Group'!H9:H200,"partial")</x:f>
        <x:v>0</x:v>
      </x:c>
      <x:c r="E28" s="9" t="n">
        <x:f aca="1">COUNTIF('Toggle Group'!H9:H200,"implemented")</x:f>
        <x:v>4</x:v>
      </x:c>
      <x:c r="F28" s="9" t="n">
        <x:f aca="1">COUNTIF('Toggle Group'!H9:H200,"tested")</x:f>
        <x:v>11</x:v>
      </x:c>
      <x:c r="G28" s="9" t="n">
        <x:f aca="1">COUNTIF('Toggle Group'!H9:H200,"verified")</x:f>
        <x:v>1</x:v>
      </x:c>
      <x:c r="H28" s="9" t="n">
        <x:f aca="1">COUNTIF('Toggle Group'!H9:H200,"blocked")</x:f>
        <x:v>0</x:v>
      </x:c>
      <x:c r="I28" s="9" t="n">
        <x:f aca="1">COUNTIF('Toggle Group'!H9:H200,"not applicable")</x:f>
        <x:v>0</x:v>
      </x:c>
      <x:c r="J28" s="36" t="n">
        <x:f aca="1">'Toggle Group'!H4</x:f>
        <x:v>1</x:v>
      </x:c>
      <x:c r="K28" s="9" t="n">
        <x:f aca="1">'Toggle Group'!K4</x:f>
        <x:v>0</x:v>
      </x:c>
      <x:c r="L28" s="9" t="n">
        <x:f aca="1">'Toggle Group'!E5</x:f>
        <x:v>0</x:v>
      </x:c>
      <x:c r="M28" s="9" t="str">
        <x:f aca="0">IF(AND(J28=1,K28="complete",L28="complete"),"complete",IF(H28&gt;0,"blocked","open"))</x:f>
        <x:v>open</x:v>
      </x:c>
    </x:row>
    <x:row r="29" s="4" customFormat="1" ht="24" hidden="0" customHeight="1">
      <x:c r="A29" s="9" t="s">
        <x:v>37</x:v>
      </x:c>
      <x:c r="B29" s="9" t="n">
        <x:f aca="1">'Tooltip'!B4</x:f>
        <x:v>16</x:v>
      </x:c>
      <x:c r="C29" s="9" t="n">
        <x:f aca="1">COUNTIF('Tooltip'!H9:H200,"not started")</x:f>
        <x:v>0</x:v>
      </x:c>
      <x:c r="D29" s="9" t="n">
        <x:f aca="1">COUNTIF('Tooltip'!H9:H200,"partial")</x:f>
        <x:v>0</x:v>
      </x:c>
      <x:c r="E29" s="9" t="n">
        <x:f aca="1">COUNTIF('Tooltip'!H9:H200,"implemented")</x:f>
        <x:v>4</x:v>
      </x:c>
      <x:c r="F29" s="9" t="n">
        <x:f aca="1">COUNTIF('Tooltip'!H9:H200,"tested")</x:f>
        <x:v>11</x:v>
      </x:c>
      <x:c r="G29" s="9" t="n">
        <x:f aca="1">COUNTIF('Tooltip'!H9:H200,"verified")</x:f>
        <x:v>1</x:v>
      </x:c>
      <x:c r="H29" s="9" t="n">
        <x:f aca="1">COUNTIF('Tooltip'!H9:H200,"blocked")</x:f>
        <x:v>0</x:v>
      </x:c>
      <x:c r="I29" s="9" t="n">
        <x:f aca="1">COUNTIF('Tooltip'!H9:H200,"not applicable")</x:f>
        <x:v>0</x:v>
      </x:c>
      <x:c r="J29" s="36" t="n">
        <x:f aca="1">'Tooltip'!H4</x:f>
        <x:v>1</x:v>
      </x:c>
      <x:c r="K29" s="9" t="n">
        <x:f aca="1">'Tooltip'!K4</x:f>
        <x:v>0</x:v>
      </x:c>
      <x:c r="L29" s="9" t="n">
        <x:f aca="1">'Tooltip'!E5</x:f>
        <x:v>0</x:v>
      </x:c>
      <x:c r="M29" s="9" t="str">
        <x:f aca="0">IF(AND(J29=1,K29="complete",L29="complete"),"complete",IF(H29&gt;0,"blocked","open"))</x:f>
        <x:v>open</x:v>
      </x:c>
    </x:row>
    <x:row r="30" s="4" customFormat="1" ht="24" hidden="0" customHeight="1">
      <x:c r="A30" s="9" t="s">
        <x:v>38</x:v>
      </x:c>
      <x:c r="B30" s="9" t="n">
        <x:f aca="1">'Stack'!B4</x:f>
        <x:v>16</x:v>
      </x:c>
      <x:c r="C30" s="9" t="n">
        <x:f aca="1">COUNTIF('Stack'!H9:H200,"not started")</x:f>
        <x:v>0</x:v>
      </x:c>
      <x:c r="D30" s="9" t="n">
        <x:f aca="1">COUNTIF('Stack'!H9:H200,"partial")</x:f>
        <x:v>0</x:v>
      </x:c>
      <x:c r="E30" s="9" t="n">
        <x:f aca="1">COUNTIF('Stack'!H9:H200,"implemented")</x:f>
        <x:v>4</x:v>
      </x:c>
      <x:c r="F30" s="9" t="n">
        <x:f aca="1">COUNTIF('Stack'!H9:H200,"tested")</x:f>
        <x:v>11</x:v>
      </x:c>
      <x:c r="G30" s="9" t="n">
        <x:f aca="1">COUNTIF('Stack'!H9:H200,"verified")</x:f>
        <x:v>1</x:v>
      </x:c>
      <x:c r="H30" s="9" t="n">
        <x:f aca="1">COUNTIF('Stack'!H9:H200,"blocked")</x:f>
        <x:v>0</x:v>
      </x:c>
      <x:c r="I30" s="9" t="n">
        <x:f aca="1">COUNTIF('Stack'!H9:H200,"not applicable")</x:f>
        <x:v>0</x:v>
      </x:c>
      <x:c r="J30" s="36" t="n">
        <x:f aca="1">'Stack'!H4</x:f>
        <x:v>0.75</x:v>
      </x:c>
      <x:c r="K30" s="9" t="str">
        <x:f aca="1">'Stack'!K4</x:f>
        <x:v>open</x:v>
      </x:c>
      <x:c r="L30" s="9" t="str">
        <x:f aca="1">'Stack'!E5</x:f>
        <x:v>complete</x:v>
      </x:c>
      <x:c r="M30" s="9" t="str">
        <x:f aca="0">IF(AND(J30=1,K30="complete",L30="complete"),"complete",IF(H30&gt;0,"blocked","open"))</x:f>
        <x:v>open</x:v>
      </x:c>
    </x:row>
    <x:row r="31" s="4" customFormat="1" ht="24" hidden="0" customHeight="1">
      <x:c r="A31" s="9" t="s">
        <x:v>39</x:v>
      </x:c>
      <x:c r="B31" s="9" t="n">
        <x:f aca="1">'Text'!B4</x:f>
        <x:v>16</x:v>
      </x:c>
      <x:c r="C31" s="9" t="n">
        <x:f aca="1">COUNTIF('Text'!H9:H200,"not started")</x:f>
        <x:v>0</x:v>
      </x:c>
      <x:c r="D31" s="9" t="n">
        <x:f aca="1">COUNTIF('Text'!H9:H200,"partial")</x:f>
        <x:v>0</x:v>
      </x:c>
      <x:c r="E31" s="9" t="n">
        <x:f aca="1">COUNTIF('Text'!H9:H200,"implemented")</x:f>
        <x:v>3</x:v>
      </x:c>
      <x:c r="F31" s="9" t="n">
        <x:f aca="1">COUNTIF('Text'!H9:H200,"tested")</x:f>
        <x:v>11</x:v>
      </x:c>
      <x:c r="G31" s="9" t="n">
        <x:f aca="1">COUNTIF('Text'!H9:H200,"verified")</x:f>
        <x:v>2</x:v>
      </x:c>
      <x:c r="H31" s="9" t="n">
        <x:f aca="1">COUNTIF('Text'!H9:H200,"blocked")</x:f>
        <x:v>0</x:v>
      </x:c>
      <x:c r="I31" s="9" t="n">
        <x:f aca="1">COUNTIF('Text'!H9:H200,"not applicable")</x:f>
        <x:v>0</x:v>
      </x:c>
      <x:c r="J31" s="36" t="n">
        <x:f aca="1">'Text'!H4</x:f>
        <x:v>0.8125</x:v>
      </x:c>
      <x:c r="K31" s="9" t="str">
        <x:f aca="1">'Text'!K4</x:f>
        <x:v>open</x:v>
      </x:c>
      <x:c r="L31" s="9" t="str">
        <x:f aca="1">'Text'!E5</x:f>
        <x:v>complete</x:v>
      </x:c>
      <x:c r="M31" s="9" t="str">
        <x:f aca="0">IF(AND(J31=1,K31="complete",L31="complete"),"complete",IF(H31&gt;0,"blocked","open"))</x:f>
        <x:v>open</x:v>
      </x:c>
    </x:row>
    <x:row r="32" s="4" customFormat="1" ht="24" hidden="0" customHeight="1">
      <x:c r="A32" s="9" t="s">
        <x:v>40</x:v>
      </x:c>
      <x:c r="B32" s="9" t="n">
        <x:f aca="1">'Grid'!B4</x:f>
        <x:v>17</x:v>
      </x:c>
      <x:c r="C32" s="9" t="n">
        <x:f aca="1">COUNTIF('Grid'!H9:H200,"not started")</x:f>
        <x:v>0</x:v>
      </x:c>
      <x:c r="D32" s="9" t="n">
        <x:f aca="1">COUNTIF('Grid'!H9:H200,"partial")</x:f>
        <x:v>0</x:v>
      </x:c>
      <x:c r="E32" s="9" t="n">
        <x:f aca="1">COUNTIF('Grid'!H9:H200,"implemented")</x:f>
        <x:v>4</x:v>
      </x:c>
      <x:c r="F32" s="9" t="n">
        <x:f aca="1">COUNTIF('Grid'!H9:H200,"tested")</x:f>
        <x:v>12</x:v>
      </x:c>
      <x:c r="G32" s="9" t="n">
        <x:f aca="1">COUNTIF('Grid'!H9:H200,"verified")</x:f>
        <x:v>1</x:v>
      </x:c>
      <x:c r="H32" s="9" t="n">
        <x:f aca="1">COUNTIF('Grid'!H9:H200,"blocked")</x:f>
        <x:v>0</x:v>
      </x:c>
      <x:c r="I32" s="9" t="n">
        <x:f aca="1">COUNTIF('Grid'!H9:H200,"not applicable")</x:f>
        <x:v>0</x:v>
      </x:c>
      <x:c r="J32" s="36" t="n">
        <x:f aca="1">'Grid'!H4</x:f>
        <x:v>0.7647058823529411</x:v>
      </x:c>
      <x:c r="K32" s="9" t="str">
        <x:f aca="1">'Grid'!K4</x:f>
        <x:v>open</x:v>
      </x:c>
      <x:c r="L32" s="9" t="str">
        <x:f aca="1">'Grid'!E5</x:f>
        <x:v>complete</x:v>
      </x:c>
      <x:c r="M32" s="9" t="str">
        <x:f aca="0">IF(AND(J32=1,K32="complete",L32="complete"),"complete",IF(H32&gt;0,"blocked","open"))</x:f>
        <x:v>open</x:v>
      </x:c>
    </x:row>
    <x:row r="33" s="4" customFormat="1" ht="24" hidden="0" customHeight="1">
      <x:c r="A33" s="9" t="s">
        <x:v>41</x:v>
      </x:c>
      <x:c r="B33" s="9" t="n">
        <x:f aca="1">'Container'!B4</x:f>
        <x:v>17</x:v>
      </x:c>
      <x:c r="C33" s="9" t="n">
        <x:f aca="1">COUNTIF('Container'!H9:H200,"not started")</x:f>
        <x:v>0</x:v>
      </x:c>
      <x:c r="D33" s="9" t="n">
        <x:f aca="1">COUNTIF('Container'!H9:H200,"partial")</x:f>
        <x:v>0</x:v>
      </x:c>
      <x:c r="E33" s="9" t="n">
        <x:f aca="1">COUNTIF('Container'!H9:H200,"implemented")</x:f>
        <x:v>4</x:v>
      </x:c>
      <x:c r="F33" s="9" t="n">
        <x:f aca="1">COUNTIF('Container'!H9:H200,"tested")</x:f>
        <x:v>12</x:v>
      </x:c>
      <x:c r="G33" s="9" t="n">
        <x:f aca="1">COUNTIF('Container'!H9:H200,"verified")</x:f>
        <x:v>1</x:v>
      </x:c>
      <x:c r="H33" s="9" t="n">
        <x:f aca="1">COUNTIF('Container'!H9:H200,"blocked")</x:f>
        <x:v>0</x:v>
      </x:c>
      <x:c r="I33" s="9" t="n">
        <x:f aca="1">COUNTIF('Container'!H9:H200,"not applicable")</x:f>
        <x:v>0</x:v>
      </x:c>
      <x:c r="J33" s="36" t="n">
        <x:f aca="1">'Container'!H4</x:f>
        <x:v>0.7647058823529411</x:v>
      </x:c>
      <x:c r="K33" s="9" t="str">
        <x:f aca="1">'Container'!K4</x:f>
        <x:v>open</x:v>
      </x:c>
      <x:c r="L33" s="9" t="str">
        <x:f aca="1">'Container'!E5</x:f>
        <x:v>complete</x:v>
      </x:c>
      <x:c r="M33" s="9" t="str">
        <x:f aca="0">IF(AND(J33=1,K33="complete",L33="complete"),"complete",IF(H33&gt;0,"blocked","open"))</x:f>
        <x:v>open</x:v>
      </x:c>
    </x:row>
    <x:row r="34" s="4" customFormat="1" ht="24" hidden="0" customHeight="1">
      <x:c r="A34" s="9" t="s">
        <x:v>42</x:v>
      </x:c>
      <x:c r="B34" s="9" t="n">
        <x:f aca="1">'Surface'!B4</x:f>
        <x:v>17</x:v>
      </x:c>
      <x:c r="C34" s="9" t="n">
        <x:f aca="1">COUNTIF('Surface'!H9:H200,"not started")</x:f>
        <x:v>0</x:v>
      </x:c>
      <x:c r="D34" s="9" t="n">
        <x:f aca="1">COUNTIF('Surface'!H9:H200,"partial")</x:f>
        <x:v>0</x:v>
      </x:c>
      <x:c r="E34" s="9" t="n">
        <x:f aca="1">COUNTIF('Surface'!H9:H200,"implemented")</x:f>
        <x:v>4</x:v>
      </x:c>
      <x:c r="F34" s="9" t="n">
        <x:f aca="1">COUNTIF('Surface'!H9:H200,"tested")</x:f>
        <x:v>12</x:v>
      </x:c>
      <x:c r="G34" s="9" t="n">
        <x:f aca="1">COUNTIF('Surface'!H9:H200,"verified")</x:f>
        <x:v>1</x:v>
      </x:c>
      <x:c r="H34" s="9" t="n">
        <x:f aca="1">COUNTIF('Surface'!H9:H200,"blocked")</x:f>
        <x:v>0</x:v>
      </x:c>
      <x:c r="I34" s="9" t="n">
        <x:f aca="1">COUNTIF('Surface'!H9:H200,"not applicable")</x:f>
        <x:v>0</x:v>
      </x:c>
      <x:c r="J34" s="36" t="n">
        <x:f aca="1">'Surface'!H4</x:f>
        <x:v>0.7647058823529411</x:v>
      </x:c>
      <x:c r="K34" s="9" t="str">
        <x:f aca="1">'Surface'!K4</x:f>
        <x:v>open</x:v>
      </x:c>
      <x:c r="L34" s="9" t="str">
        <x:f aca="1">'Surface'!E5</x:f>
        <x:v>complete</x:v>
      </x:c>
      <x:c r="M34" s="9" t="str">
        <x:f aca="0">IF(AND(J34=1,K34="complete",L34="complete"),"complete",IF(H34&gt;0,"blocked","open"))</x:f>
        <x:v>open</x:v>
      </x:c>
    </x:row>
    <x:row r="35" s="4" customFormat="1" ht="24" hidden="0" customHeight="1">
      <x:c r="A35" s="9" t="s">
        <x:v>43</x:v>
      </x:c>
      <x:c r="B35" s="9" t="n">
        <x:f aca="1">'Divider'!B4</x:f>
        <x:v>17</x:v>
      </x:c>
      <x:c r="C35" s="9" t="n">
        <x:f aca="1">COUNTIF('Divider'!H9:H200,"not started")</x:f>
        <x:v>0</x:v>
      </x:c>
      <x:c r="D35" s="9" t="n">
        <x:f aca="1">COUNTIF('Divider'!H9:H200,"partial")</x:f>
        <x:v>0</x:v>
      </x:c>
      <x:c r="E35" s="9" t="n">
        <x:f aca="1">COUNTIF('Divider'!H9:H200,"implemented")</x:f>
        <x:v>4</x:v>
      </x:c>
      <x:c r="F35" s="9" t="n">
        <x:f aca="1">COUNTIF('Divider'!H9:H200,"tested")</x:f>
        <x:v>12</x:v>
      </x:c>
      <x:c r="G35" s="9" t="n">
        <x:f aca="1">COUNTIF('Divider'!H9:H200,"verified")</x:f>
        <x:v>1</x:v>
      </x:c>
      <x:c r="H35" s="9" t="n">
        <x:f aca="1">COUNTIF('Divider'!H9:H200,"blocked")</x:f>
        <x:v>0</x:v>
      </x:c>
      <x:c r="I35" s="9" t="n">
        <x:f aca="1">COUNTIF('Divider'!H9:H200,"not applicable")</x:f>
        <x:v>0</x:v>
      </x:c>
      <x:c r="J35" s="36" t="n">
        <x:f aca="1">'Divider'!H4</x:f>
        <x:v>0.7647058823529411</x:v>
      </x:c>
      <x:c r="K35" s="9" t="str">
        <x:f aca="1">'Divider'!K4</x:f>
        <x:v>open</x:v>
      </x:c>
      <x:c r="L35" s="9" t="str">
        <x:f aca="1">'Divider'!E5</x:f>
        <x:v>complete</x:v>
      </x:c>
      <x:c r="M35" s="9" t="str">
        <x:f aca="0">IF(AND(J35=1,K35="complete",L35="complete"),"complete",IF(H35&gt;0,"blocked","open"))</x:f>
        <x:v>open</x:v>
      </x:c>
    </x:row>
    <x:row r="36" s="4" customFormat="1" ht="24" hidden="0" customHeight="1">
      <x:c r="A36" s="9" t="s">
        <x:v>44</x:v>
      </x:c>
      <x:c r="B36" s="9" t="n">
        <x:f aca="1">'Scroll Area'!B4</x:f>
        <x:v>17</x:v>
      </x:c>
      <x:c r="C36" s="9" t="n">
        <x:f aca="1">COUNTIF('Scroll Area'!H9:H200,"not started")</x:f>
        <x:v>0</x:v>
      </x:c>
      <x:c r="D36" s="9" t="n">
        <x:f aca="1">COUNTIF('Scroll Area'!H9:H200,"partial")</x:f>
        <x:v>0</x:v>
      </x:c>
      <x:c r="E36" s="9" t="n">
        <x:f aca="1">COUNTIF('Scroll Area'!H9:H200,"implemented")</x:f>
        <x:v>4</x:v>
      </x:c>
      <x:c r="F36" s="9" t="n">
        <x:f aca="1">COUNTIF('Scroll Area'!H9:H200,"tested")</x:f>
        <x:v>12</x:v>
      </x:c>
      <x:c r="G36" s="9" t="n">
        <x:f aca="1">COUNTIF('Scroll Area'!H9:H200,"verified")</x:f>
        <x:v>1</x:v>
      </x:c>
      <x:c r="H36" s="9" t="n">
        <x:f aca="1">COUNTIF('Scroll Area'!H9:H200,"blocked")</x:f>
        <x:v>0</x:v>
      </x:c>
      <x:c r="I36" s="9" t="n">
        <x:f aca="1">COUNTIF('Scroll Area'!H9:H200,"not applicable")</x:f>
        <x:v>0</x:v>
      </x:c>
      <x:c r="J36" s="36" t="n">
        <x:f aca="1">'Scroll Area'!H4</x:f>
        <x:v>0.7647058823529411</x:v>
      </x:c>
      <x:c r="K36" s="9" t="str">
        <x:f aca="1">'Scroll Area'!K4</x:f>
        <x:v>open</x:v>
      </x:c>
      <x:c r="L36" s="9" t="str">
        <x:f aca="1">'Scroll Area'!E5</x:f>
        <x:v>complete</x:v>
      </x:c>
      <x:c r="M36" s="9" t="str">
        <x:f aca="0">IF(AND(J36=1,K36="complete",L36="complete"),"complete",IF(H36&gt;0,"blocked","open"))</x:f>
        <x:v>open</x:v>
      </x:c>
    </x:row>
    <x:row r="37" s="4" customFormat="1" ht="24" hidden="0" customHeight="1">
      <x:c r="A37" s="9" t="s">
        <x:v>45</x:v>
      </x:c>
      <x:c r="B37" s="9" t="n">
        <x:f aca="1">'Code'!B4</x:f>
        <x:v>15</x:v>
      </x:c>
      <x:c r="C37" s="9" t="n">
        <x:f aca="1">COUNTIF('Code'!H9:H200,"not started")</x:f>
        <x:v>0</x:v>
      </x:c>
      <x:c r="D37" s="9" t="n">
        <x:f aca="1">COUNTIF('Code'!H9:H200,"partial")</x:f>
        <x:v>0</x:v>
      </x:c>
      <x:c r="E37" s="9" t="n">
        <x:f aca="1">COUNTIF('Code'!H9:H200,"implemented")</x:f>
        <x:v>2</x:v>
      </x:c>
      <x:c r="F37" s="9" t="n">
        <x:f aca="1">COUNTIF('Code'!H9:H200,"tested")</x:f>
        <x:v>11</x:v>
      </x:c>
      <x:c r="G37" s="9" t="n">
        <x:f aca="1">COUNTIF('Code'!H9:H200,"verified")</x:f>
        <x:v>2</x:v>
      </x:c>
      <x:c r="H37" s="9" t="n">
        <x:f aca="1">COUNTIF('Code'!H9:H200,"blocked")</x:f>
        <x:v>0</x:v>
      </x:c>
      <x:c r="I37" s="9" t="n">
        <x:f aca="1">COUNTIF('Code'!H9:H200,"not applicable")</x:f>
        <x:v>0</x:v>
      </x:c>
      <x:c r="J37" s="36" t="n">
        <x:f aca="1">'Code'!H4</x:f>
        <x:v>0.8666666666666667</x:v>
      </x:c>
      <x:c r="K37" s="9" t="str">
        <x:f aca="1">'Code'!K4</x:f>
        <x:v>open</x:v>
      </x:c>
      <x:c r="L37" s="9" t="str">
        <x:f aca="1">'Code'!E5</x:f>
        <x:v>complete</x:v>
      </x:c>
      <x:c r="M37" s="9" t="str">
        <x:f aca="0">IF(AND(J37=1,K37="complete",L37="complete"),"complete",IF(H37&gt;0,"blocked","open"))</x:f>
        <x:v>open</x:v>
      </x:c>
    </x:row>
    <x:row r="38" s="4" customFormat="1" ht="24" hidden="0" customHeight="1">
      <x:c r="A38" s="9" t="s">
        <x:v>46</x:v>
      </x:c>
      <x:c r="B38" s="9" t="n">
        <x:f aca="1">'Code Block'!B4</x:f>
        <x:v>20</x:v>
      </x:c>
      <x:c r="C38" s="9" t="n">
        <x:f aca="1">COUNTIF('Code Block'!H9:H200,"not started")</x:f>
        <x:v>0</x:v>
      </x:c>
      <x:c r="D38" s="9" t="n">
        <x:f aca="1">COUNTIF('Code Block'!H9:H200,"partial")</x:f>
        <x:v>0</x:v>
      </x:c>
      <x:c r="E38" s="9" t="n">
        <x:f aca="1">COUNTIF('Code Block'!H9:H200,"implemented")</x:f>
        <x:v>3</x:v>
      </x:c>
      <x:c r="F38" s="9" t="n">
        <x:f aca="1">COUNTIF('Code Block'!H9:H200,"tested")</x:f>
        <x:v>15</x:v>
      </x:c>
      <x:c r="G38" s="9" t="n">
        <x:f aca="1">COUNTIF('Code Block'!H9:H200,"verified")</x:f>
        <x:v>2</x:v>
      </x:c>
      <x:c r="H38" s="9" t="n">
        <x:f aca="1">COUNTIF('Code Block'!H9:H200,"blocked")</x:f>
        <x:v>0</x:v>
      </x:c>
      <x:c r="I38" s="9" t="n">
        <x:f aca="1">COUNTIF('Code Block'!H9:H200,"not applicable")</x:f>
        <x:v>0</x:v>
      </x:c>
      <x:c r="J38" s="36" t="n">
        <x:f aca="1">'Code Block'!H4</x:f>
        <x:v>0.85</x:v>
      </x:c>
      <x:c r="K38" s="9" t="str">
        <x:f aca="1">'Code Block'!K4</x:f>
        <x:v>open</x:v>
      </x:c>
      <x:c r="L38" s="9" t="str">
        <x:f aca="1">'Code Block'!E5</x:f>
        <x:v>complete</x:v>
      </x:c>
      <x:c r="M38" s="9" t="str">
        <x:f aca="0">IF(AND(J38=1,K38="complete",L38="complete"),"complete",IF(H38&gt;0,"blocked","open"))</x:f>
        <x:v>open</x:v>
      </x:c>
    </x:row>
    <x:row r="39" s="4" customFormat="1" ht="24" hidden="0" customHeight="1">
      <x:c r="A39" s="9" t="s">
        <x:v>47</x:v>
      </x:c>
      <x:c r="B39" s="9" t="n">
        <x:f aca="1">'Nav List'!B4</x:f>
        <x:v>16</x:v>
      </x:c>
      <x:c r="C39" s="9" t="n">
        <x:f aca="1">COUNTIF('Nav List'!H9:H200,"not started")</x:f>
        <x:v>0</x:v>
      </x:c>
      <x:c r="D39" s="9" t="n">
        <x:f aca="1">COUNTIF('Nav List'!H9:H200,"partial")</x:f>
        <x:v>0</x:v>
      </x:c>
      <x:c r="E39" s="9" t="n">
        <x:f aca="1">COUNTIF('Nav List'!H9:H200,"implemented")</x:f>
        <x:v>0</x:v>
      </x:c>
      <x:c r="F39" s="9" t="n">
        <x:f aca="1">COUNTIF('Nav List'!H9:H200,"tested")</x:f>
        <x:v>16</x:v>
      </x:c>
      <x:c r="G39" s="9" t="n">
        <x:f aca="1">COUNTIF('Nav List'!H9:H200,"verified")</x:f>
        <x:v>0</x:v>
      </x:c>
      <x:c r="H39" s="9" t="n">
        <x:f aca="1">COUNTIF('Nav List'!H9:H200,"blocked")</x:f>
        <x:v>0</x:v>
      </x:c>
      <x:c r="I39" s="9" t="n">
        <x:f aca="1">COUNTIF('Nav List'!H9:H200,"not applicable")</x:f>
        <x:v>0</x:v>
      </x:c>
      <x:c r="J39" s="36" t="n">
        <x:f aca="1">'Nav List'!H4</x:f>
        <x:v>1</x:v>
      </x:c>
      <x:c r="K39" s="9" t="str">
        <x:f aca="1">'Nav List'!K4</x:f>
        <x:v>complete</x:v>
      </x:c>
      <x:c r="L39" s="9" t="str">
        <x:f aca="1">'Nav List'!E5</x:f>
        <x:v>complete</x:v>
      </x:c>
      <x:c r="M39" s="9" t="str">
        <x:f aca="0">IF(AND(J39=1,K39="complete",L39="complete"),"complete",IF(H39&gt;0,"blocked","open"))</x:f>
        <x:v>complete</x:v>
      </x:c>
    </x:row>
    <x:row r="40" s="4" customFormat="1" ht="24" hidden="0" customHeight="1">
      <x:c r="A40" s="9" t="s">
        <x:v>48</x:v>
      </x:c>
      <x:c r="B40" s="9" t="n">
        <x:f aca="1">'Sidebar'!B4</x:f>
        <x:v>16</x:v>
      </x:c>
      <x:c r="C40" s="9" t="n">
        <x:f aca="1">COUNTIF('Sidebar'!H9:H200,"not started")</x:f>
        <x:v>0</x:v>
      </x:c>
      <x:c r="D40" s="9" t="n">
        <x:f aca="1">COUNTIF('Sidebar'!H9:H200,"partial")</x:f>
        <x:v>0</x:v>
      </x:c>
      <x:c r="E40" s="9" t="n">
        <x:f aca="1">COUNTIF('Sidebar'!H9:H200,"implemented")</x:f>
        <x:v>3</x:v>
      </x:c>
      <x:c r="F40" s="9" t="n">
        <x:f aca="1">COUNTIF('Sidebar'!H9:H200,"tested")</x:f>
        <x:v>13</x:v>
      </x:c>
      <x:c r="G40" s="9" t="n">
        <x:f aca="1">COUNTIF('Sidebar'!H9:H200,"verified")</x:f>
        <x:v>0</x:v>
      </x:c>
      <x:c r="H40" s="9" t="n">
        <x:f aca="1">COUNTIF('Sidebar'!H9:H200,"blocked")</x:f>
        <x:v>0</x:v>
      </x:c>
      <x:c r="I40" s="9" t="n">
        <x:f aca="1">COUNTIF('Sidebar'!H9:H200,"not applicable")</x:f>
        <x:v>0</x:v>
      </x:c>
      <x:c r="J40" s="36" t="n">
        <x:f aca="1">'Sidebar'!H4</x:f>
        <x:v>0.8125</x:v>
      </x:c>
      <x:c r="K40" s="9" t="str">
        <x:f aca="1">'Sidebar'!K4</x:f>
        <x:v>open</x:v>
      </x:c>
      <x:c r="L40" s="9" t="str">
        <x:f aca="1">'Sidebar'!E5</x:f>
        <x:v>complete</x:v>
      </x:c>
      <x:c r="M40" s="9" t="str">
        <x:f aca="0">IF(AND(J40=1,K40="complete",L40="complete"),"complete",IF(H40&gt;0,"blocked","open"))</x:f>
        <x:v>open</x:v>
      </x:c>
    </x:row>
    <x:row r="41" s="4" customFormat="1" ht="24" hidden="0" customHeight="1">
      <x:c r="A41" s="9" t="s">
        <x:v>49</x:v>
      </x:c>
      <x:c r="B41" s="9" t="n">
        <x:f aca="1">'Icon'!B4</x:f>
        <x:v>17</x:v>
      </x:c>
      <x:c r="C41" s="9" t="n">
        <x:f aca="1">COUNTIF('Icon'!H9:H200,"not started")</x:f>
        <x:v>0</x:v>
      </x:c>
      <x:c r="D41" s="9" t="n">
        <x:f aca="1">COUNTIF('Icon'!H9:H200,"partial")</x:f>
        <x:v>0</x:v>
      </x:c>
      <x:c r="E41" s="9" t="n">
        <x:f aca="1">COUNTIF('Icon'!H9:H200,"implemented")</x:f>
        <x:v>3</x:v>
      </x:c>
      <x:c r="F41" s="9" t="n">
        <x:f aca="1">COUNTIF('Icon'!H9:H200,"tested")</x:f>
        <x:v>14</x:v>
      </x:c>
      <x:c r="G41" s="9" t="n">
        <x:f aca="1">COUNTIF('Icon'!H9:H200,"verified")</x:f>
        <x:v>0</x:v>
      </x:c>
      <x:c r="H41" s="9" t="n">
        <x:f aca="1">COUNTIF('Icon'!H9:H200,"blocked")</x:f>
        <x:v>0</x:v>
      </x:c>
      <x:c r="I41" s="9" t="n">
        <x:f aca="1">COUNTIF('Icon'!H9:H200,"not applicable")</x:f>
        <x:v>0</x:v>
      </x:c>
      <x:c r="J41" s="36" t="n">
        <x:f aca="1">'Icon'!H4</x:f>
        <x:v>0.8235294117647058</x:v>
      </x:c>
      <x:c r="K41" s="9" t="str">
        <x:f aca="1">'Icon'!K4</x:f>
        <x:v>open</x:v>
      </x:c>
      <x:c r="L41" s="9" t="str">
        <x:f aca="1">'Icon'!E5</x:f>
        <x:v>complete</x:v>
      </x:c>
      <x:c r="M41" s="9" t="str">
        <x:f aca="0">IF(AND(J41=1,K41="complete",L41="complete"),"complete",IF(H41&gt;0,"blocked","open"))</x:f>
        <x:v>open</x:v>
      </x:c>
    </x:row>
    <x:row r="42" s="4" customFormat="1" ht="24" hidden="0" customHeight="1">
      <x:c r="A42" s="9" t="s">
        <x:v>50</x:v>
      </x:c>
      <x:c r="B42" s="9" t="n">
        <x:f aca="1">'Image'!B4</x:f>
        <x:v>22</x:v>
      </x:c>
      <x:c r="C42" s="9" t="n">
        <x:f aca="1">COUNTIF('Image'!H9:H200,"not started")</x:f>
        <x:v>0</x:v>
      </x:c>
      <x:c r="D42" s="9" t="n">
        <x:f aca="1">COUNTIF('Image'!H9:H200,"partial")</x:f>
        <x:v>0</x:v>
      </x:c>
      <x:c r="E42" s="9" t="n">
        <x:f aca="1">COUNTIF('Image'!H9:H200,"implemented")</x:f>
        <x:v>3</x:v>
      </x:c>
      <x:c r="F42" s="9" t="n">
        <x:f aca="1">COUNTIF('Image'!H9:H200,"tested")</x:f>
        <x:v>19</x:v>
      </x:c>
      <x:c r="G42" s="9" t="n">
        <x:f aca="1">COUNTIF('Image'!H9:H200,"verified")</x:f>
        <x:v>0</x:v>
      </x:c>
      <x:c r="H42" s="9" t="n">
        <x:f aca="1">COUNTIF('Image'!H9:H200,"blocked")</x:f>
        <x:v>0</x:v>
      </x:c>
      <x:c r="I42" s="9" t="n">
        <x:f aca="1">COUNTIF('Image'!H9:H200,"not applicable")</x:f>
        <x:v>0</x:v>
      </x:c>
      <x:c r="J42" s="36" t="n">
        <x:f aca="1">'Image'!H4</x:f>
        <x:v>0.8636363636363636</x:v>
      </x:c>
      <x:c r="K42" s="9" t="str">
        <x:f aca="1">'Image'!K4</x:f>
        <x:v>open</x:v>
      </x:c>
      <x:c r="L42" s="9" t="str">
        <x:f aca="1">'Image'!E5</x:f>
        <x:v>complete</x:v>
      </x:c>
      <x:c r="M42" s="9" t="str">
        <x:f aca="0">IF(AND(J42=1,K42="complete",L42="complete"),"complete",IF(H42&gt;0,"blocked","open"))</x:f>
        <x:v>open</x:v>
      </x:c>
    </x:row>
    <x:row r="43" s="4" customFormat="1" ht="24" hidden="0" customHeight="1">
      <x:c r="A43" s="9" t="s">
        <x:v>51</x:v>
      </x:c>
      <x:c r="B43" s="9" t="n">
        <x:f aca="1">'List'!B4</x:f>
        <x:v>19</x:v>
      </x:c>
      <x:c r="C43" s="9" t="n">
        <x:f aca="1">COUNTIF('List'!H9:H200,"not started")</x:f>
        <x:v>0</x:v>
      </x:c>
      <x:c r="D43" s="9" t="n">
        <x:f aca="1">COUNTIF('List'!H9:H200,"partial")</x:f>
        <x:v>0</x:v>
      </x:c>
      <x:c r="E43" s="9" t="n">
        <x:f aca="1">COUNTIF('List'!H9:H200,"implemented")</x:f>
        <x:v>3</x:v>
      </x:c>
      <x:c r="F43" s="9" t="n">
        <x:f aca="1">COUNTIF('List'!H9:H200,"tested")</x:f>
        <x:v>14</x:v>
      </x:c>
      <x:c r="G43" s="9" t="n">
        <x:f aca="1">COUNTIF('List'!H9:H200,"verified")</x:f>
        <x:v>2</x:v>
      </x:c>
      <x:c r="H43" s="9" t="n">
        <x:f aca="1">COUNTIF('List'!H9:H200,"blocked")</x:f>
        <x:v>0</x:v>
      </x:c>
      <x:c r="I43" s="9" t="n">
        <x:f aca="1">COUNTIF('List'!H9:H200,"not applicable")</x:f>
        <x:v>0</x:v>
      </x:c>
      <x:c r="J43" s="36" t="n">
        <x:f aca="1">'List'!H4</x:f>
        <x:v>0.8421052631578947</x:v>
      </x:c>
      <x:c r="K43" s="9" t="str">
        <x:f aca="1">'List'!K4</x:f>
        <x:v>open</x:v>
      </x:c>
      <x:c r="L43" s="9" t="str">
        <x:f aca="1">'List'!E5</x:f>
        <x:v>complete</x:v>
      </x:c>
      <x:c r="M43" s="9" t="str">
        <x:f aca="0">IF(AND(J43=1,K43="complete",L43="complete"),"complete",IF(H43&gt;0,"blocked","open"))</x:f>
        <x:v>open</x:v>
      </x:c>
    </x:row>
    <x:row r="44" s="4" customFormat="1" ht="24" hidden="0" customHeight="1">
      <x:c r="A44" s="9" t="s">
        <x:v>52</x:v>
      </x:c>
      <x:c r="B44" s="9" t="n">
        <x:f aca="1">'Select'!B4</x:f>
        <x:v>22</x:v>
      </x:c>
      <x:c r="C44" s="9" t="n">
        <x:f aca="1">COUNTIF('Select'!H9:H200,"not started")</x:f>
        <x:v>0</x:v>
      </x:c>
      <x:c r="D44" s="9" t="n">
        <x:f aca="1">COUNTIF('Select'!H9:H200,"partial")</x:f>
        <x:v>0</x:v>
      </x:c>
      <x:c r="E44" s="9" t="n">
        <x:f aca="1">COUNTIF('Select'!H9:H200,"implemented")</x:f>
        <x:v>6</x:v>
      </x:c>
      <x:c r="F44" s="9" t="n">
        <x:f aca="1">COUNTIF('Select'!H9:H200,"tested")</x:f>
        <x:v>16</x:v>
      </x:c>
      <x:c r="G44" s="9" t="n">
        <x:f aca="1">COUNTIF('Select'!H9:H200,"verified")</x:f>
        <x:v>0</x:v>
      </x:c>
      <x:c r="H44" s="9" t="n">
        <x:f aca="1">COUNTIF('Select'!H9:H200,"blocked")</x:f>
        <x:v>0</x:v>
      </x:c>
      <x:c r="I44" s="9" t="n">
        <x:f aca="1">COUNTIF('Select'!H9:H200,"not applicable")</x:f>
        <x:v>0</x:v>
      </x:c>
      <x:c r="J44" s="36" t="n">
        <x:f aca="1">'Select'!H4</x:f>
        <x:v>0.7272727272727273</x:v>
      </x:c>
      <x:c r="K44" s="9" t="str">
        <x:f aca="1">'Select'!K4</x:f>
        <x:v>open</x:v>
      </x:c>
      <x:c r="L44" s="9" t="str">
        <x:f aca="1">'Select'!E5</x:f>
        <x:v>complete</x:v>
      </x:c>
      <x:c r="M44" s="9" t="str">
        <x:f aca="0">IF(AND(J44=1,K44="complete",L44="complete"),"complete",IF(H44&gt;0,"blocked","open"))</x:f>
        <x:v>open</x:v>
      </x:c>
    </x:row>
    <x:row r="45" s="4" customFormat="1" ht="24" hidden="0" customHeight="1">
      <x:c r="A45" s="9" t="s">
        <x:v>53</x:v>
      </x:c>
      <x:c r="B45" s="9" t="n">
        <x:f aca="1">'Multi Select'!B4</x:f>
        <x:v>22</x:v>
      </x:c>
      <x:c r="C45" s="9" t="n">
        <x:f aca="1">COUNTIF('Multi Select'!H9:H200,"not started")</x:f>
        <x:v>0</x:v>
      </x:c>
      <x:c r="D45" s="9" t="n">
        <x:f aca="1">COUNTIF('Multi Select'!H9:H200,"partial")</x:f>
        <x:v>0</x:v>
      </x:c>
      <x:c r="E45" s="9" t="n">
        <x:f aca="1">COUNTIF('Multi Select'!H9:H200,"implemented")</x:f>
        <x:v>6</x:v>
      </x:c>
      <x:c r="F45" s="9" t="n">
        <x:f aca="1">COUNTIF('Multi Select'!H9:H200,"tested")</x:f>
        <x:v>16</x:v>
      </x:c>
      <x:c r="G45" s="9" t="n">
        <x:f aca="1">COUNTIF('Multi Select'!H9:H200,"verified")</x:f>
        <x:v>0</x:v>
      </x:c>
      <x:c r="H45" s="9" t="n">
        <x:f aca="1">COUNTIF('Multi Select'!H9:H200,"blocked")</x:f>
        <x:v>0</x:v>
      </x:c>
      <x:c r="I45" s="9" t="n">
        <x:f aca="1">COUNTIF('Multi Select'!H9:H200,"not applicable")</x:f>
        <x:v>0</x:v>
      </x:c>
      <x:c r="J45" s="36" t="n">
        <x:f aca="1">'Multi Select'!H4</x:f>
        <x:v>0.7272727272727273</x:v>
      </x:c>
      <x:c r="K45" s="9" t="str">
        <x:f aca="1">'Multi Select'!K4</x:f>
        <x:v>open</x:v>
      </x:c>
      <x:c r="L45" s="9" t="str">
        <x:f aca="1">'Multi Select'!E5</x:f>
        <x:v>complete</x:v>
      </x:c>
      <x:c r="M45" s="9" t="str">
        <x:f aca="0">IF(AND(J45=1,K45="complete",L45="complete"),"complete",IF(H45&gt;0,"blocked","open"))</x:f>
        <x:v>open</x:v>
      </x:c>
    </x:row>
    <x:row r="46" s="4" customFormat="1" ht="24" hidden="0" customHeight="1">
      <x:c r="A46" s="9" t="s">
        <x:v>54</x:v>
      </x:c>
      <x:c r="B46" s="9" t="n">
        <x:f aca="1">'Textarea'!B4</x:f>
        <x:v>22</x:v>
      </x:c>
      <x:c r="C46" s="9" t="n">
        <x:f aca="1">COUNTIF('Textarea'!H9:H200,"not started")</x:f>
        <x:v>0</x:v>
      </x:c>
      <x:c r="D46" s="9" t="n">
        <x:f aca="1">COUNTIF('Textarea'!H9:H200,"partial")</x:f>
        <x:v>0</x:v>
      </x:c>
      <x:c r="E46" s="9" t="n">
        <x:f aca="1">COUNTIF('Textarea'!H9:H200,"implemented")</x:f>
        <x:v>5</x:v>
      </x:c>
      <x:c r="F46" s="9" t="n">
        <x:f aca="1">COUNTIF('Textarea'!H9:H200,"tested")</x:f>
        <x:v>17</x:v>
      </x:c>
      <x:c r="G46" s="9" t="n">
        <x:f aca="1">COUNTIF('Textarea'!H9:H200,"verified")</x:f>
        <x:v>0</x:v>
      </x:c>
      <x:c r="H46" s="9" t="n">
        <x:f aca="1">COUNTIF('Textarea'!H9:H200,"blocked")</x:f>
        <x:v>0</x:v>
      </x:c>
      <x:c r="I46" s="9" t="n">
        <x:f aca="1">COUNTIF('Textarea'!H9:H200,"not applicable")</x:f>
        <x:v>0</x:v>
      </x:c>
      <x:c r="J46" s="36" t="n">
        <x:f aca="1">'Textarea'!H4</x:f>
        <x:v>0.7727272727272727</x:v>
      </x:c>
      <x:c r="K46" s="9" t="str">
        <x:f aca="1">'Textarea'!K4</x:f>
        <x:v>open</x:v>
      </x:c>
      <x:c r="L46" s="9" t="str">
        <x:f aca="1">'Textarea'!E5</x:f>
        <x:v>complete</x:v>
      </x:c>
      <x:c r="M46" s="9" t="str">
        <x:f aca="0">IF(AND(J46=1,K46="complete",L46="complete"),"complete",IF(H46&gt;0,"blocked","open"))</x:f>
        <x:v>open</x:v>
      </x:c>
    </x:row>
    <x:row r="47" s="4" customFormat="1" ht="24" hidden="0" customHeight="1">
      <x:c r="A47" s="9" t="s">
        <x:v>55</x:v>
      </x:c>
      <x:c r="B47" s="9" t="n">
        <x:f aca="1">'Radio Group'!B4</x:f>
        <x:v>20</x:v>
      </x:c>
      <x:c r="C47" s="9" t="n">
        <x:f aca="1">COUNTIF('Radio Group'!H9:H200,"not started")</x:f>
        <x:v>2</x:v>
      </x:c>
      <x:c r="D47" s="9" t="n">
        <x:f aca="1">COUNTIF('Radio Group'!H9:H200,"partial")</x:f>
        <x:v>0</x:v>
      </x:c>
      <x:c r="E47" s="9" t="n">
        <x:f aca="1">COUNTIF('Radio Group'!H9:H200,"implemented")</x:f>
        <x:v>0</x:v>
      </x:c>
      <x:c r="F47" s="9" t="n">
        <x:f aca="1">COUNTIF('Radio Group'!H9:H200,"tested")</x:f>
        <x:v>18</x:v>
      </x:c>
      <x:c r="G47" s="9" t="n">
        <x:f aca="1">COUNTIF('Radio Group'!H9:H200,"verified")</x:f>
        <x:v>0</x:v>
      </x:c>
      <x:c r="H47" s="9" t="n">
        <x:f aca="1">COUNTIF('Radio Group'!H9:H200,"blocked")</x:f>
        <x:v>0</x:v>
      </x:c>
      <x:c r="I47" s="9" t="n">
        <x:f aca="1">COUNTIF('Radio Group'!H9:H200,"not applicable")</x:f>
        <x:v>0</x:v>
      </x:c>
      <x:c r="J47" s="36" t="n">
        <x:f aca="1">'Radio Group'!H4</x:f>
        <x:v>0.9</x:v>
      </x:c>
      <x:c r="K47" s="9" t="str">
        <x:f aca="1">'Radio Group'!K4</x:f>
        <x:v>open</x:v>
      </x:c>
      <x:c r="L47" s="9" t="str">
        <x:f aca="1">'Radio Group'!E5</x:f>
        <x:v>complete</x:v>
      </x:c>
      <x:c r="M47" s="9" t="str">
        <x:f aca="0">IF(AND(J47=1,K47="complete",L47="complete"),"complete",IF(H47&gt;0,"blocked","open"))</x:f>
        <x:v>open</x:v>
      </x:c>
    </x:row>
    <x:row r="48" s="4" customFormat="1" ht="24" hidden="0" customHeight="1">
      <x:c r="A48" s="9" t="s">
        <x:v>56</x:v>
      </x:c>
      <x:c r="B48" s="9" t="n">
        <x:f aca="1">'Switch'!B4</x:f>
        <x:v>20</x:v>
      </x:c>
      <x:c r="C48" s="9" t="n">
        <x:f aca="1">COUNTIF('Switch'!H9:H200,"not started")</x:f>
        <x:v>2</x:v>
      </x:c>
      <x:c r="D48" s="9" t="n">
        <x:f aca="1">COUNTIF('Switch'!H9:H200,"partial")</x:f>
        <x:v>0</x:v>
      </x:c>
      <x:c r="E48" s="9" t="n">
        <x:f aca="1">COUNTIF('Switch'!H9:H200,"implemented")</x:f>
        <x:v>0</x:v>
      </x:c>
      <x:c r="F48" s="9" t="n">
        <x:f aca="1">COUNTIF('Switch'!H9:H200,"tested")</x:f>
        <x:v>18</x:v>
      </x:c>
      <x:c r="G48" s="9" t="n">
        <x:f aca="1">COUNTIF('Switch'!H9:H200,"verified")</x:f>
        <x:v>0</x:v>
      </x:c>
      <x:c r="H48" s="9" t="n">
        <x:f aca="1">COUNTIF('Switch'!H9:H200,"blocked")</x:f>
        <x:v>0</x:v>
      </x:c>
      <x:c r="I48" s="9" t="n">
        <x:f aca="1">COUNTIF('Switch'!H9:H200,"not applicable")</x:f>
        <x:v>0</x:v>
      </x:c>
      <x:c r="J48" s="36" t="n">
        <x:f aca="1">'Switch'!H4</x:f>
        <x:v>0.9</x:v>
      </x:c>
      <x:c r="K48" s="9" t="str">
        <x:f aca="1">'Switch'!K4</x:f>
        <x:v>open</x:v>
      </x:c>
      <x:c r="L48" s="9" t="str">
        <x:f aca="1">'Switch'!E5</x:f>
        <x:v>complete</x:v>
      </x:c>
      <x:c r="M48" s="9" t="str">
        <x:f aca="0">IF(AND(J48=1,K48="complete",L48="complete"),"complete",IF(H48&gt;0,"blocked","open"))</x:f>
        <x:v>open</x:v>
      </x:c>
    </x:row>
    <x:row r="49" s="4" customFormat="1" ht="24" hidden="0" customHeight="1">
      <x:c r="A49" s="9" t="s">
        <x:v>57</x:v>
      </x:c>
      <x:c r="B49" s="9" t="n">
        <x:f aca="1">'Breadcrumb'!B4</x:f>
        <x:v>23</x:v>
      </x:c>
      <x:c r="C49" s="9" t="n">
        <x:f aca="1">COUNTIF('Breadcrumb'!H9:H200,"not started")</x:f>
        <x:v>1</x:v>
      </x:c>
      <x:c r="D49" s="9" t="n">
        <x:f aca="1">COUNTIF('Breadcrumb'!H9:H200,"partial")</x:f>
        <x:v>0</x:v>
      </x:c>
      <x:c r="E49" s="9" t="n">
        <x:f aca="1">COUNTIF('Breadcrumb'!H9:H200,"implemented")</x:f>
        <x:v>0</x:v>
      </x:c>
      <x:c r="F49" s="9" t="n">
        <x:f aca="1">COUNTIF('Breadcrumb'!H9:H200,"tested")</x:f>
        <x:v>19</x:v>
      </x:c>
      <x:c r="G49" s="9" t="n">
        <x:f aca="1">COUNTIF('Breadcrumb'!H9:H200,"verified")</x:f>
        <x:v>3</x:v>
      </x:c>
      <x:c r="H49" s="9" t="n">
        <x:f aca="1">COUNTIF('Breadcrumb'!H9:H200,"blocked")</x:f>
        <x:v>0</x:v>
      </x:c>
      <x:c r="I49" s="9" t="n">
        <x:f aca="1">COUNTIF('Breadcrumb'!H9:H200,"not applicable")</x:f>
        <x:v>0</x:v>
      </x:c>
      <x:c r="J49" s="36" t="n">
        <x:f aca="1">'Breadcrumb'!H4</x:f>
        <x:v>0.9565217391304348</x:v>
      </x:c>
      <x:c r="K49" s="9" t="str">
        <x:f aca="1">'Breadcrumb'!K4</x:f>
        <x:v>open</x:v>
      </x:c>
      <x:c r="L49" s="9" t="str">
        <x:f aca="1">'Breadcrumb'!E5</x:f>
        <x:v>complete</x:v>
      </x:c>
      <x:c r="M49" s="9" t="str">
        <x:f aca="0">IF(AND(J49=1,K49="complete",L49="complete"),"complete",IF(H49&gt;0,"blocked","open"))</x:f>
        <x:v>open</x:v>
      </x:c>
    </x:row>
    <x:row r="50" s="4" customFormat="1" ht="24" hidden="0" customHeight="1">
      <x:c r="A50" s="9" t="s">
        <x:v>58</x:v>
      </x:c>
      <x:c r="B50" s="9" t="n">
        <x:f aca="1">'Tabs'!B4</x:f>
        <x:v>23</x:v>
      </x:c>
      <x:c r="C50" s="9" t="n">
        <x:f aca="1">COUNTIF('Tabs'!H9:H200,"not started")</x:f>
        <x:v>1</x:v>
      </x:c>
      <x:c r="D50" s="9" t="n">
        <x:f aca="1">COUNTIF('Tabs'!H9:H200,"partial")</x:f>
        <x:v>0</x:v>
      </x:c>
      <x:c r="E50" s="9" t="n">
        <x:f aca="1">COUNTIF('Tabs'!H9:H200,"implemented")</x:f>
        <x:v>0</x:v>
      </x:c>
      <x:c r="F50" s="9" t="n">
        <x:f aca="1">COUNTIF('Tabs'!H9:H200,"tested")</x:f>
        <x:v>18</x:v>
      </x:c>
      <x:c r="G50" s="9" t="n">
        <x:f aca="1">COUNTIF('Tabs'!H9:H200,"verified")</x:f>
        <x:v>4</x:v>
      </x:c>
      <x:c r="H50" s="9" t="n">
        <x:f aca="1">COUNTIF('Tabs'!H9:H200,"blocked")</x:f>
        <x:v>0</x:v>
      </x:c>
      <x:c r="I50" s="9" t="n">
        <x:f aca="1">COUNTIF('Tabs'!H9:H200,"not applicable")</x:f>
        <x:v>0</x:v>
      </x:c>
      <x:c r="J50" s="36" t="n">
        <x:f aca="1">'Tabs'!H4</x:f>
        <x:v>0.9565217391304348</x:v>
      </x:c>
      <x:c r="K50" s="9" t="str">
        <x:f aca="1">'Tabs'!K4</x:f>
        <x:v>open</x:v>
      </x:c>
      <x:c r="L50" s="9" t="str">
        <x:f aca="1">'Tabs'!E5</x:f>
        <x:v>complete</x:v>
      </x:c>
      <x:c r="M50" s="9" t="str">
        <x:f aca="0">IF(AND(J50=1,K50="complete",L50="complete"),"complete",IF(H50&gt;0,"blocked","open"))</x:f>
        <x:v>open</x:v>
      </x:c>
    </x:row>
    <x:row r="51" s="4" customFormat="1" ht="24" hidden="0" customHeight="1">
      <x:c r="A51" s="9" t="s">
        <x:v>59</x:v>
      </x:c>
      <x:c r="B51" s="9" t="n">
        <x:f aca="1">'Skeleton'!B4</x:f>
        <x:v>22</x:v>
      </x:c>
      <x:c r="C51" s="9" t="n">
        <x:f aca="1">COUNTIF('Skeleton'!H9:H200,"not started")</x:f>
        <x:v>1</x:v>
      </x:c>
      <x:c r="D51" s="9" t="n">
        <x:f aca="1">COUNTIF('Skeleton'!H9:H200,"partial")</x:f>
        <x:v>0</x:v>
      </x:c>
      <x:c r="E51" s="9" t="n">
        <x:f aca="1">COUNTIF('Skeleton'!H9:H200,"implemented")</x:f>
        <x:v>0</x:v>
      </x:c>
      <x:c r="F51" s="9" t="n">
        <x:f aca="1">COUNTIF('Skeleton'!H9:H200,"tested")</x:f>
        <x:v>16</x:v>
      </x:c>
      <x:c r="G51" s="9" t="n">
        <x:f aca="1">COUNTIF('Skeleton'!H9:H200,"verified")</x:f>
        <x:v>5</x:v>
      </x:c>
      <x:c r="H51" s="9" t="n">
        <x:f aca="1">COUNTIF('Skeleton'!H9:H200,"blocked")</x:f>
        <x:v>0</x:v>
      </x:c>
      <x:c r="I51" s="9" t="n">
        <x:f aca="1">COUNTIF('Skeleton'!H9:H200,"not applicable")</x:f>
        <x:v>0</x:v>
      </x:c>
      <x:c r="J51" s="36" t="n">
        <x:f aca="1">'Skeleton'!H4</x:f>
        <x:v>0.9545454545454546</x:v>
      </x:c>
      <x:c r="K51" s="9" t="str">
        <x:f aca="1">'Skeleton'!K4</x:f>
        <x:v>open</x:v>
      </x:c>
      <x:c r="L51" s="9" t="str">
        <x:f aca="1">'Skeleton'!E5</x:f>
        <x:v>complete</x:v>
      </x:c>
      <x:c r="M51" s="9" t="str">
        <x:f aca="0">IF(AND(J51=1,K51="complete",L51="complete"),"complete",IF(H51&gt;0,"blocked","open"))</x:f>
        <x:v>open</x:v>
      </x:c>
    </x:row>
    <x:row r="52" s="4" customFormat="1" ht="24" hidden="0" customHeight="1">
      <x:c r="A52" s="9" t="s">
        <x:v>60</x:v>
      </x:c>
      <x:c r="B52" s="9" t="n">
        <x:f aca="1">'Dropdown Menu'!B4</x:f>
        <x:v>23</x:v>
      </x:c>
      <x:c r="C52" s="9" t="n">
        <x:f aca="1">COUNTIF('Dropdown Menu'!H9:H200,"not started")</x:f>
        <x:v>1</x:v>
      </x:c>
      <x:c r="D52" s="9" t="n">
        <x:f aca="1">COUNTIF('Dropdown Menu'!H9:H200,"partial")</x:f>
        <x:v>0</x:v>
      </x:c>
      <x:c r="E52" s="9" t="n">
        <x:f aca="1">COUNTIF('Dropdown Menu'!H9:H200,"implemented")</x:f>
        <x:v>0</x:v>
      </x:c>
      <x:c r="F52" s="9" t="n">
        <x:f aca="1">COUNTIF('Dropdown Menu'!H9:H200,"tested")</x:f>
        <x:v>19</x:v>
      </x:c>
      <x:c r="G52" s="9" t="n">
        <x:f aca="1">COUNTIF('Dropdown Menu'!H9:H200,"verified")</x:f>
        <x:v>3</x:v>
      </x:c>
      <x:c r="H52" s="9" t="n">
        <x:f aca="1">COUNTIF('Dropdown Menu'!H9:H200,"blocked")</x:f>
        <x:v>0</x:v>
      </x:c>
      <x:c r="I52" s="9" t="n">
        <x:f aca="1">COUNTIF('Dropdown Menu'!H9:H200,"not applicable")</x:f>
        <x:v>0</x:v>
      </x:c>
      <x:c r="J52" s="36" t="n">
        <x:f aca="1">'Dropdown Menu'!H4</x:f>
        <x:v>0.9565217391304348</x:v>
      </x:c>
      <x:c r="K52" s="9" t="str">
        <x:f aca="1">'Dropdown Menu'!K4</x:f>
        <x:v>open</x:v>
      </x:c>
      <x:c r="L52" s="9" t="str">
        <x:f aca="1">'Dropdown Menu'!E5</x:f>
        <x:v>complete</x:v>
      </x:c>
      <x:c r="M52" s="9" t="str">
        <x:f aca="0">IF(AND(J52=1,K52="complete",L52="complete"),"complete",IF(H52&gt;0,"blocked","open"))</x:f>
        <x:v>open</x:v>
      </x:c>
    </x:row>
    <x:row r="53" s="4" customFormat="1" ht="24" hidden="0" customHeight="1">
      <x:c r="A53" s="9" t="s">
        <x:v>61</x:v>
      </x:c>
      <x:c r="B53" s="9" t="n">
        <x:f aca="1">'Context Menu'!B4</x:f>
        <x:v>23</x:v>
      </x:c>
      <x:c r="C53" s="9" t="n">
        <x:f aca="1">COUNTIF('Context Menu'!H9:H200,"not started")</x:f>
        <x:v>1</x:v>
      </x:c>
      <x:c r="D53" s="9" t="n">
        <x:f aca="1">COUNTIF('Context Menu'!H9:H200,"partial")</x:f>
        <x:v>0</x:v>
      </x:c>
      <x:c r="E53" s="9" t="n">
        <x:f aca="1">COUNTIF('Context Menu'!H9:H200,"implemented")</x:f>
        <x:v>0</x:v>
      </x:c>
      <x:c r="F53" s="9" t="n">
        <x:f aca="1">COUNTIF('Context Menu'!H9:H200,"tested")</x:f>
        <x:v>19</x:v>
      </x:c>
      <x:c r="G53" s="9" t="n">
        <x:f aca="1">COUNTIF('Context Menu'!H9:H200,"verified")</x:f>
        <x:v>3</x:v>
      </x:c>
      <x:c r="H53" s="9" t="n">
        <x:f aca="1">COUNTIF('Context Menu'!H9:H200,"blocked")</x:f>
        <x:v>0</x:v>
      </x:c>
      <x:c r="I53" s="9" t="n">
        <x:f aca="1">COUNTIF('Context Menu'!H9:H200,"not applicable")</x:f>
        <x:v>0</x:v>
      </x:c>
      <x:c r="J53" s="36" t="n">
        <x:f aca="1">'Context Menu'!H4</x:f>
        <x:v>0.9565217391304348</x:v>
      </x:c>
      <x:c r="K53" s="9" t="str">
        <x:f aca="1">'Context Menu'!K4</x:f>
        <x:v>open</x:v>
      </x:c>
      <x:c r="L53" s="9" t="str">
        <x:f aca="1">'Context Menu'!E5</x:f>
        <x:v>complete</x:v>
      </x:c>
      <x:c r="M53" s="9" t="str">
        <x:f aca="0">IF(AND(J53=1,K53="complete",L53="complete"),"complete",IF(H53&gt;0,"blocked","open"))</x:f>
        <x:v>open</x:v>
      </x:c>
    </x:row>
    <x:row r="54" s="4" customFormat="1" ht="24" hidden="0" customHeight="1">
      <x:c r="A54" s="9" t="s">
        <x:v>62</x:v>
      </x:c>
      <x:c r="B54" s="9" t="n">
        <x:f aca="1">'Menubar'!B4</x:f>
        <x:v>23</x:v>
      </x:c>
      <x:c r="C54" s="9" t="n">
        <x:f aca="1">COUNTIF('Menubar'!H9:H200,"not started")</x:f>
        <x:v>1</x:v>
      </x:c>
      <x:c r="D54" s="9" t="n">
        <x:f aca="1">COUNTIF('Menubar'!H9:H200,"partial")</x:f>
        <x:v>0</x:v>
      </x:c>
      <x:c r="E54" s="9" t="n">
        <x:f aca="1">COUNTIF('Menubar'!H9:H200,"implemented")</x:f>
        <x:v>0</x:v>
      </x:c>
      <x:c r="F54" s="9" t="n">
        <x:f aca="1">COUNTIF('Menubar'!H9:H200,"tested")</x:f>
        <x:v>20</x:v>
      </x:c>
      <x:c r="G54" s="9" t="n">
        <x:f aca="1">COUNTIF('Menubar'!H9:H200,"verified")</x:f>
        <x:v>2</x:v>
      </x:c>
      <x:c r="H54" s="9" t="n">
        <x:f aca="1">COUNTIF('Menubar'!H9:H200,"blocked")</x:f>
        <x:v>0</x:v>
      </x:c>
      <x:c r="I54" s="9" t="n">
        <x:f aca="1">COUNTIF('Menubar'!H9:H200,"not applicable")</x:f>
        <x:v>0</x:v>
      </x:c>
      <x:c r="J54" s="36" t="n">
        <x:f aca="1">'Menubar'!H4</x:f>
        <x:v>0.9565217391304348</x:v>
      </x:c>
      <x:c r="K54" s="9" t="str">
        <x:f aca="1">'Menubar'!K4</x:f>
        <x:v>open</x:v>
      </x:c>
      <x:c r="L54" s="9" t="str">
        <x:f aca="1">'Menubar'!E5</x:f>
        <x:v>complete</x:v>
      </x:c>
      <x:c r="M54" s="9" t="str">
        <x:f aca="0">IF(AND(J54=1,K54="complete",L54="complete"),"complete",IF(H54&gt;0,"blocked","open"))</x:f>
        <x:v>open</x:v>
      </x:c>
    </x:row>
    <x:row r="55" s="4" customFormat="1" ht="24" hidden="0" customHeight="1">
      <x:c r="A55" s="9" t="s">
        <x:v>63</x:v>
      </x:c>
      <x:c r="B55" s="9" t="n">
        <x:f aca="1">'Navigation Menu'!B4</x:f>
        <x:v>23</x:v>
      </x:c>
      <x:c r="C55" s="9" t="n">
        <x:f aca="1">COUNTIF('Navigation Menu'!H9:H200,"not started")</x:f>
        <x:v>1</x:v>
      </x:c>
      <x:c r="D55" s="9" t="n">
        <x:f aca="1">COUNTIF('Navigation Menu'!H9:H200,"partial")</x:f>
        <x:v>0</x:v>
      </x:c>
      <x:c r="E55" s="9" t="n">
        <x:f aca="1">COUNTIF('Navigation Menu'!H9:H200,"implemented")</x:f>
        <x:v>0</x:v>
      </x:c>
      <x:c r="F55" s="9" t="n">
        <x:f aca="1">COUNTIF('Navigation Menu'!H9:H200,"tested")</x:f>
        <x:v>20</x:v>
      </x:c>
      <x:c r="G55" s="9" t="n">
        <x:f aca="1">COUNTIF('Navigation Menu'!H9:H200,"verified")</x:f>
        <x:v>2</x:v>
      </x:c>
      <x:c r="H55" s="9" t="n">
        <x:f aca="1">COUNTIF('Navigation Menu'!H9:H200,"blocked")</x:f>
        <x:v>0</x:v>
      </x:c>
      <x:c r="I55" s="9" t="n">
        <x:f aca="1">COUNTIF('Navigation Menu'!H9:H200,"not applicable")</x:f>
        <x:v>0</x:v>
      </x:c>
      <x:c r="J55" s="36" t="n">
        <x:f aca="1">'Navigation Menu'!H4</x:f>
        <x:v>0.9565217391304348</x:v>
      </x:c>
      <x:c r="K55" s="9" t="str">
        <x:f aca="1">'Navigation Menu'!K4</x:f>
        <x:v>open</x:v>
      </x:c>
      <x:c r="L55" s="9" t="str">
        <x:f aca="1">'Navigation Menu'!E5</x:f>
        <x:v>complete</x:v>
      </x:c>
      <x:c r="M55" s="9" t="str">
        <x:f aca="0">IF(AND(J55=1,K55="complete",L55="complete"),"complete",IF(H55&gt;0,"blocked","open"))</x:f>
        <x:v>open</x:v>
      </x:c>
    </x:row>
    <x:row r="56" s="4" customFormat="1" ht="24" hidden="0" customHeight="1">
      <x:c r="A56" s="9" t="s">
        <x:v>64</x:v>
      </x:c>
      <x:c r="B56" s="9" t="n">
        <x:f aca="1">'Bottom Navigation'!B4</x:f>
        <x:v>28</x:v>
      </x:c>
      <x:c r="C56" s="9" t="n">
        <x:f aca="1">COUNTIF('Bottom Navigation'!H9:H200,"not started")</x:f>
        <x:v>1</x:v>
      </x:c>
      <x:c r="D56" s="9" t="n">
        <x:f aca="1">COUNTIF('Bottom Navigation'!H9:H200,"partial")</x:f>
        <x:v>0</x:v>
      </x:c>
      <x:c r="E56" s="9" t="n">
        <x:f aca="1">COUNTIF('Bottom Navigation'!H9:H200,"implemented")</x:f>
        <x:v>0</x:v>
      </x:c>
      <x:c r="F56" s="9" t="n">
        <x:f aca="1">COUNTIF('Bottom Navigation'!H9:H200,"tested")</x:f>
        <x:v>25</x:v>
      </x:c>
      <x:c r="G56" s="9" t="n">
        <x:f aca="1">COUNTIF('Bottom Navigation'!H9:H200,"verified")</x:f>
        <x:v>2</x:v>
      </x:c>
      <x:c r="H56" s="9" t="n">
        <x:f aca="1">COUNTIF('Bottom Navigation'!H9:H200,"blocked")</x:f>
        <x:v>0</x:v>
      </x:c>
      <x:c r="I56" s="9" t="n">
        <x:f aca="1">COUNTIF('Bottom Navigation'!H9:H200,"not applicable")</x:f>
        <x:v>0</x:v>
      </x:c>
      <x:c r="J56" s="36" t="n">
        <x:f aca="1">'Bottom Navigation'!H4</x:f>
        <x:v>0.9642857142857143</x:v>
      </x:c>
      <x:c r="K56" s="9" t="str">
        <x:f aca="1">'Bottom Navigation'!K4</x:f>
        <x:v>open</x:v>
      </x:c>
      <x:c r="L56" s="9" t="str">
        <x:f aca="1">'Bottom Navigation'!E5</x:f>
        <x:v>complete</x:v>
      </x:c>
      <x:c r="M56" s="9" t="str">
        <x:f aca="0">IF(AND(J56=1,K56="complete",L56="complete"),"complete",IF(H56&gt;0,"blocked","open"))</x:f>
        <x:v>open</x:v>
      </x:c>
    </x:row>
    <x:row r="57" s="4" customFormat="1" ht="24" hidden="0" customHeight="1">
      <x:c r="A57" s="9" t="s">
        <x:v>65</x:v>
      </x:c>
      <x:c r="B57" s="9" t="n">
        <x:f aca="1">'Visually Hidden'!B4</x:f>
        <x:v>19</x:v>
      </x:c>
      <x:c r="C57" s="9" t="n">
        <x:f aca="1">COUNTIF('Visually Hidden'!H9:H200,"not started")</x:f>
        <x:v>1</x:v>
      </x:c>
      <x:c r="D57" s="9" t="n">
        <x:f aca="1">COUNTIF('Visually Hidden'!H9:H200,"partial")</x:f>
        <x:v>0</x:v>
      </x:c>
      <x:c r="E57" s="9" t="n">
        <x:f aca="1">COUNTIF('Visually Hidden'!H9:H200,"implemented")</x:f>
        <x:v>0</x:v>
      </x:c>
      <x:c r="F57" s="9" t="n">
        <x:f aca="1">COUNTIF('Visually Hidden'!H9:H200,"tested")</x:f>
        <x:v>17</x:v>
      </x:c>
      <x:c r="G57" s="9" t="n">
        <x:f aca="1">COUNTIF('Visually Hidden'!H9:H200,"verified")</x:f>
        <x:v>1</x:v>
      </x:c>
      <x:c r="H57" s="9" t="n">
        <x:f aca="1">COUNTIF('Visually Hidden'!H9:H200,"blocked")</x:f>
        <x:v>0</x:v>
      </x:c>
      <x:c r="I57" s="9" t="n">
        <x:f aca="1">COUNTIF('Visually Hidden'!H9:H200,"not applicable")</x:f>
        <x:v>0</x:v>
      </x:c>
      <x:c r="J57" s="36" t="n">
        <x:f aca="1">'Visually Hidden'!H4</x:f>
        <x:v>0.9473684210526315</x:v>
      </x:c>
      <x:c r="K57" s="9" t="str">
        <x:f aca="1">'Visually Hidden'!K4</x:f>
        <x:v>open</x:v>
      </x:c>
      <x:c r="L57" s="9" t="str">
        <x:f aca="1">'Visually Hidden'!E5</x:f>
        <x:v>complete</x:v>
      </x:c>
      <x:c r="M57" s="9" t="str">
        <x:f aca="0">IF(AND(J57=1,K57="complete",L57="complete"),"complete",IF(H57&gt;0,"blocked","open"))</x:f>
        <x:v>open</x:v>
      </x:c>
    </x:row>
    <x:row r="58" s="4" customFormat="1" ht="24" hidden="0" customHeight="1">
      <x:c r="A58" s="9" t="s">
        <x:v>66</x:v>
      </x:c>
      <x:c r="B58" s="9" t="n">
        <x:f aca="1">'Collapsible'!B4</x:f>
        <x:v>25</x:v>
      </x:c>
      <x:c r="C58" s="9" t="n">
        <x:f aca="1">COUNTIF('Collapsible'!H9:H200,"not started")</x:f>
        <x:v>1</x:v>
      </x:c>
      <x:c r="D58" s="9" t="n">
        <x:f aca="1">COUNTIF('Collapsible'!H9:H200,"partial")</x:f>
        <x:v>0</x:v>
      </x:c>
      <x:c r="E58" s="9" t="n">
        <x:f aca="1">COUNTIF('Collapsible'!H9:H200,"implemented")</x:f>
        <x:v>0</x:v>
      </x:c>
      <x:c r="F58" s="9" t="n">
        <x:f aca="1">COUNTIF('Collapsible'!H9:H200,"tested")</x:f>
        <x:v>19</x:v>
      </x:c>
      <x:c r="G58" s="9" t="n">
        <x:f aca="1">COUNTIF('Collapsible'!H9:H200,"verified")</x:f>
        <x:v>5</x:v>
      </x:c>
      <x:c r="H58" s="9" t="n">
        <x:f aca="1">COUNTIF('Collapsible'!H9:H200,"blocked")</x:f>
        <x:v>0</x:v>
      </x:c>
      <x:c r="I58" s="9" t="n">
        <x:f aca="1">COUNTIF('Collapsible'!H9:H200,"not applicable")</x:f>
        <x:v>0</x:v>
      </x:c>
      <x:c r="J58" s="36" t="n">
        <x:f aca="1">'Collapsible'!H4</x:f>
        <x:v>0.96</x:v>
      </x:c>
      <x:c r="K58" s="9" t="str">
        <x:f aca="1">'Collapsible'!K4</x:f>
        <x:v>open</x:v>
      </x:c>
      <x:c r="L58" s="9" t="str">
        <x:f aca="1">'Collapsible'!E5</x:f>
        <x:v>complete</x:v>
      </x:c>
      <x:c r="M58" s="9" t="str">
        <x:f aca="0">IF(AND(J58=1,K58="complete",L58="complete"),"complete",IF(H58&gt;0,"blocked","open"))</x:f>
        <x:v>open</x:v>
      </x:c>
    </x:row>
    <x:row r="59" s="4" customFormat="1" ht="24" hidden="0" customHeight="1">
      <x:c r="A59" s="9" t="s">
        <x:v>67</x:v>
      </x:c>
      <x:c r="B59" s="9" t="n">
        <x:f aca="1">'Accordion'!B4</x:f>
        <x:v>26</x:v>
      </x:c>
      <x:c r="C59" s="9" t="n">
        <x:f aca="1">COUNTIF('Accordion'!H9:H200,"not started")</x:f>
        <x:v>1</x:v>
      </x:c>
      <x:c r="D59" s="9" t="n">
        <x:f aca="1">COUNTIF('Accordion'!H9:H200,"partial")</x:f>
        <x:v>0</x:v>
      </x:c>
      <x:c r="E59" s="9" t="n">
        <x:f aca="1">COUNTIF('Accordion'!H9:H200,"implemented")</x:f>
        <x:v>0</x:v>
      </x:c>
      <x:c r="F59" s="9" t="n">
        <x:f aca="1">COUNTIF('Accordion'!H9:H200,"tested")</x:f>
        <x:v>20</x:v>
      </x:c>
      <x:c r="G59" s="9" t="n">
        <x:f aca="1">COUNTIF('Accordion'!H9:H200,"verified")</x:f>
        <x:v>5</x:v>
      </x:c>
      <x:c r="H59" s="9" t="n">
        <x:f aca="1">COUNTIF('Accordion'!H9:H200,"blocked")</x:f>
        <x:v>0</x:v>
      </x:c>
      <x:c r="I59" s="9" t="n">
        <x:f aca="1">COUNTIF('Accordion'!H9:H200,"not applicable")</x:f>
        <x:v>0</x:v>
      </x:c>
      <x:c r="J59" s="36" t="n">
        <x:f aca="1">'Accordion'!H4</x:f>
        <x:v>0.9615384615384616</x:v>
      </x:c>
      <x:c r="K59" s="9" t="str">
        <x:f aca="1">'Accordion'!K4</x:f>
        <x:v>open</x:v>
      </x:c>
      <x:c r="L59" s="9" t="str">
        <x:f aca="1">'Accordion'!E5</x:f>
        <x:v>complete</x:v>
      </x:c>
      <x:c r="M59" s="9" t="str">
        <x:f aca="0">IF(AND(J59=1,K59="complete",L59="complete"),"complete",IF(H59&gt;0,"blocked","open"))</x:f>
        <x:v>open</x:v>
      </x:c>
    </x:row>
    <x:row r="60" s="4" customFormat="1" ht="24" hidden="0" customHeight="1">
      <x:c r="A60" s="9" t="s">
        <x:v>68</x:v>
      </x:c>
      <x:c r="B60" s="9" t="n">
        <x:f aca="1">'Toast'!B4</x:f>
        <x:v>31</x:v>
      </x:c>
      <x:c r="C60" s="9" t="n">
        <x:f aca="1">COUNTIF('Toast'!H9:H200,"not started")</x:f>
        <x:v>1</x:v>
      </x:c>
      <x:c r="D60" s="9" t="n">
        <x:f aca="1">COUNTIF('Toast'!H9:H200,"partial")</x:f>
        <x:v>0</x:v>
      </x:c>
      <x:c r="E60" s="9" t="n">
        <x:f aca="1">COUNTIF('Toast'!H9:H200,"implemented")</x:f>
        <x:v>0</x:v>
      </x:c>
      <x:c r="F60" s="9" t="n">
        <x:f aca="1">COUNTIF('Toast'!H9:H200,"tested")</x:f>
        <x:v>23</x:v>
      </x:c>
      <x:c r="G60" s="9" t="n">
        <x:f aca="1">COUNTIF('Toast'!H9:H200,"verified")</x:f>
        <x:v>7</x:v>
      </x:c>
      <x:c r="H60" s="9" t="n">
        <x:f aca="1">COUNTIF('Toast'!H9:H200,"blocked")</x:f>
        <x:v>0</x:v>
      </x:c>
      <x:c r="I60" s="9" t="n">
        <x:f aca="1">COUNTIF('Toast'!H9:H200,"not applicable")</x:f>
        <x:v>0</x:v>
      </x:c>
      <x:c r="J60" s="36" t="n">
        <x:f aca="1">'Toast'!H4</x:f>
        <x:v>0.967741935483871</x:v>
      </x:c>
      <x:c r="K60" s="9" t="str">
        <x:f aca="1">'Toast'!K4</x:f>
        <x:v>open</x:v>
      </x:c>
      <x:c r="L60" s="9" t="str">
        <x:f aca="1">'Toast'!E5</x:f>
        <x:v>complete</x:v>
      </x:c>
      <x:c r="M60" s="9" t="str">
        <x:f aca="0">IF(AND(J60=1,K60="complete",L60="complete"),"complete",IF(H60&gt;0,"blocked","open"))</x:f>
        <x:v>open</x:v>
      </x:c>
    </x:row>
    <x:row r="61" s="4" customFormat="1" ht="24" hidden="0" customHeight="1">
      <x:c r="A61" s="9" t="s">
        <x:v>69</x:v>
      </x:c>
      <x:c r="B61" s="9" t="n">
        <x:f aca="1">'Pagination'!B4</x:f>
        <x:v>25</x:v>
      </x:c>
      <x:c r="C61" s="9" t="n">
        <x:f aca="1">COUNTIF('Pagination'!H9:H200,"not started")</x:f>
        <x:v>1</x:v>
      </x:c>
      <x:c r="D61" s="9" t="n">
        <x:f aca="1">COUNTIF('Pagination'!H9:H200,"partial")</x:f>
        <x:v>0</x:v>
      </x:c>
      <x:c r="E61" s="9" t="n">
        <x:f aca="1">COUNTIF('Pagination'!H9:H200,"implemented")</x:f>
        <x:v>3</x:v>
      </x:c>
      <x:c r="F61" s="9" t="n">
        <x:f aca="1">COUNTIF('Pagination'!H9:H200,"tested")</x:f>
        <x:v>21</x:v>
      </x:c>
      <x:c r="G61" s="9" t="n">
        <x:f aca="1">COUNTIF('Pagination'!H9:H200,"verified")</x:f>
        <x:v>0</x:v>
      </x:c>
      <x:c r="H61" s="9" t="n">
        <x:f aca="1">COUNTIF('Pagination'!H9:H200,"blocked")</x:f>
        <x:v>0</x:v>
      </x:c>
      <x:c r="I61" s="9" t="n">
        <x:f aca="1">COUNTIF('Pagination'!H9:H200,"not applicable")</x:f>
        <x:v>0</x:v>
      </x:c>
      <x:c r="J61" s="36" t="n">
        <x:f aca="1">'Pagination'!H4</x:f>
        <x:v>0.84</x:v>
      </x:c>
      <x:c r="K61" s="9" t="str">
        <x:f aca="1">'Pagination'!K4</x:f>
        <x:v>open</x:v>
      </x:c>
      <x:c r="L61" s="9" t="str">
        <x:f aca="1">'Pagination'!E5</x:f>
        <x:v>complete</x:v>
      </x:c>
      <x:c r="M61" s="9" t="str">
        <x:f aca="0">IF(AND(J61=1,K61="complete",L61="complete"),"complete",IF(H61&gt;0,"blocked","open"))</x:f>
        <x:v>open</x:v>
      </x:c>
    </x:row>
    <x:row r="62" s="4" customFormat="1" ht="24" hidden="0" customHeight="1">
      <x:c r="A62" s="9" t="s">
        <x:v>70</x:v>
      </x:c>
      <x:c r="B62" s="9" t="n">
        <x:f aca="1">'Data Grid'!B4</x:f>
        <x:v>26</x:v>
      </x:c>
      <x:c r="C62" s="9" t="n">
        <x:f aca="1">COUNTIF('Data Grid'!H9:H200,"not started")</x:f>
        <x:v>1</x:v>
      </x:c>
      <x:c r="D62" s="9" t="n">
        <x:f aca="1">COUNTIF('Data Grid'!H9:H200,"partial")</x:f>
        <x:v>0</x:v>
      </x:c>
      <x:c r="E62" s="9" t="n">
        <x:f aca="1">COUNTIF('Data Grid'!H9:H200,"implemented")</x:f>
        <x:v>3</x:v>
      </x:c>
      <x:c r="F62" s="9" t="n">
        <x:f aca="1">COUNTIF('Data Grid'!H9:H200,"tested")</x:f>
        <x:v>22</x:v>
      </x:c>
      <x:c r="G62" s="9" t="n">
        <x:f aca="1">COUNTIF('Data Grid'!H9:H200,"verified")</x:f>
        <x:v>0</x:v>
      </x:c>
      <x:c r="H62" s="9" t="n">
        <x:f aca="1">COUNTIF('Data Grid'!H9:H200,"blocked")</x:f>
        <x:v>0</x:v>
      </x:c>
      <x:c r="I62" s="9" t="n">
        <x:f aca="1">COUNTIF('Data Grid'!H9:H200,"not applicable")</x:f>
        <x:v>0</x:v>
      </x:c>
      <x:c r="J62" s="36" t="n">
        <x:f aca="1">'Data Grid'!H4</x:f>
        <x:v>0.8461538461538461</x:v>
      </x:c>
      <x:c r="K62" s="9" t="str">
        <x:f aca="1">'Data Grid'!K4</x:f>
        <x:v>open</x:v>
      </x:c>
      <x:c r="L62" s="9" t="str">
        <x:f aca="1">'Data Grid'!E5</x:f>
        <x:v>complete</x:v>
      </x:c>
      <x:c r="M62" s="9" t="str">
        <x:f aca="0">IF(AND(J62=1,K62="complete",L62="complete"),"complete",IF(H62&gt;0,"blocked","open"))</x:f>
        <x:v>open</x:v>
      </x:c>
    </x:row>
    <x:row r="63" s="4" customFormat="1" ht="24" hidden="0" customHeight="1">
      <x:c r="A63" s="9" t="s">
        <x:v>71</x:v>
      </x:c>
      <x:c r="B63" s="9" t="n">
        <x:f aca="1">'Tree Grid'!B4</x:f>
        <x:v>28</x:v>
      </x:c>
      <x:c r="C63" s="9" t="n">
        <x:f aca="1">COUNTIF('Tree Grid'!H9:H200,"not started")</x:f>
        <x:v>1</x:v>
      </x:c>
      <x:c r="D63" s="9" t="n">
        <x:f aca="1">COUNTIF('Tree Grid'!H9:H200,"partial")</x:f>
        <x:v>0</x:v>
      </x:c>
      <x:c r="E63" s="9" t="n">
        <x:f aca="1">COUNTIF('Tree Grid'!H9:H200,"implemented")</x:f>
        <x:v>3</x:v>
      </x:c>
      <x:c r="F63" s="9" t="n">
        <x:f aca="1">COUNTIF('Tree Grid'!H9:H200,"tested")</x:f>
        <x:v>24</x:v>
      </x:c>
      <x:c r="G63" s="9" t="n">
        <x:f aca="1">COUNTIF('Tree Grid'!H9:H200,"verified")</x:f>
        <x:v>0</x:v>
      </x:c>
      <x:c r="H63" s="9" t="n">
        <x:f aca="1">COUNTIF('Tree Grid'!H9:H200,"blocked")</x:f>
        <x:v>0</x:v>
      </x:c>
      <x:c r="I63" s="9" t="n">
        <x:f aca="1">COUNTIF('Tree Grid'!H9:H200,"not applicable")</x:f>
        <x:v>0</x:v>
      </x:c>
      <x:c r="J63" s="36" t="n">
        <x:f aca="1">'Tree Grid'!H4</x:f>
        <x:v>0.8571428571428571</x:v>
      </x:c>
      <x:c r="K63" s="9" t="str">
        <x:f aca="1">'Tree Grid'!K4</x:f>
        <x:v>open</x:v>
      </x:c>
      <x:c r="L63" s="9" t="str">
        <x:f aca="1">'Tree Grid'!E5</x:f>
        <x:v>complete</x:v>
      </x:c>
      <x:c r="M63" s="9" t="str">
        <x:f aca="0">IF(AND(J63=1,K63="complete",L63="complete"),"complete",IF(H63&gt;0,"blocked","open"))</x:f>
        <x:v>open</x:v>
      </x:c>
    </x:row>
    <x:row r="64" s="4" customFormat="1" ht="24" hidden="0" customHeight="1">
      <x:c r="A64" s="9" t="s">
        <x:v>72</x:v>
      </x:c>
      <x:c r="B64" s="9" t="n">
        <x:f aca="1">'Tree'!B4</x:f>
        <x:v>26</x:v>
      </x:c>
      <x:c r="C64" s="9" t="n">
        <x:f aca="1">COUNTIF('Tree'!H9:H200,"not started")</x:f>
        <x:v>1</x:v>
      </x:c>
      <x:c r="D64" s="9" t="n">
        <x:f aca="1">COUNTIF('Tree'!H9:H200,"partial")</x:f>
        <x:v>0</x:v>
      </x:c>
      <x:c r="E64" s="9" t="n">
        <x:f aca="1">COUNTIF('Tree'!H9:H200,"implemented")</x:f>
        <x:v>3</x:v>
      </x:c>
      <x:c r="F64" s="9" t="n">
        <x:f aca="1">COUNTIF('Tree'!H9:H200,"tested")</x:f>
        <x:v>22</x:v>
      </x:c>
      <x:c r="G64" s="9" t="n">
        <x:f aca="1">COUNTIF('Tree'!H9:H200,"verified")</x:f>
        <x:v>0</x:v>
      </x:c>
      <x:c r="H64" s="9" t="n">
        <x:f aca="1">COUNTIF('Tree'!H9:H200,"blocked")</x:f>
        <x:v>0</x:v>
      </x:c>
      <x:c r="I64" s="9" t="n">
        <x:f aca="1">COUNTIF('Tree'!H9:H200,"not applicable")</x:f>
        <x:v>0</x:v>
      </x:c>
      <x:c r="J64" s="36" t="n">
        <x:f aca="1">'Tree'!H4</x:f>
        <x:v>0.8461538461538461</x:v>
      </x:c>
      <x:c r="K64" s="9" t="str">
        <x:f aca="1">'Tree'!K4</x:f>
        <x:v>open</x:v>
      </x:c>
      <x:c r="L64" s="9" t="str">
        <x:f aca="1">'Tree'!E5</x:f>
        <x:v>complete</x:v>
      </x:c>
      <x:c r="M64" s="9" t="str">
        <x:f aca="0">IF(AND(J64=1,K64="complete",L64="complete"),"complete",IF(H64&gt;0,"blocked","open"))</x:f>
        <x:v>open</x:v>
      </x:c>
    </x:row>
    <x:row r="65" s="4" customFormat="1" ht="24" hidden="0" customHeight="1">
      <x:c r="A65" s="9" t="s">
        <x:v>73</x:v>
      </x:c>
      <x:c r="B65" s="9" t="n">
        <x:f aca="1">'Feed'!B4</x:f>
        <x:v>31</x:v>
      </x:c>
      <x:c r="C65" s="9" t="n">
        <x:f aca="1">COUNTIF('Feed'!H9:H200,"not started")</x:f>
        <x:v>1</x:v>
      </x:c>
      <x:c r="D65" s="9" t="n">
        <x:f aca="1">COUNTIF('Feed'!H9:H200,"partial")</x:f>
        <x:v>0</x:v>
      </x:c>
      <x:c r="E65" s="9" t="n">
        <x:f aca="1">COUNTIF('Feed'!H9:H200,"implemented")</x:f>
        <x:v>0</x:v>
      </x:c>
      <x:c r="F65" s="9" t="n">
        <x:f aca="1">COUNTIF('Feed'!H9:H200,"tested")</x:f>
        <x:v>29</x:v>
      </x:c>
      <x:c r="G65" s="9" t="n">
        <x:f aca="1">COUNTIF('Feed'!H9:H200,"verified")</x:f>
        <x:v>1</x:v>
      </x:c>
      <x:c r="H65" s="9" t="n">
        <x:f aca="1">COUNTIF('Feed'!H9:H200,"blocked")</x:f>
        <x:v>0</x:v>
      </x:c>
      <x:c r="I65" s="9" t="n">
        <x:f aca="1">COUNTIF('Feed'!H9:H200,"not applicable")</x:f>
        <x:v>0</x:v>
      </x:c>
      <x:c r="J65" s="36" t="n">
        <x:f aca="1">'Feed'!H4</x:f>
        <x:v>0.967741935483871</x:v>
      </x:c>
      <x:c r="K65" s="9" t="str">
        <x:f aca="1">'Feed'!K4</x:f>
        <x:v>complete</x:v>
      </x:c>
      <x:c r="L65" s="9" t="str">
        <x:f aca="1">'Feed'!E5</x:f>
        <x:v>complete</x:v>
      </x:c>
      <x:c r="M65" s="9" t="str">
        <x:f aca="0">IF(AND(J65=1,K65="complete",L65="complete"),"complete",IF(H65&gt;0,"blocked","open"))</x:f>
        <x:v>open</x:v>
      </x:c>
    </x:row>
    <x:row r="66" s="4" customFormat="1" ht="24" hidden="0" customHeight="1">
      <x:c r="A66" s="9" t="s">
        <x:v>74</x:v>
      </x:c>
      <x:c r="B66" s="9" t="n">
        <x:f aca="1">'Aspect Ratio'!B4</x:f>
        <x:v>26</x:v>
      </x:c>
      <x:c r="C66" s="9" t="n">
        <x:f aca="1">COUNTIF('Aspect Ratio'!H9:H200,"not started")</x:f>
        <x:v>1</x:v>
      </x:c>
      <x:c r="D66" s="9" t="n">
        <x:f aca="1">COUNTIF('Aspect Ratio'!H9:H200,"partial")</x:f>
        <x:v>0</x:v>
      </x:c>
      <x:c r="E66" s="9" t="n">
        <x:f aca="1">COUNTIF('Aspect Ratio'!H9:H200,"implemented")</x:f>
        <x:v>4</x:v>
      </x:c>
      <x:c r="F66" s="9" t="n">
        <x:f aca="1">COUNTIF('Aspect Ratio'!H9:H200,"tested")</x:f>
        <x:v>21</x:v>
      </x:c>
      <x:c r="G66" s="9" t="n">
        <x:f aca="1">COUNTIF('Aspect Ratio'!H9:H200,"verified")</x:f>
        <x:v>0</x:v>
      </x:c>
      <x:c r="H66" s="9" t="n">
        <x:f aca="1">COUNTIF('Aspect Ratio'!H9:H200,"blocked")</x:f>
        <x:v>0</x:v>
      </x:c>
      <x:c r="I66" s="9" t="n">
        <x:f aca="1">COUNTIF('Aspect Ratio'!H9:H200,"not applicable")</x:f>
        <x:v>0</x:v>
      </x:c>
      <x:c r="J66" s="36" t="n">
        <x:f aca="1">'Aspect Ratio'!H4</x:f>
        <x:v>0.8076923076923077</x:v>
      </x:c>
      <x:c r="K66" s="9" t="str">
        <x:f aca="1">'Aspect Ratio'!K4</x:f>
        <x:v>open</x:v>
      </x:c>
      <x:c r="L66" s="9" t="str">
        <x:f aca="1">'Aspect Ratio'!E5</x:f>
        <x:v>complete</x:v>
      </x:c>
      <x:c r="M66" s="9" t="str">
        <x:f aca="0">IF(AND(J66=1,K66="complete",L66="complete"),"complete",IF(H66&gt;0,"blocked","open"))</x:f>
        <x:v>open</x:v>
      </x:c>
    </x:row>
    <x:row r="67" s="4" customFormat="1" ht="24" hidden="0" customHeight="1">
      <x:c r="A67" s="9" t="s">
        <x:v>75</x:v>
      </x:c>
      <x:c r="B67" s="9" t="n">
        <x:f aca="1">'Toolbar'!B4</x:f>
        <x:v>30</x:v>
      </x:c>
      <x:c r="C67" s="9" t="n">
        <x:f aca="1">COUNTIF('Toolbar'!H9:H200,"not started")</x:f>
        <x:v>1</x:v>
      </x:c>
      <x:c r="D67" s="9" t="n">
        <x:f aca="1">COUNTIF('Toolbar'!H9:H200,"partial")</x:f>
        <x:v>0</x:v>
      </x:c>
      <x:c r="E67" s="9" t="n">
        <x:f aca="1">COUNTIF('Toolbar'!H9:H200,"implemented")</x:f>
        <x:v>6</x:v>
      </x:c>
      <x:c r="F67" s="9" t="n">
        <x:f aca="1">COUNTIF('Toolbar'!H9:H200,"tested")</x:f>
        <x:v>23</x:v>
      </x:c>
      <x:c r="G67" s="9" t="n">
        <x:f aca="1">COUNTIF('Toolbar'!H9:H200,"verified")</x:f>
        <x:v>0</x:v>
      </x:c>
      <x:c r="H67" s="9" t="n">
        <x:f aca="1">COUNTIF('Toolbar'!H9:H200,"blocked")</x:f>
        <x:v>0</x:v>
      </x:c>
      <x:c r="I67" s="9" t="n">
        <x:f aca="1">COUNTIF('Toolbar'!H9:H200,"not applicable")</x:f>
        <x:v>0</x:v>
      </x:c>
      <x:c r="J67" s="36" t="n">
        <x:f aca="1">'Toolbar'!H4</x:f>
        <x:v>0.7666666666666667</x:v>
      </x:c>
      <x:c r="K67" s="9" t="str">
        <x:f aca="1">'Toolbar'!K4</x:f>
        <x:v>open</x:v>
      </x:c>
      <x:c r="L67" s="9" t="str">
        <x:f aca="1">'Toolbar'!E5</x:f>
        <x:v>complete</x:v>
      </x:c>
      <x:c r="M67" s="9" t="str">
        <x:f aca="0">IF(AND(J67=1,K67="complete",L67="complete"),"complete",IF(H67&gt;0,"blocked","open"))</x:f>
        <x:v>open</x:v>
      </x:c>
    </x:row>
    <x:row r="68" s="4" customFormat="1" ht="24" hidden="0" customHeight="1">
      <x:c r="A68" s="9" t="s">
        <x:v>76</x:v>
      </x:c>
      <x:c r="B68" s="9" t="n">
        <x:f aca="1">'Chip'!B4</x:f>
        <x:v>31</x:v>
      </x:c>
      <x:c r="C68" s="9" t="n">
        <x:f aca="1">COUNTIF('Chip'!H9:H200,"not started")</x:f>
        <x:v>1</x:v>
      </x:c>
      <x:c r="D68" s="9" t="n">
        <x:f aca="1">COUNTIF('Chip'!H9:H200,"partial")</x:f>
        <x:v>0</x:v>
      </x:c>
      <x:c r="E68" s="9" t="n">
        <x:f aca="1">COUNTIF('Chip'!H9:H200,"implemented")</x:f>
        <x:v>10</x:v>
      </x:c>
      <x:c r="F68" s="9" t="n">
        <x:f aca="1">COUNTIF('Chip'!H9:H200,"tested")</x:f>
        <x:v>20</x:v>
      </x:c>
      <x:c r="G68" s="9" t="n">
        <x:f aca="1">COUNTIF('Chip'!H9:H200,"verified")</x:f>
        <x:v>0</x:v>
      </x:c>
      <x:c r="H68" s="9" t="n">
        <x:f aca="1">COUNTIF('Chip'!H9:H200,"blocked")</x:f>
        <x:v>0</x:v>
      </x:c>
      <x:c r="I68" s="9" t="n">
        <x:f aca="1">COUNTIF('Chip'!H9:H200,"not applicable")</x:f>
        <x:v>0</x:v>
      </x:c>
      <x:c r="J68" s="36" t="n">
        <x:f aca="1">'Chip'!H4</x:f>
        <x:v>0.6451612903225806</x:v>
      </x:c>
      <x:c r="K68" s="9" t="str">
        <x:f aca="1">'Chip'!K4</x:f>
        <x:v>open</x:v>
      </x:c>
      <x:c r="L68" s="9" t="str">
        <x:f aca="1">'Chip'!E5</x:f>
        <x:v>complete</x:v>
      </x:c>
      <x:c r="M68" s="9" t="str">
        <x:f aca="0">IF(AND(J68=1,K68="complete",L68="complete"),"complete",IF(H68&gt;0,"blocked","open"))</x:f>
        <x:v>open</x:v>
      </x:c>
    </x:row>
    <x:row r="69" s="4" customFormat="1" ht="24" hidden="0" customHeight="1">
      <x:c r="A69" s="9" t="s">
        <x:v>77</x:v>
      </x:c>
      <x:c r="B69" s="9" t="n">
        <x:f aca="1">'Combobox'!B4</x:f>
        <x:v>22</x:v>
      </x:c>
      <x:c r="C69" s="9" t="n">
        <x:f aca="1">COUNTIF('Combobox'!H9:H200,"not started")</x:f>
        <x:v>0</x:v>
      </x:c>
      <x:c r="D69" s="9" t="n">
        <x:f aca="1">COUNTIF('Combobox'!H9:H200,"partial")</x:f>
        <x:v>0</x:v>
      </x:c>
      <x:c r="E69" s="9" t="n">
        <x:f aca="1">COUNTIF('Combobox'!H9:H200,"implemented")</x:f>
        <x:v>8</x:v>
      </x:c>
      <x:c r="F69" s="9" t="n">
        <x:f aca="1">COUNTIF('Combobox'!H9:H200,"tested")</x:f>
        <x:v>14</x:v>
      </x:c>
      <x:c r="G69" s="9" t="n">
        <x:f aca="1">COUNTIF('Combobox'!H9:H200,"verified")</x:f>
        <x:v>0</x:v>
      </x:c>
      <x:c r="H69" s="9" t="n">
        <x:f aca="1">COUNTIF('Combobox'!H9:H200,"blocked")</x:f>
        <x:v>0</x:v>
      </x:c>
      <x:c r="I69" s="9" t="n">
        <x:f aca="1">COUNTIF('Combobox'!H9:H200,"not applicable")</x:f>
        <x:v>0</x:v>
      </x:c>
      <x:c r="J69" s="36" t="n">
        <x:f aca="1">'Combobox'!H4</x:f>
        <x:v>0.6363636363636364</x:v>
      </x:c>
      <x:c r="K69" s="9" t="str">
        <x:f aca="1">'Combobox'!K4</x:f>
        <x:v>complete</x:v>
      </x:c>
      <x:c r="L69" s="9" t="str">
        <x:f aca="1">'Combobox'!E5</x:f>
        <x:v>complete</x:v>
      </x:c>
      <x:c r="M69" s="9" t="str">
        <x:f aca="0">IF(AND(J69=1,K69="complete",L69="complete"),"complete",IF(H69&gt;0,"blocked","open"))</x:f>
        <x:v>open</x:v>
      </x:c>
    </x:row>
    <x:row r="70" s="4" customFormat="1" ht="24" hidden="0" customHeight="1">
      <x:c r="A70" s="9" t="s">
        <x:v>78</x:v>
      </x:c>
      <x:c r="B70" s="9" t="n">
        <x:f aca="1">'Number Input'!B4</x:f>
        <x:v>19</x:v>
      </x:c>
      <x:c r="C70" s="9" t="n">
        <x:f aca="1">COUNTIF('Number Input'!H9:H200,"not started")</x:f>
        <x:v>0</x:v>
      </x:c>
      <x:c r="D70" s="9" t="n">
        <x:f aca="1">COUNTIF('Number Input'!H9:H200,"partial")</x:f>
        <x:v>0</x:v>
      </x:c>
      <x:c r="E70" s="9" t="n">
        <x:f aca="1">COUNTIF('Number Input'!H9:H200,"implemented")</x:f>
        <x:v>3</x:v>
      </x:c>
      <x:c r="F70" s="9" t="n">
        <x:f aca="1">COUNTIF('Number Input'!H9:H200,"tested")</x:f>
        <x:v>12</x:v>
      </x:c>
      <x:c r="G70" s="9" t="n">
        <x:f aca="1">COUNTIF('Number Input'!H9:H200,"verified")</x:f>
        <x:v>4</x:v>
      </x:c>
      <x:c r="H70" s="9" t="n">
        <x:f aca="1">COUNTIF('Number Input'!H9:H200,"blocked")</x:f>
        <x:v>0</x:v>
      </x:c>
      <x:c r="I70" s="9" t="n">
        <x:f aca="1">COUNTIF('Number Input'!H9:H200,"not applicable")</x:f>
        <x:v>0</x:v>
      </x:c>
      <x:c r="J70" s="36" t="n">
        <x:f aca="1">'Number Input'!H4</x:f>
        <x:v>0.8421052631578947</x:v>
      </x:c>
      <x:c r="K70" s="9" t="str">
        <x:f aca="1">'Number Input'!K4</x:f>
        <x:v>complete</x:v>
      </x:c>
      <x:c r="L70" s="9" t="str">
        <x:f aca="1">'Number Input'!E5</x:f>
        <x:v>complete</x:v>
      </x:c>
      <x:c r="M70" s="9" t="str">
        <x:f aca="0">IF(AND(J70=1,K70="complete",L70="complete"),"complete",IF(H70&gt;0,"blocked","open"))</x:f>
        <x:v>open</x:v>
      </x:c>
    </x:row>
    <x:row r="71" s="4" customFormat="1" ht="24" hidden="0" customHeight="1">
      <x:c r="A71" s="9" t="s">
        <x:v>79</x:v>
      </x:c>
      <x:c r="B71" s="9" t="n">
        <x:f aca="1">'OTP Field'!B4</x:f>
        <x:v>20</x:v>
      </x:c>
      <x:c r="C71" s="9" t="n">
        <x:f aca="1">COUNTIF('OTP Field'!H9:H200,"not started")</x:f>
        <x:v>0</x:v>
      </x:c>
      <x:c r="D71" s="9" t="n">
        <x:f aca="1">COUNTIF('OTP Field'!H9:H200,"partial")</x:f>
        <x:v>0</x:v>
      </x:c>
      <x:c r="E71" s="9" t="n">
        <x:f aca="1">COUNTIF('OTP Field'!H9:H200,"implemented")</x:f>
        <x:v>3</x:v>
      </x:c>
      <x:c r="F71" s="9" t="n">
        <x:f aca="1">COUNTIF('OTP Field'!H9:H200,"tested")</x:f>
        <x:v>13</x:v>
      </x:c>
      <x:c r="G71" s="9" t="n">
        <x:f aca="1">COUNTIF('OTP Field'!H9:H200,"verified")</x:f>
        <x:v>4</x:v>
      </x:c>
      <x:c r="H71" s="9" t="n">
        <x:f aca="1">COUNTIF('OTP Field'!H9:H200,"blocked")</x:f>
        <x:v>0</x:v>
      </x:c>
      <x:c r="I71" s="9" t="n">
        <x:f aca="1">COUNTIF('OTP Field'!H9:H200,"not applicable")</x:f>
        <x:v>0</x:v>
      </x:c>
      <x:c r="J71" s="36" t="n">
        <x:f aca="1">'OTP Field'!H4</x:f>
        <x:v>0.85</x:v>
      </x:c>
      <x:c r="K71" s="9" t="str">
        <x:f aca="1">'OTP Field'!K4</x:f>
        <x:v>complete</x:v>
      </x:c>
      <x:c r="L71" s="9" t="str">
        <x:f aca="1">'OTP Field'!E5</x:f>
        <x:v>complete</x:v>
      </x:c>
      <x:c r="M71" s="9" t="str">
        <x:f aca="0">IF(AND(J71=1,K71="complete",L71="complete"),"complete",IF(H71&gt;0,"blocked","open"))</x:f>
        <x:v>open</x:v>
      </x:c>
    </x:row>
    <x:row r="72" s="4" customFormat="1" ht="24" hidden="0" customHeight="1">
      <x:c r="A72" s="9" t="s">
        <x:v>80</x:v>
      </x:c>
      <x:c r="B72" s="9" t="n">
        <x:f aca="1">'Password Toggle Field'!B4</x:f>
        <x:v>20</x:v>
      </x:c>
      <x:c r="C72" s="9" t="n">
        <x:f aca="1">COUNTIF('Password Toggle Field'!H9:H200,"not started")</x:f>
        <x:v>0</x:v>
      </x:c>
      <x:c r="D72" s="9" t="n">
        <x:f aca="1">COUNTIF('Password Toggle Field'!H9:H200,"partial")</x:f>
        <x:v>0</x:v>
      </x:c>
      <x:c r="E72" s="9" t="n">
        <x:f aca="1">COUNTIF('Password Toggle Field'!H9:H200,"implemented")</x:f>
        <x:v>3</x:v>
      </x:c>
      <x:c r="F72" s="9" t="n">
        <x:f aca="1">COUNTIF('Password Toggle Field'!H9:H200,"tested")</x:f>
        <x:v>13</x:v>
      </x:c>
      <x:c r="G72" s="9" t="n">
        <x:f aca="1">COUNTIF('Password Toggle Field'!H9:H200,"verified")</x:f>
        <x:v>4</x:v>
      </x:c>
      <x:c r="H72" s="9" t="n">
        <x:f aca="1">COUNTIF('Password Toggle Field'!H9:H200,"blocked")</x:f>
        <x:v>0</x:v>
      </x:c>
      <x:c r="I72" s="9" t="n">
        <x:f aca="1">COUNTIF('Password Toggle Field'!H9:H200,"not applicable")</x:f>
        <x:v>0</x:v>
      </x:c>
      <x:c r="J72" s="36" t="n">
        <x:f aca="1">'Password Toggle Field'!H4</x:f>
        <x:v>0.85</x:v>
      </x:c>
      <x:c r="K72" s="9" t="str">
        <x:f aca="1">'Password Toggle Field'!K4</x:f>
        <x:v>complete</x:v>
      </x:c>
      <x:c r="L72" s="9" t="str">
        <x:f aca="1">'Password Toggle Field'!E5</x:f>
        <x:v>complete</x:v>
      </x:c>
      <x:c r="M72" s="9" t="str">
        <x:f aca="0">IF(AND(J72=1,K72="complete",L72="complete"),"complete",IF(H72&gt;0,"blocked","open"))</x:f>
        <x:v>open</x:v>
      </x:c>
    </x:row>
    <x:row r="73" s="4" customFormat="1" ht="24" hidden="0" customHeight="1">
      <x:c r="A73" s="9" t="s">
        <x:v>81</x:v>
      </x:c>
      <x:c r="B73" s="9" t="n">
        <x:f aca="1">'Slider'!B4</x:f>
        <x:v>16</x:v>
      </x:c>
      <x:c r="C73" s="9" t="n">
        <x:f aca="1">COUNTIF('Slider'!H9:H200,"not started")</x:f>
        <x:v>0</x:v>
      </x:c>
      <x:c r="D73" s="9" t="n">
        <x:f aca="1">COUNTIF('Slider'!H9:H200,"partial")</x:f>
        <x:v>0</x:v>
      </x:c>
      <x:c r="E73" s="9" t="n">
        <x:f aca="1">COUNTIF('Slider'!H9:H200,"implemented")</x:f>
        <x:v>1</x:v>
      </x:c>
      <x:c r="F73" s="9" t="n">
        <x:f aca="1">COUNTIF('Slider'!H9:H200,"tested")</x:f>
        <x:v>13</x:v>
      </x:c>
      <x:c r="G73" s="9" t="n">
        <x:f aca="1">COUNTIF('Slider'!H9:H200,"verified")</x:f>
        <x:v>2</x:v>
      </x:c>
      <x:c r="H73" s="9" t="n">
        <x:f aca="1">COUNTIF('Slider'!H9:H200,"blocked")</x:f>
        <x:v>0</x:v>
      </x:c>
      <x:c r="I73" s="9" t="n">
        <x:f aca="1">COUNTIF('Slider'!H9:H200,"not applicable")</x:f>
        <x:v>0</x:v>
      </x:c>
      <x:c r="J73" s="36" t="n">
        <x:f aca="1">'Slider'!H4</x:f>
        <x:v>0.9375</x:v>
      </x:c>
      <x:c r="K73" s="9" t="str">
        <x:f aca="1">'Slider'!K4</x:f>
        <x:v>complete</x:v>
      </x:c>
      <x:c r="L73" s="9" t="str">
        <x:f aca="1">'Slider'!E5</x:f>
        <x:v>complete</x:v>
      </x:c>
      <x:c r="M73" s="9" t="str">
        <x:f aca="0">IF(AND(J73=1,K73="complete",L73="complete"),"complete",IF(H73&gt;0,"blocked","open"))</x:f>
        <x:v>open</x:v>
      </x:c>
    </x:row>
    <x:row r="74" s="4" customFormat="1" ht="24" hidden="0" customHeight="1">
      <x:c r="A74" s="9" t="s">
        <x:v>82</x:v>
      </x:c>
      <x:c r="B74" s="9" t="n">
        <x:f aca="1">'Rating'!B4</x:f>
        <x:v>17</x:v>
      </x:c>
      <x:c r="C74" s="9" t="n">
        <x:f aca="1">COUNTIF('Rating'!H9:H200,"not started")</x:f>
        <x:v>0</x:v>
      </x:c>
      <x:c r="D74" s="9" t="n">
        <x:f aca="1">COUNTIF('Rating'!H9:H200,"partial")</x:f>
        <x:v>0</x:v>
      </x:c>
      <x:c r="E74" s="9" t="n">
        <x:f aca="1">COUNTIF('Rating'!H9:H200,"implemented")</x:f>
        <x:v>1</x:v>
      </x:c>
      <x:c r="F74" s="9" t="n">
        <x:f aca="1">COUNTIF('Rating'!H9:H200,"tested")</x:f>
        <x:v>14</x:v>
      </x:c>
      <x:c r="G74" s="9" t="n">
        <x:f aca="1">COUNTIF('Rating'!H9:H200,"verified")</x:f>
        <x:v>2</x:v>
      </x:c>
      <x:c r="H74" s="9" t="n">
        <x:f aca="1">COUNTIF('Rating'!H9:H200,"blocked")</x:f>
        <x:v>0</x:v>
      </x:c>
      <x:c r="I74" s="9" t="n">
        <x:f aca="1">COUNTIF('Rating'!H9:H200,"not applicable")</x:f>
        <x:v>0</x:v>
      </x:c>
      <x:c r="J74" s="36" t="n">
        <x:f aca="1">'Rating'!H4</x:f>
        <x:v>0.9411764705882353</x:v>
      </x:c>
      <x:c r="K74" s="9" t="str">
        <x:f aca="1">'Rating'!K4</x:f>
        <x:v>complete</x:v>
      </x:c>
      <x:c r="L74" s="9" t="str">
        <x:f aca="1">'Rating'!E5</x:f>
        <x:v>complete</x:v>
      </x:c>
      <x:c r="M74" s="9" t="str">
        <x:f aca="0">IF(AND(J74=1,K74="complete",L74="complete"),"complete",IF(H74&gt;0,"blocked","open"))</x:f>
        <x:v>open</x:v>
      </x:c>
    </x:row>
    <x:row r="75" s="4" customFormat="1" ht="24" hidden="0" customHeight="1">
      <x:c r="A75" s="9" t="s">
        <x:v>83</x:v>
      </x:c>
      <x:c r="B75" s="9" t="n">
        <x:f aca="1">'File Upload'!B4</x:f>
        <x:v>28</x:v>
      </x:c>
      <x:c r="C75" s="9" t="n">
        <x:f aca="1">COUNTIF('File Upload'!H9:H200,"not started")</x:f>
        <x:v>1</x:v>
      </x:c>
      <x:c r="D75" s="9" t="n">
        <x:f aca="1">COUNTIF('File Upload'!H9:H200,"partial")</x:f>
        <x:v>0</x:v>
      </x:c>
      <x:c r="E75" s="9" t="n">
        <x:f aca="1">COUNTIF('File Upload'!H9:H200,"implemented")</x:f>
        <x:v>0</x:v>
      </x:c>
      <x:c r="F75" s="9" t="n">
        <x:f aca="1">COUNTIF('File Upload'!H9:H200,"tested")</x:f>
        <x:v>27</x:v>
      </x:c>
      <x:c r="G75" s="9" t="n">
        <x:f aca="1">COUNTIF('File Upload'!H9:H200,"verified")</x:f>
        <x:v>0</x:v>
      </x:c>
      <x:c r="H75" s="9" t="n">
        <x:f aca="1">COUNTIF('File Upload'!H9:H200,"blocked")</x:f>
        <x:v>0</x:v>
      </x:c>
      <x:c r="I75" s="9" t="n">
        <x:f aca="1">COUNTIF('File Upload'!H9:H200,"not applicable")</x:f>
        <x:v>0</x:v>
      </x:c>
      <x:c r="J75" s="36" t="n">
        <x:f aca="1">'File Upload'!H4</x:f>
        <x:v>0.9642857142857143</x:v>
      </x:c>
      <x:c r="K75" s="9" t="str">
        <x:f aca="1">'File Upload'!K4</x:f>
        <x:v>complete</x:v>
      </x:c>
      <x:c r="L75" s="9" t="str">
        <x:f aca="1">'File Upload'!E5</x:f>
        <x:v>complete</x:v>
      </x:c>
      <x:c r="M75" s="9" t="str">
        <x:f aca="0">IF(AND(J75=1,K75="complete",L75="complete"),"complete",IF(H75&gt;0,"blocked","open"))</x:f>
        <x:v>open</x:v>
      </x:c>
    </x:row>
    <x:row r="76" s="4" customFormat="1" ht="24" hidden="0" customHeight="1">
      <x:c r="A76" s="9" t="s">
        <x:v>84</x:v>
      </x:c>
      <x:c r="B76" s="9" t="n">
        <x:f aca="1">'Skip Link'!B4</x:f>
        <x:v>20</x:v>
      </x:c>
      <x:c r="C76" s="9" t="n">
        <x:f aca="1">COUNTIF('Skip Link'!H9:H200,"not started")</x:f>
        <x:v>1</x:v>
      </x:c>
      <x:c r="D76" s="9" t="n">
        <x:f aca="1">COUNTIF('Skip Link'!H9:H200,"partial")</x:f>
        <x:v>0</x:v>
      </x:c>
      <x:c r="E76" s="9" t="n">
        <x:f aca="1">COUNTIF('Skip Link'!H9:H200,"implemented")</x:f>
        <x:v>0</x:v>
      </x:c>
      <x:c r="F76" s="9" t="n">
        <x:f aca="1">COUNTIF('Skip Link'!H9:H200,"tested")</x:f>
        <x:v>18</x:v>
      </x:c>
      <x:c r="G76" s="9" t="n">
        <x:f aca="1">COUNTIF('Skip Link'!H9:H200,"verified")</x:f>
        <x:v>1</x:v>
      </x:c>
      <x:c r="H76" s="9" t="n">
        <x:f aca="1">COUNTIF('Skip Link'!H9:H200,"blocked")</x:f>
        <x:v>0</x:v>
      </x:c>
      <x:c r="I76" s="9" t="n">
        <x:f aca="1">COUNTIF('Skip Link'!H9:H200,"not applicable")</x:f>
        <x:v>0</x:v>
      </x:c>
      <x:c r="J76" s="36" t="n">
        <x:f aca="1">'Skip Link'!H4</x:f>
        <x:v>0.95</x:v>
      </x:c>
      <x:c r="K76" s="9" t="str">
        <x:f aca="1">'Skip Link'!K4</x:f>
        <x:v>open</x:v>
      </x:c>
      <x:c r="L76" s="9" t="str">
        <x:f aca="1">'Skip Link'!E5</x:f>
        <x:v>complete</x:v>
      </x:c>
      <x:c r="M76" s="9" t="str">
        <x:f aca="0">IF(AND(J76=1,K76="complete",L76="complete"),"complete",IF(H76&gt;0,"blocked","open"))</x:f>
        <x:v>open</x:v>
      </x:c>
    </x:row>
    <x:row r="77" s="4" customFormat="1" ht="24" hidden="0" customHeight="1">
      <x:c r="A77" s="9" t="s">
        <x:v>85</x:v>
      </x:c>
      <x:c r="B77" s="9" t="n">
        <x:f aca="1">'Show'!B4</x:f>
        <x:v>22</x:v>
      </x:c>
      <x:c r="C77" s="9" t="n">
        <x:f aca="1">COUNTIF('Show'!H9:H200,"not started")</x:f>
        <x:v>1</x:v>
      </x:c>
      <x:c r="D77" s="9" t="n">
        <x:f aca="1">COUNTIF('Show'!H9:H200,"partial")</x:f>
        <x:v>0</x:v>
      </x:c>
      <x:c r="E77" s="9" t="n">
        <x:f aca="1">COUNTIF('Show'!H9:H200,"implemented")</x:f>
        <x:v>0</x:v>
      </x:c>
      <x:c r="F77" s="9" t="n">
        <x:f aca="1">COUNTIF('Show'!H9:H200,"tested")</x:f>
        <x:v>20</x:v>
      </x:c>
      <x:c r="G77" s="9" t="n">
        <x:f aca="1">COUNTIF('Show'!H9:H200,"verified")</x:f>
        <x:v>1</x:v>
      </x:c>
      <x:c r="H77" s="9" t="n">
        <x:f aca="1">COUNTIF('Show'!H9:H200,"blocked")</x:f>
        <x:v>0</x:v>
      </x:c>
      <x:c r="I77" s="9" t="n">
        <x:f aca="1">COUNTIF('Show'!H9:H200,"not applicable")</x:f>
        <x:v>0</x:v>
      </x:c>
      <x:c r="J77" s="36" t="n">
        <x:f aca="1">'Show'!H4</x:f>
        <x:v>0.9545454545454546</x:v>
      </x:c>
      <x:c r="K77" s="9" t="str">
        <x:f aca="1">'Show'!K4</x:f>
        <x:v>complete</x:v>
      </x:c>
      <x:c r="L77" s="9" t="str">
        <x:f aca="1">'Show'!E5</x:f>
        <x:v>complete</x:v>
      </x:c>
      <x:c r="M77" s="9" t="str">
        <x:f aca="0">IF(AND(J77=1,K77="complete",L77="complete"),"complete",IF(H77&gt;0,"blocked","open"))</x:f>
        <x:v>open</x:v>
      </x:c>
    </x:row>
    <x:row r="78" s="4" customFormat="1" ht="24" hidden="0" customHeight="1">
      <x:c r="A78" s="9" t="s">
        <x:v>86</x:v>
      </x:c>
      <x:c r="B78" s="9" t="n">
        <x:f aca="1">'Hide'!B4</x:f>
        <x:v>22</x:v>
      </x:c>
      <x:c r="C78" s="9" t="n">
        <x:f aca="1">COUNTIF('Hide'!H9:H200,"not started")</x:f>
        <x:v>1</x:v>
      </x:c>
      <x:c r="D78" s="9" t="n">
        <x:f aca="1">COUNTIF('Hide'!H9:H200,"partial")</x:f>
        <x:v>0</x:v>
      </x:c>
      <x:c r="E78" s="9" t="n">
        <x:f aca="1">COUNTIF('Hide'!H9:H200,"implemented")</x:f>
        <x:v>0</x:v>
      </x:c>
      <x:c r="F78" s="9" t="n">
        <x:f aca="1">COUNTIF('Hide'!H9:H200,"tested")</x:f>
        <x:v>20</x:v>
      </x:c>
      <x:c r="G78" s="9" t="n">
        <x:f aca="1">COUNTIF('Hide'!H9:H200,"verified")</x:f>
        <x:v>1</x:v>
      </x:c>
      <x:c r="H78" s="9" t="n">
        <x:f aca="1">COUNTIF('Hide'!H9:H200,"blocked")</x:f>
        <x:v>0</x:v>
      </x:c>
      <x:c r="I78" s="9" t="n">
        <x:f aca="1">COUNTIF('Hide'!H9:H200,"not applicable")</x:f>
        <x:v>0</x:v>
      </x:c>
      <x:c r="J78" s="36" t="n">
        <x:f aca="1">'Hide'!H4</x:f>
        <x:v>0.9545454545454546</x:v>
      </x:c>
      <x:c r="K78" s="9" t="str">
        <x:f aca="1">'Hide'!K4</x:f>
        <x:v>complete</x:v>
      </x:c>
      <x:c r="L78" s="9" t="str">
        <x:f aca="1">'Hide'!E5</x:f>
        <x:v>complete</x:v>
      </x:c>
      <x:c r="M78" s="9" t="str">
        <x:f aca="0">IF(AND(J78=1,K78="complete",L78="complete"),"complete",IF(H78&gt;0,"blocked","open"))</x:f>
        <x:v>open</x:v>
      </x:c>
    </x:row>
    <x:row r="79" s="4" customFormat="1" ht="24" hidden="0" customHeight="1">
      <x:c r="A79" s="9" t="s">
        <x:v>87</x:v>
      </x:c>
      <x:c r="B79" s="9" t="n">
        <x:f aca="1">'Swipeable Item'!B4</x:f>
        <x:v>31</x:v>
      </x:c>
      <x:c r="C79" s="9" t="n">
        <x:f aca="1">COUNTIF('Swipeable Item'!H9:H200,"not started")</x:f>
        <x:v>1</x:v>
      </x:c>
      <x:c r="D79" s="9" t="n">
        <x:f aca="1">COUNTIF('Swipeable Item'!H9:H200,"partial")</x:f>
        <x:v>0</x:v>
      </x:c>
      <x:c r="E79" s="9" t="n">
        <x:f aca="1">COUNTIF('Swipeable Item'!H9:H200,"implemented")</x:f>
        <x:v>0</x:v>
      </x:c>
      <x:c r="F79" s="9" t="n">
        <x:f aca="1">COUNTIF('Swipeable Item'!H9:H200,"tested")</x:f>
        <x:v>29</x:v>
      </x:c>
      <x:c r="G79" s="9" t="n">
        <x:f aca="1">COUNTIF('Swipeable Item'!H9:H200,"verified")</x:f>
        <x:v>1</x:v>
      </x:c>
      <x:c r="H79" s="9" t="n">
        <x:f aca="1">COUNTIF('Swipeable Item'!H9:H200,"blocked")</x:f>
        <x:v>0</x:v>
      </x:c>
      <x:c r="I79" s="9" t="n">
        <x:f aca="1">COUNTIF('Swipeable Item'!H9:H200,"not applicable")</x:f>
        <x:v>0</x:v>
      </x:c>
      <x:c r="J79" s="36" t="n">
        <x:f aca="1">'Swipeable Item'!H4</x:f>
        <x:v>0.967741935483871</x:v>
      </x:c>
      <x:c r="K79" s="9" t="str">
        <x:f aca="1">'Swipeable Item'!K4</x:f>
        <x:v>complete</x:v>
      </x:c>
      <x:c r="L79" s="9" t="str">
        <x:f aca="1">'Swipeable Item'!E5</x:f>
        <x:v>complete</x:v>
      </x:c>
      <x:c r="M79" s="9" t="str">
        <x:f aca="0">IF(AND(J79=1,K79="complete",L79="complete"),"complete",IF(H79&gt;0,"blocked","open"))</x:f>
        <x:v>open</x:v>
      </x:c>
    </x:row>
    <x:row r="80" s="4" customFormat="1" ht="24" hidden="0" customHeight="1">
      <x:c r="A80" s="9" t="s">
        <x:v>88</x:v>
      </x:c>
      <x:c r="B80" s="9" t="n">
        <x:f aca="1">'Table'!B4</x:f>
        <x:v>23</x:v>
      </x:c>
      <x:c r="C80" s="9" t="n">
        <x:f aca="1">COUNTIF('Table'!H9:H200,"not started")</x:f>
        <x:v>1</x:v>
      </x:c>
      <x:c r="D80" s="9" t="n">
        <x:f aca="1">COUNTIF('Table'!H9:H200,"partial")</x:f>
        <x:v>0</x:v>
      </x:c>
      <x:c r="E80" s="9" t="n">
        <x:f aca="1">COUNTIF('Table'!H9:H200,"implemented")</x:f>
        <x:v>0</x:v>
      </x:c>
      <x:c r="F80" s="9" t="n">
        <x:f aca="1">COUNTIF('Table'!H9:H200,"tested")</x:f>
        <x:v>19</x:v>
      </x:c>
      <x:c r="G80" s="9" t="n">
        <x:f aca="1">COUNTIF('Table'!H9:H200,"verified")</x:f>
        <x:v>3</x:v>
      </x:c>
      <x:c r="H80" s="9" t="n">
        <x:f aca="1">COUNTIF('Table'!H9:H200,"blocked")</x:f>
        <x:v>0</x:v>
      </x:c>
      <x:c r="I80" s="9" t="n">
        <x:f aca="1">COUNTIF('Table'!H9:H200,"not applicable")</x:f>
        <x:v>0</x:v>
      </x:c>
      <x:c r="J80" s="36" t="n">
        <x:f aca="1">'Table'!H4</x:f>
        <x:v>0.9565217391304348</x:v>
      </x:c>
      <x:c r="K80" s="9" t="str">
        <x:f aca="1">'Table'!K4</x:f>
        <x:v>open</x:v>
      </x:c>
      <x:c r="L80" s="9" t="str">
        <x:f aca="1">'Table'!E5</x:f>
        <x:v>complete</x:v>
      </x:c>
      <x:c r="M80" s="9" t="str">
        <x:f aca="0">IF(AND(J80=1,K80="complete",L80="complete"),"complete",IF(H80&gt;0,"blocked","open"))</x:f>
        <x:v>open</x:v>
      </x:c>
    </x:row>
    <x:row r="81" s="4" customFormat="1" ht="24" hidden="0" customHeight="1">
      <x:c r="A81" s="9" t="s">
        <x:v>89</x:v>
      </x:c>
      <x:c r="B81" s="9" t="n">
        <x:f aca="1">'Progress'!B4</x:f>
        <x:v>22</x:v>
      </x:c>
      <x:c r="C81" s="9" t="n">
        <x:f aca="1">COUNTIF('Progress'!H9:H200,"not started")</x:f>
        <x:v>1</x:v>
      </x:c>
      <x:c r="D81" s="9" t="n">
        <x:f aca="1">COUNTIF('Progress'!H9:H200,"partial")</x:f>
        <x:v>0</x:v>
      </x:c>
      <x:c r="E81" s="9" t="n">
        <x:f aca="1">COUNTIF('Progress'!H9:H200,"implemented")</x:f>
        <x:v>0</x:v>
      </x:c>
      <x:c r="F81" s="9" t="n">
        <x:f aca="1">COUNTIF('Progress'!H9:H200,"tested")</x:f>
        <x:v>21</x:v>
      </x:c>
      <x:c r="G81" s="9" t="n">
        <x:f aca="1">COUNTIF('Progress'!H9:H200,"verified")</x:f>
        <x:v>0</x:v>
      </x:c>
      <x:c r="H81" s="9" t="n">
        <x:f aca="1">COUNTIF('Progress'!H9:H200,"blocked")</x:f>
        <x:v>0</x:v>
      </x:c>
      <x:c r="I81" s="9" t="n">
        <x:f aca="1">COUNTIF('Progress'!H9:H200,"not applicable")</x:f>
        <x:v>0</x:v>
      </x:c>
      <x:c r="J81" s="36" t="n">
        <x:f aca="1">'Progress'!H4</x:f>
        <x:v>0.9545454545454546</x:v>
      </x:c>
      <x:c r="K81" s="9" t="str">
        <x:f aca="1">'Progress'!K4</x:f>
        <x:v>complete</x:v>
      </x:c>
      <x:c r="L81" s="9" t="str">
        <x:f aca="1">'Progress'!E5</x:f>
        <x:v>complete</x:v>
      </x:c>
      <x:c r="M81" s="9" t="str">
        <x:f aca="0">IF(AND(J81=1,K81="complete",L81="complete"),"complete",IF(H81&gt;0,"blocked","open"))</x:f>
        <x:v>open</x:v>
      </x:c>
    </x:row>
    <x:row r="82" s="4" customFormat="1" ht="24" hidden="0" customHeight="1">
      <x:c r="A82" s="9" t="s">
        <x:v>90</x:v>
      </x:c>
      <x:c r="B82" s="9" t="n">
        <x:f aca="1">'Progress Circle'!B4</x:f>
        <x:v>22</x:v>
      </x:c>
      <x:c r="C82" s="9" t="n">
        <x:f aca="1">COUNTIF('Progress Circle'!H9:H200,"not started")</x:f>
        <x:v>1</x:v>
      </x:c>
      <x:c r="D82" s="9" t="n">
        <x:f aca="1">COUNTIF('Progress Circle'!H9:H200,"partial")</x:f>
        <x:v>0</x:v>
      </x:c>
      <x:c r="E82" s="9" t="n">
        <x:f aca="1">COUNTIF('Progress Circle'!H9:H200,"implemented")</x:f>
        <x:v>0</x:v>
      </x:c>
      <x:c r="F82" s="9" t="n">
        <x:f aca="1">COUNTIF('Progress Circle'!H9:H200,"tested")</x:f>
        <x:v>21</x:v>
      </x:c>
      <x:c r="G82" s="9" t="n">
        <x:f aca="1">COUNTIF('Progress Circle'!H9:H200,"verified")</x:f>
        <x:v>0</x:v>
      </x:c>
      <x:c r="H82" s="9" t="n">
        <x:f aca="1">COUNTIF('Progress Circle'!H9:H200,"blocked")</x:f>
        <x:v>0</x:v>
      </x:c>
      <x:c r="I82" s="9" t="n">
        <x:f aca="1">COUNTIF('Progress Circle'!H9:H200,"not applicable")</x:f>
        <x:v>0</x:v>
      </x:c>
      <x:c r="J82" s="36" t="n">
        <x:f aca="1">'Progress Circle'!H4</x:f>
        <x:v>0.9545454545454546</x:v>
      </x:c>
      <x:c r="K82" s="9" t="str">
        <x:f aca="1">'Progress Circle'!K4</x:f>
        <x:v>complete</x:v>
      </x:c>
      <x:c r="L82" s="9" t="str">
        <x:f aca="1">'Progress Circle'!E5</x:f>
        <x:v>complete</x:v>
      </x:c>
      <x:c r="M82" s="9" t="str">
        <x:f aca="0">IF(AND(J82=1,K82="complete",L82="complete"),"complete",IF(H82&gt;0,"blocked","open"))</x:f>
        <x:v>open</x:v>
      </x:c>
    </x:row>
    <x:row r="83" s="4" customFormat="1" ht="24" hidden="0" customHeight="1">
      <x:c r="A83" s="9" t="s">
        <x:v>91</x:v>
      </x:c>
      <x:c r="B83" s="9" t="n">
        <x:f aca="1">'Carousel'!B4</x:f>
        <x:v>25</x:v>
      </x:c>
      <x:c r="C83" s="9" t="n">
        <x:f aca="1">COUNTIF('Carousel'!H9:H200,"not started")</x:f>
        <x:v>5</x:v>
      </x:c>
      <x:c r="D83" s="9" t="n">
        <x:f aca="1">COUNTIF('Carousel'!H9:H200,"partial")</x:f>
        <x:v>0</x:v>
      </x:c>
      <x:c r="E83" s="9" t="n">
        <x:f aca="1">COUNTIF('Carousel'!H9:H200,"implemented")</x:f>
        <x:v>4</x:v>
      </x:c>
      <x:c r="F83" s="9" t="n">
        <x:f aca="1">COUNTIF('Carousel'!H9:H200,"tested")</x:f>
        <x:v>16</x:v>
      </x:c>
      <x:c r="G83" s="9" t="n">
        <x:f aca="1">COUNTIF('Carousel'!H9:H200,"verified")</x:f>
        <x:v>0</x:v>
      </x:c>
      <x:c r="H83" s="9" t="n">
        <x:f aca="1">COUNTIF('Carousel'!H9:H200,"blocked")</x:f>
        <x:v>0</x:v>
      </x:c>
      <x:c r="I83" s="9" t="n">
        <x:f aca="1">COUNTIF('Carousel'!H9:H200,"not applicable")</x:f>
        <x:v>0</x:v>
      </x:c>
      <x:c r="J83" s="36" t="n">
        <x:f aca="1">'Carousel'!H4</x:f>
        <x:v>0.64</x:v>
      </x:c>
      <x:c r="K83" s="9" t="str">
        <x:f aca="1">'Carousel'!K4</x:f>
        <x:v>complete</x:v>
      </x:c>
      <x:c r="L83" s="9" t="str">
        <x:f aca="1">'Carousel'!E5</x:f>
        <x:v>open</x:v>
      </x:c>
      <x:c r="M83" s="9" t="str">
        <x:f aca="0">IF(AND(J83=1,K83="complete",L83="complete"),"complete",IF(H83&gt;0,"blocked","open"))</x:f>
        <x:v>open</x:v>
      </x:c>
    </x:row>
    <x:row r="84" s="4" customFormat="1" ht="24" hidden="0" customHeight="1">
      <x:c r="A84" s="9" t="s">
        <x:v>92</x:v>
      </x:c>
      <x:c r="B84" s="9" t="n">
        <x:f aca="1">'ZStack'!B4</x:f>
        <x:v>16</x:v>
      </x:c>
      <x:c r="C84" s="9" t="n">
        <x:f aca="1">COUNTIF('ZStack'!H9:H200,"not started")</x:f>
        <x:v>0</x:v>
      </x:c>
      <x:c r="D84" s="9" t="n">
        <x:f aca="1">COUNTIF('ZStack'!H9:H200,"partial")</x:f>
        <x:v>0</x:v>
      </x:c>
      <x:c r="E84" s="9" t="n">
        <x:f aca="1">COUNTIF('ZStack'!H9:H200,"implemented")</x:f>
        <x:v>3</x:v>
      </x:c>
      <x:c r="F84" s="9" t="n">
        <x:f aca="1">COUNTIF('ZStack'!H9:H200,"tested")</x:f>
        <x:v>12</x:v>
      </x:c>
      <x:c r="G84" s="9" t="n">
        <x:f aca="1">COUNTIF('ZStack'!H9:H200,"verified")</x:f>
        <x:v>1</x:v>
      </x:c>
      <x:c r="H84" s="9" t="n">
        <x:f aca="1">COUNTIF('ZStack'!H9:H200,"blocked")</x:f>
        <x:v>0</x:v>
      </x:c>
      <x:c r="I84" s="9" t="n">
        <x:f aca="1">COUNTIF('ZStack'!H9:H200,"not applicable")</x:f>
        <x:v>0</x:v>
      </x:c>
      <x:c r="J84" s="36" t="n">
        <x:f aca="1">'ZStack'!H4</x:f>
        <x:v>0.8125</x:v>
      </x:c>
      <x:c r="K84" s="9" t="str">
        <x:f aca="1">'ZStack'!K4</x:f>
        <x:v>open</x:v>
      </x:c>
      <x:c r="L84" s="9" t="str">
        <x:f aca="1">'ZStack'!E5</x:f>
        <x:v>complete</x:v>
      </x:c>
      <x:c r="M84" s="9" t="str">
        <x:f aca="0">IF(AND(J84=1,K84="complete",L84="complete"),"complete",IF(H84&gt;0,"blocked","open"))</x:f>
        <x:v>open</x:v>
      </x:c>
    </x:row>
    <x:row r="85" s="4" customFormat="1" ht="24" hidden="0" customHeight="1">
      <x:c r="A85" s="9" t="s">
        <x:v>93</x:v>
      </x:c>
      <x:c r="B85" s="9" t="n">
        <x:f aca="1">'Appearance'!B4</x:f>
        <x:v>17</x:v>
      </x:c>
      <x:c r="C85" s="9" t="n">
        <x:f aca="1">COUNTIF('Appearance'!H9:H200,"not started")</x:f>
        <x:v>0</x:v>
      </x:c>
      <x:c r="D85" s="9" t="n">
        <x:f aca="1">COUNTIF('Appearance'!H9:H200,"partial")</x:f>
        <x:v>0</x:v>
      </x:c>
      <x:c r="E85" s="9" t="n">
        <x:f aca="1">COUNTIF('Appearance'!H9:H200,"implemented")</x:f>
        <x:v>4</x:v>
      </x:c>
      <x:c r="F85" s="9" t="n">
        <x:f aca="1">COUNTIF('Appearance'!H9:H200,"tested")</x:f>
        <x:v>12</x:v>
      </x:c>
      <x:c r="G85" s="9" t="n">
        <x:f aca="1">COUNTIF('Appearance'!H9:H200,"verified")</x:f>
        <x:v>0</x:v>
      </x:c>
      <x:c r="H85" s="9" t="n">
        <x:f aca="1">COUNTIF('Appearance'!H9:H200,"blocked")</x:f>
        <x:v>0</x:v>
      </x:c>
      <x:c r="I85" s="9" t="n">
        <x:f aca="1">COUNTIF('Appearance'!H9:H200,"not applicable")</x:f>
        <x:v>1</x:v>
      </x:c>
      <x:c r="J85" s="36" t="n">
        <x:f aca="1">'Appearance'!H4</x:f>
        <x:v>0.7647058823529411</x:v>
      </x:c>
      <x:c r="K85" s="9" t="str">
        <x:f aca="1">'Appearance'!K4</x:f>
        <x:v>open</x:v>
      </x:c>
      <x:c r="L85" s="9" t="str">
        <x:f aca="1">'Appearance'!E5</x:f>
        <x:v>complete</x:v>
      </x:c>
      <x:c r="M85" s="9" t="str">
        <x:f aca="0">IF(AND(J85=1,K85="complete",L85="complete"),"complete",IF(H85&gt;0,"blocked","open"))</x:f>
        <x:v>open</x:v>
      </x:c>
    </x:row>
    <x:row r="86" s="4" customFormat="1" ht="24" hidden="0" customHeight="1">
      <x:c r="A86" s="9" t="s">
        <x:v>94</x:v>
      </x:c>
      <x:c r="B86" s="9" t="n">
        <x:f aca="1">'Frame'!B4</x:f>
        <x:v>16</x:v>
      </x:c>
      <x:c r="C86" s="9" t="n">
        <x:f aca="1">COUNTIF('Frame'!H9:H200,"not started")</x:f>
        <x:v>0</x:v>
      </x:c>
      <x:c r="D86" s="9" t="n">
        <x:f aca="1">COUNTIF('Frame'!H9:H200,"partial")</x:f>
        <x:v>0</x:v>
      </x:c>
      <x:c r="E86" s="9" t="n">
        <x:f aca="1">COUNTIF('Frame'!H9:H200,"implemented")</x:f>
        <x:v>4</x:v>
      </x:c>
      <x:c r="F86" s="9" t="n">
        <x:f aca="1">COUNTIF('Frame'!H9:H200,"tested")</x:f>
        <x:v>11</x:v>
      </x:c>
      <x:c r="G86" s="9" t="n">
        <x:f aca="1">COUNTIF('Frame'!H9:H200,"verified")</x:f>
        <x:v>0</x:v>
      </x:c>
      <x:c r="H86" s="9" t="n">
        <x:f aca="1">COUNTIF('Frame'!H9:H200,"blocked")</x:f>
        <x:v>0</x:v>
      </x:c>
      <x:c r="I86" s="9" t="n">
        <x:f aca="1">COUNTIF('Frame'!H9:H200,"not applicable")</x:f>
        <x:v>1</x:v>
      </x:c>
      <x:c r="J86" s="36" t="n">
        <x:f aca="1">'Frame'!H4</x:f>
        <x:v>0.75</x:v>
      </x:c>
      <x:c r="K86" s="9" t="str">
        <x:f aca="1">'Frame'!K4</x:f>
        <x:v>open</x:v>
      </x:c>
      <x:c r="L86" s="9" t="str">
        <x:f aca="1">'Frame'!E5</x:f>
        <x:v>complete</x:v>
      </x:c>
      <x:c r="M86" s="9" t="str">
        <x:f aca="0">IF(AND(J86=1,K86="complete",L86="complete"),"complete",IF(H86&gt;0,"blocked","open"))</x:f>
        <x:v>open</x:v>
      </x:c>
    </x:row>
    <x:row r="87" s="4" customFormat="1" ht="24" hidden="0" customHeight="1">
      <x:c r="A87" s="9" t="s">
        <x:v>95</x:v>
      </x:c>
      <x:c r="B87" s="9" t="n">
        <x:f aca="1">'Section'!B4</x:f>
        <x:v>17</x:v>
      </x:c>
      <x:c r="C87" s="9" t="n">
        <x:f aca="1">COUNTIF('Section'!H9:H200,"not started")</x:f>
        <x:v>0</x:v>
      </x:c>
      <x:c r="D87" s="9" t="n">
        <x:f aca="1">COUNTIF('Section'!H9:H200,"partial")</x:f>
        <x:v>0</x:v>
      </x:c>
      <x:c r="E87" s="9" t="n">
        <x:f aca="1">COUNTIF('Section'!H9:H200,"implemented")</x:f>
        <x:v>3</x:v>
      </x:c>
      <x:c r="F87" s="9" t="n">
        <x:f aca="1">COUNTIF('Section'!H9:H200,"tested")</x:f>
        <x:v>13</x:v>
      </x:c>
      <x:c r="G87" s="9" t="n">
        <x:f aca="1">COUNTIF('Section'!H9:H200,"verified")</x:f>
        <x:v>0</x:v>
      </x:c>
      <x:c r="H87" s="9" t="n">
        <x:f aca="1">COUNTIF('Section'!H9:H200,"blocked")</x:f>
        <x:v>0</x:v>
      </x:c>
      <x:c r="I87" s="9" t="n">
        <x:f aca="1">COUNTIF('Section'!H9:H200,"not applicable")</x:f>
        <x:v>1</x:v>
      </x:c>
      <x:c r="J87" s="36" t="n">
        <x:f aca="1">'Section'!H4</x:f>
        <x:v>0.8235294117647058</x:v>
      </x:c>
      <x:c r="K87" s="9" t="str">
        <x:f aca="1">'Section'!K4</x:f>
        <x:v>open</x:v>
      </x:c>
      <x:c r="L87" s="9" t="str">
        <x:f aca="1">'Section'!E5</x:f>
        <x:v>complete</x:v>
      </x:c>
      <x:c r="M87" s="9" t="str">
        <x:f aca="0">IF(AND(J87=1,K87="complete",L87="complete"),"complete",IF(H87&gt;0,"blocked","open"))</x:f>
        <x:v>open</x:v>
      </x:c>
    </x:row>
    <x:row r="88" s="4" customFormat="1" ht="24" hidden="0" customHeight="1">
      <x:c r="A88" s="9" t="s">
        <x:v>96</x:v>
      </x:c>
      <x:c r="B88" s="9" t="n">
        <x:f aca="1">'Reorderable List'!B4</x:f>
        <x:v>19</x:v>
      </x:c>
      <x:c r="C88" s="9" t="n">
        <x:f aca="1">COUNTIF('Reorderable List'!H9:H200,"not started")</x:f>
        <x:v>0</x:v>
      </x:c>
      <x:c r="D88" s="9" t="n">
        <x:f aca="1">COUNTIF('Reorderable List'!H9:H200,"partial")</x:f>
        <x:v>0</x:v>
      </x:c>
      <x:c r="E88" s="9" t="n">
        <x:f aca="1">COUNTIF('Reorderable List'!H9:H200,"implemented")</x:f>
        <x:v>2</x:v>
      </x:c>
      <x:c r="F88" s="9" t="n">
        <x:f aca="1">COUNTIF('Reorderable List'!H9:H200,"tested")</x:f>
        <x:v>16</x:v>
      </x:c>
      <x:c r="G88" s="9" t="n">
        <x:f aca="1">COUNTIF('Reorderable List'!H9:H200,"verified")</x:f>
        <x:v>1</x:v>
      </x:c>
      <x:c r="H88" s="9" t="n">
        <x:f aca="1">COUNTIF('Reorderable List'!H9:H200,"blocked")</x:f>
        <x:v>0</x:v>
      </x:c>
      <x:c r="I88" s="9" t="n">
        <x:f aca="1">COUNTIF('Reorderable List'!H9:H200,"not applicable")</x:f>
        <x:v>0</x:v>
      </x:c>
      <x:c r="J88" s="36" t="n">
        <x:f aca="1">'Reorderable List'!H4</x:f>
        <x:v>0.8947368421052632</x:v>
      </x:c>
      <x:c r="K88" s="9" t="str">
        <x:f aca="1">'Reorderable List'!K4</x:f>
        <x:v>open</x:v>
      </x:c>
      <x:c r="L88" s="9" t="str">
        <x:f aca="1">'Reorderable List'!E5</x:f>
        <x:v>complete</x:v>
      </x:c>
      <x:c r="M88" s="9" t="str">
        <x:f aca="0">IF(AND(J88=1,K88="complete",L88="complete"),"complete",IF(H88&gt;0,"blocked","open"))</x:f>
        <x:v>open</x:v>
      </x:c>
    </x:row>
    <x:row r="89" s="4" customFormat="1" ht="24" hidden="0" customHeight="1">
      <x:c r="A89" s="9" t="s">
        <x:v>97</x:v>
      </x:c>
      <x:c r="B89" s="9" t="n">
        <x:f aca="1">'Group'!B4</x:f>
        <x:v>16</x:v>
      </x:c>
      <x:c r="C89" s="9" t="n">
        <x:f aca="1">COUNTIF('Group'!H9:H200,"not started")</x:f>
        <x:v>0</x:v>
      </x:c>
      <x:c r="D89" s="9" t="n">
        <x:f aca="1">COUNTIF('Group'!H9:H200,"partial")</x:f>
        <x:v>0</x:v>
      </x:c>
      <x:c r="E89" s="9" t="n">
        <x:f aca="1">COUNTIF('Group'!H9:H200,"implemented")</x:f>
        <x:v>6</x:v>
      </x:c>
      <x:c r="F89" s="9" t="n">
        <x:f aca="1">COUNTIF('Group'!H9:H200,"tested")</x:f>
        <x:v>10</x:v>
      </x:c>
      <x:c r="G89" s="9" t="n">
        <x:f aca="1">COUNTIF('Group'!H9:H200,"verified")</x:f>
        <x:v>0</x:v>
      </x:c>
      <x:c r="H89" s="9" t="n">
        <x:f aca="1">COUNTIF('Group'!H9:H200,"blocked")</x:f>
        <x:v>0</x:v>
      </x:c>
      <x:c r="I89" s="9" t="n">
        <x:f aca="1">COUNTIF('Group'!H9:H200,"not applicable")</x:f>
        <x:v>0</x:v>
      </x:c>
      <x:c r="J89" s="36" t="n">
        <x:f aca="1">'Group'!H4</x:f>
        <x:v>0.625</x:v>
      </x:c>
      <x:c r="K89" s="9" t="str">
        <x:f aca="1">'Group'!K4</x:f>
        <x:v>open</x:v>
      </x:c>
      <x:c r="L89" s="9" t="str">
        <x:f aca="1">'Group'!E5</x:f>
        <x:v>open</x:v>
      </x:c>
      <x:c r="M89" s="9" t="str">
        <x:f aca="0">IF(AND(J89=1,K89="complete",L89="complete"),"complete",IF(H89&gt;0,"blocked","open"))</x:f>
        <x:v>open</x:v>
      </x:c>
    </x:row>
    <x:row r="90" s="4" customFormat="1" ht="24" hidden="0" customHeight="1">
      <x:c r="A90" s="9" t="s">
        <x:v>98</x:v>
      </x:c>
      <x:c r="B90" s="9" t="n">
        <x:f aca="1">'Color Swatch'!B4</x:f>
        <x:v>17</x:v>
      </x:c>
      <x:c r="C90" s="9" t="n">
        <x:f aca="1">COUNTIF('Color Swatch'!H9:H200,"not started")</x:f>
        <x:v>2</x:v>
      </x:c>
      <x:c r="D90" s="9" t="n">
        <x:f aca="1">COUNTIF('Color Swatch'!H9:H200,"partial")</x:f>
        <x:v>0</x:v>
      </x:c>
      <x:c r="E90" s="9" t="n">
        <x:f aca="1">COUNTIF('Color Swatch'!H9:H200,"implemented")</x:f>
        <x:v>0</x:v>
      </x:c>
      <x:c r="F90" s="9" t="n">
        <x:f aca="1">COUNTIF('Color Swatch'!H9:H200,"tested")</x:f>
        <x:v>15</x:v>
      </x:c>
      <x:c r="G90" s="9" t="n">
        <x:f aca="1">COUNTIF('Color Swatch'!H9:H200,"verified")</x:f>
        <x:v>0</x:v>
      </x:c>
      <x:c r="H90" s="9" t="n">
        <x:f aca="1">COUNTIF('Color Swatch'!H9:H200,"blocked")</x:f>
        <x:v>0</x:v>
      </x:c>
      <x:c r="I90" s="9" t="n">
        <x:f aca="1">COUNTIF('Color Swatch'!H9:H200,"not applicable")</x:f>
        <x:v>0</x:v>
      </x:c>
      <x:c r="J90" s="36" t="n">
        <x:f aca="1">'Color Swatch'!H4</x:f>
        <x:v>0.7647058823529411</x:v>
      </x:c>
      <x:c r="K90" s="9" t="str">
        <x:f aca="1">'Color Swatch'!K4</x:f>
        <x:v>open</x:v>
      </x:c>
      <x:c r="L90" s="9" t="str">
        <x:f aca="1">'Color Swatch'!E5</x:f>
        <x:v>complete</x:v>
      </x:c>
      <x:c r="M90" s="9" t="str">
        <x:f aca="0">IF(AND(J90=1,K90="complete",L90="complete"),"complete",IF(H90&gt;0,"blocked","open"))</x:f>
        <x:v>open</x:v>
      </x:c>
    </x:row>
    <x:row r="91" s="4" customFormat="1" ht="24" hidden="0" customHeight="1">
      <x:c r="A91" s="9" t="s">
        <x:v>99</x:v>
      </x:c>
      <x:c r="B91" s="9" t="n">
        <x:f aca="1">'Bleed'!B4</x:f>
        <x:v>20</x:v>
      </x:c>
      <x:c r="C91" s="9" t="n">
        <x:f aca="1">COUNTIF('Bleed'!H9:H200,"not started")</x:f>
        <x:v>4</x:v>
      </x:c>
      <x:c r="D91" s="9" t="n">
        <x:f aca="1">COUNTIF('Bleed'!H9:H200,"partial")</x:f>
        <x:v>1</x:v>
      </x:c>
      <x:c r="E91" s="9" t="n">
        <x:f aca="1">COUNTIF('Bleed'!H9:H200,"implemented")</x:f>
        <x:v>0</x:v>
      </x:c>
      <x:c r="F91" s="9" t="n">
        <x:f aca="1">COUNTIF('Bleed'!H9:H200,"tested")</x:f>
        <x:v>14</x:v>
      </x:c>
      <x:c r="G91" s="9" t="n">
        <x:f aca="1">COUNTIF('Bleed'!H9:H200,"verified")</x:f>
        <x:v>0</x:v>
      </x:c>
      <x:c r="H91" s="9" t="n">
        <x:f aca="1">COUNTIF('Bleed'!H9:H200,"blocked")</x:f>
        <x:v>1</x:v>
      </x:c>
      <x:c r="I91" s="9" t="n">
        <x:f aca="1">COUNTIF('Bleed'!H9:H200,"not applicable")</x:f>
        <x:v>0</x:v>
      </x:c>
      <x:c r="J91" s="36" t="n">
        <x:f aca="1">'Bleed'!H4</x:f>
        <x:v>0.7</x:v>
      </x:c>
      <x:c r="K91" s="9" t="str">
        <x:f aca="1">'Bleed'!K4</x:f>
        <x:v>open</x:v>
      </x:c>
      <x:c r="L91" s="9" t="str">
        <x:f aca="1">'Bleed'!E5</x:f>
        <x:v>open</x:v>
      </x:c>
      <x:c r="M91" s="9" t="str">
        <x:f aca="0">IF(AND(J91=1,K91="complete",L91="complete"),"complete",IF(H91&gt;0,"blocked","open"))</x:f>
        <x:v>blocked</x:v>
      </x:c>
    </x:row>
    <x:row r="92" s="4" customFormat="1" ht="24" hidden="0" customHeight="1">
      <x:c r="A92" s="9" t="s">
        <x:v>100</x:v>
      </x:c>
      <x:c r="B92" s="9" t="n">
        <x:f aca="1">'Data List'!B4</x:f>
        <x:v>20</x:v>
      </x:c>
      <x:c r="C92" s="9" t="n">
        <x:f aca="1">COUNTIF('Data List'!H9:H200,"not started")</x:f>
        <x:v>4</x:v>
      </x:c>
      <x:c r="D92" s="9" t="n">
        <x:f aca="1">COUNTIF('Data List'!H9:H200,"partial")</x:f>
        <x:v>1</x:v>
      </x:c>
      <x:c r="E92" s="9" t="n">
        <x:f aca="1">COUNTIF('Data List'!H9:H200,"implemented")</x:f>
        <x:v>1</x:v>
      </x:c>
      <x:c r="F92" s="9" t="n">
        <x:f aca="1">COUNTIF('Data List'!H9:H200,"tested")</x:f>
        <x:v>13</x:v>
      </x:c>
      <x:c r="G92" s="9" t="n">
        <x:f aca="1">COUNTIF('Data List'!H9:H200,"verified")</x:f>
        <x:v>0</x:v>
      </x:c>
      <x:c r="H92" s="9" t="n">
        <x:f aca="1">COUNTIF('Data List'!H9:H200,"blocked")</x:f>
        <x:v>1</x:v>
      </x:c>
      <x:c r="I92" s="9" t="n">
        <x:f aca="1">COUNTIF('Data List'!H9:H200,"not applicable")</x:f>
        <x:v>0</x:v>
      </x:c>
      <x:c r="J92" s="36" t="n">
        <x:f aca="1">'Data List'!H4</x:f>
        <x:v>0.65</x:v>
      </x:c>
      <x:c r="K92" s="9" t="str">
        <x:f aca="1">'Data List'!K4</x:f>
        <x:v>open</x:v>
      </x:c>
      <x:c r="L92" s="9" t="str">
        <x:f aca="1">'Data List'!E5</x:f>
        <x:v>open</x:v>
      </x:c>
      <x:c r="M92" s="9" t="str">
        <x:f aca="0">IF(AND(J92=1,K92="complete",L92="complete"),"complete",IF(H92&gt;0,"blocked","open"))</x:f>
        <x:v>blocked</x:v>
      </x:c>
    </x:row>
    <x:row r="93" s="4" customFormat="1" ht="24" hidden="0" customHeight="1">
      <x:c r="A93" s="9" t="s">
        <x:v>101</x:v>
      </x:c>
      <x:c r="B93" s="9" t="n">
        <x:f aca="1">'Link Box'!B4</x:f>
        <x:v>20</x:v>
      </x:c>
      <x:c r="C93" s="9" t="n">
        <x:f aca="1">COUNTIF('Link Box'!H9:H200,"not started")</x:f>
        <x:v>2</x:v>
      </x:c>
      <x:c r="D93" s="9" t="n">
        <x:f aca="1">COUNTIF('Link Box'!H9:H200,"partial")</x:f>
        <x:v>0</x:v>
      </x:c>
      <x:c r="E93" s="9" t="n">
        <x:f aca="1">COUNTIF('Link Box'!H9:H200,"implemented")</x:f>
        <x:v>1</x:v>
      </x:c>
      <x:c r="F93" s="9" t="n">
        <x:f aca="1">COUNTIF('Link Box'!H9:H200,"tested")</x:f>
        <x:v>16</x:v>
      </x:c>
      <x:c r="G93" s="9" t="n">
        <x:f aca="1">COUNTIF('Link Box'!H9:H200,"verified")</x:f>
        <x:v>1</x:v>
      </x:c>
      <x:c r="H93" s="9" t="n">
        <x:f aca="1">COUNTIF('Link Box'!H9:H200,"blocked")</x:f>
        <x:v>0</x:v>
      </x:c>
      <x:c r="I93" s="9" t="n">
        <x:f aca="1">COUNTIF('Link Box'!H9:H200,"not applicable")</x:f>
        <x:v>0</x:v>
      </x:c>
      <x:c r="J93" s="36" t="n">
        <x:f aca="1">'Link Box'!H4</x:f>
        <x:v>0.85</x:v>
      </x:c>
      <x:c r="K93" s="9" t="str">
        <x:f aca="1">'Link Box'!K4</x:f>
        <x:v>open</x:v>
      </x:c>
      <x:c r="L93" s="9" t="str">
        <x:f aca="1">'Link Box'!E5</x:f>
        <x:v>complete</x:v>
      </x:c>
      <x:c r="M93" s="9" t="str">
        <x:f aca="0">IF(AND(J93=1,K93="complete",L93="complete"),"complete",IF(H93&gt;0,"blocked","open"))</x:f>
        <x:v>open</x:v>
      </x:c>
    </x:row>
    <x:row r="94" s="4" customFormat="1" ht="24" hidden="0" customHeight="1">
      <x:c r="A94" s="9" t="s">
        <x:v>102</x:v>
      </x:c>
      <x:c r="B94" s="9" t="n">
        <x:f aca="1">'Segment Group'!B4</x:f>
        <x:v>20</x:v>
      </x:c>
      <x:c r="C94" s="9" t="n">
        <x:f aca="1">COUNTIF('Segment Group'!H9:H200,"not started")</x:f>
        <x:v>5</x:v>
      </x:c>
      <x:c r="D94" s="9" t="n">
        <x:f aca="1">COUNTIF('Segment Group'!H9:H200,"partial")</x:f>
        <x:v>0</x:v>
      </x:c>
      <x:c r="E94" s="9" t="n">
        <x:f aca="1">COUNTIF('Segment Group'!H9:H200,"implemented")</x:f>
        <x:v>0</x:v>
      </x:c>
      <x:c r="F94" s="9" t="n">
        <x:f aca="1">COUNTIF('Segment Group'!H9:H200,"tested")</x:f>
        <x:v>14</x:v>
      </x:c>
      <x:c r="G94" s="9" t="n">
        <x:f aca="1">COUNTIF('Segment Group'!H9:H200,"verified")</x:f>
        <x:v>0</x:v>
      </x:c>
      <x:c r="H94" s="9" t="n">
        <x:f aca="1">COUNTIF('Segment Group'!H9:H200,"blocked")</x:f>
        <x:v>1</x:v>
      </x:c>
      <x:c r="I94" s="9" t="n">
        <x:f aca="1">COUNTIF('Segment Group'!H9:H200,"not applicable")</x:f>
        <x:v>0</x:v>
      </x:c>
      <x:c r="J94" s="36" t="n">
        <x:f aca="1">'Segment Group'!H4</x:f>
        <x:v>0.65</x:v>
      </x:c>
      <x:c r="K94" s="9" t="str">
        <x:f aca="1">'Segment Group'!K4</x:f>
        <x:v>open</x:v>
      </x:c>
      <x:c r="L94" s="9" t="str">
        <x:f aca="1">'Segment Group'!E5</x:f>
        <x:v>open</x:v>
      </x:c>
      <x:c r="M94" s="9" t="str">
        <x:f aca="0">IF(AND(J94=1,K94="complete",L94="complete"),"complete",IF(H94&gt;0,"blocked","open"))</x:f>
        <x:v>blocked</x:v>
      </x:c>
    </x:row>
    <x:row r="95" s="4" customFormat="1" ht="24" hidden="0" customHeight="1">
      <x:c r="A95" s="9" t="s">
        <x:v>103</x:v>
      </x:c>
      <x:c r="B95" s="9" t="n">
        <x:f aca="1">'Status'!B4</x:f>
        <x:v>20</x:v>
      </x:c>
      <x:c r="C95" s="9" t="n">
        <x:f aca="1">COUNTIF('Status'!H9:H200,"not started")</x:f>
        <x:v>4</x:v>
      </x:c>
      <x:c r="D95" s="9" t="n">
        <x:f aca="1">COUNTIF('Status'!H9:H200,"partial")</x:f>
        <x:v>1</x:v>
      </x:c>
      <x:c r="E95" s="9" t="n">
        <x:f aca="1">COUNTIF('Status'!H9:H200,"implemented")</x:f>
        <x:v>1</x:v>
      </x:c>
      <x:c r="F95" s="9" t="n">
        <x:f aca="1">COUNTIF('Status'!H9:H200,"tested")</x:f>
        <x:v>13</x:v>
      </x:c>
      <x:c r="G95" s="9" t="n">
        <x:f aca="1">COUNTIF('Status'!H9:H200,"verified")</x:f>
        <x:v>0</x:v>
      </x:c>
      <x:c r="H95" s="9" t="n">
        <x:f aca="1">COUNTIF('Status'!H9:H200,"blocked")</x:f>
        <x:v>1</x:v>
      </x:c>
      <x:c r="I95" s="9" t="n">
        <x:f aca="1">COUNTIF('Status'!H9:H200,"not applicable")</x:f>
        <x:v>0</x:v>
      </x:c>
      <x:c r="J95" s="36" t="n">
        <x:f aca="1">'Status'!H4</x:f>
        <x:v>0.65</x:v>
      </x:c>
      <x:c r="K95" s="9" t="str">
        <x:f aca="1">'Status'!K4</x:f>
        <x:v>open</x:v>
      </x:c>
      <x:c r="L95" s="9" t="str">
        <x:f aca="1">'Status'!E5</x:f>
        <x:v>open</x:v>
      </x:c>
      <x:c r="M95" s="9" t="str">
        <x:f aca="0">IF(AND(J95=1,K95="complete",L95="complete"),"complete",IF(H95&gt;0,"blocked","open"))</x:f>
        <x:v>blocked</x:v>
      </x:c>
    </x:row>
    <x:row r="96" s="4" customFormat="1" ht="24" hidden="0" customHeight="1">
      <x:c r="A96" s="9" t="s">
        <x:v>104</x:v>
      </x:c>
      <x:c r="B96" s="9" t="n">
        <x:f aca="1">'Color Picker'!B4</x:f>
        <x:v>21</x:v>
      </x:c>
      <x:c r="C96" s="9" t="n">
        <x:f aca="1">COUNTIF('Color Picker'!H9:H200,"not started")</x:f>
        <x:v>1</x:v>
      </x:c>
      <x:c r="D96" s="9" t="n">
        <x:f aca="1">COUNTIF('Color Picker'!H9:H200,"partial")</x:f>
        <x:v>0</x:v>
      </x:c>
      <x:c r="E96" s="9" t="n">
        <x:f aca="1">COUNTIF('Color Picker'!H9:H200,"implemented")</x:f>
        <x:v>0</x:v>
      </x:c>
      <x:c r="F96" s="9" t="n">
        <x:f aca="1">COUNTIF('Color Picker'!H9:H200,"tested")</x:f>
        <x:v>20</x:v>
      </x:c>
      <x:c r="G96" s="9" t="n">
        <x:f aca="1">COUNTIF('Color Picker'!H9:H200,"verified")</x:f>
        <x:v>0</x:v>
      </x:c>
      <x:c r="H96" s="9" t="n">
        <x:f aca="1">COUNTIF('Color Picker'!H9:H200,"blocked")</x:f>
        <x:v>0</x:v>
      </x:c>
      <x:c r="I96" s="9" t="n">
        <x:f aca="1">COUNTIF('Color Picker'!H9:H200,"not applicable")</x:f>
        <x:v>0</x:v>
      </x:c>
      <x:c r="J96" s="36" t="n">
        <x:f aca="1">'Color Picker'!H4</x:f>
        <x:v>0.9047619047619048</x:v>
      </x:c>
      <x:c r="K96" s="9" t="str">
        <x:f aca="1">'Color Picker'!K4</x:f>
        <x:v>open</x:v>
      </x:c>
      <x:c r="L96" s="9" t="str">
        <x:f aca="1">'Color Picker'!E5</x:f>
        <x:v>complete</x:v>
      </x:c>
      <x:c r="M96" s="9" t="str">
        <x:f aca="0">IF(AND(J96=1,K96="complete",L96="complete"),"complete",IF(H96&gt;0,"blocked","open"))</x:f>
        <x:v>open</x:v>
      </x:c>
    </x:row>
    <x:row r="97" s="4" customFormat="1" ht="24" hidden="0" customHeight="1">
      <x:c r="A97" s="9" t="s">
        <x:v>105</x:v>
      </x:c>
      <x:c r="B97" s="9" t="n">
        <x:f aca="1">'Em'!B4</x:f>
        <x:v>17</x:v>
      </x:c>
      <x:c r="C97" s="9" t="n">
        <x:f aca="1">COUNTIF('Em'!H9:H200,"not started")</x:f>
        <x:v>0</x:v>
      </x:c>
      <x:c r="D97" s="9" t="n">
        <x:f aca="1">COUNTIF('Em'!H9:H200,"partial")</x:f>
        <x:v>0</x:v>
      </x:c>
      <x:c r="E97" s="9" t="n">
        <x:f aca="1">COUNTIF('Em'!H9:H200,"implemented")</x:f>
        <x:v>3</x:v>
      </x:c>
      <x:c r="F97" s="9" t="n">
        <x:f aca="1">COUNTIF('Em'!H9:H200,"tested")</x:f>
        <x:v>12</x:v>
      </x:c>
      <x:c r="G97" s="9" t="n">
        <x:f aca="1">COUNTIF('Em'!H9:H200,"verified")</x:f>
        <x:v>2</x:v>
      </x:c>
      <x:c r="H97" s="9" t="n">
        <x:f aca="1">COUNTIF('Em'!H9:H200,"blocked")</x:f>
        <x:v>0</x:v>
      </x:c>
      <x:c r="I97" s="9" t="n">
        <x:f aca="1">COUNTIF('Em'!H9:H200,"not applicable")</x:f>
        <x:v>0</x:v>
      </x:c>
      <x:c r="J97" s="36" t="n">
        <x:f aca="1">'Em'!H4</x:f>
        <x:v>0.8235294117647058</x:v>
      </x:c>
      <x:c r="K97" s="9" t="str">
        <x:f aca="1">'Em'!K4</x:f>
        <x:v>open</x:v>
      </x:c>
      <x:c r="L97" s="9" t="str">
        <x:f aca="1">'Em'!E5</x:f>
        <x:v>complete</x:v>
      </x:c>
      <x:c r="M97" s="9" t="str">
        <x:f aca="0">IF(AND(J97=1,K97="complete",L97="complete"),"complete",IF(H97&gt;0,"blocked","open"))</x:f>
        <x:v>open</x:v>
      </x:c>
    </x:row>
    <x:row r="98" s="4" customFormat="1" ht="24" hidden="0" customHeight="1">
      <x:c r="A98" s="9" t="s">
        <x:v>106</x:v>
      </x:c>
      <x:c r="B98" s="9" t="n">
        <x:f aca="1">'Mark'!B4</x:f>
        <x:v>17</x:v>
      </x:c>
      <x:c r="C98" s="9" t="n">
        <x:f aca="1">COUNTIF('Mark'!H9:H200,"not started")</x:f>
        <x:v>0</x:v>
      </x:c>
      <x:c r="D98" s="9" t="n">
        <x:f aca="1">COUNTIF('Mark'!H9:H200,"partial")</x:f>
        <x:v>0</x:v>
      </x:c>
      <x:c r="E98" s="9" t="n">
        <x:f aca="1">COUNTIF('Mark'!H9:H200,"implemented")</x:f>
        <x:v>3</x:v>
      </x:c>
      <x:c r="F98" s="9" t="n">
        <x:f aca="1">COUNTIF('Mark'!H9:H200,"tested")</x:f>
        <x:v>12</x:v>
      </x:c>
      <x:c r="G98" s="9" t="n">
        <x:f aca="1">COUNTIF('Mark'!H9:H200,"verified")</x:f>
        <x:v>2</x:v>
      </x:c>
      <x:c r="H98" s="9" t="n">
        <x:f aca="1">COUNTIF('Mark'!H9:H200,"blocked")</x:f>
        <x:v>0</x:v>
      </x:c>
      <x:c r="I98" s="9" t="n">
        <x:f aca="1">COUNTIF('Mark'!H9:H200,"not applicable")</x:f>
        <x:v>0</x:v>
      </x:c>
      <x:c r="J98" s="36" t="n">
        <x:f aca="1">'Mark'!H4</x:f>
        <x:v>0.8235294117647058</x:v>
      </x:c>
      <x:c r="K98" s="9" t="str">
        <x:f aca="1">'Mark'!K4</x:f>
        <x:v>open</x:v>
      </x:c>
      <x:c r="L98" s="9" t="str">
        <x:f aca="1">'Mark'!E5</x:f>
        <x:v>complete</x:v>
      </x:c>
      <x:c r="M98" s="9" t="str">
        <x:f aca="0">IF(AND(J98=1,K98="complete",L98="complete"),"complete",IF(H98&gt;0,"blocked","open"))</x:f>
        <x:v>open</x:v>
      </x:c>
    </x:row>
    <x:row r="99" s="4" customFormat="1" ht="24" hidden="0" customHeight="1">
      <x:c r="A99" s="9" t="s">
        <x:v>107</x:v>
      </x:c>
      <x:c r="B99" s="9" t="n">
        <x:f aca="1">'Kbd'!B4</x:f>
        <x:v>17</x:v>
      </x:c>
      <x:c r="C99" s="9" t="n">
        <x:f aca="1">COUNTIF('Kbd'!H9:H200,"not started")</x:f>
        <x:v>0</x:v>
      </x:c>
      <x:c r="D99" s="9" t="n">
        <x:f aca="1">COUNTIF('Kbd'!H9:H200,"partial")</x:f>
        <x:v>0</x:v>
      </x:c>
      <x:c r="E99" s="9" t="n">
        <x:f aca="1">COUNTIF('Kbd'!H9:H200,"implemented")</x:f>
        <x:v>3</x:v>
      </x:c>
      <x:c r="F99" s="9" t="n">
        <x:f aca="1">COUNTIF('Kbd'!H9:H200,"tested")</x:f>
        <x:v>12</x:v>
      </x:c>
      <x:c r="G99" s="9" t="n">
        <x:f aca="1">COUNTIF('Kbd'!H9:H200,"verified")</x:f>
        <x:v>2</x:v>
      </x:c>
      <x:c r="H99" s="9" t="n">
        <x:f aca="1">COUNTIF('Kbd'!H9:H200,"blocked")</x:f>
        <x:v>0</x:v>
      </x:c>
      <x:c r="I99" s="9" t="n">
        <x:f aca="1">COUNTIF('Kbd'!H9:H200,"not applicable")</x:f>
        <x:v>0</x:v>
      </x:c>
      <x:c r="J99" s="36" t="n">
        <x:f aca="1">'Kbd'!H4</x:f>
        <x:v>0.8235294117647058</x:v>
      </x:c>
      <x:c r="K99" s="9" t="str">
        <x:f aca="1">'Kbd'!K4</x:f>
        <x:v>open</x:v>
      </x:c>
      <x:c r="L99" s="9" t="str">
        <x:f aca="1">'Kbd'!E5</x:f>
        <x:v>complete</x:v>
      </x:c>
      <x:c r="M99" s="9" t="str">
        <x:f aca="0">IF(AND(J99=1,K99="complete",L99="complete"),"complete",IF(H99&gt;0,"blocked","open"))</x:f>
        <x:v>open</x:v>
      </x:c>
    </x:row>
    <x:row r="100" s="4" customFormat="1" ht="24" hidden="0" customHeight="1">
      <x:c r="A100" s="9" t="s">
        <x:v>108</x:v>
      </x:c>
      <x:c r="B100" s="9" t="n">
        <x:f aca="1">'Blockquote'!B4</x:f>
        <x:v>17</x:v>
      </x:c>
      <x:c r="C100" s="9" t="n">
        <x:f aca="1">COUNTIF('Blockquote'!H9:H200,"not started")</x:f>
        <x:v>0</x:v>
      </x:c>
      <x:c r="D100" s="9" t="n">
        <x:f aca="1">COUNTIF('Blockquote'!H9:H200,"partial")</x:f>
        <x:v>0</x:v>
      </x:c>
      <x:c r="E100" s="9" t="n">
        <x:f aca="1">COUNTIF('Blockquote'!H9:H200,"implemented")</x:f>
        <x:v>3</x:v>
      </x:c>
      <x:c r="F100" s="9" t="n">
        <x:f aca="1">COUNTIF('Blockquote'!H9:H200,"tested")</x:f>
        <x:v>12</x:v>
      </x:c>
      <x:c r="G100" s="9" t="n">
        <x:f aca="1">COUNTIF('Blockquote'!H9:H200,"verified")</x:f>
        <x:v>2</x:v>
      </x:c>
      <x:c r="H100" s="9" t="n">
        <x:f aca="1">COUNTIF('Blockquote'!H9:H200,"blocked")</x:f>
        <x:v>0</x:v>
      </x:c>
      <x:c r="I100" s="9" t="n">
        <x:f aca="1">COUNTIF('Blockquote'!H9:H200,"not applicable")</x:f>
        <x:v>0</x:v>
      </x:c>
      <x:c r="J100" s="36" t="n">
        <x:f aca="1">'Blockquote'!H4</x:f>
        <x:v>0.8235294117647058</x:v>
      </x:c>
      <x:c r="K100" s="9" t="str">
        <x:f aca="1">'Blockquote'!K4</x:f>
        <x:v>open</x:v>
      </x:c>
      <x:c r="L100" s="9" t="str">
        <x:f aca="1">'Blockquote'!E5</x:f>
        <x:v>complete</x:v>
      </x:c>
      <x:c r="M100" s="9" t="str">
        <x:f aca="0">IF(AND(J100=1,K100="complete",L100="complete"),"complete",IF(H100&gt;0,"blocked","open"))</x:f>
        <x:v>open</x:v>
      </x:c>
    </x:row>
    <x:row r="101" s="4" customFormat="1" ht="24" hidden="0" customHeight="1">
      <x:c r="A101" s="9" t="s">
        <x:v>109</x:v>
      </x:c>
      <x:c r="B101" s="9" t="n">
        <x:f aca="1">'Highlight'!B4</x:f>
        <x:v>17</x:v>
      </x:c>
      <x:c r="C101" s="9" t="n">
        <x:f aca="1">COUNTIF('Highlight'!H9:H200,"not started")</x:f>
        <x:v>0</x:v>
      </x:c>
      <x:c r="D101" s="9" t="n">
        <x:f aca="1">COUNTIF('Highlight'!H9:H200,"partial")</x:f>
        <x:v>0</x:v>
      </x:c>
      <x:c r="E101" s="9" t="n">
        <x:f aca="1">COUNTIF('Highlight'!H9:H200,"implemented")</x:f>
        <x:v>3</x:v>
      </x:c>
      <x:c r="F101" s="9" t="n">
        <x:f aca="1">COUNTIF('Highlight'!H9:H200,"tested")</x:f>
        <x:v>12</x:v>
      </x:c>
      <x:c r="G101" s="9" t="n">
        <x:f aca="1">COUNTIF('Highlight'!H9:H200,"verified")</x:f>
        <x:v>2</x:v>
      </x:c>
      <x:c r="H101" s="9" t="n">
        <x:f aca="1">COUNTIF('Highlight'!H9:H200,"blocked")</x:f>
        <x:v>0</x:v>
      </x:c>
      <x:c r="I101" s="9" t="n">
        <x:f aca="1">COUNTIF('Highlight'!H9:H200,"not applicable")</x:f>
        <x:v>0</x:v>
      </x:c>
      <x:c r="J101" s="36" t="n">
        <x:f aca="1">'Highlight'!H4</x:f>
        <x:v>0.8235294117647058</x:v>
      </x:c>
      <x:c r="K101" s="9" t="str">
        <x:f aca="1">'Highlight'!K4</x:f>
        <x:v>open</x:v>
      </x:c>
      <x:c r="L101" s="9" t="str">
        <x:f aca="1">'Highlight'!E5</x:f>
        <x:v>complete</x:v>
      </x:c>
      <x:c r="M101" s="9" t="str">
        <x:f aca="0">IF(AND(J101=1,K101="complete",L101="complete"),"complete",IF(H101&gt;0,"blocked","open"))</x:f>
        <x:v>open</x:v>
      </x:c>
    </x:row>
    <x:row r="102" s="4" customFormat="1" ht="24" hidden="0" customHeight="1">
      <x:c r="A102" s="9" t="s">
        <x:v>110</x:v>
      </x:c>
      <x:c r="B102" s="9" t="n">
        <x:f aca="1">'Prose'!B4</x:f>
        <x:v>17</x:v>
      </x:c>
      <x:c r="C102" s="9" t="n">
        <x:f aca="1">COUNTIF('Prose'!H9:H200,"not started")</x:f>
        <x:v>0</x:v>
      </x:c>
      <x:c r="D102" s="9" t="n">
        <x:f aca="1">COUNTIF('Prose'!H9:H200,"partial")</x:f>
        <x:v>0</x:v>
      </x:c>
      <x:c r="E102" s="9" t="n">
        <x:f aca="1">COUNTIF('Prose'!H9:H200,"implemented")</x:f>
        <x:v>3</x:v>
      </x:c>
      <x:c r="F102" s="9" t="n">
        <x:f aca="1">COUNTIF('Prose'!H9:H200,"tested")</x:f>
        <x:v>12</x:v>
      </x:c>
      <x:c r="G102" s="9" t="n">
        <x:f aca="1">COUNTIF('Prose'!H9:H200,"verified")</x:f>
        <x:v>2</x:v>
      </x:c>
      <x:c r="H102" s="9" t="n">
        <x:f aca="1">COUNTIF('Prose'!H9:H200,"blocked")</x:f>
        <x:v>0</x:v>
      </x:c>
      <x:c r="I102" s="9" t="n">
        <x:f aca="1">COUNTIF('Prose'!H9:H200,"not applicable")</x:f>
        <x:v>0</x:v>
      </x:c>
      <x:c r="J102" s="36" t="n">
        <x:f aca="1">'Prose'!H4</x:f>
        <x:v>0.8235294117647058</x:v>
      </x:c>
      <x:c r="K102" s="9" t="str">
        <x:f aca="1">'Prose'!K4</x:f>
        <x:v>open</x:v>
      </x:c>
      <x:c r="L102" s="9" t="str">
        <x:f aca="1">'Prose'!E5</x:f>
        <x:v>complete</x:v>
      </x:c>
      <x:c r="M102" s="9" t="str">
        <x:f aca="0">IF(AND(J102=1,K102="complete",L102="complete"),"complete",IF(H102&gt;0,"blocked","open"))</x:f>
        <x:v>open</x:v>
      </x:c>
    </x:row>
    <x:row r="103">
      <x:c r="A103" s="51" t="str">
        <x:v>Avatar Group</x:v>
      </x:c>
      <x:c r="B103" s="51" t="n">
        <x:f>'Avatar Group'!B4</x:f>
        <x:v>16</x:v>
      </x:c>
      <x:c r="C103" s="51" t="n">
        <x:f>COUNTIF('Avatar Group'!H9:H200,"not started")</x:f>
        <x:v>0</x:v>
      </x:c>
      <x:c r="D103" s="51" t="n">
        <x:f>COUNTIF('Avatar Group'!H9:H200,"partial")</x:f>
        <x:v>0</x:v>
      </x:c>
      <x:c r="E103" s="51" t="n">
        <x:f>COUNTIF('Avatar Group'!H9:H200,"implemented")</x:f>
        <x:v>1</x:v>
      </x:c>
      <x:c r="F103" s="51" t="n">
        <x:f>COUNTIF('Avatar Group'!H9:H200,"tested")</x:f>
        <x:v>12</x:v>
      </x:c>
      <x:c r="G103" s="51" t="n">
        <x:f>COUNTIF('Avatar Group'!H9:H200,"verified")</x:f>
        <x:v>3</x:v>
      </x:c>
      <x:c r="H103" s="51" t="n">
        <x:f>COUNTIF('Avatar Group'!H9:H200,"blocked")</x:f>
        <x:v>0</x:v>
      </x:c>
      <x:c r="I103" s="51" t="n">
        <x:f>COUNTIF('Avatar Group'!H9:H200,"not applicable")</x:f>
        <x:v>0</x:v>
      </x:c>
      <x:c r="J103" s="68" t="n">
        <x:f>'Avatar Group'!H4</x:f>
        <x:v>0.9375</x:v>
      </x:c>
      <x:c r="K103" s="51" t="str">
        <x:f>'Avatar Group'!K4</x:f>
        <x:v>open</x:v>
      </x:c>
      <x:c r="L103" s="51" t="str">
        <x:f>'Avatar Group'!E5</x:f>
        <x:v>complete</x:v>
      </x:c>
      <x:c r="M103" s="51" t="str">
        <x:f>IF(AND(J103=1,K103="complete",L103="complete"),"complete",IF(H103&gt;0,"blocked","open"))</x:f>
        <x:v>open</x:v>
      </x:c>
    </x:row>
    <x:row r="104">
      <x:c r="A104" t="str">
        <x:v>Center</x:v>
      </x:c>
      <x:c r="B104" t="n">
        <x:f>'Center'!B4</x:f>
        <x:v>16</x:v>
      </x:c>
      <x:c r="C104" t="n">
        <x:f>COUNTIF('Center'!H9:H200,"not started")</x:f>
        <x:v>0</x:v>
      </x:c>
      <x:c r="D104" t="n">
        <x:f>COUNTIF('Center'!H9:H200,"partial")</x:f>
        <x:v>0</x:v>
      </x:c>
      <x:c r="E104" t="n">
        <x:f>COUNTIF('Center'!H9:H200,"implemented")</x:f>
        <x:v>4</x:v>
      </x:c>
      <x:c r="F104" t="n">
        <x:f>COUNTIF('Center'!H9:H200,"tested")</x:f>
        <x:v>12</x:v>
      </x:c>
      <x:c r="G104" t="n">
        <x:f>COUNTIF('Center'!H9:H200,"verified")</x:f>
        <x:v>0</x:v>
      </x:c>
      <x:c r="H104" t="n">
        <x:f>COUNTIF('Center'!H9:H200,"blocked")</x:f>
        <x:v>0</x:v>
      </x:c>
      <x:c r="I104" t="n">
        <x:f>COUNTIF('Center'!H9:H200,"not applicable")</x:f>
        <x:v>0</x:v>
      </x:c>
      <x:c r="J104" t="n">
        <x:f>'Center'!H4</x:f>
        <x:v>0.75</x:v>
      </x:c>
      <x:c r="K104" t="str">
        <x:f>'Center'!K4</x:f>
        <x:v>open</x:v>
      </x:c>
      <x:c r="L104" t="str">
        <x:f>'Center'!E5</x:f>
        <x:v>complete</x:v>
      </x:c>
      <x:c r="M104" t="str">
        <x:f>IF(AND(J104=1,K104="complete",L104="complete"),"complete",IF(H104&gt;0,"blocked","open"))</x:f>
        <x:v>open</x:v>
      </x:c>
    </x:row>
    <x:row r="105">
      <x:c r="A105" t="str">
        <x:v>Square</x:v>
      </x:c>
      <x:c r="B105" t="n">
        <x:f>'Square'!B4</x:f>
        <x:v>16</x:v>
      </x:c>
      <x:c r="C105" t="n">
        <x:f>COUNTIF('Square'!H9:H200,"not started")</x:f>
        <x:v>0</x:v>
      </x:c>
      <x:c r="D105" t="n">
        <x:f>COUNTIF('Square'!H9:H200,"partial")</x:f>
        <x:v>0</x:v>
      </x:c>
      <x:c r="E105" t="n">
        <x:f>COUNTIF('Square'!H9:H200,"implemented")</x:f>
        <x:v>4</x:v>
      </x:c>
      <x:c r="F105" t="n">
        <x:f>COUNTIF('Square'!H9:H200,"tested")</x:f>
        <x:v>12</x:v>
      </x:c>
      <x:c r="G105" t="n">
        <x:f>COUNTIF('Square'!H9:H200,"verified")</x:f>
        <x:v>0</x:v>
      </x:c>
      <x:c r="H105" t="n">
        <x:f>COUNTIF('Square'!H9:H200,"blocked")</x:f>
        <x:v>0</x:v>
      </x:c>
      <x:c r="I105" t="n">
        <x:f>COUNTIF('Square'!H9:H200,"not applicable")</x:f>
        <x:v>0</x:v>
      </x:c>
      <x:c r="J105" t="n">
        <x:f>'Square'!H4</x:f>
        <x:v>0.75</x:v>
      </x:c>
      <x:c r="K105" t="str">
        <x:f>'Square'!K4</x:f>
        <x:v>open</x:v>
      </x:c>
      <x:c r="L105" t="str">
        <x:f>'Square'!E5</x:f>
        <x:v>complete</x:v>
      </x:c>
      <x:c r="M105" t="str">
        <x:f>IF(AND(J105=1,K105="complete",L105="complete"),"complete",IF(H105&gt;0,"blocked","open"))</x:f>
        <x:v>open</x:v>
      </x:c>
    </x:row>
    <x:row r="106">
      <x:c r="A106" t="str">
        <x:v>Circle</x:v>
      </x:c>
      <x:c r="B106" t="n">
        <x:f>'Circle'!B4</x:f>
        <x:v>16</x:v>
      </x:c>
      <x:c r="C106" t="n">
        <x:f>COUNTIF('Circle'!H9:H200,"not started")</x:f>
        <x:v>0</x:v>
      </x:c>
      <x:c r="D106" t="n">
        <x:f>COUNTIF('Circle'!H9:H200,"partial")</x:f>
        <x:v>0</x:v>
      </x:c>
      <x:c r="E106" t="n">
        <x:f>COUNTIF('Circle'!H9:H200,"implemented")</x:f>
        <x:v>4</x:v>
      </x:c>
      <x:c r="F106" t="n">
        <x:f>COUNTIF('Circle'!H9:H200,"tested")</x:f>
        <x:v>12</x:v>
      </x:c>
      <x:c r="G106" t="n">
        <x:f>COUNTIF('Circle'!H9:H200,"verified")</x:f>
        <x:v>0</x:v>
      </x:c>
      <x:c r="H106" t="n">
        <x:f>COUNTIF('Circle'!H9:H200,"blocked")</x:f>
        <x:v>0</x:v>
      </x:c>
      <x:c r="I106" t="n">
        <x:f>COUNTIF('Circle'!H9:H200,"not applicable")</x:f>
        <x:v>0</x:v>
      </x:c>
      <x:c r="J106" t="n">
        <x:f>'Circle'!H4</x:f>
        <x:v>0.75</x:v>
      </x:c>
      <x:c r="K106" t="str">
        <x:f>'Circle'!K4</x:f>
        <x:v>open</x:v>
      </x:c>
      <x:c r="L106" t="str">
        <x:f>'Circle'!E5</x:f>
        <x:v>complete</x:v>
      </x:c>
      <x:c r="M106" t="str">
        <x:f>IF(AND(J106=1,K106="complete",L106="complete"),"complete",IF(H106&gt;0,"blocked","open"))</x:f>
        <x:v>open</x:v>
      </x:c>
    </x:row>
    <x:row r="107">
      <x:c r="A107" t="str">
        <x:v>Radio Card</x:v>
      </x:c>
      <x:c r="B107" t="n">
        <x:f>'Radio Card'!B4</x:f>
        <x:v>20</x:v>
      </x:c>
      <x:c r="C107" t="n">
        <x:f>COUNTIF('Radio Card'!H9:H200,"not started")</x:f>
        <x:v>0</x:v>
      </x:c>
      <x:c r="D107" t="n">
        <x:f>COUNTIF('Radio Card'!H9:H200,"partial")</x:f>
        <x:v>0</x:v>
      </x:c>
      <x:c r="E107" t="n">
        <x:f>COUNTIF('Radio Card'!H9:H200,"implemented")</x:f>
        <x:v>1</x:v>
      </x:c>
      <x:c r="F107" t="n">
        <x:f>COUNTIF('Radio Card'!H9:H200,"tested")</x:f>
        <x:v>16</x:v>
      </x:c>
      <x:c r="G107" t="n">
        <x:f>COUNTIF('Radio Card'!H9:H200,"verified")</x:f>
        <x:v>3</x:v>
      </x:c>
      <x:c r="H107" t="n">
        <x:f>COUNTIF('Radio Card'!H9:H200,"blocked")</x:f>
        <x:v>0</x:v>
      </x:c>
      <x:c r="I107" t="n">
        <x:f>COUNTIF('Radio Card'!H9:H200,"not applicable")</x:f>
        <x:v>0</x:v>
      </x:c>
      <x:c r="J107" t="n">
        <x:f>'Radio Card'!H4</x:f>
        <x:v>0.95</x:v>
      </x:c>
      <x:c r="K107" t="str">
        <x:f>'Radio Card'!K4</x:f>
        <x:v>complete</x:v>
      </x:c>
      <x:c r="L107" t="str">
        <x:f>'Radio Card'!E5</x:f>
        <x:v>complete</x:v>
      </x:c>
      <x:c r="M107" t="str">
        <x:f>IF(AND(J107=1,K107="complete",L107="complete"),"complete",IF(H107&gt;0,"blocked","open"))</x:f>
        <x:v>open</x:v>
      </x:c>
    </x:row>
    <x:row r="108">
      <x:c r="A108" t="str">
        <x:v>Locale Provider</x:v>
      </x:c>
      <x:c r="B108" t="n">
        <x:f>'Locale Provider'!B4</x:f>
        <x:v>16</x:v>
      </x:c>
      <x:c r="C108" t="n">
        <x:f>COUNTIF('Locale Provider'!H9:H200,"not started")</x:f>
        <x:v>0</x:v>
      </x:c>
      <x:c r="D108" t="n">
        <x:f>COUNTIF('Locale Provider'!H9:H200,"partial")</x:f>
        <x:v>0</x:v>
      </x:c>
      <x:c r="E108" t="n">
        <x:f>COUNTIF('Locale Provider'!H9:H200,"implemented")</x:f>
        <x:v>5</x:v>
      </x:c>
      <x:c r="F108" t="n">
        <x:f>COUNTIF('Locale Provider'!H9:H200,"tested")</x:f>
        <x:v>11</x:v>
      </x:c>
      <x:c r="G108" t="n">
        <x:f>COUNTIF('Locale Provider'!H9:H200,"verified")</x:f>
        <x:v>0</x:v>
      </x:c>
      <x:c r="H108" t="n">
        <x:f>COUNTIF('Locale Provider'!H9:H200,"blocked")</x:f>
        <x:v>0</x:v>
      </x:c>
      <x:c r="I108" t="n">
        <x:f>COUNTIF('Locale Provider'!H9:H200,"not applicable")</x:f>
        <x:v>0</x:v>
      </x:c>
      <x:c r="J108" t="n">
        <x:f>'Locale Provider'!H4</x:f>
        <x:v>0.6875</x:v>
      </x:c>
      <x:c r="K108" t="str">
        <x:f>'Locale Provider'!K4</x:f>
        <x:v>open</x:v>
      </x:c>
      <x:c r="L108" t="str">
        <x:f>'Locale Provider'!E5</x:f>
        <x:v>open</x:v>
      </x:c>
      <x:c r="M108" t="str">
        <x:f>IF(AND(J108=1,K108="complete",L108="complete"),"complete",IF(H108&gt;0,"blocked","open"))</x:f>
        <x:v>open</x:v>
      </x:c>
    </x:row>
    <x:row r="109">
      <x:c r="A109" t="str">
        <x:v>Format Number</x:v>
      </x:c>
      <x:c r="B109" t="n">
        <x:f>'Format Number'!B4</x:f>
        <x:v>16</x:v>
      </x:c>
      <x:c r="C109" t="n">
        <x:f>COUNTIF('Format Number'!H9:H200,"not started")</x:f>
        <x:v>0</x:v>
      </x:c>
      <x:c r="D109" t="n">
        <x:f>COUNTIF('Format Number'!H9:H200,"partial")</x:f>
        <x:v>0</x:v>
      </x:c>
      <x:c r="E109" t="n">
        <x:f>COUNTIF('Format Number'!H9:H200,"implemented")</x:f>
        <x:v>5</x:v>
      </x:c>
      <x:c r="F109" t="n">
        <x:f>COUNTIF('Format Number'!H9:H200,"tested")</x:f>
        <x:v>11</x:v>
      </x:c>
      <x:c r="G109" t="n">
        <x:f>COUNTIF('Format Number'!H9:H200,"verified")</x:f>
        <x:v>0</x:v>
      </x:c>
      <x:c r="H109" t="n">
        <x:f>COUNTIF('Format Number'!H9:H200,"blocked")</x:f>
        <x:v>0</x:v>
      </x:c>
      <x:c r="I109" t="n">
        <x:f>COUNTIF('Format Number'!H9:H200,"not applicable")</x:f>
        <x:v>0</x:v>
      </x:c>
      <x:c r="J109" t="n">
        <x:f>'Format Number'!H4</x:f>
        <x:v>0.6875</x:v>
      </x:c>
      <x:c r="K109" t="str">
        <x:f>'Format Number'!K4</x:f>
        <x:v>open</x:v>
      </x:c>
      <x:c r="L109" t="str">
        <x:f>'Format Number'!E5</x:f>
        <x:v>open</x:v>
      </x:c>
      <x:c r="M109" t="str">
        <x:f>IF(AND(J109=1,K109="complete",L109="complete"),"complete",IF(H109&gt;0,"blocked","open"))</x:f>
        <x:v>open</x:v>
      </x:c>
    </x:row>
    <x:row r="110">
      <x:c r="A110" t="str">
        <x:v>Format Byte</x:v>
      </x:c>
      <x:c r="B110" t="n">
        <x:f>'Format Byte'!B4</x:f>
        <x:v>16</x:v>
      </x:c>
      <x:c r="C110" t="n">
        <x:f>COUNTIF('Format Byte'!H9:H200,"not started")</x:f>
        <x:v>0</x:v>
      </x:c>
      <x:c r="D110" t="n">
        <x:f>COUNTIF('Format Byte'!H9:H200,"partial")</x:f>
        <x:v>0</x:v>
      </x:c>
      <x:c r="E110" t="n">
        <x:f>COUNTIF('Format Byte'!H9:H200,"implemented")</x:f>
        <x:v>5</x:v>
      </x:c>
      <x:c r="F110" t="n">
        <x:f>COUNTIF('Format Byte'!H9:H200,"tested")</x:f>
        <x:v>11</x:v>
      </x:c>
      <x:c r="G110" t="n">
        <x:f>COUNTIF('Format Byte'!H9:H200,"verified")</x:f>
        <x:v>0</x:v>
      </x:c>
      <x:c r="H110" t="n">
        <x:f>COUNTIF('Format Byte'!H9:H200,"blocked")</x:f>
        <x:v>0</x:v>
      </x:c>
      <x:c r="I110" t="n">
        <x:f>COUNTIF('Format Byte'!H9:H200,"not applicable")</x:f>
        <x:v>0</x:v>
      </x:c>
      <x:c r="J110" t="n">
        <x:f>'Format Byte'!H4</x:f>
        <x:v>0.6875</x:v>
      </x:c>
      <x:c r="K110" t="str">
        <x:f>'Format Byte'!K4</x:f>
        <x:v>open</x:v>
      </x:c>
      <x:c r="L110" t="str">
        <x:f>'Format Byte'!E5</x:f>
        <x:v>open</x:v>
      </x:c>
      <x:c r="M110" t="str">
        <x:f>IF(AND(J110=1,K110="complete",L110="complete"),"complete",IF(H110&gt;0,"blocked","open"))</x:f>
        <x:v>open</x:v>
      </x:c>
    </x:row>
    <x:row r="111">
      <x:c r="A111" t="str">
        <x:v>For</x:v>
      </x:c>
      <x:c r="B111" t="n">
        <x:f>'For'!B4</x:f>
        <x:v>16</x:v>
      </x:c>
      <x:c r="C111" t="n">
        <x:f>COUNTIF('For'!H9:H200,"not started")</x:f>
        <x:v>0</x:v>
      </x:c>
      <x:c r="D111" t="n">
        <x:f>COUNTIF('For'!H9:H200,"partial")</x:f>
        <x:v>0</x:v>
      </x:c>
      <x:c r="E111" t="n">
        <x:f>COUNTIF('For'!H9:H200,"implemented")</x:f>
        <x:v>5</x:v>
      </x:c>
      <x:c r="F111" t="n">
        <x:f>COUNTIF('For'!H9:H200,"tested")</x:f>
        <x:v>11</x:v>
      </x:c>
      <x:c r="G111" t="n">
        <x:f>COUNTIF('For'!H9:H200,"verified")</x:f>
        <x:v>0</x:v>
      </x:c>
      <x:c r="H111" t="n">
        <x:f>COUNTIF('For'!H9:H200,"blocked")</x:f>
        <x:v>0</x:v>
      </x:c>
      <x:c r="I111" t="n">
        <x:f>COUNTIF('For'!H9:H200,"not applicable")</x:f>
        <x:v>0</x:v>
      </x:c>
      <x:c r="J111" t="n">
        <x:f>'For'!H4</x:f>
        <x:v>0.6875</x:v>
      </x:c>
      <x:c r="K111" t="str">
        <x:f>'For'!K4</x:f>
        <x:v>open</x:v>
      </x:c>
      <x:c r="L111" t="str">
        <x:f>'For'!E5</x:f>
        <x:v>open</x:v>
      </x:c>
      <x:c r="M111" t="str">
        <x:f>IF(AND(J111=1,K111="complete",L111="complete"),"complete",IF(H111&gt;0,"blocked","open"))</x:f>
        <x:v>open</x:v>
      </x:c>
    </x:row>
    <x:row r="112">
      <x:c r="A112" t="str">
        <x:v>Checkmark</x:v>
      </x:c>
      <x:c r="B112" t="n">
        <x:f>'Checkmark'!B4</x:f>
        <x:v>16</x:v>
      </x:c>
      <x:c r="C112" t="n">
        <x:f>COUNTIF('Checkmark'!H9:H200,"not started")</x:f>
        <x:v>0</x:v>
      </x:c>
      <x:c r="D112" t="n">
        <x:f>COUNTIF('Checkmark'!H9:H200,"partial")</x:f>
        <x:v>0</x:v>
      </x:c>
      <x:c r="E112" t="n">
        <x:f>COUNTIF('Checkmark'!H9:H200,"implemented")</x:f>
        <x:v>5</x:v>
      </x:c>
      <x:c r="F112" t="n">
        <x:f>COUNTIF('Checkmark'!H9:H200,"tested")</x:f>
        <x:v>11</x:v>
      </x:c>
      <x:c r="G112" t="n">
        <x:f>COUNTIF('Checkmark'!H9:H200,"verified")</x:f>
        <x:v>0</x:v>
      </x:c>
      <x:c r="H112" t="n">
        <x:f>COUNTIF('Checkmark'!H9:H200,"blocked")</x:f>
        <x:v>0</x:v>
      </x:c>
      <x:c r="I112" t="n">
        <x:f>COUNTIF('Checkmark'!H9:H200,"not applicable")</x:f>
        <x:v>0</x:v>
      </x:c>
      <x:c r="J112" t="n">
        <x:f>'Checkmark'!H4</x:f>
        <x:v>0.6875</x:v>
      </x:c>
      <x:c r="K112" t="str">
        <x:f>'Checkmark'!K4</x:f>
        <x:v>open</x:v>
      </x:c>
      <x:c r="L112" t="str">
        <x:f>'Checkmark'!E5</x:f>
        <x:v>open</x:v>
      </x:c>
      <x:c r="M112" t="str">
        <x:f>IF(AND(J112=1,K112="complete",L112="complete"),"complete",IF(H112&gt;0,"blocked","open"))</x:f>
        <x:v>open</x:v>
      </x:c>
    </x:row>
    <x:row r="113">
      <x:c r="A113" t="str">
        <x:v>Radiomark</x:v>
      </x:c>
      <x:c r="B113" t="n">
        <x:f>'Radiomark'!B4</x:f>
        <x:v>16</x:v>
      </x:c>
      <x:c r="C113" t="n">
        <x:f>COUNTIF('Radiomark'!H9:H200,"not started")</x:f>
        <x:v>0</x:v>
      </x:c>
      <x:c r="D113" t="n">
        <x:f>COUNTIF('Radiomark'!H9:H200,"partial")</x:f>
        <x:v>0</x:v>
      </x:c>
      <x:c r="E113" t="n">
        <x:f>COUNTIF('Radiomark'!H9:H200,"implemented")</x:f>
        <x:v>5</x:v>
      </x:c>
      <x:c r="F113" t="n">
        <x:f>COUNTIF('Radiomark'!H9:H200,"tested")</x:f>
        <x:v>11</x:v>
      </x:c>
      <x:c r="G113" t="n">
        <x:f>COUNTIF('Radiomark'!H9:H200,"verified")</x:f>
        <x:v>0</x:v>
      </x:c>
      <x:c r="H113" t="n">
        <x:f>COUNTIF('Radiomark'!H9:H200,"blocked")</x:f>
        <x:v>0</x:v>
      </x:c>
      <x:c r="I113" t="n">
        <x:f>COUNTIF('Radiomark'!H9:H200,"not applicable")</x:f>
        <x:v>0</x:v>
      </x:c>
      <x:c r="J113" t="n">
        <x:f>'Radiomark'!H4</x:f>
        <x:v>0.6875</x:v>
      </x:c>
      <x:c r="K113" t="str">
        <x:f>'Radiomark'!K4</x:f>
        <x:v>open</x:v>
      </x:c>
      <x:c r="L113" t="str">
        <x:f>'Radiomark'!E5</x:f>
        <x:v>open</x:v>
      </x:c>
      <x:c r="M113" t="str">
        <x:f>IF(AND(J113=1,K113="complete",L113="complete"),"complete",IF(H113&gt;0,"blocked","open"))</x:f>
        <x:v>open</x:v>
      </x:c>
    </x:row>
  </x:sheetData>
  <x:mergeCells>
    <x:mergeCell ref="A1:M1"/>
    <x:mergeCell ref="A2:M2"/>
  </x:mergeCells>
  <x:conditionalFormatting sqref="M8:M82">
    <x:cfRule type="containsText" dxfId="4" priority="2" aboveAverage="0" percent="0" bottom="0" operator="containsText" text="complete" rank="0" equalAverage="0">
      <x:formula>NOT(ISERROR(SEARCH("complete",M8)))</x:formula>
    </x:cfRule>
  </x:conditionalFormatting>
  <x:conditionalFormatting sqref="M83:M95">
    <x:cfRule type="containsText" dxfId="4" priority="3" aboveAverage="0" percent="0" bottom="0" operator="containsText" text="complete" rank="0" equalAverage="0">
      <x:formula>NOT(ISERROR(SEARCH("complete",M83)))</x:formula>
    </x:cfRule>
    <x:cfRule type="containsText" dxfId="4" priority="4" aboveAverage="0" percent="0" bottom="0" operator="containsText" text="complete" rank="0" equalAverage="0">
      <x:formula>NOT(ISERROR(SEARCH("complete",M83)))</x:formula>
    </x:cfRule>
    <x:cfRule type="containsText" dxfId="4" priority="5" aboveAverage="0" percent="0" bottom="0" operator="containsText" text="complete" rank="0" equalAverage="0">
      <x:formula>NOT(ISERROR(SEARCH("complete",M83)))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054c8be9dda4bb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4.709999084472656" style="1" hidden="0" customWidth="1"/>
    <x:col min="2" max="2" width="105.70999908447266" style="1" hidden="0" customWidth="1"/>
  </x:cols>
  <x:sheetData>
    <x:row r="1" s="4" customFormat="1" ht="37.5" hidden="0" customHeight="1">
      <x:c r="A1" s="3" t="s">
        <x:v>111</x:v>
      </x:c>
      <x:c r="B1" s="3"/>
      <x:c r="C1" s="3"/>
      <x:c r="D1" s="3"/>
    </x:row>
    <x:row r="2" s="4" customFormat="1" ht="27.75" hidden="0" customHeight="1">
      <x:c r="A2" s="5" t="s">
        <x:v>112</x:v>
      </x:c>
      <x:c r="B2" s="5"/>
      <x:c r="C2" s="5"/>
      <x:c r="D2" s="5"/>
    </x:row>
    <x:row r="3" s="4" customFormat="1" ht="15" hidden="0" customHeight="1">
      <x:c r="A3" s="1" t="s">
        <x:v>113</x:v>
      </x:c>
      <x:c r="B3" s="1" t="s">
        <x:v>114</x:v>
      </x:c>
    </x:row>
    <x:row r="4" s="4" customFormat="1" ht="30" hidden="0" customHeight="1">
      <x:c r="A4" s="1" t="s">
        <x:v>115</x:v>
      </x:c>
      <x:c r="B4" s="1" t="s">
        <x:v>116</x:v>
      </x:c>
    </x:row>
    <x:row r="5" s="4" customFormat="1" ht="30" hidden="0" customHeight="1">
      <x:c r="A5" s="1" t="s">
        <x:v>117</x:v>
      </x:c>
      <x:c r="B5" s="1" t="s">
        <x:v>118</x:v>
      </x:c>
    </x:row>
    <x:row r="6" s="4" customFormat="1" ht="30" hidden="0" customHeight="1">
      <x:c r="A6" s="1" t="s">
        <x:v>119</x:v>
      </x:c>
      <x:c r="B6" s="1" t="s">
        <x:v>120</x:v>
      </x:c>
    </x:row>
    <x:row r="7" s="4" customFormat="1" ht="30" hidden="0" customHeight="1">
      <x:c r="A7" s="1" t="s">
        <x:v>121</x:v>
      </x:c>
      <x:c r="B7" s="1" t="s">
        <x:v>122</x:v>
      </x:c>
    </x:row>
    <x:row r="8" s="4" customFormat="1" ht="30" hidden="0" customHeight="1">
      <x:c r="A8" s="1" t="s">
        <x:v>123</x:v>
      </x:c>
      <x:c r="B8" s="1" t="s">
        <x:v>124</x:v>
      </x:c>
    </x:row>
    <x:row r="9" s="4" customFormat="1" ht="30" hidden="0" customHeight="1">
      <x:c r="A9" s="1" t="s">
        <x:v>125</x:v>
      </x:c>
      <x:c r="B9" s="1" t="s">
        <x:v>126</x:v>
      </x:c>
    </x:row>
    <x:row r="10" s="4" customFormat="1" ht="30" hidden="0" customHeight="1">
      <x:c r="A10" s="1" t="s">
        <x:v>127</x:v>
      </x:c>
      <x:c r="B10" s="1" t="s">
        <x:v>128</x:v>
      </x:c>
    </x:row>
    <x:row r="11" s="4" customFormat="1" ht="30" hidden="0" customHeight="1">
      <x:c r="A11" s="1" t="s">
        <x:v>129</x:v>
      </x:c>
      <x:c r="B11" s="1" t="s">
        <x:v>130</x:v>
      </x:c>
    </x:row>
    <x:row r="12" s="4" customFormat="1" ht="30" hidden="0" customHeight="1">
      <x:c r="A12" s="1" t="s">
        <x:v>131</x:v>
      </x:c>
      <x:c r="B12" s="1" t="s">
        <x:v>132</x:v>
      </x:c>
    </x:row>
    <x:row r="13" s="4" customFormat="1" ht="30" hidden="0" customHeight="1">
      <x:c r="A13" s="1" t="s">
        <x:v>133</x:v>
      </x:c>
      <x:c r="B13" s="1" t="s">
        <x:v>134</x:v>
      </x:c>
    </x:row>
    <x:row r="14" s="4" customFormat="1" ht="30" hidden="0" customHeight="1">
      <x:c r="A14" s="1" t="s">
        <x:v>135</x:v>
      </x:c>
      <x:c r="B14" s="1" t="s">
        <x:v>136</x:v>
      </x:c>
    </x:row>
    <x:row r="15" s="4" customFormat="1" ht="30" hidden="0" customHeight="1">
      <x:c r="A15" s="1" t="s">
        <x:v>137</x:v>
      </x:c>
      <x:c r="B15" s="1" t="s">
        <x:v>138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b1e0892e05542d6"/>
  </x:tableParts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sheetData>
    <x:row r="1" s="4" customFormat="1" ht="15" hidden="0" customHeight="1">
      <x:c r="A1" s="1" t="s">
        <x:v>119</x:v>
      </x:c>
      <x:c r="B1" s="1" t="s">
        <x:v>139</x:v>
      </x:c>
    </x:row>
    <x:row r="2" s="4" customFormat="1" ht="15" hidden="0" customHeight="1">
      <x:c r="A2" s="1" t="s">
        <x:v>121</x:v>
      </x:c>
      <x:c r="B2" s="1" t="s">
        <x:v>140</x:v>
      </x:c>
    </x:row>
    <x:row r="3" s="4" customFormat="1" ht="15" hidden="0" customHeight="1">
      <x:c r="A3" s="1" t="s">
        <x:v>123</x:v>
      </x:c>
    </x:row>
    <x:row r="4" s="4" customFormat="1" ht="15" hidden="0" customHeight="1">
      <x:c r="A4" s="1" t="s">
        <x:v>125</x:v>
      </x:c>
    </x:row>
    <x:row r="5" s="4" customFormat="1" ht="15" hidden="0" customHeight="1">
      <x:c r="A5" s="1" t="s">
        <x:v>127</x:v>
      </x:c>
    </x:row>
    <x:row r="6" s="4" customFormat="1" ht="15" hidden="0" customHeight="1">
      <x:c r="A6" s="1" t="s">
        <x:v>129</x:v>
      </x:c>
    </x:row>
    <x:row r="7" s="4" customFormat="1" ht="15" hidden="0" customHeight="1">
      <x:c r="A7" s="1" t="s">
        <x:v>131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141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156</x:v>
      </x:c>
      <x:c r="B9" s="1" t="s">
        <x:v>157</x:v>
      </x:c>
      <x:c r="C9" s="1" t="s">
        <x:v>158</x:v>
      </x:c>
      <x:c r="D9" s="1" t="s">
        <x:v>159</x:v>
      </x:c>
      <x:c r="E9" s="1" t="s">
        <x:v>160</x:v>
      </x:c>
      <x:c r="F9" s="1" t="s">
        <x:v>161</x:v>
      </x:c>
      <x:c r="G9" s="1" t="s">
        <x:v>162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163</x:v>
      </x:c>
      <x:c r="B10" s="1" t="s">
        <x:v>164</x:v>
      </x:c>
      <x:c r="C10" s="1" t="s">
        <x:v>158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167</x:v>
      </x:c>
      <x:c r="B11" s="1" t="s">
        <x:v>168</x:v>
      </x:c>
      <x:c r="C11" s="1" t="s">
        <x:v>158</x:v>
      </x:c>
      <x:c r="D11" s="1" t="s">
        <x:v>169</x:v>
      </x:c>
      <x:c r="E11" s="1" t="s">
        <x:v>160</x:v>
      </x:c>
      <x:c r="F11" s="1" t="s">
        <x:v>170</x:v>
      </x:c>
      <x:c r="G11" s="1" t="s">
        <x:v>171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172</x:v>
      </x:c>
      <x:c r="B12" s="1" t="s">
        <x:v>173</x:v>
      </x:c>
      <x:c r="C12" s="1" t="s">
        <x:v>158</x:v>
      </x:c>
      <x:c r="D12" s="1" t="s">
        <x:v>174</x:v>
      </x:c>
      <x:c r="E12" s="1" t="s">
        <x:v>160</x:v>
      </x:c>
      <x:c r="F12" s="1" t="s">
        <x:v>175</x:v>
      </x:c>
      <x:c r="G12" s="1" t="s">
        <x:v>176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177</x:v>
      </x:c>
      <x:c r="B13" s="1" t="s">
        <x:v>178</x:v>
      </x:c>
      <x:c r="C13" s="1" t="s">
        <x:v>158</x:v>
      </x:c>
      <x:c r="D13" s="1" t="s">
        <x:v>179</x:v>
      </x:c>
      <x:c r="E13" s="1" t="s">
        <x:v>160</x:v>
      </x:c>
      <x:c r="F13" s="1" t="s">
        <x:v>180</x:v>
      </x:c>
      <x:c r="G13" s="1" t="s">
        <x:v>181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182</x:v>
      </x:c>
      <x:c r="B14" s="1" t="s">
        <x:v>183</x:v>
      </x:c>
      <x:c r="C14" s="1" t="s">
        <x:v>158</x:v>
      </x:c>
      <x:c r="D14" s="1" t="s">
        <x:v>184</x:v>
      </x:c>
      <x:c r="E14" s="1" t="s">
        <x:v>160</x:v>
      </x:c>
      <x:c r="F14" s="1" t="s">
        <x:v>185</x:v>
      </x:c>
      <x:c r="G14" s="1" t="s">
        <x:v>186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187</x:v>
      </x:c>
      <x:c r="B15" s="1" t="s">
        <x:v>188</x:v>
      </x:c>
      <x:c r="C15" s="1" t="s">
        <x:v>158</x:v>
      </x:c>
      <x:c r="D15" s="1" t="s">
        <x:v>189</x:v>
      </x:c>
      <x:c r="E15" s="1" t="s">
        <x:v>160</x:v>
      </x:c>
      <x:c r="F15" s="1" t="s">
        <x:v>190</x:v>
      </x:c>
      <x:c r="G15" s="1" t="s">
        <x:v>191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192</x:v>
      </x:c>
      <x:c r="B16" s="1" t="s">
        <x:v>193</x:v>
      </x:c>
      <x:c r="C16" s="1" t="s">
        <x:v>158</x:v>
      </x:c>
      <x:c r="D16" s="1" t="s">
        <x:v>194</x:v>
      </x:c>
      <x:c r="E16" s="1" t="s">
        <x:v>160</x:v>
      </x:c>
      <x:c r="F16" s="1" t="s">
        <x:v>195</x:v>
      </x:c>
      <x:c r="G16" s="1" t="s">
        <x:v>196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198</x:v>
      </x:c>
      <x:c r="B17" s="1" t="s">
        <x:v>199</x:v>
      </x:c>
      <x:c r="C17" s="1" t="s">
        <x:v>158</x:v>
      </x:c>
      <x:c r="D17" s="1" t="s">
        <x:v>200</x:v>
      </x:c>
      <x:c r="E17" s="1" t="s">
        <x:v>160</x:v>
      </x:c>
      <x:c r="F17" s="1" t="s">
        <x:v>201</x:v>
      </x:c>
      <x:c r="G17" s="1" t="s">
        <x:v>202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204</x:v>
      </x:c>
      <x:c r="B18" s="1" t="s">
        <x:v>205</x:v>
      </x:c>
      <x:c r="C18" s="1" t="s">
        <x:v>158</x:v>
      </x:c>
      <x:c r="D18" s="1" t="s">
        <x:v>206</x:v>
      </x:c>
      <x:c r="E18" s="1" t="s">
        <x:v>160</x:v>
      </x:c>
      <x:c r="F18" s="1" t="s">
        <x:v>201</x:v>
      </x:c>
      <x:c r="G18" s="1" t="s">
        <x:v>202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207</x:v>
      </x:c>
      <x:c r="B19" s="1" t="s">
        <x:v>208</x:v>
      </x:c>
      <x:c r="C19" s="1" t="s">
        <x:v>158</x:v>
      </x:c>
      <x:c r="D19" s="1" t="s">
        <x:v>209</x:v>
      </x:c>
      <x:c r="E19" s="1" t="s">
        <x:v>160</x:v>
      </x:c>
      <x:c r="F19" s="1" t="s">
        <x:v>201</x:v>
      </x:c>
      <x:c r="G19" s="1" t="s">
        <x:v>210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211</x:v>
      </x:c>
      <x:c r="B20" s="1" t="s">
        <x:v>212</x:v>
      </x:c>
      <x:c r="C20" s="1" t="s">
        <x:v>158</x:v>
      </x:c>
      <x:c r="D20" s="1" t="s">
        <x:v>213</x:v>
      </x:c>
      <x:c r="E20" s="1" t="s">
        <x:v>160</x:v>
      </x:c>
      <x:c r="F20" s="1" t="s">
        <x:v>201</x:v>
      </x:c>
      <x:c r="G20" s="1" t="s">
        <x:v>202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214</x:v>
      </x:c>
      <x:c r="B21" s="1" t="s">
        <x:v>215</x:v>
      </x:c>
      <x:c r="C21" s="1" t="s">
        <x:v>158</x:v>
      </x:c>
      <x:c r="D21" s="1" t="s">
        <x:v>216</x:v>
      </x:c>
      <x:c r="E21" s="1" t="s">
        <x:v>160</x:v>
      </x:c>
      <x:c r="F21" s="1" t="s">
        <x:v>217</x:v>
      </x:c>
      <x:c r="G21" s="1" t="s">
        <x:v>218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219</x:v>
      </x:c>
      <x:c r="B22" s="1" t="s">
        <x:v>220</x:v>
      </x:c>
      <x:c r="C22" s="1" t="s">
        <x:v>158</x:v>
      </x:c>
      <x:c r="D22" s="1" t="s">
        <x:v>221</x:v>
      </x:c>
      <x:c r="E22" s="1" t="s">
        <x:v>160</x:v>
      </x:c>
      <x:c r="F22" s="1" t="s">
        <x:v>217</x:v>
      </x:c>
      <x:c r="G22" s="1" t="s">
        <x:v>222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223</x:v>
      </x:c>
      <x:c r="B23" s="1" t="s">
        <x:v>224</x:v>
      </x:c>
      <x:c r="C23" s="1" t="s">
        <x:v>158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228</x:v>
      </x:c>
      <x:c r="B24" s="1" t="s">
        <x:v>229</x:v>
      </x:c>
      <x:c r="C24" s="1" t="s">
        <x:v>158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4ee66255acd456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232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233</x:v>
      </x:c>
      <x:c r="B9" s="1" t="s">
        <x:v>157</x:v>
      </x:c>
      <x:c r="C9" s="1" t="s">
        <x:v>234</x:v>
      </x:c>
      <x:c r="D9" s="1" t="s">
        <x:v>159</x:v>
      </x:c>
      <x:c r="E9" s="1" t="s">
        <x:v>160</x:v>
      </x:c>
      <x:c r="F9" s="1" t="s">
        <x:v>161</x:v>
      </x:c>
      <x:c r="G9" s="1" t="s">
        <x:v>235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236</x:v>
      </x:c>
      <x:c r="B10" s="1" t="s">
        <x:v>164</x:v>
      </x:c>
      <x:c r="C10" s="1" t="s">
        <x:v>234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237</x:v>
      </x:c>
      <x:c r="B11" s="1" t="s">
        <x:v>168</x:v>
      </x:c>
      <x:c r="C11" s="1" t="s">
        <x:v>234</x:v>
      </x:c>
      <x:c r="D11" s="1" t="s">
        <x:v>169</x:v>
      </x:c>
      <x:c r="E11" s="1" t="s">
        <x:v>160</x:v>
      </x:c>
      <x:c r="F11" s="1" t="s">
        <x:v>170</x:v>
      </x:c>
      <x:c r="G11" s="1" t="s">
        <x:v>238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239</x:v>
      </x:c>
      <x:c r="B12" s="1" t="s">
        <x:v>173</x:v>
      </x:c>
      <x:c r="C12" s="1" t="s">
        <x:v>234</x:v>
      </x:c>
      <x:c r="D12" s="1" t="s">
        <x:v>174</x:v>
      </x:c>
      <x:c r="E12" s="1" t="s">
        <x:v>160</x:v>
      </x:c>
      <x:c r="F12" s="1" t="s">
        <x:v>175</x:v>
      </x:c>
      <x:c r="G12" s="1" t="s">
        <x:v>240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241</x:v>
      </x:c>
      <x:c r="B13" s="1" t="s">
        <x:v>178</x:v>
      </x:c>
      <x:c r="C13" s="1" t="s">
        <x:v>234</x:v>
      </x:c>
      <x:c r="D13" s="1" t="s">
        <x:v>179</x:v>
      </x:c>
      <x:c r="E13" s="1" t="s">
        <x:v>160</x:v>
      </x:c>
      <x:c r="F13" s="1" t="s">
        <x:v>180</x:v>
      </x:c>
      <x:c r="G13" s="1" t="s">
        <x:v>242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243</x:v>
      </x:c>
      <x:c r="B14" s="1" t="s">
        <x:v>183</x:v>
      </x:c>
      <x:c r="C14" s="1" t="s">
        <x:v>234</x:v>
      </x:c>
      <x:c r="D14" s="1" t="s">
        <x:v>184</x:v>
      </x:c>
      <x:c r="E14" s="1" t="s">
        <x:v>160</x:v>
      </x:c>
      <x:c r="F14" s="1" t="s">
        <x:v>185</x:v>
      </x:c>
      <x:c r="G14" s="1" t="s">
        <x:v>244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245</x:v>
      </x:c>
      <x:c r="B15" s="1" t="s">
        <x:v>188</x:v>
      </x:c>
      <x:c r="C15" s="1" t="s">
        <x:v>234</x:v>
      </x:c>
      <x:c r="D15" s="1" t="s">
        <x:v>189</x:v>
      </x:c>
      <x:c r="E15" s="1" t="s">
        <x:v>160</x:v>
      </x:c>
      <x:c r="F15" s="1" t="s">
        <x:v>190</x:v>
      </x:c>
      <x:c r="G15" s="1" t="s">
        <x:v>246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247</x:v>
      </x:c>
      <x:c r="B16" s="1" t="s">
        <x:v>193</x:v>
      </x:c>
      <x:c r="C16" s="1" t="s">
        <x:v>234</x:v>
      </x:c>
      <x:c r="D16" s="1" t="s">
        <x:v>194</x:v>
      </x:c>
      <x:c r="E16" s="1" t="s">
        <x:v>160</x:v>
      </x:c>
      <x:c r="F16" s="1" t="s">
        <x:v>195</x:v>
      </x:c>
      <x:c r="G16" s="1" t="s">
        <x:v>248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249</x:v>
      </x:c>
      <x:c r="B17" s="1" t="s">
        <x:v>199</x:v>
      </x:c>
      <x:c r="C17" s="1" t="s">
        <x:v>234</x:v>
      </x:c>
      <x:c r="D17" s="1" t="s">
        <x:v>200</x:v>
      </x:c>
      <x:c r="E17" s="1" t="s">
        <x:v>160</x:v>
      </x:c>
      <x:c r="F17" s="1" t="s">
        <x:v>201</x:v>
      </x:c>
      <x:c r="G17" s="1" t="s">
        <x:v>250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251</x:v>
      </x:c>
      <x:c r="B18" s="1" t="s">
        <x:v>205</x:v>
      </x:c>
      <x:c r="C18" s="1" t="s">
        <x:v>234</x:v>
      </x:c>
      <x:c r="D18" s="1" t="s">
        <x:v>206</x:v>
      </x:c>
      <x:c r="E18" s="1" t="s">
        <x:v>160</x:v>
      </x:c>
      <x:c r="F18" s="1" t="s">
        <x:v>201</x:v>
      </x:c>
      <x:c r="G18" s="1" t="s">
        <x:v>250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252</x:v>
      </x:c>
      <x:c r="B19" s="1" t="s">
        <x:v>208</x:v>
      </x:c>
      <x:c r="C19" s="1" t="s">
        <x:v>234</x:v>
      </x:c>
      <x:c r="D19" s="1" t="s">
        <x:v>209</x:v>
      </x:c>
      <x:c r="E19" s="1" t="s">
        <x:v>160</x:v>
      </x:c>
      <x:c r="F19" s="1" t="s">
        <x:v>201</x:v>
      </x:c>
      <x:c r="G19" s="1" t="s">
        <x:v>253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254</x:v>
      </x:c>
      <x:c r="B20" s="1" t="s">
        <x:v>212</x:v>
      </x:c>
      <x:c r="C20" s="1" t="s">
        <x:v>234</x:v>
      </x:c>
      <x:c r="D20" s="1" t="s">
        <x:v>213</x:v>
      </x:c>
      <x:c r="E20" s="1" t="s">
        <x:v>160</x:v>
      </x:c>
      <x:c r="F20" s="1" t="s">
        <x:v>201</x:v>
      </x:c>
      <x:c r="G20" s="1" t="s">
        <x:v>250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255</x:v>
      </x:c>
      <x:c r="B21" s="1" t="s">
        <x:v>215</x:v>
      </x:c>
      <x:c r="C21" s="1" t="s">
        <x:v>234</x:v>
      </x:c>
      <x:c r="D21" s="1" t="s">
        <x:v>216</x:v>
      </x:c>
      <x:c r="E21" s="1" t="s">
        <x:v>160</x:v>
      </x:c>
      <x:c r="F21" s="1" t="s">
        <x:v>217</x:v>
      </x:c>
      <x:c r="G21" s="1" t="s">
        <x:v>256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257</x:v>
      </x:c>
      <x:c r="B22" s="1" t="s">
        <x:v>220</x:v>
      </x:c>
      <x:c r="C22" s="1" t="s">
        <x:v>234</x:v>
      </x:c>
      <x:c r="D22" s="1" t="s">
        <x:v>221</x:v>
      </x:c>
      <x:c r="E22" s="1" t="s">
        <x:v>160</x:v>
      </x:c>
      <x:c r="F22" s="1" t="s">
        <x:v>217</x:v>
      </x:c>
      <x:c r="G22" s="1" t="s">
        <x:v>258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259</x:v>
      </x:c>
      <x:c r="B23" s="1" t="s">
        <x:v>224</x:v>
      </x:c>
      <x:c r="C23" s="1" t="s">
        <x:v>234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260</x:v>
      </x:c>
      <x:c r="B24" s="1" t="s">
        <x:v>229</x:v>
      </x:c>
      <x:c r="C24" s="1" t="s">
        <x:v>234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245a82ae9e74df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261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262</x:v>
      </x:c>
      <x:c r="B9" s="1" t="s">
        <x:v>157</x:v>
      </x:c>
      <x:c r="C9" s="1" t="s">
        <x:v>18</x:v>
      </x:c>
      <x:c r="D9" s="1" t="s">
        <x:v>159</x:v>
      </x:c>
      <x:c r="E9" s="1" t="s">
        <x:v>160</x:v>
      </x:c>
      <x:c r="F9" s="1" t="s">
        <x:v>161</x:v>
      </x:c>
      <x:c r="G9" s="1" t="s">
        <x:v>263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264</x:v>
      </x:c>
      <x:c r="B10" s="1" t="s">
        <x:v>164</x:v>
      </x:c>
      <x:c r="C10" s="1" t="s">
        <x:v>18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265</x:v>
      </x:c>
      <x:c r="B11" s="1" t="s">
        <x:v>168</x:v>
      </x:c>
      <x:c r="C11" s="1" t="s">
        <x:v>18</x:v>
      </x:c>
      <x:c r="D11" s="1" t="s">
        <x:v>169</x:v>
      </x:c>
      <x:c r="E11" s="1" t="s">
        <x:v>160</x:v>
      </x:c>
      <x:c r="F11" s="1" t="s">
        <x:v>170</x:v>
      </x:c>
      <x:c r="G11" s="1" t="s">
        <x:v>266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267</x:v>
      </x:c>
      <x:c r="B12" s="1" t="s">
        <x:v>173</x:v>
      </x:c>
      <x:c r="C12" s="1" t="s">
        <x:v>18</x:v>
      </x:c>
      <x:c r="D12" s="1" t="s">
        <x:v>174</x:v>
      </x:c>
      <x:c r="E12" s="1" t="s">
        <x:v>160</x:v>
      </x:c>
      <x:c r="F12" s="1" t="s">
        <x:v>175</x:v>
      </x:c>
      <x:c r="G12" s="1" t="s">
        <x:v>268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269</x:v>
      </x:c>
      <x:c r="B13" s="1" t="s">
        <x:v>178</x:v>
      </x:c>
      <x:c r="C13" s="1" t="s">
        <x:v>18</x:v>
      </x:c>
      <x:c r="D13" s="1" t="s">
        <x:v>179</x:v>
      </x:c>
      <x:c r="E13" s="1" t="s">
        <x:v>160</x:v>
      </x:c>
      <x:c r="F13" s="1" t="s">
        <x:v>180</x:v>
      </x:c>
      <x:c r="G13" s="1" t="s">
        <x:v>270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271</x:v>
      </x:c>
      <x:c r="B14" s="1" t="s">
        <x:v>183</x:v>
      </x:c>
      <x:c r="C14" s="1" t="s">
        <x:v>18</x:v>
      </x:c>
      <x:c r="D14" s="1" t="s">
        <x:v>184</x:v>
      </x:c>
      <x:c r="E14" s="1" t="s">
        <x:v>160</x:v>
      </x:c>
      <x:c r="F14" s="1" t="s">
        <x:v>185</x:v>
      </x:c>
      <x:c r="G14" s="1" t="s">
        <x:v>272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273</x:v>
      </x:c>
      <x:c r="B15" s="1" t="s">
        <x:v>188</x:v>
      </x:c>
      <x:c r="C15" s="1" t="s">
        <x:v>18</x:v>
      </x:c>
      <x:c r="D15" s="1" t="s">
        <x:v>189</x:v>
      </x:c>
      <x:c r="E15" s="1" t="s">
        <x:v>160</x:v>
      </x:c>
      <x:c r="F15" s="1" t="s">
        <x:v>190</x:v>
      </x:c>
      <x:c r="G15" s="1" t="s">
        <x:v>274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275</x:v>
      </x:c>
      <x:c r="B16" s="1" t="s">
        <x:v>193</x:v>
      </x:c>
      <x:c r="C16" s="1" t="s">
        <x:v>18</x:v>
      </x:c>
      <x:c r="D16" s="1" t="s">
        <x:v>194</x:v>
      </x:c>
      <x:c r="E16" s="1" t="s">
        <x:v>160</x:v>
      </x:c>
      <x:c r="F16" s="1" t="s">
        <x:v>195</x:v>
      </x:c>
      <x:c r="G16" s="1" t="s">
        <x:v>276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277</x:v>
      </x:c>
      <x:c r="B17" s="1" t="s">
        <x:v>199</x:v>
      </x:c>
      <x:c r="C17" s="1" t="s">
        <x:v>18</x:v>
      </x:c>
      <x:c r="D17" s="1" t="s">
        <x:v>200</x:v>
      </x:c>
      <x:c r="E17" s="1" t="s">
        <x:v>160</x:v>
      </x:c>
      <x:c r="F17" s="1" t="s">
        <x:v>201</x:v>
      </x:c>
      <x:c r="G17" s="1" t="s">
        <x:v>278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279</x:v>
      </x:c>
      <x:c r="B18" s="1" t="s">
        <x:v>205</x:v>
      </x:c>
      <x:c r="C18" s="1" t="s">
        <x:v>18</x:v>
      </x:c>
      <x:c r="D18" s="1" t="s">
        <x:v>206</x:v>
      </x:c>
      <x:c r="E18" s="1" t="s">
        <x:v>160</x:v>
      </x:c>
      <x:c r="F18" s="1" t="s">
        <x:v>201</x:v>
      </x:c>
      <x:c r="G18" s="1" t="s">
        <x:v>278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280</x:v>
      </x:c>
      <x:c r="B19" s="1" t="s">
        <x:v>208</x:v>
      </x:c>
      <x:c r="C19" s="1" t="s">
        <x:v>18</x:v>
      </x:c>
      <x:c r="D19" s="1" t="s">
        <x:v>209</x:v>
      </x:c>
      <x:c r="E19" s="1" t="s">
        <x:v>160</x:v>
      </x:c>
      <x:c r="F19" s="1" t="s">
        <x:v>201</x:v>
      </x:c>
      <x:c r="G19" s="1" t="s">
        <x:v>281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282</x:v>
      </x:c>
      <x:c r="B20" s="1" t="s">
        <x:v>212</x:v>
      </x:c>
      <x:c r="C20" s="1" t="s">
        <x:v>18</x:v>
      </x:c>
      <x:c r="D20" s="1" t="s">
        <x:v>213</x:v>
      </x:c>
      <x:c r="E20" s="1" t="s">
        <x:v>160</x:v>
      </x:c>
      <x:c r="F20" s="1" t="s">
        <x:v>201</x:v>
      </x:c>
      <x:c r="G20" s="1" t="s">
        <x:v>278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283</x:v>
      </x:c>
      <x:c r="B21" s="1" t="s">
        <x:v>215</x:v>
      </x:c>
      <x:c r="C21" s="1" t="s">
        <x:v>18</x:v>
      </x:c>
      <x:c r="D21" s="1" t="s">
        <x:v>216</x:v>
      </x:c>
      <x:c r="E21" s="1" t="s">
        <x:v>160</x:v>
      </x:c>
      <x:c r="F21" s="1" t="s">
        <x:v>217</x:v>
      </x:c>
      <x:c r="G21" s="1" t="s">
        <x:v>284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285</x:v>
      </x:c>
      <x:c r="B22" s="1" t="s">
        <x:v>220</x:v>
      </x:c>
      <x:c r="C22" s="1" t="s">
        <x:v>18</x:v>
      </x:c>
      <x:c r="D22" s="1" t="s">
        <x:v>221</x:v>
      </x:c>
      <x:c r="E22" s="1" t="s">
        <x:v>160</x:v>
      </x:c>
      <x:c r="F22" s="1" t="s">
        <x:v>217</x:v>
      </x:c>
      <x:c r="G22" s="1" t="s">
        <x:v>286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287</x:v>
      </x:c>
      <x:c r="B23" s="1" t="s">
        <x:v>224</x:v>
      </x:c>
      <x:c r="C23" s="1" t="s">
        <x:v>18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288</x:v>
      </x:c>
      <x:c r="B24" s="1" t="s">
        <x:v>229</x:v>
      </x:c>
      <x:c r="C24" s="1" t="s">
        <x:v>18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1378699da3e47b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289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15</x:v>
      </x:c>
      <x:c r="G4" s="6" t="s">
        <x:v>13</x:v>
      </x:c>
      <x:c r="H4" s="8" t="n">
        <x:v>0.9375</x:v>
      </x:c>
      <x:c r="J4" s="6" t="s">
        <x:v>14</x:v>
      </x:c>
      <x:c r="K4" s="7" t="str">
        <x:v>open</x:v>
      </x:c>
    </x:row>
    <x:row r="5" s="4" customFormat="1" ht="17.25" hidden="0" customHeight="1">
      <x:c r="A5" s="6" t="s">
        <x:v>144</x:v>
      </x:c>
      <x:c r="B5" s="7" t="str">
        <x:v>open</x:v>
      </x:c>
      <x:c r="D5" s="6" t="s">
        <x:v>15</x:v>
      </x:c>
      <x:c r="E5" s="7" t="str"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290</x:v>
      </x:c>
      <x:c r="B9" s="1" t="s">
        <x:v>157</x:v>
      </x:c>
      <x:c r="C9" s="1" t="s">
        <x:v>19</x:v>
      </x:c>
      <x:c r="D9" s="1" t="s">
        <x:v>159</x:v>
      </x:c>
      <x:c r="E9" s="1" t="s">
        <x:v>160</x:v>
      </x:c>
      <x:c r="F9" s="1" t="s">
        <x:v>161</x:v>
      </x:c>
      <x:c r="G9" s="1" t="s">
        <x:v>291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292</x:v>
      </x:c>
      <x:c r="B10" s="1" t="s">
        <x:v>164</x:v>
      </x:c>
      <x:c r="C10" s="1" t="s">
        <x:v>19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293</x:v>
      </x:c>
      <x:c r="B11" s="1" t="s">
        <x:v>168</x:v>
      </x:c>
      <x:c r="C11" s="1" t="s">
        <x:v>19</x:v>
      </x:c>
      <x:c r="D11" s="1" t="s">
        <x:v>169</x:v>
      </x:c>
      <x:c r="E11" s="1" t="s">
        <x:v>160</x:v>
      </x:c>
      <x:c r="F11" s="1" t="s">
        <x:v>170</x:v>
      </x:c>
      <x:c r="G11" s="1" t="s">
        <x:v>294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295</x:v>
      </x:c>
      <x:c r="B12" s="1" t="s">
        <x:v>173</x:v>
      </x:c>
      <x:c r="C12" s="1" t="s">
        <x:v>19</x:v>
      </x:c>
      <x:c r="D12" s="1" t="str">
        <x:v>Static public CSS includes the surface recipe with a soft semantic fill and visible semantic boundary.</x:v>
      </x:c>
      <x:c r="E12" s="1" t="s">
        <x:v>160</x:v>
      </x:c>
      <x:c r="F12" s="1" t="s">
        <x:v>175</x:v>
      </x:c>
      <x:c r="G12" s="1" t="s">
        <x:v>296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297</x:v>
      </x:c>
      <x:c r="B13" s="1" t="s">
        <x:v>178</x:v>
      </x:c>
      <x:c r="C13" s="1" t="s">
        <x:v>19</x:v>
      </x:c>
      <x:c r="D13" s="1" t="s">
        <x:v>179</x:v>
      </x:c>
      <x:c r="E13" s="1" t="s">
        <x:v>160</x:v>
      </x:c>
      <x:c r="F13" s="1" t="s">
        <x:v>180</x:v>
      </x:c>
      <x:c r="G13" s="1" t="s">
        <x:v>298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299</x:v>
      </x:c>
      <x:c r="B14" s="1" t="s">
        <x:v>183</x:v>
      </x:c>
      <x:c r="C14" s="1" t="s">
        <x:v>19</x:v>
      </x:c>
      <x:c r="D14" s="1" t="str">
        <x:v>Real-browser behavior verifies every recipe, including surface fill and boundary, across light and dark themes.</x:v>
      </x:c>
      <x:c r="E14" s="1" t="s">
        <x:v>160</x:v>
      </x:c>
      <x:c r="F14" s="1" t="s">
        <x:v>185</x:v>
      </x:c>
      <x:c r="G14" s="1" t="s">
        <x:v>300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301</x:v>
      </x:c>
      <x:c r="B15" s="1" t="s">
        <x:v>188</x:v>
      </x:c>
      <x:c r="C15" s="1" t="s">
        <x:v>19</x:v>
      </x:c>
      <x:c r="D15" s="1" t="s">
        <x:v>189</x:v>
      </x:c>
      <x:c r="E15" s="1" t="s">
        <x:v>160</x:v>
      </x:c>
      <x:c r="F15" s="1" t="s">
        <x:v>190</x:v>
      </x:c>
      <x:c r="G15" s="1" t="s">
        <x:v>302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303</x:v>
      </x:c>
      <x:c r="B16" s="1" t="s">
        <x:v>193</x:v>
      </x:c>
      <x:c r="C16" s="1" t="s">
        <x:v>19</x:v>
      </x:c>
      <x:c r="D16" s="1" t="s">
        <x:v>194</x:v>
      </x:c>
      <x:c r="E16" s="1" t="s">
        <x:v>160</x:v>
      </x:c>
      <x:c r="F16" s="1" t="s">
        <x:v>195</x:v>
      </x:c>
      <x:c r="G16" s="1" t="s">
        <x:v>304</x:v>
      </x:c>
      <x:c r="H16" s="1" t="str">
        <x:v>implemented</x:v>
      </x:c>
      <x:c r="I16" s="1" t="str">
        <x:v>yes</x:v>
      </x:c>
      <x:c r="J16" s="11"/>
      <x:c r="K16" s="1" t="str">
        <x:v>Surface recipe baseline added; owner human visual review remains pending.</x:v>
      </x:c>
      <x:c r="L16" s="1" t="n">
        <x:v>1</x:v>
      </x:c>
      <x:c r="M16" s="1" t="n">
        <x:v>0</x:v>
      </x:c>
    </x:row>
    <x:row r="17" s="4" customFormat="1" ht="42" hidden="0" customHeight="1">
      <x:c r="A17" s="1" t="s">
        <x:v>305</x:v>
      </x:c>
      <x:c r="B17" s="1" t="s">
        <x:v>199</x:v>
      </x:c>
      <x:c r="C17" s="1" t="s">
        <x:v>19</x:v>
      </x:c>
      <x:c r="D17" s="1" t="s">
        <x:v>200</x:v>
      </x:c>
      <x:c r="E17" s="1" t="s">
        <x:v>160</x:v>
      </x:c>
      <x:c r="F17" s="1" t="s">
        <x:v>201</x:v>
      </x:c>
      <x:c r="G17" s="1" t="s">
        <x:v>306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307</x:v>
      </x:c>
      <x:c r="B18" s="1" t="s">
        <x:v>205</x:v>
      </x:c>
      <x:c r="C18" s="1" t="s">
        <x:v>19</x:v>
      </x:c>
      <x:c r="D18" s="1" t="s">
        <x:v>206</x:v>
      </x:c>
      <x:c r="E18" s="1" t="s">
        <x:v>160</x:v>
      </x:c>
      <x:c r="F18" s="1" t="s">
        <x:v>201</x:v>
      </x:c>
      <x:c r="G18" s="1" t="s">
        <x:v>306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308</x:v>
      </x:c>
      <x:c r="B19" s="1" t="s">
        <x:v>208</x:v>
      </x:c>
      <x:c r="C19" s="1" t="s">
        <x:v>19</x:v>
      </x:c>
      <x:c r="D19" s="1" t="s">
        <x:v>209</x:v>
      </x:c>
      <x:c r="E19" s="1" t="s">
        <x:v>160</x:v>
      </x:c>
      <x:c r="F19" s="1" t="s">
        <x:v>201</x:v>
      </x:c>
      <x:c r="G19" s="1" t="s">
        <x:v>309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310</x:v>
      </x:c>
      <x:c r="B20" s="1" t="s">
        <x:v>212</x:v>
      </x:c>
      <x:c r="C20" s="1" t="s">
        <x:v>19</x:v>
      </x:c>
      <x:c r="D20" s="1" t="s">
        <x:v>213</x:v>
      </x:c>
      <x:c r="E20" s="1" t="s">
        <x:v>160</x:v>
      </x:c>
      <x:c r="F20" s="1" t="s">
        <x:v>201</x:v>
      </x:c>
      <x:c r="G20" s="1" t="s">
        <x:v>306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311</x:v>
      </x:c>
      <x:c r="B21" s="1" t="s">
        <x:v>215</x:v>
      </x:c>
      <x:c r="C21" s="1" t="s">
        <x:v>19</x:v>
      </x:c>
      <x:c r="D21" s="1" t="s">
        <x:v>216</x:v>
      </x:c>
      <x:c r="E21" s="1" t="s">
        <x:v>160</x:v>
      </x:c>
      <x:c r="F21" s="1" t="s">
        <x:v>217</x:v>
      </x:c>
      <x:c r="G21" s="1" t="s">
        <x:v>312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313</x:v>
      </x:c>
      <x:c r="B22" s="1" t="s">
        <x:v>220</x:v>
      </x:c>
      <x:c r="C22" s="1" t="s">
        <x:v>19</x:v>
      </x:c>
      <x:c r="D22" s="1" t="s">
        <x:v>221</x:v>
      </x:c>
      <x:c r="E22" s="1" t="s">
        <x:v>160</x:v>
      </x:c>
      <x:c r="F22" s="1" t="s">
        <x:v>217</x:v>
      </x:c>
      <x:c r="G22" s="1" t="s">
        <x:v>314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315</x:v>
      </x:c>
      <x:c r="B23" s="1" t="s">
        <x:v>224</x:v>
      </x:c>
      <x:c r="C23" s="1" t="s">
        <x:v>19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316</x:v>
      </x:c>
      <x:c r="B24" s="1" t="s">
        <x:v>229</x:v>
      </x:c>
      <x:c r="C24" s="1" t="s">
        <x:v>19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f8f520fc3d241f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317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290</x:v>
      </x:c>
      <x:c r="B9" s="1" t="s">
        <x:v>157</x:v>
      </x:c>
      <x:c r="C9" s="1" t="s">
        <x:v>20</x:v>
      </x:c>
      <x:c r="D9" s="1" t="s">
        <x:v>159</x:v>
      </x:c>
      <x:c r="E9" s="1" t="s">
        <x:v>160</x:v>
      </x:c>
      <x:c r="F9" s="1" t="s">
        <x:v>161</x:v>
      </x:c>
      <x:c r="G9" s="1" t="s">
        <x:v>318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292</x:v>
      </x:c>
      <x:c r="B10" s="1" t="s">
        <x:v>164</x:v>
      </x:c>
      <x:c r="C10" s="1" t="s">
        <x:v>20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293</x:v>
      </x:c>
      <x:c r="B11" s="1" t="s">
        <x:v>168</x:v>
      </x:c>
      <x:c r="C11" s="1" t="s">
        <x:v>20</x:v>
      </x:c>
      <x:c r="D11" s="1" t="s">
        <x:v>169</x:v>
      </x:c>
      <x:c r="E11" s="1" t="s">
        <x:v>160</x:v>
      </x:c>
      <x:c r="F11" s="1" t="s">
        <x:v>170</x:v>
      </x:c>
      <x:c r="G11" s="1" t="s">
        <x:v>319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295</x:v>
      </x:c>
      <x:c r="B12" s="1" t="s">
        <x:v>173</x:v>
      </x:c>
      <x:c r="C12" s="1" t="s">
        <x:v>20</x:v>
      </x:c>
      <x:c r="D12" s="1" t="s">
        <x:v>174</x:v>
      </x:c>
      <x:c r="E12" s="1" t="s">
        <x:v>160</x:v>
      </x:c>
      <x:c r="F12" s="1" t="s">
        <x:v>175</x:v>
      </x:c>
      <x:c r="G12" s="1" t="s">
        <x:v>320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297</x:v>
      </x:c>
      <x:c r="B13" s="1" t="s">
        <x:v>178</x:v>
      </x:c>
      <x:c r="C13" s="1" t="s">
        <x:v>20</x:v>
      </x:c>
      <x:c r="D13" s="1" t="s">
        <x:v>179</x:v>
      </x:c>
      <x:c r="E13" s="1" t="s">
        <x:v>160</x:v>
      </x:c>
      <x:c r="F13" s="1" t="s">
        <x:v>180</x:v>
      </x:c>
      <x:c r="G13" s="1" t="s">
        <x:v>321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299</x:v>
      </x:c>
      <x:c r="B14" s="1" t="s">
        <x:v>183</x:v>
      </x:c>
      <x:c r="C14" s="1" t="s">
        <x:v>20</x:v>
      </x:c>
      <x:c r="D14" s="1" t="s">
        <x:v>184</x:v>
      </x:c>
      <x:c r="E14" s="1" t="s">
        <x:v>160</x:v>
      </x:c>
      <x:c r="F14" s="1" t="s">
        <x:v>185</x:v>
      </x:c>
      <x:c r="G14" s="1" t="s">
        <x:v>322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301</x:v>
      </x:c>
      <x:c r="B15" s="1" t="s">
        <x:v>188</x:v>
      </x:c>
      <x:c r="C15" s="1" t="s">
        <x:v>20</x:v>
      </x:c>
      <x:c r="D15" s="1" t="s">
        <x:v>189</x:v>
      </x:c>
      <x:c r="E15" s="1" t="s">
        <x:v>160</x:v>
      </x:c>
      <x:c r="F15" s="1" t="s">
        <x:v>190</x:v>
      </x:c>
      <x:c r="G15" s="1" t="s">
        <x:v>323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303</x:v>
      </x:c>
      <x:c r="B16" s="1" t="s">
        <x:v>193</x:v>
      </x:c>
      <x:c r="C16" s="1" t="s">
        <x:v>20</x:v>
      </x:c>
      <x:c r="D16" s="1" t="s">
        <x:v>194</x:v>
      </x:c>
      <x:c r="E16" s="1" t="s">
        <x:v>160</x:v>
      </x:c>
      <x:c r="F16" s="1" t="s">
        <x:v>195</x:v>
      </x:c>
      <x:c r="G16" s="1" t="s">
        <x:v>324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305</x:v>
      </x:c>
      <x:c r="B17" s="1" t="s">
        <x:v>199</x:v>
      </x:c>
      <x:c r="C17" s="1" t="s">
        <x:v>20</x:v>
      </x:c>
      <x:c r="D17" s="1" t="s">
        <x:v>200</x:v>
      </x:c>
      <x:c r="E17" s="1" t="s">
        <x:v>160</x:v>
      </x:c>
      <x:c r="F17" s="1" t="s">
        <x:v>201</x:v>
      </x:c>
      <x:c r="G17" s="1" t="s">
        <x:v>325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307</x:v>
      </x:c>
      <x:c r="B18" s="1" t="s">
        <x:v>205</x:v>
      </x:c>
      <x:c r="C18" s="1" t="s">
        <x:v>20</x:v>
      </x:c>
      <x:c r="D18" s="1" t="s">
        <x:v>206</x:v>
      </x:c>
      <x:c r="E18" s="1" t="s">
        <x:v>160</x:v>
      </x:c>
      <x:c r="F18" s="1" t="s">
        <x:v>201</x:v>
      </x:c>
      <x:c r="G18" s="1" t="s">
        <x:v>325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308</x:v>
      </x:c>
      <x:c r="B19" s="1" t="s">
        <x:v>208</x:v>
      </x:c>
      <x:c r="C19" s="1" t="s">
        <x:v>20</x:v>
      </x:c>
      <x:c r="D19" s="1" t="s">
        <x:v>209</x:v>
      </x:c>
      <x:c r="E19" s="1" t="s">
        <x:v>160</x:v>
      </x:c>
      <x:c r="F19" s="1" t="s">
        <x:v>201</x:v>
      </x:c>
      <x:c r="G19" s="1" t="s">
        <x:v>326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310</x:v>
      </x:c>
      <x:c r="B20" s="1" t="s">
        <x:v>212</x:v>
      </x:c>
      <x:c r="C20" s="1" t="s">
        <x:v>20</x:v>
      </x:c>
      <x:c r="D20" s="1" t="s">
        <x:v>213</x:v>
      </x:c>
      <x:c r="E20" s="1" t="s">
        <x:v>160</x:v>
      </x:c>
      <x:c r="F20" s="1" t="s">
        <x:v>201</x:v>
      </x:c>
      <x:c r="G20" s="1" t="s">
        <x:v>325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311</x:v>
      </x:c>
      <x:c r="B21" s="1" t="s">
        <x:v>215</x:v>
      </x:c>
      <x:c r="C21" s="1" t="s">
        <x:v>20</x:v>
      </x:c>
      <x:c r="D21" s="1" t="s">
        <x:v>216</x:v>
      </x:c>
      <x:c r="E21" s="1" t="s">
        <x:v>160</x:v>
      </x:c>
      <x:c r="F21" s="1" t="s">
        <x:v>217</x:v>
      </x:c>
      <x:c r="G21" s="1" t="s">
        <x:v>327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313</x:v>
      </x:c>
      <x:c r="B22" s="1" t="s">
        <x:v>220</x:v>
      </x:c>
      <x:c r="C22" s="1" t="s">
        <x:v>20</x:v>
      </x:c>
      <x:c r="D22" s="1" t="s">
        <x:v>221</x:v>
      </x:c>
      <x:c r="E22" s="1" t="s">
        <x:v>160</x:v>
      </x:c>
      <x:c r="F22" s="1" t="s">
        <x:v>217</x:v>
      </x:c>
      <x:c r="G22" s="1" t="s">
        <x:v>328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315</x:v>
      </x:c>
      <x:c r="B23" s="1" t="s">
        <x:v>224</x:v>
      </x:c>
      <x:c r="C23" s="1" t="s">
        <x:v>20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316</x:v>
      </x:c>
      <x:c r="B24" s="1" t="s">
        <x:v>229</x:v>
      </x:c>
      <x:c r="C24" s="1" t="s">
        <x:v>20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f09740fe67d415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329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330</x:v>
      </x:c>
      <x:c r="B9" s="1" t="s">
        <x:v>157</x:v>
      </x:c>
      <x:c r="C9" s="1" t="s">
        <x:v>21</x:v>
      </x:c>
      <x:c r="D9" s="1" t="s">
        <x:v>159</x:v>
      </x:c>
      <x:c r="E9" s="1" t="s">
        <x:v>160</x:v>
      </x:c>
      <x:c r="F9" s="1" t="s">
        <x:v>161</x:v>
      </x:c>
      <x:c r="G9" s="1" t="s">
        <x:v>331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332</x:v>
      </x:c>
      <x:c r="B10" s="1" t="s">
        <x:v>164</x:v>
      </x:c>
      <x:c r="C10" s="1" t="s">
        <x:v>21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333</x:v>
      </x:c>
      <x:c r="B11" s="1" t="s">
        <x:v>168</x:v>
      </x:c>
      <x:c r="C11" s="1" t="s">
        <x:v>21</x:v>
      </x:c>
      <x:c r="D11" s="1" t="s">
        <x:v>169</x:v>
      </x:c>
      <x:c r="E11" s="1" t="s">
        <x:v>160</x:v>
      </x:c>
      <x:c r="F11" s="1" t="s">
        <x:v>170</x:v>
      </x:c>
      <x:c r="G11" s="1" t="s">
        <x:v>334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335</x:v>
      </x:c>
      <x:c r="B12" s="1" t="s">
        <x:v>173</x:v>
      </x:c>
      <x:c r="C12" s="1" t="s">
        <x:v>21</x:v>
      </x:c>
      <x:c r="D12" s="1" t="s">
        <x:v>174</x:v>
      </x:c>
      <x:c r="E12" s="1" t="s">
        <x:v>160</x:v>
      </x:c>
      <x:c r="F12" s="1" t="s">
        <x:v>175</x:v>
      </x:c>
      <x:c r="G12" s="1" t="s">
        <x:v>336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337</x:v>
      </x:c>
      <x:c r="B13" s="1" t="s">
        <x:v>178</x:v>
      </x:c>
      <x:c r="C13" s="1" t="s">
        <x:v>21</x:v>
      </x:c>
      <x:c r="D13" s="1" t="s">
        <x:v>179</x:v>
      </x:c>
      <x:c r="E13" s="1" t="s">
        <x:v>160</x:v>
      </x:c>
      <x:c r="F13" s="1" t="s">
        <x:v>180</x:v>
      </x:c>
      <x:c r="G13" s="1" t="s">
        <x:v>338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339</x:v>
      </x:c>
      <x:c r="B14" s="1" t="s">
        <x:v>183</x:v>
      </x:c>
      <x:c r="C14" s="1" t="s">
        <x:v>21</x:v>
      </x:c>
      <x:c r="D14" s="1" t="s">
        <x:v>184</x:v>
      </x:c>
      <x:c r="E14" s="1" t="s">
        <x:v>160</x:v>
      </x:c>
      <x:c r="F14" s="1" t="s">
        <x:v>185</x:v>
      </x:c>
      <x:c r="G14" s="1" t="s">
        <x:v>340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341</x:v>
      </x:c>
      <x:c r="B15" s="1" t="s">
        <x:v>188</x:v>
      </x:c>
      <x:c r="C15" s="1" t="s">
        <x:v>21</x:v>
      </x:c>
      <x:c r="D15" s="1" t="s">
        <x:v>189</x:v>
      </x:c>
      <x:c r="E15" s="1" t="s">
        <x:v>160</x:v>
      </x:c>
      <x:c r="F15" s="1" t="s">
        <x:v>190</x:v>
      </x:c>
      <x:c r="G15" s="1" t="s">
        <x:v>342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343</x:v>
      </x:c>
      <x:c r="B16" s="1" t="s">
        <x:v>193</x:v>
      </x:c>
      <x:c r="C16" s="1" t="s">
        <x:v>21</x:v>
      </x:c>
      <x:c r="D16" s="1" t="s">
        <x:v>194</x:v>
      </x:c>
      <x:c r="E16" s="1" t="s">
        <x:v>160</x:v>
      </x:c>
      <x:c r="F16" s="1" t="s">
        <x:v>195</x:v>
      </x:c>
      <x:c r="G16" s="1" t="s">
        <x:v>344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345</x:v>
      </x:c>
      <x:c r="B17" s="1" t="s">
        <x:v>199</x:v>
      </x:c>
      <x:c r="C17" s="1" t="s">
        <x:v>21</x:v>
      </x:c>
      <x:c r="D17" s="1" t="s">
        <x:v>200</x:v>
      </x:c>
      <x:c r="E17" s="1" t="s">
        <x:v>160</x:v>
      </x:c>
      <x:c r="F17" s="1" t="s">
        <x:v>201</x:v>
      </x:c>
      <x:c r="G17" s="1" t="s">
        <x:v>346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347</x:v>
      </x:c>
      <x:c r="B18" s="1" t="s">
        <x:v>205</x:v>
      </x:c>
      <x:c r="C18" s="1" t="s">
        <x:v>21</x:v>
      </x:c>
      <x:c r="D18" s="1" t="s">
        <x:v>206</x:v>
      </x:c>
      <x:c r="E18" s="1" t="s">
        <x:v>160</x:v>
      </x:c>
      <x:c r="F18" s="1" t="s">
        <x:v>201</x:v>
      </x:c>
      <x:c r="G18" s="1" t="s">
        <x:v>346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348</x:v>
      </x:c>
      <x:c r="B19" s="1" t="s">
        <x:v>208</x:v>
      </x:c>
      <x:c r="C19" s="1" t="s">
        <x:v>21</x:v>
      </x:c>
      <x:c r="D19" s="1" t="s">
        <x:v>209</x:v>
      </x:c>
      <x:c r="E19" s="1" t="s">
        <x:v>160</x:v>
      </x:c>
      <x:c r="F19" s="1" t="s">
        <x:v>201</x:v>
      </x:c>
      <x:c r="G19" s="1" t="s">
        <x:v>349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350</x:v>
      </x:c>
      <x:c r="B20" s="1" t="s">
        <x:v>212</x:v>
      </x:c>
      <x:c r="C20" s="1" t="s">
        <x:v>21</x:v>
      </x:c>
      <x:c r="D20" s="1" t="s">
        <x:v>213</x:v>
      </x:c>
      <x:c r="E20" s="1" t="s">
        <x:v>160</x:v>
      </x:c>
      <x:c r="F20" s="1" t="s">
        <x:v>201</x:v>
      </x:c>
      <x:c r="G20" s="1" t="s">
        <x:v>346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351</x:v>
      </x:c>
      <x:c r="B21" s="1" t="s">
        <x:v>215</x:v>
      </x:c>
      <x:c r="C21" s="1" t="s">
        <x:v>21</x:v>
      </x:c>
      <x:c r="D21" s="1" t="s">
        <x:v>216</x:v>
      </x:c>
      <x:c r="E21" s="1" t="s">
        <x:v>160</x:v>
      </x:c>
      <x:c r="F21" s="1" t="s">
        <x:v>217</x:v>
      </x:c>
      <x:c r="G21" s="1" t="s">
        <x:v>352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353</x:v>
      </x:c>
      <x:c r="B22" s="1" t="s">
        <x:v>220</x:v>
      </x:c>
      <x:c r="C22" s="1" t="s">
        <x:v>21</x:v>
      </x:c>
      <x:c r="D22" s="1" t="s">
        <x:v>221</x:v>
      </x:c>
      <x:c r="E22" s="1" t="s">
        <x:v>160</x:v>
      </x:c>
      <x:c r="F22" s="1" t="s">
        <x:v>217</x:v>
      </x:c>
      <x:c r="G22" s="1" t="s">
        <x:v>354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355</x:v>
      </x:c>
      <x:c r="B23" s="1" t="s">
        <x:v>224</x:v>
      </x:c>
      <x:c r="C23" s="1" t="s">
        <x:v>21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356</x:v>
      </x:c>
      <x:c r="B24" s="1" t="s">
        <x:v>229</x:v>
      </x:c>
      <x:c r="C24" s="1" t="s">
        <x:v>21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496c5840de244f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357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330</x:v>
      </x:c>
      <x:c r="B9" s="1" t="s">
        <x:v>157</x:v>
      </x:c>
      <x:c r="C9" s="1" t="s">
        <x:v>22</x:v>
      </x:c>
      <x:c r="D9" s="1" t="s">
        <x:v>159</x:v>
      </x:c>
      <x:c r="E9" s="1" t="s">
        <x:v>160</x:v>
      </x:c>
      <x:c r="F9" s="1" t="s">
        <x:v>161</x:v>
      </x:c>
      <x:c r="G9" s="1" t="s">
        <x:v>358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332</x:v>
      </x:c>
      <x:c r="B10" s="1" t="s">
        <x:v>164</x:v>
      </x:c>
      <x:c r="C10" s="1" t="s">
        <x:v>22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333</x:v>
      </x:c>
      <x:c r="B11" s="1" t="s">
        <x:v>168</x:v>
      </x:c>
      <x:c r="C11" s="1" t="s">
        <x:v>22</x:v>
      </x:c>
      <x:c r="D11" s="1" t="s">
        <x:v>169</x:v>
      </x:c>
      <x:c r="E11" s="1" t="s">
        <x:v>160</x:v>
      </x:c>
      <x:c r="F11" s="1" t="s">
        <x:v>170</x:v>
      </x:c>
      <x:c r="G11" s="1" t="s">
        <x:v>359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335</x:v>
      </x:c>
      <x:c r="B12" s="1" t="s">
        <x:v>173</x:v>
      </x:c>
      <x:c r="C12" s="1" t="s">
        <x:v>22</x:v>
      </x:c>
      <x:c r="D12" s="1" t="s">
        <x:v>174</x:v>
      </x:c>
      <x:c r="E12" s="1" t="s">
        <x:v>160</x:v>
      </x:c>
      <x:c r="F12" s="1" t="s">
        <x:v>175</x:v>
      </x:c>
      <x:c r="G12" s="1" t="s">
        <x:v>360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337</x:v>
      </x:c>
      <x:c r="B13" s="1" t="s">
        <x:v>178</x:v>
      </x:c>
      <x:c r="C13" s="1" t="s">
        <x:v>22</x:v>
      </x:c>
      <x:c r="D13" s="1" t="s">
        <x:v>179</x:v>
      </x:c>
      <x:c r="E13" s="1" t="s">
        <x:v>160</x:v>
      </x:c>
      <x:c r="F13" s="1" t="s">
        <x:v>180</x:v>
      </x:c>
      <x:c r="G13" s="1" t="s">
        <x:v>361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339</x:v>
      </x:c>
      <x:c r="B14" s="1" t="s">
        <x:v>183</x:v>
      </x:c>
      <x:c r="C14" s="1" t="s">
        <x:v>22</x:v>
      </x:c>
      <x:c r="D14" s="1" t="s">
        <x:v>184</x:v>
      </x:c>
      <x:c r="E14" s="1" t="s">
        <x:v>160</x:v>
      </x:c>
      <x:c r="F14" s="1" t="s">
        <x:v>185</x:v>
      </x:c>
      <x:c r="G14" s="1" t="s">
        <x:v>362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341</x:v>
      </x:c>
      <x:c r="B15" s="1" t="s">
        <x:v>188</x:v>
      </x:c>
      <x:c r="C15" s="1" t="s">
        <x:v>22</x:v>
      </x:c>
      <x:c r="D15" s="1" t="s">
        <x:v>189</x:v>
      </x:c>
      <x:c r="E15" s="1" t="s">
        <x:v>160</x:v>
      </x:c>
      <x:c r="F15" s="1" t="s">
        <x:v>190</x:v>
      </x:c>
      <x:c r="G15" s="1" t="s">
        <x:v>363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343</x:v>
      </x:c>
      <x:c r="B16" s="1" t="s">
        <x:v>193</x:v>
      </x:c>
      <x:c r="C16" s="1" t="s">
        <x:v>22</x:v>
      </x:c>
      <x:c r="D16" s="1" t="s">
        <x:v>194</x:v>
      </x:c>
      <x:c r="E16" s="1" t="s">
        <x:v>160</x:v>
      </x:c>
      <x:c r="F16" s="1" t="s">
        <x:v>195</x:v>
      </x:c>
      <x:c r="G16" s="1" t="s">
        <x:v>364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345</x:v>
      </x:c>
      <x:c r="B17" s="1" t="s">
        <x:v>199</x:v>
      </x:c>
      <x:c r="C17" s="1" t="s">
        <x:v>22</x:v>
      </x:c>
      <x:c r="D17" s="1" t="s">
        <x:v>200</x:v>
      </x:c>
      <x:c r="E17" s="1" t="s">
        <x:v>160</x:v>
      </x:c>
      <x:c r="F17" s="1" t="s">
        <x:v>201</x:v>
      </x:c>
      <x:c r="G17" s="1" t="s">
        <x:v>365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347</x:v>
      </x:c>
      <x:c r="B18" s="1" t="s">
        <x:v>205</x:v>
      </x:c>
      <x:c r="C18" s="1" t="s">
        <x:v>22</x:v>
      </x:c>
      <x:c r="D18" s="1" t="s">
        <x:v>206</x:v>
      </x:c>
      <x:c r="E18" s="1" t="s">
        <x:v>160</x:v>
      </x:c>
      <x:c r="F18" s="1" t="s">
        <x:v>201</x:v>
      </x:c>
      <x:c r="G18" s="1" t="s">
        <x:v>365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348</x:v>
      </x:c>
      <x:c r="B19" s="1" t="s">
        <x:v>208</x:v>
      </x:c>
      <x:c r="C19" s="1" t="s">
        <x:v>22</x:v>
      </x:c>
      <x:c r="D19" s="1" t="s">
        <x:v>209</x:v>
      </x:c>
      <x:c r="E19" s="1" t="s">
        <x:v>160</x:v>
      </x:c>
      <x:c r="F19" s="1" t="s">
        <x:v>201</x:v>
      </x:c>
      <x:c r="G19" s="1" t="s">
        <x:v>366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350</x:v>
      </x:c>
      <x:c r="B20" s="1" t="s">
        <x:v>212</x:v>
      </x:c>
      <x:c r="C20" s="1" t="s">
        <x:v>22</x:v>
      </x:c>
      <x:c r="D20" s="1" t="s">
        <x:v>213</x:v>
      </x:c>
      <x:c r="E20" s="1" t="s">
        <x:v>160</x:v>
      </x:c>
      <x:c r="F20" s="1" t="s">
        <x:v>201</x:v>
      </x:c>
      <x:c r="G20" s="1" t="s">
        <x:v>365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351</x:v>
      </x:c>
      <x:c r="B21" s="1" t="s">
        <x:v>215</x:v>
      </x:c>
      <x:c r="C21" s="1" t="s">
        <x:v>22</x:v>
      </x:c>
      <x:c r="D21" s="1" t="s">
        <x:v>216</x:v>
      </x:c>
      <x:c r="E21" s="1" t="s">
        <x:v>160</x:v>
      </x:c>
      <x:c r="F21" s="1" t="s">
        <x:v>217</x:v>
      </x:c>
      <x:c r="G21" s="1" t="s">
        <x:v>367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353</x:v>
      </x:c>
      <x:c r="B22" s="1" t="s">
        <x:v>220</x:v>
      </x:c>
      <x:c r="C22" s="1" t="s">
        <x:v>22</x:v>
      </x:c>
      <x:c r="D22" s="1" t="s">
        <x:v>221</x:v>
      </x:c>
      <x:c r="E22" s="1" t="s">
        <x:v>160</x:v>
      </x:c>
      <x:c r="F22" s="1" t="s">
        <x:v>217</x:v>
      </x:c>
      <x:c r="G22" s="1" t="s">
        <x:v>368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355</x:v>
      </x:c>
      <x:c r="B23" s="1" t="s">
        <x:v>224</x:v>
      </x:c>
      <x:c r="C23" s="1" t="s">
        <x:v>22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356</x:v>
      </x:c>
      <x:c r="B24" s="1" t="s">
        <x:v>229</x:v>
      </x:c>
      <x:c r="C24" s="1" t="s">
        <x:v>22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c81992f674e4cf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369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370</x:v>
      </x:c>
      <x:c r="B9" s="1" t="s">
        <x:v>157</x:v>
      </x:c>
      <x:c r="C9" s="1" t="s">
        <x:v>371</x:v>
      </x:c>
      <x:c r="D9" s="1" t="s">
        <x:v>159</x:v>
      </x:c>
      <x:c r="E9" s="1" t="s">
        <x:v>160</x:v>
      </x:c>
      <x:c r="F9" s="1" t="s">
        <x:v>161</x:v>
      </x:c>
      <x:c r="G9" s="1" t="s">
        <x:v>372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373</x:v>
      </x:c>
      <x:c r="B10" s="1" t="s">
        <x:v>164</x:v>
      </x:c>
      <x:c r="C10" s="1" t="s">
        <x:v>371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374</x:v>
      </x:c>
      <x:c r="B11" s="1" t="s">
        <x:v>168</x:v>
      </x:c>
      <x:c r="C11" s="1" t="s">
        <x:v>371</x:v>
      </x:c>
      <x:c r="D11" s="1" t="s">
        <x:v>169</x:v>
      </x:c>
      <x:c r="E11" s="1" t="s">
        <x:v>160</x:v>
      </x:c>
      <x:c r="F11" s="1" t="s">
        <x:v>170</x:v>
      </x:c>
      <x:c r="G11" s="1" t="s">
        <x:v>375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376</x:v>
      </x:c>
      <x:c r="B12" s="1" t="s">
        <x:v>173</x:v>
      </x:c>
      <x:c r="C12" s="1" t="s">
        <x:v>371</x:v>
      </x:c>
      <x:c r="D12" s="1" t="s">
        <x:v>174</x:v>
      </x:c>
      <x:c r="E12" s="1" t="s">
        <x:v>160</x:v>
      </x:c>
      <x:c r="F12" s="1" t="s">
        <x:v>175</x:v>
      </x:c>
      <x:c r="G12" s="1" t="s">
        <x:v>377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378</x:v>
      </x:c>
      <x:c r="B13" s="1" t="s">
        <x:v>178</x:v>
      </x:c>
      <x:c r="C13" s="1" t="s">
        <x:v>371</x:v>
      </x:c>
      <x:c r="D13" s="1" t="s">
        <x:v>179</x:v>
      </x:c>
      <x:c r="E13" s="1" t="s">
        <x:v>160</x:v>
      </x:c>
      <x:c r="F13" s="1" t="s">
        <x:v>180</x:v>
      </x:c>
      <x:c r="G13" s="1" t="s">
        <x:v>379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380</x:v>
      </x:c>
      <x:c r="B14" s="1" t="s">
        <x:v>183</x:v>
      </x:c>
      <x:c r="C14" s="1" t="s">
        <x:v>371</x:v>
      </x:c>
      <x:c r="D14" s="1" t="s">
        <x:v>184</x:v>
      </x:c>
      <x:c r="E14" s="1" t="s">
        <x:v>160</x:v>
      </x:c>
      <x:c r="F14" s="1" t="s">
        <x:v>185</x:v>
      </x:c>
      <x:c r="G14" s="1" t="s">
        <x:v>381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382</x:v>
      </x:c>
      <x:c r="B15" s="1" t="s">
        <x:v>188</x:v>
      </x:c>
      <x:c r="C15" s="1" t="s">
        <x:v>371</x:v>
      </x:c>
      <x:c r="D15" s="1" t="s">
        <x:v>189</x:v>
      </x:c>
      <x:c r="E15" s="1" t="s">
        <x:v>160</x:v>
      </x:c>
      <x:c r="F15" s="1" t="s">
        <x:v>190</x:v>
      </x:c>
      <x:c r="G15" s="1" t="s">
        <x:v>383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384</x:v>
      </x:c>
      <x:c r="B16" s="1" t="s">
        <x:v>193</x:v>
      </x:c>
      <x:c r="C16" s="1" t="s">
        <x:v>371</x:v>
      </x:c>
      <x:c r="D16" s="1" t="s">
        <x:v>194</x:v>
      </x:c>
      <x:c r="E16" s="1" t="s">
        <x:v>160</x:v>
      </x:c>
      <x:c r="F16" s="1" t="s">
        <x:v>195</x:v>
      </x:c>
      <x:c r="G16" s="1" t="s">
        <x:v>385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386</x:v>
      </x:c>
      <x:c r="B17" s="1" t="s">
        <x:v>199</x:v>
      </x:c>
      <x:c r="C17" s="1" t="s">
        <x:v>371</x:v>
      </x:c>
      <x:c r="D17" s="1" t="s">
        <x:v>200</x:v>
      </x:c>
      <x:c r="E17" s="1" t="s">
        <x:v>160</x:v>
      </x:c>
      <x:c r="F17" s="1" t="s">
        <x:v>201</x:v>
      </x:c>
      <x:c r="G17" s="1" t="s">
        <x:v>387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388</x:v>
      </x:c>
      <x:c r="B18" s="1" t="s">
        <x:v>205</x:v>
      </x:c>
      <x:c r="C18" s="1" t="s">
        <x:v>371</x:v>
      </x:c>
      <x:c r="D18" s="1" t="s">
        <x:v>206</x:v>
      </x:c>
      <x:c r="E18" s="1" t="s">
        <x:v>160</x:v>
      </x:c>
      <x:c r="F18" s="1" t="s">
        <x:v>201</x:v>
      </x:c>
      <x:c r="G18" s="1" t="s">
        <x:v>387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389</x:v>
      </x:c>
      <x:c r="B19" s="1" t="s">
        <x:v>208</x:v>
      </x:c>
      <x:c r="C19" s="1" t="s">
        <x:v>371</x:v>
      </x:c>
      <x:c r="D19" s="1" t="s">
        <x:v>209</x:v>
      </x:c>
      <x:c r="E19" s="1" t="s">
        <x:v>160</x:v>
      </x:c>
      <x:c r="F19" s="1" t="s">
        <x:v>201</x:v>
      </x:c>
      <x:c r="G19" s="1" t="s">
        <x:v>390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391</x:v>
      </x:c>
      <x:c r="B20" s="1" t="s">
        <x:v>212</x:v>
      </x:c>
      <x:c r="C20" s="1" t="s">
        <x:v>371</x:v>
      </x:c>
      <x:c r="D20" s="1" t="s">
        <x:v>213</x:v>
      </x:c>
      <x:c r="E20" s="1" t="s">
        <x:v>160</x:v>
      </x:c>
      <x:c r="F20" s="1" t="s">
        <x:v>201</x:v>
      </x:c>
      <x:c r="G20" s="1" t="s">
        <x:v>387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392</x:v>
      </x:c>
      <x:c r="B21" s="1" t="s">
        <x:v>215</x:v>
      </x:c>
      <x:c r="C21" s="1" t="s">
        <x:v>371</x:v>
      </x:c>
      <x:c r="D21" s="1" t="s">
        <x:v>216</x:v>
      </x:c>
      <x:c r="E21" s="1" t="s">
        <x:v>160</x:v>
      </x:c>
      <x:c r="F21" s="1" t="s">
        <x:v>217</x:v>
      </x:c>
      <x:c r="G21" s="1" t="s">
        <x:v>393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394</x:v>
      </x:c>
      <x:c r="B22" s="1" t="s">
        <x:v>220</x:v>
      </x:c>
      <x:c r="C22" s="1" t="s">
        <x:v>371</x:v>
      </x:c>
      <x:c r="D22" s="1" t="s">
        <x:v>221</x:v>
      </x:c>
      <x:c r="E22" s="1" t="s">
        <x:v>160</x:v>
      </x:c>
      <x:c r="F22" s="1" t="s">
        <x:v>217</x:v>
      </x:c>
      <x:c r="G22" s="1" t="s">
        <x:v>395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396</x:v>
      </x:c>
      <x:c r="B23" s="1" t="s">
        <x:v>224</x:v>
      </x:c>
      <x:c r="C23" s="1" t="s">
        <x:v>371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397</x:v>
      </x:c>
      <x:c r="B24" s="1" t="s">
        <x:v>229</x:v>
      </x:c>
      <x:c r="C24" s="1" t="s">
        <x:v>371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69ebb2853b34f5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398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399</x:v>
      </x:c>
      <x:c r="B9" s="1" t="s">
        <x:v>157</x:v>
      </x:c>
      <x:c r="C9" s="1" t="s">
        <x:v>24</x:v>
      </x:c>
      <x:c r="D9" s="1" t="s">
        <x:v>159</x:v>
      </x:c>
      <x:c r="E9" s="1" t="s">
        <x:v>160</x:v>
      </x:c>
      <x:c r="F9" s="1" t="s">
        <x:v>161</x:v>
      </x:c>
      <x:c r="G9" s="1" t="s">
        <x:v>400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401</x:v>
      </x:c>
      <x:c r="B10" s="1" t="s">
        <x:v>164</x:v>
      </x:c>
      <x:c r="C10" s="1" t="s">
        <x:v>24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402</x:v>
      </x:c>
      <x:c r="B11" s="1" t="s">
        <x:v>168</x:v>
      </x:c>
      <x:c r="C11" s="1" t="s">
        <x:v>24</x:v>
      </x:c>
      <x:c r="D11" s="1" t="s">
        <x:v>169</x:v>
      </x:c>
      <x:c r="E11" s="1" t="s">
        <x:v>160</x:v>
      </x:c>
      <x:c r="F11" s="1" t="s">
        <x:v>170</x:v>
      </x:c>
      <x:c r="G11" s="1" t="s">
        <x:v>403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404</x:v>
      </x:c>
      <x:c r="B12" s="1" t="s">
        <x:v>173</x:v>
      </x:c>
      <x:c r="C12" s="1" t="s">
        <x:v>24</x:v>
      </x:c>
      <x:c r="D12" s="1" t="s">
        <x:v>174</x:v>
      </x:c>
      <x:c r="E12" s="1" t="s">
        <x:v>160</x:v>
      </x:c>
      <x:c r="F12" s="1" t="s">
        <x:v>175</x:v>
      </x:c>
      <x:c r="G12" s="1" t="s">
        <x:v>405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406</x:v>
      </x:c>
      <x:c r="B13" s="1" t="s">
        <x:v>178</x:v>
      </x:c>
      <x:c r="C13" s="1" t="s">
        <x:v>24</x:v>
      </x:c>
      <x:c r="D13" s="1" t="s">
        <x:v>179</x:v>
      </x:c>
      <x:c r="E13" s="1" t="s">
        <x:v>160</x:v>
      </x:c>
      <x:c r="F13" s="1" t="s">
        <x:v>180</x:v>
      </x:c>
      <x:c r="G13" s="1" t="s">
        <x:v>407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408</x:v>
      </x:c>
      <x:c r="B14" s="1" t="s">
        <x:v>183</x:v>
      </x:c>
      <x:c r="C14" s="1" t="s">
        <x:v>24</x:v>
      </x:c>
      <x:c r="D14" s="1" t="s">
        <x:v>184</x:v>
      </x:c>
      <x:c r="E14" s="1" t="s">
        <x:v>160</x:v>
      </x:c>
      <x:c r="F14" s="1" t="s">
        <x:v>185</x:v>
      </x:c>
      <x:c r="G14" s="1" t="s">
        <x:v>409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410</x:v>
      </x:c>
      <x:c r="B15" s="1" t="s">
        <x:v>188</x:v>
      </x:c>
      <x:c r="C15" s="1" t="s">
        <x:v>24</x:v>
      </x:c>
      <x:c r="D15" s="1" t="s">
        <x:v>189</x:v>
      </x:c>
      <x:c r="E15" s="1" t="s">
        <x:v>160</x:v>
      </x:c>
      <x:c r="F15" s="1" t="s">
        <x:v>190</x:v>
      </x:c>
      <x:c r="G15" s="1" t="s">
        <x:v>411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412</x:v>
      </x:c>
      <x:c r="B16" s="1" t="s">
        <x:v>193</x:v>
      </x:c>
      <x:c r="C16" s="1" t="s">
        <x:v>24</x:v>
      </x:c>
      <x:c r="D16" s="1" t="s">
        <x:v>194</x:v>
      </x:c>
      <x:c r="E16" s="1" t="s">
        <x:v>160</x:v>
      </x:c>
      <x:c r="F16" s="1" t="s">
        <x:v>195</x:v>
      </x:c>
      <x:c r="G16" s="1" t="s">
        <x:v>413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414</x:v>
      </x:c>
      <x:c r="B17" s="1" t="s">
        <x:v>199</x:v>
      </x:c>
      <x:c r="C17" s="1" t="s">
        <x:v>24</x:v>
      </x:c>
      <x:c r="D17" s="1" t="s">
        <x:v>200</x:v>
      </x:c>
      <x:c r="E17" s="1" t="s">
        <x:v>160</x:v>
      </x:c>
      <x:c r="F17" s="1" t="s">
        <x:v>201</x:v>
      </x:c>
      <x:c r="G17" s="1" t="s">
        <x:v>415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416</x:v>
      </x:c>
      <x:c r="B18" s="1" t="s">
        <x:v>205</x:v>
      </x:c>
      <x:c r="C18" s="1" t="s">
        <x:v>24</x:v>
      </x:c>
      <x:c r="D18" s="1" t="s">
        <x:v>206</x:v>
      </x:c>
      <x:c r="E18" s="1" t="s">
        <x:v>160</x:v>
      </x:c>
      <x:c r="F18" s="1" t="s">
        <x:v>201</x:v>
      </x:c>
      <x:c r="G18" s="1" t="s">
        <x:v>415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417</x:v>
      </x:c>
      <x:c r="B19" s="1" t="s">
        <x:v>208</x:v>
      </x:c>
      <x:c r="C19" s="1" t="s">
        <x:v>24</x:v>
      </x:c>
      <x:c r="D19" s="1" t="s">
        <x:v>209</x:v>
      </x:c>
      <x:c r="E19" s="1" t="s">
        <x:v>160</x:v>
      </x:c>
      <x:c r="F19" s="1" t="s">
        <x:v>201</x:v>
      </x:c>
      <x:c r="G19" s="1" t="s">
        <x:v>418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419</x:v>
      </x:c>
      <x:c r="B20" s="1" t="s">
        <x:v>212</x:v>
      </x:c>
      <x:c r="C20" s="1" t="s">
        <x:v>24</x:v>
      </x:c>
      <x:c r="D20" s="1" t="s">
        <x:v>213</x:v>
      </x:c>
      <x:c r="E20" s="1" t="s">
        <x:v>160</x:v>
      </x:c>
      <x:c r="F20" s="1" t="s">
        <x:v>201</x:v>
      </x:c>
      <x:c r="G20" s="1" t="s">
        <x:v>415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420</x:v>
      </x:c>
      <x:c r="B21" s="1" t="s">
        <x:v>215</x:v>
      </x:c>
      <x:c r="C21" s="1" t="s">
        <x:v>24</x:v>
      </x:c>
      <x:c r="D21" s="1" t="s">
        <x:v>216</x:v>
      </x:c>
      <x:c r="E21" s="1" t="s">
        <x:v>160</x:v>
      </x:c>
      <x:c r="F21" s="1" t="s">
        <x:v>217</x:v>
      </x:c>
      <x:c r="G21" s="1" t="s">
        <x:v>421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422</x:v>
      </x:c>
      <x:c r="B22" s="1" t="s">
        <x:v>220</x:v>
      </x:c>
      <x:c r="C22" s="1" t="s">
        <x:v>24</x:v>
      </x:c>
      <x:c r="D22" s="1" t="s">
        <x:v>221</x:v>
      </x:c>
      <x:c r="E22" s="1" t="s">
        <x:v>160</x:v>
      </x:c>
      <x:c r="F22" s="1" t="s">
        <x:v>217</x:v>
      </x:c>
      <x:c r="G22" s="1" t="s">
        <x:v>423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424</x:v>
      </x:c>
      <x:c r="B23" s="1" t="s">
        <x:v>224</x:v>
      </x:c>
      <x:c r="C23" s="1" t="s">
        <x:v>24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425</x:v>
      </x:c>
      <x:c r="B24" s="1" t="s">
        <x:v>229</x:v>
      </x:c>
      <x:c r="C24" s="1" t="s">
        <x:v>24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2479d88c4fa4825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399</x:v>
      </x:c>
      <x:c r="B9" s="1" t="s">
        <x:v>157</x:v>
      </x:c>
      <x:c r="C9" s="1" t="s">
        <x:v>25</x:v>
      </x:c>
      <x:c r="D9" s="1" t="s">
        <x:v>159</x:v>
      </x:c>
      <x:c r="E9" s="1" t="s">
        <x:v>160</x:v>
      </x:c>
      <x:c r="F9" s="1" t="s">
        <x:v>161</x:v>
      </x:c>
      <x:c r="G9" s="1" t="s">
        <x:v>427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401</x:v>
      </x:c>
      <x:c r="B10" s="1" t="s">
        <x:v>164</x:v>
      </x:c>
      <x:c r="C10" s="1" t="s">
        <x:v>25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402</x:v>
      </x:c>
      <x:c r="B11" s="1" t="s">
        <x:v>168</x:v>
      </x:c>
      <x:c r="C11" s="1" t="s">
        <x:v>25</x:v>
      </x:c>
      <x:c r="D11" s="1" t="s">
        <x:v>169</x:v>
      </x:c>
      <x:c r="E11" s="1" t="s">
        <x:v>160</x:v>
      </x:c>
      <x:c r="F11" s="1" t="s">
        <x:v>170</x:v>
      </x:c>
      <x:c r="G11" s="1" t="s">
        <x:v>428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404</x:v>
      </x:c>
      <x:c r="B12" s="1" t="s">
        <x:v>173</x:v>
      </x:c>
      <x:c r="C12" s="1" t="s">
        <x:v>25</x:v>
      </x:c>
      <x:c r="D12" s="1" t="s">
        <x:v>174</x:v>
      </x:c>
      <x:c r="E12" s="1" t="s">
        <x:v>160</x:v>
      </x:c>
      <x:c r="F12" s="1" t="s">
        <x:v>175</x:v>
      </x:c>
      <x:c r="G12" s="1" t="s">
        <x:v>429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406</x:v>
      </x:c>
      <x:c r="B13" s="1" t="s">
        <x:v>178</x:v>
      </x:c>
      <x:c r="C13" s="1" t="s">
        <x:v>25</x:v>
      </x:c>
      <x:c r="D13" s="1" t="s">
        <x:v>179</x:v>
      </x:c>
      <x:c r="E13" s="1" t="s">
        <x:v>160</x:v>
      </x:c>
      <x:c r="F13" s="1" t="s">
        <x:v>180</x:v>
      </x:c>
      <x:c r="G13" s="1" t="s">
        <x:v>430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408</x:v>
      </x:c>
      <x:c r="B14" s="1" t="s">
        <x:v>183</x:v>
      </x:c>
      <x:c r="C14" s="1" t="s">
        <x:v>25</x:v>
      </x:c>
      <x:c r="D14" s="1" t="s">
        <x:v>184</x:v>
      </x:c>
      <x:c r="E14" s="1" t="s">
        <x:v>160</x:v>
      </x:c>
      <x:c r="F14" s="1" t="s">
        <x:v>185</x:v>
      </x:c>
      <x:c r="G14" s="1" t="s">
        <x:v>431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410</x:v>
      </x:c>
      <x:c r="B15" s="1" t="s">
        <x:v>188</x:v>
      </x:c>
      <x:c r="C15" s="1" t="s">
        <x:v>25</x:v>
      </x:c>
      <x:c r="D15" s="1" t="s">
        <x:v>189</x:v>
      </x:c>
      <x:c r="E15" s="1" t="s">
        <x:v>160</x:v>
      </x:c>
      <x:c r="F15" s="1" t="s">
        <x:v>190</x:v>
      </x:c>
      <x:c r="G15" s="1" t="s">
        <x:v>432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412</x:v>
      </x:c>
      <x:c r="B16" s="1" t="s">
        <x:v>193</x:v>
      </x:c>
      <x:c r="C16" s="1" t="s">
        <x:v>25</x:v>
      </x:c>
      <x:c r="D16" s="1" t="s">
        <x:v>194</x:v>
      </x:c>
      <x:c r="E16" s="1" t="s">
        <x:v>160</x:v>
      </x:c>
      <x:c r="F16" s="1" t="s">
        <x:v>195</x:v>
      </x:c>
      <x:c r="G16" s="1" t="s">
        <x:v>433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414</x:v>
      </x:c>
      <x:c r="B17" s="1" t="s">
        <x:v>199</x:v>
      </x:c>
      <x:c r="C17" s="1" t="s">
        <x:v>25</x:v>
      </x:c>
      <x:c r="D17" s="1" t="s">
        <x:v>200</x:v>
      </x:c>
      <x:c r="E17" s="1" t="s">
        <x:v>160</x:v>
      </x:c>
      <x:c r="F17" s="1" t="s">
        <x:v>201</x:v>
      </x:c>
      <x:c r="G17" s="1" t="s">
        <x:v>434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416</x:v>
      </x:c>
      <x:c r="B18" s="1" t="s">
        <x:v>205</x:v>
      </x:c>
      <x:c r="C18" s="1" t="s">
        <x:v>25</x:v>
      </x:c>
      <x:c r="D18" s="1" t="s">
        <x:v>206</x:v>
      </x:c>
      <x:c r="E18" s="1" t="s">
        <x:v>160</x:v>
      </x:c>
      <x:c r="F18" s="1" t="s">
        <x:v>201</x:v>
      </x:c>
      <x:c r="G18" s="1" t="s">
        <x:v>434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417</x:v>
      </x:c>
      <x:c r="B19" s="1" t="s">
        <x:v>208</x:v>
      </x:c>
      <x:c r="C19" s="1" t="s">
        <x:v>25</x:v>
      </x:c>
      <x:c r="D19" s="1" t="s">
        <x:v>209</x:v>
      </x:c>
      <x:c r="E19" s="1" t="s">
        <x:v>160</x:v>
      </x:c>
      <x:c r="F19" s="1" t="s">
        <x:v>201</x:v>
      </x:c>
      <x:c r="G19" s="1" t="s">
        <x:v>435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419</x:v>
      </x:c>
      <x:c r="B20" s="1" t="s">
        <x:v>212</x:v>
      </x:c>
      <x:c r="C20" s="1" t="s">
        <x:v>25</x:v>
      </x:c>
      <x:c r="D20" s="1" t="s">
        <x:v>213</x:v>
      </x:c>
      <x:c r="E20" s="1" t="s">
        <x:v>160</x:v>
      </x:c>
      <x:c r="F20" s="1" t="s">
        <x:v>201</x:v>
      </x:c>
      <x:c r="G20" s="1" t="s">
        <x:v>434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420</x:v>
      </x:c>
      <x:c r="B21" s="1" t="s">
        <x:v>215</x:v>
      </x:c>
      <x:c r="C21" s="1" t="s">
        <x:v>25</x:v>
      </x:c>
      <x:c r="D21" s="1" t="s">
        <x:v>216</x:v>
      </x:c>
      <x:c r="E21" s="1" t="s">
        <x:v>160</x:v>
      </x:c>
      <x:c r="F21" s="1" t="s">
        <x:v>217</x:v>
      </x:c>
      <x:c r="G21" s="1" t="s">
        <x:v>436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422</x:v>
      </x:c>
      <x:c r="B22" s="1" t="s">
        <x:v>220</x:v>
      </x:c>
      <x:c r="C22" s="1" t="s">
        <x:v>25</x:v>
      </x:c>
      <x:c r="D22" s="1" t="s">
        <x:v>221</x:v>
      </x:c>
      <x:c r="E22" s="1" t="s">
        <x:v>160</x:v>
      </x:c>
      <x:c r="F22" s="1" t="s">
        <x:v>217</x:v>
      </x:c>
      <x:c r="G22" s="1" t="s">
        <x:v>437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424</x:v>
      </x:c>
      <x:c r="B23" s="1" t="s">
        <x:v>224</x:v>
      </x:c>
      <x:c r="C23" s="1" t="s">
        <x:v>25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425</x:v>
      </x:c>
      <x:c r="B24" s="1" t="s">
        <x:v>229</x:v>
      </x:c>
      <x:c r="C24" s="1" t="s">
        <x:v>25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b3a4aecb3d24588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438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439</x:v>
      </x:c>
      <x:c r="B9" s="1" t="s">
        <x:v>157</x:v>
      </x:c>
      <x:c r="C9" s="1" t="s">
        <x:v>26</x:v>
      </x:c>
      <x:c r="D9" s="1" t="s">
        <x:v>159</x:v>
      </x:c>
      <x:c r="E9" s="1" t="s">
        <x:v>160</x:v>
      </x:c>
      <x:c r="F9" s="1" t="s">
        <x:v>161</x:v>
      </x:c>
      <x:c r="G9" s="1" t="s">
        <x:v>440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441</x:v>
      </x:c>
      <x:c r="B10" s="1" t="s">
        <x:v>164</x:v>
      </x:c>
      <x:c r="C10" s="1" t="s">
        <x:v>26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442</x:v>
      </x:c>
      <x:c r="B11" s="1" t="s">
        <x:v>168</x:v>
      </x:c>
      <x:c r="C11" s="1" t="s">
        <x:v>26</x:v>
      </x:c>
      <x:c r="D11" s="1" t="s">
        <x:v>169</x:v>
      </x:c>
      <x:c r="E11" s="1" t="s">
        <x:v>160</x:v>
      </x:c>
      <x:c r="F11" s="1" t="s">
        <x:v>170</x:v>
      </x:c>
      <x:c r="G11" s="1" t="s">
        <x:v>443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444</x:v>
      </x:c>
      <x:c r="B12" s="1" t="s">
        <x:v>173</x:v>
      </x:c>
      <x:c r="C12" s="1" t="s">
        <x:v>26</x:v>
      </x:c>
      <x:c r="D12" s="1" t="s">
        <x:v>174</x:v>
      </x:c>
      <x:c r="E12" s="1" t="s">
        <x:v>160</x:v>
      </x:c>
      <x:c r="F12" s="1" t="s">
        <x:v>175</x:v>
      </x:c>
      <x:c r="G12" s="1" t="s">
        <x:v>445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446</x:v>
      </x:c>
      <x:c r="B13" s="1" t="s">
        <x:v>178</x:v>
      </x:c>
      <x:c r="C13" s="1" t="s">
        <x:v>26</x:v>
      </x:c>
      <x:c r="D13" s="1" t="s">
        <x:v>179</x:v>
      </x:c>
      <x:c r="E13" s="1" t="s">
        <x:v>160</x:v>
      </x:c>
      <x:c r="F13" s="1" t="s">
        <x:v>180</x:v>
      </x:c>
      <x:c r="G13" s="1" t="s">
        <x:v>447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448</x:v>
      </x:c>
      <x:c r="B14" s="1" t="s">
        <x:v>183</x:v>
      </x:c>
      <x:c r="C14" s="1" t="s">
        <x:v>26</x:v>
      </x:c>
      <x:c r="D14" s="1" t="s">
        <x:v>184</x:v>
      </x:c>
      <x:c r="E14" s="1" t="s">
        <x:v>160</x:v>
      </x:c>
      <x:c r="F14" s="1" t="s">
        <x:v>185</x:v>
      </x:c>
      <x:c r="G14" s="1" t="s">
        <x:v>449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450</x:v>
      </x:c>
      <x:c r="B15" s="1" t="s">
        <x:v>188</x:v>
      </x:c>
      <x:c r="C15" s="1" t="s">
        <x:v>26</x:v>
      </x:c>
      <x:c r="D15" s="1" t="s">
        <x:v>189</x:v>
      </x:c>
      <x:c r="E15" s="1" t="s">
        <x:v>160</x:v>
      </x:c>
      <x:c r="F15" s="1" t="s">
        <x:v>190</x:v>
      </x:c>
      <x:c r="G15" s="1" t="s">
        <x:v>451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452</x:v>
      </x:c>
      <x:c r="B16" s="1" t="s">
        <x:v>193</x:v>
      </x:c>
      <x:c r="C16" s="1" t="s">
        <x:v>26</x:v>
      </x:c>
      <x:c r="D16" s="1" t="s">
        <x:v>194</x:v>
      </x:c>
      <x:c r="E16" s="1" t="s">
        <x:v>160</x:v>
      </x:c>
      <x:c r="F16" s="1" t="s">
        <x:v>195</x:v>
      </x:c>
      <x:c r="G16" s="1" t="s">
        <x:v>453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454</x:v>
      </x:c>
      <x:c r="B17" s="1" t="s">
        <x:v>199</x:v>
      </x:c>
      <x:c r="C17" s="1" t="s">
        <x:v>26</x:v>
      </x:c>
      <x:c r="D17" s="1" t="s">
        <x:v>200</x:v>
      </x:c>
      <x:c r="E17" s="1" t="s">
        <x:v>160</x:v>
      </x:c>
      <x:c r="F17" s="1" t="s">
        <x:v>201</x:v>
      </x:c>
      <x:c r="G17" s="1" t="s">
        <x:v>455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456</x:v>
      </x:c>
      <x:c r="B18" s="1" t="s">
        <x:v>205</x:v>
      </x:c>
      <x:c r="C18" s="1" t="s">
        <x:v>26</x:v>
      </x:c>
      <x:c r="D18" s="1" t="s">
        <x:v>206</x:v>
      </x:c>
      <x:c r="E18" s="1" t="s">
        <x:v>160</x:v>
      </x:c>
      <x:c r="F18" s="1" t="s">
        <x:v>201</x:v>
      </x:c>
      <x:c r="G18" s="1" t="s">
        <x:v>455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457</x:v>
      </x:c>
      <x:c r="B19" s="1" t="s">
        <x:v>208</x:v>
      </x:c>
      <x:c r="C19" s="1" t="s">
        <x:v>26</x:v>
      </x:c>
      <x:c r="D19" s="1" t="s">
        <x:v>209</x:v>
      </x:c>
      <x:c r="E19" s="1" t="s">
        <x:v>160</x:v>
      </x:c>
      <x:c r="F19" s="1" t="s">
        <x:v>201</x:v>
      </x:c>
      <x:c r="G19" s="1" t="s">
        <x:v>458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459</x:v>
      </x:c>
      <x:c r="B20" s="1" t="s">
        <x:v>212</x:v>
      </x:c>
      <x:c r="C20" s="1" t="s">
        <x:v>26</x:v>
      </x:c>
      <x:c r="D20" s="1" t="s">
        <x:v>213</x:v>
      </x:c>
      <x:c r="E20" s="1" t="s">
        <x:v>160</x:v>
      </x:c>
      <x:c r="F20" s="1" t="s">
        <x:v>201</x:v>
      </x:c>
      <x:c r="G20" s="1" t="s">
        <x:v>455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460</x:v>
      </x:c>
      <x:c r="B21" s="1" t="s">
        <x:v>215</x:v>
      </x:c>
      <x:c r="C21" s="1" t="s">
        <x:v>26</x:v>
      </x:c>
      <x:c r="D21" s="1" t="s">
        <x:v>216</x:v>
      </x:c>
      <x:c r="E21" s="1" t="s">
        <x:v>160</x:v>
      </x:c>
      <x:c r="F21" s="1" t="s">
        <x:v>217</x:v>
      </x:c>
      <x:c r="G21" s="1" t="s">
        <x:v>461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462</x:v>
      </x:c>
      <x:c r="B22" s="1" t="s">
        <x:v>220</x:v>
      </x:c>
      <x:c r="C22" s="1" t="s">
        <x:v>26</x:v>
      </x:c>
      <x:c r="D22" s="1" t="s">
        <x:v>221</x:v>
      </x:c>
      <x:c r="E22" s="1" t="s">
        <x:v>160</x:v>
      </x:c>
      <x:c r="F22" s="1" t="s">
        <x:v>217</x:v>
      </x:c>
      <x:c r="G22" s="1" t="s">
        <x:v>463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464</x:v>
      </x:c>
      <x:c r="B23" s="1" t="s">
        <x:v>224</x:v>
      </x:c>
      <x:c r="C23" s="1" t="s">
        <x:v>26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465</x:v>
      </x:c>
      <x:c r="B24" s="1" t="s">
        <x:v>229</x:v>
      </x:c>
      <x:c r="C24" s="1" t="s">
        <x:v>26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1bc06d61acd4823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466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439</x:v>
      </x:c>
      <x:c r="B9" s="1" t="s">
        <x:v>157</x:v>
      </x:c>
      <x:c r="C9" s="1" t="s">
        <x:v>27</x:v>
      </x:c>
      <x:c r="D9" s="1" t="s">
        <x:v>159</x:v>
      </x:c>
      <x:c r="E9" s="1" t="s">
        <x:v>160</x:v>
      </x:c>
      <x:c r="F9" s="1" t="s">
        <x:v>161</x:v>
      </x:c>
      <x:c r="G9" s="1" t="s">
        <x:v>467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441</x:v>
      </x:c>
      <x:c r="B10" s="1" t="s">
        <x:v>164</x:v>
      </x:c>
      <x:c r="C10" s="1" t="s">
        <x:v>27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442</x:v>
      </x:c>
      <x:c r="B11" s="1" t="s">
        <x:v>168</x:v>
      </x:c>
      <x:c r="C11" s="1" t="s">
        <x:v>27</x:v>
      </x:c>
      <x:c r="D11" s="1" t="s">
        <x:v>169</x:v>
      </x:c>
      <x:c r="E11" s="1" t="s">
        <x:v>160</x:v>
      </x:c>
      <x:c r="F11" s="1" t="s">
        <x:v>170</x:v>
      </x:c>
      <x:c r="G11" s="1" t="s">
        <x:v>468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444</x:v>
      </x:c>
      <x:c r="B12" s="1" t="s">
        <x:v>173</x:v>
      </x:c>
      <x:c r="C12" s="1" t="s">
        <x:v>27</x:v>
      </x:c>
      <x:c r="D12" s="1" t="s">
        <x:v>174</x:v>
      </x:c>
      <x:c r="E12" s="1" t="s">
        <x:v>160</x:v>
      </x:c>
      <x:c r="F12" s="1" t="s">
        <x:v>175</x:v>
      </x:c>
      <x:c r="G12" s="1" t="s">
        <x:v>469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446</x:v>
      </x:c>
      <x:c r="B13" s="1" t="s">
        <x:v>178</x:v>
      </x:c>
      <x:c r="C13" s="1" t="s">
        <x:v>27</x:v>
      </x:c>
      <x:c r="D13" s="1" t="s">
        <x:v>179</x:v>
      </x:c>
      <x:c r="E13" s="1" t="s">
        <x:v>160</x:v>
      </x:c>
      <x:c r="F13" s="1" t="s">
        <x:v>180</x:v>
      </x:c>
      <x:c r="G13" s="1" t="s">
        <x:v>470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448</x:v>
      </x:c>
      <x:c r="B14" s="1" t="s">
        <x:v>183</x:v>
      </x:c>
      <x:c r="C14" s="1" t="s">
        <x:v>27</x:v>
      </x:c>
      <x:c r="D14" s="1" t="s">
        <x:v>184</x:v>
      </x:c>
      <x:c r="E14" s="1" t="s">
        <x:v>160</x:v>
      </x:c>
      <x:c r="F14" s="1" t="s">
        <x:v>185</x:v>
      </x:c>
      <x:c r="G14" s="1" t="s">
        <x:v>471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450</x:v>
      </x:c>
      <x:c r="B15" s="1" t="s">
        <x:v>188</x:v>
      </x:c>
      <x:c r="C15" s="1" t="s">
        <x:v>27</x:v>
      </x:c>
      <x:c r="D15" s="1" t="s">
        <x:v>189</x:v>
      </x:c>
      <x:c r="E15" s="1" t="s">
        <x:v>160</x:v>
      </x:c>
      <x:c r="F15" s="1" t="s">
        <x:v>190</x:v>
      </x:c>
      <x:c r="G15" s="1" t="s">
        <x:v>472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452</x:v>
      </x:c>
      <x:c r="B16" s="1" t="s">
        <x:v>193</x:v>
      </x:c>
      <x:c r="C16" s="1" t="s">
        <x:v>27</x:v>
      </x:c>
      <x:c r="D16" s="1" t="s">
        <x:v>194</x:v>
      </x:c>
      <x:c r="E16" s="1" t="s">
        <x:v>160</x:v>
      </x:c>
      <x:c r="F16" s="1" t="s">
        <x:v>195</x:v>
      </x:c>
      <x:c r="G16" s="1" t="s">
        <x:v>473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454</x:v>
      </x:c>
      <x:c r="B17" s="1" t="s">
        <x:v>199</x:v>
      </x:c>
      <x:c r="C17" s="1" t="s">
        <x:v>27</x:v>
      </x:c>
      <x:c r="D17" s="1" t="s">
        <x:v>200</x:v>
      </x:c>
      <x:c r="E17" s="1" t="s">
        <x:v>160</x:v>
      </x:c>
      <x:c r="F17" s="1" t="s">
        <x:v>201</x:v>
      </x:c>
      <x:c r="G17" s="1" t="s">
        <x:v>474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456</x:v>
      </x:c>
      <x:c r="B18" s="1" t="s">
        <x:v>205</x:v>
      </x:c>
      <x:c r="C18" s="1" t="s">
        <x:v>27</x:v>
      </x:c>
      <x:c r="D18" s="1" t="s">
        <x:v>206</x:v>
      </x:c>
      <x:c r="E18" s="1" t="s">
        <x:v>160</x:v>
      </x:c>
      <x:c r="F18" s="1" t="s">
        <x:v>201</x:v>
      </x:c>
      <x:c r="G18" s="1" t="s">
        <x:v>474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457</x:v>
      </x:c>
      <x:c r="B19" s="1" t="s">
        <x:v>208</x:v>
      </x:c>
      <x:c r="C19" s="1" t="s">
        <x:v>27</x:v>
      </x:c>
      <x:c r="D19" s="1" t="s">
        <x:v>209</x:v>
      </x:c>
      <x:c r="E19" s="1" t="s">
        <x:v>160</x:v>
      </x:c>
      <x:c r="F19" s="1" t="s">
        <x:v>201</x:v>
      </x:c>
      <x:c r="G19" s="1" t="s">
        <x:v>475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459</x:v>
      </x:c>
      <x:c r="B20" s="1" t="s">
        <x:v>212</x:v>
      </x:c>
      <x:c r="C20" s="1" t="s">
        <x:v>27</x:v>
      </x:c>
      <x:c r="D20" s="1" t="s">
        <x:v>213</x:v>
      </x:c>
      <x:c r="E20" s="1" t="s">
        <x:v>160</x:v>
      </x:c>
      <x:c r="F20" s="1" t="s">
        <x:v>201</x:v>
      </x:c>
      <x:c r="G20" s="1" t="s">
        <x:v>474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460</x:v>
      </x:c>
      <x:c r="B21" s="1" t="s">
        <x:v>215</x:v>
      </x:c>
      <x:c r="C21" s="1" t="s">
        <x:v>27</x:v>
      </x:c>
      <x:c r="D21" s="1" t="s">
        <x:v>216</x:v>
      </x:c>
      <x:c r="E21" s="1" t="s">
        <x:v>160</x:v>
      </x:c>
      <x:c r="F21" s="1" t="s">
        <x:v>217</x:v>
      </x:c>
      <x:c r="G21" s="1" t="s">
        <x:v>476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462</x:v>
      </x:c>
      <x:c r="B22" s="1" t="s">
        <x:v>220</x:v>
      </x:c>
      <x:c r="C22" s="1" t="s">
        <x:v>27</x:v>
      </x:c>
      <x:c r="D22" s="1" t="s">
        <x:v>221</x:v>
      </x:c>
      <x:c r="E22" s="1" t="s">
        <x:v>160</x:v>
      </x:c>
      <x:c r="F22" s="1" t="s">
        <x:v>217</x:v>
      </x:c>
      <x:c r="G22" s="1" t="s">
        <x:v>477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464</x:v>
      </x:c>
      <x:c r="B23" s="1" t="s">
        <x:v>224</x:v>
      </x:c>
      <x:c r="C23" s="1" t="s">
        <x:v>27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465</x:v>
      </x:c>
      <x:c r="B24" s="1" t="s">
        <x:v>229</x:v>
      </x:c>
      <x:c r="C24" s="1" t="s">
        <x:v>27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430013d86264782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478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439</x:v>
      </x:c>
      <x:c r="B9" s="1" t="s">
        <x:v>157</x:v>
      </x:c>
      <x:c r="C9" s="1" t="s">
        <x:v>28</x:v>
      </x:c>
      <x:c r="D9" s="1" t="s">
        <x:v>159</x:v>
      </x:c>
      <x:c r="E9" s="1" t="s">
        <x:v>160</x:v>
      </x:c>
      <x:c r="F9" s="1" t="s">
        <x:v>161</x:v>
      </x:c>
      <x:c r="G9" s="1" t="s">
        <x:v>479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441</x:v>
      </x:c>
      <x:c r="B10" s="1" t="s">
        <x:v>164</x:v>
      </x:c>
      <x:c r="C10" s="1" t="s">
        <x:v>28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442</x:v>
      </x:c>
      <x:c r="B11" s="1" t="s">
        <x:v>168</x:v>
      </x:c>
      <x:c r="C11" s="1" t="s">
        <x:v>28</x:v>
      </x:c>
      <x:c r="D11" s="1" t="s">
        <x:v>169</x:v>
      </x:c>
      <x:c r="E11" s="1" t="s">
        <x:v>160</x:v>
      </x:c>
      <x:c r="F11" s="1" t="s">
        <x:v>170</x:v>
      </x:c>
      <x:c r="G11" s="1" t="s">
        <x:v>480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444</x:v>
      </x:c>
      <x:c r="B12" s="1" t="s">
        <x:v>173</x:v>
      </x:c>
      <x:c r="C12" s="1" t="s">
        <x:v>28</x:v>
      </x:c>
      <x:c r="D12" s="1" t="s">
        <x:v>174</x:v>
      </x:c>
      <x:c r="E12" s="1" t="s">
        <x:v>160</x:v>
      </x:c>
      <x:c r="F12" s="1" t="s">
        <x:v>175</x:v>
      </x:c>
      <x:c r="G12" s="1" t="s">
        <x:v>481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446</x:v>
      </x:c>
      <x:c r="B13" s="1" t="s">
        <x:v>178</x:v>
      </x:c>
      <x:c r="C13" s="1" t="s">
        <x:v>28</x:v>
      </x:c>
      <x:c r="D13" s="1" t="s">
        <x:v>179</x:v>
      </x:c>
      <x:c r="E13" s="1" t="s">
        <x:v>160</x:v>
      </x:c>
      <x:c r="F13" s="1" t="s">
        <x:v>180</x:v>
      </x:c>
      <x:c r="G13" s="1" t="s">
        <x:v>482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448</x:v>
      </x:c>
      <x:c r="B14" s="1" t="s">
        <x:v>183</x:v>
      </x:c>
      <x:c r="C14" s="1" t="s">
        <x:v>28</x:v>
      </x:c>
      <x:c r="D14" s="1" t="s">
        <x:v>184</x:v>
      </x:c>
      <x:c r="E14" s="1" t="s">
        <x:v>160</x:v>
      </x:c>
      <x:c r="F14" s="1" t="s">
        <x:v>185</x:v>
      </x:c>
      <x:c r="G14" s="1" t="s">
        <x:v>483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450</x:v>
      </x:c>
      <x:c r="B15" s="1" t="s">
        <x:v>188</x:v>
      </x:c>
      <x:c r="C15" s="1" t="s">
        <x:v>28</x:v>
      </x:c>
      <x:c r="D15" s="1" t="s">
        <x:v>189</x:v>
      </x:c>
      <x:c r="E15" s="1" t="s">
        <x:v>160</x:v>
      </x:c>
      <x:c r="F15" s="1" t="s">
        <x:v>190</x:v>
      </x:c>
      <x:c r="G15" s="1" t="s">
        <x:v>484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452</x:v>
      </x:c>
      <x:c r="B16" s="1" t="s">
        <x:v>193</x:v>
      </x:c>
      <x:c r="C16" s="1" t="s">
        <x:v>28</x:v>
      </x:c>
      <x:c r="D16" s="1" t="s">
        <x:v>194</x:v>
      </x:c>
      <x:c r="E16" s="1" t="s">
        <x:v>160</x:v>
      </x:c>
      <x:c r="F16" s="1" t="s">
        <x:v>195</x:v>
      </x:c>
      <x:c r="G16" s="1" t="s">
        <x:v>485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454</x:v>
      </x:c>
      <x:c r="B17" s="1" t="s">
        <x:v>199</x:v>
      </x:c>
      <x:c r="C17" s="1" t="s">
        <x:v>28</x:v>
      </x:c>
      <x:c r="D17" s="1" t="s">
        <x:v>200</x:v>
      </x:c>
      <x:c r="E17" s="1" t="s">
        <x:v>160</x:v>
      </x:c>
      <x:c r="F17" s="1" t="s">
        <x:v>201</x:v>
      </x:c>
      <x:c r="G17" s="1" t="s">
        <x:v>486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456</x:v>
      </x:c>
      <x:c r="B18" s="1" t="s">
        <x:v>205</x:v>
      </x:c>
      <x:c r="C18" s="1" t="s">
        <x:v>28</x:v>
      </x:c>
      <x:c r="D18" s="1" t="s">
        <x:v>206</x:v>
      </x:c>
      <x:c r="E18" s="1" t="s">
        <x:v>160</x:v>
      </x:c>
      <x:c r="F18" s="1" t="s">
        <x:v>201</x:v>
      </x:c>
      <x:c r="G18" s="1" t="s">
        <x:v>486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457</x:v>
      </x:c>
      <x:c r="B19" s="1" t="s">
        <x:v>208</x:v>
      </x:c>
      <x:c r="C19" s="1" t="s">
        <x:v>28</x:v>
      </x:c>
      <x:c r="D19" s="1" t="s">
        <x:v>209</x:v>
      </x:c>
      <x:c r="E19" s="1" t="s">
        <x:v>160</x:v>
      </x:c>
      <x:c r="F19" s="1" t="s">
        <x:v>201</x:v>
      </x:c>
      <x:c r="G19" s="1" t="s">
        <x:v>487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459</x:v>
      </x:c>
      <x:c r="B20" s="1" t="s">
        <x:v>212</x:v>
      </x:c>
      <x:c r="C20" s="1" t="s">
        <x:v>28</x:v>
      </x:c>
      <x:c r="D20" s="1" t="s">
        <x:v>213</x:v>
      </x:c>
      <x:c r="E20" s="1" t="s">
        <x:v>160</x:v>
      </x:c>
      <x:c r="F20" s="1" t="s">
        <x:v>201</x:v>
      </x:c>
      <x:c r="G20" s="1" t="s">
        <x:v>486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460</x:v>
      </x:c>
      <x:c r="B21" s="1" t="s">
        <x:v>215</x:v>
      </x:c>
      <x:c r="C21" s="1" t="s">
        <x:v>28</x:v>
      </x:c>
      <x:c r="D21" s="1" t="s">
        <x:v>216</x:v>
      </x:c>
      <x:c r="E21" s="1" t="s">
        <x:v>160</x:v>
      </x:c>
      <x:c r="F21" s="1" t="s">
        <x:v>217</x:v>
      </x:c>
      <x:c r="G21" s="1" t="s">
        <x:v>488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462</x:v>
      </x:c>
      <x:c r="B22" s="1" t="s">
        <x:v>220</x:v>
      </x:c>
      <x:c r="C22" s="1" t="s">
        <x:v>28</x:v>
      </x:c>
      <x:c r="D22" s="1" t="s">
        <x:v>221</x:v>
      </x:c>
      <x:c r="E22" s="1" t="s">
        <x:v>160</x:v>
      </x:c>
      <x:c r="F22" s="1" t="s">
        <x:v>217</x:v>
      </x:c>
      <x:c r="G22" s="1" t="s">
        <x:v>489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464</x:v>
      </x:c>
      <x:c r="B23" s="1" t="s">
        <x:v>224</x:v>
      </x:c>
      <x:c r="C23" s="1" t="s">
        <x:v>28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465</x:v>
      </x:c>
      <x:c r="B24" s="1" t="s">
        <x:v>229</x:v>
      </x:c>
      <x:c r="C24" s="1" t="s">
        <x:v>28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effee6b91074c1f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490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491</x:v>
      </x:c>
      <x:c r="B9" s="1" t="s">
        <x:v>157</x:v>
      </x:c>
      <x:c r="C9" s="1" t="s">
        <x:v>492</x:v>
      </x:c>
      <x:c r="D9" s="1" t="s">
        <x:v>159</x:v>
      </x:c>
      <x:c r="E9" s="1" t="s">
        <x:v>160</x:v>
      </x:c>
      <x:c r="F9" s="1" t="s">
        <x:v>161</x:v>
      </x:c>
      <x:c r="G9" s="1" t="s">
        <x:v>493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494</x:v>
      </x:c>
      <x:c r="B10" s="1" t="s">
        <x:v>164</x:v>
      </x:c>
      <x:c r="C10" s="1" t="s">
        <x:v>492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495</x:v>
      </x:c>
      <x:c r="B11" s="1" t="s">
        <x:v>168</x:v>
      </x:c>
      <x:c r="C11" s="1" t="s">
        <x:v>492</x:v>
      </x:c>
      <x:c r="D11" s="1" t="s">
        <x:v>169</x:v>
      </x:c>
      <x:c r="E11" s="1" t="s">
        <x:v>160</x:v>
      </x:c>
      <x:c r="F11" s="1" t="s">
        <x:v>170</x:v>
      </x:c>
      <x:c r="G11" s="1" t="s">
        <x:v>496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497</x:v>
      </x:c>
      <x:c r="B12" s="1" t="s">
        <x:v>173</x:v>
      </x:c>
      <x:c r="C12" s="1" t="s">
        <x:v>492</x:v>
      </x:c>
      <x:c r="D12" s="1" t="s">
        <x:v>174</x:v>
      </x:c>
      <x:c r="E12" s="1" t="s">
        <x:v>160</x:v>
      </x:c>
      <x:c r="F12" s="1" t="s">
        <x:v>175</x:v>
      </x:c>
      <x:c r="G12" s="1" t="s">
        <x:v>498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499</x:v>
      </x:c>
      <x:c r="B13" s="1" t="s">
        <x:v>178</x:v>
      </x:c>
      <x:c r="C13" s="1" t="s">
        <x:v>492</x:v>
      </x:c>
      <x:c r="D13" s="1" t="s">
        <x:v>179</x:v>
      </x:c>
      <x:c r="E13" s="1" t="s">
        <x:v>160</x:v>
      </x:c>
      <x:c r="F13" s="1" t="s">
        <x:v>180</x:v>
      </x:c>
      <x:c r="G13" s="1" t="s">
        <x:v>500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501</x:v>
      </x:c>
      <x:c r="B14" s="1" t="s">
        <x:v>183</x:v>
      </x:c>
      <x:c r="C14" s="1" t="s">
        <x:v>492</x:v>
      </x:c>
      <x:c r="D14" s="1" t="s">
        <x:v>184</x:v>
      </x:c>
      <x:c r="E14" s="1" t="s">
        <x:v>160</x:v>
      </x:c>
      <x:c r="F14" s="1" t="s">
        <x:v>185</x:v>
      </x:c>
      <x:c r="G14" s="1" t="s">
        <x:v>502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503</x:v>
      </x:c>
      <x:c r="B15" s="1" t="s">
        <x:v>188</x:v>
      </x:c>
      <x:c r="C15" s="1" t="s">
        <x:v>492</x:v>
      </x:c>
      <x:c r="D15" s="1" t="s">
        <x:v>189</x:v>
      </x:c>
      <x:c r="E15" s="1" t="s">
        <x:v>160</x:v>
      </x:c>
      <x:c r="F15" s="1" t="s">
        <x:v>190</x:v>
      </x:c>
      <x:c r="G15" s="1" t="s">
        <x:v>504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505</x:v>
      </x:c>
      <x:c r="B16" s="1" t="s">
        <x:v>193</x:v>
      </x:c>
      <x:c r="C16" s="1" t="s">
        <x:v>492</x:v>
      </x:c>
      <x:c r="D16" s="1" t="s">
        <x:v>194</x:v>
      </x:c>
      <x:c r="E16" s="1" t="s">
        <x:v>160</x:v>
      </x:c>
      <x:c r="F16" s="1" t="s">
        <x:v>195</x:v>
      </x:c>
      <x:c r="G16" s="1" t="s">
        <x:v>506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507</x:v>
      </x:c>
      <x:c r="B17" s="1" t="s">
        <x:v>199</x:v>
      </x:c>
      <x:c r="C17" s="1" t="s">
        <x:v>492</x:v>
      </x:c>
      <x:c r="D17" s="1" t="s">
        <x:v>200</x:v>
      </x:c>
      <x:c r="E17" s="1" t="s">
        <x:v>160</x:v>
      </x:c>
      <x:c r="F17" s="1" t="s">
        <x:v>201</x:v>
      </x:c>
      <x:c r="G17" s="1" t="s">
        <x:v>508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509</x:v>
      </x:c>
      <x:c r="B18" s="1" t="s">
        <x:v>205</x:v>
      </x:c>
      <x:c r="C18" s="1" t="s">
        <x:v>492</x:v>
      </x:c>
      <x:c r="D18" s="1" t="s">
        <x:v>206</x:v>
      </x:c>
      <x:c r="E18" s="1" t="s">
        <x:v>160</x:v>
      </x:c>
      <x:c r="F18" s="1" t="s">
        <x:v>201</x:v>
      </x:c>
      <x:c r="G18" s="1" t="s">
        <x:v>508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510</x:v>
      </x:c>
      <x:c r="B19" s="1" t="s">
        <x:v>208</x:v>
      </x:c>
      <x:c r="C19" s="1" t="s">
        <x:v>492</x:v>
      </x:c>
      <x:c r="D19" s="1" t="s">
        <x:v>209</x:v>
      </x:c>
      <x:c r="E19" s="1" t="s">
        <x:v>160</x:v>
      </x:c>
      <x:c r="F19" s="1" t="s">
        <x:v>201</x:v>
      </x:c>
      <x:c r="G19" s="1" t="s">
        <x:v>511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512</x:v>
      </x:c>
      <x:c r="B20" s="1" t="s">
        <x:v>212</x:v>
      </x:c>
      <x:c r="C20" s="1" t="s">
        <x:v>492</x:v>
      </x:c>
      <x:c r="D20" s="1" t="s">
        <x:v>213</x:v>
      </x:c>
      <x:c r="E20" s="1" t="s">
        <x:v>160</x:v>
      </x:c>
      <x:c r="F20" s="1" t="s">
        <x:v>201</x:v>
      </x:c>
      <x:c r="G20" s="1" t="s">
        <x:v>508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513</x:v>
      </x:c>
      <x:c r="B21" s="1" t="s">
        <x:v>215</x:v>
      </x:c>
      <x:c r="C21" s="1" t="s">
        <x:v>492</x:v>
      </x:c>
      <x:c r="D21" s="1" t="s">
        <x:v>216</x:v>
      </x:c>
      <x:c r="E21" s="1" t="s">
        <x:v>160</x:v>
      </x:c>
      <x:c r="F21" s="1" t="s">
        <x:v>217</x:v>
      </x:c>
      <x:c r="G21" s="1" t="s">
        <x:v>514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515</x:v>
      </x:c>
      <x:c r="B22" s="1" t="s">
        <x:v>220</x:v>
      </x:c>
      <x:c r="C22" s="1" t="s">
        <x:v>492</x:v>
      </x:c>
      <x:c r="D22" s="1" t="s">
        <x:v>221</x:v>
      </x:c>
      <x:c r="E22" s="1" t="s">
        <x:v>160</x:v>
      </x:c>
      <x:c r="F22" s="1" t="s">
        <x:v>217</x:v>
      </x:c>
      <x:c r="G22" s="1" t="s">
        <x:v>516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517</x:v>
      </x:c>
      <x:c r="B23" s="1" t="s">
        <x:v>224</x:v>
      </x:c>
      <x:c r="C23" s="1" t="s">
        <x:v>492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518</x:v>
      </x:c>
      <x:c r="B24" s="1" t="s">
        <x:v>229</x:v>
      </x:c>
      <x:c r="C24" s="1" t="s">
        <x:v>492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2797f239b5f4b1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519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520</x:v>
      </x:c>
      <x:c r="B9" s="1" t="s">
        <x:v>157</x:v>
      </x:c>
      <x:c r="C9" s="1" t="s">
        <x:v>521</x:v>
      </x:c>
      <x:c r="D9" s="1" t="s">
        <x:v>159</x:v>
      </x:c>
      <x:c r="E9" s="1" t="s">
        <x:v>160</x:v>
      </x:c>
      <x:c r="F9" s="1" t="s">
        <x:v>161</x:v>
      </x:c>
      <x:c r="G9" s="1" t="s">
        <x:v>522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523</x:v>
      </x:c>
      <x:c r="B10" s="1" t="s">
        <x:v>164</x:v>
      </x:c>
      <x:c r="C10" s="1" t="s">
        <x:v>521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524</x:v>
      </x:c>
      <x:c r="B11" s="1" t="s">
        <x:v>168</x:v>
      </x:c>
      <x:c r="C11" s="1" t="s">
        <x:v>521</x:v>
      </x:c>
      <x:c r="D11" s="1" t="s">
        <x:v>169</x:v>
      </x:c>
      <x:c r="E11" s="1" t="s">
        <x:v>160</x:v>
      </x:c>
      <x:c r="F11" s="1" t="s">
        <x:v>170</x:v>
      </x:c>
      <x:c r="G11" s="1" t="s">
        <x:v>525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526</x:v>
      </x:c>
      <x:c r="B12" s="1" t="s">
        <x:v>173</x:v>
      </x:c>
      <x:c r="C12" s="1" t="s">
        <x:v>521</x:v>
      </x:c>
      <x:c r="D12" s="1" t="s">
        <x:v>174</x:v>
      </x:c>
      <x:c r="E12" s="1" t="s">
        <x:v>160</x:v>
      </x:c>
      <x:c r="F12" s="1" t="s">
        <x:v>175</x:v>
      </x:c>
      <x:c r="G12" s="1" t="s">
        <x:v>527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528</x:v>
      </x:c>
      <x:c r="B13" s="1" t="s">
        <x:v>178</x:v>
      </x:c>
      <x:c r="C13" s="1" t="s">
        <x:v>521</x:v>
      </x:c>
      <x:c r="D13" s="1" t="s">
        <x:v>179</x:v>
      </x:c>
      <x:c r="E13" s="1" t="s">
        <x:v>160</x:v>
      </x:c>
      <x:c r="F13" s="1" t="s">
        <x:v>180</x:v>
      </x:c>
      <x:c r="G13" s="1" t="s">
        <x:v>529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530</x:v>
      </x:c>
      <x:c r="B14" s="1" t="s">
        <x:v>183</x:v>
      </x:c>
      <x:c r="C14" s="1" t="s">
        <x:v>521</x:v>
      </x:c>
      <x:c r="D14" s="1" t="s">
        <x:v>184</x:v>
      </x:c>
      <x:c r="E14" s="1" t="s">
        <x:v>160</x:v>
      </x:c>
      <x:c r="F14" s="1" t="s">
        <x:v>185</x:v>
      </x:c>
      <x:c r="G14" s="1" t="s">
        <x:v>531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532</x:v>
      </x:c>
      <x:c r="B15" s="1" t="s">
        <x:v>188</x:v>
      </x:c>
      <x:c r="C15" s="1" t="s">
        <x:v>521</x:v>
      </x:c>
      <x:c r="D15" s="1" t="s">
        <x:v>189</x:v>
      </x:c>
      <x:c r="E15" s="1" t="s">
        <x:v>160</x:v>
      </x:c>
      <x:c r="F15" s="1" t="s">
        <x:v>190</x:v>
      </x:c>
      <x:c r="G15" s="1" t="s">
        <x:v>533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534</x:v>
      </x:c>
      <x:c r="B16" s="1" t="s">
        <x:v>193</x:v>
      </x:c>
      <x:c r="C16" s="1" t="s">
        <x:v>521</x:v>
      </x:c>
      <x:c r="D16" s="1" t="s">
        <x:v>194</x:v>
      </x:c>
      <x:c r="E16" s="1" t="s">
        <x:v>160</x:v>
      </x:c>
      <x:c r="F16" s="1" t="s">
        <x:v>195</x:v>
      </x:c>
      <x:c r="G16" s="1" t="s">
        <x:v>535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536</x:v>
      </x:c>
      <x:c r="B17" s="1" t="s">
        <x:v>199</x:v>
      </x:c>
      <x:c r="C17" s="1" t="s">
        <x:v>521</x:v>
      </x:c>
      <x:c r="D17" s="1" t="s">
        <x:v>200</x:v>
      </x:c>
      <x:c r="E17" s="1" t="s">
        <x:v>160</x:v>
      </x:c>
      <x:c r="F17" s="1" t="s">
        <x:v>201</x:v>
      </x:c>
      <x:c r="G17" s="1" t="s">
        <x:v>537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538</x:v>
      </x:c>
      <x:c r="B18" s="1" t="s">
        <x:v>205</x:v>
      </x:c>
      <x:c r="C18" s="1" t="s">
        <x:v>521</x:v>
      </x:c>
      <x:c r="D18" s="1" t="s">
        <x:v>206</x:v>
      </x:c>
      <x:c r="E18" s="1" t="s">
        <x:v>160</x:v>
      </x:c>
      <x:c r="F18" s="1" t="s">
        <x:v>201</x:v>
      </x:c>
      <x:c r="G18" s="1" t="s">
        <x:v>537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539</x:v>
      </x:c>
      <x:c r="B19" s="1" t="s">
        <x:v>208</x:v>
      </x:c>
      <x:c r="C19" s="1" t="s">
        <x:v>521</x:v>
      </x:c>
      <x:c r="D19" s="1" t="s">
        <x:v>209</x:v>
      </x:c>
      <x:c r="E19" s="1" t="s">
        <x:v>160</x:v>
      </x:c>
      <x:c r="F19" s="1" t="s">
        <x:v>201</x:v>
      </x:c>
      <x:c r="G19" s="1" t="s">
        <x:v>540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541</x:v>
      </x:c>
      <x:c r="B20" s="1" t="s">
        <x:v>212</x:v>
      </x:c>
      <x:c r="C20" s="1" t="s">
        <x:v>521</x:v>
      </x:c>
      <x:c r="D20" s="1" t="s">
        <x:v>213</x:v>
      </x:c>
      <x:c r="E20" s="1" t="s">
        <x:v>160</x:v>
      </x:c>
      <x:c r="F20" s="1" t="s">
        <x:v>201</x:v>
      </x:c>
      <x:c r="G20" s="1" t="s">
        <x:v>537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542</x:v>
      </x:c>
      <x:c r="B21" s="1" t="s">
        <x:v>215</x:v>
      </x:c>
      <x:c r="C21" s="1" t="s">
        <x:v>521</x:v>
      </x:c>
      <x:c r="D21" s="1" t="s">
        <x:v>216</x:v>
      </x:c>
      <x:c r="E21" s="1" t="s">
        <x:v>160</x:v>
      </x:c>
      <x:c r="F21" s="1" t="s">
        <x:v>217</x:v>
      </x:c>
      <x:c r="G21" s="1" t="s">
        <x:v>543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544</x:v>
      </x:c>
      <x:c r="B22" s="1" t="s">
        <x:v>220</x:v>
      </x:c>
      <x:c r="C22" s="1" t="s">
        <x:v>521</x:v>
      </x:c>
      <x:c r="D22" s="1" t="s">
        <x:v>221</x:v>
      </x:c>
      <x:c r="E22" s="1" t="s">
        <x:v>160</x:v>
      </x:c>
      <x:c r="F22" s="1" t="s">
        <x:v>217</x:v>
      </x:c>
      <x:c r="G22" s="1" t="s">
        <x:v>545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546</x:v>
      </x:c>
      <x:c r="B23" s="1" t="s">
        <x:v>224</x:v>
      </x:c>
      <x:c r="C23" s="1" t="s">
        <x:v>521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547</x:v>
      </x:c>
      <x:c r="B24" s="1" t="s">
        <x:v>229</x:v>
      </x:c>
      <x:c r="C24" s="1" t="s">
        <x:v>521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8df2e87d6fc4c1c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548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143</x:v>
      </x:c>
      <x:c r="E4" s="7" t="n">
        <x:f aca="0">SUM(M9:M24)</x:f>
        <x:v>12</x:v>
      </x:c>
      <x:c r="G4" s="6" t="s">
        <x:v>13</x:v>
      </x:c>
      <x:c r="H4" s="8" t="n">
        <x:f aca="0">IF(B4=0,0,E4/B4)</x:f>
        <x:v>0.75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549</x:v>
      </x:c>
      <x:c r="B9" s="12" t="s">
        <x:v>157</x:v>
      </x:c>
      <x:c r="C9" s="12" t="s">
        <x:v>31</x:v>
      </x:c>
      <x:c r="D9" s="13" t="s">
        <x:v>550</x:v>
      </x:c>
      <x:c r="E9" s="12" t="s">
        <x:v>160</x:v>
      </x:c>
      <x:c r="F9" s="12" t="s">
        <x:v>161</x:v>
      </x:c>
      <x:c r="G9" s="13" t="s">
        <x:v>551</x:v>
      </x:c>
      <x:c r="H9" s="12" t="s">
        <x:v>125</x:v>
      </x:c>
      <x:c r="I9" s="12" t="s">
        <x:v>140</x:v>
      </x:c>
      <x:c r="J9" s="14" t="n">
        <x:v>46227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552</x:v>
      </x:c>
      <x:c r="B10" s="12" t="s">
        <x:v>164</x:v>
      </x:c>
      <x:c r="C10" s="12" t="s">
        <x:v>31</x:v>
      </x:c>
      <x:c r="D10" s="13" t="s">
        <x:v>553</x:v>
      </x:c>
      <x:c r="E10" s="12" t="s">
        <x:v>160</x:v>
      </x:c>
      <x:c r="F10" s="12" t="s">
        <x:v>160</x:v>
      </x:c>
      <x:c r="G10" s="13" t="s">
        <x:v>166</x:v>
      </x:c>
      <x:c r="H10" s="12" t="s">
        <x:v>125</x:v>
      </x:c>
      <x:c r="I10" s="12" t="s">
        <x:v>140</x:v>
      </x:c>
      <x:c r="J10" s="14" t="n">
        <x:v>46227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554</x:v>
      </x:c>
      <x:c r="B11" s="12" t="s">
        <x:v>168</x:v>
      </x:c>
      <x:c r="C11" s="12" t="s">
        <x:v>31</x:v>
      </x:c>
      <x:c r="D11" s="13" t="s">
        <x:v>555</x:v>
      </x:c>
      <x:c r="E11" s="12" t="s">
        <x:v>160</x:v>
      </x:c>
      <x:c r="F11" s="12" t="s">
        <x:v>170</x:v>
      </x:c>
      <x:c r="G11" s="13" t="s">
        <x:v>556</x:v>
      </x:c>
      <x:c r="H11" s="12" t="s">
        <x:v>125</x:v>
      </x:c>
      <x:c r="I11" s="12" t="s">
        <x:v>140</x:v>
      </x:c>
      <x:c r="J11" s="14" t="n">
        <x:v>46227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557</x:v>
      </x:c>
      <x:c r="B12" s="12" t="s">
        <x:v>173</x:v>
      </x:c>
      <x:c r="C12" s="12" t="s">
        <x:v>31</x:v>
      </x:c>
      <x:c r="D12" s="13" t="s">
        <x:v>558</x:v>
      </x:c>
      <x:c r="E12" s="12" t="s">
        <x:v>160</x:v>
      </x:c>
      <x:c r="F12" s="12" t="s">
        <x:v>175</x:v>
      </x:c>
      <x:c r="G12" s="13" t="s">
        <x:v>559</x:v>
      </x:c>
      <x:c r="H12" s="12" t="s">
        <x:v>125</x:v>
      </x:c>
      <x:c r="I12" s="12" t="s">
        <x:v>140</x:v>
      </x:c>
      <x:c r="J12" s="14" t="n">
        <x:v>46227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560</x:v>
      </x:c>
      <x:c r="B13" s="12" t="s">
        <x:v>178</x:v>
      </x:c>
      <x:c r="C13" s="12" t="s">
        <x:v>31</x:v>
      </x:c>
      <x:c r="D13" s="13" t="s">
        <x:v>561</x:v>
      </x:c>
      <x:c r="E13" s="12" t="s">
        <x:v>160</x:v>
      </x:c>
      <x:c r="F13" s="12" t="s">
        <x:v>180</x:v>
      </x:c>
      <x:c r="G13" s="13" t="s">
        <x:v>562</x:v>
      </x:c>
      <x:c r="H13" s="12" t="s">
        <x:v>125</x:v>
      </x:c>
      <x:c r="I13" s="12" t="s">
        <x:v>140</x:v>
      </x:c>
      <x:c r="J13" s="14" t="n">
        <x:v>46227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563</x:v>
      </x:c>
      <x:c r="B14" s="12" t="s">
        <x:v>183</x:v>
      </x:c>
      <x:c r="C14" s="12" t="s">
        <x:v>31</x:v>
      </x:c>
      <x:c r="D14" s="13" t="s">
        <x:v>564</x:v>
      </x:c>
      <x:c r="E14" s="12" t="s">
        <x:v>160</x:v>
      </x:c>
      <x:c r="F14" s="12" t="s">
        <x:v>185</x:v>
      </x:c>
      <x:c r="G14" s="13" t="s">
        <x:v>565</x:v>
      </x:c>
      <x:c r="H14" s="12" t="s">
        <x:v>125</x:v>
      </x:c>
      <x:c r="I14" s="12" t="s">
        <x:v>140</x:v>
      </x:c>
      <x:c r="J14" s="14" t="n">
        <x:v>46227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566</x:v>
      </x:c>
      <x:c r="B15" s="12" t="s">
        <x:v>188</x:v>
      </x:c>
      <x:c r="C15" s="12" t="s">
        <x:v>31</x:v>
      </x:c>
      <x:c r="D15" s="13" t="s">
        <x:v>567</x:v>
      </x:c>
      <x:c r="E15" s="12" t="s">
        <x:v>160</x:v>
      </x:c>
      <x:c r="F15" s="12" t="s">
        <x:v>190</x:v>
      </x:c>
      <x:c r="G15" s="13" t="s">
        <x:v>568</x:v>
      </x:c>
      <x:c r="H15" s="12" t="s">
        <x:v>125</x:v>
      </x:c>
      <x:c r="I15" s="12" t="s">
        <x:v>140</x:v>
      </x:c>
      <x:c r="J15" s="14" t="n">
        <x:v>46227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569</x:v>
      </x:c>
      <x:c r="B16" s="12" t="s">
        <x:v>193</x:v>
      </x:c>
      <x:c r="C16" s="12" t="s">
        <x:v>31</x:v>
      </x:c>
      <x:c r="D16" s="13" t="s">
        <x:v>570</x:v>
      </x:c>
      <x:c r="E16" s="12" t="s">
        <x:v>160</x:v>
      </x:c>
      <x:c r="F16" s="12" t="s">
        <x:v>195</x:v>
      </x:c>
      <x:c r="G16" s="13" t="s">
        <x:v>571</x:v>
      </x:c>
      <x:c r="H16" s="12" t="s">
        <x:v>127</x:v>
      </x:c>
      <x:c r="I16" s="12" t="s">
        <x:v>139</x:v>
      </x:c>
      <x:c r="J16" s="14" t="n">
        <x:v>46227</x:v>
      </x:c>
      <x:c r="K16" s="13" t="s">
        <x:v>572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573</x:v>
      </x:c>
      <x:c r="B17" s="12" t="s">
        <x:v>199</x:v>
      </x:c>
      <x:c r="C17" s="12" t="s">
        <x:v>31</x:v>
      </x:c>
      <x:c r="D17" s="13" t="s">
        <x:v>574</x:v>
      </x:c>
      <x:c r="E17" s="12" t="s">
        <x:v>160</x:v>
      </x:c>
      <x:c r="F17" s="12" t="s">
        <x:v>201</x:v>
      </x:c>
      <x:c r="G17" s="13" t="s">
        <x:v>575</x:v>
      </x:c>
      <x:c r="H17" s="12" t="s">
        <x:v>123</x:v>
      </x:c>
      <x:c r="I17" s="12" t="s">
        <x:v>139</x:v>
      </x:c>
      <x:c r="J17" s="14"/>
      <x:c r="K17" s="13" t="s">
        <x:v>576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577</x:v>
      </x:c>
      <x:c r="B18" s="12" t="s">
        <x:v>205</x:v>
      </x:c>
      <x:c r="C18" s="12" t="s">
        <x:v>31</x:v>
      </x:c>
      <x:c r="D18" s="13" t="s">
        <x:v>578</x:v>
      </x:c>
      <x:c r="E18" s="12" t="s">
        <x:v>160</x:v>
      </x:c>
      <x:c r="F18" s="12" t="s">
        <x:v>201</x:v>
      </x:c>
      <x:c r="G18" s="13" t="s">
        <x:v>579</x:v>
      </x:c>
      <x:c r="H18" s="12" t="s">
        <x:v>123</x:v>
      </x:c>
      <x:c r="I18" s="12" t="s">
        <x:v>139</x:v>
      </x:c>
      <x:c r="J18" s="14"/>
      <x:c r="K18" s="13" t="s">
        <x:v>580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581</x:v>
      </x:c>
      <x:c r="B19" s="12" t="s">
        <x:v>208</x:v>
      </x:c>
      <x:c r="C19" s="12" t="s">
        <x:v>31</x:v>
      </x:c>
      <x:c r="D19" s="13" t="s">
        <x:v>582</x:v>
      </x:c>
      <x:c r="E19" s="12" t="s">
        <x:v>160</x:v>
      </x:c>
      <x:c r="F19" s="12" t="s">
        <x:v>201</x:v>
      </x:c>
      <x:c r="G19" s="13" t="s">
        <x:v>583</x:v>
      </x:c>
      <x:c r="H19" s="12" t="s">
        <x:v>123</x:v>
      </x:c>
      <x:c r="I19" s="12" t="s">
        <x:v>139</x:v>
      </x:c>
      <x:c r="J19" s="14"/>
      <x:c r="K19" s="13" t="s">
        <x:v>584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585</x:v>
      </x:c>
      <x:c r="B20" s="12" t="s">
        <x:v>212</x:v>
      </x:c>
      <x:c r="C20" s="12" t="s">
        <x:v>31</x:v>
      </x:c>
      <x:c r="D20" s="13" t="s">
        <x:v>586</x:v>
      </x:c>
      <x:c r="E20" s="12" t="s">
        <x:v>160</x:v>
      </x:c>
      <x:c r="F20" s="12" t="s">
        <x:v>201</x:v>
      </x:c>
      <x:c r="G20" s="13" t="s">
        <x:v>575</x:v>
      </x:c>
      <x:c r="H20" s="12" t="s">
        <x:v>123</x:v>
      </x:c>
      <x:c r="I20" s="12" t="s">
        <x:v>139</x:v>
      </x:c>
      <x:c r="J20" s="14"/>
      <x:c r="K20" s="13" t="s">
        <x:v>587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588</x:v>
      </x:c>
      <x:c r="B21" s="12" t="s">
        <x:v>215</x:v>
      </x:c>
      <x:c r="C21" s="12" t="s">
        <x:v>31</x:v>
      </x:c>
      <x:c r="D21" s="13" t="s">
        <x:v>589</x:v>
      </x:c>
      <x:c r="E21" s="12" t="s">
        <x:v>160</x:v>
      </x:c>
      <x:c r="F21" s="12" t="s">
        <x:v>217</x:v>
      </x:c>
      <x:c r="G21" s="13" t="s">
        <x:v>590</x:v>
      </x:c>
      <x:c r="H21" s="12" t="s">
        <x:v>125</x:v>
      </x:c>
      <x:c r="I21" s="12" t="s">
        <x:v>140</x:v>
      </x:c>
      <x:c r="J21" s="14" t="n">
        <x:v>46227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591</x:v>
      </x:c>
      <x:c r="B22" s="12" t="s">
        <x:v>220</x:v>
      </x:c>
      <x:c r="C22" s="12" t="s">
        <x:v>31</x:v>
      </x:c>
      <x:c r="D22" s="13" t="s">
        <x:v>592</x:v>
      </x:c>
      <x:c r="E22" s="12" t="s">
        <x:v>160</x:v>
      </x:c>
      <x:c r="F22" s="12" t="s">
        <x:v>217</x:v>
      </x:c>
      <x:c r="G22" s="13" t="s">
        <x:v>593</x:v>
      </x:c>
      <x:c r="H22" s="12" t="s">
        <x:v>125</x:v>
      </x:c>
      <x:c r="I22" s="12" t="s">
        <x:v>140</x:v>
      </x:c>
      <x:c r="J22" s="14" t="n">
        <x:v>46227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594</x:v>
      </x:c>
      <x:c r="B23" s="12" t="s">
        <x:v>224</x:v>
      </x:c>
      <x:c r="C23" s="12" t="s">
        <x:v>31</x:v>
      </x:c>
      <x:c r="D23" s="13" t="s">
        <x:v>595</x:v>
      </x:c>
      <x:c r="E23" s="12" t="s">
        <x:v>226</x:v>
      </x:c>
      <x:c r="F23" s="12" t="s">
        <x:v>226</x:v>
      </x:c>
      <x:c r="G23" s="13" t="s">
        <x:v>227</x:v>
      </x:c>
      <x:c r="H23" s="12" t="s">
        <x:v>125</x:v>
      </x:c>
      <x:c r="I23" s="12" t="s">
        <x:v>140</x:v>
      </x:c>
      <x:c r="J23" s="14" t="n">
        <x:v>46227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596</x:v>
      </x:c>
      <x:c r="B24" s="12" t="s">
        <x:v>229</x:v>
      </x:c>
      <x:c r="C24" s="12" t="s">
        <x:v>31</x:v>
      </x:c>
      <x:c r="D24" s="13" t="s">
        <x:v>597</x:v>
      </x:c>
      <x:c r="E24" s="12" t="s">
        <x:v>160</x:v>
      </x:c>
      <x:c r="F24" s="12" t="s">
        <x:v>160</x:v>
      </x:c>
      <x:c r="G24" s="13" t="s">
        <x:v>598</x:v>
      </x:c>
      <x:c r="H24" s="12" t="s">
        <x:v>125</x:v>
      </x:c>
      <x:c r="I24" s="12" t="s">
        <x:v>140</x:v>
      </x:c>
      <x:c r="J24" s="14" t="n">
        <x:v>46227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8d6c1d7ade0453b"/>
  </x:tableParts>
</x:worksheet>
</file>

<file path=xl/worksheets/sheet2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599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600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143</x:v>
      </x:c>
      <x:c r="E4" s="7" t="n">
        <x:f aca="0">SUM(M9:M25)</x:f>
        <x:v>14</x:v>
      </x:c>
      <x:c r="G4" s="6" t="s">
        <x:v>13</x:v>
      </x:c>
      <x:c r="H4" s="8" t="n">
        <x:f aca="0">IF(B4=0,0,E4/B4)</x:f>
        <x:v>0.8235294117647058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601</x:v>
      </x:c>
      <x:c r="B9" s="12" t="s">
        <x:v>157</x:v>
      </x:c>
      <x:c r="C9" s="12" t="s">
        <x:v>32</x:v>
      </x:c>
      <x:c r="D9" s="13" t="s">
        <x:v>602</x:v>
      </x:c>
      <x:c r="E9" s="12" t="s">
        <x:v>160</x:v>
      </x:c>
      <x:c r="F9" s="12" t="s">
        <x:v>161</x:v>
      </x:c>
      <x:c r="G9" s="13" t="s">
        <x:v>603</x:v>
      </x:c>
      <x:c r="H9" s="12" t="s">
        <x:v>125</x:v>
      </x:c>
      <x:c r="I9" s="12" t="s">
        <x:v>140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604</x:v>
      </x:c>
      <x:c r="B10" s="12" t="s">
        <x:v>164</x:v>
      </x:c>
      <x:c r="C10" s="12" t="s">
        <x:v>32</x:v>
      </x:c>
      <x:c r="D10" s="13" t="s">
        <x:v>605</x:v>
      </x:c>
      <x:c r="E10" s="12" t="s">
        <x:v>160</x:v>
      </x:c>
      <x:c r="F10" s="12" t="s">
        <x:v>160</x:v>
      </x:c>
      <x:c r="G10" s="13" t="s">
        <x:v>606</x:v>
      </x:c>
      <x:c r="H10" s="12" t="s">
        <x:v>125</x:v>
      </x:c>
      <x:c r="I10" s="12" t="s">
        <x:v>140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607</x:v>
      </x:c>
      <x:c r="B11" s="12" t="s">
        <x:v>168</x:v>
      </x:c>
      <x:c r="C11" s="12" t="s">
        <x:v>32</x:v>
      </x:c>
      <x:c r="D11" s="13" t="s">
        <x:v>608</x:v>
      </x:c>
      <x:c r="E11" s="12" t="s">
        <x:v>160</x:v>
      </x:c>
      <x:c r="F11" s="12" t="s">
        <x:v>170</x:v>
      </x:c>
      <x:c r="G11" s="13" t="s">
        <x:v>609</x:v>
      </x:c>
      <x:c r="H11" s="12" t="s">
        <x:v>125</x:v>
      </x:c>
      <x:c r="I11" s="12" t="s">
        <x:v>140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610</x:v>
      </x:c>
      <x:c r="B12" s="12" t="s">
        <x:v>173</x:v>
      </x:c>
      <x:c r="C12" s="12" t="s">
        <x:v>32</x:v>
      </x:c>
      <x:c r="D12" s="13" t="s">
        <x:v>611</x:v>
      </x:c>
      <x:c r="E12" s="12" t="s">
        <x:v>160</x:v>
      </x:c>
      <x:c r="F12" s="12" t="s">
        <x:v>175</x:v>
      </x:c>
      <x:c r="G12" s="13" t="s">
        <x:v>612</x:v>
      </x:c>
      <x:c r="H12" s="12" t="s">
        <x:v>125</x:v>
      </x:c>
      <x:c r="I12" s="12" t="s">
        <x:v>140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613</x:v>
      </x:c>
      <x:c r="B13" s="12" t="s">
        <x:v>178</x:v>
      </x:c>
      <x:c r="C13" s="12" t="s">
        <x:v>32</x:v>
      </x:c>
      <x:c r="D13" s="13" t="s">
        <x:v>614</x:v>
      </x:c>
      <x:c r="E13" s="12" t="s">
        <x:v>160</x:v>
      </x:c>
      <x:c r="F13" s="12" t="s">
        <x:v>180</x:v>
      </x:c>
      <x:c r="G13" s="13" t="s">
        <x:v>615</x:v>
      </x:c>
      <x:c r="H13" s="12" t="s">
        <x:v>125</x:v>
      </x:c>
      <x:c r="I13" s="12" t="s">
        <x:v>140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616</x:v>
      </x:c>
      <x:c r="B14" s="12" t="s">
        <x:v>183</x:v>
      </x:c>
      <x:c r="C14" s="12" t="s">
        <x:v>32</x:v>
      </x:c>
      <x:c r="D14" s="13" t="s">
        <x:v>617</x:v>
      </x:c>
      <x:c r="E14" s="12" t="s">
        <x:v>160</x:v>
      </x:c>
      <x:c r="F14" s="12" t="s">
        <x:v>185</x:v>
      </x:c>
      <x:c r="G14" s="13" t="s">
        <x:v>618</x:v>
      </x:c>
      <x:c r="H14" s="12" t="s">
        <x:v>125</x:v>
      </x:c>
      <x:c r="I14" s="12" t="s">
        <x:v>140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619</x:v>
      </x:c>
      <x:c r="B15" s="12" t="s">
        <x:v>188</x:v>
      </x:c>
      <x:c r="C15" s="12" t="s">
        <x:v>32</x:v>
      </x:c>
      <x:c r="D15" s="13" t="s">
        <x:v>620</x:v>
      </x:c>
      <x:c r="E15" s="12" t="s">
        <x:v>160</x:v>
      </x:c>
      <x:c r="F15" s="12" t="s">
        <x:v>190</x:v>
      </x:c>
      <x:c r="G15" s="13" t="s">
        <x:v>618</x:v>
      </x:c>
      <x:c r="H15" s="12" t="s">
        <x:v>125</x:v>
      </x:c>
      <x:c r="I15" s="12" t="s">
        <x:v>140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621</x:v>
      </x:c>
      <x:c r="B16" s="12" t="s">
        <x:v>193</x:v>
      </x:c>
      <x:c r="C16" s="12" t="s">
        <x:v>32</x:v>
      </x:c>
      <x:c r="D16" s="13" t="s">
        <x:v>622</x:v>
      </x:c>
      <x:c r="E16" s="12" t="s">
        <x:v>160</x:v>
      </x:c>
      <x:c r="F16" s="12" t="s">
        <x:v>195</x:v>
      </x:c>
      <x:c r="G16" s="13" t="s">
        <x:v>623</x:v>
      </x:c>
      <x:c r="H16" s="12" t="s">
        <x:v>127</x:v>
      </x:c>
      <x:c r="I16" s="12" t="s">
        <x:v>139</x:v>
      </x:c>
      <x:c r="J16" s="14"/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624</x:v>
      </x:c>
      <x:c r="B17" s="12" t="s">
        <x:v>199</x:v>
      </x:c>
      <x:c r="C17" s="12" t="s">
        <x:v>32</x:v>
      </x:c>
      <x:c r="D17" s="13" t="s">
        <x:v>625</x:v>
      </x:c>
      <x:c r="E17" s="12" t="s">
        <x:v>160</x:v>
      </x:c>
      <x:c r="F17" s="12" t="s">
        <x:v>201</x:v>
      </x:c>
      <x:c r="G17" s="13" t="s">
        <x:v>626</x:v>
      </x:c>
      <x:c r="H17" s="12" t="s">
        <x:v>123</x:v>
      </x:c>
      <x:c r="I17" s="12" t="s">
        <x:v>139</x:v>
      </x:c>
      <x:c r="J17" s="14"/>
      <x:c r="K17" s="13" t="s">
        <x:v>627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628</x:v>
      </x:c>
      <x:c r="B18" s="12" t="s">
        <x:v>205</x:v>
      </x:c>
      <x:c r="C18" s="12" t="s">
        <x:v>32</x:v>
      </x:c>
      <x:c r="D18" s="13" t="s">
        <x:v>629</x:v>
      </x:c>
      <x:c r="E18" s="12" t="s">
        <x:v>160</x:v>
      </x:c>
      <x:c r="F18" s="12" t="s">
        <x:v>201</x:v>
      </x:c>
      <x:c r="G18" s="13" t="s">
        <x:v>630</x:v>
      </x:c>
      <x:c r="H18" s="12" t="s">
        <x:v>123</x:v>
      </x:c>
      <x:c r="I18" s="12" t="s">
        <x:v>139</x:v>
      </x:c>
      <x:c r="J18" s="14"/>
      <x:c r="K18" s="13" t="s">
        <x:v>631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632</x:v>
      </x:c>
      <x:c r="B19" s="12" t="s">
        <x:v>208</x:v>
      </x:c>
      <x:c r="C19" s="12" t="s">
        <x:v>32</x:v>
      </x:c>
      <x:c r="D19" s="13" t="s">
        <x:v>633</x:v>
      </x:c>
      <x:c r="E19" s="12" t="s">
        <x:v>160</x:v>
      </x:c>
      <x:c r="F19" s="12" t="s">
        <x:v>185</x:v>
      </x:c>
      <x:c r="G19" s="13" t="s">
        <x:v>618</x:v>
      </x:c>
      <x:c r="H19" s="12" t="s">
        <x:v>125</x:v>
      </x:c>
      <x:c r="I19" s="12" t="s">
        <x:v>140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634</x:v>
      </x:c>
      <x:c r="B20" s="12" t="s">
        <x:v>212</x:v>
      </x:c>
      <x:c r="C20" s="12" t="s">
        <x:v>32</x:v>
      </x:c>
      <x:c r="D20" s="13" t="s">
        <x:v>635</x:v>
      </x:c>
      <x:c r="E20" s="12" t="s">
        <x:v>160</x:v>
      </x:c>
      <x:c r="F20" s="12" t="s">
        <x:v>201</x:v>
      </x:c>
      <x:c r="G20" s="13" t="s">
        <x:v>626</x:v>
      </x:c>
      <x:c r="H20" s="12" t="s">
        <x:v>123</x:v>
      </x:c>
      <x:c r="I20" s="12" t="s">
        <x:v>139</x:v>
      </x:c>
      <x:c r="J20" s="14"/>
      <x:c r="K20" s="13" t="s">
        <x:v>636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637</x:v>
      </x:c>
      <x:c r="B21" s="12" t="s">
        <x:v>215</x:v>
      </x:c>
      <x:c r="C21" s="12" t="s">
        <x:v>32</x:v>
      </x:c>
      <x:c r="D21" s="13" t="s">
        <x:v>638</x:v>
      </x:c>
      <x:c r="E21" s="12" t="s">
        <x:v>160</x:v>
      </x:c>
      <x:c r="F21" s="12" t="s">
        <x:v>217</x:v>
      </x:c>
      <x:c r="G21" s="13" t="s">
        <x:v>639</x:v>
      </x:c>
      <x:c r="H21" s="12" t="s">
        <x:v>125</x:v>
      </x:c>
      <x:c r="I21" s="12" t="s">
        <x:v>140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640</x:v>
      </x:c>
      <x:c r="B22" s="12" t="s">
        <x:v>220</x:v>
      </x:c>
      <x:c r="C22" s="12" t="s">
        <x:v>32</x:v>
      </x:c>
      <x:c r="D22" s="13" t="s">
        <x:v>641</x:v>
      </x:c>
      <x:c r="E22" s="12" t="s">
        <x:v>160</x:v>
      </x:c>
      <x:c r="F22" s="12" t="s">
        <x:v>217</x:v>
      </x:c>
      <x:c r="G22" s="13" t="s">
        <x:v>642</x:v>
      </x:c>
      <x:c r="H22" s="12" t="s">
        <x:v>125</x:v>
      </x:c>
      <x:c r="I22" s="12" t="s">
        <x:v>140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643</x:v>
      </x:c>
      <x:c r="B23" s="12" t="s">
        <x:v>224</x:v>
      </x:c>
      <x:c r="C23" s="12" t="s">
        <x:v>32</x:v>
      </x:c>
      <x:c r="D23" s="13" t="s">
        <x:v>644</x:v>
      </x:c>
      <x:c r="E23" s="12" t="s">
        <x:v>226</x:v>
      </x:c>
      <x:c r="F23" s="12" t="s">
        <x:v>226</x:v>
      </x:c>
      <x:c r="G23" s="13" t="s">
        <x:v>227</x:v>
      </x:c>
      <x:c r="H23" s="12" t="s">
        <x:v>125</x:v>
      </x:c>
      <x:c r="I23" s="12" t="s">
        <x:v>140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645</x:v>
      </x:c>
      <x:c r="B24" s="12" t="s">
        <x:v>646</x:v>
      </x:c>
      <x:c r="C24" s="12" t="s">
        <x:v>32</x:v>
      </x:c>
      <x:c r="D24" s="13" t="s">
        <x:v>647</x:v>
      </x:c>
      <x:c r="E24" s="12" t="s">
        <x:v>160</x:v>
      </x:c>
      <x:c r="F24" s="12" t="s">
        <x:v>648</x:v>
      </x:c>
      <x:c r="G24" s="13" t="s">
        <x:v>649</x:v>
      </x:c>
      <x:c r="H24" s="12" t="s">
        <x:v>125</x:v>
      </x:c>
      <x:c r="I24" s="12" t="s">
        <x:v>140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650</x:v>
      </x:c>
      <x:c r="B25" s="12" t="s">
        <x:v>229</x:v>
      </x:c>
      <x:c r="C25" s="12" t="s">
        <x:v>32</x:v>
      </x:c>
      <x:c r="D25" s="13" t="s">
        <x:v>651</x:v>
      </x:c>
      <x:c r="E25" s="12" t="s">
        <x:v>160</x:v>
      </x:c>
      <x:c r="F25" s="12" t="s">
        <x:v>160</x:v>
      </x:c>
      <x:c r="G25" s="13" t="s">
        <x:v>652</x:v>
      </x:c>
      <x:c r="H25" s="12" t="s">
        <x:v>125</x:v>
      </x:c>
      <x:c r="I25" s="12" t="s">
        <x:v>140</x:v>
      </x:c>
      <x:c r="J25" s="14" t="n">
        <x:v>46264</x:v>
      </x:c>
      <x:c r="K25" s="13" t="s">
        <x:v>653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5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654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143</x:v>
      </x:c>
      <x:c r="E4" s="7" t="n">
        <x:f aca="0">SUM(M9:M24)</x:f>
        <x:v>13</x:v>
      </x:c>
      <x:c r="G4" s="6" t="s">
        <x:v>13</x:v>
      </x:c>
      <x:c r="H4" s="8" t="n">
        <x:f aca="0">IF(B4=0,0,E4/B4)</x:f>
        <x:v>0.8125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655</x:v>
      </x:c>
      <x:c r="B9" s="12" t="s">
        <x:v>157</x:v>
      </x:c>
      <x:c r="C9" s="12" t="s">
        <x:v>39</x:v>
      </x:c>
      <x:c r="D9" s="13" t="s">
        <x:v>656</x:v>
      </x:c>
      <x:c r="E9" s="12" t="s">
        <x:v>160</x:v>
      </x:c>
      <x:c r="F9" s="12" t="s">
        <x:v>161</x:v>
      </x:c>
      <x:c r="G9" s="13" t="s">
        <x:v>657</x:v>
      </x:c>
      <x:c r="H9" s="12" t="s">
        <x:v>125</x:v>
      </x:c>
      <x:c r="I9" s="12" t="s">
        <x:v>140</x:v>
      </x:c>
      <x:c r="J9" s="14" t="n">
        <x:v>46227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658</x:v>
      </x:c>
      <x:c r="B10" s="12" t="s">
        <x:v>164</x:v>
      </x:c>
      <x:c r="C10" s="12" t="s">
        <x:v>39</x:v>
      </x:c>
      <x:c r="D10" s="13" t="s">
        <x:v>659</x:v>
      </x:c>
      <x:c r="E10" s="12" t="s">
        <x:v>160</x:v>
      </x:c>
      <x:c r="F10" s="12" t="s">
        <x:v>160</x:v>
      </x:c>
      <x:c r="G10" s="13" t="s">
        <x:v>166</x:v>
      </x:c>
      <x:c r="H10" s="12" t="s">
        <x:v>125</x:v>
      </x:c>
      <x:c r="I10" s="12" t="s">
        <x:v>140</x:v>
      </x:c>
      <x:c r="J10" s="14" t="n">
        <x:v>46227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660</x:v>
      </x:c>
      <x:c r="B11" s="12" t="s">
        <x:v>168</x:v>
      </x:c>
      <x:c r="C11" s="12" t="s">
        <x:v>39</x:v>
      </x:c>
      <x:c r="D11" s="13" t="s">
        <x:v>661</x:v>
      </x:c>
      <x:c r="E11" s="12" t="s">
        <x:v>160</x:v>
      </x:c>
      <x:c r="F11" s="12" t="s">
        <x:v>170</x:v>
      </x:c>
      <x:c r="G11" s="13" t="s">
        <x:v>662</x:v>
      </x:c>
      <x:c r="H11" s="12" t="s">
        <x:v>125</x:v>
      </x:c>
      <x:c r="I11" s="12" t="s">
        <x:v>140</x:v>
      </x:c>
      <x:c r="J11" s="14" t="n">
        <x:v>46227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663</x:v>
      </x:c>
      <x:c r="B12" s="12" t="s">
        <x:v>173</x:v>
      </x:c>
      <x:c r="C12" s="12" t="s">
        <x:v>39</x:v>
      </x:c>
      <x:c r="D12" s="13" t="s">
        <x:v>664</x:v>
      </x:c>
      <x:c r="E12" s="12" t="s">
        <x:v>160</x:v>
      </x:c>
      <x:c r="F12" s="12" t="s">
        <x:v>175</x:v>
      </x:c>
      <x:c r="G12" s="13" t="s">
        <x:v>665</x:v>
      </x:c>
      <x:c r="H12" s="12" t="s">
        <x:v>125</x:v>
      </x:c>
      <x:c r="I12" s="12" t="s">
        <x:v>140</x:v>
      </x:c>
      <x:c r="J12" s="14" t="n">
        <x:v>46227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666</x:v>
      </x:c>
      <x:c r="B13" s="12" t="s">
        <x:v>178</x:v>
      </x:c>
      <x:c r="C13" s="12" t="s">
        <x:v>39</x:v>
      </x:c>
      <x:c r="D13" s="13" t="s">
        <x:v>667</x:v>
      </x:c>
      <x:c r="E13" s="12" t="s">
        <x:v>160</x:v>
      </x:c>
      <x:c r="F13" s="12" t="s">
        <x:v>180</x:v>
      </x:c>
      <x:c r="G13" s="13" t="s">
        <x:v>668</x:v>
      </x:c>
      <x:c r="H13" s="12" t="s">
        <x:v>125</x:v>
      </x:c>
      <x:c r="I13" s="12" t="s">
        <x:v>140</x:v>
      </x:c>
      <x:c r="J13" s="14" t="n">
        <x:v>46227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669</x:v>
      </x:c>
      <x:c r="B14" s="12" t="s">
        <x:v>183</x:v>
      </x:c>
      <x:c r="C14" s="12" t="s">
        <x:v>39</x:v>
      </x:c>
      <x:c r="D14" s="13" t="s">
        <x:v>670</x:v>
      </x:c>
      <x:c r="E14" s="12" t="s">
        <x:v>160</x:v>
      </x:c>
      <x:c r="F14" s="12" t="s">
        <x:v>185</x:v>
      </x:c>
      <x:c r="G14" s="13" t="s">
        <x:v>671</x:v>
      </x:c>
      <x:c r="H14" s="12" t="s">
        <x:v>125</x:v>
      </x:c>
      <x:c r="I14" s="12" t="s">
        <x:v>140</x:v>
      </x:c>
      <x:c r="J14" s="14" t="n">
        <x:v>46227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672</x:v>
      </x:c>
      <x:c r="B15" s="12" t="s">
        <x:v>188</x:v>
      </x:c>
      <x:c r="C15" s="12" t="s">
        <x:v>39</x:v>
      </x:c>
      <x:c r="D15" s="13" t="s">
        <x:v>673</x:v>
      </x:c>
      <x:c r="E15" s="12" t="s">
        <x:v>160</x:v>
      </x:c>
      <x:c r="F15" s="12" t="s">
        <x:v>190</x:v>
      </x:c>
      <x:c r="G15" s="13" t="s">
        <x:v>671</x:v>
      </x:c>
      <x:c r="H15" s="12" t="s">
        <x:v>125</x:v>
      </x:c>
      <x:c r="I15" s="12" t="s">
        <x:v>140</x:v>
      </x:c>
      <x:c r="J15" s="14" t="n">
        <x:v>46227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674</x:v>
      </x:c>
      <x:c r="B16" s="12" t="s">
        <x:v>193</x:v>
      </x:c>
      <x:c r="C16" s="12" t="s">
        <x:v>39</x:v>
      </x:c>
      <x:c r="D16" s="13" t="s">
        <x:v>675</x:v>
      </x:c>
      <x:c r="E16" s="12" t="s">
        <x:v>160</x:v>
      </x:c>
      <x:c r="F16" s="12" t="s">
        <x:v>195</x:v>
      </x:c>
      <x:c r="G16" s="13" t="s">
        <x:v>676</x:v>
      </x:c>
      <x:c r="H16" s="12" t="s">
        <x:v>127</x:v>
      </x:c>
      <x:c r="I16" s="12" t="s">
        <x:v>139</x:v>
      </x:c>
      <x:c r="J16" s="14" t="n">
        <x:v>46227</x:v>
      </x:c>
      <x:c r="K16" s="13" t="s">
        <x:v>677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678</x:v>
      </x:c>
      <x:c r="B17" s="12" t="s">
        <x:v>199</x:v>
      </x:c>
      <x:c r="C17" s="12" t="s">
        <x:v>39</x:v>
      </x:c>
      <x:c r="D17" s="13" t="s">
        <x:v>679</x:v>
      </x:c>
      <x:c r="E17" s="12" t="s">
        <x:v>160</x:v>
      </x:c>
      <x:c r="F17" s="12" t="s">
        <x:v>201</x:v>
      </x:c>
      <x:c r="G17" s="13" t="s">
        <x:v>680</x:v>
      </x:c>
      <x:c r="H17" s="12" t="s">
        <x:v>123</x:v>
      </x:c>
      <x:c r="I17" s="12" t="s">
        <x:v>139</x:v>
      </x:c>
      <x:c r="J17" s="14"/>
      <x:c r="K17" s="13" t="s">
        <x:v>681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682</x:v>
      </x:c>
      <x:c r="B18" s="12" t="s">
        <x:v>205</x:v>
      </x:c>
      <x:c r="C18" s="12" t="s">
        <x:v>39</x:v>
      </x:c>
      <x:c r="D18" s="13" t="s">
        <x:v>683</x:v>
      </x:c>
      <x:c r="E18" s="12" t="s">
        <x:v>160</x:v>
      </x:c>
      <x:c r="F18" s="12" t="s">
        <x:v>201</x:v>
      </x:c>
      <x:c r="G18" s="13" t="s">
        <x:v>684</x:v>
      </x:c>
      <x:c r="H18" s="12" t="s">
        <x:v>123</x:v>
      </x:c>
      <x:c r="I18" s="12" t="s">
        <x:v>139</x:v>
      </x:c>
      <x:c r="J18" s="14"/>
      <x:c r="K18" s="13" t="s">
        <x:v>685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686</x:v>
      </x:c>
      <x:c r="B19" s="12" t="s">
        <x:v>687</x:v>
      </x:c>
      <x:c r="C19" s="12" t="s">
        <x:v>39</x:v>
      </x:c>
      <x:c r="D19" s="13" t="s">
        <x:v>688</x:v>
      </x:c>
      <x:c r="E19" s="12" t="s">
        <x:v>160</x:v>
      </x:c>
      <x:c r="F19" s="12" t="s">
        <x:v>185</x:v>
      </x:c>
      <x:c r="G19" s="13" t="s">
        <x:v>671</x:v>
      </x:c>
      <x:c r="H19" s="12" t="s">
        <x:v>125</x:v>
      </x:c>
      <x:c r="I19" s="12" t="s">
        <x:v>140</x:v>
      </x:c>
      <x:c r="J19" s="14" t="n">
        <x:v>46227</x:v>
      </x:c>
      <x:c r="K19" s="13" t="s">
        <x:v>584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689</x:v>
      </x:c>
      <x:c r="B20" s="12" t="s">
        <x:v>212</x:v>
      </x:c>
      <x:c r="C20" s="12" t="s">
        <x:v>39</x:v>
      </x:c>
      <x:c r="D20" s="13" t="s">
        <x:v>690</x:v>
      </x:c>
      <x:c r="E20" s="12" t="s">
        <x:v>160</x:v>
      </x:c>
      <x:c r="F20" s="12" t="s">
        <x:v>201</x:v>
      </x:c>
      <x:c r="G20" s="13" t="s">
        <x:v>680</x:v>
      </x:c>
      <x:c r="H20" s="12" t="s">
        <x:v>123</x:v>
      </x:c>
      <x:c r="I20" s="12" t="s">
        <x:v>139</x:v>
      </x:c>
      <x:c r="J20" s="14"/>
      <x:c r="K20" s="13" t="s">
        <x:v>587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691</x:v>
      </x:c>
      <x:c r="B21" s="12" t="s">
        <x:v>215</x:v>
      </x:c>
      <x:c r="C21" s="12" t="s">
        <x:v>39</x:v>
      </x:c>
      <x:c r="D21" s="13" t="s">
        <x:v>589</x:v>
      </x:c>
      <x:c r="E21" s="12" t="s">
        <x:v>160</x:v>
      </x:c>
      <x:c r="F21" s="12" t="s">
        <x:v>217</x:v>
      </x:c>
      <x:c r="G21" s="13" t="s">
        <x:v>692</x:v>
      </x:c>
      <x:c r="H21" s="12" t="s">
        <x:v>125</x:v>
      </x:c>
      <x:c r="I21" s="12" t="s">
        <x:v>140</x:v>
      </x:c>
      <x:c r="J21" s="14" t="n">
        <x:v>46227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693</x:v>
      </x:c>
      <x:c r="B22" s="12" t="s">
        <x:v>220</x:v>
      </x:c>
      <x:c r="C22" s="12" t="s">
        <x:v>39</x:v>
      </x:c>
      <x:c r="D22" s="13" t="s">
        <x:v>694</x:v>
      </x:c>
      <x:c r="E22" s="12" t="s">
        <x:v>160</x:v>
      </x:c>
      <x:c r="F22" s="12" t="s">
        <x:v>217</x:v>
      </x:c>
      <x:c r="G22" s="13" t="s">
        <x:v>695</x:v>
      </x:c>
      <x:c r="H22" s="12" t="s">
        <x:v>125</x:v>
      </x:c>
      <x:c r="I22" s="12" t="s">
        <x:v>140</x:v>
      </x:c>
      <x:c r="J22" s="14" t="n">
        <x:v>46227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696</x:v>
      </x:c>
      <x:c r="B23" s="12" t="s">
        <x:v>224</x:v>
      </x:c>
      <x:c r="C23" s="12" t="s">
        <x:v>39</x:v>
      </x:c>
      <x:c r="D23" s="13" t="s">
        <x:v>697</x:v>
      </x:c>
      <x:c r="E23" s="12" t="s">
        <x:v>226</x:v>
      </x:c>
      <x:c r="F23" s="12" t="s">
        <x:v>226</x:v>
      </x:c>
      <x:c r="G23" s="13" t="s">
        <x:v>227</x:v>
      </x:c>
      <x:c r="H23" s="12" t="s">
        <x:v>125</x:v>
      </x:c>
      <x:c r="I23" s="12" t="s">
        <x:v>140</x:v>
      </x:c>
      <x:c r="J23" s="14" t="n">
        <x:v>46227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698</x:v>
      </x:c>
      <x:c r="B24" s="12" t="s">
        <x:v>229</x:v>
      </x:c>
      <x:c r="C24" s="12" t="s">
        <x:v>39</x:v>
      </x:c>
      <x:c r="D24" s="13" t="s">
        <x:v>597</x:v>
      </x:c>
      <x:c r="E24" s="12" t="s">
        <x:v>160</x:v>
      </x:c>
      <x:c r="F24" s="12" t="s">
        <x:v>160</x:v>
      </x:c>
      <x:c r="G24" s="13" t="s">
        <x:v>598</x:v>
      </x:c>
      <x:c r="H24" s="12" t="s">
        <x:v>127</x:v>
      </x:c>
      <x:c r="I24" s="12" t="s">
        <x:v>139</x:v>
      </x:c>
      <x:c r="J24" s="14" t="n">
        <x:v>46264</x:v>
      </x:c>
      <x:c r="K24" s="13" t="s">
        <x:v>653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fcfb2f7fdf54e9b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699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700</x:v>
      </x:c>
      <x:c r="B9" s="1" t="s">
        <x:v>157</x:v>
      </x:c>
      <x:c r="C9" s="1" t="s">
        <x:v>701</x:v>
      </x:c>
      <x:c r="D9" s="1" t="s">
        <x:v>159</x:v>
      </x:c>
      <x:c r="E9" s="1" t="s">
        <x:v>160</x:v>
      </x:c>
      <x:c r="F9" s="1" t="s">
        <x:v>161</x:v>
      </x:c>
      <x:c r="G9" s="1" t="s">
        <x:v>291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702</x:v>
      </x:c>
      <x:c r="B10" s="1" t="s">
        <x:v>164</x:v>
      </x:c>
      <x:c r="C10" s="1" t="s">
        <x:v>701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703</x:v>
      </x:c>
      <x:c r="B11" s="1" t="s">
        <x:v>168</x:v>
      </x:c>
      <x:c r="C11" s="1" t="s">
        <x:v>701</x:v>
      </x:c>
      <x:c r="D11" s="1" t="s">
        <x:v>169</x:v>
      </x:c>
      <x:c r="E11" s="1" t="s">
        <x:v>160</x:v>
      </x:c>
      <x:c r="F11" s="1" t="s">
        <x:v>170</x:v>
      </x:c>
      <x:c r="G11" s="1" t="s">
        <x:v>704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705</x:v>
      </x:c>
      <x:c r="B12" s="1" t="s">
        <x:v>173</x:v>
      </x:c>
      <x:c r="C12" s="1" t="s">
        <x:v>701</x:v>
      </x:c>
      <x:c r="D12" s="1" t="s">
        <x:v>174</x:v>
      </x:c>
      <x:c r="E12" s="1" t="s">
        <x:v>160</x:v>
      </x:c>
      <x:c r="F12" s="1" t="s">
        <x:v>175</x:v>
      </x:c>
      <x:c r="G12" s="1" t="s">
        <x:v>296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706</x:v>
      </x:c>
      <x:c r="B13" s="1" t="s">
        <x:v>178</x:v>
      </x:c>
      <x:c r="C13" s="1" t="s">
        <x:v>701</x:v>
      </x:c>
      <x:c r="D13" s="1" t="s">
        <x:v>179</x:v>
      </x:c>
      <x:c r="E13" s="1" t="s">
        <x:v>160</x:v>
      </x:c>
      <x:c r="F13" s="1" t="s">
        <x:v>180</x:v>
      </x:c>
      <x:c r="G13" s="1" t="s">
        <x:v>707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708</x:v>
      </x:c>
      <x:c r="B14" s="1" t="s">
        <x:v>183</x:v>
      </x:c>
      <x:c r="C14" s="1" t="s">
        <x:v>701</x:v>
      </x:c>
      <x:c r="D14" s="1" t="s">
        <x:v>184</x:v>
      </x:c>
      <x:c r="E14" s="1" t="s">
        <x:v>160</x:v>
      </x:c>
      <x:c r="F14" s="1" t="s">
        <x:v>185</x:v>
      </x:c>
      <x:c r="G14" s="1" t="s">
        <x:v>709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710</x:v>
      </x:c>
      <x:c r="B15" s="1" t="s">
        <x:v>188</x:v>
      </x:c>
      <x:c r="C15" s="1" t="s">
        <x:v>701</x:v>
      </x:c>
      <x:c r="D15" s="1" t="s">
        <x:v>189</x:v>
      </x:c>
      <x:c r="E15" s="1" t="s">
        <x:v>160</x:v>
      </x:c>
      <x:c r="F15" s="1" t="s">
        <x:v>190</x:v>
      </x:c>
      <x:c r="G15" s="1" t="s">
        <x:v>711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712</x:v>
      </x:c>
      <x:c r="B16" s="1" t="s">
        <x:v>193</x:v>
      </x:c>
      <x:c r="C16" s="1" t="s">
        <x:v>701</x:v>
      </x:c>
      <x:c r="D16" s="1" t="s">
        <x:v>194</x:v>
      </x:c>
      <x:c r="E16" s="1" t="s">
        <x:v>160</x:v>
      </x:c>
      <x:c r="F16" s="1" t="s">
        <x:v>195</x:v>
      </x:c>
      <x:c r="G16" s="1" t="s">
        <x:v>713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714</x:v>
      </x:c>
      <x:c r="B17" s="1" t="s">
        <x:v>199</x:v>
      </x:c>
      <x:c r="C17" s="1" t="s">
        <x:v>701</x:v>
      </x:c>
      <x:c r="D17" s="1" t="s">
        <x:v>200</x:v>
      </x:c>
      <x:c r="E17" s="1" t="s">
        <x:v>160</x:v>
      </x:c>
      <x:c r="F17" s="1" t="s">
        <x:v>201</x:v>
      </x:c>
      <x:c r="G17" s="1" t="s">
        <x:v>715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716</x:v>
      </x:c>
      <x:c r="B18" s="1" t="s">
        <x:v>205</x:v>
      </x:c>
      <x:c r="C18" s="1" t="s">
        <x:v>701</x:v>
      </x:c>
      <x:c r="D18" s="1" t="s">
        <x:v>206</x:v>
      </x:c>
      <x:c r="E18" s="1" t="s">
        <x:v>160</x:v>
      </x:c>
      <x:c r="F18" s="1" t="s">
        <x:v>201</x:v>
      </x:c>
      <x:c r="G18" s="1" t="s">
        <x:v>715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717</x:v>
      </x:c>
      <x:c r="B19" s="1" t="s">
        <x:v>208</x:v>
      </x:c>
      <x:c r="C19" s="1" t="s">
        <x:v>701</x:v>
      </x:c>
      <x:c r="D19" s="1" t="s">
        <x:v>209</x:v>
      </x:c>
      <x:c r="E19" s="1" t="s">
        <x:v>160</x:v>
      </x:c>
      <x:c r="F19" s="1" t="s">
        <x:v>201</x:v>
      </x:c>
      <x:c r="G19" s="1" t="s">
        <x:v>718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719</x:v>
      </x:c>
      <x:c r="B20" s="1" t="s">
        <x:v>212</x:v>
      </x:c>
      <x:c r="C20" s="1" t="s">
        <x:v>701</x:v>
      </x:c>
      <x:c r="D20" s="1" t="s">
        <x:v>213</x:v>
      </x:c>
      <x:c r="E20" s="1" t="s">
        <x:v>160</x:v>
      </x:c>
      <x:c r="F20" s="1" t="s">
        <x:v>201</x:v>
      </x:c>
      <x:c r="G20" s="1" t="s">
        <x:v>715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720</x:v>
      </x:c>
      <x:c r="B21" s="1" t="s">
        <x:v>215</x:v>
      </x:c>
      <x:c r="C21" s="1" t="s">
        <x:v>701</x:v>
      </x:c>
      <x:c r="D21" s="1" t="s">
        <x:v>216</x:v>
      </x:c>
      <x:c r="E21" s="1" t="s">
        <x:v>160</x:v>
      </x:c>
      <x:c r="F21" s="1" t="s">
        <x:v>217</x:v>
      </x:c>
      <x:c r="G21" s="1" t="s">
        <x:v>721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722</x:v>
      </x:c>
      <x:c r="B22" s="1" t="s">
        <x:v>220</x:v>
      </x:c>
      <x:c r="C22" s="1" t="s">
        <x:v>701</x:v>
      </x:c>
      <x:c r="D22" s="1" t="s">
        <x:v>221</x:v>
      </x:c>
      <x:c r="E22" s="1" t="s">
        <x:v>160</x:v>
      </x:c>
      <x:c r="F22" s="1" t="s">
        <x:v>217</x:v>
      </x:c>
      <x:c r="G22" s="1" t="s">
        <x:v>723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724</x:v>
      </x:c>
      <x:c r="B23" s="1" t="s">
        <x:v>224</x:v>
      </x:c>
      <x:c r="C23" s="1" t="s">
        <x:v>701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725</x:v>
      </x:c>
      <x:c r="B24" s="1" t="s">
        <x:v>229</x:v>
      </x:c>
      <x:c r="C24" s="1" t="s">
        <x:v>701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1de7826b9de45de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727</x:v>
      </x:c>
      <x:c r="B9" s="1" t="s">
        <x:v>157</x:v>
      </x:c>
      <x:c r="C9" s="1" t="s">
        <x:v>34</x:v>
      </x:c>
      <x:c r="D9" s="1" t="s">
        <x:v>159</x:v>
      </x:c>
      <x:c r="E9" s="1" t="s">
        <x:v>160</x:v>
      </x:c>
      <x:c r="F9" s="1" t="s">
        <x:v>161</x:v>
      </x:c>
      <x:c r="G9" s="1" t="s">
        <x:v>728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729</x:v>
      </x:c>
      <x:c r="B10" s="1" t="s">
        <x:v>164</x:v>
      </x:c>
      <x:c r="C10" s="1" t="s">
        <x:v>34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730</x:v>
      </x:c>
      <x:c r="B11" s="1" t="s">
        <x:v>168</x:v>
      </x:c>
      <x:c r="C11" s="1" t="s">
        <x:v>34</x:v>
      </x:c>
      <x:c r="D11" s="1" t="s">
        <x:v>169</x:v>
      </x:c>
      <x:c r="E11" s="1" t="s">
        <x:v>160</x:v>
      </x:c>
      <x:c r="F11" s="1" t="s">
        <x:v>170</x:v>
      </x:c>
      <x:c r="G11" s="1" t="s">
        <x:v>731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732</x:v>
      </x:c>
      <x:c r="B12" s="1" t="s">
        <x:v>173</x:v>
      </x:c>
      <x:c r="C12" s="1" t="s">
        <x:v>34</x:v>
      </x:c>
      <x:c r="D12" s="1" t="s">
        <x:v>174</x:v>
      </x:c>
      <x:c r="E12" s="1" t="s">
        <x:v>160</x:v>
      </x:c>
      <x:c r="F12" s="1" t="s">
        <x:v>175</x:v>
      </x:c>
      <x:c r="G12" s="1" t="s">
        <x:v>733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734</x:v>
      </x:c>
      <x:c r="B13" s="1" t="s">
        <x:v>178</x:v>
      </x:c>
      <x:c r="C13" s="1" t="s">
        <x:v>34</x:v>
      </x:c>
      <x:c r="D13" s="1" t="s">
        <x:v>179</x:v>
      </x:c>
      <x:c r="E13" s="1" t="s">
        <x:v>160</x:v>
      </x:c>
      <x:c r="F13" s="1" t="s">
        <x:v>180</x:v>
      </x:c>
      <x:c r="G13" s="1" t="s">
        <x:v>735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736</x:v>
      </x:c>
      <x:c r="B14" s="1" t="s">
        <x:v>183</x:v>
      </x:c>
      <x:c r="C14" s="1" t="s">
        <x:v>34</x:v>
      </x:c>
      <x:c r="D14" s="1" t="s">
        <x:v>184</x:v>
      </x:c>
      <x:c r="E14" s="1" t="s">
        <x:v>160</x:v>
      </x:c>
      <x:c r="F14" s="1" t="s">
        <x:v>185</x:v>
      </x:c>
      <x:c r="G14" s="1" t="s">
        <x:v>737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738</x:v>
      </x:c>
      <x:c r="B15" s="1" t="s">
        <x:v>188</x:v>
      </x:c>
      <x:c r="C15" s="1" t="s">
        <x:v>34</x:v>
      </x:c>
      <x:c r="D15" s="1" t="s">
        <x:v>189</x:v>
      </x:c>
      <x:c r="E15" s="1" t="s">
        <x:v>160</x:v>
      </x:c>
      <x:c r="F15" s="1" t="s">
        <x:v>190</x:v>
      </x:c>
      <x:c r="G15" s="1" t="s">
        <x:v>739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740</x:v>
      </x:c>
      <x:c r="B16" s="1" t="s">
        <x:v>193</x:v>
      </x:c>
      <x:c r="C16" s="1" t="s">
        <x:v>34</x:v>
      </x:c>
      <x:c r="D16" s="1" t="s">
        <x:v>194</x:v>
      </x:c>
      <x:c r="E16" s="1" t="s">
        <x:v>160</x:v>
      </x:c>
      <x:c r="F16" s="1" t="s">
        <x:v>195</x:v>
      </x:c>
      <x:c r="G16" s="1" t="s">
        <x:v>741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742</x:v>
      </x:c>
      <x:c r="B17" s="1" t="s">
        <x:v>199</x:v>
      </x:c>
      <x:c r="C17" s="1" t="s">
        <x:v>34</x:v>
      </x:c>
      <x:c r="D17" s="1" t="s">
        <x:v>200</x:v>
      </x:c>
      <x:c r="E17" s="1" t="s">
        <x:v>160</x:v>
      </x:c>
      <x:c r="F17" s="1" t="s">
        <x:v>201</x:v>
      </x:c>
      <x:c r="G17" s="1" t="s">
        <x:v>743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744</x:v>
      </x:c>
      <x:c r="B18" s="1" t="s">
        <x:v>205</x:v>
      </x:c>
      <x:c r="C18" s="1" t="s">
        <x:v>34</x:v>
      </x:c>
      <x:c r="D18" s="1" t="s">
        <x:v>206</x:v>
      </x:c>
      <x:c r="E18" s="1" t="s">
        <x:v>160</x:v>
      </x:c>
      <x:c r="F18" s="1" t="s">
        <x:v>201</x:v>
      </x:c>
      <x:c r="G18" s="1" t="s">
        <x:v>743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745</x:v>
      </x:c>
      <x:c r="B19" s="1" t="s">
        <x:v>208</x:v>
      </x:c>
      <x:c r="C19" s="1" t="s">
        <x:v>34</x:v>
      </x:c>
      <x:c r="D19" s="1" t="s">
        <x:v>209</x:v>
      </x:c>
      <x:c r="E19" s="1" t="s">
        <x:v>160</x:v>
      </x:c>
      <x:c r="F19" s="1" t="s">
        <x:v>201</x:v>
      </x:c>
      <x:c r="G19" s="1" t="s">
        <x:v>746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747</x:v>
      </x:c>
      <x:c r="B20" s="1" t="s">
        <x:v>212</x:v>
      </x:c>
      <x:c r="C20" s="1" t="s">
        <x:v>34</x:v>
      </x:c>
      <x:c r="D20" s="1" t="s">
        <x:v>213</x:v>
      </x:c>
      <x:c r="E20" s="1" t="s">
        <x:v>160</x:v>
      </x:c>
      <x:c r="F20" s="1" t="s">
        <x:v>201</x:v>
      </x:c>
      <x:c r="G20" s="1" t="s">
        <x:v>743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748</x:v>
      </x:c>
      <x:c r="B21" s="1" t="s">
        <x:v>215</x:v>
      </x:c>
      <x:c r="C21" s="1" t="s">
        <x:v>34</x:v>
      </x:c>
      <x:c r="D21" s="1" t="s">
        <x:v>216</x:v>
      </x:c>
      <x:c r="E21" s="1" t="s">
        <x:v>160</x:v>
      </x:c>
      <x:c r="F21" s="1" t="s">
        <x:v>217</x:v>
      </x:c>
      <x:c r="G21" s="1" t="s">
        <x:v>749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750</x:v>
      </x:c>
      <x:c r="B22" s="1" t="s">
        <x:v>220</x:v>
      </x:c>
      <x:c r="C22" s="1" t="s">
        <x:v>34</x:v>
      </x:c>
      <x:c r="D22" s="1" t="s">
        <x:v>221</x:v>
      </x:c>
      <x:c r="E22" s="1" t="s">
        <x:v>160</x:v>
      </x:c>
      <x:c r="F22" s="1" t="s">
        <x:v>217</x:v>
      </x:c>
      <x:c r="G22" s="1" t="s">
        <x:v>751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752</x:v>
      </x:c>
      <x:c r="B23" s="1" t="s">
        <x:v>224</x:v>
      </x:c>
      <x:c r="C23" s="1" t="s">
        <x:v>34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753</x:v>
      </x:c>
      <x:c r="B24" s="1" t="s">
        <x:v>229</x:v>
      </x:c>
      <x:c r="C24" s="1" t="s">
        <x:v>34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0b32a92ae2f4628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754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655</x:v>
      </x:c>
      <x:c r="B9" s="1" t="s">
        <x:v>157</x:v>
      </x:c>
      <x:c r="C9" s="1" t="s">
        <x:v>35</x:v>
      </x:c>
      <x:c r="D9" s="1" t="s">
        <x:v>159</x:v>
      </x:c>
      <x:c r="E9" s="1" t="s">
        <x:v>160</x:v>
      </x:c>
      <x:c r="F9" s="1" t="s">
        <x:v>161</x:v>
      </x:c>
      <x:c r="G9" s="1" t="s">
        <x:v>755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658</x:v>
      </x:c>
      <x:c r="B10" s="1" t="s">
        <x:v>164</x:v>
      </x:c>
      <x:c r="C10" s="1" t="s">
        <x:v>35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660</x:v>
      </x:c>
      <x:c r="B11" s="1" t="s">
        <x:v>168</x:v>
      </x:c>
      <x:c r="C11" s="1" t="s">
        <x:v>35</x:v>
      </x:c>
      <x:c r="D11" s="1" t="s">
        <x:v>169</x:v>
      </x:c>
      <x:c r="E11" s="1" t="s">
        <x:v>160</x:v>
      </x:c>
      <x:c r="F11" s="1" t="s">
        <x:v>170</x:v>
      </x:c>
      <x:c r="G11" s="1" t="s">
        <x:v>756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663</x:v>
      </x:c>
      <x:c r="B12" s="1" t="s">
        <x:v>173</x:v>
      </x:c>
      <x:c r="C12" s="1" t="s">
        <x:v>35</x:v>
      </x:c>
      <x:c r="D12" s="1" t="s">
        <x:v>174</x:v>
      </x:c>
      <x:c r="E12" s="1" t="s">
        <x:v>160</x:v>
      </x:c>
      <x:c r="F12" s="1" t="s">
        <x:v>175</x:v>
      </x:c>
      <x:c r="G12" s="1" t="s">
        <x:v>757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666</x:v>
      </x:c>
      <x:c r="B13" s="1" t="s">
        <x:v>178</x:v>
      </x:c>
      <x:c r="C13" s="1" t="s">
        <x:v>35</x:v>
      </x:c>
      <x:c r="D13" s="1" t="s">
        <x:v>179</x:v>
      </x:c>
      <x:c r="E13" s="1" t="s">
        <x:v>160</x:v>
      </x:c>
      <x:c r="F13" s="1" t="s">
        <x:v>180</x:v>
      </x:c>
      <x:c r="G13" s="1" t="s">
        <x:v>758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669</x:v>
      </x:c>
      <x:c r="B14" s="1" t="s">
        <x:v>183</x:v>
      </x:c>
      <x:c r="C14" s="1" t="s">
        <x:v>35</x:v>
      </x:c>
      <x:c r="D14" s="1" t="s">
        <x:v>184</x:v>
      </x:c>
      <x:c r="E14" s="1" t="s">
        <x:v>160</x:v>
      </x:c>
      <x:c r="F14" s="1" t="s">
        <x:v>185</x:v>
      </x:c>
      <x:c r="G14" s="1" t="s">
        <x:v>759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672</x:v>
      </x:c>
      <x:c r="B15" s="1" t="s">
        <x:v>188</x:v>
      </x:c>
      <x:c r="C15" s="1" t="s">
        <x:v>35</x:v>
      </x:c>
      <x:c r="D15" s="1" t="s">
        <x:v>189</x:v>
      </x:c>
      <x:c r="E15" s="1" t="s">
        <x:v>160</x:v>
      </x:c>
      <x:c r="F15" s="1" t="s">
        <x:v>190</x:v>
      </x:c>
      <x:c r="G15" s="1" t="s">
        <x:v>760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674</x:v>
      </x:c>
      <x:c r="B16" s="1" t="s">
        <x:v>193</x:v>
      </x:c>
      <x:c r="C16" s="1" t="s">
        <x:v>35</x:v>
      </x:c>
      <x:c r="D16" s="1" t="s">
        <x:v>194</x:v>
      </x:c>
      <x:c r="E16" s="1" t="s">
        <x:v>160</x:v>
      </x:c>
      <x:c r="F16" s="1" t="s">
        <x:v>195</x:v>
      </x:c>
      <x:c r="G16" s="1" t="s">
        <x:v>761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678</x:v>
      </x:c>
      <x:c r="B17" s="1" t="s">
        <x:v>199</x:v>
      </x:c>
      <x:c r="C17" s="1" t="s">
        <x:v>35</x:v>
      </x:c>
      <x:c r="D17" s="1" t="s">
        <x:v>200</x:v>
      </x:c>
      <x:c r="E17" s="1" t="s">
        <x:v>160</x:v>
      </x:c>
      <x:c r="F17" s="1" t="s">
        <x:v>201</x:v>
      </x:c>
      <x:c r="G17" s="1" t="s">
        <x:v>762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682</x:v>
      </x:c>
      <x:c r="B18" s="1" t="s">
        <x:v>205</x:v>
      </x:c>
      <x:c r="C18" s="1" t="s">
        <x:v>35</x:v>
      </x:c>
      <x:c r="D18" s="1" t="s">
        <x:v>206</x:v>
      </x:c>
      <x:c r="E18" s="1" t="s">
        <x:v>160</x:v>
      </x:c>
      <x:c r="F18" s="1" t="s">
        <x:v>201</x:v>
      </x:c>
      <x:c r="G18" s="1" t="s">
        <x:v>762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686</x:v>
      </x:c>
      <x:c r="B19" s="1" t="s">
        <x:v>208</x:v>
      </x:c>
      <x:c r="C19" s="1" t="s">
        <x:v>35</x:v>
      </x:c>
      <x:c r="D19" s="1" t="s">
        <x:v>209</x:v>
      </x:c>
      <x:c r="E19" s="1" t="s">
        <x:v>160</x:v>
      </x:c>
      <x:c r="F19" s="1" t="s">
        <x:v>201</x:v>
      </x:c>
      <x:c r="G19" s="1" t="s">
        <x:v>763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689</x:v>
      </x:c>
      <x:c r="B20" s="1" t="s">
        <x:v>212</x:v>
      </x:c>
      <x:c r="C20" s="1" t="s">
        <x:v>35</x:v>
      </x:c>
      <x:c r="D20" s="1" t="s">
        <x:v>213</x:v>
      </x:c>
      <x:c r="E20" s="1" t="s">
        <x:v>160</x:v>
      </x:c>
      <x:c r="F20" s="1" t="s">
        <x:v>201</x:v>
      </x:c>
      <x:c r="G20" s="1" t="s">
        <x:v>762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691</x:v>
      </x:c>
      <x:c r="B21" s="1" t="s">
        <x:v>215</x:v>
      </x:c>
      <x:c r="C21" s="1" t="s">
        <x:v>35</x:v>
      </x:c>
      <x:c r="D21" s="1" t="s">
        <x:v>216</x:v>
      </x:c>
      <x:c r="E21" s="1" t="s">
        <x:v>160</x:v>
      </x:c>
      <x:c r="F21" s="1" t="s">
        <x:v>217</x:v>
      </x:c>
      <x:c r="G21" s="1" t="s">
        <x:v>764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693</x:v>
      </x:c>
      <x:c r="B22" s="1" t="s">
        <x:v>220</x:v>
      </x:c>
      <x:c r="C22" s="1" t="s">
        <x:v>35</x:v>
      </x:c>
      <x:c r="D22" s="1" t="s">
        <x:v>221</x:v>
      </x:c>
      <x:c r="E22" s="1" t="s">
        <x:v>160</x:v>
      </x:c>
      <x:c r="F22" s="1" t="s">
        <x:v>217</x:v>
      </x:c>
      <x:c r="G22" s="1" t="s">
        <x:v>765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696</x:v>
      </x:c>
      <x:c r="B23" s="1" t="s">
        <x:v>224</x:v>
      </x:c>
      <x:c r="C23" s="1" t="s">
        <x:v>35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698</x:v>
      </x:c>
      <x:c r="B24" s="1" t="s">
        <x:v>229</x:v>
      </x:c>
      <x:c r="C24" s="1" t="s">
        <x:v>35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fe4fc53182d436b"/>
  </x:tableParts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766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767</x:v>
      </x:c>
      <x:c r="B9" s="1" t="s">
        <x:v>157</x:v>
      </x:c>
      <x:c r="C9" s="1" t="s">
        <x:v>768</x:v>
      </x:c>
      <x:c r="D9" s="1" t="s">
        <x:v>159</x:v>
      </x:c>
      <x:c r="E9" s="1" t="s">
        <x:v>160</x:v>
      </x:c>
      <x:c r="F9" s="1" t="s">
        <x:v>161</x:v>
      </x:c>
      <x:c r="G9" s="1" t="s">
        <x:v>769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770</x:v>
      </x:c>
      <x:c r="B10" s="1" t="s">
        <x:v>164</x:v>
      </x:c>
      <x:c r="C10" s="1" t="s">
        <x:v>768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771</x:v>
      </x:c>
      <x:c r="B11" s="1" t="s">
        <x:v>168</x:v>
      </x:c>
      <x:c r="C11" s="1" t="s">
        <x:v>768</x:v>
      </x:c>
      <x:c r="D11" s="1" t="s">
        <x:v>169</x:v>
      </x:c>
      <x:c r="E11" s="1" t="s">
        <x:v>160</x:v>
      </x:c>
      <x:c r="F11" s="1" t="s">
        <x:v>170</x:v>
      </x:c>
      <x:c r="G11" s="1" t="s">
        <x:v>772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773</x:v>
      </x:c>
      <x:c r="B12" s="1" t="s">
        <x:v>173</x:v>
      </x:c>
      <x:c r="C12" s="1" t="s">
        <x:v>768</x:v>
      </x:c>
      <x:c r="D12" s="1" t="s">
        <x:v>174</x:v>
      </x:c>
      <x:c r="E12" s="1" t="s">
        <x:v>160</x:v>
      </x:c>
      <x:c r="F12" s="1" t="s">
        <x:v>175</x:v>
      </x:c>
      <x:c r="G12" s="1" t="s">
        <x:v>774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775</x:v>
      </x:c>
      <x:c r="B13" s="1" t="s">
        <x:v>178</x:v>
      </x:c>
      <x:c r="C13" s="1" t="s">
        <x:v>768</x:v>
      </x:c>
      <x:c r="D13" s="1" t="s">
        <x:v>179</x:v>
      </x:c>
      <x:c r="E13" s="1" t="s">
        <x:v>160</x:v>
      </x:c>
      <x:c r="F13" s="1" t="s">
        <x:v>180</x:v>
      </x:c>
      <x:c r="G13" s="1" t="s">
        <x:v>776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777</x:v>
      </x:c>
      <x:c r="B14" s="1" t="s">
        <x:v>183</x:v>
      </x:c>
      <x:c r="C14" s="1" t="s">
        <x:v>768</x:v>
      </x:c>
      <x:c r="D14" s="1" t="s">
        <x:v>184</x:v>
      </x:c>
      <x:c r="E14" s="1" t="s">
        <x:v>160</x:v>
      </x:c>
      <x:c r="F14" s="1" t="s">
        <x:v>185</x:v>
      </x:c>
      <x:c r="G14" s="1" t="s">
        <x:v>778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779</x:v>
      </x:c>
      <x:c r="B15" s="1" t="s">
        <x:v>188</x:v>
      </x:c>
      <x:c r="C15" s="1" t="s">
        <x:v>768</x:v>
      </x:c>
      <x:c r="D15" s="1" t="s">
        <x:v>189</x:v>
      </x:c>
      <x:c r="E15" s="1" t="s">
        <x:v>160</x:v>
      </x:c>
      <x:c r="F15" s="1" t="s">
        <x:v>190</x:v>
      </x:c>
      <x:c r="G15" s="1" t="s">
        <x:v>780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781</x:v>
      </x:c>
      <x:c r="B16" s="1" t="s">
        <x:v>193</x:v>
      </x:c>
      <x:c r="C16" s="1" t="s">
        <x:v>768</x:v>
      </x:c>
      <x:c r="D16" s="1" t="s">
        <x:v>194</x:v>
      </x:c>
      <x:c r="E16" s="1" t="s">
        <x:v>160</x:v>
      </x:c>
      <x:c r="F16" s="1" t="s">
        <x:v>195</x:v>
      </x:c>
      <x:c r="G16" s="1" t="s">
        <x:v>782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783</x:v>
      </x:c>
      <x:c r="B17" s="1" t="s">
        <x:v>199</x:v>
      </x:c>
      <x:c r="C17" s="1" t="s">
        <x:v>768</x:v>
      </x:c>
      <x:c r="D17" s="1" t="s">
        <x:v>200</x:v>
      </x:c>
      <x:c r="E17" s="1" t="s">
        <x:v>160</x:v>
      </x:c>
      <x:c r="F17" s="1" t="s">
        <x:v>201</x:v>
      </x:c>
      <x:c r="G17" s="1" t="s">
        <x:v>784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785</x:v>
      </x:c>
      <x:c r="B18" s="1" t="s">
        <x:v>205</x:v>
      </x:c>
      <x:c r="C18" s="1" t="s">
        <x:v>768</x:v>
      </x:c>
      <x:c r="D18" s="1" t="s">
        <x:v>206</x:v>
      </x:c>
      <x:c r="E18" s="1" t="s">
        <x:v>160</x:v>
      </x:c>
      <x:c r="F18" s="1" t="s">
        <x:v>201</x:v>
      </x:c>
      <x:c r="G18" s="1" t="s">
        <x:v>784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786</x:v>
      </x:c>
      <x:c r="B19" s="1" t="s">
        <x:v>208</x:v>
      </x:c>
      <x:c r="C19" s="1" t="s">
        <x:v>768</x:v>
      </x:c>
      <x:c r="D19" s="1" t="s">
        <x:v>209</x:v>
      </x:c>
      <x:c r="E19" s="1" t="s">
        <x:v>160</x:v>
      </x:c>
      <x:c r="F19" s="1" t="s">
        <x:v>201</x:v>
      </x:c>
      <x:c r="G19" s="1" t="s">
        <x:v>787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788</x:v>
      </x:c>
      <x:c r="B20" s="1" t="s">
        <x:v>212</x:v>
      </x:c>
      <x:c r="C20" s="1" t="s">
        <x:v>768</x:v>
      </x:c>
      <x:c r="D20" s="1" t="s">
        <x:v>213</x:v>
      </x:c>
      <x:c r="E20" s="1" t="s">
        <x:v>160</x:v>
      </x:c>
      <x:c r="F20" s="1" t="s">
        <x:v>201</x:v>
      </x:c>
      <x:c r="G20" s="1" t="s">
        <x:v>784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789</x:v>
      </x:c>
      <x:c r="B21" s="1" t="s">
        <x:v>215</x:v>
      </x:c>
      <x:c r="C21" s="1" t="s">
        <x:v>768</x:v>
      </x:c>
      <x:c r="D21" s="1" t="s">
        <x:v>216</x:v>
      </x:c>
      <x:c r="E21" s="1" t="s">
        <x:v>160</x:v>
      </x:c>
      <x:c r="F21" s="1" t="s">
        <x:v>217</x:v>
      </x:c>
      <x:c r="G21" s="1" t="s">
        <x:v>790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791</x:v>
      </x:c>
      <x:c r="B22" s="1" t="s">
        <x:v>220</x:v>
      </x:c>
      <x:c r="C22" s="1" t="s">
        <x:v>768</x:v>
      </x:c>
      <x:c r="D22" s="1" t="s">
        <x:v>221</x:v>
      </x:c>
      <x:c r="E22" s="1" t="s">
        <x:v>160</x:v>
      </x:c>
      <x:c r="F22" s="1" t="s">
        <x:v>217</x:v>
      </x:c>
      <x:c r="G22" s="1" t="s">
        <x:v>792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793</x:v>
      </x:c>
      <x:c r="B23" s="1" t="s">
        <x:v>224</x:v>
      </x:c>
      <x:c r="C23" s="1" t="s">
        <x:v>768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794</x:v>
      </x:c>
      <x:c r="B24" s="1" t="s">
        <x:v>229</x:v>
      </x:c>
      <x:c r="C24" s="1" t="s">
        <x:v>768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699aaba10c24d89"/>
  </x:tableParts>
</x:worksheet>
</file>

<file path=xl/worksheets/sheet2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795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143</x:v>
      </x:c>
      <x:c r="E4" s="7" t="n">
        <x:f aca="0">SUM(M9:M24)</x:f>
        <x:v>12</x:v>
      </x:c>
      <x:c r="G4" s="6" t="s">
        <x:v>13</x:v>
      </x:c>
      <x:c r="H4" s="8" t="n">
        <x:f aca="0">IF(B4=0,0,E4/B4)</x:f>
        <x:v>0.75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796</x:v>
      </x:c>
      <x:c r="B9" s="12" t="s">
        <x:v>157</x:v>
      </x:c>
      <x:c r="C9" s="12" t="s">
        <x:v>38</x:v>
      </x:c>
      <x:c r="D9" s="13" t="s">
        <x:v>797</x:v>
      </x:c>
      <x:c r="E9" s="12" t="s">
        <x:v>160</x:v>
      </x:c>
      <x:c r="F9" s="12" t="s">
        <x:v>161</x:v>
      </x:c>
      <x:c r="G9" s="13" t="s">
        <x:v>798</x:v>
      </x:c>
      <x:c r="H9" s="12" t="s">
        <x:v>125</x:v>
      </x:c>
      <x:c r="I9" s="12" t="s">
        <x:v>140</x:v>
      </x:c>
      <x:c r="J9" s="14" t="n">
        <x:v>46227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799</x:v>
      </x:c>
      <x:c r="B10" s="12" t="s">
        <x:v>164</x:v>
      </x:c>
      <x:c r="C10" s="12" t="s">
        <x:v>800</x:v>
      </x:c>
      <x:c r="D10" s="13" t="s">
        <x:v>801</x:v>
      </x:c>
      <x:c r="E10" s="12" t="s">
        <x:v>160</x:v>
      </x:c>
      <x:c r="F10" s="12" t="s">
        <x:v>160</x:v>
      </x:c>
      <x:c r="G10" s="13" t="s">
        <x:v>166</x:v>
      </x:c>
      <x:c r="H10" s="12" t="s">
        <x:v>125</x:v>
      </x:c>
      <x:c r="I10" s="12" t="s">
        <x:v>140</x:v>
      </x:c>
      <x:c r="J10" s="14" t="n">
        <x:v>46227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802</x:v>
      </x:c>
      <x:c r="B11" s="12" t="s">
        <x:v>168</x:v>
      </x:c>
      <x:c r="C11" s="12" t="s">
        <x:v>803</x:v>
      </x:c>
      <x:c r="D11" s="13" t="s">
        <x:v>804</x:v>
      </x:c>
      <x:c r="E11" s="12" t="s">
        <x:v>160</x:v>
      </x:c>
      <x:c r="F11" s="12" t="s">
        <x:v>170</x:v>
      </x:c>
      <x:c r="G11" s="13" t="s">
        <x:v>805</x:v>
      </x:c>
      <x:c r="H11" s="12" t="s">
        <x:v>125</x:v>
      </x:c>
      <x:c r="I11" s="12" t="s">
        <x:v>140</x:v>
      </x:c>
      <x:c r="J11" s="14" t="n">
        <x:v>46244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806</x:v>
      </x:c>
      <x:c r="B12" s="12" t="s">
        <x:v>173</x:v>
      </x:c>
      <x:c r="C12" s="12" t="s">
        <x:v>807</x:v>
      </x:c>
      <x:c r="D12" s="13" t="s">
        <x:v>808</x:v>
      </x:c>
      <x:c r="E12" s="12" t="s">
        <x:v>160</x:v>
      </x:c>
      <x:c r="F12" s="12" t="s">
        <x:v>175</x:v>
      </x:c>
      <x:c r="G12" s="13" t="s">
        <x:v>809</x:v>
      </x:c>
      <x:c r="H12" s="12" t="s">
        <x:v>125</x:v>
      </x:c>
      <x:c r="I12" s="12" t="s">
        <x:v>140</x:v>
      </x:c>
      <x:c r="J12" s="14" t="n">
        <x:v>46244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810</x:v>
      </x:c>
      <x:c r="B13" s="12" t="s">
        <x:v>178</x:v>
      </x:c>
      <x:c r="C13" s="12" t="s">
        <x:v>803</x:v>
      </x:c>
      <x:c r="D13" s="13" t="s">
        <x:v>811</x:v>
      </x:c>
      <x:c r="E13" s="12" t="s">
        <x:v>160</x:v>
      </x:c>
      <x:c r="F13" s="12" t="s">
        <x:v>180</x:v>
      </x:c>
      <x:c r="G13" s="13" t="s">
        <x:v>812</x:v>
      </x:c>
      <x:c r="H13" s="12" t="s">
        <x:v>125</x:v>
      </x:c>
      <x:c r="I13" s="12" t="s">
        <x:v>140</x:v>
      </x:c>
      <x:c r="J13" s="14" t="n">
        <x:v>46244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813</x:v>
      </x:c>
      <x:c r="B14" s="12" t="s">
        <x:v>183</x:v>
      </x:c>
      <x:c r="C14" s="12" t="s">
        <x:v>803</x:v>
      </x:c>
      <x:c r="D14" s="13" t="s">
        <x:v>814</x:v>
      </x:c>
      <x:c r="E14" s="12" t="s">
        <x:v>160</x:v>
      </x:c>
      <x:c r="F14" s="12" t="s">
        <x:v>185</x:v>
      </x:c>
      <x:c r="G14" s="13" t="s">
        <x:v>815</x:v>
      </x:c>
      <x:c r="H14" s="12" t="s">
        <x:v>125</x:v>
      </x:c>
      <x:c r="I14" s="12" t="s">
        <x:v>140</x:v>
      </x:c>
      <x:c r="J14" s="14" t="n">
        <x:v>46244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816</x:v>
      </x:c>
      <x:c r="B15" s="12" t="s">
        <x:v>188</x:v>
      </x:c>
      <x:c r="C15" s="12" t="s">
        <x:v>807</x:v>
      </x:c>
      <x:c r="D15" s="13" t="s">
        <x:v>817</x:v>
      </x:c>
      <x:c r="E15" s="12" t="s">
        <x:v>160</x:v>
      </x:c>
      <x:c r="F15" s="12" t="s">
        <x:v>190</x:v>
      </x:c>
      <x:c r="G15" s="13" t="s">
        <x:v>815</x:v>
      </x:c>
      <x:c r="H15" s="12" t="s">
        <x:v>125</x:v>
      </x:c>
      <x:c r="I15" s="12" t="s">
        <x:v>140</x:v>
      </x:c>
      <x:c r="J15" s="14" t="n">
        <x:v>46244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818</x:v>
      </x:c>
      <x:c r="B16" s="12" t="s">
        <x:v>193</x:v>
      </x:c>
      <x:c r="C16" s="12" t="s">
        <x:v>800</x:v>
      </x:c>
      <x:c r="D16" s="13" t="s">
        <x:v>819</x:v>
      </x:c>
      <x:c r="E16" s="12" t="s">
        <x:v>160</x:v>
      </x:c>
      <x:c r="F16" s="12" t="s">
        <x:v>195</x:v>
      </x:c>
      <x:c r="G16" s="13" t="s">
        <x:v>820</x:v>
      </x:c>
      <x:c r="H16" s="12" t="s">
        <x:v>127</x:v>
      </x:c>
      <x:c r="I16" s="12" t="s">
        <x:v>139</x:v>
      </x:c>
      <x:c r="J16" s="14" t="n">
        <x:v>46227</x:v>
      </x:c>
      <x:c r="K16" s="13" t="s">
        <x:v>821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822</x:v>
      </x:c>
      <x:c r="B17" s="12" t="s">
        <x:v>199</x:v>
      </x:c>
      <x:c r="C17" s="12" t="s">
        <x:v>800</x:v>
      </x:c>
      <x:c r="D17" s="13" t="s">
        <x:v>823</x:v>
      </x:c>
      <x:c r="E17" s="12" t="s">
        <x:v>160</x:v>
      </x:c>
      <x:c r="F17" s="12" t="s">
        <x:v>201</x:v>
      </x:c>
      <x:c r="G17" s="13" t="s">
        <x:v>824</x:v>
      </x:c>
      <x:c r="H17" s="12" t="s">
        <x:v>123</x:v>
      </x:c>
      <x:c r="I17" s="12" t="s">
        <x:v>139</x:v>
      </x:c>
      <x:c r="J17" s="14"/>
      <x:c r="K17" s="13" t="s">
        <x:v>825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826</x:v>
      </x:c>
      <x:c r="B18" s="12" t="s">
        <x:v>205</x:v>
      </x:c>
      <x:c r="C18" s="12" t="s">
        <x:v>827</x:v>
      </x:c>
      <x:c r="D18" s="13" t="s">
        <x:v>828</x:v>
      </x:c>
      <x:c r="E18" s="12" t="s">
        <x:v>160</x:v>
      </x:c>
      <x:c r="F18" s="12" t="s">
        <x:v>201</x:v>
      </x:c>
      <x:c r="G18" s="13" t="s">
        <x:v>829</x:v>
      </x:c>
      <x:c r="H18" s="12" t="s">
        <x:v>123</x:v>
      </x:c>
      <x:c r="I18" s="12" t="s">
        <x:v>139</x:v>
      </x:c>
      <x:c r="J18" s="14"/>
      <x:c r="K18" s="13" t="s">
        <x:v>830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831</x:v>
      </x:c>
      <x:c r="B19" s="12" t="s">
        <x:v>687</x:v>
      </x:c>
      <x:c r="C19" s="12" t="s">
        <x:v>807</x:v>
      </x:c>
      <x:c r="D19" s="13" t="s">
        <x:v>832</x:v>
      </x:c>
      <x:c r="E19" s="12" t="s">
        <x:v>160</x:v>
      </x:c>
      <x:c r="F19" s="12" t="s">
        <x:v>185</x:v>
      </x:c>
      <x:c r="G19" s="13" t="s">
        <x:v>833</x:v>
      </x:c>
      <x:c r="H19" s="12" t="s">
        <x:v>125</x:v>
      </x:c>
      <x:c r="I19" s="12" t="s">
        <x:v>140</x:v>
      </x:c>
      <x:c r="J19" s="14" t="n">
        <x:v>46244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834</x:v>
      </x:c>
      <x:c r="B20" s="12" t="s">
        <x:v>212</x:v>
      </x:c>
      <x:c r="C20" s="12" t="s">
        <x:v>800</x:v>
      </x:c>
      <x:c r="D20" s="13" t="s">
        <x:v>835</x:v>
      </x:c>
      <x:c r="E20" s="12" t="s">
        <x:v>160</x:v>
      </x:c>
      <x:c r="F20" s="12" t="s">
        <x:v>201</x:v>
      </x:c>
      <x:c r="G20" s="13" t="s">
        <x:v>824</x:v>
      </x:c>
      <x:c r="H20" s="12" t="s">
        <x:v>123</x:v>
      </x:c>
      <x:c r="I20" s="12" t="s">
        <x:v>139</x:v>
      </x:c>
      <x:c r="J20" s="14"/>
      <x:c r="K20" s="13" t="s">
        <x:v>836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837</x:v>
      </x:c>
      <x:c r="B21" s="12" t="s">
        <x:v>215</x:v>
      </x:c>
      <x:c r="C21" s="12" t="s">
        <x:v>803</x:v>
      </x:c>
      <x:c r="D21" s="13" t="s">
        <x:v>838</x:v>
      </x:c>
      <x:c r="E21" s="12" t="s">
        <x:v>160</x:v>
      </x:c>
      <x:c r="F21" s="12" t="s">
        <x:v>217</x:v>
      </x:c>
      <x:c r="G21" s="13" t="s">
        <x:v>839</x:v>
      </x:c>
      <x:c r="H21" s="12" t="s">
        <x:v>125</x:v>
      </x:c>
      <x:c r="I21" s="12" t="s">
        <x:v>140</x:v>
      </x:c>
      <x:c r="J21" s="14" t="n">
        <x:v>46244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840</x:v>
      </x:c>
      <x:c r="B22" s="12" t="s">
        <x:v>220</x:v>
      </x:c>
      <x:c r="C22" s="12" t="s">
        <x:v>803</x:v>
      </x:c>
      <x:c r="D22" s="13" t="s">
        <x:v>841</x:v>
      </x:c>
      <x:c r="E22" s="12" t="s">
        <x:v>160</x:v>
      </x:c>
      <x:c r="F22" s="12" t="s">
        <x:v>217</x:v>
      </x:c>
      <x:c r="G22" s="13" t="s">
        <x:v>842</x:v>
      </x:c>
      <x:c r="H22" s="12" t="s">
        <x:v>125</x:v>
      </x:c>
      <x:c r="I22" s="12" t="s">
        <x:v>140</x:v>
      </x:c>
      <x:c r="J22" s="14" t="n">
        <x:v>46244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843</x:v>
      </x:c>
      <x:c r="B23" s="12" t="s">
        <x:v>224</x:v>
      </x:c>
      <x:c r="C23" s="12" t="s">
        <x:v>844</x:v>
      </x:c>
      <x:c r="D23" s="13" t="s">
        <x:v>845</x:v>
      </x:c>
      <x:c r="E23" s="12" t="s">
        <x:v>226</x:v>
      </x:c>
      <x:c r="F23" s="12" t="s">
        <x:v>226</x:v>
      </x:c>
      <x:c r="G23" s="13" t="s">
        <x:v>227</x:v>
      </x:c>
      <x:c r="H23" s="12" t="s">
        <x:v>125</x:v>
      </x:c>
      <x:c r="I23" s="12" t="s">
        <x:v>140</x:v>
      </x:c>
      <x:c r="J23" s="14" t="n">
        <x:v>46227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846</x:v>
      </x:c>
      <x:c r="B24" s="12" t="s">
        <x:v>229</x:v>
      </x:c>
      <x:c r="C24" s="12" t="s">
        <x:v>803</x:v>
      </x:c>
      <x:c r="D24" s="13" t="s">
        <x:v>847</x:v>
      </x:c>
      <x:c r="E24" s="12" t="s">
        <x:v>160</x:v>
      </x:c>
      <x:c r="F24" s="12" t="s">
        <x:v>160</x:v>
      </x:c>
      <x:c r="G24" s="13" t="s">
        <x:v>848</x:v>
      </x:c>
      <x:c r="H24" s="12" t="s">
        <x:v>123</x:v>
      </x:c>
      <x:c r="I24" s="12" t="s">
        <x:v>139</x:v>
      </x:c>
      <x:c r="J24" s="14" t="n">
        <x:v>46227</x:v>
      </x:c>
      <x:c r="K24" s="13" t="s">
        <x:v>849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e26aab2d2794f7c"/>
  </x:tableParts>
</x:worksheet>
</file>

<file path=xl/worksheets/sheet27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850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143</x:v>
      </x:c>
      <x:c r="E4" s="7" t="n">
        <x:f aca="0">SUM(M9:M24)</x:f>
        <x:v>10</x:v>
      </x:c>
      <x:c r="G4" s="6" t="s">
        <x:v>13</x:v>
      </x:c>
      <x:c r="H4" s="8" t="n">
        <x:f aca="0">IF(B4=0,0,E4/B4)</x:f>
        <x:v>0.625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open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851</x:v>
      </x:c>
      <x:c r="B9" s="12" t="s">
        <x:v>157</x:v>
      </x:c>
      <x:c r="C9" s="12" t="s">
        <x:v>97</x:v>
      </x:c>
      <x:c r="D9" s="13" t="s">
        <x:v>852</x:v>
      </x:c>
      <x:c r="E9" s="12" t="s">
        <x:v>160</x:v>
      </x:c>
      <x:c r="F9" s="12" t="s">
        <x:v>161</x:v>
      </x:c>
      <x:c r="G9" s="13" t="s">
        <x:v>853</x:v>
      </x:c>
      <x:c r="H9" s="12" t="s">
        <x:v>125</x:v>
      </x:c>
      <x:c r="I9" s="12" t="s">
        <x:v>140</x:v>
      </x:c>
      <x:c r="J9" s="14" t="n">
        <x:v>46260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854</x:v>
      </x:c>
      <x:c r="B10" s="12" t="s">
        <x:v>164</x:v>
      </x:c>
      <x:c r="C10" s="12" t="s">
        <x:v>97</x:v>
      </x:c>
      <x:c r="D10" s="13" t="s">
        <x:v>855</x:v>
      </x:c>
      <x:c r="E10" s="12" t="s">
        <x:v>160</x:v>
      </x:c>
      <x:c r="F10" s="12" t="s">
        <x:v>160</x:v>
      </x:c>
      <x:c r="G10" s="13" t="s">
        <x:v>856</x:v>
      </x:c>
      <x:c r="H10" s="12" t="s">
        <x:v>125</x:v>
      </x:c>
      <x:c r="I10" s="12" t="s">
        <x:v>140</x:v>
      </x:c>
      <x:c r="J10" s="14" t="n">
        <x:v>46260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857</x:v>
      </x:c>
      <x:c r="B11" s="12" t="s">
        <x:v>168</x:v>
      </x:c>
      <x:c r="C11" s="12" t="s">
        <x:v>97</x:v>
      </x:c>
      <x:c r="D11" s="13" t="s">
        <x:v>858</x:v>
      </x:c>
      <x:c r="E11" s="12" t="s">
        <x:v>160</x:v>
      </x:c>
      <x:c r="F11" s="12" t="s">
        <x:v>170</x:v>
      </x:c>
      <x:c r="G11" s="13" t="s">
        <x:v>859</x:v>
      </x:c>
      <x:c r="H11" s="12" t="s">
        <x:v>125</x:v>
      </x:c>
      <x:c r="I11" s="12" t="s">
        <x:v>140</x:v>
      </x:c>
      <x:c r="J11" s="14" t="n">
        <x:v>46260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860</x:v>
      </x:c>
      <x:c r="B12" s="12" t="s">
        <x:v>173</x:v>
      </x:c>
      <x:c r="C12" s="12" t="s">
        <x:v>861</x:v>
      </x:c>
      <x:c r="D12" s="13" t="s">
        <x:v>862</x:v>
      </x:c>
      <x:c r="E12" s="12" t="s">
        <x:v>160</x:v>
      </x:c>
      <x:c r="F12" s="12" t="s">
        <x:v>175</x:v>
      </x:c>
      <x:c r="G12" s="13" t="s">
        <x:v>863</x:v>
      </x:c>
      <x:c r="H12" s="12" t="s">
        <x:v>125</x:v>
      </x:c>
      <x:c r="I12" s="12" t="s">
        <x:v>140</x:v>
      </x:c>
      <x:c r="J12" s="14" t="n">
        <x:v>46260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864</x:v>
      </x:c>
      <x:c r="B13" s="12" t="s">
        <x:v>178</x:v>
      </x:c>
      <x:c r="C13" s="12" t="s">
        <x:v>97</x:v>
      </x:c>
      <x:c r="D13" s="13" t="s">
        <x:v>865</x:v>
      </x:c>
      <x:c r="E13" s="12" t="s">
        <x:v>160</x:v>
      </x:c>
      <x:c r="F13" s="12" t="s">
        <x:v>180</x:v>
      </x:c>
      <x:c r="G13" s="13" t="s">
        <x:v>866</x:v>
      </x:c>
      <x:c r="H13" s="12" t="s">
        <x:v>125</x:v>
      </x:c>
      <x:c r="I13" s="12" t="s">
        <x:v>140</x:v>
      </x:c>
      <x:c r="J13" s="14" t="n">
        <x:v>46260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867</x:v>
      </x:c>
      <x:c r="B14" s="12" t="s">
        <x:v>183</x:v>
      </x:c>
      <x:c r="C14" s="12" t="s">
        <x:v>861</x:v>
      </x:c>
      <x:c r="D14" s="13" t="s">
        <x:v>868</x:v>
      </x:c>
      <x:c r="E14" s="12" t="s">
        <x:v>160</x:v>
      </x:c>
      <x:c r="F14" s="12" t="s">
        <x:v>185</x:v>
      </x:c>
      <x:c r="G14" s="13" t="s">
        <x:v>869</x:v>
      </x:c>
      <x:c r="H14" s="12" t="s">
        <x:v>125</x:v>
      </x:c>
      <x:c r="I14" s="12" t="s">
        <x:v>140</x:v>
      </x:c>
      <x:c r="J14" s="14" t="n">
        <x:v>46260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870</x:v>
      </x:c>
      <x:c r="B15" s="12" t="s">
        <x:v>188</x:v>
      </x:c>
      <x:c r="C15" s="12" t="s">
        <x:v>871</x:v>
      </x:c>
      <x:c r="D15" s="13" t="s">
        <x:v>872</x:v>
      </x:c>
      <x:c r="E15" s="12" t="s">
        <x:v>160</x:v>
      </x:c>
      <x:c r="F15" s="12" t="s">
        <x:v>190</x:v>
      </x:c>
      <x:c r="G15" s="13" t="s">
        <x:v>869</x:v>
      </x:c>
      <x:c r="H15" s="12" t="s">
        <x:v>125</x:v>
      </x:c>
      <x:c r="I15" s="12" t="s">
        <x:v>140</x:v>
      </x:c>
      <x:c r="J15" s="14" t="n">
        <x:v>46260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873</x:v>
      </x:c>
      <x:c r="B16" s="12" t="s">
        <x:v>193</x:v>
      </x:c>
      <x:c r="C16" s="12" t="s">
        <x:v>861</x:v>
      </x:c>
      <x:c r="D16" s="13" t="s">
        <x:v>874</x:v>
      </x:c>
      <x:c r="E16" s="12" t="s">
        <x:v>160</x:v>
      </x:c>
      <x:c r="F16" s="12" t="s">
        <x:v>195</x:v>
      </x:c>
      <x:c r="G16" s="13" t="s">
        <x:v>875</x:v>
      </x:c>
      <x:c r="H16" s="12" t="s">
        <x:v>123</x:v>
      </x:c>
      <x:c r="I16" s="12" t="s">
        <x:v>139</x:v>
      </x:c>
      <x:c r="J16" s="14"/>
      <x:c r="K16" s="13" t="s">
        <x:v>876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0</x:v>
      </x:c>
    </x:row>
    <x:row r="17" s="4" customFormat="1" ht="54" hidden="0" customHeight="1">
      <x:c r="A17" s="12" t="s">
        <x:v>877</x:v>
      </x:c>
      <x:c r="B17" s="12" t="s">
        <x:v>199</x:v>
      </x:c>
      <x:c r="C17" s="12" t="s">
        <x:v>97</x:v>
      </x:c>
      <x:c r="D17" s="13" t="s">
        <x:v>878</x:v>
      </x:c>
      <x:c r="E17" s="12" t="s">
        <x:v>160</x:v>
      </x:c>
      <x:c r="F17" s="12" t="s">
        <x:v>201</x:v>
      </x:c>
      <x:c r="G17" s="13" t="s">
        <x:v>879</x:v>
      </x:c>
      <x:c r="H17" s="12" t="s">
        <x:v>123</x:v>
      </x:c>
      <x:c r="I17" s="12" t="s">
        <x:v>139</x:v>
      </x:c>
      <x:c r="J17" s="14"/>
      <x:c r="K17" s="13" t="s">
        <x:v>880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881</x:v>
      </x:c>
      <x:c r="B18" s="12" t="s">
        <x:v>205</x:v>
      </x:c>
      <x:c r="C18" s="12" t="s">
        <x:v>882</x:v>
      </x:c>
      <x:c r="D18" s="13" t="s">
        <x:v>883</x:v>
      </x:c>
      <x:c r="E18" s="12" t="s">
        <x:v>160</x:v>
      </x:c>
      <x:c r="F18" s="12" t="s">
        <x:v>201</x:v>
      </x:c>
      <x:c r="G18" s="13" t="s">
        <x:v>884</x:v>
      </x:c>
      <x:c r="H18" s="12" t="s">
        <x:v>123</x:v>
      </x:c>
      <x:c r="I18" s="12" t="s">
        <x:v>139</x:v>
      </x:c>
      <x:c r="J18" s="14"/>
      <x:c r="K18" s="13" t="s">
        <x:v>885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886</x:v>
      </x:c>
      <x:c r="B19" s="12" t="s">
        <x:v>687</x:v>
      </x:c>
      <x:c r="C19" s="12" t="s">
        <x:v>97</x:v>
      </x:c>
      <x:c r="D19" s="13" t="s">
        <x:v>887</x:v>
      </x:c>
      <x:c r="E19" s="12" t="s">
        <x:v>160</x:v>
      </x:c>
      <x:c r="F19" s="12" t="s">
        <x:v>185</x:v>
      </x:c>
      <x:c r="G19" s="13" t="s">
        <x:v>888</x:v>
      </x:c>
      <x:c r="H19" s="12" t="s">
        <x:v>125</x:v>
      </x:c>
      <x:c r="I19" s="12" t="s">
        <x:v>140</x:v>
      </x:c>
      <x:c r="J19" s="14" t="n">
        <x:v>46260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889</x:v>
      </x:c>
      <x:c r="B20" s="12" t="s">
        <x:v>212</x:v>
      </x:c>
      <x:c r="C20" s="12" t="s">
        <x:v>97</x:v>
      </x:c>
      <x:c r="D20" s="13" t="s">
        <x:v>890</x:v>
      </x:c>
      <x:c r="E20" s="12" t="s">
        <x:v>160</x:v>
      </x:c>
      <x:c r="F20" s="12" t="s">
        <x:v>201</x:v>
      </x:c>
      <x:c r="G20" s="13" t="s">
        <x:v>879</x:v>
      </x:c>
      <x:c r="H20" s="12" t="s">
        <x:v>123</x:v>
      </x:c>
      <x:c r="I20" s="12" t="s">
        <x:v>139</x:v>
      </x:c>
      <x:c r="J20" s="14"/>
      <x:c r="K20" s="13" t="s">
        <x:v>891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892</x:v>
      </x:c>
      <x:c r="B21" s="12" t="s">
        <x:v>215</x:v>
      </x:c>
      <x:c r="C21" s="12" t="s">
        <x:v>97</x:v>
      </x:c>
      <x:c r="D21" s="13" t="s">
        <x:v>893</x:v>
      </x:c>
      <x:c r="E21" s="12" t="s">
        <x:v>160</x:v>
      </x:c>
      <x:c r="F21" s="12" t="s">
        <x:v>217</x:v>
      </x:c>
      <x:c r="G21" s="13" t="s">
        <x:v>894</x:v>
      </x:c>
      <x:c r="H21" s="12" t="s">
        <x:v>125</x:v>
      </x:c>
      <x:c r="I21" s="12" t="s">
        <x:v>140</x:v>
      </x:c>
      <x:c r="J21" s="14" t="n">
        <x:v>46260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895</x:v>
      </x:c>
      <x:c r="B22" s="12" t="s">
        <x:v>220</x:v>
      </x:c>
      <x:c r="C22" s="12" t="s">
        <x:v>97</x:v>
      </x:c>
      <x:c r="D22" s="13" t="s">
        <x:v>896</x:v>
      </x:c>
      <x:c r="E22" s="12" t="s">
        <x:v>160</x:v>
      </x:c>
      <x:c r="F22" s="12" t="s">
        <x:v>217</x:v>
      </x:c>
      <x:c r="G22" s="13" t="s">
        <x:v>897</x:v>
      </x:c>
      <x:c r="H22" s="12" t="s">
        <x:v>125</x:v>
      </x:c>
      <x:c r="I22" s="12" t="s">
        <x:v>140</x:v>
      </x:c>
      <x:c r="J22" s="14" t="n">
        <x:v>46260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898</x:v>
      </x:c>
      <x:c r="B23" s="12" t="s">
        <x:v>224</x:v>
      </x:c>
      <x:c r="C23" s="12" t="s">
        <x:v>899</x:v>
      </x:c>
      <x:c r="D23" s="13" t="s">
        <x:v>900</x:v>
      </x:c>
      <x:c r="E23" s="12" t="s">
        <x:v>226</x:v>
      </x:c>
      <x:c r="F23" s="12" t="s">
        <x:v>226</x:v>
      </x:c>
      <x:c r="G23" s="13" t="s">
        <x:v>227</x:v>
      </x:c>
      <x:c r="H23" s="12" t="s">
        <x:v>123</x:v>
      </x:c>
      <x:c r="I23" s="12" t="s">
        <x:v>140</x:v>
      </x:c>
      <x:c r="J23" s="14"/>
      <x:c r="K23" s="13" t="s">
        <x:v>901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902</x:v>
      </x:c>
      <x:c r="B24" s="12" t="s">
        <x:v>229</x:v>
      </x:c>
      <x:c r="C24" s="12" t="s">
        <x:v>97</x:v>
      </x:c>
      <x:c r="D24" s="13" t="s">
        <x:v>903</x:v>
      </x:c>
      <x:c r="E24" s="12" t="s">
        <x:v>160</x:v>
      </x:c>
      <x:c r="F24" s="12" t="s">
        <x:v>160</x:v>
      </x:c>
      <x:c r="G24" s="13" t="s">
        <x:v>598</x:v>
      </x:c>
      <x:c r="H24" s="12" t="s">
        <x:v>123</x:v>
      </x:c>
      <x:c r="I24" s="12" t="s">
        <x:v>139</x:v>
      </x:c>
      <x:c r="J24" s="14"/>
      <x:c r="K24" s="13" t="s">
        <x:v>904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905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143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144</x:v>
      </x:c>
      <x:c r="B5" s="7"/>
      <x:c r="D5" s="6" t="s">
        <x:v>15</x:v>
      </x:c>
      <x:c r="E5" s="7"/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655</x:v>
      </x:c>
      <x:c r="B9" s="1" t="s">
        <x:v>157</x:v>
      </x:c>
      <x:c r="C9" s="1" t="s">
        <x:v>37</x:v>
      </x:c>
      <x:c r="D9" s="1" t="s">
        <x:v>159</x:v>
      </x:c>
      <x:c r="E9" s="1" t="s">
        <x:v>160</x:v>
      </x:c>
      <x:c r="F9" s="1" t="s">
        <x:v>161</x:v>
      </x:c>
      <x:c r="G9" s="1" t="s">
        <x:v>906</x:v>
      </x:c>
      <x:c r="H9" s="1" t="s">
        <x:v>125</x:v>
      </x:c>
      <x:c r="I9" s="1" t="s">
        <x:v>140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658</x:v>
      </x:c>
      <x:c r="B10" s="1" t="s">
        <x:v>164</x:v>
      </x:c>
      <x:c r="C10" s="1" t="s">
        <x:v>37</x:v>
      </x:c>
      <x:c r="D10" s="1" t="s">
        <x:v>165</x:v>
      </x:c>
      <x:c r="E10" s="1" t="s">
        <x:v>160</x:v>
      </x:c>
      <x:c r="F10" s="1" t="s">
        <x:v>160</x:v>
      </x:c>
      <x:c r="G10" s="1" t="s">
        <x:v>166</x:v>
      </x:c>
      <x:c r="H10" s="1" t="s">
        <x:v>125</x:v>
      </x:c>
      <x:c r="I10" s="1" t="s">
        <x:v>140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660</x:v>
      </x:c>
      <x:c r="B11" s="1" t="s">
        <x:v>168</x:v>
      </x:c>
      <x:c r="C11" s="1" t="s">
        <x:v>37</x:v>
      </x:c>
      <x:c r="D11" s="1" t="s">
        <x:v>169</x:v>
      </x:c>
      <x:c r="E11" s="1" t="s">
        <x:v>160</x:v>
      </x:c>
      <x:c r="F11" s="1" t="s">
        <x:v>170</x:v>
      </x:c>
      <x:c r="G11" s="1" t="s">
        <x:v>907</x:v>
      </x:c>
      <x:c r="H11" s="1" t="s">
        <x:v>125</x:v>
      </x:c>
      <x:c r="I11" s="1" t="s">
        <x:v>140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663</x:v>
      </x:c>
      <x:c r="B12" s="1" t="s">
        <x:v>173</x:v>
      </x:c>
      <x:c r="C12" s="1" t="s">
        <x:v>37</x:v>
      </x:c>
      <x:c r="D12" s="1" t="s">
        <x:v>174</x:v>
      </x:c>
      <x:c r="E12" s="1" t="s">
        <x:v>160</x:v>
      </x:c>
      <x:c r="F12" s="1" t="s">
        <x:v>175</x:v>
      </x:c>
      <x:c r="G12" s="1" t="s">
        <x:v>908</x:v>
      </x:c>
      <x:c r="H12" s="1" t="s">
        <x:v>125</x:v>
      </x:c>
      <x:c r="I12" s="1" t="s">
        <x:v>140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666</x:v>
      </x:c>
      <x:c r="B13" s="1" t="s">
        <x:v>178</x:v>
      </x:c>
      <x:c r="C13" s="1" t="s">
        <x:v>37</x:v>
      </x:c>
      <x:c r="D13" s="1" t="s">
        <x:v>179</x:v>
      </x:c>
      <x:c r="E13" s="1" t="s">
        <x:v>160</x:v>
      </x:c>
      <x:c r="F13" s="1" t="s">
        <x:v>180</x:v>
      </x:c>
      <x:c r="G13" s="1" t="s">
        <x:v>909</x:v>
      </x:c>
      <x:c r="H13" s="1" t="s">
        <x:v>125</x:v>
      </x:c>
      <x:c r="I13" s="1" t="s">
        <x:v>140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669</x:v>
      </x:c>
      <x:c r="B14" s="1" t="s">
        <x:v>183</x:v>
      </x:c>
      <x:c r="C14" s="1" t="s">
        <x:v>37</x:v>
      </x:c>
      <x:c r="D14" s="1" t="s">
        <x:v>184</x:v>
      </x:c>
      <x:c r="E14" s="1" t="s">
        <x:v>160</x:v>
      </x:c>
      <x:c r="F14" s="1" t="s">
        <x:v>185</x:v>
      </x:c>
      <x:c r="G14" s="1" t="s">
        <x:v>910</x:v>
      </x:c>
      <x:c r="H14" s="1" t="s">
        <x:v>125</x:v>
      </x:c>
      <x:c r="I14" s="1" t="s">
        <x:v>140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672</x:v>
      </x:c>
      <x:c r="B15" s="1" t="s">
        <x:v>188</x:v>
      </x:c>
      <x:c r="C15" s="1" t="s">
        <x:v>37</x:v>
      </x:c>
      <x:c r="D15" s="1" t="s">
        <x:v>189</x:v>
      </x:c>
      <x:c r="E15" s="1" t="s">
        <x:v>160</x:v>
      </x:c>
      <x:c r="F15" s="1" t="s">
        <x:v>190</x:v>
      </x:c>
      <x:c r="G15" s="1" t="s">
        <x:v>911</x:v>
      </x:c>
      <x:c r="H15" s="1" t="s">
        <x:v>125</x:v>
      </x:c>
      <x:c r="I15" s="1" t="s">
        <x:v>140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674</x:v>
      </x:c>
      <x:c r="B16" s="1" t="s">
        <x:v>193</x:v>
      </x:c>
      <x:c r="C16" s="1" t="s">
        <x:v>37</x:v>
      </x:c>
      <x:c r="D16" s="1" t="s">
        <x:v>194</x:v>
      </x:c>
      <x:c r="E16" s="1" t="s">
        <x:v>160</x:v>
      </x:c>
      <x:c r="F16" s="1" t="s">
        <x:v>195</x:v>
      </x:c>
      <x:c r="G16" s="1" t="s">
        <x:v>912</x:v>
      </x:c>
      <x:c r="H16" s="1" t="s">
        <x:v>127</x:v>
      </x:c>
      <x:c r="I16" s="1" t="s">
        <x:v>139</x:v>
      </x:c>
      <x:c r="J16" s="11" t="n">
        <x:v>46227</x:v>
      </x:c>
      <x:c r="K16" s="1" t="s">
        <x:v>197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678</x:v>
      </x:c>
      <x:c r="B17" s="1" t="s">
        <x:v>199</x:v>
      </x:c>
      <x:c r="C17" s="1" t="s">
        <x:v>37</x:v>
      </x:c>
      <x:c r="D17" s="1" t="s">
        <x:v>200</x:v>
      </x:c>
      <x:c r="E17" s="1" t="s">
        <x:v>160</x:v>
      </x:c>
      <x:c r="F17" s="1" t="s">
        <x:v>201</x:v>
      </x:c>
      <x:c r="G17" s="1" t="s">
        <x:v>913</x:v>
      </x:c>
      <x:c r="H17" s="1" t="s">
        <x:v>123</x:v>
      </x:c>
      <x:c r="I17" s="1" t="s">
        <x:v>139</x:v>
      </x:c>
      <x:c r="J17" s="11"/>
      <x:c r="K17" s="1" t="s">
        <x:v>203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682</x:v>
      </x:c>
      <x:c r="B18" s="1" t="s">
        <x:v>205</x:v>
      </x:c>
      <x:c r="C18" s="1" t="s">
        <x:v>37</x:v>
      </x:c>
      <x:c r="D18" s="1" t="s">
        <x:v>206</x:v>
      </x:c>
      <x:c r="E18" s="1" t="s">
        <x:v>160</x:v>
      </x:c>
      <x:c r="F18" s="1" t="s">
        <x:v>201</x:v>
      </x:c>
      <x:c r="G18" s="1" t="s">
        <x:v>913</x:v>
      </x:c>
      <x:c r="H18" s="1" t="s">
        <x:v>123</x:v>
      </x:c>
      <x:c r="I18" s="1" t="s">
        <x:v>139</x:v>
      </x:c>
      <x:c r="J18" s="11"/>
      <x:c r="K18" s="1" t="s">
        <x:v>203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686</x:v>
      </x:c>
      <x:c r="B19" s="1" t="s">
        <x:v>208</x:v>
      </x:c>
      <x:c r="C19" s="1" t="s">
        <x:v>37</x:v>
      </x:c>
      <x:c r="D19" s="1" t="s">
        <x:v>209</x:v>
      </x:c>
      <x:c r="E19" s="1" t="s">
        <x:v>160</x:v>
      </x:c>
      <x:c r="F19" s="1" t="s">
        <x:v>201</x:v>
      </x:c>
      <x:c r="G19" s="1" t="s">
        <x:v>914</x:v>
      </x:c>
      <x:c r="H19" s="1" t="s">
        <x:v>123</x:v>
      </x:c>
      <x:c r="I19" s="1" t="s">
        <x:v>139</x:v>
      </x:c>
      <x:c r="J19" s="11"/>
      <x:c r="K19" s="1" t="s">
        <x:v>203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689</x:v>
      </x:c>
      <x:c r="B20" s="1" t="s">
        <x:v>212</x:v>
      </x:c>
      <x:c r="C20" s="1" t="s">
        <x:v>37</x:v>
      </x:c>
      <x:c r="D20" s="1" t="s">
        <x:v>213</x:v>
      </x:c>
      <x:c r="E20" s="1" t="s">
        <x:v>160</x:v>
      </x:c>
      <x:c r="F20" s="1" t="s">
        <x:v>201</x:v>
      </x:c>
      <x:c r="G20" s="1" t="s">
        <x:v>913</x:v>
      </x:c>
      <x:c r="H20" s="1" t="s">
        <x:v>123</x:v>
      </x:c>
      <x:c r="I20" s="1" t="s">
        <x:v>139</x:v>
      </x:c>
      <x:c r="J20" s="11"/>
      <x:c r="K20" s="1" t="s">
        <x:v>203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691</x:v>
      </x:c>
      <x:c r="B21" s="1" t="s">
        <x:v>215</x:v>
      </x:c>
      <x:c r="C21" s="1" t="s">
        <x:v>37</x:v>
      </x:c>
      <x:c r="D21" s="1" t="s">
        <x:v>216</x:v>
      </x:c>
      <x:c r="E21" s="1" t="s">
        <x:v>160</x:v>
      </x:c>
      <x:c r="F21" s="1" t="s">
        <x:v>217</x:v>
      </x:c>
      <x:c r="G21" s="1" t="s">
        <x:v>915</x:v>
      </x:c>
      <x:c r="H21" s="1" t="s">
        <x:v>125</x:v>
      </x:c>
      <x:c r="I21" s="1" t="s">
        <x:v>140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693</x:v>
      </x:c>
      <x:c r="B22" s="1" t="s">
        <x:v>220</x:v>
      </x:c>
      <x:c r="C22" s="1" t="s">
        <x:v>37</x:v>
      </x:c>
      <x:c r="D22" s="1" t="s">
        <x:v>221</x:v>
      </x:c>
      <x:c r="E22" s="1" t="s">
        <x:v>160</x:v>
      </x:c>
      <x:c r="F22" s="1" t="s">
        <x:v>217</x:v>
      </x:c>
      <x:c r="G22" s="1" t="s">
        <x:v>916</x:v>
      </x:c>
      <x:c r="H22" s="1" t="s">
        <x:v>125</x:v>
      </x:c>
      <x:c r="I22" s="1" t="s">
        <x:v>140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696</x:v>
      </x:c>
      <x:c r="B23" s="1" t="s">
        <x:v>224</x:v>
      </x:c>
      <x:c r="C23" s="1" t="s">
        <x:v>37</x:v>
      </x:c>
      <x:c r="D23" s="1" t="s">
        <x:v>225</x:v>
      </x:c>
      <x:c r="E23" s="1" t="s">
        <x:v>226</x:v>
      </x:c>
      <x:c r="F23" s="1" t="s">
        <x:v>226</x:v>
      </x:c>
      <x:c r="G23" s="1" t="s">
        <x:v>227</x:v>
      </x:c>
      <x:c r="H23" s="1" t="s">
        <x:v>125</x:v>
      </x:c>
      <x:c r="I23" s="1" t="s">
        <x:v>140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698</x:v>
      </x:c>
      <x:c r="B24" s="1" t="s">
        <x:v>229</x:v>
      </x:c>
      <x:c r="C24" s="1" t="s">
        <x:v>37</x:v>
      </x:c>
      <x:c r="D24" s="1" t="s">
        <x:v>230</x:v>
      </x:c>
      <x:c r="E24" s="1" t="s">
        <x:v>160</x:v>
      </x:c>
      <x:c r="F24" s="1" t="s">
        <x:v>160</x:v>
      </x:c>
      <x:c r="G24" s="1" t="s">
        <x:v>231</x:v>
      </x:c>
      <x:c r="H24" s="1" t="s">
        <x:v>125</x:v>
      </x:c>
      <x:c r="I24" s="1" t="s">
        <x:v>140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00dbe71cf8b4aa4"/>
  </x:tableParts>
</x:worksheet>
</file>

<file path=xl/worksheets/sheet2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917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143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851</x:v>
      </x:c>
      <x:c r="B9" s="12" t="s">
        <x:v>157</x:v>
      </x:c>
      <x:c r="C9" s="12" t="s">
        <x:v>918</x:v>
      </x:c>
      <x:c r="D9" s="13" t="s">
        <x:v>919</x:v>
      </x:c>
      <x:c r="E9" s="12" t="s">
        <x:v>160</x:v>
      </x:c>
      <x:c r="F9" s="12" t="s">
        <x:v>161</x:v>
      </x:c>
      <x:c r="G9" s="13" t="s">
        <x:v>920</x:v>
      </x:c>
      <x:c r="H9" s="12" t="s">
        <x:v>125</x:v>
      </x:c>
      <x:c r="I9" s="12" t="s">
        <x:v>140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854</x:v>
      </x:c>
      <x:c r="B10" s="12" t="s">
        <x:v>164</x:v>
      </x:c>
      <x:c r="C10" s="12" t="s">
        <x:v>40</x:v>
      </x:c>
      <x:c r="D10" s="13" t="s">
        <x:v>921</x:v>
      </x:c>
      <x:c r="E10" s="12" t="s">
        <x:v>160</x:v>
      </x:c>
      <x:c r="F10" s="12" t="s">
        <x:v>160</x:v>
      </x:c>
      <x:c r="G10" s="13" t="s">
        <x:v>606</x:v>
      </x:c>
      <x:c r="H10" s="12" t="s">
        <x:v>125</x:v>
      </x:c>
      <x:c r="I10" s="12" t="s">
        <x:v>140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857</x:v>
      </x:c>
      <x:c r="B11" s="12" t="s">
        <x:v>168</x:v>
      </x:c>
      <x:c r="C11" s="12" t="s">
        <x:v>918</x:v>
      </x:c>
      <x:c r="D11" s="13" t="s">
        <x:v>922</x:v>
      </x:c>
      <x:c r="E11" s="12" t="s">
        <x:v>160</x:v>
      </x:c>
      <x:c r="F11" s="12" t="s">
        <x:v>170</x:v>
      </x:c>
      <x:c r="G11" s="13" t="s">
        <x:v>923</x:v>
      </x:c>
      <x:c r="H11" s="12" t="s">
        <x:v>125</x:v>
      </x:c>
      <x:c r="I11" s="12" t="s">
        <x:v>140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860</x:v>
      </x:c>
      <x:c r="B12" s="12" t="s">
        <x:v>173</x:v>
      </x:c>
      <x:c r="C12" s="12" t="s">
        <x:v>918</x:v>
      </x:c>
      <x:c r="D12" s="13" t="s">
        <x:v>924</x:v>
      </x:c>
      <x:c r="E12" s="12" t="s">
        <x:v>160</x:v>
      </x:c>
      <x:c r="F12" s="12" t="s">
        <x:v>175</x:v>
      </x:c>
      <x:c r="G12" s="13" t="s">
        <x:v>925</x:v>
      </x:c>
      <x:c r="H12" s="12" t="s">
        <x:v>125</x:v>
      </x:c>
      <x:c r="I12" s="12" t="s">
        <x:v>140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864</x:v>
      </x:c>
      <x:c r="B13" s="12" t="s">
        <x:v>178</x:v>
      </x:c>
      <x:c r="C13" s="12" t="s">
        <x:v>918</x:v>
      </x:c>
      <x:c r="D13" s="13" t="s">
        <x:v>926</x:v>
      </x:c>
      <x:c r="E13" s="12" t="s">
        <x:v>160</x:v>
      </x:c>
      <x:c r="F13" s="12" t="s">
        <x:v>180</x:v>
      </x:c>
      <x:c r="G13" s="13" t="s">
        <x:v>927</x:v>
      </x:c>
      <x:c r="H13" s="12" t="s">
        <x:v>125</x:v>
      </x:c>
      <x:c r="I13" s="12" t="s">
        <x:v>140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867</x:v>
      </x:c>
      <x:c r="B14" s="12" t="s">
        <x:v>183</x:v>
      </x:c>
      <x:c r="C14" s="12" t="s">
        <x:v>827</x:v>
      </x:c>
      <x:c r="D14" s="13" t="s">
        <x:v>928</x:v>
      </x:c>
      <x:c r="E14" s="12" t="s">
        <x:v>160</x:v>
      </x:c>
      <x:c r="F14" s="12" t="s">
        <x:v>185</x:v>
      </x:c>
      <x:c r="G14" s="13" t="s">
        <x:v>929</x:v>
      </x:c>
      <x:c r="H14" s="12" t="s">
        <x:v>125</x:v>
      </x:c>
      <x:c r="I14" s="12" t="s">
        <x:v>140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870</x:v>
      </x:c>
      <x:c r="B15" s="12" t="s">
        <x:v>183</x:v>
      </x:c>
      <x:c r="C15" s="12" t="s">
        <x:v>930</x:v>
      </x:c>
      <x:c r="D15" s="13" t="s">
        <x:v>931</x:v>
      </x:c>
      <x:c r="E15" s="12" t="s">
        <x:v>160</x:v>
      </x:c>
      <x:c r="F15" s="12" t="s">
        <x:v>185</x:v>
      </x:c>
      <x:c r="G15" s="13" t="s">
        <x:v>929</x:v>
      </x:c>
      <x:c r="H15" s="12" t="s">
        <x:v>125</x:v>
      </x:c>
      <x:c r="I15" s="12" t="s">
        <x:v>140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873</x:v>
      </x:c>
      <x:c r="B16" s="12" t="s">
        <x:v>188</x:v>
      </x:c>
      <x:c r="C16" s="12" t="s">
        <x:v>918</x:v>
      </x:c>
      <x:c r="D16" s="13" t="s">
        <x:v>932</x:v>
      </x:c>
      <x:c r="E16" s="12" t="s">
        <x:v>160</x:v>
      </x:c>
      <x:c r="F16" s="12" t="s">
        <x:v>190</x:v>
      </x:c>
      <x:c r="G16" s="13" t="s">
        <x:v>929</x:v>
      </x:c>
      <x:c r="H16" s="12" t="s">
        <x:v>125</x:v>
      </x:c>
      <x:c r="I16" s="12" t="s">
        <x:v>140</x:v>
      </x:c>
      <x:c r="J16" s="14" t="n">
        <x:v>46228</x:v>
      </x:c>
      <x:c r="K16" s="13" t="s">
        <x:v>821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877</x:v>
      </x:c>
      <x:c r="B17" s="12" t="s">
        <x:v>193</x:v>
      </x:c>
      <x:c r="C17" s="12" t="s">
        <x:v>918</x:v>
      </x:c>
      <x:c r="D17" s="13" t="s">
        <x:v>933</x:v>
      </x:c>
      <x:c r="E17" s="12" t="s">
        <x:v>160</x:v>
      </x:c>
      <x:c r="F17" s="12" t="s">
        <x:v>195</x:v>
      </x:c>
      <x:c r="G17" s="13" t="s">
        <x:v>934</x:v>
      </x:c>
      <x:c r="H17" s="12" t="s">
        <x:v>127</x:v>
      </x:c>
      <x:c r="I17" s="12" t="s">
        <x:v>139</x:v>
      </x:c>
      <x:c r="J17" s="14" t="n">
        <x:v>46228</x:v>
      </x:c>
      <x:c r="K17" s="13" t="s">
        <x:v>935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881</x:v>
      </x:c>
      <x:c r="B18" s="12" t="s">
        <x:v>199</x:v>
      </x:c>
      <x:c r="C18" s="12" t="s">
        <x:v>918</x:v>
      </x:c>
      <x:c r="D18" s="13" t="s">
        <x:v>936</x:v>
      </x:c>
      <x:c r="E18" s="12" t="s">
        <x:v>160</x:v>
      </x:c>
      <x:c r="F18" s="12" t="s">
        <x:v>201</x:v>
      </x:c>
      <x:c r="G18" s="13" t="s">
        <x:v>937</x:v>
      </x:c>
      <x:c r="H18" s="12" t="s">
        <x:v>123</x:v>
      </x:c>
      <x:c r="I18" s="12" t="s">
        <x:v>139</x:v>
      </x:c>
      <x:c r="J18" s="14"/>
      <x:c r="K18" s="13" t="s">
        <x:v>825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886</x:v>
      </x:c>
      <x:c r="B19" s="12" t="s">
        <x:v>205</x:v>
      </x:c>
      <x:c r="C19" s="12" t="s">
        <x:v>918</x:v>
      </x:c>
      <x:c r="D19" s="13" t="s">
        <x:v>938</x:v>
      </x:c>
      <x:c r="E19" s="12" t="s">
        <x:v>160</x:v>
      </x:c>
      <x:c r="F19" s="12" t="s">
        <x:v>201</x:v>
      </x:c>
      <x:c r="G19" s="13" t="s">
        <x:v>939</x:v>
      </x:c>
      <x:c r="H19" s="12" t="s">
        <x:v>123</x:v>
      </x:c>
      <x:c r="I19" s="12" t="s">
        <x:v>139</x:v>
      </x:c>
      <x:c r="J19" s="14" t="n">
        <x:v>46227</x:v>
      </x:c>
      <x:c r="K19" s="13" t="s">
        <x:v>830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889</x:v>
      </x:c>
      <x:c r="B20" s="12" t="s">
        <x:v>687</x:v>
      </x:c>
      <x:c r="C20" s="12" t="s">
        <x:v>918</x:v>
      </x:c>
      <x:c r="D20" s="13" t="s">
        <x:v>940</x:v>
      </x:c>
      <x:c r="E20" s="12" t="s">
        <x:v>160</x:v>
      </x:c>
      <x:c r="F20" s="12" t="s">
        <x:v>185</x:v>
      </x:c>
      <x:c r="G20" s="13" t="s">
        <x:v>929</x:v>
      </x:c>
      <x:c r="H20" s="12" t="s">
        <x:v>125</x:v>
      </x:c>
      <x:c r="I20" s="12" t="s">
        <x:v>140</x:v>
      </x:c>
      <x:c r="J20" s="14" t="n">
        <x:v>46228</x:v>
      </x:c>
      <x:c r="K20" s="13" t="s">
        <x:v>836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892</x:v>
      </x:c>
      <x:c r="B21" s="12" t="s">
        <x:v>212</x:v>
      </x:c>
      <x:c r="C21" s="12" t="s">
        <x:v>918</x:v>
      </x:c>
      <x:c r="D21" s="13" t="s">
        <x:v>941</x:v>
      </x:c>
      <x:c r="E21" s="12" t="s">
        <x:v>160</x:v>
      </x:c>
      <x:c r="F21" s="12" t="s">
        <x:v>201</x:v>
      </x:c>
      <x:c r="G21" s="13" t="s">
        <x:v>937</x:v>
      </x:c>
      <x:c r="H21" s="12" t="s">
        <x:v>123</x:v>
      </x:c>
      <x:c r="I21" s="12" t="s">
        <x:v>139</x:v>
      </x:c>
      <x:c r="J21" s="14" t="n">
        <x:v>46227</x:v>
      </x:c>
      <x:c r="K21" s="13" t="s">
        <x:v>836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12" t="s">
        <x:v>895</x:v>
      </x:c>
      <x:c r="B22" s="12" t="s">
        <x:v>215</x:v>
      </x:c>
      <x:c r="C22" s="12" t="s">
        <x:v>40</x:v>
      </x:c>
      <x:c r="D22" s="13" t="s">
        <x:v>942</x:v>
      </x:c>
      <x:c r="E22" s="12" t="s">
        <x:v>160</x:v>
      </x:c>
      <x:c r="F22" s="12" t="s">
        <x:v>217</x:v>
      </x:c>
      <x:c r="G22" s="13" t="s">
        <x:v>943</x:v>
      </x:c>
      <x:c r="H22" s="12" t="s">
        <x:v>125</x:v>
      </x:c>
      <x:c r="I22" s="12" t="s">
        <x:v>140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898</x:v>
      </x:c>
      <x:c r="B23" s="12" t="s">
        <x:v>220</x:v>
      </x:c>
      <x:c r="C23" s="12" t="s">
        <x:v>40</x:v>
      </x:c>
      <x:c r="D23" s="13" t="s">
        <x:v>944</x:v>
      </x:c>
      <x:c r="E23" s="12" t="s">
        <x:v>160</x:v>
      </x:c>
      <x:c r="F23" s="12" t="s">
        <x:v>217</x:v>
      </x:c>
      <x:c r="G23" s="13" t="s">
        <x:v>945</x:v>
      </x:c>
      <x:c r="H23" s="12" t="s">
        <x:v>125</x:v>
      </x:c>
      <x:c r="I23" s="12" t="s">
        <x:v>140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902</x:v>
      </x:c>
      <x:c r="B24" s="12" t="s">
        <x:v>224</x:v>
      </x:c>
      <x:c r="C24" s="12" t="s">
        <x:v>918</x:v>
      </x:c>
      <x:c r="D24" s="13" t="s">
        <x:v>946</x:v>
      </x:c>
      <x:c r="E24" s="12" t="s">
        <x:v>226</x:v>
      </x:c>
      <x:c r="F24" s="12" t="s">
        <x:v>226</x:v>
      </x:c>
      <x:c r="G24" s="13" t="s">
        <x:v>227</x:v>
      </x:c>
      <x:c r="H24" s="12" t="s">
        <x:v>125</x:v>
      </x:c>
      <x:c r="I24" s="12" t="s">
        <x:v>140</x:v>
      </x:c>
      <x:c r="J24" s="14" t="n">
        <x:v>46228</x:v>
      </x:c>
      <x:c r="K24" s="13" t="s">
        <x:v>849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947</x:v>
      </x:c>
      <x:c r="B25" s="12" t="s">
        <x:v>229</x:v>
      </x:c>
      <x:c r="C25" s="12" t="s">
        <x:v>40</x:v>
      </x:c>
      <x:c r="D25" s="13" t="s">
        <x:v>948</x:v>
      </x:c>
      <x:c r="E25" s="12" t="s">
        <x:v>160</x:v>
      </x:c>
      <x:c r="F25" s="12" t="s">
        <x:v>160</x:v>
      </x:c>
      <x:c r="G25" s="13" t="s">
        <x:v>949</x:v>
      </x:c>
      <x:c r="H25" s="12" t="s">
        <x:v>123</x:v>
      </x:c>
      <x:c r="I25" s="12" t="s">
        <x:v>139</x:v>
      </x:c>
      <x:c r="J25" s="14" t="n">
        <x:v>46228</x:v>
      </x:c>
      <x:c r="K25" s="13" t="s">
        <x:v>849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f52ef8c1aae4bc7"/>
  </x:tableParts>
</x:worksheet>
</file>

<file path=xl/worksheets/sheet3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950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951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143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330</x:v>
      </x:c>
      <x:c r="B9" s="12" t="s">
        <x:v>157</x:v>
      </x:c>
      <x:c r="C9" s="12" t="s">
        <x:v>41</x:v>
      </x:c>
      <x:c r="D9" s="13" t="s">
        <x:v>952</x:v>
      </x:c>
      <x:c r="E9" s="12" t="s">
        <x:v>160</x:v>
      </x:c>
      <x:c r="F9" s="12" t="s">
        <x:v>161</x:v>
      </x:c>
      <x:c r="G9" s="13" t="s">
        <x:v>953</x:v>
      </x:c>
      <x:c r="H9" s="12" t="s">
        <x:v>125</x:v>
      </x:c>
      <x:c r="I9" s="12" t="s">
        <x:v>140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332</x:v>
      </x:c>
      <x:c r="B10" s="12" t="s">
        <x:v>164</x:v>
      </x:c>
      <x:c r="C10" s="12" t="s">
        <x:v>41</x:v>
      </x:c>
      <x:c r="D10" s="13" t="s">
        <x:v>954</x:v>
      </x:c>
      <x:c r="E10" s="12" t="s">
        <x:v>160</x:v>
      </x:c>
      <x:c r="F10" s="12" t="s">
        <x:v>160</x:v>
      </x:c>
      <x:c r="G10" s="13" t="s">
        <x:v>606</x:v>
      </x:c>
      <x:c r="H10" s="12" t="s">
        <x:v>125</x:v>
      </x:c>
      <x:c r="I10" s="12" t="s">
        <x:v>140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333</x:v>
      </x:c>
      <x:c r="B11" s="12" t="s">
        <x:v>168</x:v>
      </x:c>
      <x:c r="C11" s="12" t="s">
        <x:v>41</x:v>
      </x:c>
      <x:c r="D11" s="13" t="s">
        <x:v>955</x:v>
      </x:c>
      <x:c r="E11" s="12" t="s">
        <x:v>160</x:v>
      </x:c>
      <x:c r="F11" s="12" t="s">
        <x:v>170</x:v>
      </x:c>
      <x:c r="G11" s="13" t="s">
        <x:v>956</x:v>
      </x:c>
      <x:c r="H11" s="12" t="s">
        <x:v>125</x:v>
      </x:c>
      <x:c r="I11" s="12" t="s">
        <x:v>140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335</x:v>
      </x:c>
      <x:c r="B12" s="12" t="s">
        <x:v>173</x:v>
      </x:c>
      <x:c r="C12" s="12" t="s">
        <x:v>41</x:v>
      </x:c>
      <x:c r="D12" s="13" t="s">
        <x:v>957</x:v>
      </x:c>
      <x:c r="E12" s="12" t="s">
        <x:v>160</x:v>
      </x:c>
      <x:c r="F12" s="12" t="s">
        <x:v>175</x:v>
      </x:c>
      <x:c r="G12" s="13" t="s">
        <x:v>958</x:v>
      </x:c>
      <x:c r="H12" s="12" t="s">
        <x:v>125</x:v>
      </x:c>
      <x:c r="I12" s="12" t="s">
        <x:v>140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337</x:v>
      </x:c>
      <x:c r="B13" s="12" t="s">
        <x:v>178</x:v>
      </x:c>
      <x:c r="C13" s="12" t="s">
        <x:v>41</x:v>
      </x:c>
      <x:c r="D13" s="13" t="s">
        <x:v>959</x:v>
      </x:c>
      <x:c r="E13" s="12" t="s">
        <x:v>160</x:v>
      </x:c>
      <x:c r="F13" s="12" t="s">
        <x:v>180</x:v>
      </x:c>
      <x:c r="G13" s="13" t="s">
        <x:v>960</x:v>
      </x:c>
      <x:c r="H13" s="12" t="s">
        <x:v>125</x:v>
      </x:c>
      <x:c r="I13" s="12" t="s">
        <x:v>140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339</x:v>
      </x:c>
      <x:c r="B14" s="12" t="s">
        <x:v>183</x:v>
      </x:c>
      <x:c r="C14" s="12" t="s">
        <x:v>41</x:v>
      </x:c>
      <x:c r="D14" s="13" t="s">
        <x:v>961</x:v>
      </x:c>
      <x:c r="E14" s="12" t="s">
        <x:v>160</x:v>
      </x:c>
      <x:c r="F14" s="12" t="s">
        <x:v>185</x:v>
      </x:c>
      <x:c r="G14" s="13" t="s">
        <x:v>962</x:v>
      </x:c>
      <x:c r="H14" s="12" t="s">
        <x:v>125</x:v>
      </x:c>
      <x:c r="I14" s="12" t="s">
        <x:v>140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341</x:v>
      </x:c>
      <x:c r="B15" s="12" t="s">
        <x:v>188</x:v>
      </x:c>
      <x:c r="C15" s="12" t="s">
        <x:v>41</x:v>
      </x:c>
      <x:c r="D15" s="13" t="s">
        <x:v>963</x:v>
      </x:c>
      <x:c r="E15" s="12" t="s">
        <x:v>160</x:v>
      </x:c>
      <x:c r="F15" s="12" t="s">
        <x:v>190</x:v>
      </x:c>
      <x:c r="G15" s="13" t="s">
        <x:v>962</x:v>
      </x:c>
      <x:c r="H15" s="12" t="s">
        <x:v>125</x:v>
      </x:c>
      <x:c r="I15" s="12" t="s">
        <x:v>140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343</x:v>
      </x:c>
      <x:c r="B16" s="12" t="s">
        <x:v>193</x:v>
      </x:c>
      <x:c r="C16" s="12" t="s">
        <x:v>41</x:v>
      </x:c>
      <x:c r="D16" s="13" t="s">
        <x:v>964</x:v>
      </x:c>
      <x:c r="E16" s="12" t="s">
        <x:v>160</x:v>
      </x:c>
      <x:c r="F16" s="12" t="s">
        <x:v>195</x:v>
      </x:c>
      <x:c r="G16" s="13" t="s">
        <x:v>965</x:v>
      </x:c>
      <x:c r="H16" s="12" t="s">
        <x:v>127</x:v>
      </x:c>
      <x:c r="I16" s="12" t="s">
        <x:v>139</x:v>
      </x:c>
      <x:c r="J16" s="14" t="n">
        <x:v>46228</x:v>
      </x:c>
      <x:c r="K16" s="13" t="s">
        <x:v>966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345</x:v>
      </x:c>
      <x:c r="B17" s="12" t="s">
        <x:v>199</x:v>
      </x:c>
      <x:c r="C17" s="12" t="s">
        <x:v>41</x:v>
      </x:c>
      <x:c r="D17" s="13" t="s">
        <x:v>967</x:v>
      </x:c>
      <x:c r="E17" s="12" t="s">
        <x:v>160</x:v>
      </x:c>
      <x:c r="F17" s="12" t="s">
        <x:v>201</x:v>
      </x:c>
      <x:c r="G17" s="13" t="s">
        <x:v>968</x:v>
      </x:c>
      <x:c r="H17" s="12" t="s">
        <x:v>123</x:v>
      </x:c>
      <x:c r="I17" s="12" t="s">
        <x:v>139</x:v>
      </x:c>
      <x:c r="J17" s="14"/>
      <x:c r="K17" s="13" t="s">
        <x:v>969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347</x:v>
      </x:c>
      <x:c r="B18" s="12" t="s">
        <x:v>205</x:v>
      </x:c>
      <x:c r="C18" s="12" t="s">
        <x:v>41</x:v>
      </x:c>
      <x:c r="D18" s="13" t="s">
        <x:v>970</x:v>
      </x:c>
      <x:c r="E18" s="12" t="s">
        <x:v>160</x:v>
      </x:c>
      <x:c r="F18" s="12" t="s">
        <x:v>201</x:v>
      </x:c>
      <x:c r="G18" s="13" t="s">
        <x:v>971</x:v>
      </x:c>
      <x:c r="H18" s="12" t="s">
        <x:v>123</x:v>
      </x:c>
      <x:c r="I18" s="12" t="s">
        <x:v>139</x:v>
      </x:c>
      <x:c r="J18" s="14"/>
      <x:c r="K18" s="13" t="s">
        <x:v>830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348</x:v>
      </x:c>
      <x:c r="B19" s="12" t="s">
        <x:v>687</x:v>
      </x:c>
      <x:c r="C19" s="12" t="s">
        <x:v>41</x:v>
      </x:c>
      <x:c r="D19" s="13" t="s">
        <x:v>972</x:v>
      </x:c>
      <x:c r="E19" s="12" t="s">
        <x:v>160</x:v>
      </x:c>
      <x:c r="F19" s="12" t="s">
        <x:v>185</x:v>
      </x:c>
      <x:c r="G19" s="13" t="s">
        <x:v>962</x:v>
      </x:c>
      <x:c r="H19" s="12" t="s">
        <x:v>125</x:v>
      </x:c>
      <x:c r="I19" s="12" t="s">
        <x:v>140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350</x:v>
      </x:c>
      <x:c r="B20" s="12" t="s">
        <x:v>212</x:v>
      </x:c>
      <x:c r="C20" s="12" t="s">
        <x:v>41</x:v>
      </x:c>
      <x:c r="D20" s="13" t="s">
        <x:v>973</x:v>
      </x:c>
      <x:c r="E20" s="12" t="s">
        <x:v>160</x:v>
      </x:c>
      <x:c r="F20" s="12" t="s">
        <x:v>201</x:v>
      </x:c>
      <x:c r="G20" s="13" t="s">
        <x:v>968</x:v>
      </x:c>
      <x:c r="H20" s="12" t="s">
        <x:v>123</x:v>
      </x:c>
      <x:c r="I20" s="12" t="s">
        <x:v>139</x:v>
      </x:c>
      <x:c r="J20" s="14"/>
      <x:c r="K20" s="13" t="s">
        <x:v>974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351</x:v>
      </x:c>
      <x:c r="B21" s="12" t="s">
        <x:v>215</x:v>
      </x:c>
      <x:c r="C21" s="12" t="s">
        <x:v>41</x:v>
      </x:c>
      <x:c r="D21" s="13" t="s">
        <x:v>975</x:v>
      </x:c>
      <x:c r="E21" s="12" t="s">
        <x:v>160</x:v>
      </x:c>
      <x:c r="F21" s="12" t="s">
        <x:v>217</x:v>
      </x:c>
      <x:c r="G21" s="13" t="s">
        <x:v>976</x:v>
      </x:c>
      <x:c r="H21" s="12" t="s">
        <x:v>125</x:v>
      </x:c>
      <x:c r="I21" s="12" t="s">
        <x:v>140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353</x:v>
      </x:c>
      <x:c r="B22" s="12" t="s">
        <x:v>220</x:v>
      </x:c>
      <x:c r="C22" s="12" t="s">
        <x:v>41</x:v>
      </x:c>
      <x:c r="D22" s="13" t="s">
        <x:v>977</x:v>
      </x:c>
      <x:c r="E22" s="12" t="s">
        <x:v>160</x:v>
      </x:c>
      <x:c r="F22" s="12" t="s">
        <x:v>217</x:v>
      </x:c>
      <x:c r="G22" s="13" t="s">
        <x:v>978</x:v>
      </x:c>
      <x:c r="H22" s="12" t="s">
        <x:v>125</x:v>
      </x:c>
      <x:c r="I22" s="12" t="s">
        <x:v>140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355</x:v>
      </x:c>
      <x:c r="B23" s="12" t="s">
        <x:v>224</x:v>
      </x:c>
      <x:c r="C23" s="12" t="s">
        <x:v>41</x:v>
      </x:c>
      <x:c r="D23" s="13" t="s">
        <x:v>979</x:v>
      </x:c>
      <x:c r="E23" s="12" t="s">
        <x:v>226</x:v>
      </x:c>
      <x:c r="F23" s="12" t="s">
        <x:v>226</x:v>
      </x:c>
      <x:c r="G23" s="13" t="s">
        <x:v>227</x:v>
      </x:c>
      <x:c r="H23" s="12" t="s">
        <x:v>125</x:v>
      </x:c>
      <x:c r="I23" s="12" t="s">
        <x:v>140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356</x:v>
      </x:c>
      <x:c r="B24" s="12" t="s">
        <x:v>646</x:v>
      </x:c>
      <x:c r="C24" s="12" t="s">
        <x:v>41</x:v>
      </x:c>
      <x:c r="D24" s="13" t="s">
        <x:v>980</x:v>
      </x:c>
      <x:c r="E24" s="12" t="s">
        <x:v>160</x:v>
      </x:c>
      <x:c r="F24" s="12" t="s">
        <x:v>160</x:v>
      </x:c>
      <x:c r="G24" s="13" t="s">
        <x:v>981</x:v>
      </x:c>
      <x:c r="H24" s="12" t="s">
        <x:v>125</x:v>
      </x:c>
      <x:c r="I24" s="12" t="s">
        <x:v>140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982</x:v>
      </x:c>
      <x:c r="B25" s="12" t="s">
        <x:v>229</x:v>
      </x:c>
      <x:c r="C25" s="12" t="s">
        <x:v>41</x:v>
      </x:c>
      <x:c r="D25" s="13" t="s">
        <x:v>983</x:v>
      </x:c>
      <x:c r="E25" s="12" t="s">
        <x:v>160</x:v>
      </x:c>
      <x:c r="F25" s="12" t="s">
        <x:v>160</x:v>
      </x:c>
      <x:c r="G25" s="13" t="s">
        <x:v>984</x:v>
      </x:c>
      <x:c r="H25" s="12" t="s">
        <x:v>123</x:v>
      </x:c>
      <x:c r="I25" s="12" t="s">
        <x:v>139</x:v>
      </x:c>
      <x:c r="J25" s="14"/>
      <x:c r="K25" s="13" t="s">
        <x:v>849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985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986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143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796</x:v>
      </x:c>
      <x:c r="B9" s="12" t="s">
        <x:v>157</x:v>
      </x:c>
      <x:c r="C9" s="12" t="s">
        <x:v>42</x:v>
      </x:c>
      <x:c r="D9" s="13" t="s">
        <x:v>987</x:v>
      </x:c>
      <x:c r="E9" s="12" t="s">
        <x:v>160</x:v>
      </x:c>
      <x:c r="F9" s="12" t="s">
        <x:v>161</x:v>
      </x:c>
      <x:c r="G9" s="13" t="s">
        <x:v>988</x:v>
      </x:c>
      <x:c r="H9" s="12" t="s">
        <x:v>125</x:v>
      </x:c>
      <x:c r="I9" s="12" t="s">
        <x:v>140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799</x:v>
      </x:c>
      <x:c r="B10" s="12" t="s">
        <x:v>164</x:v>
      </x:c>
      <x:c r="C10" s="12" t="s">
        <x:v>42</x:v>
      </x:c>
      <x:c r="D10" s="13" t="s">
        <x:v>989</x:v>
      </x:c>
      <x:c r="E10" s="12" t="s">
        <x:v>160</x:v>
      </x:c>
      <x:c r="F10" s="12" t="s">
        <x:v>160</x:v>
      </x:c>
      <x:c r="G10" s="13" t="s">
        <x:v>606</x:v>
      </x:c>
      <x:c r="H10" s="12" t="s">
        <x:v>125</x:v>
      </x:c>
      <x:c r="I10" s="12" t="s">
        <x:v>140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802</x:v>
      </x:c>
      <x:c r="B11" s="12" t="s">
        <x:v>168</x:v>
      </x:c>
      <x:c r="C11" s="12" t="s">
        <x:v>42</x:v>
      </x:c>
      <x:c r="D11" s="13" t="s">
        <x:v>990</x:v>
      </x:c>
      <x:c r="E11" s="12" t="s">
        <x:v>160</x:v>
      </x:c>
      <x:c r="F11" s="12" t="s">
        <x:v>170</x:v>
      </x:c>
      <x:c r="G11" s="13" t="s">
        <x:v>991</x:v>
      </x:c>
      <x:c r="H11" s="12" t="s">
        <x:v>125</x:v>
      </x:c>
      <x:c r="I11" s="12" t="s">
        <x:v>140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806</x:v>
      </x:c>
      <x:c r="B12" s="12" t="s">
        <x:v>173</x:v>
      </x:c>
      <x:c r="C12" s="12" t="s">
        <x:v>42</x:v>
      </x:c>
      <x:c r="D12" s="13" t="s">
        <x:v>992</x:v>
      </x:c>
      <x:c r="E12" s="12" t="s">
        <x:v>160</x:v>
      </x:c>
      <x:c r="F12" s="12" t="s">
        <x:v>175</x:v>
      </x:c>
      <x:c r="G12" s="13" t="s">
        <x:v>993</x:v>
      </x:c>
      <x:c r="H12" s="12" t="s">
        <x:v>125</x:v>
      </x:c>
      <x:c r="I12" s="12" t="s">
        <x:v>140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810</x:v>
      </x:c>
      <x:c r="B13" s="12" t="s">
        <x:v>178</x:v>
      </x:c>
      <x:c r="C13" s="12" t="s">
        <x:v>42</x:v>
      </x:c>
      <x:c r="D13" s="13" t="s">
        <x:v>994</x:v>
      </x:c>
      <x:c r="E13" s="12" t="s">
        <x:v>160</x:v>
      </x:c>
      <x:c r="F13" s="12" t="s">
        <x:v>180</x:v>
      </x:c>
      <x:c r="G13" s="13" t="s">
        <x:v>995</x:v>
      </x:c>
      <x:c r="H13" s="12" t="s">
        <x:v>125</x:v>
      </x:c>
      <x:c r="I13" s="12" t="s">
        <x:v>140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813</x:v>
      </x:c>
      <x:c r="B14" s="12" t="s">
        <x:v>183</x:v>
      </x:c>
      <x:c r="C14" s="12" t="s">
        <x:v>42</x:v>
      </x:c>
      <x:c r="D14" s="13" t="s">
        <x:v>996</x:v>
      </x:c>
      <x:c r="E14" s="12" t="s">
        <x:v>160</x:v>
      </x:c>
      <x:c r="F14" s="12" t="s">
        <x:v>185</x:v>
      </x:c>
      <x:c r="G14" s="13" t="s">
        <x:v>997</x:v>
      </x:c>
      <x:c r="H14" s="12" t="s">
        <x:v>125</x:v>
      </x:c>
      <x:c r="I14" s="12" t="s">
        <x:v>140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816</x:v>
      </x:c>
      <x:c r="B15" s="12" t="s">
        <x:v>188</x:v>
      </x:c>
      <x:c r="C15" s="12" t="s">
        <x:v>42</x:v>
      </x:c>
      <x:c r="D15" s="13" t="s">
        <x:v>998</x:v>
      </x:c>
      <x:c r="E15" s="12" t="s">
        <x:v>160</x:v>
      </x:c>
      <x:c r="F15" s="12" t="s">
        <x:v>190</x:v>
      </x:c>
      <x:c r="G15" s="13" t="s">
        <x:v>997</x:v>
      </x:c>
      <x:c r="H15" s="12" t="s">
        <x:v>125</x:v>
      </x:c>
      <x:c r="I15" s="12" t="s">
        <x:v>140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818</x:v>
      </x:c>
      <x:c r="B16" s="12" t="s">
        <x:v>193</x:v>
      </x:c>
      <x:c r="C16" s="12" t="s">
        <x:v>42</x:v>
      </x:c>
      <x:c r="D16" s="13" t="s">
        <x:v>999</x:v>
      </x:c>
      <x:c r="E16" s="12" t="s">
        <x:v>160</x:v>
      </x:c>
      <x:c r="F16" s="12" t="s">
        <x:v>195</x:v>
      </x:c>
      <x:c r="G16" s="13" t="s">
        <x:v>1000</x:v>
      </x:c>
      <x:c r="H16" s="12" t="s">
        <x:v>127</x:v>
      </x:c>
      <x:c r="I16" s="12" t="s">
        <x:v>139</x:v>
      </x:c>
      <x:c r="J16" s="14" t="n">
        <x:v>46228</x:v>
      </x:c>
      <x:c r="K16" s="13" t="s">
        <x:v>1001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822</x:v>
      </x:c>
      <x:c r="B17" s="12" t="s">
        <x:v>199</x:v>
      </x:c>
      <x:c r="C17" s="12" t="s">
        <x:v>42</x:v>
      </x:c>
      <x:c r="D17" s="13" t="s">
        <x:v>1002</x:v>
      </x:c>
      <x:c r="E17" s="12" t="s">
        <x:v>160</x:v>
      </x:c>
      <x:c r="F17" s="12" t="s">
        <x:v>201</x:v>
      </x:c>
      <x:c r="G17" s="13" t="s">
        <x:v>1003</x:v>
      </x:c>
      <x:c r="H17" s="12" t="s">
        <x:v>123</x:v>
      </x:c>
      <x:c r="I17" s="12" t="s">
        <x:v>139</x:v>
      </x:c>
      <x:c r="J17" s="14"/>
      <x:c r="K17" s="13" t="s">
        <x:v>969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826</x:v>
      </x:c>
      <x:c r="B18" s="12" t="s">
        <x:v>205</x:v>
      </x:c>
      <x:c r="C18" s="12" t="s">
        <x:v>42</x:v>
      </x:c>
      <x:c r="D18" s="13" t="s">
        <x:v>1004</x:v>
      </x:c>
      <x:c r="E18" s="12" t="s">
        <x:v>160</x:v>
      </x:c>
      <x:c r="F18" s="12" t="s">
        <x:v>201</x:v>
      </x:c>
      <x:c r="G18" s="13" t="s">
        <x:v>1005</x:v>
      </x:c>
      <x:c r="H18" s="12" t="s">
        <x:v>123</x:v>
      </x:c>
      <x:c r="I18" s="12" t="s">
        <x:v>139</x:v>
      </x:c>
      <x:c r="J18" s="14"/>
      <x:c r="K18" s="13" t="s">
        <x:v>830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831</x:v>
      </x:c>
      <x:c r="B19" s="12" t="s">
        <x:v>687</x:v>
      </x:c>
      <x:c r="C19" s="12" t="s">
        <x:v>42</x:v>
      </x:c>
      <x:c r="D19" s="13" t="s">
        <x:v>1006</x:v>
      </x:c>
      <x:c r="E19" s="12" t="s">
        <x:v>160</x:v>
      </x:c>
      <x:c r="F19" s="12" t="s">
        <x:v>185</x:v>
      </x:c>
      <x:c r="G19" s="13" t="s">
        <x:v>997</x:v>
      </x:c>
      <x:c r="H19" s="12" t="s">
        <x:v>125</x:v>
      </x:c>
      <x:c r="I19" s="12" t="s">
        <x:v>140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834</x:v>
      </x:c>
      <x:c r="B20" s="12" t="s">
        <x:v>212</x:v>
      </x:c>
      <x:c r="C20" s="12" t="s">
        <x:v>42</x:v>
      </x:c>
      <x:c r="D20" s="13" t="s">
        <x:v>1007</x:v>
      </x:c>
      <x:c r="E20" s="12" t="s">
        <x:v>160</x:v>
      </x:c>
      <x:c r="F20" s="12" t="s">
        <x:v>201</x:v>
      </x:c>
      <x:c r="G20" s="13" t="s">
        <x:v>1003</x:v>
      </x:c>
      <x:c r="H20" s="12" t="s">
        <x:v>123</x:v>
      </x:c>
      <x:c r="I20" s="12" t="s">
        <x:v>139</x:v>
      </x:c>
      <x:c r="J20" s="14"/>
      <x:c r="K20" s="13" t="s">
        <x:v>974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837</x:v>
      </x:c>
      <x:c r="B21" s="12" t="s">
        <x:v>215</x:v>
      </x:c>
      <x:c r="C21" s="12" t="s">
        <x:v>42</x:v>
      </x:c>
      <x:c r="D21" s="13" t="s">
        <x:v>1008</x:v>
      </x:c>
      <x:c r="E21" s="12" t="s">
        <x:v>160</x:v>
      </x:c>
      <x:c r="F21" s="12" t="s">
        <x:v>217</x:v>
      </x:c>
      <x:c r="G21" s="13" t="s">
        <x:v>1009</x:v>
      </x:c>
      <x:c r="H21" s="12" t="s">
        <x:v>125</x:v>
      </x:c>
      <x:c r="I21" s="12" t="s">
        <x:v>140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840</x:v>
      </x:c>
      <x:c r="B22" s="12" t="s">
        <x:v>220</x:v>
      </x:c>
      <x:c r="C22" s="12" t="s">
        <x:v>42</x:v>
      </x:c>
      <x:c r="D22" s="13" t="s">
        <x:v>1010</x:v>
      </x:c>
      <x:c r="E22" s="12" t="s">
        <x:v>160</x:v>
      </x:c>
      <x:c r="F22" s="12" t="s">
        <x:v>217</x:v>
      </x:c>
      <x:c r="G22" s="13" t="s">
        <x:v>1011</x:v>
      </x:c>
      <x:c r="H22" s="12" t="s">
        <x:v>125</x:v>
      </x:c>
      <x:c r="I22" s="12" t="s">
        <x:v>140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843</x:v>
      </x:c>
      <x:c r="B23" s="12" t="s">
        <x:v>224</x:v>
      </x:c>
      <x:c r="C23" s="12" t="s">
        <x:v>42</x:v>
      </x:c>
      <x:c r="D23" s="13" t="s">
        <x:v>1012</x:v>
      </x:c>
      <x:c r="E23" s="12" t="s">
        <x:v>226</x:v>
      </x:c>
      <x:c r="F23" s="12" t="s">
        <x:v>226</x:v>
      </x:c>
      <x:c r="G23" s="13" t="s">
        <x:v>227</x:v>
      </x:c>
      <x:c r="H23" s="12" t="s">
        <x:v>125</x:v>
      </x:c>
      <x:c r="I23" s="12" t="s">
        <x:v>140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846</x:v>
      </x:c>
      <x:c r="B24" s="12" t="s">
        <x:v>646</x:v>
      </x:c>
      <x:c r="C24" s="12" t="s">
        <x:v>42</x:v>
      </x:c>
      <x:c r="D24" s="13" t="s">
        <x:v>1013</x:v>
      </x:c>
      <x:c r="E24" s="12" t="s">
        <x:v>160</x:v>
      </x:c>
      <x:c r="F24" s="12" t="s">
        <x:v>160</x:v>
      </x:c>
      <x:c r="G24" s="13" t="s">
        <x:v>1014</x:v>
      </x:c>
      <x:c r="H24" s="12" t="s">
        <x:v>125</x:v>
      </x:c>
      <x:c r="I24" s="12" t="s">
        <x:v>140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1015</x:v>
      </x:c>
      <x:c r="B25" s="12" t="s">
        <x:v>229</x:v>
      </x:c>
      <x:c r="C25" s="12" t="s">
        <x:v>42</x:v>
      </x:c>
      <x:c r="D25" s="13" t="s">
        <x:v>1016</x:v>
      </x:c>
      <x:c r="E25" s="12" t="s">
        <x:v>160</x:v>
      </x:c>
      <x:c r="F25" s="12" t="s">
        <x:v>160</x:v>
      </x:c>
      <x:c r="G25" s="13" t="s">
        <x:v>1017</x:v>
      </x:c>
      <x:c r="H25" s="12" t="s">
        <x:v>123</x:v>
      </x:c>
      <x:c r="I25" s="12" t="s">
        <x:v>139</x:v>
      </x:c>
      <x:c r="J25" s="14"/>
      <x:c r="K25" s="13" t="s">
        <x:v>849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1018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1019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143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399</x:v>
      </x:c>
      <x:c r="B9" s="12" t="s">
        <x:v>157</x:v>
      </x:c>
      <x:c r="C9" s="12" t="s">
        <x:v>43</x:v>
      </x:c>
      <x:c r="D9" s="13" t="s">
        <x:v>1020</x:v>
      </x:c>
      <x:c r="E9" s="12" t="s">
        <x:v>160</x:v>
      </x:c>
      <x:c r="F9" s="12" t="s">
        <x:v>161</x:v>
      </x:c>
      <x:c r="G9" s="13" t="s">
        <x:v>1021</x:v>
      </x:c>
      <x:c r="H9" s="12" t="s">
        <x:v>125</x:v>
      </x:c>
      <x:c r="I9" s="12" t="s">
        <x:v>140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401</x:v>
      </x:c>
      <x:c r="B10" s="12" t="s">
        <x:v>164</x:v>
      </x:c>
      <x:c r="C10" s="12" t="s">
        <x:v>43</x:v>
      </x:c>
      <x:c r="D10" s="13" t="s">
        <x:v>1022</x:v>
      </x:c>
      <x:c r="E10" s="12" t="s">
        <x:v>160</x:v>
      </x:c>
      <x:c r="F10" s="12" t="s">
        <x:v>160</x:v>
      </x:c>
      <x:c r="G10" s="13" t="s">
        <x:v>606</x:v>
      </x:c>
      <x:c r="H10" s="12" t="s">
        <x:v>125</x:v>
      </x:c>
      <x:c r="I10" s="12" t="s">
        <x:v>140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402</x:v>
      </x:c>
      <x:c r="B11" s="12" t="s">
        <x:v>168</x:v>
      </x:c>
      <x:c r="C11" s="12" t="s">
        <x:v>43</x:v>
      </x:c>
      <x:c r="D11" s="13" t="s">
        <x:v>1023</x:v>
      </x:c>
      <x:c r="E11" s="12" t="s">
        <x:v>160</x:v>
      </x:c>
      <x:c r="F11" s="12" t="s">
        <x:v>170</x:v>
      </x:c>
      <x:c r="G11" s="13" t="s">
        <x:v>1024</x:v>
      </x:c>
      <x:c r="H11" s="12" t="s">
        <x:v>125</x:v>
      </x:c>
      <x:c r="I11" s="12" t="s">
        <x:v>140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404</x:v>
      </x:c>
      <x:c r="B12" s="12" t="s">
        <x:v>173</x:v>
      </x:c>
      <x:c r="C12" s="12" t="s">
        <x:v>43</x:v>
      </x:c>
      <x:c r="D12" s="13" t="s">
        <x:v>1025</x:v>
      </x:c>
      <x:c r="E12" s="12" t="s">
        <x:v>160</x:v>
      </x:c>
      <x:c r="F12" s="12" t="s">
        <x:v>175</x:v>
      </x:c>
      <x:c r="G12" s="13" t="s">
        <x:v>1026</x:v>
      </x:c>
      <x:c r="H12" s="12" t="s">
        <x:v>125</x:v>
      </x:c>
      <x:c r="I12" s="12" t="s">
        <x:v>140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406</x:v>
      </x:c>
      <x:c r="B13" s="12" t="s">
        <x:v>178</x:v>
      </x:c>
      <x:c r="C13" s="12" t="s">
        <x:v>43</x:v>
      </x:c>
      <x:c r="D13" s="13" t="s">
        <x:v>1027</x:v>
      </x:c>
      <x:c r="E13" s="12" t="s">
        <x:v>160</x:v>
      </x:c>
      <x:c r="F13" s="12" t="s">
        <x:v>180</x:v>
      </x:c>
      <x:c r="G13" s="13" t="s">
        <x:v>1028</x:v>
      </x:c>
      <x:c r="H13" s="12" t="s">
        <x:v>125</x:v>
      </x:c>
      <x:c r="I13" s="12" t="s">
        <x:v>140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408</x:v>
      </x:c>
      <x:c r="B14" s="12" t="s">
        <x:v>183</x:v>
      </x:c>
      <x:c r="C14" s="12" t="s">
        <x:v>43</x:v>
      </x:c>
      <x:c r="D14" s="13" t="s">
        <x:v>1029</x:v>
      </x:c>
      <x:c r="E14" s="12" t="s">
        <x:v>160</x:v>
      </x:c>
      <x:c r="F14" s="12" t="s">
        <x:v>185</x:v>
      </x:c>
      <x:c r="G14" s="13" t="s">
        <x:v>1030</x:v>
      </x:c>
      <x:c r="H14" s="12" t="s">
        <x:v>125</x:v>
      </x:c>
      <x:c r="I14" s="12" t="s">
        <x:v>140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410</x:v>
      </x:c>
      <x:c r="B15" s="12" t="s">
        <x:v>188</x:v>
      </x:c>
      <x:c r="C15" s="12" t="s">
        <x:v>43</x:v>
      </x:c>
      <x:c r="D15" s="13" t="s">
        <x:v>1031</x:v>
      </x:c>
      <x:c r="E15" s="12" t="s">
        <x:v>160</x:v>
      </x:c>
      <x:c r="F15" s="12" t="s">
        <x:v>190</x:v>
      </x:c>
      <x:c r="G15" s="13" t="s">
        <x:v>1030</x:v>
      </x:c>
      <x:c r="H15" s="12" t="s">
        <x:v>125</x:v>
      </x:c>
      <x:c r="I15" s="12" t="s">
        <x:v>140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412</x:v>
      </x:c>
      <x:c r="B16" s="12" t="s">
        <x:v>193</x:v>
      </x:c>
      <x:c r="C16" s="12" t="s">
        <x:v>43</x:v>
      </x:c>
      <x:c r="D16" s="13" t="s">
        <x:v>1032</x:v>
      </x:c>
      <x:c r="E16" s="12" t="s">
        <x:v>160</x:v>
      </x:c>
      <x:c r="F16" s="12" t="s">
        <x:v>195</x:v>
      </x:c>
      <x:c r="G16" s="13" t="s">
        <x:v>1033</x:v>
      </x:c>
      <x:c r="H16" s="12" t="s">
        <x:v>127</x:v>
      </x:c>
      <x:c r="I16" s="12" t="s">
        <x:v>139</x:v>
      </x:c>
      <x:c r="J16" s="14" t="n">
        <x:v>46228</x:v>
      </x:c>
      <x:c r="K16" s="13" t="s">
        <x:v>1034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414</x:v>
      </x:c>
      <x:c r="B17" s="12" t="s">
        <x:v>199</x:v>
      </x:c>
      <x:c r="C17" s="12" t="s">
        <x:v>43</x:v>
      </x:c>
      <x:c r="D17" s="13" t="s">
        <x:v>1035</x:v>
      </x:c>
      <x:c r="E17" s="12" t="s">
        <x:v>160</x:v>
      </x:c>
      <x:c r="F17" s="12" t="s">
        <x:v>201</x:v>
      </x:c>
      <x:c r="G17" s="13" t="s">
        <x:v>1036</x:v>
      </x:c>
      <x:c r="H17" s="12" t="s">
        <x:v>123</x:v>
      </x:c>
      <x:c r="I17" s="12" t="s">
        <x:v>139</x:v>
      </x:c>
      <x:c r="J17" s="14"/>
      <x:c r="K17" s="13" t="s">
        <x:v>969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416</x:v>
      </x:c>
      <x:c r="B18" s="12" t="s">
        <x:v>205</x:v>
      </x:c>
      <x:c r="C18" s="12" t="s">
        <x:v>43</x:v>
      </x:c>
      <x:c r="D18" s="13" t="s">
        <x:v>1037</x:v>
      </x:c>
      <x:c r="E18" s="12" t="s">
        <x:v>160</x:v>
      </x:c>
      <x:c r="F18" s="12" t="s">
        <x:v>201</x:v>
      </x:c>
      <x:c r="G18" s="13" t="s">
        <x:v>1038</x:v>
      </x:c>
      <x:c r="H18" s="12" t="s">
        <x:v>123</x:v>
      </x:c>
      <x:c r="I18" s="12" t="s">
        <x:v>139</x:v>
      </x:c>
      <x:c r="J18" s="14"/>
      <x:c r="K18" s="13" t="s">
        <x:v>830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417</x:v>
      </x:c>
      <x:c r="B19" s="12" t="s">
        <x:v>687</x:v>
      </x:c>
      <x:c r="C19" s="12" t="s">
        <x:v>43</x:v>
      </x:c>
      <x:c r="D19" s="13" t="s">
        <x:v>1039</x:v>
      </x:c>
      <x:c r="E19" s="12" t="s">
        <x:v>160</x:v>
      </x:c>
      <x:c r="F19" s="12" t="s">
        <x:v>185</x:v>
      </x:c>
      <x:c r="G19" s="13" t="s">
        <x:v>1030</x:v>
      </x:c>
      <x:c r="H19" s="12" t="s">
        <x:v>125</x:v>
      </x:c>
      <x:c r="I19" s="12" t="s">
        <x:v>140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419</x:v>
      </x:c>
      <x:c r="B20" s="12" t="s">
        <x:v>212</x:v>
      </x:c>
      <x:c r="C20" s="12" t="s">
        <x:v>43</x:v>
      </x:c>
      <x:c r="D20" s="13" t="s">
        <x:v>1040</x:v>
      </x:c>
      <x:c r="E20" s="12" t="s">
        <x:v>160</x:v>
      </x:c>
      <x:c r="F20" s="12" t="s">
        <x:v>201</x:v>
      </x:c>
      <x:c r="G20" s="13" t="s">
        <x:v>1036</x:v>
      </x:c>
      <x:c r="H20" s="12" t="s">
        <x:v>123</x:v>
      </x:c>
      <x:c r="I20" s="12" t="s">
        <x:v>139</x:v>
      </x:c>
      <x:c r="J20" s="14"/>
      <x:c r="K20" s="13" t="s">
        <x:v>974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420</x:v>
      </x:c>
      <x:c r="B21" s="12" t="s">
        <x:v>215</x:v>
      </x:c>
      <x:c r="C21" s="12" t="s">
        <x:v>43</x:v>
      </x:c>
      <x:c r="D21" s="13" t="s">
        <x:v>1041</x:v>
      </x:c>
      <x:c r="E21" s="12" t="s">
        <x:v>160</x:v>
      </x:c>
      <x:c r="F21" s="12" t="s">
        <x:v>217</x:v>
      </x:c>
      <x:c r="G21" s="13" t="s">
        <x:v>1042</x:v>
      </x:c>
      <x:c r="H21" s="12" t="s">
        <x:v>125</x:v>
      </x:c>
      <x:c r="I21" s="12" t="s">
        <x:v>140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422</x:v>
      </x:c>
      <x:c r="B22" s="12" t="s">
        <x:v>220</x:v>
      </x:c>
      <x:c r="C22" s="12" t="s">
        <x:v>43</x:v>
      </x:c>
      <x:c r="D22" s="13" t="s">
        <x:v>1043</x:v>
      </x:c>
      <x:c r="E22" s="12" t="s">
        <x:v>160</x:v>
      </x:c>
      <x:c r="F22" s="12" t="s">
        <x:v>217</x:v>
      </x:c>
      <x:c r="G22" s="13" t="s">
        <x:v>1044</x:v>
      </x:c>
      <x:c r="H22" s="12" t="s">
        <x:v>125</x:v>
      </x:c>
      <x:c r="I22" s="12" t="s">
        <x:v>140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424</x:v>
      </x:c>
      <x:c r="B23" s="12" t="s">
        <x:v>224</x:v>
      </x:c>
      <x:c r="C23" s="12" t="s">
        <x:v>43</x:v>
      </x:c>
      <x:c r="D23" s="13" t="s">
        <x:v>1045</x:v>
      </x:c>
      <x:c r="E23" s="12" t="s">
        <x:v>226</x:v>
      </x:c>
      <x:c r="F23" s="12" t="s">
        <x:v>226</x:v>
      </x:c>
      <x:c r="G23" s="13" t="s">
        <x:v>227</x:v>
      </x:c>
      <x:c r="H23" s="12" t="s">
        <x:v>125</x:v>
      </x:c>
      <x:c r="I23" s="12" t="s">
        <x:v>140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425</x:v>
      </x:c>
      <x:c r="B24" s="12" t="s">
        <x:v>646</x:v>
      </x:c>
      <x:c r="C24" s="12" t="s">
        <x:v>43</x:v>
      </x:c>
      <x:c r="D24" s="13" t="s">
        <x:v>1046</x:v>
      </x:c>
      <x:c r="E24" s="12" t="s">
        <x:v>160</x:v>
      </x:c>
      <x:c r="F24" s="12" t="s">
        <x:v>160</x:v>
      </x:c>
      <x:c r="G24" s="13" t="s">
        <x:v>1047</x:v>
      </x:c>
      <x:c r="H24" s="12" t="s">
        <x:v>125</x:v>
      </x:c>
      <x:c r="I24" s="12" t="s">
        <x:v>140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1048</x:v>
      </x:c>
      <x:c r="B25" s="12" t="s">
        <x:v>229</x:v>
      </x:c>
      <x:c r="C25" s="12" t="s">
        <x:v>43</x:v>
      </x:c>
      <x:c r="D25" s="13" t="s">
        <x:v>1049</x:v>
      </x:c>
      <x:c r="E25" s="12" t="s">
        <x:v>160</x:v>
      </x:c>
      <x:c r="F25" s="12" t="s">
        <x:v>160</x:v>
      </x:c>
      <x:c r="G25" s="13" t="s">
        <x:v>1050</x:v>
      </x:c>
      <x:c r="H25" s="12" t="s">
        <x:v>123</x:v>
      </x:c>
      <x:c r="I25" s="12" t="s">
        <x:v>139</x:v>
      </x:c>
      <x:c r="J25" s="14"/>
      <x:c r="K25" s="13" t="s">
        <x:v>849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1051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1052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143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1053</x:v>
      </x:c>
      <x:c r="B9" s="12" t="s">
        <x:v>157</x:v>
      </x:c>
      <x:c r="C9" s="12" t="s">
        <x:v>44</x:v>
      </x:c>
      <x:c r="D9" s="13" t="s">
        <x:v>1054</x:v>
      </x:c>
      <x:c r="E9" s="12" t="s">
        <x:v>160</x:v>
      </x:c>
      <x:c r="F9" s="12" t="s">
        <x:v>161</x:v>
      </x:c>
      <x:c r="G9" s="13" t="s">
        <x:v>1055</x:v>
      </x:c>
      <x:c r="H9" s="12" t="s">
        <x:v>125</x:v>
      </x:c>
      <x:c r="I9" s="12" t="s">
        <x:v>140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1056</x:v>
      </x:c>
      <x:c r="B10" s="12" t="s">
        <x:v>164</x:v>
      </x:c>
      <x:c r="C10" s="12" t="s">
        <x:v>44</x:v>
      </x:c>
      <x:c r="D10" s="13" t="s">
        <x:v>1057</x:v>
      </x:c>
      <x:c r="E10" s="12" t="s">
        <x:v>160</x:v>
      </x:c>
      <x:c r="F10" s="12" t="s">
        <x:v>160</x:v>
      </x:c>
      <x:c r="G10" s="13" t="s">
        <x:v>606</x:v>
      </x:c>
      <x:c r="H10" s="12" t="s">
        <x:v>125</x:v>
      </x:c>
      <x:c r="I10" s="12" t="s">
        <x:v>140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1058</x:v>
      </x:c>
      <x:c r="B11" s="12" t="s">
        <x:v>168</x:v>
      </x:c>
      <x:c r="C11" s="12" t="s">
        <x:v>44</x:v>
      </x:c>
      <x:c r="D11" s="13" t="s">
        <x:v>1059</x:v>
      </x:c>
      <x:c r="E11" s="12" t="s">
        <x:v>160</x:v>
      </x:c>
      <x:c r="F11" s="12" t="s">
        <x:v>170</x:v>
      </x:c>
      <x:c r="G11" s="13" t="s">
        <x:v>1060</x:v>
      </x:c>
      <x:c r="H11" s="12" t="s">
        <x:v>125</x:v>
      </x:c>
      <x:c r="I11" s="12" t="s">
        <x:v>140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1061</x:v>
      </x:c>
      <x:c r="B12" s="12" t="s">
        <x:v>173</x:v>
      </x:c>
      <x:c r="C12" s="12" t="s">
        <x:v>44</x:v>
      </x:c>
      <x:c r="D12" s="13" t="s">
        <x:v>1062</x:v>
      </x:c>
      <x:c r="E12" s="12" t="s">
        <x:v>160</x:v>
      </x:c>
      <x:c r="F12" s="12" t="s">
        <x:v>175</x:v>
      </x:c>
      <x:c r="G12" s="13" t="s">
        <x:v>1063</x:v>
      </x:c>
      <x:c r="H12" s="12" t="s">
        <x:v>125</x:v>
      </x:c>
      <x:c r="I12" s="12" t="s">
        <x:v>140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1064</x:v>
      </x:c>
      <x:c r="B13" s="12" t="s">
        <x:v>178</x:v>
      </x:c>
      <x:c r="C13" s="12" t="s">
        <x:v>44</x:v>
      </x:c>
      <x:c r="D13" s="13" t="s">
        <x:v>1065</x:v>
      </x:c>
      <x:c r="E13" s="12" t="s">
        <x:v>160</x:v>
      </x:c>
      <x:c r="F13" s="12" t="s">
        <x:v>180</x:v>
      </x:c>
      <x:c r="G13" s="13" t="s">
        <x:v>1066</x:v>
      </x:c>
      <x:c r="H13" s="12" t="s">
        <x:v>125</x:v>
      </x:c>
      <x:c r="I13" s="12" t="s">
        <x:v>140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1067</x:v>
      </x:c>
      <x:c r="B14" s="12" t="s">
        <x:v>183</x:v>
      </x:c>
      <x:c r="C14" s="12" t="s">
        <x:v>44</x:v>
      </x:c>
      <x:c r="D14" s="13" t="s">
        <x:v>1068</x:v>
      </x:c>
      <x:c r="E14" s="12" t="s">
        <x:v>160</x:v>
      </x:c>
      <x:c r="F14" s="12" t="s">
        <x:v>185</x:v>
      </x:c>
      <x:c r="G14" s="13" t="s">
        <x:v>1069</x:v>
      </x:c>
      <x:c r="H14" s="12" t="s">
        <x:v>125</x:v>
      </x:c>
      <x:c r="I14" s="12" t="s">
        <x:v>140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1070</x:v>
      </x:c>
      <x:c r="B15" s="12" t="s">
        <x:v>188</x:v>
      </x:c>
      <x:c r="C15" s="12" t="s">
        <x:v>44</x:v>
      </x:c>
      <x:c r="D15" s="13" t="s">
        <x:v>1071</x:v>
      </x:c>
      <x:c r="E15" s="12" t="s">
        <x:v>160</x:v>
      </x:c>
      <x:c r="F15" s="12" t="s">
        <x:v>190</x:v>
      </x:c>
      <x:c r="G15" s="13" t="s">
        <x:v>1069</x:v>
      </x:c>
      <x:c r="H15" s="12" t="s">
        <x:v>125</x:v>
      </x:c>
      <x:c r="I15" s="12" t="s">
        <x:v>140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1072</x:v>
      </x:c>
      <x:c r="B16" s="12" t="s">
        <x:v>193</x:v>
      </x:c>
      <x:c r="C16" s="12" t="s">
        <x:v>44</x:v>
      </x:c>
      <x:c r="D16" s="13" t="s">
        <x:v>1073</x:v>
      </x:c>
      <x:c r="E16" s="12" t="s">
        <x:v>160</x:v>
      </x:c>
      <x:c r="F16" s="12" t="s">
        <x:v>195</x:v>
      </x:c>
      <x:c r="G16" s="13" t="s">
        <x:v>1074</x:v>
      </x:c>
      <x:c r="H16" s="12" t="s">
        <x:v>127</x:v>
      </x:c>
      <x:c r="I16" s="12" t="s">
        <x:v>139</x:v>
      </x:c>
      <x:c r="J16" s="14" t="n">
        <x:v>46228</x:v>
      </x:c>
      <x:c r="K16" s="13" t="s">
        <x:v>1075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1076</x:v>
      </x:c>
      <x:c r="B17" s="12" t="s">
        <x:v>199</x:v>
      </x:c>
      <x:c r="C17" s="12" t="s">
        <x:v>44</x:v>
      </x:c>
      <x:c r="D17" s="13" t="s">
        <x:v>1077</x:v>
      </x:c>
      <x:c r="E17" s="12" t="s">
        <x:v>160</x:v>
      </x:c>
      <x:c r="F17" s="12" t="s">
        <x:v>201</x:v>
      </x:c>
      <x:c r="G17" s="13" t="s">
        <x:v>1078</x:v>
      </x:c>
      <x:c r="H17" s="12" t="s">
        <x:v>123</x:v>
      </x:c>
      <x:c r="I17" s="12" t="s">
        <x:v>139</x:v>
      </x:c>
      <x:c r="J17" s="14"/>
      <x:c r="K17" s="13" t="s">
        <x:v>969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1079</x:v>
      </x:c>
      <x:c r="B18" s="12" t="s">
        <x:v>205</x:v>
      </x:c>
      <x:c r="C18" s="12" t="s">
        <x:v>44</x:v>
      </x:c>
      <x:c r="D18" s="13" t="s">
        <x:v>1080</x:v>
      </x:c>
      <x:c r="E18" s="12" t="s">
        <x:v>160</x:v>
      </x:c>
      <x:c r="F18" s="12" t="s">
        <x:v>201</x:v>
      </x:c>
      <x:c r="G18" s="13" t="s">
        <x:v>1081</x:v>
      </x:c>
      <x:c r="H18" s="12" t="s">
        <x:v>123</x:v>
      </x:c>
      <x:c r="I18" s="12" t="s">
        <x:v>139</x:v>
      </x:c>
      <x:c r="J18" s="14"/>
      <x:c r="K18" s="13" t="s">
        <x:v>830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1082</x:v>
      </x:c>
      <x:c r="B19" s="12" t="s">
        <x:v>687</x:v>
      </x:c>
      <x:c r="C19" s="12" t="s">
        <x:v>44</x:v>
      </x:c>
      <x:c r="D19" s="13" t="s">
        <x:v>1083</x:v>
      </x:c>
      <x:c r="E19" s="12" t="s">
        <x:v>160</x:v>
      </x:c>
      <x:c r="F19" s="12" t="s">
        <x:v>185</x:v>
      </x:c>
      <x:c r="G19" s="13" t="s">
        <x:v>1069</x:v>
      </x:c>
      <x:c r="H19" s="12" t="s">
        <x:v>125</x:v>
      </x:c>
      <x:c r="I19" s="12" t="s">
        <x:v>140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1084</x:v>
      </x:c>
      <x:c r="B20" s="12" t="s">
        <x:v>212</x:v>
      </x:c>
      <x:c r="C20" s="12" t="s">
        <x:v>44</x:v>
      </x:c>
      <x:c r="D20" s="13" t="s">
        <x:v>1085</x:v>
      </x:c>
      <x:c r="E20" s="12" t="s">
        <x:v>160</x:v>
      </x:c>
      <x:c r="F20" s="12" t="s">
        <x:v>201</x:v>
      </x:c>
      <x:c r="G20" s="13" t="s">
        <x:v>1078</x:v>
      </x:c>
      <x:c r="H20" s="12" t="s">
        <x:v>123</x:v>
      </x:c>
      <x:c r="I20" s="12" t="s">
        <x:v>139</x:v>
      </x:c>
      <x:c r="J20" s="14"/>
      <x:c r="K20" s="13" t="s">
        <x:v>974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1086</x:v>
      </x:c>
      <x:c r="B21" s="12" t="s">
        <x:v>215</x:v>
      </x:c>
      <x:c r="C21" s="12" t="s">
        <x:v>44</x:v>
      </x:c>
      <x:c r="D21" s="13" t="s">
        <x:v>1087</x:v>
      </x:c>
      <x:c r="E21" s="12" t="s">
        <x:v>160</x:v>
      </x:c>
      <x:c r="F21" s="12" t="s">
        <x:v>217</x:v>
      </x:c>
      <x:c r="G21" s="13" t="s">
        <x:v>1088</x:v>
      </x:c>
      <x:c r="H21" s="12" t="s">
        <x:v>125</x:v>
      </x:c>
      <x:c r="I21" s="12" t="s">
        <x:v>140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1089</x:v>
      </x:c>
      <x:c r="B22" s="12" t="s">
        <x:v>220</x:v>
      </x:c>
      <x:c r="C22" s="12" t="s">
        <x:v>44</x:v>
      </x:c>
      <x:c r="D22" s="13" t="s">
        <x:v>1090</x:v>
      </x:c>
      <x:c r="E22" s="12" t="s">
        <x:v>160</x:v>
      </x:c>
      <x:c r="F22" s="12" t="s">
        <x:v>217</x:v>
      </x:c>
      <x:c r="G22" s="13" t="s">
        <x:v>1091</x:v>
      </x:c>
      <x:c r="H22" s="12" t="s">
        <x:v>125</x:v>
      </x:c>
      <x:c r="I22" s="12" t="s">
        <x:v>140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1092</x:v>
      </x:c>
      <x:c r="B23" s="12" t="s">
        <x:v>224</x:v>
      </x:c>
      <x:c r="C23" s="12" t="s">
        <x:v>44</x:v>
      </x:c>
      <x:c r="D23" s="13" t="s">
        <x:v>1093</x:v>
      </x:c>
      <x:c r="E23" s="12" t="s">
        <x:v>226</x:v>
      </x:c>
      <x:c r="F23" s="12" t="s">
        <x:v>226</x:v>
      </x:c>
      <x:c r="G23" s="13" t="s">
        <x:v>227</x:v>
      </x:c>
      <x:c r="H23" s="12" t="s">
        <x:v>125</x:v>
      </x:c>
      <x:c r="I23" s="12" t="s">
        <x:v>140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1094</x:v>
      </x:c>
      <x:c r="B24" s="12" t="s">
        <x:v>646</x:v>
      </x:c>
      <x:c r="C24" s="12" t="s">
        <x:v>44</x:v>
      </x:c>
      <x:c r="D24" s="13" t="s">
        <x:v>1095</x:v>
      </x:c>
      <x:c r="E24" s="12" t="s">
        <x:v>160</x:v>
      </x:c>
      <x:c r="F24" s="12" t="s">
        <x:v>160</x:v>
      </x:c>
      <x:c r="G24" s="13" t="s">
        <x:v>1096</x:v>
      </x:c>
      <x:c r="H24" s="12" t="s">
        <x:v>125</x:v>
      </x:c>
      <x:c r="I24" s="12" t="s">
        <x:v>140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1097</x:v>
      </x:c>
      <x:c r="B25" s="12" t="s">
        <x:v>229</x:v>
      </x:c>
      <x:c r="C25" s="12" t="s">
        <x:v>44</x:v>
      </x:c>
      <x:c r="D25" s="13" t="s">
        <x:v>1098</x:v>
      </x:c>
      <x:c r="E25" s="12" t="s">
        <x:v>160</x:v>
      </x:c>
      <x:c r="F25" s="12" t="s">
        <x:v>160</x:v>
      </x:c>
      <x:c r="G25" s="13" t="s">
        <x:v>1099</x:v>
      </x:c>
      <x:c r="H25" s="12" t="s">
        <x:v>123</x:v>
      </x:c>
      <x:c r="I25" s="12" t="s">
        <x:v>139</x:v>
      </x:c>
      <x:c r="J25" s="14"/>
      <x:c r="K25" s="13" t="s">
        <x:v>1100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1101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1102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15</x:v>
      </x:c>
      <x:c r="D4" s="6" t="s">
        <x:v>143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0.8666666666666667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1103</x:v>
      </x:c>
      <x:c r="B9" s="12" t="s">
        <x:v>157</x:v>
      </x:c>
      <x:c r="C9" s="12" t="s">
        <x:v>45</x:v>
      </x:c>
      <x:c r="D9" s="13" t="s">
        <x:v>1104</x:v>
      </x:c>
      <x:c r="E9" s="12" t="s">
        <x:v>160</x:v>
      </x:c>
      <x:c r="F9" s="12" t="s">
        <x:v>161</x:v>
      </x:c>
      <x:c r="G9" s="13" t="s">
        <x:v>1105</x:v>
      </x:c>
      <x:c r="H9" s="12" t="s">
        <x:v>125</x:v>
      </x:c>
      <x:c r="I9" s="12" t="s">
        <x:v>140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1106</x:v>
      </x:c>
      <x:c r="B10" s="12" t="s">
        <x:v>164</x:v>
      </x:c>
      <x:c r="C10" s="12" t="s">
        <x:v>45</x:v>
      </x:c>
      <x:c r="D10" s="13" t="s">
        <x:v>1107</x:v>
      </x:c>
      <x:c r="E10" s="12" t="s">
        <x:v>160</x:v>
      </x:c>
      <x:c r="F10" s="12" t="s">
        <x:v>160</x:v>
      </x:c>
      <x:c r="G10" s="13" t="s">
        <x:v>606</x:v>
      </x:c>
      <x:c r="H10" s="12" t="s">
        <x:v>125</x:v>
      </x:c>
      <x:c r="I10" s="12" t="s">
        <x:v>140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1108</x:v>
      </x:c>
      <x:c r="B11" s="12" t="s">
        <x:v>168</x:v>
      </x:c>
      <x:c r="C11" s="12" t="s">
        <x:v>45</x:v>
      </x:c>
      <x:c r="D11" s="13" t="s">
        <x:v>1109</x:v>
      </x:c>
      <x:c r="E11" s="12" t="s">
        <x:v>160</x:v>
      </x:c>
      <x:c r="F11" s="12" t="s">
        <x:v>170</x:v>
      </x:c>
      <x:c r="G11" s="13" t="s">
        <x:v>1110</x:v>
      </x:c>
      <x:c r="H11" s="12" t="s">
        <x:v>125</x:v>
      </x:c>
      <x:c r="I11" s="12" t="s">
        <x:v>140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1111</x:v>
      </x:c>
      <x:c r="B12" s="12" t="s">
        <x:v>173</x:v>
      </x:c>
      <x:c r="C12" s="12" t="s">
        <x:v>45</x:v>
      </x:c>
      <x:c r="D12" s="13" t="s">
        <x:v>1112</x:v>
      </x:c>
      <x:c r="E12" s="12" t="s">
        <x:v>160</x:v>
      </x:c>
      <x:c r="F12" s="12" t="s">
        <x:v>175</x:v>
      </x:c>
      <x:c r="G12" s="13" t="s">
        <x:v>1113</x:v>
      </x:c>
      <x:c r="H12" s="12" t="s">
        <x:v>125</x:v>
      </x:c>
      <x:c r="I12" s="12" t="s">
        <x:v>140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1114</x:v>
      </x:c>
      <x:c r="B13" s="12" t="s">
        <x:v>178</x:v>
      </x:c>
      <x:c r="C13" s="12" t="s">
        <x:v>45</x:v>
      </x:c>
      <x:c r="D13" s="13" t="s">
        <x:v>1115</x:v>
      </x:c>
      <x:c r="E13" s="12" t="s">
        <x:v>160</x:v>
      </x:c>
      <x:c r="F13" s="12" t="s">
        <x:v>180</x:v>
      </x:c>
      <x:c r="G13" s="13" t="s">
        <x:v>1116</x:v>
      </x:c>
      <x:c r="H13" s="12" t="s">
        <x:v>125</x:v>
      </x:c>
      <x:c r="I13" s="12" t="s">
        <x:v>140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1117</x:v>
      </x:c>
      <x:c r="B14" s="12" t="s">
        <x:v>183</x:v>
      </x:c>
      <x:c r="C14" s="12" t="s">
        <x:v>45</x:v>
      </x:c>
      <x:c r="D14" s="13" t="s">
        <x:v>1118</x:v>
      </x:c>
      <x:c r="E14" s="12" t="s">
        <x:v>160</x:v>
      </x:c>
      <x:c r="F14" s="12" t="s">
        <x:v>185</x:v>
      </x:c>
      <x:c r="G14" s="13" t="s">
        <x:v>1119</x:v>
      </x:c>
      <x:c r="H14" s="12" t="s">
        <x:v>125</x:v>
      </x:c>
      <x:c r="I14" s="12" t="s">
        <x:v>140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1120</x:v>
      </x:c>
      <x:c r="B15" s="12" t="s">
        <x:v>188</x:v>
      </x:c>
      <x:c r="C15" s="12" t="s">
        <x:v>45</x:v>
      </x:c>
      <x:c r="D15" s="13" t="s">
        <x:v>1121</x:v>
      </x:c>
      <x:c r="E15" s="12" t="s">
        <x:v>160</x:v>
      </x:c>
      <x:c r="F15" s="12" t="s">
        <x:v>190</x:v>
      </x:c>
      <x:c r="G15" s="13" t="s">
        <x:v>1119</x:v>
      </x:c>
      <x:c r="H15" s="12" t="s">
        <x:v>125</x:v>
      </x:c>
      <x:c r="I15" s="12" t="s">
        <x:v>140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1122</x:v>
      </x:c>
      <x:c r="B16" s="12" t="s">
        <x:v>193</x:v>
      </x:c>
      <x:c r="C16" s="12" t="s">
        <x:v>45</x:v>
      </x:c>
      <x:c r="D16" s="13" t="s">
        <x:v>1123</x:v>
      </x:c>
      <x:c r="E16" s="12" t="s">
        <x:v>160</x:v>
      </x:c>
      <x:c r="F16" s="12" t="s">
        <x:v>195</x:v>
      </x:c>
      <x:c r="G16" s="13" t="s">
        <x:v>1124</x:v>
      </x:c>
      <x:c r="H16" s="12" t="s">
        <x:v>127</x:v>
      </x:c>
      <x:c r="I16" s="12" t="s">
        <x:v>139</x:v>
      </x:c>
      <x:c r="J16" s="14" t="n">
        <x:v>46264</x:v>
      </x:c>
      <x:c r="K16" s="13" t="s">
        <x:v>1125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1126</x:v>
      </x:c>
      <x:c r="B17" s="12" t="s">
        <x:v>199</x:v>
      </x:c>
      <x:c r="C17" s="12" t="s">
        <x:v>45</x:v>
      </x:c>
      <x:c r="D17" s="13" t="s">
        <x:v>1127</x:v>
      </x:c>
      <x:c r="E17" s="12" t="s">
        <x:v>160</x:v>
      </x:c>
      <x:c r="F17" s="12" t="s">
        <x:v>201</x:v>
      </x:c>
      <x:c r="G17" s="13" t="s">
        <x:v>1128</x:v>
      </x:c>
      <x:c r="H17" s="12" t="s">
        <x:v>123</x:v>
      </x:c>
      <x:c r="I17" s="12" t="s">
        <x:v>139</x:v>
      </x:c>
      <x:c r="J17" s="14"/>
      <x:c r="K17" s="13" t="s">
        <x:v>1129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1130</x:v>
      </x:c>
      <x:c r="B18" s="12" t="s">
        <x:v>212</x:v>
      </x:c>
      <x:c r="C18" s="12" t="s">
        <x:v>45</x:v>
      </x:c>
      <x:c r="D18" s="13" t="s">
        <x:v>1131</x:v>
      </x:c>
      <x:c r="E18" s="12" t="s">
        <x:v>160</x:v>
      </x:c>
      <x:c r="F18" s="12" t="s">
        <x:v>201</x:v>
      </x:c>
      <x:c r="G18" s="13" t="s">
        <x:v>1128</x:v>
      </x:c>
      <x:c r="H18" s="12" t="s">
        <x:v>123</x:v>
      </x:c>
      <x:c r="I18" s="12" t="s">
        <x:v>139</x:v>
      </x:c>
      <x:c r="J18" s="14"/>
      <x:c r="K18" s="13" t="s">
        <x:v>1129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1132</x:v>
      </x:c>
      <x:c r="B19" s="12" t="s">
        <x:v>215</x:v>
      </x:c>
      <x:c r="C19" s="12" t="s">
        <x:v>45</x:v>
      </x:c>
      <x:c r="D19" s="13" t="s">
        <x:v>1133</x:v>
      </x:c>
      <x:c r="E19" s="12" t="s">
        <x:v>160</x:v>
      </x:c>
      <x:c r="F19" s="12" t="s">
        <x:v>217</x:v>
      </x:c>
      <x:c r="G19" s="13" t="s">
        <x:v>1134</x:v>
      </x:c>
      <x:c r="H19" s="12" t="s">
        <x:v>125</x:v>
      </x:c>
      <x:c r="I19" s="12" t="s">
        <x:v>140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1135</x:v>
      </x:c>
      <x:c r="B20" s="12" t="s">
        <x:v>220</x:v>
      </x:c>
      <x:c r="C20" s="12" t="s">
        <x:v>45</x:v>
      </x:c>
      <x:c r="D20" s="13" t="s">
        <x:v>1136</x:v>
      </x:c>
      <x:c r="E20" s="12" t="s">
        <x:v>160</x:v>
      </x:c>
      <x:c r="F20" s="12" t="s">
        <x:v>217</x:v>
      </x:c>
      <x:c r="G20" s="13" t="s">
        <x:v>1137</x:v>
      </x:c>
      <x:c r="H20" s="12" t="s">
        <x:v>125</x:v>
      </x:c>
      <x:c r="I20" s="12" t="s">
        <x:v>140</x:v>
      </x:c>
      <x:c r="J20" s="14" t="n">
        <x:v>46228</x:v>
      </x:c>
      <x:c r="K20" s="13" t="s">
        <x:v>974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1138</x:v>
      </x:c>
      <x:c r="B21" s="12" t="s">
        <x:v>224</x:v>
      </x:c>
      <x:c r="C21" s="12" t="s">
        <x:v>45</x:v>
      </x:c>
      <x:c r="D21" s="13" t="s">
        <x:v>1139</x:v>
      </x:c>
      <x:c r="E21" s="12" t="s">
        <x:v>226</x:v>
      </x:c>
      <x:c r="F21" s="12" t="s">
        <x:v>226</x:v>
      </x:c>
      <x:c r="G21" s="13" t="s">
        <x:v>227</x:v>
      </x:c>
      <x:c r="H21" s="12" t="s">
        <x:v>125</x:v>
      </x:c>
      <x:c r="I21" s="12" t="s">
        <x:v>140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1140</x:v>
      </x:c>
      <x:c r="B22" s="12" t="s">
        <x:v>646</x:v>
      </x:c>
      <x:c r="C22" s="12" t="s">
        <x:v>45</x:v>
      </x:c>
      <x:c r="D22" s="13" t="s">
        <x:v>1141</x:v>
      </x:c>
      <x:c r="E22" s="12" t="s">
        <x:v>160</x:v>
      </x:c>
      <x:c r="F22" s="12" t="s">
        <x:v>160</x:v>
      </x:c>
      <x:c r="G22" s="13" t="s">
        <x:v>1142</x:v>
      </x:c>
      <x:c r="H22" s="12" t="s">
        <x:v>125</x:v>
      </x:c>
      <x:c r="I22" s="12" t="s">
        <x:v>140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1143</x:v>
      </x:c>
      <x:c r="B23" s="12" t="s">
        <x:v>229</x:v>
      </x:c>
      <x:c r="C23" s="12" t="s">
        <x:v>45</x:v>
      </x:c>
      <x:c r="D23" s="13" t="s">
        <x:v>1098</x:v>
      </x:c>
      <x:c r="E23" s="12" t="s">
        <x:v>160</x:v>
      </x:c>
      <x:c r="F23" s="12" t="s">
        <x:v>160</x:v>
      </x:c>
      <x:c r="G23" s="13" t="s">
        <x:v>652</x:v>
      </x:c>
      <x:c r="H23" s="12" t="s">
        <x:v>127</x:v>
      </x:c>
      <x:c r="I23" s="12" t="s">
        <x:v>139</x:v>
      </x:c>
      <x:c r="J23" s="14" t="n">
        <x:v>46264</x:v>
      </x:c>
      <x:c r="K23" s="13" t="s">
        <x:v>653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/>
      <x:c r="B24" s="12"/>
      <x:c r="C24" s="12"/>
      <x:c r="D24" s="13"/>
      <x:c r="E24" s="12"/>
      <x:c r="F24" s="12"/>
      <x:c r="G24" s="13"/>
      <x:c r="H24" s="12"/>
      <x:c r="I24" s="12"/>
      <x:c r="J24" s="14"/>
      <x:c r="K24" s="13"/>
      <x:c r="L24" s="12"/>
      <x:c r="M24" s="12"/>
    </x:row>
    <x:row r="25" s="4" customFormat="1" ht="54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15" t="s">
        <x:v>1144</x:v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</x:row>
    <x:row r="2" s="4" customFormat="1" ht="27.75" hidden="0" customHeight="1">
      <x:c r="A2" s="16" t="s">
        <x:v>1145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</x:row>
    <x:row r="4" s="4" customFormat="1" ht="17.25" hidden="0" customHeight="1">
      <x:c r="A4" s="17" t="s">
        <x:v>6</x:v>
      </x:c>
      <x:c r="B4" s="18" t="n">
        <x:f aca="0">COUNTA(A9:A28)</x:f>
        <x:v>20</x:v>
      </x:c>
      <x:c r="C4" s="19"/>
      <x:c r="D4" s="17" t="s">
        <x:v>143</x:v>
      </x:c>
      <x:c r="E4" s="18" t="n">
        <x:f aca="0">SUM(M9:M28)</x:f>
        <x:v>17</x:v>
      </x:c>
      <x:c r="F4" s="19"/>
      <x:c r="G4" s="17" t="s">
        <x:v>13</x:v>
      </x:c>
      <x:c r="H4" s="20" t="n">
        <x:f aca="0">IF(B4=0,0,E4/B4)</x:f>
        <x:v>0.85</x:v>
      </x:c>
      <x:c r="I4" s="19"/>
      <x:c r="J4" s="17" t="s">
        <x:v>14</x:v>
      </x:c>
      <x:c r="K4" s="18" t="str">
        <x:f aca="0">IF(COUNTIFS(E9:E28,"package",M9:M28,0)&gt;0,"open","complete")</x:f>
        <x:v>open</x:v>
      </x:c>
      <x:c r="L4" s="19"/>
      <x:c r="M4" s="19"/>
    </x:row>
    <x:row r="5" s="4" customFormat="1" ht="17.25" hidden="0" customHeight="1">
      <x:c r="A5" s="17" t="s">
        <x:v>144</x:v>
      </x:c>
      <x:c r="B5" s="18" t="str">
        <x:f aca="0">IF(COUNTIFS(I9:I28,"yes",M9:M28,0)&gt;0,"open","complete")</x:f>
        <x:v>open</x:v>
      </x:c>
      <x:c r="C5" s="19"/>
      <x:c r="D5" s="17" t="s">
        <x:v>15</x:v>
      </x:c>
      <x:c r="E5" s="18" t="str">
        <x:f aca="0">IF(COUNTIFS(E9:E28,"consumer",M9:M28,0)&gt;0,"open","complete")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145</x:v>
      </x:c>
      <x:c r="B8" s="21" t="s">
        <x:v>146</x:v>
      </x:c>
      <x:c r="C8" s="21" t="s">
        <x:v>147</x:v>
      </x:c>
      <x:c r="D8" s="21" t="s">
        <x:v>148</x:v>
      </x:c>
      <x:c r="E8" s="21" t="s">
        <x:v>149</x:v>
      </x:c>
      <x:c r="F8" s="21" t="s">
        <x:v>150</x:v>
      </x:c>
      <x:c r="G8" s="21" t="s">
        <x:v>151</x:v>
      </x:c>
      <x:c r="H8" s="21" t="s">
        <x:v>103</x:v>
      </x:c>
      <x:c r="I8" s="21" t="s">
        <x:v>152</x:v>
      </x:c>
      <x:c r="J8" s="22" t="s">
        <x:v>153</x:v>
      </x:c>
      <x:c r="K8" s="21" t="s">
        <x:v>154</x:v>
      </x:c>
      <x:c r="L8" s="21" t="s">
        <x:v>155</x:v>
      </x:c>
      <x:c r="M8" s="21" t="s">
        <x:v>143</x:v>
      </x:c>
    </x:row>
    <x:row r="9" s="4" customFormat="1" ht="54" hidden="0" customHeight="1">
      <x:c r="A9" s="23" t="s">
        <x:v>1146</x:v>
      </x:c>
      <x:c r="B9" s="23" t="s">
        <x:v>157</x:v>
      </x:c>
      <x:c r="C9" s="23" t="s">
        <x:v>1147</x:v>
      </x:c>
      <x:c r="D9" s="23" t="s">
        <x:v>1148</x:v>
      </x:c>
      <x:c r="E9" s="23" t="s">
        <x:v>160</x:v>
      </x:c>
      <x:c r="F9" s="23" t="s">
        <x:v>161</x:v>
      </x:c>
      <x:c r="G9" s="23" t="s">
        <x:v>1149</x:v>
      </x:c>
      <x:c r="H9" s="24" t="s">
        <x:v>125</x:v>
      </x:c>
      <x:c r="I9" s="23" t="s">
        <x:v>140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1150</x:v>
      </x:c>
      <x:c r="B10" s="23" t="s">
        <x:v>208</x:v>
      </x:c>
      <x:c r="C10" s="23" t="s">
        <x:v>1151</x:v>
      </x:c>
      <x:c r="D10" s="23" t="s">
        <x:v>1152</x:v>
      </x:c>
      <x:c r="E10" s="23" t="s">
        <x:v>160</x:v>
      </x:c>
      <x:c r="F10" s="23" t="s">
        <x:v>180</x:v>
      </x:c>
      <x:c r="G10" s="23" t="s">
        <x:v>1153</x:v>
      </x:c>
      <x:c r="H10" s="24" t="s">
        <x:v>125</x:v>
      </x:c>
      <x:c r="I10" s="23" t="s">
        <x:v>140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1154</x:v>
      </x:c>
      <x:c r="B11" s="23" t="s">
        <x:v>1155</x:v>
      </x:c>
      <x:c r="C11" s="23" t="s">
        <x:v>1156</x:v>
      </x:c>
      <x:c r="D11" s="23" t="s">
        <x:v>1157</x:v>
      </x:c>
      <x:c r="E11" s="23" t="s">
        <x:v>160</x:v>
      </x:c>
      <x:c r="F11" s="23" t="s">
        <x:v>180</x:v>
      </x:c>
      <x:c r="G11" s="23" t="s">
        <x:v>1153</x:v>
      </x:c>
      <x:c r="H11" s="24" t="s">
        <x:v>125</x:v>
      </x:c>
      <x:c r="I11" s="23" t="s">
        <x:v>140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1158</x:v>
      </x:c>
      <x:c r="B12" s="23" t="s">
        <x:v>1159</x:v>
      </x:c>
      <x:c r="C12" s="23" t="s">
        <x:v>1160</x:v>
      </x:c>
      <x:c r="D12" s="23" t="s">
        <x:v>1161</x:v>
      </x:c>
      <x:c r="E12" s="23" t="s">
        <x:v>160</x:v>
      </x:c>
      <x:c r="F12" s="23" t="s">
        <x:v>180</x:v>
      </x:c>
      <x:c r="G12" s="23" t="s">
        <x:v>1153</x:v>
      </x:c>
      <x:c r="H12" s="24" t="s">
        <x:v>125</x:v>
      </x:c>
      <x:c r="I12" s="23" t="s">
        <x:v>140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1162</x:v>
      </x:c>
      <x:c r="B13" s="23" t="s">
        <x:v>1163</x:v>
      </x:c>
      <x:c r="C13" s="23" t="s">
        <x:v>1164</x:v>
      </x:c>
      <x:c r="D13" s="23" t="s">
        <x:v>1165</x:v>
      </x:c>
      <x:c r="E13" s="23" t="s">
        <x:v>160</x:v>
      </x:c>
      <x:c r="F13" s="23" t="s">
        <x:v>185</x:v>
      </x:c>
      <x:c r="G13" s="23" t="s">
        <x:v>1166</x:v>
      </x:c>
      <x:c r="H13" s="24" t="s">
        <x:v>125</x:v>
      </x:c>
      <x:c r="I13" s="23" t="s">
        <x:v>140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1167</x:v>
      </x:c>
      <x:c r="B14" s="23" t="s">
        <x:v>1168</x:v>
      </x:c>
      <x:c r="C14" s="23" t="s">
        <x:v>1169</x:v>
      </x:c>
      <x:c r="D14" s="23" t="s">
        <x:v>1170</x:v>
      </x:c>
      <x:c r="E14" s="23" t="s">
        <x:v>160</x:v>
      </x:c>
      <x:c r="F14" s="23" t="s">
        <x:v>180</x:v>
      </x:c>
      <x:c r="G14" s="23" t="s">
        <x:v>1153</x:v>
      </x:c>
      <x:c r="H14" s="24" t="s">
        <x:v>125</x:v>
      </x:c>
      <x:c r="I14" s="23" t="s">
        <x:v>140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1171</x:v>
      </x:c>
      <x:c r="B15" s="23" t="s">
        <x:v>164</x:v>
      </x:c>
      <x:c r="C15" s="23" t="s">
        <x:v>46</x:v>
      </x:c>
      <x:c r="D15" s="23" t="s">
        <x:v>1172</x:v>
      </x:c>
      <x:c r="E15" s="23" t="s">
        <x:v>160</x:v>
      </x:c>
      <x:c r="F15" s="23" t="s">
        <x:v>160</x:v>
      </x:c>
      <x:c r="G15" s="23" t="s">
        <x:v>606</x:v>
      </x:c>
      <x:c r="H15" s="24" t="s">
        <x:v>125</x:v>
      </x:c>
      <x:c r="I15" s="23" t="s">
        <x:v>140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1173</x:v>
      </x:c>
      <x:c r="B16" s="23" t="s">
        <x:v>168</x:v>
      </x:c>
      <x:c r="C16" s="23" t="s">
        <x:v>46</x:v>
      </x:c>
      <x:c r="D16" s="23" t="s">
        <x:v>1174</x:v>
      </x:c>
      <x:c r="E16" s="23" t="s">
        <x:v>160</x:v>
      </x:c>
      <x:c r="F16" s="23" t="s">
        <x:v>170</x:v>
      </x:c>
      <x:c r="G16" s="23" t="s">
        <x:v>1175</x:v>
      </x:c>
      <x:c r="H16" s="24" t="s">
        <x:v>125</x:v>
      </x:c>
      <x:c r="I16" s="23" t="s">
        <x:v>140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1176</x:v>
      </x:c>
      <x:c r="B17" s="23" t="s">
        <x:v>173</x:v>
      </x:c>
      <x:c r="C17" s="23" t="s">
        <x:v>46</x:v>
      </x:c>
      <x:c r="D17" s="23" t="s">
        <x:v>1177</x:v>
      </x:c>
      <x:c r="E17" s="23" t="s">
        <x:v>160</x:v>
      </x:c>
      <x:c r="F17" s="23" t="s">
        <x:v>175</x:v>
      </x:c>
      <x:c r="G17" s="23" t="s">
        <x:v>1178</x:v>
      </x:c>
      <x:c r="H17" s="24" t="s">
        <x:v>125</x:v>
      </x:c>
      <x:c r="I17" s="23" t="s">
        <x:v>140</x:v>
      </x:c>
      <x:c r="J17" s="25" t="n">
        <x:v>46264</x:v>
      </x:c>
      <x:c r="K17" s="23"/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1179</x:v>
      </x:c>
      <x:c r="B18" s="23" t="s">
        <x:v>178</x:v>
      </x:c>
      <x:c r="C18" s="23" t="s">
        <x:v>46</x:v>
      </x:c>
      <x:c r="D18" s="23" t="s">
        <x:v>1180</x:v>
      </x:c>
      <x:c r="E18" s="23" t="s">
        <x:v>160</x:v>
      </x:c>
      <x:c r="F18" s="23" t="s">
        <x:v>180</x:v>
      </x:c>
      <x:c r="G18" s="23" t="s">
        <x:v>1153</x:v>
      </x:c>
      <x:c r="H18" s="24" t="s">
        <x:v>125</x:v>
      </x:c>
      <x:c r="I18" s="23" t="s">
        <x:v>140</x:v>
      </x:c>
      <x:c r="J18" s="25" t="n">
        <x:v>46264</x:v>
      </x:c>
      <x:c r="K18" s="23"/>
      <x:c r="L18" s="26" t="n">
        <x:v>1</x:v>
      </x:c>
      <x:c r="M18" s="26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23" t="s">
        <x:v>1181</x:v>
      </x:c>
      <x:c r="B19" s="23" t="s">
        <x:v>183</x:v>
      </x:c>
      <x:c r="C19" s="23" t="s">
        <x:v>46</x:v>
      </x:c>
      <x:c r="D19" s="23" t="s">
        <x:v>1182</x:v>
      </x:c>
      <x:c r="E19" s="23" t="s">
        <x:v>160</x:v>
      </x:c>
      <x:c r="F19" s="23" t="s">
        <x:v>185</x:v>
      </x:c>
      <x:c r="G19" s="23" t="s">
        <x:v>1166</x:v>
      </x:c>
      <x:c r="H19" s="24" t="s">
        <x:v>125</x:v>
      </x:c>
      <x:c r="I19" s="23" t="s">
        <x:v>140</x:v>
      </x:c>
      <x:c r="J19" s="25" t="n">
        <x:v>46264</x:v>
      </x:c>
      <x:c r="K19" s="23"/>
      <x:c r="L19" s="26" t="n">
        <x:v>1</x:v>
      </x:c>
      <x:c r="M19" s="26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23" t="s">
        <x:v>1183</x:v>
      </x:c>
      <x:c r="B20" s="23" t="s">
        <x:v>188</x:v>
      </x:c>
      <x:c r="C20" s="23" t="s">
        <x:v>1184</x:v>
      </x:c>
      <x:c r="D20" s="23" t="s">
        <x:v>1185</x:v>
      </x:c>
      <x:c r="E20" s="23" t="s">
        <x:v>160</x:v>
      </x:c>
      <x:c r="F20" s="23" t="s">
        <x:v>190</x:v>
      </x:c>
      <x:c r="G20" s="23" t="s">
        <x:v>1166</x:v>
      </x:c>
      <x:c r="H20" s="24" t="s">
        <x:v>125</x:v>
      </x:c>
      <x:c r="I20" s="23" t="s">
        <x:v>140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1186</x:v>
      </x:c>
      <x:c r="B21" s="23" t="s">
        <x:v>193</x:v>
      </x:c>
      <x:c r="C21" s="23" t="s">
        <x:v>46</x:v>
      </x:c>
      <x:c r="D21" s="23" t="s">
        <x:v>1187</x:v>
      </x:c>
      <x:c r="E21" s="23" t="s">
        <x:v>160</x:v>
      </x:c>
      <x:c r="F21" s="23" t="s">
        <x:v>195</x:v>
      </x:c>
      <x:c r="G21" s="23" t="s">
        <x:v>1188</x:v>
      </x:c>
      <x:c r="H21" s="27" t="s">
        <x:v>127</x:v>
      </x:c>
      <x:c r="I21" s="23" t="s">
        <x:v>139</x:v>
      </x:c>
      <x:c r="J21" s="25" t="n">
        <x:v>46264</x:v>
      </x:c>
      <x:c r="K21" s="23" t="s">
        <x:v>1125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23" t="s">
        <x:v>1189</x:v>
      </x:c>
      <x:c r="B22" s="23" t="s">
        <x:v>199</x:v>
      </x:c>
      <x:c r="C22" s="23" t="s">
        <x:v>46</x:v>
      </x:c>
      <x:c r="D22" s="23" t="s">
        <x:v>1190</x:v>
      </x:c>
      <x:c r="E22" s="23" t="s">
        <x:v>160</x:v>
      </x:c>
      <x:c r="F22" s="23" t="s">
        <x:v>201</x:v>
      </x:c>
      <x:c r="G22" s="23" t="s">
        <x:v>1191</x:v>
      </x:c>
      <x:c r="H22" s="27" t="s">
        <x:v>123</x:v>
      </x:c>
      <x:c r="I22" s="23" t="s">
        <x:v>139</x:v>
      </x:c>
      <x:c r="J22" s="25"/>
      <x:c r="K22" s="23" t="s">
        <x:v>203</x:v>
      </x:c>
      <x:c r="L22" s="26" t="n">
        <x:v>1</x:v>
      </x:c>
      <x:c r="M22" s="26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23" t="s">
        <x:v>1192</x:v>
      </x:c>
      <x:c r="B23" s="23" t="s">
        <x:v>205</x:v>
      </x:c>
      <x:c r="C23" s="23" t="s">
        <x:v>46</x:v>
      </x:c>
      <x:c r="D23" s="23" t="s">
        <x:v>1193</x:v>
      </x:c>
      <x:c r="E23" s="23" t="s">
        <x:v>160</x:v>
      </x:c>
      <x:c r="F23" s="23" t="s">
        <x:v>201</x:v>
      </x:c>
      <x:c r="G23" s="23" t="s">
        <x:v>1194</x:v>
      </x:c>
      <x:c r="H23" s="27" t="s">
        <x:v>123</x:v>
      </x:c>
      <x:c r="I23" s="23" t="s">
        <x:v>139</x:v>
      </x:c>
      <x:c r="J23" s="25"/>
      <x:c r="K23" s="23" t="s">
        <x:v>203</x:v>
      </x:c>
      <x:c r="L23" s="26" t="n">
        <x:v>1</x:v>
      </x:c>
      <x:c r="M23" s="26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23" t="s">
        <x:v>1195</x:v>
      </x:c>
      <x:c r="B24" s="23" t="s">
        <x:v>212</x:v>
      </x:c>
      <x:c r="C24" s="23" t="s">
        <x:v>46</x:v>
      </x:c>
      <x:c r="D24" s="23" t="s">
        <x:v>1196</x:v>
      </x:c>
      <x:c r="E24" s="23" t="s">
        <x:v>160</x:v>
      </x:c>
      <x:c r="F24" s="23" t="s">
        <x:v>201</x:v>
      </x:c>
      <x:c r="G24" s="23" t="s">
        <x:v>1191</x:v>
      </x:c>
      <x:c r="H24" s="27" t="s">
        <x:v>123</x:v>
      </x:c>
      <x:c r="I24" s="23" t="s">
        <x:v>139</x:v>
      </x:c>
      <x:c r="J24" s="25"/>
      <x:c r="K24" s="23" t="s">
        <x:v>203</x:v>
      </x:c>
      <x:c r="L24" s="26" t="n">
        <x:v>1</x:v>
      </x:c>
      <x:c r="M24" s="26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23" t="s">
        <x:v>1197</x:v>
      </x:c>
      <x:c r="B25" s="23" t="s">
        <x:v>215</x:v>
      </x:c>
      <x:c r="C25" s="23" t="s">
        <x:v>46</x:v>
      </x:c>
      <x:c r="D25" s="23" t="s">
        <x:v>1198</x:v>
      </x:c>
      <x:c r="E25" s="23" t="s">
        <x:v>160</x:v>
      </x:c>
      <x:c r="F25" s="23" t="s">
        <x:v>217</x:v>
      </x:c>
      <x:c r="G25" s="23" t="s">
        <x:v>1199</x:v>
      </x:c>
      <x:c r="H25" s="24" t="s">
        <x:v>125</x:v>
      </x:c>
      <x:c r="I25" s="23" t="s">
        <x:v>140</x:v>
      </x:c>
      <x:c r="J25" s="25" t="n">
        <x:v>46264</x:v>
      </x:c>
      <x:c r="K25" s="23"/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23" t="s">
        <x:v>1200</x:v>
      </x:c>
      <x:c r="B26" s="23" t="s">
        <x:v>220</x:v>
      </x:c>
      <x:c r="C26" s="23" t="s">
        <x:v>46</x:v>
      </x:c>
      <x:c r="D26" s="23" t="s">
        <x:v>1201</x:v>
      </x:c>
      <x:c r="E26" s="23" t="s">
        <x:v>160</x:v>
      </x:c>
      <x:c r="F26" s="23" t="s">
        <x:v>217</x:v>
      </x:c>
      <x:c r="G26" s="23" t="s">
        <x:v>1202</x:v>
      </x:c>
      <x:c r="H26" s="24" t="s">
        <x:v>125</x:v>
      </x:c>
      <x:c r="I26" s="23" t="s">
        <x:v>140</x:v>
      </x:c>
      <x:c r="J26" s="25" t="n">
        <x:v>46264</x:v>
      </x:c>
      <x:c r="K26" s="23"/>
      <x:c r="L26" s="26" t="n">
        <x:v>1</x:v>
      </x:c>
      <x:c r="M26" s="26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23" t="s">
        <x:v>1203</x:v>
      </x:c>
      <x:c r="B27" s="23" t="s">
        <x:v>224</x:v>
      </x:c>
      <x:c r="C27" s="23" t="s">
        <x:v>46</x:v>
      </x:c>
      <x:c r="D27" s="23" t="s">
        <x:v>1204</x:v>
      </x:c>
      <x:c r="E27" s="23" t="s">
        <x:v>226</x:v>
      </x:c>
      <x:c r="F27" s="23" t="s">
        <x:v>226</x:v>
      </x:c>
      <x:c r="G27" s="23" t="s">
        <x:v>227</x:v>
      </x:c>
      <x:c r="H27" s="24" t="s">
        <x:v>125</x:v>
      </x:c>
      <x:c r="I27" s="23" t="s">
        <x:v>140</x:v>
      </x:c>
      <x:c r="J27" s="25" t="n">
        <x:v>46264</x:v>
      </x:c>
      <x:c r="K27" s="23"/>
      <x:c r="L27" s="26" t="n">
        <x:v>1</x:v>
      </x:c>
      <x:c r="M27" s="26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23" t="s">
        <x:v>1205</x:v>
      </x:c>
      <x:c r="B28" s="23" t="s">
        <x:v>229</x:v>
      </x:c>
      <x:c r="C28" s="23" t="s">
        <x:v>46</x:v>
      </x:c>
      <x:c r="D28" s="23" t="s">
        <x:v>1206</x:v>
      </x:c>
      <x:c r="E28" s="23" t="s">
        <x:v>160</x:v>
      </x:c>
      <x:c r="F28" s="23" t="s">
        <x:v>160</x:v>
      </x:c>
      <x:c r="G28" s="23" t="s">
        <x:v>598</x:v>
      </x:c>
      <x:c r="H28" s="27" t="s">
        <x:v>127</x:v>
      </x:c>
      <x:c r="I28" s="23" t="s">
        <x:v>139</x:v>
      </x:c>
      <x:c r="J28" s="25" t="n">
        <x:v>46264</x:v>
      </x:c>
      <x:c r="K28" s="23" t="s">
        <x:v>653</x:v>
      </x:c>
      <x:c r="L28" s="26" t="n">
        <x:v>1</x:v>
      </x:c>
      <x:c r="M28" s="26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8">
      <x:formula1>_Lists!$A$1:$A$7</x:formula1>
      <x:formula2>0</x:formula2>
    </x:dataValidation>
    <x:dataValidation type="list" errorStyle="stop" operator="between" allowBlank="0" showDropDown="0" showInputMessage="0" showErrorMessage="0" sqref="I9:I28">
      <x:formula1>_Lists!$B$1:$B$2</x:formula1>
      <x:formula2>0</x:formula2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1207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1208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16</x:v>
      </x:c>
      <x:c r="D4" s="6" t="s">
        <x:v>143</x:v>
      </x:c>
      <x:c r="E4" s="7" t="n">
        <x:f aca="0">SUM(M9:M25)</x:f>
        <x:v>16</x:v>
      </x:c>
      <x:c r="G4" s="6" t="s">
        <x:v>13</x:v>
      </x:c>
      <x:c r="H4" s="8" t="n">
        <x:f aca="0">IF(B4=0,0,E4/B4)</x:f>
        <x:v>1</x:v>
      </x:c>
      <x:c r="J4" s="6" t="s">
        <x:v>14</x:v>
      </x:c>
      <x:c r="K4" s="7" t="str">
        <x:f aca="0">IF(COUNTIFS(E9:E25,"package",M9:M25,0)&gt;0,"open","complete")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complete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1209</x:v>
      </x:c>
      <x:c r="B9" s="12" t="s">
        <x:v>157</x:v>
      </x:c>
      <x:c r="C9" s="12" t="s">
        <x:v>1147</x:v>
      </x:c>
      <x:c r="D9" s="13" t="s">
        <x:v>1210</x:v>
      </x:c>
      <x:c r="E9" s="12" t="s">
        <x:v>160</x:v>
      </x:c>
      <x:c r="F9" s="12" t="s">
        <x:v>161</x:v>
      </x:c>
      <x:c r="G9" s="13" t="s">
        <x:v>1149</x:v>
      </x:c>
      <x:c r="H9" s="12" t="s">
        <x:v>125</x:v>
      </x:c>
      <x:c r="I9" s="12" t="s">
        <x:v>140</x:v>
      </x:c>
      <x:c r="J9" s="14" t="s">
        <x:v>160</x:v>
      </x:c>
      <x:c r="K9" s="13" t="s">
        <x:v>1211</x:v>
      </x:c>
      <x:c r="L9" s="12"/>
      <x:c r="M9" s="12" t="n">
        <x:f aca="0">IF(OR(H9="not started",H9="partial"),0,1)</x:f>
        <x:v>1</x:v>
      </x:c>
    </x:row>
    <x:row r="10" s="4" customFormat="1" ht="54" hidden="0" customHeight="1">
      <x:c r="A10" s="12" t="s">
        <x:v>1212</x:v>
      </x:c>
      <x:c r="B10" s="12" t="s">
        <x:v>1213</x:v>
      </x:c>
      <x:c r="C10" s="12" t="s">
        <x:v>827</x:v>
      </x:c>
      <x:c r="D10" s="13" t="s">
        <x:v>1214</x:v>
      </x:c>
      <x:c r="E10" s="12" t="s">
        <x:v>160</x:v>
      </x:c>
      <x:c r="F10" s="12" t="s">
        <x:v>180</x:v>
      </x:c>
      <x:c r="G10" s="13" t="s">
        <x:v>1153</x:v>
      </x:c>
      <x:c r="H10" s="12" t="s">
        <x:v>125</x:v>
      </x:c>
      <x:c r="I10" s="12" t="s">
        <x:v>140</x:v>
      </x:c>
      <x:c r="J10" s="14" t="s">
        <x:v>160</x:v>
      </x:c>
      <x:c r="K10" s="13" t="s">
        <x:v>1211</x:v>
      </x:c>
      <x:c r="L10" s="12"/>
      <x:c r="M10" s="12" t="n">
        <x:f aca="0">IF(OR(H10="not started",H10="partial"),0,1)</x:f>
        <x:v>1</x:v>
      </x:c>
    </x:row>
    <x:row r="11" s="4" customFormat="1" ht="54" hidden="0" customHeight="1">
      <x:c r="A11" s="12" t="s">
        <x:v>1215</x:v>
      </x:c>
      <x:c r="B11" s="12" t="s">
        <x:v>1151</x:v>
      </x:c>
      <x:c r="C11" s="12" t="s">
        <x:v>32</x:v>
      </x:c>
      <x:c r="D11" s="13" t="s">
        <x:v>1216</x:v>
      </x:c>
      <x:c r="E11" s="12" t="s">
        <x:v>160</x:v>
      </x:c>
      <x:c r="F11" s="12" t="s">
        <x:v>180</x:v>
      </x:c>
      <x:c r="G11" s="13" t="s">
        <x:v>1153</x:v>
      </x:c>
      <x:c r="H11" s="12" t="s">
        <x:v>125</x:v>
      </x:c>
      <x:c r="I11" s="12" t="s">
        <x:v>140</x:v>
      </x:c>
      <x:c r="J11" s="14" t="s">
        <x:v>160</x:v>
      </x:c>
      <x:c r="K11" s="13" t="s">
        <x:v>1211</x:v>
      </x:c>
      <x:c r="L11" s="12"/>
      <x:c r="M11" s="12" t="n">
        <x:f aca="0">IF(OR(H11="not started",H11="partial"),0,1)</x:f>
        <x:v>1</x:v>
      </x:c>
    </x:row>
    <x:row r="12" s="4" customFormat="1" ht="54" hidden="0" customHeight="1">
      <x:c r="A12" s="12" t="s">
        <x:v>1217</x:v>
      </x:c>
      <x:c r="B12" s="12" t="s">
        <x:v>1218</x:v>
      </x:c>
      <x:c r="C12" s="12" t="s">
        <x:v>1219</x:v>
      </x:c>
      <x:c r="D12" s="13" t="s">
        <x:v>1220</x:v>
      </x:c>
      <x:c r="E12" s="12" t="s">
        <x:v>160</x:v>
      </x:c>
      <x:c r="F12" s="12" t="s">
        <x:v>160</x:v>
      </x:c>
      <x:c r="G12" s="13" t="s">
        <x:v>606</x:v>
      </x:c>
      <x:c r="H12" s="12" t="s">
        <x:v>125</x:v>
      </x:c>
      <x:c r="I12" s="12" t="s">
        <x:v>140</x:v>
      </x:c>
      <x:c r="J12" s="14" t="s">
        <x:v>160</x:v>
      </x:c>
      <x:c r="K12" s="13" t="s">
        <x:v>1211</x:v>
      </x:c>
      <x:c r="L12" s="12"/>
      <x:c r="M12" s="12" t="n">
        <x:f aca="0">IF(OR(H12="not started",H12="partial"),0,1)</x:f>
        <x:v>1</x:v>
      </x:c>
    </x:row>
    <x:row r="13" s="4" customFormat="1" ht="54" hidden="0" customHeight="1">
      <x:c r="A13" s="12" t="s">
        <x:v>1221</x:v>
      </x:c>
      <x:c r="B13" s="12" t="s">
        <x:v>164</x:v>
      </x:c>
      <x:c r="C13" s="12" t="s">
        <x:v>47</x:v>
      </x:c>
      <x:c r="D13" s="13" t="s">
        <x:v>1222</x:v>
      </x:c>
      <x:c r="E13" s="12" t="s">
        <x:v>160</x:v>
      </x:c>
      <x:c r="F13" s="12" t="s">
        <x:v>170</x:v>
      </x:c>
      <x:c r="G13" s="13" t="s">
        <x:v>1175</x:v>
      </x:c>
      <x:c r="H13" s="12" t="s">
        <x:v>125</x:v>
      </x:c>
      <x:c r="I13" s="12" t="s">
        <x:v>140</x:v>
      </x:c>
      <x:c r="J13" s="14" t="s">
        <x:v>160</x:v>
      </x:c>
      <x:c r="K13" s="13" t="s">
        <x:v>1211</x:v>
      </x:c>
      <x:c r="L13" s="12"/>
      <x:c r="M13" s="12" t="n">
        <x:f aca="0">IF(OR(H13="not started",H13="partial"),0,1)</x:f>
        <x:v>1</x:v>
      </x:c>
    </x:row>
    <x:row r="14" s="4" customFormat="1" ht="54" hidden="0" customHeight="1">
      <x:c r="A14" s="12" t="s">
        <x:v>1223</x:v>
      </x:c>
      <x:c r="B14" s="12" t="s">
        <x:v>168</x:v>
      </x:c>
      <x:c r="C14" s="12" t="s">
        <x:v>47</x:v>
      </x:c>
      <x:c r="D14" s="13" t="s">
        <x:v>1224</x:v>
      </x:c>
      <x:c r="E14" s="12" t="s">
        <x:v>160</x:v>
      </x:c>
      <x:c r="F14" s="12" t="s">
        <x:v>175</x:v>
      </x:c>
      <x:c r="G14" s="13" t="s">
        <x:v>1178</x:v>
      </x:c>
      <x:c r="H14" s="12" t="s">
        <x:v>125</x:v>
      </x:c>
      <x:c r="I14" s="12" t="s">
        <x:v>140</x:v>
      </x:c>
      <x:c r="J14" s="14" t="s">
        <x:v>160</x:v>
      </x:c>
      <x:c r="K14" s="13" t="s">
        <x:v>1211</x:v>
      </x:c>
      <x:c r="L14" s="12"/>
      <x:c r="M14" s="12" t="n">
        <x:f aca="0">IF(OR(H14="not started",H14="partial"),0,1)</x:f>
        <x:v>1</x:v>
      </x:c>
    </x:row>
    <x:row r="15" s="4" customFormat="1" ht="54" hidden="0" customHeight="1">
      <x:c r="A15" s="12" t="s">
        <x:v>1225</x:v>
      </x:c>
      <x:c r="B15" s="12" t="s">
        <x:v>173</x:v>
      </x:c>
      <x:c r="C15" s="12" t="s">
        <x:v>47</x:v>
      </x:c>
      <x:c r="D15" s="13" t="s">
        <x:v>1226</x:v>
      </x:c>
      <x:c r="E15" s="12" t="s">
        <x:v>160</x:v>
      </x:c>
      <x:c r="F15" s="12" t="s">
        <x:v>185</x:v>
      </x:c>
      <x:c r="G15" s="13" t="s">
        <x:v>1166</x:v>
      </x:c>
      <x:c r="H15" s="12" t="s">
        <x:v>125</x:v>
      </x:c>
      <x:c r="I15" s="12" t="s">
        <x:v>140</x:v>
      </x:c>
      <x:c r="J15" s="14" t="s">
        <x:v>160</x:v>
      </x:c>
      <x:c r="K15" s="13" t="s">
        <x:v>1211</x:v>
      </x:c>
      <x:c r="L15" s="12"/>
      <x:c r="M15" s="12" t="n">
        <x:f aca="0">IF(OR(H15="not started",H15="partial"),0,1)</x:f>
        <x:v>1</x:v>
      </x:c>
    </x:row>
    <x:row r="16" s="4" customFormat="1" ht="54" hidden="0" customHeight="1">
      <x:c r="A16" s="12" t="s">
        <x:v>1227</x:v>
      </x:c>
      <x:c r="B16" s="12" t="s">
        <x:v>183</x:v>
      </x:c>
      <x:c r="C16" s="12" t="s">
        <x:v>47</x:v>
      </x:c>
      <x:c r="D16" s="13" t="s">
        <x:v>1228</x:v>
      </x:c>
      <x:c r="E16" s="12" t="s">
        <x:v>160</x:v>
      </x:c>
      <x:c r="F16" s="12" t="s">
        <x:v>190</x:v>
      </x:c>
      <x:c r="G16" s="13" t="s">
        <x:v>1166</x:v>
      </x:c>
      <x:c r="H16" s="12" t="s">
        <x:v>125</x:v>
      </x:c>
      <x:c r="I16" s="12" t="s">
        <x:v>140</x:v>
      </x:c>
      <x:c r="J16" s="14" t="s">
        <x:v>160</x:v>
      </x:c>
      <x:c r="K16" s="13" t="s">
        <x:v>1211</x:v>
      </x:c>
      <x:c r="L16" s="12"/>
      <x:c r="M16" s="12" t="n">
        <x:f aca="0">IF(OR(H16="not started",H16="partial"),0,1)</x:f>
        <x:v>1</x:v>
      </x:c>
    </x:row>
    <x:row r="17" s="4" customFormat="1" ht="54" hidden="0" customHeight="1">
      <x:c r="A17" s="12" t="s">
        <x:v>1229</x:v>
      </x:c>
      <x:c r="B17" s="12" t="s">
        <x:v>188</x:v>
      </x:c>
      <x:c r="C17" s="12" t="s">
        <x:v>1230</x:v>
      </x:c>
      <x:c r="D17" s="13" t="s">
        <x:v>1231</x:v>
      </x:c>
      <x:c r="E17" s="12" t="s">
        <x:v>160</x:v>
      </x:c>
      <x:c r="F17" s="12" t="s">
        <x:v>195</x:v>
      </x:c>
      <x:c r="G17" s="13" t="s">
        <x:v>1188</x:v>
      </x:c>
      <x:c r="H17" s="12" t="s">
        <x:v>125</x:v>
      </x:c>
      <x:c r="I17" s="12" t="s">
        <x:v>139</x:v>
      </x:c>
      <x:c r="J17" s="14" t="s">
        <x:v>160</x:v>
      </x:c>
      <x:c r="K17" s="13" t="s">
        <x:v>1211</x:v>
      </x:c>
      <x:c r="L17" s="12"/>
      <x:c r="M17" s="12" t="n">
        <x:f aca="0">IF(OR(H17="not started",H17="partial"),0,1)</x:f>
        <x:v>1</x:v>
      </x:c>
    </x:row>
    <x:row r="18" s="4" customFormat="1" ht="54" hidden="0" customHeight="1">
      <x:c r="A18" s="12" t="s">
        <x:v>1232</x:v>
      </x:c>
      <x:c r="B18" s="12" t="s">
        <x:v>193</x:v>
      </x:c>
      <x:c r="C18" s="12" t="s">
        <x:v>47</x:v>
      </x:c>
      <x:c r="D18" s="13" t="s">
        <x:v>1233</x:v>
      </x:c>
      <x:c r="E18" s="12" t="s">
        <x:v>160</x:v>
      </x:c>
      <x:c r="F18" s="12" t="s">
        <x:v>201</x:v>
      </x:c>
      <x:c r="G18" s="13" t="s">
        <x:v>1191</x:v>
      </x:c>
      <x:c r="H18" s="12" t="s">
        <x:v>125</x:v>
      </x:c>
      <x:c r="I18" s="12" t="s">
        <x:v>139</x:v>
      </x:c>
      <x:c r="J18" s="14" t="s">
        <x:v>160</x:v>
      </x:c>
      <x:c r="K18" s="13" t="s">
        <x:v>1211</x:v>
      </x:c>
      <x:c r="L18" s="12"/>
      <x:c r="M18" s="12" t="n">
        <x:f aca="0">IF(OR(H18="not started",H18="partial"),0,1)</x:f>
        <x:v>1</x:v>
      </x:c>
    </x:row>
    <x:row r="19" s="4" customFormat="1" ht="54" hidden="0" customHeight="1">
      <x:c r="A19" s="12" t="s">
        <x:v>1234</x:v>
      </x:c>
      <x:c r="B19" s="12" t="s">
        <x:v>212</x:v>
      </x:c>
      <x:c r="C19" s="12" t="s">
        <x:v>47</x:v>
      </x:c>
      <x:c r="D19" s="13" t="s">
        <x:v>1235</x:v>
      </x:c>
      <x:c r="E19" s="12" t="s">
        <x:v>160</x:v>
      </x:c>
      <x:c r="F19" s="12" t="s">
        <x:v>201</x:v>
      </x:c>
      <x:c r="G19" s="13" t="s">
        <x:v>1191</x:v>
      </x:c>
      <x:c r="H19" s="12" t="s">
        <x:v>125</x:v>
      </x:c>
      <x:c r="I19" s="12" t="s">
        <x:v>139</x:v>
      </x:c>
      <x:c r="J19" s="14" t="s">
        <x:v>160</x:v>
      </x:c>
      <x:c r="K19" s="13" t="s">
        <x:v>1236</x:v>
      </x:c>
      <x:c r="L19" s="12"/>
      <x:c r="M19" s="12" t="n">
        <x:f aca="0">IF(OR(H19="not started",H19="partial"),0,1)</x:f>
        <x:v>1</x:v>
      </x:c>
    </x:row>
    <x:row r="20" s="4" customFormat="1" ht="54" hidden="0" customHeight="1">
      <x:c r="A20" s="12" t="s">
        <x:v>1237</x:v>
      </x:c>
      <x:c r="B20" s="12" t="s">
        <x:v>215</x:v>
      </x:c>
      <x:c r="C20" s="12" t="s">
        <x:v>47</x:v>
      </x:c>
      <x:c r="D20" s="13" t="s">
        <x:v>1238</x:v>
      </x:c>
      <x:c r="E20" s="12" t="s">
        <x:v>160</x:v>
      </x:c>
      <x:c r="F20" s="12" t="s">
        <x:v>217</x:v>
      </x:c>
      <x:c r="G20" s="13" t="s">
        <x:v>1199</x:v>
      </x:c>
      <x:c r="H20" s="12" t="s">
        <x:v>125</x:v>
      </x:c>
      <x:c r="I20" s="12" t="s">
        <x:v>140</x:v>
      </x:c>
      <x:c r="J20" s="14" t="s">
        <x:v>160</x:v>
      </x:c>
      <x:c r="K20" s="13" t="s">
        <x:v>1211</x:v>
      </x:c>
      <x:c r="L20" s="12"/>
      <x:c r="M20" s="12" t="n">
        <x:f aca="0">IF(OR(H20="not started",H20="partial"),0,1)</x:f>
        <x:v>1</x:v>
      </x:c>
    </x:row>
    <x:row r="21" s="4" customFormat="1" ht="54" hidden="0" customHeight="1">
      <x:c r="A21" s="12" t="s">
        <x:v>1239</x:v>
      </x:c>
      <x:c r="B21" s="12" t="s">
        <x:v>220</x:v>
      </x:c>
      <x:c r="C21" s="12" t="s">
        <x:v>47</x:v>
      </x:c>
      <x:c r="D21" s="13" t="s">
        <x:v>1240</x:v>
      </x:c>
      <x:c r="E21" s="12" t="s">
        <x:v>160</x:v>
      </x:c>
      <x:c r="F21" s="12" t="s">
        <x:v>217</x:v>
      </x:c>
      <x:c r="G21" s="13" t="s">
        <x:v>1202</x:v>
      </x:c>
      <x:c r="H21" s="12" t="s">
        <x:v>125</x:v>
      </x:c>
      <x:c r="I21" s="12" t="s">
        <x:v>140</x:v>
      </x:c>
      <x:c r="J21" s="14" t="s">
        <x:v>160</x:v>
      </x:c>
      <x:c r="K21" s="13" t="s">
        <x:v>1211</x:v>
      </x:c>
      <x:c r="L21" s="12"/>
      <x:c r="M21" s="12" t="n">
        <x:f aca="0">IF(OR(H21="not started",H21="partial"),0,1)</x:f>
        <x:v>1</x:v>
      </x:c>
    </x:row>
    <x:row r="22" s="4" customFormat="1" ht="54" hidden="0" customHeight="1">
      <x:c r="A22" s="12" t="s">
        <x:v>1241</x:v>
      </x:c>
      <x:c r="B22" s="12" t="s">
        <x:v>224</x:v>
      </x:c>
      <x:c r="C22" s="12" t="s">
        <x:v>47</x:v>
      </x:c>
      <x:c r="D22" s="13" t="s">
        <x:v>1242</x:v>
      </x:c>
      <x:c r="E22" s="12" t="s">
        <x:v>226</x:v>
      </x:c>
      <x:c r="F22" s="12" t="s">
        <x:v>226</x:v>
      </x:c>
      <x:c r="G22" s="13" t="s">
        <x:v>227</x:v>
      </x:c>
      <x:c r="H22" s="12" t="s">
        <x:v>125</x:v>
      </x:c>
      <x:c r="I22" s="12" t="s">
        <x:v>140</x:v>
      </x:c>
      <x:c r="J22" s="14" t="s">
        <x:v>160</x:v>
      </x:c>
      <x:c r="K22" s="13" t="s">
        <x:v>1211</x:v>
      </x:c>
      <x:c r="L22" s="12"/>
      <x:c r="M22" s="12" t="n">
        <x:f aca="0">IF(OR(H22="not started",H22="partial"),0,1)</x:f>
        <x:v>1</x:v>
      </x:c>
    </x:row>
    <x:row r="23" s="4" customFormat="1" ht="54" hidden="0" customHeight="1">
      <x:c r="A23" s="12" t="s">
        <x:v>1243</x:v>
      </x:c>
      <x:c r="B23" s="12" t="s">
        <x:v>646</x:v>
      </x:c>
      <x:c r="C23" s="12" t="s">
        <x:v>47</x:v>
      </x:c>
      <x:c r="D23" s="13" t="s">
        <x:v>1244</x:v>
      </x:c>
      <x:c r="E23" s="12" t="s">
        <x:v>160</x:v>
      </x:c>
      <x:c r="F23" s="12" t="s">
        <x:v>160</x:v>
      </x:c>
      <x:c r="G23" s="13" t="s">
        <x:v>1142</x:v>
      </x:c>
      <x:c r="H23" s="12" t="s">
        <x:v>125</x:v>
      </x:c>
      <x:c r="I23" s="12" t="s">
        <x:v>140</x:v>
      </x:c>
      <x:c r="J23" s="14" t="s">
        <x:v>160</x:v>
      </x:c>
      <x:c r="K23" s="13" t="s">
        <x:v>1211</x:v>
      </x:c>
      <x:c r="L23" s="12"/>
      <x:c r="M23" s="12" t="n">
        <x:f aca="0">IF(OR(H23="not started",H23="partial"),0,1)</x:f>
        <x:v>1</x:v>
      </x:c>
    </x:row>
    <x:row r="24" s="4" customFormat="1" ht="54" hidden="0" customHeight="1">
      <x:c r="A24" s="12" t="s">
        <x:v>1245</x:v>
      </x:c>
      <x:c r="B24" s="12" t="s">
        <x:v>229</x:v>
      </x:c>
      <x:c r="C24" s="12" t="s">
        <x:v>47</x:v>
      </x:c>
      <x:c r="D24" s="13" t="s">
        <x:v>1246</x:v>
      </x:c>
      <x:c r="E24" s="12" t="s">
        <x:v>160</x:v>
      </x:c>
      <x:c r="F24" s="12" t="s">
        <x:v>160</x:v>
      </x:c>
      <x:c r="G24" s="13" t="s">
        <x:v>652</x:v>
      </x:c>
      <x:c r="H24" s="12" t="s">
        <x:v>125</x:v>
      </x:c>
      <x:c r="I24" s="12" t="s">
        <x:v>140</x:v>
      </x:c>
      <x:c r="J24" s="14" t="s">
        <x:v>160</x:v>
      </x:c>
      <x:c r="K24" s="13" t="s">
        <x:v>1211</x:v>
      </x:c>
      <x:c r="L24" s="12"/>
      <x:c r="M24" s="12" t="n">
        <x:f aca="0">IF(OR(H24="not started",H24="partial"),0,1)</x:f>
        <x:v>1</x:v>
      </x:c>
    </x:row>
    <x:row r="25" s="4" customFormat="1" ht="54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1247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1248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16</x:v>
      </x:c>
      <x:c r="D4" s="6" t="s">
        <x:v>143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0.8125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1249</x:v>
      </x:c>
      <x:c r="B9" s="12" t="s">
        <x:v>157</x:v>
      </x:c>
      <x:c r="C9" s="12" t="s">
        <x:v>1250</x:v>
      </x:c>
      <x:c r="D9" s="13" t="s">
        <x:v>1251</x:v>
      </x:c>
      <x:c r="E9" s="12" t="s">
        <x:v>160</x:v>
      </x:c>
      <x:c r="F9" s="12" t="s">
        <x:v>161</x:v>
      </x:c>
      <x:c r="G9" s="13" t="s">
        <x:v>1252</x:v>
      </x:c>
      <x:c r="H9" s="12" t="s">
        <x:v>125</x:v>
      </x:c>
      <x:c r="I9" s="12" t="s">
        <x:v>140</x:v>
      </x:c>
      <x:c r="J9" s="14"/>
      <x:c r="K9" s="13"/>
      <x:c r="L9" s="12" t="n">
        <x:v>1</x:v>
      </x:c>
      <x:c r="M9" s="12" t="n">
        <x:f aca="0">IF(OR(H9="not started",H9="partial",H9="implemented"),0,1)</x:f>
        <x:v>1</x:v>
      </x:c>
    </x:row>
    <x:row r="10" s="4" customFormat="1" ht="54" hidden="0" customHeight="1">
      <x:c r="A10" s="12" t="s">
        <x:v>1253</x:v>
      </x:c>
      <x:c r="B10" s="12" t="s">
        <x:v>1254</x:v>
      </x:c>
      <x:c r="C10" s="12" t="s">
        <x:v>827</x:v>
      </x:c>
      <x:c r="D10" s="13" t="s">
        <x:v>1255</x:v>
      </x:c>
      <x:c r="E10" s="12" t="s">
        <x:v>160</x:v>
      </x:c>
      <x:c r="F10" s="12" t="s">
        <x:v>180</x:v>
      </x:c>
      <x:c r="G10" s="13" t="s">
        <x:v>1256</x:v>
      </x:c>
      <x:c r="H10" s="12" t="s">
        <x:v>125</x:v>
      </x:c>
      <x:c r="I10" s="12" t="s">
        <x:v>140</x:v>
      </x:c>
      <x:c r="J10" s="14"/>
      <x:c r="K10" s="13"/>
      <x:c r="L10" s="12" t="n">
        <x:v>1</x:v>
      </x:c>
      <x:c r="M10" s="12" t="n">
        <x:f aca="0">IF(OR(H10="not started",H10="partial",H10="implemented"),0,1)</x:f>
        <x:v>1</x:v>
      </x:c>
    </x:row>
    <x:row r="11" s="4" customFormat="1" ht="54" hidden="0" customHeight="1">
      <x:c r="A11" s="12" t="s">
        <x:v>1257</x:v>
      </x:c>
      <x:c r="B11" s="12" t="s">
        <x:v>1213</x:v>
      </x:c>
      <x:c r="C11" s="12" t="s">
        <x:v>1258</x:v>
      </x:c>
      <x:c r="D11" s="13" t="s">
        <x:v>1259</x:v>
      </x:c>
      <x:c r="E11" s="12" t="s">
        <x:v>160</x:v>
      </x:c>
      <x:c r="F11" s="12" t="s">
        <x:v>185</x:v>
      </x:c>
      <x:c r="G11" s="13" t="s">
        <x:v>1260</x:v>
      </x:c>
      <x:c r="H11" s="12" t="s">
        <x:v>125</x:v>
      </x:c>
      <x:c r="I11" s="12" t="s">
        <x:v>140</x:v>
      </x:c>
      <x:c r="J11" s="14"/>
      <x:c r="K11" s="13"/>
      <x:c r="L11" s="12" t="n">
        <x:v>1</x:v>
      </x:c>
      <x:c r="M11" s="12" t="n">
        <x:f aca="0">IF(OR(H11="not started",H11="partial",H11="implemented"),0,1)</x:f>
        <x:v>1</x:v>
      </x:c>
    </x:row>
    <x:row r="12" s="4" customFormat="1" ht="54" hidden="0" customHeight="1">
      <x:c r="A12" s="12" t="s">
        <x:v>1261</x:v>
      </x:c>
      <x:c r="B12" s="12" t="s">
        <x:v>188</x:v>
      </x:c>
      <x:c r="C12" s="12" t="s">
        <x:v>1262</x:v>
      </x:c>
      <x:c r="D12" s="13" t="s">
        <x:v>1263</x:v>
      </x:c>
      <x:c r="E12" s="12" t="s">
        <x:v>160</x:v>
      </x:c>
      <x:c r="F12" s="12" t="s">
        <x:v>185</x:v>
      </x:c>
      <x:c r="G12" s="13" t="s">
        <x:v>1260</x:v>
      </x:c>
      <x:c r="H12" s="12" t="s">
        <x:v>125</x:v>
      </x:c>
      <x:c r="I12" s="12" t="s">
        <x:v>140</x:v>
      </x:c>
      <x:c r="J12" s="14"/>
      <x:c r="K12" s="13"/>
      <x:c r="L12" s="12" t="n">
        <x:v>1</x:v>
      </x:c>
      <x:c r="M12" s="12" t="n">
        <x:f aca="0">IF(OR(H12="not started",H12="partial",H12="implemented"),0,1)</x:f>
        <x:v>1</x:v>
      </x:c>
    </x:row>
    <x:row r="13" s="4" customFormat="1" ht="54" hidden="0" customHeight="1">
      <x:c r="A13" s="12" t="s">
        <x:v>1264</x:v>
      </x:c>
      <x:c r="B13" s="12" t="s">
        <x:v>208</x:v>
      </x:c>
      <x:c r="C13" s="12" t="s">
        <x:v>1265</x:v>
      </x:c>
      <x:c r="D13" s="13" t="s">
        <x:v>1266</x:v>
      </x:c>
      <x:c r="E13" s="12" t="s">
        <x:v>160</x:v>
      </x:c>
      <x:c r="F13" s="12" t="s">
        <x:v>180</x:v>
      </x:c>
      <x:c r="G13" s="13" t="s">
        <x:v>1256</x:v>
      </x:c>
      <x:c r="H13" s="12" t="s">
        <x:v>125</x:v>
      </x:c>
      <x:c r="I13" s="12" t="s">
        <x:v>140</x:v>
      </x:c>
      <x:c r="J13" s="14"/>
      <x:c r="K13" s="13"/>
      <x:c r="L13" s="12" t="n">
        <x:v>1</x:v>
      </x:c>
      <x:c r="M13" s="12" t="n">
        <x:f aca="0">IF(OR(H13="not started",H13="partial",H13="implemented"),0,1)</x:f>
        <x:v>1</x:v>
      </x:c>
    </x:row>
    <x:row r="14" s="4" customFormat="1" ht="54" hidden="0" customHeight="1">
      <x:c r="A14" s="12" t="s">
        <x:v>1267</x:v>
      </x:c>
      <x:c r="B14" s="12" t="s">
        <x:v>164</x:v>
      </x:c>
      <x:c r="C14" s="12" t="s">
        <x:v>48</x:v>
      </x:c>
      <x:c r="D14" s="13" t="s">
        <x:v>1268</x:v>
      </x:c>
      <x:c r="E14" s="12" t="s">
        <x:v>160</x:v>
      </x:c>
      <x:c r="F14" s="12" t="s">
        <x:v>160</x:v>
      </x:c>
      <x:c r="G14" s="13" t="s">
        <x:v>166</x:v>
      </x:c>
      <x:c r="H14" s="12" t="s">
        <x:v>125</x:v>
      </x:c>
      <x:c r="I14" s="12" t="s">
        <x:v>140</x:v>
      </x:c>
      <x:c r="J14" s="14"/>
      <x:c r="K14" s="13"/>
      <x:c r="L14" s="12" t="n">
        <x:v>1</x:v>
      </x:c>
      <x:c r="M14" s="12" t="n">
        <x:f aca="0">IF(OR(H14="not started",H14="partial",H14="implemented"),0,1)</x:f>
        <x:v>1</x:v>
      </x:c>
    </x:row>
    <x:row r="15" s="4" customFormat="1" ht="54" hidden="0" customHeight="1">
      <x:c r="A15" s="12" t="s">
        <x:v>1269</x:v>
      </x:c>
      <x:c r="B15" s="12" t="s">
        <x:v>168</x:v>
      </x:c>
      <x:c r="C15" s="12" t="s">
        <x:v>48</x:v>
      </x:c>
      <x:c r="D15" s="13" t="s">
        <x:v>1270</x:v>
      </x:c>
      <x:c r="E15" s="12" t="s">
        <x:v>160</x:v>
      </x:c>
      <x:c r="F15" s="12" t="s">
        <x:v>170</x:v>
      </x:c>
      <x:c r="G15" s="13" t="s">
        <x:v>1271</x:v>
      </x:c>
      <x:c r="H15" s="12" t="s">
        <x:v>125</x:v>
      </x:c>
      <x:c r="I15" s="12" t="s">
        <x:v>140</x:v>
      </x:c>
      <x:c r="J15" s="14"/>
      <x:c r="K15" s="13"/>
      <x:c r="L15" s="12" t="n">
        <x:v>1</x:v>
      </x:c>
      <x:c r="M15" s="12" t="n">
        <x:f aca="0">IF(OR(H15="not started",H15="partial",H15="implemented"),0,1)</x:f>
        <x:v>1</x:v>
      </x:c>
    </x:row>
    <x:row r="16" s="4" customFormat="1" ht="54" hidden="0" customHeight="1">
      <x:c r="A16" s="12" t="s">
        <x:v>1272</x:v>
      </x:c>
      <x:c r="B16" s="12" t="s">
        <x:v>173</x:v>
      </x:c>
      <x:c r="C16" s="12" t="s">
        <x:v>48</x:v>
      </x:c>
      <x:c r="D16" s="13" t="s">
        <x:v>1273</x:v>
      </x:c>
      <x:c r="E16" s="12" t="s">
        <x:v>160</x:v>
      </x:c>
      <x:c r="F16" s="12" t="s">
        <x:v>175</x:v>
      </x:c>
      <x:c r="G16" s="13" t="s">
        <x:v>1274</x:v>
      </x:c>
      <x:c r="H16" s="12" t="s">
        <x:v>125</x:v>
      </x:c>
      <x:c r="I16" s="12" t="s">
        <x:v>140</x:v>
      </x:c>
      <x:c r="J16" s="14"/>
      <x:c r="K16" s="13"/>
      <x:c r="L16" s="12" t="n">
        <x:v>1</x:v>
      </x:c>
      <x:c r="M16" s="12" t="n">
        <x:f aca="0">IF(OR(H16="not started",H16="partial",H16="implemented"),0,1)</x:f>
        <x:v>1</x:v>
      </x:c>
    </x:row>
    <x:row r="17" s="4" customFormat="1" ht="54" hidden="0" customHeight="1">
      <x:c r="A17" s="12" t="s">
        <x:v>1275</x:v>
      </x:c>
      <x:c r="B17" s="12" t="s">
        <x:v>193</x:v>
      </x:c>
      <x:c r="C17" s="12" t="s">
        <x:v>48</x:v>
      </x:c>
      <x:c r="D17" s="13" t="s">
        <x:v>1276</x:v>
      </x:c>
      <x:c r="E17" s="12" t="s">
        <x:v>160</x:v>
      </x:c>
      <x:c r="F17" s="12" t="s">
        <x:v>195</x:v>
      </x:c>
      <x:c r="G17" s="13" t="s">
        <x:v>1277</x:v>
      </x:c>
      <x:c r="H17" s="12" t="s">
        <x:v>123</x:v>
      </x:c>
      <x:c r="I17" s="12" t="s">
        <x:v>139</x:v>
      </x:c>
      <x:c r="J17" s="14"/>
      <x:c r="K17" s="13" t="s">
        <x:v>1278</x:v>
      </x:c>
      <x:c r="L17" s="12" t="n">
        <x:v>1</x:v>
      </x:c>
      <x:c r="M17" s="12" t="n">
        <x:f aca="0">IF(OR(H17="not started",H17="partial",H17="implemented"),0,1)</x:f>
        <x:v>0</x:v>
      </x:c>
    </x:row>
    <x:row r="18" s="4" customFormat="1" ht="54" hidden="0" customHeight="1">
      <x:c r="A18" s="12" t="s">
        <x:v>1279</x:v>
      </x:c>
      <x:c r="B18" s="12" t="s">
        <x:v>199</x:v>
      </x:c>
      <x:c r="C18" s="12" t="s">
        <x:v>48</x:v>
      </x:c>
      <x:c r="D18" s="13" t="s">
        <x:v>1280</x:v>
      </x:c>
      <x:c r="E18" s="12" t="s">
        <x:v>160</x:v>
      </x:c>
      <x:c r="F18" s="12" t="s">
        <x:v>201</x:v>
      </x:c>
      <x:c r="G18" s="13" t="s">
        <x:v>1281</x:v>
      </x:c>
      <x:c r="H18" s="12" t="s">
        <x:v>123</x:v>
      </x:c>
      <x:c r="I18" s="12" t="s">
        <x:v>139</x:v>
      </x:c>
      <x:c r="J18" s="14"/>
      <x:c r="K18" s="13" t="s">
        <x:v>1278</x:v>
      </x:c>
      <x:c r="L18" s="12" t="n">
        <x:v>1</x:v>
      </x:c>
      <x:c r="M18" s="12" t="n">
        <x:f aca="0">IF(OR(H18="not started",H18="partial",H18="implemented"),0,1)</x:f>
        <x:v>0</x:v>
      </x:c>
    </x:row>
    <x:row r="19" s="4" customFormat="1" ht="54" hidden="0" customHeight="1">
      <x:c r="A19" s="12" t="s">
        <x:v>1282</x:v>
      </x:c>
      <x:c r="B19" s="12" t="s">
        <x:v>212</x:v>
      </x:c>
      <x:c r="C19" s="12" t="s">
        <x:v>48</x:v>
      </x:c>
      <x:c r="D19" s="13" t="s">
        <x:v>1283</x:v>
      </x:c>
      <x:c r="E19" s="12" t="s">
        <x:v>160</x:v>
      </x:c>
      <x:c r="F19" s="12" t="s">
        <x:v>201</x:v>
      </x:c>
      <x:c r="G19" s="13" t="s">
        <x:v>1281</x:v>
      </x:c>
      <x:c r="H19" s="12" t="s">
        <x:v>123</x:v>
      </x:c>
      <x:c r="I19" s="12" t="s">
        <x:v>139</x:v>
      </x:c>
      <x:c r="J19" s="14"/>
      <x:c r="K19" s="13" t="s">
        <x:v>1278</x:v>
      </x:c>
      <x:c r="L19" s="12" t="n">
        <x:v>1</x:v>
      </x:c>
      <x:c r="M19" s="12" t="n">
        <x:f aca="0">IF(OR(H19="not started",H19="partial",H19="implemented"),0,1)</x:f>
        <x:v>0</x:v>
      </x:c>
    </x:row>
    <x:row r="20" s="4" customFormat="1" ht="54" hidden="0" customHeight="1">
      <x:c r="A20" s="12" t="s">
        <x:v>1284</x:v>
      </x:c>
      <x:c r="B20" s="12" t="s">
        <x:v>215</x:v>
      </x:c>
      <x:c r="C20" s="12" t="s">
        <x:v>48</x:v>
      </x:c>
      <x:c r="D20" s="13" t="s">
        <x:v>1285</x:v>
      </x:c>
      <x:c r="E20" s="12" t="s">
        <x:v>160</x:v>
      </x:c>
      <x:c r="F20" s="12" t="s">
        <x:v>217</x:v>
      </x:c>
      <x:c r="G20" s="13" t="s">
        <x:v>1286</x:v>
      </x:c>
      <x:c r="H20" s="12" t="s">
        <x:v>125</x:v>
      </x:c>
      <x:c r="I20" s="12" t="s">
        <x:v>140</x:v>
      </x:c>
      <x:c r="J20" s="14"/>
      <x:c r="K20" s="13"/>
      <x:c r="L20" s="12" t="n">
        <x:v>1</x:v>
      </x:c>
      <x:c r="M20" s="12" t="n">
        <x:f aca="0">IF(OR(H20="not started",H20="partial",H20="implemented"),0,1)</x:f>
        <x:v>1</x:v>
      </x:c>
    </x:row>
    <x:row r="21" s="4" customFormat="1" ht="54" hidden="0" customHeight="1">
      <x:c r="A21" s="12" t="s">
        <x:v>1287</x:v>
      </x:c>
      <x:c r="B21" s="12" t="s">
        <x:v>220</x:v>
      </x:c>
      <x:c r="C21" s="12" t="s">
        <x:v>48</x:v>
      </x:c>
      <x:c r="D21" s="13" t="s">
        <x:v>1288</x:v>
      </x:c>
      <x:c r="E21" s="12" t="s">
        <x:v>160</x:v>
      </x:c>
      <x:c r="F21" s="12" t="s">
        <x:v>217</x:v>
      </x:c>
      <x:c r="G21" s="13" t="s">
        <x:v>1289</x:v>
      </x:c>
      <x:c r="H21" s="12" t="s">
        <x:v>125</x:v>
      </x:c>
      <x:c r="I21" s="12" t="s">
        <x:v>140</x:v>
      </x:c>
      <x:c r="J21" s="14"/>
      <x:c r="K21" s="13"/>
      <x:c r="L21" s="12" t="n">
        <x:v>1</x:v>
      </x:c>
      <x:c r="M21" s="12" t="n">
        <x:f aca="0">IF(OR(H21="not started",H21="partial",H21="implemented"),0,1)</x:f>
        <x:v>1</x:v>
      </x:c>
    </x:row>
    <x:row r="22" s="4" customFormat="1" ht="54" hidden="0" customHeight="1">
      <x:c r="A22" s="12" t="s">
        <x:v>1290</x:v>
      </x:c>
      <x:c r="B22" s="12" t="s">
        <x:v>224</x:v>
      </x:c>
      <x:c r="C22" s="12" t="s">
        <x:v>48</x:v>
      </x:c>
      <x:c r="D22" s="13" t="s">
        <x:v>1291</x:v>
      </x:c>
      <x:c r="E22" s="12" t="s">
        <x:v>226</x:v>
      </x:c>
      <x:c r="F22" s="12" t="s">
        <x:v>226</x:v>
      </x:c>
      <x:c r="G22" s="13" t="s">
        <x:v>227</x:v>
      </x:c>
      <x:c r="H22" s="12" t="s">
        <x:v>125</x:v>
      </x:c>
      <x:c r="I22" s="12" t="s">
        <x:v>140</x:v>
      </x:c>
      <x:c r="J22" s="14"/>
      <x:c r="K22" s="13"/>
      <x:c r="L22" s="12" t="n">
        <x:v>1</x:v>
      </x:c>
      <x:c r="M22" s="12" t="n">
        <x:f aca="0">IF(OR(H22="not started",H22="partial",H22="implemented"),0,1)</x:f>
        <x:v>1</x:v>
      </x:c>
    </x:row>
    <x:row r="23" s="4" customFormat="1" ht="54" hidden="0" customHeight="1">
      <x:c r="A23" s="12" t="s">
        <x:v>1292</x:v>
      </x:c>
      <x:c r="B23" s="12" t="s">
        <x:v>646</x:v>
      </x:c>
      <x:c r="C23" s="12" t="s">
        <x:v>1293</x:v>
      </x:c>
      <x:c r="D23" s="13" t="s">
        <x:v>1294</x:v>
      </x:c>
      <x:c r="E23" s="12" t="s">
        <x:v>160</x:v>
      </x:c>
      <x:c r="F23" s="12" t="s">
        <x:v>1295</x:v>
      </x:c>
      <x:c r="G23" s="13" t="s">
        <x:v>1296</x:v>
      </x:c>
      <x:c r="H23" s="12" t="s">
        <x:v>125</x:v>
      </x:c>
      <x:c r="I23" s="12" t="s">
        <x:v>140</x:v>
      </x:c>
      <x:c r="J23" s="14"/>
      <x:c r="K23" s="13"/>
      <x:c r="L23" s="12" t="n">
        <x:v>1</x:v>
      </x:c>
      <x:c r="M23" s="12" t="n">
        <x:f aca="0">IF(OR(H23="not started",H23="partial",H23="implemented"),0,1)</x:f>
        <x:v>1</x:v>
      </x:c>
    </x:row>
    <x:row r="24" s="4" customFormat="1" ht="54" hidden="0" customHeight="1">
      <x:c r="A24" s="12" t="s">
        <x:v>1297</x:v>
      </x:c>
      <x:c r="B24" s="12" t="s">
        <x:v>229</x:v>
      </x:c>
      <x:c r="C24" s="12" t="s">
        <x:v>48</x:v>
      </x:c>
      <x:c r="D24" s="13" t="s">
        <x:v>1246</x:v>
      </x:c>
      <x:c r="E24" s="12" t="s">
        <x:v>160</x:v>
      </x:c>
      <x:c r="F24" s="12" t="s">
        <x:v>160</x:v>
      </x:c>
      <x:c r="G24" s="13" t="s">
        <x:v>606</x:v>
      </x:c>
      <x:c r="H24" s="12" t="s">
        <x:v>125</x:v>
      </x:c>
      <x:c r="I24" s="12" t="s">
        <x:v>140</x:v>
      </x:c>
      <x:c r="J24" s="14"/>
      <x:c r="K24" s="13"/>
      <x:c r="L24" s="12" t="n">
        <x:v>1</x:v>
      </x:c>
      <x:c r="M24" s="12" t="n">
        <x:f aca="0">IF(OR(H24="not started",H24="partial",H24="implemented"),0,1)</x:f>
        <x:v>1</x:v>
      </x:c>
    </x:row>
    <x:row r="25" s="4" customFormat="1" ht="54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1298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1299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143</x:v>
      </x:c>
      <x:c r="E4" s="7" t="n">
        <x:f aca="0">SUM(M9:M25)</x:f>
        <x:v>14</x:v>
      </x:c>
      <x:c r="G4" s="6" t="s">
        <x:v>13</x:v>
      </x:c>
      <x:c r="H4" s="8" t="n">
        <x:f aca="0">IF(B4=0,0,E4/B4)</x:f>
        <x:v>0.8235294117647058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1300</x:v>
      </x:c>
      <x:c r="B9" s="12" t="s">
        <x:v>157</x:v>
      </x:c>
      <x:c r="C9" s="12" t="s">
        <x:v>49</x:v>
      </x:c>
      <x:c r="D9" s="13" t="s">
        <x:v>1301</x:v>
      </x:c>
      <x:c r="E9" s="12" t="s">
        <x:v>160</x:v>
      </x:c>
      <x:c r="F9" s="12" t="s">
        <x:v>161</x:v>
      </x:c>
      <x:c r="G9" s="13" t="s">
        <x:v>1302</x:v>
      </x:c>
      <x:c r="H9" s="12" t="s">
        <x:v>125</x:v>
      </x:c>
      <x:c r="I9" s="12" t="s">
        <x:v>140</x:v>
      </x:c>
      <x:c r="J9" s="14"/>
      <x:c r="K9" s="13"/>
      <x:c r="L9" s="12" t="n">
        <x:v>1</x:v>
      </x:c>
      <x:c r="M9" s="12" t="n">
        <x:f aca="0">IF(OR(H9="not started",H9="partial",H9="implemented"),0,1)</x:f>
        <x:v>1</x:v>
      </x:c>
    </x:row>
    <x:row r="10" s="4" customFormat="1" ht="54" hidden="0" customHeight="1">
      <x:c r="A10" s="12" t="s">
        <x:v>1303</x:v>
      </x:c>
      <x:c r="B10" s="12" t="s">
        <x:v>188</x:v>
      </x:c>
      <x:c r="C10" s="12" t="s">
        <x:v>49</x:v>
      </x:c>
      <x:c r="D10" s="13" t="s">
        <x:v>1304</x:v>
      </x:c>
      <x:c r="E10" s="12" t="s">
        <x:v>160</x:v>
      </x:c>
      <x:c r="F10" s="12" t="s">
        <x:v>180</x:v>
      </x:c>
      <x:c r="G10" s="13" t="s">
        <x:v>1305</x:v>
      </x:c>
      <x:c r="H10" s="12" t="s">
        <x:v>125</x:v>
      </x:c>
      <x:c r="I10" s="12" t="s">
        <x:v>140</x:v>
      </x:c>
      <x:c r="J10" s="14"/>
      <x:c r="K10" s="13"/>
      <x:c r="L10" s="12" t="n">
        <x:v>1</x:v>
      </x:c>
      <x:c r="M10" s="12" t="n">
        <x:f aca="0">IF(OR(H10="not started",H10="partial",H10="implemented"),0,1)</x:f>
        <x:v>1</x:v>
      </x:c>
    </x:row>
    <x:row r="11" s="4" customFormat="1" ht="54" hidden="0" customHeight="1">
      <x:c r="A11" s="12" t="s">
        <x:v>1306</x:v>
      </x:c>
      <x:c r="B11" s="12" t="s">
        <x:v>1213</x:v>
      </x:c>
      <x:c r="C11" s="12" t="s">
        <x:v>49</x:v>
      </x:c>
      <x:c r="D11" s="13" t="s">
        <x:v>1307</x:v>
      </x:c>
      <x:c r="E11" s="12" t="s">
        <x:v>160</x:v>
      </x:c>
      <x:c r="F11" s="12" t="s">
        <x:v>185</x:v>
      </x:c>
      <x:c r="G11" s="13" t="s">
        <x:v>1308</x:v>
      </x:c>
      <x:c r="H11" s="12" t="s">
        <x:v>125</x:v>
      </x:c>
      <x:c r="I11" s="12" t="s">
        <x:v>140</x:v>
      </x:c>
      <x:c r="J11" s="14"/>
      <x:c r="K11" s="13"/>
      <x:c r="L11" s="12" t="n">
        <x:v>1</x:v>
      </x:c>
      <x:c r="M11" s="12" t="n">
        <x:f aca="0">IF(OR(H11="not started",H11="partial",H11="implemented"),0,1)</x:f>
        <x:v>1</x:v>
      </x:c>
    </x:row>
    <x:row r="12" s="4" customFormat="1" ht="54" hidden="0" customHeight="1">
      <x:c r="A12" s="12" t="s">
        <x:v>1309</x:v>
      </x:c>
      <x:c r="B12" s="12" t="s">
        <x:v>1310</x:v>
      </x:c>
      <x:c r="C12" s="12" t="s">
        <x:v>49</x:v>
      </x:c>
      <x:c r="D12" s="13" t="s">
        <x:v>1311</x:v>
      </x:c>
      <x:c r="E12" s="12" t="s">
        <x:v>160</x:v>
      </x:c>
      <x:c r="F12" s="12" t="s">
        <x:v>185</x:v>
      </x:c>
      <x:c r="G12" s="13" t="s">
        <x:v>1308</x:v>
      </x:c>
      <x:c r="H12" s="12" t="s">
        <x:v>125</x:v>
      </x:c>
      <x:c r="I12" s="12" t="s">
        <x:v>140</x:v>
      </x:c>
      <x:c r="J12" s="14"/>
      <x:c r="K12" s="13"/>
      <x:c r="L12" s="12" t="n">
        <x:v>1</x:v>
      </x:c>
      <x:c r="M12" s="12" t="n">
        <x:f aca="0">IF(OR(H12="not started",H12="partial",H12="implemented"),0,1)</x:f>
        <x:v>1</x:v>
      </x:c>
    </x:row>
    <x:row r="13" s="4" customFormat="1" ht="54" hidden="0" customHeight="1">
      <x:c r="A13" s="12" t="s">
        <x:v>1312</x:v>
      </x:c>
      <x:c r="B13" s="12" t="s">
        <x:v>1313</x:v>
      </x:c>
      <x:c r="C13" s="12" t="s">
        <x:v>1314</x:v>
      </x:c>
      <x:c r="D13" s="13" t="s">
        <x:v>1315</x:v>
      </x:c>
      <x:c r="E13" s="12" t="s">
        <x:v>160</x:v>
      </x:c>
      <x:c r="F13" s="12" t="s">
        <x:v>185</x:v>
      </x:c>
      <x:c r="G13" s="13" t="s">
        <x:v>1316</x:v>
      </x:c>
      <x:c r="H13" s="12" t="s">
        <x:v>125</x:v>
      </x:c>
      <x:c r="I13" s="12" t="s">
        <x:v>140</x:v>
      </x:c>
      <x:c r="J13" s="14"/>
      <x:c r="K13" s="13"/>
      <x:c r="L13" s="12" t="n">
        <x:v>1</x:v>
      </x:c>
      <x:c r="M13" s="12" t="n">
        <x:f aca="0">IF(OR(H13="not started",H13="partial",H13="implemented"),0,1)</x:f>
        <x:v>1</x:v>
      </x:c>
    </x:row>
    <x:row r="14" s="4" customFormat="1" ht="54" hidden="0" customHeight="1">
      <x:c r="A14" s="12" t="s">
        <x:v>1317</x:v>
      </x:c>
      <x:c r="B14" s="12" t="s">
        <x:v>208</x:v>
      </x:c>
      <x:c r="C14" s="12" t="s">
        <x:v>49</x:v>
      </x:c>
      <x:c r="D14" s="13" t="s">
        <x:v>1318</x:v>
      </x:c>
      <x:c r="E14" s="12" t="s">
        <x:v>160</x:v>
      </x:c>
      <x:c r="F14" s="12" t="s">
        <x:v>180</x:v>
      </x:c>
      <x:c r="G14" s="13" t="s">
        <x:v>1305</x:v>
      </x:c>
      <x:c r="H14" s="12" t="s">
        <x:v>125</x:v>
      </x:c>
      <x:c r="I14" s="12" t="s">
        <x:v>140</x:v>
      </x:c>
      <x:c r="J14" s="14"/>
      <x:c r="K14" s="13"/>
      <x:c r="L14" s="12" t="n">
        <x:v>1</x:v>
      </x:c>
      <x:c r="M14" s="12" t="n">
        <x:f aca="0">IF(OR(H14="not started",H14="partial",H14="implemented"),0,1)</x:f>
        <x:v>1</x:v>
      </x:c>
    </x:row>
    <x:row r="15" s="4" customFormat="1" ht="54" hidden="0" customHeight="1">
      <x:c r="A15" s="12" t="s">
        <x:v>1319</x:v>
      </x:c>
      <x:c r="B15" s="12" t="s">
        <x:v>164</x:v>
      </x:c>
      <x:c r="C15" s="12" t="s">
        <x:v>49</x:v>
      </x:c>
      <x:c r="D15" s="13" t="s">
        <x:v>1320</x:v>
      </x:c>
      <x:c r="E15" s="12" t="s">
        <x:v>160</x:v>
      </x:c>
      <x:c r="F15" s="12" t="s">
        <x:v>160</x:v>
      </x:c>
      <x:c r="G15" s="13" t="s">
        <x:v>166</x:v>
      </x:c>
      <x:c r="H15" s="12" t="s">
        <x:v>125</x:v>
      </x:c>
      <x:c r="I15" s="12" t="s">
        <x:v>140</x:v>
      </x:c>
      <x:c r="J15" s="14"/>
      <x:c r="K15" s="13"/>
      <x:c r="L15" s="12" t="n">
        <x:v>1</x:v>
      </x:c>
      <x:c r="M15" s="12" t="n">
        <x:f aca="0">IF(OR(H15="not started",H15="partial",H15="implemented"),0,1)</x:f>
        <x:v>1</x:v>
      </x:c>
    </x:row>
    <x:row r="16" s="4" customFormat="1" ht="54" hidden="0" customHeight="1">
      <x:c r="A16" s="12" t="s">
        <x:v>1321</x:v>
      </x:c>
      <x:c r="B16" s="12" t="s">
        <x:v>168</x:v>
      </x:c>
      <x:c r="C16" s="12" t="s">
        <x:v>49</x:v>
      </x:c>
      <x:c r="D16" s="13" t="s">
        <x:v>1322</x:v>
      </x:c>
      <x:c r="E16" s="12" t="s">
        <x:v>160</x:v>
      </x:c>
      <x:c r="F16" s="12" t="s">
        <x:v>170</x:v>
      </x:c>
      <x:c r="G16" s="13" t="s">
        <x:v>1323</x:v>
      </x:c>
      <x:c r="H16" s="12" t="s">
        <x:v>125</x:v>
      </x:c>
      <x:c r="I16" s="12" t="s">
        <x:v>140</x:v>
      </x:c>
      <x:c r="J16" s="14"/>
      <x:c r="K16" s="13"/>
      <x:c r="L16" s="12" t="n">
        <x:v>1</x:v>
      </x:c>
      <x:c r="M16" s="12" t="n">
        <x:f aca="0">IF(OR(H16="not started",H16="partial",H16="implemented"),0,1)</x:f>
        <x:v>1</x:v>
      </x:c>
    </x:row>
    <x:row r="17" s="4" customFormat="1" ht="54" hidden="0" customHeight="1">
      <x:c r="A17" s="12" t="s">
        <x:v>1324</x:v>
      </x:c>
      <x:c r="B17" s="12" t="s">
        <x:v>173</x:v>
      </x:c>
      <x:c r="C17" s="12" t="s">
        <x:v>49</x:v>
      </x:c>
      <x:c r="D17" s="13" t="s">
        <x:v>1325</x:v>
      </x:c>
      <x:c r="E17" s="12" t="s">
        <x:v>160</x:v>
      </x:c>
      <x:c r="F17" s="12" t="s">
        <x:v>175</x:v>
      </x:c>
      <x:c r="G17" s="13" t="s">
        <x:v>1326</x:v>
      </x:c>
      <x:c r="H17" s="12" t="s">
        <x:v>125</x:v>
      </x:c>
      <x:c r="I17" s="12" t="s">
        <x:v>140</x:v>
      </x:c>
      <x:c r="J17" s="14"/>
      <x:c r="K17" s="13"/>
      <x:c r="L17" s="12" t="n">
        <x:v>1</x:v>
      </x:c>
      <x:c r="M17" s="12" t="n">
        <x:f aca="0">IF(OR(H17="not started",H17="partial",H17="implemented"),0,1)</x:f>
        <x:v>1</x:v>
      </x:c>
    </x:row>
    <x:row r="18" s="4" customFormat="1" ht="54" hidden="0" customHeight="1">
      <x:c r="A18" s="12" t="s">
        <x:v>1327</x:v>
      </x:c>
      <x:c r="B18" s="12" t="s">
        <x:v>193</x:v>
      </x:c>
      <x:c r="C18" s="12" t="s">
        <x:v>49</x:v>
      </x:c>
      <x:c r="D18" s="13" t="s">
        <x:v>1328</x:v>
      </x:c>
      <x:c r="E18" s="12" t="s">
        <x:v>160</x:v>
      </x:c>
      <x:c r="F18" s="12" t="s">
        <x:v>195</x:v>
      </x:c>
      <x:c r="G18" s="13" t="s">
        <x:v>1329</x:v>
      </x:c>
      <x:c r="H18" s="12" t="s">
        <x:v>123</x:v>
      </x:c>
      <x:c r="I18" s="12" t="s">
        <x:v>139</x:v>
      </x:c>
      <x:c r="J18" s="14"/>
      <x:c r="K18" s="13" t="s">
        <x:v>1278</x:v>
      </x:c>
      <x:c r="L18" s="12" t="n">
        <x:v>1</x:v>
      </x:c>
      <x:c r="M18" s="12" t="n">
        <x:f aca="0">IF(OR(H18="not started",H18="partial",H18="implemented"),0,1)</x:f>
        <x:v>0</x:v>
      </x:c>
    </x:row>
    <x:row r="19" s="4" customFormat="1" ht="54" hidden="0" customHeight="1">
      <x:c r="A19" s="12" t="s">
        <x:v>1330</x:v>
      </x:c>
      <x:c r="B19" s="12" t="s">
        <x:v>199</x:v>
      </x:c>
      <x:c r="C19" s="12" t="s">
        <x:v>49</x:v>
      </x:c>
      <x:c r="D19" s="13" t="s">
        <x:v>1331</x:v>
      </x:c>
      <x:c r="E19" s="12" t="s">
        <x:v>160</x:v>
      </x:c>
      <x:c r="F19" s="12" t="s">
        <x:v>201</x:v>
      </x:c>
      <x:c r="G19" s="13" t="s">
        <x:v>1332</x:v>
      </x:c>
      <x:c r="H19" s="12" t="s">
        <x:v>123</x:v>
      </x:c>
      <x:c r="I19" s="12" t="s">
        <x:v>139</x:v>
      </x:c>
      <x:c r="J19" s="14"/>
      <x:c r="K19" s="13" t="s">
        <x:v>1278</x:v>
      </x:c>
      <x:c r="L19" s="12" t="n">
        <x:v>1</x:v>
      </x:c>
      <x:c r="M19" s="12" t="n">
        <x:f aca="0">IF(OR(H19="not started",H19="partial",H19="implemented"),0,1)</x:f>
        <x:v>0</x:v>
      </x:c>
    </x:row>
    <x:row r="20" s="4" customFormat="1" ht="54" hidden="0" customHeight="1">
      <x:c r="A20" s="12" t="s">
        <x:v>1333</x:v>
      </x:c>
      <x:c r="B20" s="12" t="s">
        <x:v>212</x:v>
      </x:c>
      <x:c r="C20" s="12" t="s">
        <x:v>49</x:v>
      </x:c>
      <x:c r="D20" s="13" t="s">
        <x:v>1334</x:v>
      </x:c>
      <x:c r="E20" s="12" t="s">
        <x:v>160</x:v>
      </x:c>
      <x:c r="F20" s="12" t="s">
        <x:v>201</x:v>
      </x:c>
      <x:c r="G20" s="13" t="s">
        <x:v>1332</x:v>
      </x:c>
      <x:c r="H20" s="12" t="s">
        <x:v>123</x:v>
      </x:c>
      <x:c r="I20" s="12" t="s">
        <x:v>139</x:v>
      </x:c>
      <x:c r="J20" s="14"/>
      <x:c r="K20" s="13" t="s">
        <x:v>1278</x:v>
      </x:c>
      <x:c r="L20" s="12" t="n">
        <x:v>1</x:v>
      </x:c>
      <x:c r="M20" s="12" t="n">
        <x:f aca="0">IF(OR(H20="not started",H20="partial",H20="implemented"),0,1)</x:f>
        <x:v>0</x:v>
      </x:c>
    </x:row>
    <x:row r="21" s="4" customFormat="1" ht="54" hidden="0" customHeight="1">
      <x:c r="A21" s="12" t="s">
        <x:v>1335</x:v>
      </x:c>
      <x:c r="B21" s="12" t="s">
        <x:v>215</x:v>
      </x:c>
      <x:c r="C21" s="12" t="s">
        <x:v>49</x:v>
      </x:c>
      <x:c r="D21" s="13" t="s">
        <x:v>1336</x:v>
      </x:c>
      <x:c r="E21" s="12" t="s">
        <x:v>160</x:v>
      </x:c>
      <x:c r="F21" s="12" t="s">
        <x:v>217</x:v>
      </x:c>
      <x:c r="G21" s="13" t="s">
        <x:v>1337</x:v>
      </x:c>
      <x:c r="H21" s="12" t="s">
        <x:v>125</x:v>
      </x:c>
      <x:c r="I21" s="12" t="s">
        <x:v>140</x:v>
      </x:c>
      <x:c r="J21" s="14"/>
      <x:c r="K21" s="13"/>
      <x:c r="L21" s="12" t="n">
        <x:v>1</x:v>
      </x:c>
      <x:c r="M21" s="12" t="n">
        <x:f aca="0">IF(OR(H21="not started",H21="partial",H21="implemented"),0,1)</x:f>
        <x:v>1</x:v>
      </x:c>
    </x:row>
    <x:row r="22" s="4" customFormat="1" ht="54" hidden="0" customHeight="1">
      <x:c r="A22" s="12" t="s">
        <x:v>1338</x:v>
      </x:c>
      <x:c r="B22" s="12" t="s">
        <x:v>220</x:v>
      </x:c>
      <x:c r="C22" s="12" t="s">
        <x:v>49</x:v>
      </x:c>
      <x:c r="D22" s="13" t="s">
        <x:v>1339</x:v>
      </x:c>
      <x:c r="E22" s="12" t="s">
        <x:v>160</x:v>
      </x:c>
      <x:c r="F22" s="12" t="s">
        <x:v>217</x:v>
      </x:c>
      <x:c r="G22" s="13" t="s">
        <x:v>1340</x:v>
      </x:c>
      <x:c r="H22" s="12" t="s">
        <x:v>125</x:v>
      </x:c>
      <x:c r="I22" s="12" t="s">
        <x:v>140</x:v>
      </x:c>
      <x:c r="J22" s="14"/>
      <x:c r="K22" s="13"/>
      <x:c r="L22" s="12" t="n">
        <x:v>1</x:v>
      </x:c>
      <x:c r="M22" s="12" t="n">
        <x:f aca="0">IF(OR(H22="not started",H22="partial",H22="implemented"),0,1)</x:f>
        <x:v>1</x:v>
      </x:c>
    </x:row>
    <x:row r="23" s="4" customFormat="1" ht="54" hidden="0" customHeight="1">
      <x:c r="A23" s="12" t="s">
        <x:v>1341</x:v>
      </x:c>
      <x:c r="B23" s="12" t="s">
        <x:v>224</x:v>
      </x:c>
      <x:c r="C23" s="12" t="s">
        <x:v>49</x:v>
      </x:c>
      <x:c r="D23" s="13" t="s">
        <x:v>1342</x:v>
      </x:c>
      <x:c r="E23" s="12" t="s">
        <x:v>226</x:v>
      </x:c>
      <x:c r="F23" s="12" t="s">
        <x:v>226</x:v>
      </x:c>
      <x:c r="G23" s="13" t="s">
        <x:v>227</x:v>
      </x:c>
      <x:c r="H23" s="12" t="s">
        <x:v>125</x:v>
      </x:c>
      <x:c r="I23" s="12" t="s">
        <x:v>140</x:v>
      </x:c>
      <x:c r="J23" s="14"/>
      <x:c r="K23" s="13"/>
      <x:c r="L23" s="12" t="n">
        <x:v>1</x:v>
      </x:c>
      <x:c r="M23" s="12" t="n">
        <x:f aca="0">IF(OR(H23="not started",H23="partial",H23="implemented"),0,1)</x:f>
        <x:v>1</x:v>
      </x:c>
    </x:row>
    <x:row r="24" s="4" customFormat="1" ht="54" hidden="0" customHeight="1">
      <x:c r="A24" s="12" t="s">
        <x:v>1343</x:v>
      </x:c>
      <x:c r="B24" s="12" t="s">
        <x:v>646</x:v>
      </x:c>
      <x:c r="C24" s="12" t="s">
        <x:v>1293</x:v>
      </x:c>
      <x:c r="D24" s="13" t="s">
        <x:v>1344</x:v>
      </x:c>
      <x:c r="E24" s="12" t="s">
        <x:v>160</x:v>
      </x:c>
      <x:c r="F24" s="12" t="s">
        <x:v>1295</x:v>
      </x:c>
      <x:c r="G24" s="13" t="s">
        <x:v>1345</x:v>
      </x:c>
      <x:c r="H24" s="12" t="s">
        <x:v>125</x:v>
      </x:c>
      <x:c r="I24" s="12" t="s">
        <x:v>140</x:v>
      </x:c>
      <x:c r="J24" s="14"/>
      <x:c r="K24" s="13"/>
      <x:c r="L24" s="12" t="n">
        <x:v>1</x:v>
      </x:c>
      <x:c r="M24" s="12" t="n">
        <x:f aca="0">IF(OR(H24="not started",H24="partial",H24="implemented"),0,1)</x:f>
        <x:v>1</x:v>
      </x:c>
    </x:row>
    <x:row r="25" s="4" customFormat="1" ht="54" hidden="0" customHeight="1">
      <x:c r="A25" s="12" t="s">
        <x:v>1346</x:v>
      </x:c>
      <x:c r="B25" s="12" t="s">
        <x:v>229</x:v>
      </x:c>
      <x:c r="C25" s="12" t="s">
        <x:v>49</x:v>
      </x:c>
      <x:c r="D25" s="13" t="s">
        <x:v>1347</x:v>
      </x:c>
      <x:c r="E25" s="12" t="s">
        <x:v>160</x:v>
      </x:c>
      <x:c r="F25" s="12" t="s">
        <x:v>160</x:v>
      </x:c>
      <x:c r="G25" s="13" t="s">
        <x:v>166</x:v>
      </x:c>
      <x:c r="H25" s="12" t="s">
        <x:v>125</x:v>
      </x:c>
      <x:c r="I25" s="12" t="s">
        <x:v>140</x:v>
      </x:c>
      <x:c r="J25" s="14"/>
      <x:c r="K25" s="13"/>
      <x:c r="L25" s="12" t="n">
        <x:v>1</x:v>
      </x:c>
      <x:c r="M25" s="12" t="n">
        <x:f aca="0">IF(OR(H25="not started",H25="partial",H25="implemented"),0,1)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1348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1349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143</x:v>
      </x:c>
      <x:c r="E4" s="7" t="n">
        <x:f aca="0">SUM(M9:M30)</x:f>
        <x:v>19</x:v>
      </x:c>
      <x:c r="G4" s="6" t="s">
        <x:v>13</x:v>
      </x:c>
      <x:c r="H4" s="8" t="n">
        <x:f aca="0">IF(B4=0,0,E4/B4)</x:f>
        <x:v>0.8636363636363636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1350</x:v>
      </x:c>
      <x:c r="B9" s="12" t="s">
        <x:v>157</x:v>
      </x:c>
      <x:c r="C9" s="12" t="s">
        <x:v>1351</x:v>
      </x:c>
      <x:c r="D9" s="13" t="s">
        <x:v>1352</x:v>
      </x:c>
      <x:c r="E9" s="12" t="s">
        <x:v>160</x:v>
      </x:c>
      <x:c r="F9" s="12" t="s">
        <x:v>161</x:v>
      </x:c>
      <x:c r="G9" s="13" t="s">
        <x:v>1353</x:v>
      </x:c>
      <x:c r="H9" s="12" t="s">
        <x:v>125</x:v>
      </x:c>
      <x:c r="I9" s="12" t="s">
        <x:v>140</x:v>
      </x:c>
      <x:c r="J9" s="14"/>
      <x:c r="K9" s="13"/>
      <x:c r="L9" s="12" t="n">
        <x:v>1</x:v>
      </x:c>
      <x:c r="M9" s="12" t="n">
        <x:f aca="0">IF(OR(H9="not started",H9="partial",H9="implemented"),0,1)</x:f>
        <x:v>1</x:v>
      </x:c>
    </x:row>
    <x:row r="10" s="4" customFormat="1" ht="54" hidden="0" customHeight="1">
      <x:c r="A10" s="12" t="s">
        <x:v>1354</x:v>
      </x:c>
      <x:c r="B10" s="12" t="s">
        <x:v>1355</x:v>
      </x:c>
      <x:c r="C10" s="12" t="s">
        <x:v>827</x:v>
      </x:c>
      <x:c r="D10" s="13" t="s">
        <x:v>1356</x:v>
      </x:c>
      <x:c r="E10" s="12" t="s">
        <x:v>160</x:v>
      </x:c>
      <x:c r="F10" s="12" t="s">
        <x:v>1357</x:v>
      </x:c>
      <x:c r="G10" s="13" t="s">
        <x:v>1358</x:v>
      </x:c>
      <x:c r="H10" s="12" t="s">
        <x:v>125</x:v>
      </x:c>
      <x:c r="I10" s="12" t="s">
        <x:v>140</x:v>
      </x:c>
      <x:c r="J10" s="14"/>
      <x:c r="K10" s="13"/>
      <x:c r="L10" s="12" t="n">
        <x:v>1</x:v>
      </x:c>
      <x:c r="M10" s="12" t="n">
        <x:f aca="0">IF(OR(H10="not started",H10="partial",H10="implemented"),0,1)</x:f>
        <x:v>1</x:v>
      </x:c>
    </x:row>
    <x:row r="11" s="4" customFormat="1" ht="54" hidden="0" customHeight="1">
      <x:c r="A11" s="12" t="s">
        <x:v>1359</x:v>
      </x:c>
      <x:c r="B11" s="12" t="s">
        <x:v>1360</x:v>
      </x:c>
      <x:c r="C11" s="12" t="s">
        <x:v>1151</x:v>
      </x:c>
      <x:c r="D11" s="13" t="s">
        <x:v>1361</x:v>
      </x:c>
      <x:c r="E11" s="12" t="s">
        <x:v>160</x:v>
      </x:c>
      <x:c r="F11" s="12" t="s">
        <x:v>180</x:v>
      </x:c>
      <x:c r="G11" s="13" t="s">
        <x:v>1362</x:v>
      </x:c>
      <x:c r="H11" s="12" t="s">
        <x:v>125</x:v>
      </x:c>
      <x:c r="I11" s="12" t="s">
        <x:v>140</x:v>
      </x:c>
      <x:c r="J11" s="14"/>
      <x:c r="K11" s="13"/>
      <x:c r="L11" s="12" t="n">
        <x:v>1</x:v>
      </x:c>
      <x:c r="M11" s="12" t="n">
        <x:f aca="0">IF(OR(H11="not started",H11="partial",H11="implemented"),0,1)</x:f>
        <x:v>1</x:v>
      </x:c>
    </x:row>
    <x:row r="12" s="4" customFormat="1" ht="54" hidden="0" customHeight="1">
      <x:c r="A12" s="12" t="s">
        <x:v>1363</x:v>
      </x:c>
      <x:c r="B12" s="12" t="s">
        <x:v>1364</x:v>
      </x:c>
      <x:c r="C12" s="12" t="s">
        <x:v>1364</x:v>
      </x:c>
      <x:c r="D12" s="13" t="s">
        <x:v>1365</x:v>
      </x:c>
      <x:c r="E12" s="12" t="s">
        <x:v>160</x:v>
      </x:c>
      <x:c r="F12" s="12" t="s">
        <x:v>185</x:v>
      </x:c>
      <x:c r="G12" s="13" t="s">
        <x:v>1366</x:v>
      </x:c>
      <x:c r="H12" s="12" t="s">
        <x:v>125</x:v>
      </x:c>
      <x:c r="I12" s="12" t="s">
        <x:v>140</x:v>
      </x:c>
      <x:c r="J12" s="14"/>
      <x:c r="K12" s="13"/>
      <x:c r="L12" s="12" t="n">
        <x:v>1</x:v>
      </x:c>
      <x:c r="M12" s="12" t="n">
        <x:f aca="0">IF(OR(H12="not started",H12="partial",H12="implemented"),0,1)</x:f>
        <x:v>1</x:v>
      </x:c>
    </x:row>
    <x:row r="13" s="4" customFormat="1" ht="54" hidden="0" customHeight="1">
      <x:c r="A13" s="12" t="s">
        <x:v>1367</x:v>
      </x:c>
      <x:c r="B13" s="12" t="s">
        <x:v>1368</x:v>
      </x:c>
      <x:c r="C13" s="12" t="s">
        <x:v>1151</x:v>
      </x:c>
      <x:c r="D13" s="13" t="s">
        <x:v>1369</x:v>
      </x:c>
      <x:c r="E13" s="12" t="s">
        <x:v>160</x:v>
      </x:c>
      <x:c r="F13" s="12" t="s">
        <x:v>185</x:v>
      </x:c>
      <x:c r="G13" s="13" t="s">
        <x:v>1366</x:v>
      </x:c>
      <x:c r="H13" s="12" t="s">
        <x:v>125</x:v>
      </x:c>
      <x:c r="I13" s="12" t="s">
        <x:v>140</x:v>
      </x:c>
      <x:c r="J13" s="14"/>
      <x:c r="K13" s="13"/>
      <x:c r="L13" s="12" t="n">
        <x:v>1</x:v>
      </x:c>
      <x:c r="M13" s="12" t="n">
        <x:f aca="0">IF(OR(H13="not started",H13="partial",H13="implemented"),0,1)</x:f>
        <x:v>1</x:v>
      </x:c>
    </x:row>
    <x:row r="14" s="4" customFormat="1" ht="54" hidden="0" customHeight="1">
      <x:c r="A14" s="12" t="s">
        <x:v>1370</x:v>
      </x:c>
      <x:c r="B14" s="12" t="s">
        <x:v>1371</x:v>
      </x:c>
      <x:c r="C14" s="12" t="s">
        <x:v>1151</x:v>
      </x:c>
      <x:c r="D14" s="13" t="s">
        <x:v>1372</x:v>
      </x:c>
      <x:c r="E14" s="12" t="s">
        <x:v>160</x:v>
      </x:c>
      <x:c r="F14" s="12" t="s">
        <x:v>185</x:v>
      </x:c>
      <x:c r="G14" s="13" t="s">
        <x:v>1366</x:v>
      </x:c>
      <x:c r="H14" s="12" t="s">
        <x:v>125</x:v>
      </x:c>
      <x:c r="I14" s="12" t="s">
        <x:v>140</x:v>
      </x:c>
      <x:c r="J14" s="14"/>
      <x:c r="K14" s="13"/>
      <x:c r="L14" s="12" t="n">
        <x:v>1</x:v>
      </x:c>
      <x:c r="M14" s="12" t="n">
        <x:f aca="0">IF(OR(H14="not started",H14="partial",H14="implemented"),0,1)</x:f>
        <x:v>1</x:v>
      </x:c>
    </x:row>
    <x:row r="15" s="4" customFormat="1" ht="54" hidden="0" customHeight="1">
      <x:c r="A15" s="12" t="s">
        <x:v>1373</x:v>
      </x:c>
      <x:c r="B15" s="12" t="s">
        <x:v>1374</x:v>
      </x:c>
      <x:c r="C15" s="12" t="s">
        <x:v>827</x:v>
      </x:c>
      <x:c r="D15" s="13" t="s">
        <x:v>1375</x:v>
      </x:c>
      <x:c r="E15" s="12" t="s">
        <x:v>160</x:v>
      </x:c>
      <x:c r="F15" s="12" t="s">
        <x:v>185</x:v>
      </x:c>
      <x:c r="G15" s="13" t="s">
        <x:v>1366</x:v>
      </x:c>
      <x:c r="H15" s="12" t="s">
        <x:v>125</x:v>
      </x:c>
      <x:c r="I15" s="12" t="s">
        <x:v>140</x:v>
      </x:c>
      <x:c r="J15" s="14"/>
      <x:c r="K15" s="13"/>
      <x:c r="L15" s="12" t="n">
        <x:v>1</x:v>
      </x:c>
      <x:c r="M15" s="12" t="n">
        <x:f aca="0">IF(OR(H15="not started",H15="partial",H15="implemented"),0,1)</x:f>
        <x:v>1</x:v>
      </x:c>
    </x:row>
    <x:row r="16" s="4" customFormat="1" ht="54" hidden="0" customHeight="1">
      <x:c r="A16" s="12" t="s">
        <x:v>1376</x:v>
      </x:c>
      <x:c r="B16" s="12" t="s">
        <x:v>188</x:v>
      </x:c>
      <x:c r="C16" s="12" t="s">
        <x:v>1377</x:v>
      </x:c>
      <x:c r="D16" s="13" t="s">
        <x:v>1378</x:v>
      </x:c>
      <x:c r="E16" s="12" t="s">
        <x:v>160</x:v>
      </x:c>
      <x:c r="F16" s="12" t="s">
        <x:v>185</x:v>
      </x:c>
      <x:c r="G16" s="13" t="s">
        <x:v>1366</x:v>
      </x:c>
      <x:c r="H16" s="12" t="s">
        <x:v>125</x:v>
      </x:c>
      <x:c r="I16" s="12" t="s">
        <x:v>140</x:v>
      </x:c>
      <x:c r="J16" s="14"/>
      <x:c r="K16" s="13"/>
      <x:c r="L16" s="12" t="n">
        <x:v>1</x:v>
      </x:c>
      <x:c r="M16" s="12" t="n">
        <x:f aca="0">IF(OR(H16="not started",H16="partial",H16="implemented"),0,1)</x:f>
        <x:v>1</x:v>
      </x:c>
    </x:row>
    <x:row r="17" s="4" customFormat="1" ht="54" hidden="0" customHeight="1">
      <x:c r="A17" s="12" t="s">
        <x:v>1379</x:v>
      </x:c>
      <x:c r="B17" s="12" t="s">
        <x:v>208</x:v>
      </x:c>
      <x:c r="C17" s="12" t="s">
        <x:v>1265</x:v>
      </x:c>
      <x:c r="D17" s="13" t="s">
        <x:v>1380</x:v>
      </x:c>
      <x:c r="E17" s="12" t="s">
        <x:v>160</x:v>
      </x:c>
      <x:c r="F17" s="12" t="s">
        <x:v>180</x:v>
      </x:c>
      <x:c r="G17" s="13" t="s">
        <x:v>1381</x:v>
      </x:c>
      <x:c r="H17" s="12" t="s">
        <x:v>125</x:v>
      </x:c>
      <x:c r="I17" s="12" t="s">
        <x:v>140</x:v>
      </x:c>
      <x:c r="J17" s="14"/>
      <x:c r="K17" s="13"/>
      <x:c r="L17" s="12" t="n">
        <x:v>1</x:v>
      </x:c>
      <x:c r="M17" s="12" t="n">
        <x:f aca="0">IF(OR(H17="not started",H17="partial",H17="implemented"),0,1)</x:f>
        <x:v>1</x:v>
      </x:c>
    </x:row>
    <x:row r="18" s="4" customFormat="1" ht="54" hidden="0" customHeight="1">
      <x:c r="A18" s="12" t="s">
        <x:v>1382</x:v>
      </x:c>
      <x:c r="B18" s="12" t="s">
        <x:v>164</x:v>
      </x:c>
      <x:c r="C18" s="12" t="s">
        <x:v>50</x:v>
      </x:c>
      <x:c r="D18" s="13" t="s">
        <x:v>1383</x:v>
      </x:c>
      <x:c r="E18" s="12" t="s">
        <x:v>160</x:v>
      </x:c>
      <x:c r="F18" s="12" t="s">
        <x:v>160</x:v>
      </x:c>
      <x:c r="G18" s="13" t="s">
        <x:v>166</x:v>
      </x:c>
      <x:c r="H18" s="12" t="s">
        <x:v>125</x:v>
      </x:c>
      <x:c r="I18" s="12" t="s">
        <x:v>140</x:v>
      </x:c>
      <x:c r="J18" s="14"/>
      <x:c r="K18" s="13"/>
      <x:c r="L18" s="12" t="n">
        <x:v>1</x:v>
      </x:c>
      <x:c r="M18" s="12" t="n">
        <x:f aca="0">IF(OR(H18="not started",H18="partial",H18="implemented"),0,1)</x:f>
        <x:v>1</x:v>
      </x:c>
    </x:row>
    <x:row r="19" s="4" customFormat="1" ht="54" hidden="0" customHeight="1">
      <x:c r="A19" s="12" t="s">
        <x:v>1384</x:v>
      </x:c>
      <x:c r="B19" s="12" t="s">
        <x:v>168</x:v>
      </x:c>
      <x:c r="C19" s="12" t="s">
        <x:v>50</x:v>
      </x:c>
      <x:c r="D19" s="13" t="s">
        <x:v>1385</x:v>
      </x:c>
      <x:c r="E19" s="12" t="s">
        <x:v>160</x:v>
      </x:c>
      <x:c r="F19" s="12" t="s">
        <x:v>170</x:v>
      </x:c>
      <x:c r="G19" s="13" t="s">
        <x:v>1386</x:v>
      </x:c>
      <x:c r="H19" s="12" t="s">
        <x:v>125</x:v>
      </x:c>
      <x:c r="I19" s="12" t="s">
        <x:v>140</x:v>
      </x:c>
      <x:c r="J19" s="14"/>
      <x:c r="K19" s="13"/>
      <x:c r="L19" s="12" t="n">
        <x:v>1</x:v>
      </x:c>
      <x:c r="M19" s="12" t="n">
        <x:f aca="0">IF(OR(H19="not started",H19="partial",H19="implemented"),0,1)</x:f>
        <x:v>1</x:v>
      </x:c>
    </x:row>
    <x:row r="20" s="4" customFormat="1" ht="54" hidden="0" customHeight="1">
      <x:c r="A20" s="12" t="s">
        <x:v>1387</x:v>
      </x:c>
      <x:c r="B20" s="12" t="s">
        <x:v>173</x:v>
      </x:c>
      <x:c r="C20" s="12" t="s">
        <x:v>50</x:v>
      </x:c>
      <x:c r="D20" s="13" t="s">
        <x:v>1388</x:v>
      </x:c>
      <x:c r="E20" s="12" t="s">
        <x:v>160</x:v>
      </x:c>
      <x:c r="F20" s="12" t="s">
        <x:v>175</x:v>
      </x:c>
      <x:c r="G20" s="13" t="s">
        <x:v>1389</x:v>
      </x:c>
      <x:c r="H20" s="12" t="s">
        <x:v>125</x:v>
      </x:c>
      <x:c r="I20" s="12" t="s">
        <x:v>140</x:v>
      </x:c>
      <x:c r="J20" s="14"/>
      <x:c r="K20" s="13"/>
      <x:c r="L20" s="12" t="n">
        <x:v>1</x:v>
      </x:c>
      <x:c r="M20" s="12" t="n">
        <x:f aca="0">IF(OR(H20="not started",H20="partial",H20="implemented"),0,1)</x:f>
        <x:v>1</x:v>
      </x:c>
    </x:row>
    <x:row r="21" s="4" customFormat="1" ht="54" hidden="0" customHeight="1">
      <x:c r="A21" s="12" t="s">
        <x:v>1390</x:v>
      </x:c>
      <x:c r="B21" s="12" t="s">
        <x:v>1391</x:v>
      </x:c>
      <x:c r="C21" s="12" t="s">
        <x:v>50</x:v>
      </x:c>
      <x:c r="D21" s="13" t="s">
        <x:v>1392</x:v>
      </x:c>
      <x:c r="E21" s="12" t="s">
        <x:v>160</x:v>
      </x:c>
      <x:c r="F21" s="12" t="s">
        <x:v>160</x:v>
      </x:c>
      <x:c r="G21" s="13" t="s">
        <x:v>1393</x:v>
      </x:c>
      <x:c r="H21" s="12" t="s">
        <x:v>125</x:v>
      </x:c>
      <x:c r="I21" s="12" t="s">
        <x:v>140</x:v>
      </x:c>
      <x:c r="J21" s="14"/>
      <x:c r="K21" s="13"/>
      <x:c r="L21" s="12" t="n">
        <x:v>1</x:v>
      </x:c>
      <x:c r="M21" s="12" t="n">
        <x:f aca="0">IF(OR(H21="not started",H21="partial",H21="implemented"),0,1)</x:f>
        <x:v>1</x:v>
      </x:c>
    </x:row>
    <x:row r="22" s="4" customFormat="1" ht="54" hidden="0" customHeight="1">
      <x:c r="A22" s="12" t="s">
        <x:v>1394</x:v>
      </x:c>
      <x:c r="B22" s="12" t="s">
        <x:v>646</x:v>
      </x:c>
      <x:c r="C22" s="12" t="s">
        <x:v>50</x:v>
      </x:c>
      <x:c r="D22" s="13" t="s">
        <x:v>1395</x:v>
      </x:c>
      <x:c r="E22" s="12" t="s">
        <x:v>160</x:v>
      </x:c>
      <x:c r="F22" s="12" t="s">
        <x:v>185</x:v>
      </x:c>
      <x:c r="G22" s="13" t="s">
        <x:v>1396</x:v>
      </x:c>
      <x:c r="H22" s="12" t="s">
        <x:v>125</x:v>
      </x:c>
      <x:c r="I22" s="12" t="s">
        <x:v>140</x:v>
      </x:c>
      <x:c r="J22" s="14"/>
      <x:c r="K22" s="13"/>
      <x:c r="L22" s="12" t="n">
        <x:v>1</x:v>
      </x:c>
      <x:c r="M22" s="12" t="n">
        <x:f aca="0">IF(OR(H22="not started",H22="partial",H22="implemented"),0,1)</x:f>
        <x:v>1</x:v>
      </x:c>
    </x:row>
    <x:row r="23" s="4" customFormat="1" ht="54" hidden="0" customHeight="1">
      <x:c r="A23" s="12" t="s">
        <x:v>1397</x:v>
      </x:c>
      <x:c r="B23" s="12" t="s">
        <x:v>193</x:v>
      </x:c>
      <x:c r="C23" s="12" t="s">
        <x:v>50</x:v>
      </x:c>
      <x:c r="D23" s="13" t="s">
        <x:v>1398</x:v>
      </x:c>
      <x:c r="E23" s="12" t="s">
        <x:v>160</x:v>
      </x:c>
      <x:c r="F23" s="12" t="s">
        <x:v>195</x:v>
      </x:c>
      <x:c r="G23" s="13" t="s">
        <x:v>1399</x:v>
      </x:c>
      <x:c r="H23" s="12" t="s">
        <x:v>123</x:v>
      </x:c>
      <x:c r="I23" s="12" t="s">
        <x:v>139</x:v>
      </x:c>
      <x:c r="J23" s="14"/>
      <x:c r="K23" s="13" t="s">
        <x:v>1400</x:v>
      </x:c>
      <x:c r="L23" s="12" t="n">
        <x:v>1</x:v>
      </x:c>
      <x:c r="M23" s="12" t="n">
        <x:f aca="0">IF(OR(H23="not started",H23="partial",H23="implemented"),0,1)</x:f>
        <x:v>0</x:v>
      </x:c>
    </x:row>
    <x:row r="24" s="4" customFormat="1" ht="54" hidden="0" customHeight="1">
      <x:c r="A24" s="12" t="s">
        <x:v>1401</x:v>
      </x:c>
      <x:c r="B24" s="12" t="s">
        <x:v>199</x:v>
      </x:c>
      <x:c r="C24" s="12" t="s">
        <x:v>50</x:v>
      </x:c>
      <x:c r="D24" s="13" t="s">
        <x:v>1402</x:v>
      </x:c>
      <x:c r="E24" s="12" t="s">
        <x:v>160</x:v>
      </x:c>
      <x:c r="F24" s="12" t="s">
        <x:v>201</x:v>
      </x:c>
      <x:c r="G24" s="13" t="s">
        <x:v>1403</x:v>
      </x:c>
      <x:c r="H24" s="12" t="s">
        <x:v>123</x:v>
      </x:c>
      <x:c r="I24" s="12" t="s">
        <x:v>139</x:v>
      </x:c>
      <x:c r="J24" s="14"/>
      <x:c r="K24" s="13" t="s">
        <x:v>1400</x:v>
      </x:c>
      <x:c r="L24" s="12" t="n">
        <x:v>1</x:v>
      </x:c>
      <x:c r="M24" s="12" t="n">
        <x:f aca="0">IF(OR(H24="not started",H24="partial",H24="implemented"),0,1)</x:f>
        <x:v>0</x:v>
      </x:c>
    </x:row>
    <x:row r="25" s="4" customFormat="1" ht="54" hidden="0" customHeight="1">
      <x:c r="A25" s="12" t="s">
        <x:v>1404</x:v>
      </x:c>
      <x:c r="B25" s="12" t="s">
        <x:v>212</x:v>
      </x:c>
      <x:c r="C25" s="12" t="s">
        <x:v>50</x:v>
      </x:c>
      <x:c r="D25" s="13" t="s">
        <x:v>1405</x:v>
      </x:c>
      <x:c r="E25" s="12" t="s">
        <x:v>160</x:v>
      </x:c>
      <x:c r="F25" s="12" t="s">
        <x:v>201</x:v>
      </x:c>
      <x:c r="G25" s="13" t="s">
        <x:v>1403</x:v>
      </x:c>
      <x:c r="H25" s="12" t="s">
        <x:v>123</x:v>
      </x:c>
      <x:c r="I25" s="12" t="s">
        <x:v>139</x:v>
      </x:c>
      <x:c r="J25" s="14"/>
      <x:c r="K25" s="13" t="s">
        <x:v>1400</x:v>
      </x:c>
      <x:c r="L25" s="12" t="n">
        <x:v>1</x:v>
      </x:c>
      <x:c r="M25" s="12" t="n">
        <x:f aca="0">IF(OR(H25="not started",H25="partial",H25="implemented"),0,1)</x:f>
        <x:v>0</x:v>
      </x:c>
    </x:row>
    <x:row r="26" s="4" customFormat="1" ht="54" hidden="0" customHeight="1">
      <x:c r="A26" s="12" t="s">
        <x:v>1406</x:v>
      </x:c>
      <x:c r="B26" s="12" t="s">
        <x:v>215</x:v>
      </x:c>
      <x:c r="C26" s="12" t="s">
        <x:v>50</x:v>
      </x:c>
      <x:c r="D26" s="13" t="s">
        <x:v>1407</x:v>
      </x:c>
      <x:c r="E26" s="12" t="s">
        <x:v>160</x:v>
      </x:c>
      <x:c r="F26" s="12" t="s">
        <x:v>217</x:v>
      </x:c>
      <x:c r="G26" s="13" t="s">
        <x:v>1408</x:v>
      </x:c>
      <x:c r="H26" s="12" t="s">
        <x:v>125</x:v>
      </x:c>
      <x:c r="I26" s="12" t="s">
        <x:v>140</x:v>
      </x:c>
      <x:c r="J26" s="14"/>
      <x:c r="K26" s="13"/>
      <x:c r="L26" s="12" t="n">
        <x:v>1</x:v>
      </x:c>
      <x:c r="M26" s="12" t="n">
        <x:f aca="0">IF(OR(H26="not started",H26="partial",H26="implemented"),0,1)</x:f>
        <x:v>1</x:v>
      </x:c>
    </x:row>
    <x:row r="27" s="4" customFormat="1" ht="54" hidden="0" customHeight="1">
      <x:c r="A27" s="12" t="s">
        <x:v>1409</x:v>
      </x:c>
      <x:c r="B27" s="12" t="s">
        <x:v>220</x:v>
      </x:c>
      <x:c r="C27" s="12" t="s">
        <x:v>50</x:v>
      </x:c>
      <x:c r="D27" s="13" t="s">
        <x:v>1410</x:v>
      </x:c>
      <x:c r="E27" s="12" t="s">
        <x:v>160</x:v>
      </x:c>
      <x:c r="F27" s="12" t="s">
        <x:v>217</x:v>
      </x:c>
      <x:c r="G27" s="13" t="s">
        <x:v>1411</x:v>
      </x:c>
      <x:c r="H27" s="12" t="s">
        <x:v>125</x:v>
      </x:c>
      <x:c r="I27" s="12" t="s">
        <x:v>140</x:v>
      </x:c>
      <x:c r="J27" s="14"/>
      <x:c r="K27" s="13"/>
      <x:c r="L27" s="12" t="n">
        <x:v>1</x:v>
      </x:c>
      <x:c r="M27" s="12" t="n">
        <x:f aca="0">IF(OR(H27="not started",H27="partial",H27="implemented"),0,1)</x:f>
        <x:v>1</x:v>
      </x:c>
    </x:row>
    <x:row r="28" s="4" customFormat="1" ht="54" hidden="0" customHeight="1">
      <x:c r="A28" s="12" t="s">
        <x:v>1412</x:v>
      </x:c>
      <x:c r="B28" s="12" t="s">
        <x:v>224</x:v>
      </x:c>
      <x:c r="C28" s="12" t="s">
        <x:v>50</x:v>
      </x:c>
      <x:c r="D28" s="13" t="s">
        <x:v>1413</x:v>
      </x:c>
      <x:c r="E28" s="12" t="s">
        <x:v>226</x:v>
      </x:c>
      <x:c r="F28" s="12" t="s">
        <x:v>226</x:v>
      </x:c>
      <x:c r="G28" s="13" t="s">
        <x:v>227</x:v>
      </x:c>
      <x:c r="H28" s="12" t="s">
        <x:v>125</x:v>
      </x:c>
      <x:c r="I28" s="12" t="s">
        <x:v>140</x:v>
      </x:c>
      <x:c r="J28" s="14"/>
      <x:c r="K28" s="13"/>
      <x:c r="L28" s="12" t="n">
        <x:v>1</x:v>
      </x:c>
      <x:c r="M28" s="12" t="n">
        <x:f aca="0">IF(OR(H28="not started",H28="partial",H28="implemented"),0,1)</x:f>
        <x:v>1</x:v>
      </x:c>
    </x:row>
    <x:row r="29" s="4" customFormat="1" ht="54" hidden="0" customHeight="1">
      <x:c r="A29" s="12" t="s">
        <x:v>1414</x:v>
      </x:c>
      <x:c r="B29" s="12" t="s">
        <x:v>1293</x:v>
      </x:c>
      <x:c r="C29" s="12" t="s">
        <x:v>50</x:v>
      </x:c>
      <x:c r="D29" s="13" t="s">
        <x:v>1415</x:v>
      </x:c>
      <x:c r="E29" s="12" t="s">
        <x:v>160</x:v>
      </x:c>
      <x:c r="F29" s="12" t="s">
        <x:v>1295</x:v>
      </x:c>
      <x:c r="G29" s="13" t="s">
        <x:v>1416</x:v>
      </x:c>
      <x:c r="H29" s="12" t="s">
        <x:v>125</x:v>
      </x:c>
      <x:c r="I29" s="12" t="s">
        <x:v>140</x:v>
      </x:c>
      <x:c r="J29" s="14"/>
      <x:c r="K29" s="13"/>
      <x:c r="L29" s="12" t="n">
        <x:v>1</x:v>
      </x:c>
      <x:c r="M29" s="12" t="n">
        <x:f aca="0">IF(OR(H29="not started",H29="partial",H29="implemented"),0,1)</x:f>
        <x:v>1</x:v>
      </x:c>
    </x:row>
    <x:row r="30" s="4" customFormat="1" ht="54" hidden="0" customHeight="1">
      <x:c r="A30" s="12" t="s">
        <x:v>1417</x:v>
      </x:c>
      <x:c r="B30" s="12" t="s">
        <x:v>229</x:v>
      </x:c>
      <x:c r="C30" s="12" t="s">
        <x:v>50</x:v>
      </x:c>
      <x:c r="D30" s="13" t="s">
        <x:v>1418</x:v>
      </x:c>
      <x:c r="E30" s="12" t="s">
        <x:v>160</x:v>
      </x:c>
      <x:c r="F30" s="12" t="s">
        <x:v>160</x:v>
      </x:c>
      <x:c r="G30" s="13" t="s">
        <x:v>166</x:v>
      </x:c>
      <x:c r="H30" s="12" t="s">
        <x:v>125</x:v>
      </x:c>
      <x:c r="I30" s="12" t="s">
        <x:v>140</x:v>
      </x:c>
      <x:c r="J30" s="14"/>
      <x:c r="K30" s="13"/>
      <x:c r="L30" s="12" t="n">
        <x:v>1</x:v>
      </x:c>
      <x:c r="M30" s="12" t="n">
        <x:f aca="0">IF(OR(H30="not started",H30="partial",H30="implemented"),0,1)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1419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COUNTA(A9:A27)</x:f>
        <x:v>19</x:v>
      </x:c>
      <x:c r="D4" s="6" t="s">
        <x:v>143</x:v>
      </x:c>
      <x:c r="E4" s="7" t="n">
        <x:f aca="0">SUM(M9:M27)</x:f>
        <x:v>16</x:v>
      </x:c>
      <x:c r="G4" s="6" t="s">
        <x:v>13</x:v>
      </x:c>
      <x:c r="H4" s="8" t="n">
        <x:f aca="0">IF(B4=0,0,E4/B4)</x:f>
        <x:v>0.8421052631578947</x:v>
      </x:c>
      <x:c r="J4" s="6" t="s">
        <x:v>14</x:v>
      </x:c>
      <x:c r="K4" s="7" t="str">
        <x:f aca="0">IF(COUNTIFS(E9:E27,"package",M9:M27,0)&gt;0,"open","complete")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IF(COUNTIFS(I9:I27,"yes",M9:M27,0)&gt;0,"open","complete")</x:f>
        <x:v>open</x:v>
      </x:c>
      <x:c r="D5" s="6" t="s">
        <x:v>15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601</x:v>
      </x:c>
      <x:c r="B9" s="12" t="s">
        <x:v>157</x:v>
      </x:c>
      <x:c r="C9" s="12" t="s">
        <x:v>807</x:v>
      </x:c>
      <x:c r="D9" s="13" t="s">
        <x:v>1421</x:v>
      </x:c>
      <x:c r="E9" s="12" t="s">
        <x:v>160</x:v>
      </x:c>
      <x:c r="F9" s="12" t="s">
        <x:v>161</x:v>
      </x:c>
      <x:c r="G9" s="13" t="s">
        <x:v>1422</x:v>
      </x:c>
      <x:c r="H9" s="12" t="s">
        <x:v>125</x:v>
      </x:c>
      <x:c r="I9" s="12" t="s">
        <x:v>140</x:v>
      </x:c>
      <x:c r="J9" s="14" t="n">
        <x:v>46229</x:v>
      </x:c>
      <x:c r="K9" s="13"/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604</x:v>
      </x:c>
      <x:c r="B10" s="12" t="s">
        <x:v>1423</x:v>
      </x:c>
      <x:c r="C10" s="12" t="s">
        <x:v>1424</x:v>
      </x:c>
      <x:c r="D10" s="13" t="s">
        <x:v>1425</x:v>
      </x:c>
      <x:c r="E10" s="12" t="s">
        <x:v>160</x:v>
      </x:c>
      <x:c r="F10" s="12" t="s">
        <x:v>180</x:v>
      </x:c>
      <x:c r="G10" s="13" t="s">
        <x:v>1426</x:v>
      </x:c>
      <x:c r="H10" s="12" t="s">
        <x:v>125</x:v>
      </x:c>
      <x:c r="I10" s="12" t="s">
        <x:v>140</x:v>
      </x:c>
      <x:c r="J10" s="14" t="n">
        <x:v>46229</x:v>
      </x:c>
      <x:c r="K10" s="13"/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607</x:v>
      </x:c>
      <x:c r="B11" s="12" t="s">
        <x:v>164</x:v>
      </x:c>
      <x:c r="C11" s="12" t="s">
        <x:v>51</x:v>
      </x:c>
      <x:c r="D11" s="13" t="s">
        <x:v>1427</x:v>
      </x:c>
      <x:c r="E11" s="12" t="s">
        <x:v>160</x:v>
      </x:c>
      <x:c r="F11" s="12" t="s">
        <x:v>160</x:v>
      </x:c>
      <x:c r="G11" s="13" t="s">
        <x:v>606</x:v>
      </x:c>
      <x:c r="H11" s="12" t="s">
        <x:v>125</x:v>
      </x:c>
      <x:c r="I11" s="12" t="s">
        <x:v>140</x:v>
      </x:c>
      <x:c r="J11" s="14" t="n">
        <x:v>46229</x:v>
      </x:c>
      <x:c r="K11" s="13"/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610</x:v>
      </x:c>
      <x:c r="B12" s="12" t="s">
        <x:v>168</x:v>
      </x:c>
      <x:c r="C12" s="12" t="s">
        <x:v>51</x:v>
      </x:c>
      <x:c r="D12" s="13" t="str">
        <x:v>Closed recipes cover variant, size, density, marker, structured-part alignment, and row inset without open-ended values.</x:v>
      </x:c>
      <x:c r="E12" s="12" t="s">
        <x:v>160</x:v>
      </x:c>
      <x:c r="F12" s="12" t="s">
        <x:v>170</x:v>
      </x:c>
      <x:c r="G12" s="13" t="s">
        <x:v>1428</x:v>
      </x:c>
      <x:c r="H12" s="12" t="s">
        <x:v>125</x:v>
      </x:c>
      <x:c r="I12" s="12" t="s">
        <x:v>140</x:v>
      </x:c>
      <x:c r="J12" s="14" t="n">
        <x:v>46268.666666666664</x:v>
      </x:c>
      <x:c r="K12" s="13"/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613</x:v>
      </x:c>
      <x:c r="B13" s="12" t="s">
        <x:v>173</x:v>
      </x:c>
      <x:c r="C13" s="12" t="s">
        <x:v>51</x:v>
      </x:c>
      <x:c r="D13" s="13" t="str">
        <x:v>CSS exposes deterministic data attributes for align and inset; inset none removes ordinary row inline padding while bordered marker geometry remains recipe-owned.</x:v>
      </x:c>
      <x:c r="E13" s="12" t="s">
        <x:v>160</x:v>
      </x:c>
      <x:c r="F13" s="12" t="s">
        <x:v>175</x:v>
      </x:c>
      <x:c r="G13" s="13" t="s">
        <x:v>1429</x:v>
      </x:c>
      <x:c r="H13" s="12" t="s">
        <x:v>125</x:v>
      </x:c>
      <x:c r="I13" s="12" t="s">
        <x:v>140</x:v>
      </x:c>
      <x:c r="J13" s="14" t="n">
        <x:v>46268.666666666664</x:v>
      </x:c>
      <x:c r="K13" s="13"/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616</x:v>
      </x:c>
      <x:c r="B14" s="12" t="s">
        <x:v>178</x:v>
      </x:c>
      <x:c r="C14" s="12" t="s">
        <x:v>51</x:v>
      </x:c>
      <x:c r="D14" s="13" t="str">
        <x:v>Unit coverage verifies defaults, all align and inset values, prop filtering, refs, semantic hosts, structured anatomy, and disabled presentation.</x:v>
      </x:c>
      <x:c r="E14" s="12" t="s">
        <x:v>160</x:v>
      </x:c>
      <x:c r="F14" s="12" t="s">
        <x:v>180</x:v>
      </x:c>
      <x:c r="G14" s="13" t="s">
        <x:v>1426</x:v>
      </x:c>
      <x:c r="H14" s="12" t="s">
        <x:v>125</x:v>
      </x:c>
      <x:c r="I14" s="12" t="s">
        <x:v>140</x:v>
      </x:c>
      <x:c r="J14" s="14" t="n">
        <x:v>46268.666666666664</x:v>
      </x:c>
      <x:c r="K14" s="13"/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619</x:v>
      </x:c>
      <x:c r="B15" s="12" t="s">
        <x:v>183</x:v>
      </x:c>
      <x:c r="C15" s="12" t="s">
        <x:v>1430</x:v>
      </x:c>
      <x:c r="D15" s="13" t="str">
        <x:v>Browser coverage verifies default attributes, all recipes including align and inset, structured centering, marker behavior, nesting, RTL, and narrow containment.</x:v>
      </x:c>
      <x:c r="E15" s="12" t="s">
        <x:v>160</x:v>
      </x:c>
      <x:c r="F15" s="12" t="s">
        <x:v>185</x:v>
      </x:c>
      <x:c r="G15" s="13" t="s">
        <x:v>1431</x:v>
      </x:c>
      <x:c r="H15" s="12" t="s">
        <x:v>125</x:v>
      </x:c>
      <x:c r="I15" s="12" t="s">
        <x:v>140</x:v>
      </x:c>
      <x:c r="J15" s="14" t="n">
        <x:v>46268.666666666664</x:v>
      </x:c>
      <x:c r="K15" s="13"/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621</x:v>
      </x:c>
      <x:c r="B16" s="12" t="s">
        <x:v>1374</x:v>
      </x:c>
      <x:c r="C16" s="12" t="s">
        <x:v>1432</x:v>
      </x:c>
      <x:c r="D16" s="13" t="str">
        <x:v>Geometry checks verify center-aligned structured parts and zero inline padding for inset none while default inset remains positive.</x:v>
      </x:c>
      <x:c r="E16" s="12" t="s">
        <x:v>160</x:v>
      </x:c>
      <x:c r="F16" s="12" t="s">
        <x:v>185</x:v>
      </x:c>
      <x:c r="G16" s="13" t="s">
        <x:v>1431</x:v>
      </x:c>
      <x:c r="H16" s="12" t="s">
        <x:v>125</x:v>
      </x:c>
      <x:c r="I16" s="12" t="s">
        <x:v>140</x:v>
      </x:c>
      <x:c r="J16" s="14" t="n">
        <x:v>46268.666666666664</x:v>
      </x:c>
      <x:c r="K16" s="13"/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624</x:v>
      </x:c>
      <x:c r="B17" s="12" t="s">
        <x:v>188</x:v>
      </x:c>
      <x:c r="C17" s="12" t="s">
        <x:v>1433</x:v>
      </x:c>
      <x:c r="D17" s="13" t="s">
        <x:v>1434</x:v>
      </x:c>
      <x:c r="E17" s="12" t="s">
        <x:v>160</x:v>
      </x:c>
      <x:c r="F17" s="12" t="s">
        <x:v>190</x:v>
      </x:c>
      <x:c r="G17" s="13" t="s">
        <x:v>1431</x:v>
      </x:c>
      <x:c r="H17" s="12" t="s">
        <x:v>125</x:v>
      </x:c>
      <x:c r="I17" s="12" t="s">
        <x:v>140</x:v>
      </x:c>
      <x:c r="J17" s="14" t="n">
        <x:v>46229</x:v>
      </x:c>
      <x:c r="K17" s="13"/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628</x:v>
      </x:c>
      <x:c r="B18" s="12" t="s">
        <x:v>193</x:v>
      </x:c>
      <x:c r="C18" s="12" t="s">
        <x:v>51</x:v>
      </x:c>
      <x:c r="D18" s="13" t="s">
        <x:v>1435</x:v>
      </x:c>
      <x:c r="E18" s="12" t="s">
        <x:v>160</x:v>
      </x:c>
      <x:c r="F18" s="12" t="s">
        <x:v>195</x:v>
      </x:c>
      <x:c r="G18" s="13" t="s">
        <x:v>1436</x:v>
      </x:c>
      <x:c r="H18" s="12" t="s">
        <x:v>127</x:v>
      </x:c>
      <x:c r="I18" s="12" t="s">
        <x:v>139</x:v>
      </x:c>
      <x:c r="J18" s="14" t="n">
        <x:v>46229</x:v>
      </x:c>
      <x:c r="K18" s="13" t="s">
        <x:v>1437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632</x:v>
      </x:c>
      <x:c r="B19" s="12" t="s">
        <x:v>199</x:v>
      </x:c>
      <x:c r="C19" s="12" t="s">
        <x:v>51</x:v>
      </x:c>
      <x:c r="D19" s="13" t="s">
        <x:v>1438</x:v>
      </x:c>
      <x:c r="E19" s="12" t="s">
        <x:v>160</x:v>
      </x:c>
      <x:c r="F19" s="12" t="s">
        <x:v>201</x:v>
      </x:c>
      <x:c r="G19" s="13" t="s">
        <x:v>1439</x:v>
      </x:c>
      <x:c r="H19" s="12" t="s">
        <x:v>123</x:v>
      </x:c>
      <x:c r="I19" s="12" t="s">
        <x:v>139</x:v>
      </x:c>
      <x:c r="J19" s="14"/>
      <x:c r="K19" s="13" t="s">
        <x:v>969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634</x:v>
      </x:c>
      <x:c r="B20" s="12" t="s">
        <x:v>205</x:v>
      </x:c>
      <x:c r="C20" s="12" t="s">
        <x:v>51</x:v>
      </x:c>
      <x:c r="D20" s="13" t="s">
        <x:v>1440</x:v>
      </x:c>
      <x:c r="E20" s="12" t="s">
        <x:v>160</x:v>
      </x:c>
      <x:c r="F20" s="12" t="s">
        <x:v>201</x:v>
      </x:c>
      <x:c r="G20" s="13" t="s">
        <x:v>1441</x:v>
      </x:c>
      <x:c r="H20" s="12" t="s">
        <x:v>123</x:v>
      </x:c>
      <x:c r="I20" s="12" t="s">
        <x:v>139</x:v>
      </x:c>
      <x:c r="J20" s="14"/>
      <x:c r="K20" s="13" t="s">
        <x:v>830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637</x:v>
      </x:c>
      <x:c r="B21" s="12" t="s">
        <x:v>1360</x:v>
      </x:c>
      <x:c r="C21" s="12" t="s">
        <x:v>807</x:v>
      </x:c>
      <x:c r="D21" s="13" t="s">
        <x:v>1442</x:v>
      </x:c>
      <x:c r="E21" s="12" t="s">
        <x:v>160</x:v>
      </x:c>
      <x:c r="F21" s="12" t="s">
        <x:v>185</x:v>
      </x:c>
      <x:c r="G21" s="13" t="s">
        <x:v>1443</x:v>
      </x:c>
      <x:c r="H21" s="12" t="s">
        <x:v>125</x:v>
      </x:c>
      <x:c r="I21" s="12" t="s">
        <x:v>140</x:v>
      </x:c>
      <x:c r="J21" s="14" t="n">
        <x:v>46229</x:v>
      </x:c>
      <x:c r="K21" s="13"/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640</x:v>
      </x:c>
      <x:c r="B22" s="12" t="s">
        <x:v>212</x:v>
      </x:c>
      <x:c r="C22" s="12" t="s">
        <x:v>51</x:v>
      </x:c>
      <x:c r="D22" s="13" t="s">
        <x:v>1444</x:v>
      </x:c>
      <x:c r="E22" s="12" t="s">
        <x:v>160</x:v>
      </x:c>
      <x:c r="F22" s="12" t="s">
        <x:v>201</x:v>
      </x:c>
      <x:c r="G22" s="13" t="s">
        <x:v>1439</x:v>
      </x:c>
      <x:c r="H22" s="12" t="s">
        <x:v>123</x:v>
      </x:c>
      <x:c r="I22" s="12" t="s">
        <x:v>139</x:v>
      </x:c>
      <x:c r="J22" s="14"/>
      <x:c r="K22" s="13" t="s">
        <x:v>974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643</x:v>
      </x:c>
      <x:c r="B23" s="12" t="s">
        <x:v>215</x:v>
      </x:c>
      <x:c r="C23" s="12" t="s">
        <x:v>51</x:v>
      </x:c>
      <x:c r="D23" s="13" t="str">
        <x:v>Public docs, changelog, manual tests, and Agent Knowledge describe alignment and inset selection, defaults, CSS delivery, misuse boundaries, and validation.</x:v>
      </x:c>
      <x:c r="E23" s="12" t="s">
        <x:v>160</x:v>
      </x:c>
      <x:c r="F23" s="12" t="s">
        <x:v>217</x:v>
      </x:c>
      <x:c r="G23" s="13" t="s">
        <x:v>1445</x:v>
      </x:c>
      <x:c r="H23" s="12" t="s">
        <x:v>125</x:v>
      </x:c>
      <x:c r="I23" s="12" t="s">
        <x:v>140</x:v>
      </x:c>
      <x:c r="J23" s="14" t="n">
        <x:v>46268.666666666664</x:v>
      </x:c>
      <x:c r="K23" s="13"/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645</x:v>
      </x:c>
      <x:c r="B24" s="12" t="s">
        <x:v>220</x:v>
      </x:c>
      <x:c r="C24" s="12" t="s">
        <x:v>51</x:v>
      </x:c>
      <x:c r="D24" s="13" t="s">
        <x:v>1446</x:v>
      </x:c>
      <x:c r="E24" s="12" t="s">
        <x:v>160</x:v>
      </x:c>
      <x:c r="F24" s="12" t="s">
        <x:v>217</x:v>
      </x:c>
      <x:c r="G24" s="13" t="s">
        <x:v>1447</x:v>
      </x:c>
      <x:c r="H24" s="12" t="s">
        <x:v>125</x:v>
      </x:c>
      <x:c r="I24" s="12" t="s">
        <x:v>140</x:v>
      </x:c>
      <x:c r="J24" s="14" t="n">
        <x:v>46229</x:v>
      </x:c>
      <x:c r="K24" s="13"/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650</x:v>
      </x:c>
      <x:c r="B25" s="12" t="s">
        <x:v>224</x:v>
      </x:c>
      <x:c r="C25" s="12" t="s">
        <x:v>51</x:v>
      </x:c>
      <x:c r="D25" s="13" t="s">
        <x:v>1448</x:v>
      </x:c>
      <x:c r="E25" s="12" t="s">
        <x:v>226</x:v>
      </x:c>
      <x:c r="F25" s="12" t="s">
        <x:v>226</x:v>
      </x:c>
      <x:c r="G25" s="13" t="s">
        <x:v>227</x:v>
      </x:c>
      <x:c r="H25" s="12" t="s">
        <x:v>125</x:v>
      </x:c>
      <x:c r="I25" s="12" t="s">
        <x:v>140</x:v>
      </x:c>
      <x:c r="J25" s="14" t="n">
        <x:v>46229</x:v>
      </x:c>
      <x:c r="K25" s="13"/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1449</x:v>
      </x:c>
      <x:c r="B26" s="12" t="s">
        <x:v>646</x:v>
      </x:c>
      <x:c r="C26" s="12" t="s">
        <x:v>51</x:v>
      </x:c>
      <x:c r="D26" s="13" t="s">
        <x:v>1450</x:v>
      </x:c>
      <x:c r="E26" s="12" t="s">
        <x:v>160</x:v>
      </x:c>
      <x:c r="F26" s="12" t="s">
        <x:v>160</x:v>
      </x:c>
      <x:c r="G26" s="13" t="s">
        <x:v>1451</x:v>
      </x:c>
      <x:c r="H26" s="12" t="s">
        <x:v>125</x:v>
      </x:c>
      <x:c r="I26" s="12" t="s">
        <x:v>140</x:v>
      </x:c>
      <x:c r="J26" s="14" t="n">
        <x:v>46229</x:v>
      </x:c>
      <x:c r="K26" s="13"/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1452</x:v>
      </x:c>
      <x:c r="B27" s="12" t="s">
        <x:v>229</x:v>
      </x:c>
      <x:c r="C27" s="12" t="s">
        <x:v>51</x:v>
      </x:c>
      <x:c r="D27" s="13" t="s">
        <x:v>1453</x:v>
      </x:c>
      <x:c r="E27" s="12" t="s">
        <x:v>160</x:v>
      </x:c>
      <x:c r="F27" s="12" t="s">
        <x:v>160</x:v>
      </x:c>
      <x:c r="G27" s="13" t="s">
        <x:v>1454</x:v>
      </x:c>
      <x:c r="H27" s="12" t="s">
        <x:v>127</x:v>
      </x:c>
      <x:c r="I27" s="12" t="s">
        <x:v>139</x:v>
      </x:c>
      <x:c r="J27" s="14" t="n">
        <x:v>46264</x:v>
      </x:c>
      <x:c r="K27" s="13" t="s">
        <x:v>653</x:v>
      </x:c>
      <x:c r="M27" s="12" t="n">
        <x:f aca="0">IF(OR(AND(I27="yes",H27="verified"),AND(I27="no",OR(H27="tested",H27="verified")),AND(H27="not applicable",K27&lt;&gt;"")),1,0)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7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7">
      <x:formula1>"yes,no"</x:formula1>
      <x:formula2>0</x:formula2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1455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1456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143</x:v>
      </x:c>
      <x:c r="E4" s="7" t="n">
        <x:f aca="0">SUM(M9:M30)</x:f>
        <x:v>16</x:v>
      </x:c>
      <x:c r="G4" s="6" t="s">
        <x:v>13</x:v>
      </x:c>
      <x:c r="H4" s="8" t="n">
        <x:f aca="0">IF(B4=0,0,E4/B4)</x:f>
        <x:v>0.7272727272727273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796</x:v>
      </x:c>
      <x:c r="B9" s="12" t="s">
        <x:v>157</x:v>
      </x:c>
      <x:c r="C9" s="12" t="s">
        <x:v>1457</x:v>
      </x:c>
      <x:c r="D9" s="13" t="s">
        <x:v>1458</x:v>
      </x:c>
      <x:c r="E9" s="12" t="s">
        <x:v>160</x:v>
      </x:c>
      <x:c r="F9" s="12" t="s">
        <x:v>161</x:v>
      </x:c>
      <x:c r="G9" s="13" t="s">
        <x:v>1459</x:v>
      </x:c>
      <x:c r="H9" s="12" t="s">
        <x:v>125</x:v>
      </x:c>
      <x:c r="I9" s="12" t="s">
        <x:v>140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799</x:v>
      </x:c>
      <x:c r="B10" s="12" t="s">
        <x:v>1423</x:v>
      </x:c>
      <x:c r="C10" s="12" t="s">
        <x:v>1265</x:v>
      </x:c>
      <x:c r="D10" s="13" t="s">
        <x:v>1460</x:v>
      </x:c>
      <x:c r="E10" s="12" t="s">
        <x:v>160</x:v>
      </x:c>
      <x:c r="F10" s="12" t="s">
        <x:v>180</x:v>
      </x:c>
      <x:c r="G10" s="13" t="s">
        <x:v>1461</x:v>
      </x:c>
      <x:c r="H10" s="12" t="s">
        <x:v>125</x:v>
      </x:c>
      <x:c r="I10" s="12" t="s">
        <x:v>140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802</x:v>
      </x:c>
      <x:c r="B11" s="12" t="s">
        <x:v>164</x:v>
      </x:c>
      <x:c r="C11" s="12" t="s">
        <x:v>52</x:v>
      </x:c>
      <x:c r="D11" s="13" t="s">
        <x:v>1462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806</x:v>
      </x:c>
      <x:c r="B12" s="12" t="s">
        <x:v>168</x:v>
      </x:c>
      <x:c r="C12" s="12" t="s">
        <x:v>1463</x:v>
      </x:c>
      <x:c r="D12" s="13" t="s">
        <x:v>1464</x:v>
      </x:c>
      <x:c r="E12" s="12" t="s">
        <x:v>160</x:v>
      </x:c>
      <x:c r="F12" s="12" t="s">
        <x:v>170</x:v>
      </x:c>
      <x:c r="G12" s="13" t="s">
        <x:v>1465</x:v>
      </x:c>
      <x:c r="H12" s="12" t="s">
        <x:v>125</x:v>
      </x:c>
      <x:c r="I12" s="12" t="s">
        <x:v>140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810</x:v>
      </x:c>
      <x:c r="B13" s="12" t="s">
        <x:v>173</x:v>
      </x:c>
      <x:c r="C13" s="12" t="s">
        <x:v>1466</x:v>
      </x:c>
      <x:c r="D13" s="13" t="s">
        <x:v>1467</x:v>
      </x:c>
      <x:c r="E13" s="12" t="s">
        <x:v>160</x:v>
      </x:c>
      <x:c r="F13" s="12" t="s">
        <x:v>175</x:v>
      </x:c>
      <x:c r="G13" s="13" t="s">
        <x:v>1468</x:v>
      </x:c>
      <x:c r="H13" s="12" t="s">
        <x:v>125</x:v>
      </x:c>
      <x:c r="I13" s="12" t="s">
        <x:v>140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813</x:v>
      </x:c>
      <x:c r="B14" s="12" t="s">
        <x:v>1469</x:v>
      </x:c>
      <x:c r="C14" s="12" t="s">
        <x:v>1470</x:v>
      </x:c>
      <x:c r="D14" s="13" t="s">
        <x:v>1471</x:v>
      </x:c>
      <x:c r="E14" s="12" t="s">
        <x:v>160</x:v>
      </x:c>
      <x:c r="F14" s="12" t="s">
        <x:v>180</x:v>
      </x:c>
      <x:c r="G14" s="13" t="s">
        <x:v>1472</x:v>
      </x:c>
      <x:c r="H14" s="12" t="s">
        <x:v>125</x:v>
      </x:c>
      <x:c r="I14" s="12" t="s">
        <x:v>140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816</x:v>
      </x:c>
      <x:c r="B15" s="12" t="s">
        <x:v>1213</x:v>
      </x:c>
      <x:c r="C15" s="12" t="s">
        <x:v>1457</x:v>
      </x:c>
      <x:c r="D15" s="13" t="s">
        <x:v>1473</x:v>
      </x:c>
      <x:c r="E15" s="12" t="s">
        <x:v>160</x:v>
      </x:c>
      <x:c r="F15" s="12" t="s">
        <x:v>185</x:v>
      </x:c>
      <x:c r="G15" s="13" t="s">
        <x:v>1474</x:v>
      </x:c>
      <x:c r="H15" s="12" t="s">
        <x:v>125</x:v>
      </x:c>
      <x:c r="I15" s="12" t="s">
        <x:v>140</x:v>
      </x:c>
      <x:c r="J15" s="14" t="n">
        <x:v>46229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818</x:v>
      </x:c>
      <x:c r="B16" s="12" t="s">
        <x:v>1475</x:v>
      </x:c>
      <x:c r="C16" s="12" t="s">
        <x:v>1476</x:v>
      </x:c>
      <x:c r="D16" s="13" t="s">
        <x:v>1477</x:v>
      </x:c>
      <x:c r="E16" s="12" t="s">
        <x:v>160</x:v>
      </x:c>
      <x:c r="F16" s="12" t="s">
        <x:v>185</x:v>
      </x:c>
      <x:c r="G16" s="13" t="s">
        <x:v>1478</x:v>
      </x:c>
      <x:c r="H16" s="12" t="s">
        <x:v>125</x:v>
      </x:c>
      <x:c r="I16" s="12" t="s">
        <x:v>140</x:v>
      </x:c>
      <x:c r="J16" s="14" t="n">
        <x:v>46229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822</x:v>
      </x:c>
      <x:c r="B17" s="12" t="s">
        <x:v>1479</x:v>
      </x:c>
      <x:c r="C17" s="12" t="s">
        <x:v>1480</x:v>
      </x:c>
      <x:c r="D17" s="13" t="s">
        <x:v>1481</x:v>
      </x:c>
      <x:c r="E17" s="12" t="s">
        <x:v>160</x:v>
      </x:c>
      <x:c r="F17" s="12" t="s">
        <x:v>185</x:v>
      </x:c>
      <x:c r="G17" s="13" t="s">
        <x:v>1474</x:v>
      </x:c>
      <x:c r="H17" s="12" t="s">
        <x:v>125</x:v>
      </x:c>
      <x:c r="I17" s="12" t="s">
        <x:v>140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826</x:v>
      </x:c>
      <x:c r="B18" s="12" t="s">
        <x:v>1482</x:v>
      </x:c>
      <x:c r="C18" s="12" t="s">
        <x:v>1457</x:v>
      </x:c>
      <x:c r="D18" s="13" t="s">
        <x:v>1483</x:v>
      </x:c>
      <x:c r="E18" s="12" t="s">
        <x:v>160</x:v>
      </x:c>
      <x:c r="F18" s="12" t="s">
        <x:v>185</x:v>
      </x:c>
      <x:c r="G18" s="13" t="s">
        <x:v>1478</x:v>
      </x:c>
      <x:c r="H18" s="12" t="s">
        <x:v>125</x:v>
      </x:c>
      <x:c r="I18" s="12" t="s">
        <x:v>140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831</x:v>
      </x:c>
      <x:c r="B19" s="12" t="s">
        <x:v>208</x:v>
      </x:c>
      <x:c r="C19" s="12" t="s">
        <x:v>1484</x:v>
      </x:c>
      <x:c r="D19" s="13" t="s">
        <x:v>1485</x:v>
      </x:c>
      <x:c r="E19" s="12" t="s">
        <x:v>160</x:v>
      </x:c>
      <x:c r="F19" s="12" t="s">
        <x:v>180</x:v>
      </x:c>
      <x:c r="G19" s="13" t="s">
        <x:v>1472</x:v>
      </x:c>
      <x:c r="H19" s="12" t="s">
        <x:v>125</x:v>
      </x:c>
      <x:c r="I19" s="12" t="s">
        <x:v>140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834</x:v>
      </x:c>
      <x:c r="B20" s="12" t="s">
        <x:v>188</x:v>
      </x:c>
      <x:c r="C20" s="12" t="s">
        <x:v>52</x:v>
      </x:c>
      <x:c r="D20" s="13" t="s">
        <x:v>1486</x:v>
      </x:c>
      <x:c r="E20" s="12" t="s">
        <x:v>160</x:v>
      </x:c>
      <x:c r="F20" s="12" t="s">
        <x:v>190</x:v>
      </x:c>
      <x:c r="G20" s="13" t="s">
        <x:v>1474</x:v>
      </x:c>
      <x:c r="H20" s="12" t="s">
        <x:v>125</x:v>
      </x:c>
      <x:c r="I20" s="12" t="s">
        <x:v>140</x:v>
      </x:c>
      <x:c r="J20" s="14" t="n">
        <x:v>46229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837</x:v>
      </x:c>
      <x:c r="B21" s="12" t="s">
        <x:v>193</x:v>
      </x:c>
      <x:c r="C21" s="12" t="s">
        <x:v>52</x:v>
      </x:c>
      <x:c r="D21" s="13" t="s">
        <x:v>1487</x:v>
      </x:c>
      <x:c r="E21" s="12" t="s">
        <x:v>160</x:v>
      </x:c>
      <x:c r="F21" s="12" t="s">
        <x:v>195</x:v>
      </x:c>
      <x:c r="G21" s="13" t="s">
        <x:v>1488</x:v>
      </x:c>
      <x:c r="H21" s="12" t="s">
        <x:v>123</x:v>
      </x:c>
      <x:c r="I21" s="12" t="s">
        <x:v>139</x:v>
      </x:c>
      <x:c r="J21" s="14"/>
      <x:c r="K21" s="13" t="s">
        <x:v>1489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12" t="s">
        <x:v>840</x:v>
      </x:c>
      <x:c r="B22" s="12" t="s">
        <x:v>199</x:v>
      </x:c>
      <x:c r="C22" s="12" t="s">
        <x:v>1490</x:v>
      </x:c>
      <x:c r="D22" s="13" t="s">
        <x:v>1491</x:v>
      </x:c>
      <x:c r="E22" s="12" t="s">
        <x:v>160</x:v>
      </x:c>
      <x:c r="F22" s="12" t="s">
        <x:v>201</x:v>
      </x:c>
      <x:c r="G22" s="13" t="s">
        <x:v>1492</x:v>
      </x:c>
      <x:c r="H22" s="12" t="s">
        <x:v>123</x:v>
      </x:c>
      <x:c r="I22" s="12" t="s">
        <x:v>139</x:v>
      </x:c>
      <x:c r="J22" s="14"/>
      <x:c r="K22" s="13" t="s">
        <x:v>1493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843</x:v>
      </x:c>
      <x:c r="B23" s="12" t="s">
        <x:v>1494</x:v>
      </x:c>
      <x:c r="C23" s="12" t="s">
        <x:v>1151</x:v>
      </x:c>
      <x:c r="D23" s="13" t="s">
        <x:v>1495</x:v>
      </x:c>
      <x:c r="E23" s="12" t="s">
        <x:v>160</x:v>
      </x:c>
      <x:c r="F23" s="12" t="s">
        <x:v>201</x:v>
      </x:c>
      <x:c r="G23" s="13" t="s">
        <x:v>1496</x:v>
      </x:c>
      <x:c r="H23" s="12" t="s">
        <x:v>123</x:v>
      </x:c>
      <x:c r="I23" s="12" t="s">
        <x:v>139</x:v>
      </x:c>
      <x:c r="J23" s="14"/>
      <x:c r="K23" s="13" t="s">
        <x:v>1497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846</x:v>
      </x:c>
      <x:c r="B24" s="12" t="s">
        <x:v>1498</x:v>
      </x:c>
      <x:c r="C24" s="12" t="s">
        <x:v>52</x:v>
      </x:c>
      <x:c r="D24" s="13" t="s">
        <x:v>1499</x:v>
      </x:c>
      <x:c r="E24" s="12" t="s">
        <x:v>160</x:v>
      </x:c>
      <x:c r="F24" s="12" t="s">
        <x:v>201</x:v>
      </x:c>
      <x:c r="G24" s="13" t="s">
        <x:v>1492</x:v>
      </x:c>
      <x:c r="H24" s="12" t="s">
        <x:v>123</x:v>
      </x:c>
      <x:c r="I24" s="12" t="s">
        <x:v>139</x:v>
      </x:c>
      <x:c r="J24" s="14"/>
      <x:c r="K24" s="13" t="s">
        <x:v>1500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23.25" hidden="0" customHeight="1">
      <x:c r="A25" s="12" t="s">
        <x:v>1015</x:v>
      </x:c>
      <x:c r="B25" s="12" t="s">
        <x:v>205</x:v>
      </x:c>
      <x:c r="C25" s="12" t="s">
        <x:v>52</x:v>
      </x:c>
      <x:c r="D25" s="13" t="s">
        <x:v>578</x:v>
      </x:c>
      <x:c r="E25" s="12" t="s">
        <x:v>160</x:v>
      </x:c>
      <x:c r="F25" s="12" t="s">
        <x:v>201</x:v>
      </x:c>
      <x:c r="G25" s="13" t="s">
        <x:v>1501</x:v>
      </x:c>
      <x:c r="H25" s="12" t="s">
        <x:v>123</x:v>
      </x:c>
      <x:c r="I25" s="12" t="s">
        <x:v>139</x:v>
      </x:c>
      <x:c r="J25" s="14"/>
      <x:c r="K25" s="13" t="s">
        <x:v>1502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23.25" hidden="0" customHeight="1">
      <x:c r="A26" s="12" t="s">
        <x:v>1503</x:v>
      </x:c>
      <x:c r="B26" s="12" t="s">
        <x:v>212</x:v>
      </x:c>
      <x:c r="C26" s="12" t="s">
        <x:v>52</x:v>
      </x:c>
      <x:c r="D26" s="13" t="s">
        <x:v>1504</x:v>
      </x:c>
      <x:c r="E26" s="12" t="s">
        <x:v>160</x:v>
      </x:c>
      <x:c r="F26" s="12" t="s">
        <x:v>201</x:v>
      </x:c>
      <x:c r="G26" s="13" t="s">
        <x:v>1492</x:v>
      </x:c>
      <x:c r="H26" s="12" t="s">
        <x:v>123</x:v>
      </x:c>
      <x:c r="I26" s="12" t="s">
        <x:v>139</x:v>
      </x:c>
      <x:c r="J26" s="14"/>
      <x:c r="K26" s="13" t="s">
        <x:v>587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23.25" hidden="0" customHeight="1">
      <x:c r="A27" s="12" t="s">
        <x:v>1505</x:v>
      </x:c>
      <x:c r="B27" s="12" t="s">
        <x:v>215</x:v>
      </x:c>
      <x:c r="C27" s="12" t="s">
        <x:v>52</x:v>
      </x:c>
      <x:c r="D27" s="13" t="s">
        <x:v>1506</x:v>
      </x:c>
      <x:c r="E27" s="12" t="s">
        <x:v>160</x:v>
      </x:c>
      <x:c r="F27" s="12" t="s">
        <x:v>217</x:v>
      </x:c>
      <x:c r="G27" s="13" t="s">
        <x:v>1507</x:v>
      </x:c>
      <x:c r="H27" s="12" t="s">
        <x:v>125</x:v>
      </x:c>
      <x:c r="I27" s="12" t="s">
        <x:v>140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23.25" hidden="0" customHeight="1">
      <x:c r="A28" s="12" t="s">
        <x:v>1508</x:v>
      </x:c>
      <x:c r="B28" s="12" t="s">
        <x:v>220</x:v>
      </x:c>
      <x:c r="C28" s="12" t="s">
        <x:v>52</x:v>
      </x:c>
      <x:c r="D28" s="13" t="s">
        <x:v>1509</x:v>
      </x:c>
      <x:c r="E28" s="12" t="s">
        <x:v>160</x:v>
      </x:c>
      <x:c r="F28" s="12" t="s">
        <x:v>217</x:v>
      </x:c>
      <x:c r="G28" s="13" t="s">
        <x:v>1510</x:v>
      </x:c>
      <x:c r="H28" s="12" t="s">
        <x:v>125</x:v>
      </x:c>
      <x:c r="I28" s="12" t="s">
        <x:v>140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23.25" hidden="0" customHeight="1">
      <x:c r="A29" s="12" t="s">
        <x:v>1511</x:v>
      </x:c>
      <x:c r="B29" s="12" t="s">
        <x:v>224</x:v>
      </x:c>
      <x:c r="C29" s="12" t="s">
        <x:v>52</x:v>
      </x:c>
      <x:c r="D29" s="13" t="s">
        <x:v>1512</x:v>
      </x:c>
      <x:c r="E29" s="12" t="s">
        <x:v>226</x:v>
      </x:c>
      <x:c r="F29" s="12" t="s">
        <x:v>226</x:v>
      </x:c>
      <x:c r="G29" s="13" t="s">
        <x:v>227</x:v>
      </x:c>
      <x:c r="H29" s="12" t="s">
        <x:v>125</x:v>
      </x:c>
      <x:c r="I29" s="12" t="s">
        <x:v>140</x:v>
      </x:c>
      <x:c r="J29" s="14" t="s">
        <x:v>1513</x:v>
      </x:c>
      <x:c r="K29" s="13" t="s">
        <x:v>1514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23.25" hidden="0" customHeight="1">
      <x:c r="A30" s="12" t="s">
        <x:v>1515</x:v>
      </x:c>
      <x:c r="B30" s="12" t="s">
        <x:v>229</x:v>
      </x:c>
      <x:c r="C30" s="12" t="s">
        <x:v>52</x:v>
      </x:c>
      <x:c r="D30" s="13" t="s">
        <x:v>1516</x:v>
      </x:c>
      <x:c r="E30" s="12" t="s">
        <x:v>160</x:v>
      </x:c>
      <x:c r="F30" s="12" t="s">
        <x:v>160</x:v>
      </x:c>
      <x:c r="G30" s="13" t="s">
        <x:v>598</x:v>
      </x:c>
      <x:c r="H30" s="12" t="s">
        <x:v>125</x:v>
      </x:c>
      <x:c r="I30" s="12" t="s">
        <x:v>140</x:v>
      </x:c>
      <x:c r="J30" s="14" t="s">
        <x:v>1513</x:v>
      </x:c>
      <x:c r="K30" s="13" t="s">
        <x:v>1517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1518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1519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143</x:v>
      </x:c>
      <x:c r="E4" s="7" t="n">
        <x:f aca="0">SUM(M9:M30)</x:f>
        <x:v>16</x:v>
      </x:c>
      <x:c r="G4" s="6" t="s">
        <x:v>13</x:v>
      </x:c>
      <x:c r="H4" s="8" t="n">
        <x:f aca="0">IF(B4=0,0,E4/B4)</x:f>
        <x:v>0.7272727272727273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1520</x:v>
      </x:c>
      <x:c r="B9" s="12" t="s">
        <x:v>157</x:v>
      </x:c>
      <x:c r="C9" s="12" t="s">
        <x:v>1457</x:v>
      </x:c>
      <x:c r="D9" s="13" t="s">
        <x:v>1521</x:v>
      </x:c>
      <x:c r="E9" s="12" t="s">
        <x:v>160</x:v>
      </x:c>
      <x:c r="F9" s="12" t="s">
        <x:v>161</x:v>
      </x:c>
      <x:c r="G9" s="13" t="s">
        <x:v>1522</x:v>
      </x:c>
      <x:c r="H9" s="12" t="s">
        <x:v>125</x:v>
      </x:c>
      <x:c r="I9" s="12" t="s">
        <x:v>140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1523</x:v>
      </x:c>
      <x:c r="B10" s="12" t="s">
        <x:v>1423</x:v>
      </x:c>
      <x:c r="C10" s="12" t="s">
        <x:v>1265</x:v>
      </x:c>
      <x:c r="D10" s="13" t="s">
        <x:v>1460</x:v>
      </x:c>
      <x:c r="E10" s="12" t="s">
        <x:v>160</x:v>
      </x:c>
      <x:c r="F10" s="12" t="s">
        <x:v>180</x:v>
      </x:c>
      <x:c r="G10" s="13" t="s">
        <x:v>1524</x:v>
      </x:c>
      <x:c r="H10" s="12" t="s">
        <x:v>125</x:v>
      </x:c>
      <x:c r="I10" s="12" t="s">
        <x:v>140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1525</x:v>
      </x:c>
      <x:c r="B11" s="12" t="s">
        <x:v>164</x:v>
      </x:c>
      <x:c r="C11" s="12" t="s">
        <x:v>53</x:v>
      </x:c>
      <x:c r="D11" s="13" t="s">
        <x:v>1526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1527</x:v>
      </x:c>
      <x:c r="B12" s="12" t="s">
        <x:v>168</x:v>
      </x:c>
      <x:c r="C12" s="12" t="s">
        <x:v>1463</x:v>
      </x:c>
      <x:c r="D12" s="13" t="s">
        <x:v>1528</x:v>
      </x:c>
      <x:c r="E12" s="12" t="s">
        <x:v>160</x:v>
      </x:c>
      <x:c r="F12" s="12" t="s">
        <x:v>170</x:v>
      </x:c>
      <x:c r="G12" s="13" t="s">
        <x:v>1529</x:v>
      </x:c>
      <x:c r="H12" s="12" t="s">
        <x:v>125</x:v>
      </x:c>
      <x:c r="I12" s="12" t="s">
        <x:v>140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1530</x:v>
      </x:c>
      <x:c r="B13" s="12" t="s">
        <x:v>173</x:v>
      </x:c>
      <x:c r="C13" s="12" t="s">
        <x:v>1466</x:v>
      </x:c>
      <x:c r="D13" s="13" t="s">
        <x:v>1467</x:v>
      </x:c>
      <x:c r="E13" s="12" t="s">
        <x:v>160</x:v>
      </x:c>
      <x:c r="F13" s="12" t="s">
        <x:v>175</x:v>
      </x:c>
      <x:c r="G13" s="13" t="s">
        <x:v>1531</x:v>
      </x:c>
      <x:c r="H13" s="12" t="s">
        <x:v>125</x:v>
      </x:c>
      <x:c r="I13" s="12" t="s">
        <x:v>140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1532</x:v>
      </x:c>
      <x:c r="B14" s="12" t="s">
        <x:v>1469</x:v>
      </x:c>
      <x:c r="C14" s="12" t="s">
        <x:v>1470</x:v>
      </x:c>
      <x:c r="D14" s="13" t="s">
        <x:v>1533</x:v>
      </x:c>
      <x:c r="E14" s="12" t="s">
        <x:v>160</x:v>
      </x:c>
      <x:c r="F14" s="12" t="s">
        <x:v>180</x:v>
      </x:c>
      <x:c r="G14" s="13" t="s">
        <x:v>1534</x:v>
      </x:c>
      <x:c r="H14" s="12" t="s">
        <x:v>125</x:v>
      </x:c>
      <x:c r="I14" s="12" t="s">
        <x:v>140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1535</x:v>
      </x:c>
      <x:c r="B15" s="12" t="s">
        <x:v>1213</x:v>
      </x:c>
      <x:c r="C15" s="12" t="s">
        <x:v>1457</x:v>
      </x:c>
      <x:c r="D15" s="13" t="s">
        <x:v>1473</x:v>
      </x:c>
      <x:c r="E15" s="12" t="s">
        <x:v>160</x:v>
      </x:c>
      <x:c r="F15" s="12" t="s">
        <x:v>185</x:v>
      </x:c>
      <x:c r="G15" s="13" t="s">
        <x:v>1536</x:v>
      </x:c>
      <x:c r="H15" s="12" t="s">
        <x:v>125</x:v>
      </x:c>
      <x:c r="I15" s="12" t="s">
        <x:v>140</x:v>
      </x:c>
      <x:c r="J15" s="14" t="n">
        <x:v>46229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1537</x:v>
      </x:c>
      <x:c r="B16" s="12" t="s">
        <x:v>1475</x:v>
      </x:c>
      <x:c r="C16" s="12" t="s">
        <x:v>1476</x:v>
      </x:c>
      <x:c r="D16" s="13" t="s">
        <x:v>1538</x:v>
      </x:c>
      <x:c r="E16" s="12" t="s">
        <x:v>160</x:v>
      </x:c>
      <x:c r="F16" s="12" t="s">
        <x:v>185</x:v>
      </x:c>
      <x:c r="G16" s="13" t="s">
        <x:v>1539</x:v>
      </x:c>
      <x:c r="H16" s="12" t="s">
        <x:v>125</x:v>
      </x:c>
      <x:c r="I16" s="12" t="s">
        <x:v>140</x:v>
      </x:c>
      <x:c r="J16" s="14" t="n">
        <x:v>46229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1540</x:v>
      </x:c>
      <x:c r="B17" s="12" t="s">
        <x:v>1479</x:v>
      </x:c>
      <x:c r="C17" s="12" t="s">
        <x:v>1480</x:v>
      </x:c>
      <x:c r="D17" s="13" t="s">
        <x:v>1481</x:v>
      </x:c>
      <x:c r="E17" s="12" t="s">
        <x:v>160</x:v>
      </x:c>
      <x:c r="F17" s="12" t="s">
        <x:v>185</x:v>
      </x:c>
      <x:c r="G17" s="13" t="s">
        <x:v>1536</x:v>
      </x:c>
      <x:c r="H17" s="12" t="s">
        <x:v>125</x:v>
      </x:c>
      <x:c r="I17" s="12" t="s">
        <x:v>140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1541</x:v>
      </x:c>
      <x:c r="B18" s="12" t="s">
        <x:v>1482</x:v>
      </x:c>
      <x:c r="C18" s="12" t="s">
        <x:v>1457</x:v>
      </x:c>
      <x:c r="D18" s="13" t="s">
        <x:v>1542</x:v>
      </x:c>
      <x:c r="E18" s="12" t="s">
        <x:v>160</x:v>
      </x:c>
      <x:c r="F18" s="12" t="s">
        <x:v>185</x:v>
      </x:c>
      <x:c r="G18" s="13" t="s">
        <x:v>1539</x:v>
      </x:c>
      <x:c r="H18" s="12" t="s">
        <x:v>125</x:v>
      </x:c>
      <x:c r="I18" s="12" t="s">
        <x:v>140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1543</x:v>
      </x:c>
      <x:c r="B19" s="12" t="s">
        <x:v>208</x:v>
      </x:c>
      <x:c r="C19" s="12" t="s">
        <x:v>1484</x:v>
      </x:c>
      <x:c r="D19" s="13" t="s">
        <x:v>1485</x:v>
      </x:c>
      <x:c r="E19" s="12" t="s">
        <x:v>160</x:v>
      </x:c>
      <x:c r="F19" s="12" t="s">
        <x:v>180</x:v>
      </x:c>
      <x:c r="G19" s="13" t="s">
        <x:v>1534</x:v>
      </x:c>
      <x:c r="H19" s="12" t="s">
        <x:v>125</x:v>
      </x:c>
      <x:c r="I19" s="12" t="s">
        <x:v>140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1544</x:v>
      </x:c>
      <x:c r="B20" s="12" t="s">
        <x:v>188</x:v>
      </x:c>
      <x:c r="C20" s="12" t="s">
        <x:v>53</x:v>
      </x:c>
      <x:c r="D20" s="13" t="s">
        <x:v>1545</x:v>
      </x:c>
      <x:c r="E20" s="12" t="s">
        <x:v>160</x:v>
      </x:c>
      <x:c r="F20" s="12" t="s">
        <x:v>190</x:v>
      </x:c>
      <x:c r="G20" s="13" t="s">
        <x:v>1536</x:v>
      </x:c>
      <x:c r="H20" s="12" t="s">
        <x:v>125</x:v>
      </x:c>
      <x:c r="I20" s="12" t="s">
        <x:v>140</x:v>
      </x:c>
      <x:c r="J20" s="14" t="n">
        <x:v>46229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1546</x:v>
      </x:c>
      <x:c r="B21" s="12" t="s">
        <x:v>193</x:v>
      </x:c>
      <x:c r="C21" s="12" t="s">
        <x:v>53</x:v>
      </x:c>
      <x:c r="D21" s="13" t="s">
        <x:v>1487</x:v>
      </x:c>
      <x:c r="E21" s="12" t="s">
        <x:v>160</x:v>
      </x:c>
      <x:c r="F21" s="12" t="s">
        <x:v>195</x:v>
      </x:c>
      <x:c r="G21" s="13" t="s">
        <x:v>1547</x:v>
      </x:c>
      <x:c r="H21" s="12" t="s">
        <x:v>123</x:v>
      </x:c>
      <x:c r="I21" s="12" t="s">
        <x:v>139</x:v>
      </x:c>
      <x:c r="J21" s="14"/>
      <x:c r="K21" s="13" t="s">
        <x:v>1489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12" t="s">
        <x:v>1548</x:v>
      </x:c>
      <x:c r="B22" s="12" t="s">
        <x:v>199</x:v>
      </x:c>
      <x:c r="C22" s="12" t="s">
        <x:v>1490</x:v>
      </x:c>
      <x:c r="D22" s="13" t="s">
        <x:v>1491</x:v>
      </x:c>
      <x:c r="E22" s="12" t="s">
        <x:v>160</x:v>
      </x:c>
      <x:c r="F22" s="12" t="s">
        <x:v>201</x:v>
      </x:c>
      <x:c r="G22" s="13" t="s">
        <x:v>1549</x:v>
      </x:c>
      <x:c r="H22" s="12" t="s">
        <x:v>123</x:v>
      </x:c>
      <x:c r="I22" s="12" t="s">
        <x:v>139</x:v>
      </x:c>
      <x:c r="J22" s="14"/>
      <x:c r="K22" s="13" t="s">
        <x:v>1493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1550</x:v>
      </x:c>
      <x:c r="B23" s="12" t="s">
        <x:v>1494</x:v>
      </x:c>
      <x:c r="C23" s="12" t="s">
        <x:v>1151</x:v>
      </x:c>
      <x:c r="D23" s="13" t="s">
        <x:v>1551</x:v>
      </x:c>
      <x:c r="E23" s="12" t="s">
        <x:v>160</x:v>
      </x:c>
      <x:c r="F23" s="12" t="s">
        <x:v>201</x:v>
      </x:c>
      <x:c r="G23" s="13" t="s">
        <x:v>1552</x:v>
      </x:c>
      <x:c r="H23" s="12" t="s">
        <x:v>123</x:v>
      </x:c>
      <x:c r="I23" s="12" t="s">
        <x:v>139</x:v>
      </x:c>
      <x:c r="J23" s="14"/>
      <x:c r="K23" s="13" t="s">
        <x:v>1497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1553</x:v>
      </x:c>
      <x:c r="B24" s="12" t="s">
        <x:v>1498</x:v>
      </x:c>
      <x:c r="C24" s="12" t="s">
        <x:v>53</x:v>
      </x:c>
      <x:c r="D24" s="13" t="s">
        <x:v>1499</x:v>
      </x:c>
      <x:c r="E24" s="12" t="s">
        <x:v>160</x:v>
      </x:c>
      <x:c r="F24" s="12" t="s">
        <x:v>201</x:v>
      </x:c>
      <x:c r="G24" s="13" t="s">
        <x:v>1549</x:v>
      </x:c>
      <x:c r="H24" s="12" t="s">
        <x:v>123</x:v>
      </x:c>
      <x:c r="I24" s="12" t="s">
        <x:v>139</x:v>
      </x:c>
      <x:c r="J24" s="14"/>
      <x:c r="K24" s="13" t="s">
        <x:v>1500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23.25" hidden="0" customHeight="1">
      <x:c r="A25" s="12" t="s">
        <x:v>1554</x:v>
      </x:c>
      <x:c r="B25" s="12" t="s">
        <x:v>205</x:v>
      </x:c>
      <x:c r="C25" s="12" t="s">
        <x:v>53</x:v>
      </x:c>
      <x:c r="D25" s="13" t="s">
        <x:v>578</x:v>
      </x:c>
      <x:c r="E25" s="12" t="s">
        <x:v>160</x:v>
      </x:c>
      <x:c r="F25" s="12" t="s">
        <x:v>201</x:v>
      </x:c>
      <x:c r="G25" s="13" t="s">
        <x:v>1555</x:v>
      </x:c>
      <x:c r="H25" s="12" t="s">
        <x:v>123</x:v>
      </x:c>
      <x:c r="I25" s="12" t="s">
        <x:v>139</x:v>
      </x:c>
      <x:c r="J25" s="14"/>
      <x:c r="K25" s="13" t="s">
        <x:v>1502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23.25" hidden="0" customHeight="1">
      <x:c r="A26" s="12" t="s">
        <x:v>1556</x:v>
      </x:c>
      <x:c r="B26" s="12" t="s">
        <x:v>212</x:v>
      </x:c>
      <x:c r="C26" s="12" t="s">
        <x:v>53</x:v>
      </x:c>
      <x:c r="D26" s="13" t="s">
        <x:v>1557</x:v>
      </x:c>
      <x:c r="E26" s="12" t="s">
        <x:v>160</x:v>
      </x:c>
      <x:c r="F26" s="12" t="s">
        <x:v>201</x:v>
      </x:c>
      <x:c r="G26" s="13" t="s">
        <x:v>1549</x:v>
      </x:c>
      <x:c r="H26" s="12" t="s">
        <x:v>123</x:v>
      </x:c>
      <x:c r="I26" s="12" t="s">
        <x:v>139</x:v>
      </x:c>
      <x:c r="J26" s="14"/>
      <x:c r="K26" s="13" t="s">
        <x:v>587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23.25" hidden="0" customHeight="1">
      <x:c r="A27" s="12" t="s">
        <x:v>1558</x:v>
      </x:c>
      <x:c r="B27" s="12" t="s">
        <x:v>215</x:v>
      </x:c>
      <x:c r="C27" s="12" t="s">
        <x:v>53</x:v>
      </x:c>
      <x:c r="D27" s="13" t="s">
        <x:v>1506</x:v>
      </x:c>
      <x:c r="E27" s="12" t="s">
        <x:v>160</x:v>
      </x:c>
      <x:c r="F27" s="12" t="s">
        <x:v>217</x:v>
      </x:c>
      <x:c r="G27" s="13" t="s">
        <x:v>1559</x:v>
      </x:c>
      <x:c r="H27" s="12" t="s">
        <x:v>125</x:v>
      </x:c>
      <x:c r="I27" s="12" t="s">
        <x:v>140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23.25" hidden="0" customHeight="1">
      <x:c r="A28" s="12" t="s">
        <x:v>1560</x:v>
      </x:c>
      <x:c r="B28" s="12" t="s">
        <x:v>220</x:v>
      </x:c>
      <x:c r="C28" s="12" t="s">
        <x:v>53</x:v>
      </x:c>
      <x:c r="D28" s="13" t="s">
        <x:v>1561</x:v>
      </x:c>
      <x:c r="E28" s="12" t="s">
        <x:v>160</x:v>
      </x:c>
      <x:c r="F28" s="12" t="s">
        <x:v>217</x:v>
      </x:c>
      <x:c r="G28" s="13" t="s">
        <x:v>1562</x:v>
      </x:c>
      <x:c r="H28" s="12" t="s">
        <x:v>125</x:v>
      </x:c>
      <x:c r="I28" s="12" t="s">
        <x:v>140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23.25" hidden="0" customHeight="1">
      <x:c r="A29" s="12" t="s">
        <x:v>1563</x:v>
      </x:c>
      <x:c r="B29" s="12" t="s">
        <x:v>224</x:v>
      </x:c>
      <x:c r="C29" s="12" t="s">
        <x:v>53</x:v>
      </x:c>
      <x:c r="D29" s="13" t="s">
        <x:v>1564</x:v>
      </x:c>
      <x:c r="E29" s="12" t="s">
        <x:v>226</x:v>
      </x:c>
      <x:c r="F29" s="12" t="s">
        <x:v>226</x:v>
      </x:c>
      <x:c r="G29" s="13" t="s">
        <x:v>227</x:v>
      </x:c>
      <x:c r="H29" s="12" t="s">
        <x:v>125</x:v>
      </x:c>
      <x:c r="I29" s="12" t="s">
        <x:v>140</x:v>
      </x:c>
      <x:c r="J29" s="14" t="n">
        <x:v>46229</x:v>
      </x:c>
      <x:c r="K29" s="13" t="s">
        <x:v>1514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23.25" hidden="0" customHeight="1">
      <x:c r="A30" s="12" t="s">
        <x:v>1565</x:v>
      </x:c>
      <x:c r="B30" s="12" t="s">
        <x:v>229</x:v>
      </x:c>
      <x:c r="C30" s="12" t="s">
        <x:v>53</x:v>
      </x:c>
      <x:c r="D30" s="13" t="s">
        <x:v>1516</x:v>
      </x:c>
      <x:c r="E30" s="12" t="s">
        <x:v>160</x:v>
      </x:c>
      <x:c r="F30" s="12" t="s">
        <x:v>160</x:v>
      </x:c>
      <x:c r="G30" s="13" t="s">
        <x:v>598</x:v>
      </x:c>
      <x:c r="H30" s="12" t="s">
        <x:v>125</x:v>
      </x:c>
      <x:c r="I30" s="12" t="s">
        <x:v>140</x:v>
      </x:c>
      <x:c r="J30" s="14" t="n">
        <x:v>46229</x:v>
      </x:c>
      <x:c r="K30" s="13" t="s">
        <x:v>1517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Pr>
    <x:tabColor rgb="FF8067DC"/>
  </x:sheetPr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1566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1567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143</x:v>
      </x:c>
      <x:c r="E4" s="7" t="n">
        <x:f aca="0">SUM(M9:M30)</x:f>
        <x:v>17</x:v>
      </x:c>
      <x:c r="G4" s="6" t="s">
        <x:v>13</x:v>
      </x:c>
      <x:c r="H4" s="8" t="n">
        <x:f aca="0">IF(B4=0,0,E4/B4)</x:f>
        <x:v>0.7727272727272727</x:v>
      </x:c>
      <x:c r="J4" s="6" t="s">
        <x:v>14</x:v>
      </x:c>
      <x:c r="K4" s="7" t="str">
        <x:f aca="0">IF(COUNTIFS(E9:E30,"package",M9:M30,0)&gt;0,"open","complete")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1568</x:v>
      </x:c>
      <x:c r="B9" s="12" t="s">
        <x:v>157</x:v>
      </x:c>
      <x:c r="C9" s="12" t="s">
        <x:v>827</x:v>
      </x:c>
      <x:c r="D9" s="13" t="s">
        <x:v>1569</x:v>
      </x:c>
      <x:c r="E9" s="12" t="s">
        <x:v>160</x:v>
      </x:c>
      <x:c r="F9" s="12" t="s">
        <x:v>161</x:v>
      </x:c>
      <x:c r="G9" s="13" t="s">
        <x:v>1570</x:v>
      </x:c>
      <x:c r="H9" s="12" t="s">
        <x:v>125</x:v>
      </x:c>
      <x:c r="I9" s="12" t="s">
        <x:v>140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1571</x:v>
      </x:c>
      <x:c r="B10" s="12" t="s">
        <x:v>1423</x:v>
      </x:c>
      <x:c r="C10" s="12" t="s">
        <x:v>1572</x:v>
      </x:c>
      <x:c r="D10" s="13" t="s">
        <x:v>1573</x:v>
      </x:c>
      <x:c r="E10" s="12" t="s">
        <x:v>160</x:v>
      </x:c>
      <x:c r="F10" s="12" t="s">
        <x:v>180</x:v>
      </x:c>
      <x:c r="G10" s="13" t="s">
        <x:v>1574</x:v>
      </x:c>
      <x:c r="H10" s="12" t="s">
        <x:v>125</x:v>
      </x:c>
      <x:c r="I10" s="12" t="s">
        <x:v>140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1575</x:v>
      </x:c>
      <x:c r="B11" s="12" t="s">
        <x:v>164</x:v>
      </x:c>
      <x:c r="C11" s="12" t="s">
        <x:v>54</x:v>
      </x:c>
      <x:c r="D11" s="13" t="s">
        <x:v>1576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1577</x:v>
      </x:c>
      <x:c r="B12" s="12" t="s">
        <x:v>168</x:v>
      </x:c>
      <x:c r="C12" s="12" t="s">
        <x:v>1572</x:v>
      </x:c>
      <x:c r="D12" s="13" t="s">
        <x:v>1578</x:v>
      </x:c>
      <x:c r="E12" s="12" t="s">
        <x:v>160</x:v>
      </x:c>
      <x:c r="F12" s="12" t="s">
        <x:v>170</x:v>
      </x:c>
      <x:c r="G12" s="13" t="s">
        <x:v>1579</x:v>
      </x:c>
      <x:c r="H12" s="12" t="s">
        <x:v>125</x:v>
      </x:c>
      <x:c r="I12" s="12" t="s">
        <x:v>140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1580</x:v>
      </x:c>
      <x:c r="B13" s="12" t="s">
        <x:v>173</x:v>
      </x:c>
      <x:c r="C13" s="12" t="s">
        <x:v>1572</x:v>
      </x:c>
      <x:c r="D13" s="13" t="s">
        <x:v>1581</x:v>
      </x:c>
      <x:c r="E13" s="12" t="s">
        <x:v>160</x:v>
      </x:c>
      <x:c r="F13" s="12" t="s">
        <x:v>175</x:v>
      </x:c>
      <x:c r="G13" s="13" t="s">
        <x:v>1582</x:v>
      </x:c>
      <x:c r="H13" s="12" t="s">
        <x:v>125</x:v>
      </x:c>
      <x:c r="I13" s="12" t="s">
        <x:v>140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1583</x:v>
      </x:c>
      <x:c r="B14" s="12" t="s">
        <x:v>1213</x:v>
      </x:c>
      <x:c r="C14" s="12" t="s">
        <x:v>827</x:v>
      </x:c>
      <x:c r="D14" s="13" t="s">
        <x:v>1584</x:v>
      </x:c>
      <x:c r="E14" s="12" t="s">
        <x:v>160</x:v>
      </x:c>
      <x:c r="F14" s="12" t="s">
        <x:v>185</x:v>
      </x:c>
      <x:c r="G14" s="13" t="s">
        <x:v>1585</x:v>
      </x:c>
      <x:c r="H14" s="12" t="s">
        <x:v>125</x:v>
      </x:c>
      <x:c r="I14" s="12" t="s">
        <x:v>140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1586</x:v>
      </x:c>
      <x:c r="B15" s="12" t="s">
        <x:v>1587</x:v>
      </x:c>
      <x:c r="C15" s="12" t="s">
        <x:v>827</x:v>
      </x:c>
      <x:c r="D15" s="13" t="s">
        <x:v>1588</x:v>
      </x:c>
      <x:c r="E15" s="12" t="s">
        <x:v>160</x:v>
      </x:c>
      <x:c r="F15" s="12" t="s">
        <x:v>185</x:v>
      </x:c>
      <x:c r="G15" s="13" t="s">
        <x:v>1585</x:v>
      </x:c>
      <x:c r="H15" s="12" t="s">
        <x:v>125</x:v>
      </x:c>
      <x:c r="I15" s="12" t="s">
        <x:v>140</x:v>
      </x:c>
      <x:c r="J15" s="14" t="n">
        <x:v>46229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1589</x:v>
      </x:c>
      <x:c r="B16" s="12" t="s">
        <x:v>1590</x:v>
      </x:c>
      <x:c r="C16" s="12" t="s">
        <x:v>827</x:v>
      </x:c>
      <x:c r="D16" s="13" t="s">
        <x:v>1591</x:v>
      </x:c>
      <x:c r="E16" s="12" t="s">
        <x:v>160</x:v>
      </x:c>
      <x:c r="F16" s="12" t="s">
        <x:v>185</x:v>
      </x:c>
      <x:c r="G16" s="13" t="s">
        <x:v>1592</x:v>
      </x:c>
      <x:c r="H16" s="12" t="s">
        <x:v>125</x:v>
      </x:c>
      <x:c r="I16" s="12" t="s">
        <x:v>140</x:v>
      </x:c>
      <x:c r="J16" s="14" t="n">
        <x:v>46229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1593</x:v>
      </x:c>
      <x:c r="B17" s="12" t="s">
        <x:v>1594</x:v>
      </x:c>
      <x:c r="C17" s="12" t="s">
        <x:v>1572</x:v>
      </x:c>
      <x:c r="D17" s="13" t="s">
        <x:v>1595</x:v>
      </x:c>
      <x:c r="E17" s="12" t="s">
        <x:v>160</x:v>
      </x:c>
      <x:c r="F17" s="12" t="s">
        <x:v>185</x:v>
      </x:c>
      <x:c r="G17" s="13" t="s">
        <x:v>1585</x:v>
      </x:c>
      <x:c r="H17" s="12" t="s">
        <x:v>125</x:v>
      </x:c>
      <x:c r="I17" s="12" t="s">
        <x:v>140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1596</x:v>
      </x:c>
      <x:c r="B18" s="12" t="s">
        <x:v>1482</x:v>
      </x:c>
      <x:c r="C18" s="12" t="s">
        <x:v>827</x:v>
      </x:c>
      <x:c r="D18" s="13" t="s">
        <x:v>1597</x:v>
      </x:c>
      <x:c r="E18" s="12" t="s">
        <x:v>160</x:v>
      </x:c>
      <x:c r="F18" s="12" t="s">
        <x:v>185</x:v>
      </x:c>
      <x:c r="G18" s="13" t="s">
        <x:v>1592</x:v>
      </x:c>
      <x:c r="H18" s="12" t="s">
        <x:v>125</x:v>
      </x:c>
      <x:c r="I18" s="12" t="s">
        <x:v>140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1598</x:v>
      </x:c>
      <x:c r="B19" s="12" t="s">
        <x:v>208</x:v>
      </x:c>
      <x:c r="C19" s="12" t="s">
        <x:v>827</x:v>
      </x:c>
      <x:c r="D19" s="13" t="s">
        <x:v>1599</x:v>
      </x:c>
      <x:c r="E19" s="12" t="s">
        <x:v>160</x:v>
      </x:c>
      <x:c r="F19" s="12" t="s">
        <x:v>180</x:v>
      </x:c>
      <x:c r="G19" s="13" t="s">
        <x:v>1600</x:v>
      </x:c>
      <x:c r="H19" s="12" t="s">
        <x:v>125</x:v>
      </x:c>
      <x:c r="I19" s="12" t="s">
        <x:v>140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1601</x:v>
      </x:c>
      <x:c r="B20" s="12" t="s">
        <x:v>188</x:v>
      </x:c>
      <x:c r="C20" s="12" t="s">
        <x:v>54</x:v>
      </x:c>
      <x:c r="D20" s="13" t="s">
        <x:v>1602</x:v>
      </x:c>
      <x:c r="E20" s="12" t="s">
        <x:v>160</x:v>
      </x:c>
      <x:c r="F20" s="12" t="s">
        <x:v>190</x:v>
      </x:c>
      <x:c r="G20" s="13" t="s">
        <x:v>1585</x:v>
      </x:c>
      <x:c r="H20" s="12" t="s">
        <x:v>125</x:v>
      </x:c>
      <x:c r="I20" s="12" t="s">
        <x:v>140</x:v>
      </x:c>
      <x:c r="J20" s="14" t="n">
        <x:v>46229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1603</x:v>
      </x:c>
      <x:c r="B21" s="12" t="s">
        <x:v>1604</x:v>
      </x:c>
      <x:c r="C21" s="12" t="s">
        <x:v>827</x:v>
      </x:c>
      <x:c r="D21" s="13" t="s">
        <x:v>1605</x:v>
      </x:c>
      <x:c r="E21" s="12" t="s">
        <x:v>160</x:v>
      </x:c>
      <x:c r="F21" s="12" t="s">
        <x:v>185</x:v>
      </x:c>
      <x:c r="G21" s="13" t="s">
        <x:v>1606</x:v>
      </x:c>
      <x:c r="H21" s="12" t="s">
        <x:v>125</x:v>
      </x:c>
      <x:c r="I21" s="12" t="s">
        <x:v>140</x:v>
      </x:c>
      <x:c r="J21" s="14" t="n">
        <x:v>46229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1607</x:v>
      </x:c>
      <x:c r="B22" s="12" t="s">
        <x:v>193</x:v>
      </x:c>
      <x:c r="C22" s="12" t="s">
        <x:v>54</x:v>
      </x:c>
      <x:c r="D22" s="13" t="s">
        <x:v>1608</x:v>
      </x:c>
      <x:c r="E22" s="12" t="s">
        <x:v>160</x:v>
      </x:c>
      <x:c r="F22" s="12" t="s">
        <x:v>195</x:v>
      </x:c>
      <x:c r="G22" s="13" t="s">
        <x:v>1609</x:v>
      </x:c>
      <x:c r="H22" s="12" t="s">
        <x:v>123</x:v>
      </x:c>
      <x:c r="I22" s="12" t="s">
        <x:v>139</x:v>
      </x:c>
      <x:c r="J22" s="14"/>
      <x:c r="K22" s="13" t="s">
        <x:v>1489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1610</x:v>
      </x:c>
      <x:c r="B23" s="12" t="s">
        <x:v>199</x:v>
      </x:c>
      <x:c r="C23" s="12" t="s">
        <x:v>827</x:v>
      </x:c>
      <x:c r="D23" s="13" t="s">
        <x:v>1611</x:v>
      </x:c>
      <x:c r="E23" s="12" t="s">
        <x:v>160</x:v>
      </x:c>
      <x:c r="F23" s="12" t="s">
        <x:v>201</x:v>
      </x:c>
      <x:c r="G23" s="13" t="s">
        <x:v>1612</x:v>
      </x:c>
      <x:c r="H23" s="12" t="s">
        <x:v>123</x:v>
      </x:c>
      <x:c r="I23" s="12" t="s">
        <x:v>139</x:v>
      </x:c>
      <x:c r="J23" s="14"/>
      <x:c r="K23" s="13" t="s">
        <x:v>1613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1614</x:v>
      </x:c>
      <x:c r="B24" s="12" t="s">
        <x:v>205</x:v>
      </x:c>
      <x:c r="C24" s="12" t="s">
        <x:v>1572</x:v>
      </x:c>
      <x:c r="D24" s="13" t="s">
        <x:v>578</x:v>
      </x:c>
      <x:c r="E24" s="12" t="s">
        <x:v>160</x:v>
      </x:c>
      <x:c r="F24" s="12" t="s">
        <x:v>201</x:v>
      </x:c>
      <x:c r="G24" s="13" t="s">
        <x:v>1615</x:v>
      </x:c>
      <x:c r="H24" s="12" t="s">
        <x:v>123</x:v>
      </x:c>
      <x:c r="I24" s="12" t="s">
        <x:v>139</x:v>
      </x:c>
      <x:c r="J24" s="14"/>
      <x:c r="K24" s="13" t="s">
        <x:v>1616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23.25" hidden="0" customHeight="1">
      <x:c r="A25" s="12" t="s">
        <x:v>1617</x:v>
      </x:c>
      <x:c r="B25" s="12" t="s">
        <x:v>1498</x:v>
      </x:c>
      <x:c r="C25" s="12" t="s">
        <x:v>54</x:v>
      </x:c>
      <x:c r="D25" s="13" t="s">
        <x:v>1618</x:v>
      </x:c>
      <x:c r="E25" s="12" t="s">
        <x:v>160</x:v>
      </x:c>
      <x:c r="F25" s="12" t="s">
        <x:v>201</x:v>
      </x:c>
      <x:c r="G25" s="13" t="s">
        <x:v>1612</x:v>
      </x:c>
      <x:c r="H25" s="12" t="s">
        <x:v>123</x:v>
      </x:c>
      <x:c r="I25" s="12" t="s">
        <x:v>139</x:v>
      </x:c>
      <x:c r="J25" s="14"/>
      <x:c r="K25" s="13" t="s">
        <x:v>1500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23.25" hidden="0" customHeight="1">
      <x:c r="A26" s="12" t="s">
        <x:v>1619</x:v>
      </x:c>
      <x:c r="B26" s="12" t="s">
        <x:v>212</x:v>
      </x:c>
      <x:c r="C26" s="12" t="s">
        <x:v>54</x:v>
      </x:c>
      <x:c r="D26" s="13" t="s">
        <x:v>1620</x:v>
      </x:c>
      <x:c r="E26" s="12" t="s">
        <x:v>160</x:v>
      </x:c>
      <x:c r="F26" s="12" t="s">
        <x:v>201</x:v>
      </x:c>
      <x:c r="G26" s="13" t="s">
        <x:v>1612</x:v>
      </x:c>
      <x:c r="H26" s="12" t="s">
        <x:v>123</x:v>
      </x:c>
      <x:c r="I26" s="12" t="s">
        <x:v>139</x:v>
      </x:c>
      <x:c r="J26" s="14"/>
      <x:c r="K26" s="13" t="s">
        <x:v>587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23.25" hidden="0" customHeight="1">
      <x:c r="A27" s="12" t="s">
        <x:v>1621</x:v>
      </x:c>
      <x:c r="B27" s="12" t="s">
        <x:v>215</x:v>
      </x:c>
      <x:c r="C27" s="12" t="s">
        <x:v>54</x:v>
      </x:c>
      <x:c r="D27" s="13" t="s">
        <x:v>1622</x:v>
      </x:c>
      <x:c r="E27" s="12" t="s">
        <x:v>160</x:v>
      </x:c>
      <x:c r="F27" s="12" t="s">
        <x:v>217</x:v>
      </x:c>
      <x:c r="G27" s="13" t="s">
        <x:v>1623</x:v>
      </x:c>
      <x:c r="H27" s="12" t="s">
        <x:v>125</x:v>
      </x:c>
      <x:c r="I27" s="12" t="s">
        <x:v>140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23.25" hidden="0" customHeight="1">
      <x:c r="A28" s="12" t="s">
        <x:v>1624</x:v>
      </x:c>
      <x:c r="B28" s="12" t="s">
        <x:v>220</x:v>
      </x:c>
      <x:c r="C28" s="12" t="s">
        <x:v>54</x:v>
      </x:c>
      <x:c r="D28" s="13" t="s">
        <x:v>1625</x:v>
      </x:c>
      <x:c r="E28" s="12" t="s">
        <x:v>160</x:v>
      </x:c>
      <x:c r="F28" s="12" t="s">
        <x:v>217</x:v>
      </x:c>
      <x:c r="G28" s="13" t="s">
        <x:v>1626</x:v>
      </x:c>
      <x:c r="H28" s="12" t="s">
        <x:v>125</x:v>
      </x:c>
      <x:c r="I28" s="12" t="s">
        <x:v>140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23.25" hidden="0" customHeight="1">
      <x:c r="A29" s="12" t="s">
        <x:v>1627</x:v>
      </x:c>
      <x:c r="B29" s="12" t="s">
        <x:v>224</x:v>
      </x:c>
      <x:c r="C29" s="12" t="s">
        <x:v>54</x:v>
      </x:c>
      <x:c r="D29" s="13" t="s">
        <x:v>1628</x:v>
      </x:c>
      <x:c r="E29" s="12" t="s">
        <x:v>226</x:v>
      </x:c>
      <x:c r="F29" s="12" t="s">
        <x:v>226</x:v>
      </x:c>
      <x:c r="G29" s="13" t="s">
        <x:v>227</x:v>
      </x:c>
      <x:c r="H29" s="12" t="s">
        <x:v>125</x:v>
      </x:c>
      <x:c r="I29" s="12" t="s">
        <x:v>140</x:v>
      </x:c>
      <x:c r="J29" s="14" t="n">
        <x:v>46229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23.25" hidden="0" customHeight="1">
      <x:c r="A30" s="12" t="s">
        <x:v>1629</x:v>
      </x:c>
      <x:c r="B30" s="12" t="s">
        <x:v>229</x:v>
      </x:c>
      <x:c r="C30" s="12" t="s">
        <x:v>54</x:v>
      </x:c>
      <x:c r="D30" s="13" t="s">
        <x:v>1516</x:v>
      </x:c>
      <x:c r="E30" s="12" t="s">
        <x:v>160</x:v>
      </x:c>
      <x:c r="F30" s="12" t="s">
        <x:v>160</x:v>
      </x:c>
      <x:c r="G30" s="13" t="s">
        <x:v>598</x:v>
      </x:c>
      <x:c r="H30" s="12" t="s">
        <x:v>125</x:v>
      </x:c>
      <x:c r="I30" s="12" t="s">
        <x:v>140</x:v>
      </x:c>
      <x:c r="J30" s="14" t="n">
        <x:v>46229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1630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1631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143</x:v>
      </x:c>
      <x:c r="E4" s="7" t="n">
        <x:f aca="0">SUM(M9:M28)</x:f>
        <x:v>18</x:v>
      </x:c>
      <x:c r="G4" s="6" t="s">
        <x:v>13</x:v>
      </x:c>
      <x:c r="H4" s="8" t="n">
        <x:f aca="0">IF(B4=0,0,E4/B4)</x:f>
        <x:v>0.9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1632</x:v>
      </x:c>
      <x:c r="B9" s="1" t="s">
        <x:v>157</x:v>
      </x:c>
      <x:c r="C9" s="1" t="s">
        <x:v>1633</x:v>
      </x:c>
      <x:c r="D9" s="1" t="s">
        <x:v>1634</x:v>
      </x:c>
      <x:c r="E9" s="1" t="s">
        <x:v>160</x:v>
      </x:c>
      <x:c r="F9" s="1" t="s">
        <x:v>161</x:v>
      </x:c>
      <x:c r="G9" s="1" t="s">
        <x:v>1635</x:v>
      </x:c>
      <x:c r="H9" s="1" t="s">
        <x:v>125</x:v>
      </x:c>
      <x:c r="I9" s="1" t="s">
        <x:v>140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1636</x:v>
      </x:c>
      <x:c r="B10" s="1" t="s">
        <x:v>1423</x:v>
      </x:c>
      <x:c r="C10" s="1" t="s">
        <x:v>1633</x:v>
      </x:c>
      <x:c r="D10" s="1" t="s">
        <x:v>1637</x:v>
      </x:c>
      <x:c r="E10" s="1" t="s">
        <x:v>160</x:v>
      </x:c>
      <x:c r="F10" s="1" t="s">
        <x:v>180</x:v>
      </x:c>
      <x:c r="G10" s="1" t="s">
        <x:v>1638</x:v>
      </x:c>
      <x:c r="H10" s="1" t="s">
        <x:v>125</x:v>
      </x:c>
      <x:c r="I10" s="1" t="s">
        <x:v>140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1639</x:v>
      </x:c>
      <x:c r="B11" s="1" t="s">
        <x:v>164</x:v>
      </x:c>
      <x:c r="C11" s="1" t="s">
        <x:v>1640</x:v>
      </x:c>
      <x:c r="D11" s="1" t="s">
        <x:v>1641</x:v>
      </x:c>
      <x:c r="E11" s="1" t="s">
        <x:v>160</x:v>
      </x:c>
      <x:c r="F11" s="1" t="s">
        <x:v>160</x:v>
      </x:c>
      <x:c r="G11" s="1" t="s">
        <x:v>166</x:v>
      </x:c>
      <x:c r="H11" s="1" t="s">
        <x:v>125</x:v>
      </x:c>
      <x:c r="I11" s="1" t="s">
        <x:v>140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1642</x:v>
      </x:c>
      <x:c r="B12" s="1" t="s">
        <x:v>168</x:v>
      </x:c>
      <x:c r="C12" s="1" t="s">
        <x:v>1633</x:v>
      </x:c>
      <x:c r="D12" s="1" t="s">
        <x:v>1643</x:v>
      </x:c>
      <x:c r="E12" s="1" t="s">
        <x:v>160</x:v>
      </x:c>
      <x:c r="F12" s="1" t="s">
        <x:v>170</x:v>
      </x:c>
      <x:c r="G12" s="1" t="s">
        <x:v>1644</x:v>
      </x:c>
      <x:c r="H12" s="1" t="s">
        <x:v>125</x:v>
      </x:c>
      <x:c r="I12" s="1" t="s">
        <x:v>140</x:v>
      </x:c>
      <x:c r="J12" s="11" t="n">
        <x:v>46229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1645</x:v>
      </x:c>
      <x:c r="B13" s="1" t="s">
        <x:v>173</x:v>
      </x:c>
      <x:c r="C13" s="1" t="s">
        <x:v>1633</x:v>
      </x:c>
      <x:c r="D13" s="1" t="s">
        <x:v>1646</x:v>
      </x:c>
      <x:c r="E13" s="1" t="s">
        <x:v>160</x:v>
      </x:c>
      <x:c r="F13" s="1" t="s">
        <x:v>175</x:v>
      </x:c>
      <x:c r="G13" s="1" t="s">
        <x:v>1647</x:v>
      </x:c>
      <x:c r="H13" s="1" t="s">
        <x:v>125</x:v>
      </x:c>
      <x:c r="I13" s="1" t="s">
        <x:v>140</x:v>
      </x:c>
      <x:c r="J13" s="11" t="n">
        <x:v>46229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1648</x:v>
      </x:c>
      <x:c r="B14" s="1" t="s">
        <x:v>1649</x:v>
      </x:c>
      <x:c r="C14" s="1" t="s">
        <x:v>1633</x:v>
      </x:c>
      <x:c r="D14" s="1" t="s">
        <x:v>1650</x:v>
      </x:c>
      <x:c r="E14" s="1" t="s">
        <x:v>160</x:v>
      </x:c>
      <x:c r="F14" s="1" t="s">
        <x:v>185</x:v>
      </x:c>
      <x:c r="G14" s="1" t="s">
        <x:v>1651</x:v>
      </x:c>
      <x:c r="H14" s="1" t="s">
        <x:v>125</x:v>
      </x:c>
      <x:c r="I14" s="1" t="s">
        <x:v>140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1652</x:v>
      </x:c>
      <x:c r="B15" s="1" t="s">
        <x:v>1653</x:v>
      </x:c>
      <x:c r="C15" s="1" t="s">
        <x:v>827</x:v>
      </x:c>
      <x:c r="D15" s="1" t="s">
        <x:v>1654</x:v>
      </x:c>
      <x:c r="E15" s="1" t="s">
        <x:v>160</x:v>
      </x:c>
      <x:c r="F15" s="1" t="s">
        <x:v>185</x:v>
      </x:c>
      <x:c r="G15" s="1" t="s">
        <x:v>1651</x:v>
      </x:c>
      <x:c r="H15" s="1" t="s">
        <x:v>125</x:v>
      </x:c>
      <x:c r="I15" s="1" t="s">
        <x:v>140</x:v>
      </x:c>
      <x:c r="J15" s="11" t="n">
        <x:v>46229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1655</x:v>
      </x:c>
      <x:c r="B16" s="1" t="s">
        <x:v>1656</x:v>
      </x:c>
      <x:c r="C16" s="1" t="s">
        <x:v>1633</x:v>
      </x:c>
      <x:c r="D16" s="1" t="s">
        <x:v>1657</x:v>
      </x:c>
      <x:c r="E16" s="1" t="s">
        <x:v>160</x:v>
      </x:c>
      <x:c r="F16" s="1" t="s">
        <x:v>185</x:v>
      </x:c>
      <x:c r="G16" s="1" t="s">
        <x:v>1651</x:v>
      </x:c>
      <x:c r="H16" s="1" t="s">
        <x:v>125</x:v>
      </x:c>
      <x:c r="I16" s="1" t="s">
        <x:v>140</x:v>
      </x:c>
      <x:c r="J16" s="11" t="n">
        <x:v>46229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1658</x:v>
      </x:c>
      <x:c r="B17" s="1" t="s">
        <x:v>117</x:v>
      </x:c>
      <x:c r="C17" s="1" t="s">
        <x:v>827</x:v>
      </x:c>
      <x:c r="D17" s="1" t="s">
        <x:v>1659</x:v>
      </x:c>
      <x:c r="E17" s="1" t="s">
        <x:v>160</x:v>
      </x:c>
      <x:c r="F17" s="1" t="s">
        <x:v>180</x:v>
      </x:c>
      <x:c r="G17" s="1" t="s">
        <x:v>1660</x:v>
      </x:c>
      <x:c r="H17" s="1" t="s">
        <x:v>125</x:v>
      </x:c>
      <x:c r="I17" s="1" t="s">
        <x:v>140</x:v>
      </x:c>
      <x:c r="J17" s="11" t="n">
        <x:v>46229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1661</x:v>
      </x:c>
      <x:c r="B18" s="1" t="s">
        <x:v>1662</x:v>
      </x:c>
      <x:c r="C18" s="1" t="s">
        <x:v>1633</x:v>
      </x:c>
      <x:c r="D18" s="1" t="s">
        <x:v>1663</x:v>
      </x:c>
      <x:c r="E18" s="1" t="s">
        <x:v>160</x:v>
      </x:c>
      <x:c r="F18" s="1" t="s">
        <x:v>185</x:v>
      </x:c>
      <x:c r="G18" s="1" t="s">
        <x:v>1651</x:v>
      </x:c>
      <x:c r="H18" s="1" t="s">
        <x:v>125</x:v>
      </x:c>
      <x:c r="I18" s="1" t="s">
        <x:v>140</x:v>
      </x:c>
      <x:c r="J18" s="11" t="n">
        <x:v>46229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1664</x:v>
      </x:c>
      <x:c r="B19" s="1" t="s">
        <x:v>1665</x:v>
      </x:c>
      <x:c r="C19" s="1" t="s">
        <x:v>1633</x:v>
      </x:c>
      <x:c r="D19" s="1" t="s">
        <x:v>1666</x:v>
      </x:c>
      <x:c r="E19" s="1" t="s">
        <x:v>160</x:v>
      </x:c>
      <x:c r="F19" s="1" t="s">
        <x:v>185</x:v>
      </x:c>
      <x:c r="G19" s="1" t="s">
        <x:v>1660</x:v>
      </x:c>
      <x:c r="H19" s="1" t="s">
        <x:v>125</x:v>
      </x:c>
      <x:c r="I19" s="1" t="s">
        <x:v>140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1667</x:v>
      </x:c>
      <x:c r="B20" s="1" t="s">
        <x:v>1482</x:v>
      </x:c>
      <x:c r="C20" s="1" t="s">
        <x:v>827</x:v>
      </x:c>
      <x:c r="D20" s="1" t="s">
        <x:v>1668</x:v>
      </x:c>
      <x:c r="E20" s="1" t="s">
        <x:v>160</x:v>
      </x:c>
      <x:c r="F20" s="1" t="s">
        <x:v>185</x:v>
      </x:c>
      <x:c r="G20" s="1" t="s">
        <x:v>1651</x:v>
      </x:c>
      <x:c r="H20" s="1" t="s">
        <x:v>125</x:v>
      </x:c>
      <x:c r="I20" s="1" t="s">
        <x:v>140</x:v>
      </x:c>
      <x:c r="J20" s="11" t="n">
        <x:v>46229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1669</x:v>
      </x:c>
      <x:c r="B21" s="1" t="s">
        <x:v>208</x:v>
      </x:c>
      <x:c r="C21" s="1" t="s">
        <x:v>1633</x:v>
      </x:c>
      <x:c r="D21" s="1" t="s">
        <x:v>1670</x:v>
      </x:c>
      <x:c r="E21" s="1" t="s">
        <x:v>160</x:v>
      </x:c>
      <x:c r="F21" s="1" t="s">
        <x:v>185</x:v>
      </x:c>
      <x:c r="G21" s="1" t="s">
        <x:v>1651</x:v>
      </x:c>
      <x:c r="H21" s="1" t="s">
        <x:v>125</x:v>
      </x:c>
      <x:c r="I21" s="1" t="s">
        <x:v>140</x:v>
      </x:c>
      <x:c r="J21" s="11" t="n">
        <x:v>46229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1671</x:v>
      </x:c>
      <x:c r="B22" s="1" t="s">
        <x:v>188</x:v>
      </x:c>
      <x:c r="C22" s="1" t="s">
        <x:v>1633</x:v>
      </x:c>
      <x:c r="D22" s="1" t="s">
        <x:v>1672</x:v>
      </x:c>
      <x:c r="E22" s="1" t="s">
        <x:v>160</x:v>
      </x:c>
      <x:c r="F22" s="1" t="s">
        <x:v>190</x:v>
      </x:c>
      <x:c r="G22" s="1" t="s">
        <x:v>1651</x:v>
      </x:c>
      <x:c r="H22" s="1" t="s">
        <x:v>125</x:v>
      </x:c>
      <x:c r="I22" s="1" t="s">
        <x:v>140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1673</x:v>
      </x:c>
      <x:c r="B23" s="1" t="s">
        <x:v>193</x:v>
      </x:c>
      <x:c r="C23" s="1" t="s">
        <x:v>1640</x:v>
      </x:c>
      <x:c r="D23" s="1" t="s">
        <x:v>1674</x:v>
      </x:c>
      <x:c r="E23" s="1" t="s">
        <x:v>160</x:v>
      </x:c>
      <x:c r="F23" s="1" t="s">
        <x:v>195</x:v>
      </x:c>
      <x:c r="G23" s="1" t="s">
        <x:v>1675</x:v>
      </x:c>
      <x:c r="H23" s="1" t="s">
        <x:v>119</x:v>
      </x:c>
      <x:c r="I23" s="1" t="s">
        <x:v>139</x:v>
      </x:c>
      <x:c r="J23" s="11" t="n">
        <x:v>46229</x:v>
      </x:c>
      <x:c r="K23" s="1" t="s">
        <x:v>1676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2" hidden="0" customHeight="1">
      <x:c r="A24" s="1" t="s">
        <x:v>1677</x:v>
      </x:c>
      <x:c r="B24" s="1" t="s">
        <x:v>212</x:v>
      </x:c>
      <x:c r="C24" s="1" t="s">
        <x:v>1640</x:v>
      </x:c>
      <x:c r="D24" s="1" t="s">
        <x:v>1678</x:v>
      </x:c>
      <x:c r="E24" s="1" t="s">
        <x:v>160</x:v>
      </x:c>
      <x:c r="F24" s="1" t="s">
        <x:v>201</x:v>
      </x:c>
      <x:c r="G24" s="1" t="s">
        <x:v>1679</x:v>
      </x:c>
      <x:c r="H24" s="1" t="s">
        <x:v>119</x:v>
      </x:c>
      <x:c r="I24" s="1" t="s">
        <x:v>139</x:v>
      </x:c>
      <x:c r="J24" s="11" t="n">
        <x:v>46229</x:v>
      </x:c>
      <x:c r="K24" s="1" t="s">
        <x:v>1680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0</x:v>
      </x:c>
    </x:row>
    <x:row r="25" s="4" customFormat="1" ht="15" hidden="0" customHeight="1">
      <x:c r="A25" s="1" t="s">
        <x:v>1681</x:v>
      </x:c>
      <x:c r="B25" s="1" t="s">
        <x:v>215</x:v>
      </x:c>
      <x:c r="C25" s="1" t="s">
        <x:v>1640</x:v>
      </x:c>
      <x:c r="D25" s="1" t="s">
        <x:v>1682</x:v>
      </x:c>
      <x:c r="E25" s="1" t="s">
        <x:v>160</x:v>
      </x:c>
      <x:c r="F25" s="1" t="s">
        <x:v>217</x:v>
      </x:c>
      <x:c r="G25" s="1" t="s">
        <x:v>1683</x:v>
      </x:c>
      <x:c r="H25" s="1" t="s">
        <x:v>125</x:v>
      </x:c>
      <x:c r="I25" s="1" t="s">
        <x:v>140</x:v>
      </x:c>
      <x:c r="J25" s="11" t="n">
        <x:v>46229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15" hidden="0" customHeight="1">
      <x:c r="A26" s="1" t="s">
        <x:v>1684</x:v>
      </x:c>
      <x:c r="B26" s="1" t="s">
        <x:v>220</x:v>
      </x:c>
      <x:c r="C26" s="1" t="s">
        <x:v>1640</x:v>
      </x:c>
      <x:c r="D26" s="1" t="s">
        <x:v>1685</x:v>
      </x:c>
      <x:c r="E26" s="1" t="s">
        <x:v>160</x:v>
      </x:c>
      <x:c r="F26" s="1" t="s">
        <x:v>217</x:v>
      </x:c>
      <x:c r="G26" s="1" t="s">
        <x:v>1686</x:v>
      </x:c>
      <x:c r="H26" s="1" t="s">
        <x:v>125</x:v>
      </x:c>
      <x:c r="I26" s="1" t="s">
        <x:v>140</x:v>
      </x:c>
      <x:c r="J26" s="11" t="n">
        <x:v>46229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15" hidden="0" customHeight="1">
      <x:c r="A27" s="1" t="s">
        <x:v>1687</x:v>
      </x:c>
      <x:c r="B27" s="1" t="s">
        <x:v>224</x:v>
      </x:c>
      <x:c r="C27" s="1" t="s">
        <x:v>1640</x:v>
      </x:c>
      <x:c r="D27" s="1" t="s">
        <x:v>1688</x:v>
      </x:c>
      <x:c r="E27" s="1" t="s">
        <x:v>226</x:v>
      </x:c>
      <x:c r="F27" s="1" t="s">
        <x:v>226</x:v>
      </x:c>
      <x:c r="G27" s="1" t="s">
        <x:v>227</x:v>
      </x:c>
      <x:c r="H27" s="1" t="s">
        <x:v>125</x:v>
      </x:c>
      <x:c r="I27" s="1" t="s">
        <x:v>140</x:v>
      </x:c>
      <x:c r="J27" s="11" t="n">
        <x:v>46229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15" hidden="0" customHeight="1">
      <x:c r="A28" s="1" t="s">
        <x:v>1689</x:v>
      </x:c>
      <x:c r="B28" s="1" t="s">
        <x:v>229</x:v>
      </x:c>
      <x:c r="C28" s="1" t="s">
        <x:v>1640</x:v>
      </x:c>
      <x:c r="D28" s="1" t="s">
        <x:v>1690</x:v>
      </x:c>
      <x:c r="E28" s="1" t="s">
        <x:v>160</x:v>
      </x:c>
      <x:c r="F28" s="1" t="s">
        <x:v>160</x:v>
      </x:c>
      <x:c r="G28" s="1" t="s">
        <x:v>231</x:v>
      </x:c>
      <x:c r="H28" s="1" t="s">
        <x:v>125</x:v>
      </x:c>
      <x:c r="I28" s="1" t="s">
        <x:v>140</x:v>
      </x:c>
      <x:c r="J28" s="11" t="n">
        <x:v>46229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1691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1692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143</x:v>
      </x:c>
      <x:c r="E4" s="7" t="n">
        <x:f aca="0">SUM(M9:M28)</x:f>
        <x:v>18</x:v>
      </x:c>
      <x:c r="G4" s="6" t="s">
        <x:v>13</x:v>
      </x:c>
      <x:c r="H4" s="8" t="n">
        <x:f aca="0">IF(B4=0,0,E4/B4)</x:f>
        <x:v>0.9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1693</x:v>
      </x:c>
      <x:c r="B9" s="1" t="s">
        <x:v>157</x:v>
      </x:c>
      <x:c r="C9" s="1" t="s">
        <x:v>1694</x:v>
      </x:c>
      <x:c r="D9" s="1" t="s">
        <x:v>1695</x:v>
      </x:c>
      <x:c r="E9" s="1" t="s">
        <x:v>160</x:v>
      </x:c>
      <x:c r="F9" s="1" t="s">
        <x:v>161</x:v>
      </x:c>
      <x:c r="G9" s="1" t="s">
        <x:v>1696</x:v>
      </x:c>
      <x:c r="H9" s="1" t="s">
        <x:v>125</x:v>
      </x:c>
      <x:c r="I9" s="1" t="s">
        <x:v>140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1697</x:v>
      </x:c>
      <x:c r="B10" s="1" t="s">
        <x:v>1423</x:v>
      </x:c>
      <x:c r="C10" s="1" t="s">
        <x:v>1694</x:v>
      </x:c>
      <x:c r="D10" s="1" t="s">
        <x:v>1698</x:v>
      </x:c>
      <x:c r="E10" s="1" t="s">
        <x:v>160</x:v>
      </x:c>
      <x:c r="F10" s="1" t="s">
        <x:v>180</x:v>
      </x:c>
      <x:c r="G10" s="1" t="s">
        <x:v>1699</x:v>
      </x:c>
      <x:c r="H10" s="1" t="s">
        <x:v>125</x:v>
      </x:c>
      <x:c r="I10" s="1" t="s">
        <x:v>140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1700</x:v>
      </x:c>
      <x:c r="B11" s="1" t="s">
        <x:v>164</x:v>
      </x:c>
      <x:c r="C11" s="1" t="s">
        <x:v>56</x:v>
      </x:c>
      <x:c r="D11" s="1" t="s">
        <x:v>1701</x:v>
      </x:c>
      <x:c r="E11" s="1" t="s">
        <x:v>160</x:v>
      </x:c>
      <x:c r="F11" s="1" t="s">
        <x:v>160</x:v>
      </x:c>
      <x:c r="G11" s="1" t="s">
        <x:v>166</x:v>
      </x:c>
      <x:c r="H11" s="1" t="s">
        <x:v>125</x:v>
      </x:c>
      <x:c r="I11" s="1" t="s">
        <x:v>140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1702</x:v>
      </x:c>
      <x:c r="B12" s="1" t="s">
        <x:v>168</x:v>
      </x:c>
      <x:c r="C12" s="1" t="s">
        <x:v>1694</x:v>
      </x:c>
      <x:c r="D12" s="1" t="s">
        <x:v>1703</x:v>
      </x:c>
      <x:c r="E12" s="1" t="s">
        <x:v>160</x:v>
      </x:c>
      <x:c r="F12" s="1" t="s">
        <x:v>170</x:v>
      </x:c>
      <x:c r="G12" s="1" t="s">
        <x:v>1704</x:v>
      </x:c>
      <x:c r="H12" s="1" t="s">
        <x:v>125</x:v>
      </x:c>
      <x:c r="I12" s="1" t="s">
        <x:v>140</x:v>
      </x:c>
      <x:c r="J12" s="11" t="n">
        <x:v>46229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1705</x:v>
      </x:c>
      <x:c r="B13" s="1" t="s">
        <x:v>173</x:v>
      </x:c>
      <x:c r="C13" s="1" t="s">
        <x:v>1694</x:v>
      </x:c>
      <x:c r="D13" s="1" t="s">
        <x:v>1706</x:v>
      </x:c>
      <x:c r="E13" s="1" t="s">
        <x:v>160</x:v>
      </x:c>
      <x:c r="F13" s="1" t="s">
        <x:v>175</x:v>
      </x:c>
      <x:c r="G13" s="1" t="s">
        <x:v>1707</x:v>
      </x:c>
      <x:c r="H13" s="1" t="s">
        <x:v>125</x:v>
      </x:c>
      <x:c r="I13" s="1" t="s">
        <x:v>140</x:v>
      </x:c>
      <x:c r="J13" s="11" t="n">
        <x:v>46229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1708</x:v>
      </x:c>
      <x:c r="B14" s="1" t="s">
        <x:v>1649</x:v>
      </x:c>
      <x:c r="C14" s="1" t="s">
        <x:v>1694</x:v>
      </x:c>
      <x:c r="D14" s="1" t="s">
        <x:v>1709</x:v>
      </x:c>
      <x:c r="E14" s="1" t="s">
        <x:v>160</x:v>
      </x:c>
      <x:c r="F14" s="1" t="s">
        <x:v>185</x:v>
      </x:c>
      <x:c r="G14" s="1" t="s">
        <x:v>1710</x:v>
      </x:c>
      <x:c r="H14" s="1" t="s">
        <x:v>125</x:v>
      </x:c>
      <x:c r="I14" s="1" t="s">
        <x:v>140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1711</x:v>
      </x:c>
      <x:c r="B15" s="1" t="s">
        <x:v>1653</x:v>
      </x:c>
      <x:c r="C15" s="1" t="s">
        <x:v>827</x:v>
      </x:c>
      <x:c r="D15" s="1" t="s">
        <x:v>1712</x:v>
      </x:c>
      <x:c r="E15" s="1" t="s">
        <x:v>160</x:v>
      </x:c>
      <x:c r="F15" s="1" t="s">
        <x:v>185</x:v>
      </x:c>
      <x:c r="G15" s="1" t="s">
        <x:v>1710</x:v>
      </x:c>
      <x:c r="H15" s="1" t="s">
        <x:v>125</x:v>
      </x:c>
      <x:c r="I15" s="1" t="s">
        <x:v>140</x:v>
      </x:c>
      <x:c r="J15" s="11" t="n">
        <x:v>46229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1713</x:v>
      </x:c>
      <x:c r="B16" s="1" t="s">
        <x:v>1656</x:v>
      </x:c>
      <x:c r="C16" s="1" t="s">
        <x:v>827</x:v>
      </x:c>
      <x:c r="D16" s="1" t="s">
        <x:v>1714</x:v>
      </x:c>
      <x:c r="E16" s="1" t="s">
        <x:v>160</x:v>
      </x:c>
      <x:c r="F16" s="1" t="s">
        <x:v>185</x:v>
      </x:c>
      <x:c r="G16" s="1" t="s">
        <x:v>1710</x:v>
      </x:c>
      <x:c r="H16" s="1" t="s">
        <x:v>125</x:v>
      </x:c>
      <x:c r="I16" s="1" t="s">
        <x:v>140</x:v>
      </x:c>
      <x:c r="J16" s="11" t="n">
        <x:v>46229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1715</x:v>
      </x:c>
      <x:c r="B17" s="1" t="s">
        <x:v>117</x:v>
      </x:c>
      <x:c r="C17" s="1" t="s">
        <x:v>827</x:v>
      </x:c>
      <x:c r="D17" s="1" t="s">
        <x:v>1716</x:v>
      </x:c>
      <x:c r="E17" s="1" t="s">
        <x:v>160</x:v>
      </x:c>
      <x:c r="F17" s="1" t="s">
        <x:v>180</x:v>
      </x:c>
      <x:c r="G17" s="1" t="s">
        <x:v>1717</x:v>
      </x:c>
      <x:c r="H17" s="1" t="s">
        <x:v>125</x:v>
      </x:c>
      <x:c r="I17" s="1" t="s">
        <x:v>140</x:v>
      </x:c>
      <x:c r="J17" s="11" t="n">
        <x:v>46229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1718</x:v>
      </x:c>
      <x:c r="B18" s="1" t="s">
        <x:v>1662</x:v>
      </x:c>
      <x:c r="C18" s="1" t="s">
        <x:v>1694</x:v>
      </x:c>
      <x:c r="D18" s="1" t="s">
        <x:v>1719</x:v>
      </x:c>
      <x:c r="E18" s="1" t="s">
        <x:v>160</x:v>
      </x:c>
      <x:c r="F18" s="1" t="s">
        <x:v>185</x:v>
      </x:c>
      <x:c r="G18" s="1" t="s">
        <x:v>1717</x:v>
      </x:c>
      <x:c r="H18" s="1" t="s">
        <x:v>125</x:v>
      </x:c>
      <x:c r="I18" s="1" t="s">
        <x:v>140</x:v>
      </x:c>
      <x:c r="J18" s="11" t="n">
        <x:v>46229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1720</x:v>
      </x:c>
      <x:c r="B19" s="1" t="s">
        <x:v>1665</x:v>
      </x:c>
      <x:c r="C19" s="1" t="s">
        <x:v>1694</x:v>
      </x:c>
      <x:c r="D19" s="1" t="s">
        <x:v>1721</x:v>
      </x:c>
      <x:c r="E19" s="1" t="s">
        <x:v>160</x:v>
      </x:c>
      <x:c r="F19" s="1" t="s">
        <x:v>180</x:v>
      </x:c>
      <x:c r="G19" s="1" t="s">
        <x:v>1699</x:v>
      </x:c>
      <x:c r="H19" s="1" t="s">
        <x:v>125</x:v>
      </x:c>
      <x:c r="I19" s="1" t="s">
        <x:v>140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1722</x:v>
      </x:c>
      <x:c r="B20" s="1" t="s">
        <x:v>1482</x:v>
      </x:c>
      <x:c r="C20" s="1" t="s">
        <x:v>827</x:v>
      </x:c>
      <x:c r="D20" s="1" t="s">
        <x:v>1723</x:v>
      </x:c>
      <x:c r="E20" s="1" t="s">
        <x:v>160</x:v>
      </x:c>
      <x:c r="F20" s="1" t="s">
        <x:v>185</x:v>
      </x:c>
      <x:c r="G20" s="1" t="s">
        <x:v>1710</x:v>
      </x:c>
      <x:c r="H20" s="1" t="s">
        <x:v>125</x:v>
      </x:c>
      <x:c r="I20" s="1" t="s">
        <x:v>140</x:v>
      </x:c>
      <x:c r="J20" s="11" t="n">
        <x:v>46229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1724</x:v>
      </x:c>
      <x:c r="B21" s="1" t="s">
        <x:v>208</x:v>
      </x:c>
      <x:c r="C21" s="1" t="s">
        <x:v>1694</x:v>
      </x:c>
      <x:c r="D21" s="1" t="s">
        <x:v>1725</x:v>
      </x:c>
      <x:c r="E21" s="1" t="s">
        <x:v>160</x:v>
      </x:c>
      <x:c r="F21" s="1" t="s">
        <x:v>185</x:v>
      </x:c>
      <x:c r="G21" s="1" t="s">
        <x:v>1710</x:v>
      </x:c>
      <x:c r="H21" s="1" t="s">
        <x:v>125</x:v>
      </x:c>
      <x:c r="I21" s="1" t="s">
        <x:v>140</x:v>
      </x:c>
      <x:c r="J21" s="11" t="n">
        <x:v>46229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1726</x:v>
      </x:c>
      <x:c r="B22" s="1" t="s">
        <x:v>188</x:v>
      </x:c>
      <x:c r="C22" s="1" t="s">
        <x:v>1694</x:v>
      </x:c>
      <x:c r="D22" s="1" t="s">
        <x:v>1727</x:v>
      </x:c>
      <x:c r="E22" s="1" t="s">
        <x:v>160</x:v>
      </x:c>
      <x:c r="F22" s="1" t="s">
        <x:v>190</x:v>
      </x:c>
      <x:c r="G22" s="1" t="s">
        <x:v>1710</x:v>
      </x:c>
      <x:c r="H22" s="1" t="s">
        <x:v>125</x:v>
      </x:c>
      <x:c r="I22" s="1" t="s">
        <x:v>140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1728</x:v>
      </x:c>
      <x:c r="B23" s="1" t="s">
        <x:v>193</x:v>
      </x:c>
      <x:c r="C23" s="1" t="s">
        <x:v>56</x:v>
      </x:c>
      <x:c r="D23" s="1" t="s">
        <x:v>1729</x:v>
      </x:c>
      <x:c r="E23" s="1" t="s">
        <x:v>160</x:v>
      </x:c>
      <x:c r="F23" s="1" t="s">
        <x:v>195</x:v>
      </x:c>
      <x:c r="G23" s="1" t="s">
        <x:v>1730</x:v>
      </x:c>
      <x:c r="H23" s="1" t="s">
        <x:v>119</x:v>
      </x:c>
      <x:c r="I23" s="1" t="s">
        <x:v>139</x:v>
      </x:c>
      <x:c r="J23" s="11" t="n">
        <x:v>46229</x:v>
      </x:c>
      <x:c r="K23" s="1" t="s">
        <x:v>1731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2" hidden="0" customHeight="1">
      <x:c r="A24" s="1" t="s">
        <x:v>1732</x:v>
      </x:c>
      <x:c r="B24" s="1" t="s">
        <x:v>212</x:v>
      </x:c>
      <x:c r="C24" s="1" t="s">
        <x:v>56</x:v>
      </x:c>
      <x:c r="D24" s="1" t="s">
        <x:v>1733</x:v>
      </x:c>
      <x:c r="E24" s="1" t="s">
        <x:v>160</x:v>
      </x:c>
      <x:c r="F24" s="1" t="s">
        <x:v>201</x:v>
      </x:c>
      <x:c r="G24" s="1" t="s">
        <x:v>1734</x:v>
      </x:c>
      <x:c r="H24" s="1" t="s">
        <x:v>119</x:v>
      </x:c>
      <x:c r="I24" s="1" t="s">
        <x:v>139</x:v>
      </x:c>
      <x:c r="J24" s="11" t="n">
        <x:v>46229</x:v>
      </x:c>
      <x:c r="K24" s="1" t="s">
        <x:v>1735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0</x:v>
      </x:c>
    </x:row>
    <x:row r="25" s="4" customFormat="1" ht="15" hidden="0" customHeight="1">
      <x:c r="A25" s="1" t="s">
        <x:v>1736</x:v>
      </x:c>
      <x:c r="B25" s="1" t="s">
        <x:v>215</x:v>
      </x:c>
      <x:c r="C25" s="1" t="s">
        <x:v>56</x:v>
      </x:c>
      <x:c r="D25" s="1" t="s">
        <x:v>1682</x:v>
      </x:c>
      <x:c r="E25" s="1" t="s">
        <x:v>160</x:v>
      </x:c>
      <x:c r="F25" s="1" t="s">
        <x:v>217</x:v>
      </x:c>
      <x:c r="G25" s="1" t="s">
        <x:v>1737</x:v>
      </x:c>
      <x:c r="H25" s="1" t="s">
        <x:v>125</x:v>
      </x:c>
      <x:c r="I25" s="1" t="s">
        <x:v>140</x:v>
      </x:c>
      <x:c r="J25" s="11" t="n">
        <x:v>46229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15" hidden="0" customHeight="1">
      <x:c r="A26" s="1" t="s">
        <x:v>1738</x:v>
      </x:c>
      <x:c r="B26" s="1" t="s">
        <x:v>220</x:v>
      </x:c>
      <x:c r="C26" s="1" t="s">
        <x:v>56</x:v>
      </x:c>
      <x:c r="D26" s="1" t="s">
        <x:v>1685</x:v>
      </x:c>
      <x:c r="E26" s="1" t="s">
        <x:v>160</x:v>
      </x:c>
      <x:c r="F26" s="1" t="s">
        <x:v>217</x:v>
      </x:c>
      <x:c r="G26" s="1" t="s">
        <x:v>1739</x:v>
      </x:c>
      <x:c r="H26" s="1" t="s">
        <x:v>125</x:v>
      </x:c>
      <x:c r="I26" s="1" t="s">
        <x:v>140</x:v>
      </x:c>
      <x:c r="J26" s="11" t="n">
        <x:v>46229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15" hidden="0" customHeight="1">
      <x:c r="A27" s="1" t="s">
        <x:v>1740</x:v>
      </x:c>
      <x:c r="B27" s="1" t="s">
        <x:v>224</x:v>
      </x:c>
      <x:c r="C27" s="1" t="s">
        <x:v>56</x:v>
      </x:c>
      <x:c r="D27" s="1" t="s">
        <x:v>1741</x:v>
      </x:c>
      <x:c r="E27" s="1" t="s">
        <x:v>226</x:v>
      </x:c>
      <x:c r="F27" s="1" t="s">
        <x:v>226</x:v>
      </x:c>
      <x:c r="G27" s="1" t="s">
        <x:v>227</x:v>
      </x:c>
      <x:c r="H27" s="1" t="s">
        <x:v>125</x:v>
      </x:c>
      <x:c r="I27" s="1" t="s">
        <x:v>140</x:v>
      </x:c>
      <x:c r="J27" s="11" t="n">
        <x:v>46229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15" hidden="0" customHeight="1">
      <x:c r="A28" s="1" t="s">
        <x:v>1742</x:v>
      </x:c>
      <x:c r="B28" s="1" t="s">
        <x:v>229</x:v>
      </x:c>
      <x:c r="C28" s="1" t="s">
        <x:v>56</x:v>
      </x:c>
      <x:c r="D28" s="1" t="s">
        <x:v>1743</x:v>
      </x:c>
      <x:c r="E28" s="1" t="s">
        <x:v>160</x:v>
      </x:c>
      <x:c r="F28" s="1" t="s">
        <x:v>160</x:v>
      </x:c>
      <x:c r="G28" s="1" t="s">
        <x:v>231</x:v>
      </x:c>
      <x:c r="H28" s="1" t="s">
        <x:v>125</x:v>
      </x:c>
      <x:c r="I28" s="1" t="s">
        <x:v>140</x:v>
      </x:c>
      <x:c r="J28" s="11" t="n">
        <x:v>46229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1744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1745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143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1746</x:v>
      </x:c>
      <x:c r="B9" s="1" t="s">
        <x:v>117</x:v>
      </x:c>
      <x:c r="C9" s="1" t="s">
        <x:v>1747</x:v>
      </x:c>
      <x:c r="D9" s="1" t="s">
        <x:v>1748</x:v>
      </x:c>
      <x:c r="E9" s="1" t="s">
        <x:v>160</x:v>
      </x:c>
      <x:c r="F9" s="1" t="s">
        <x:v>161</x:v>
      </x:c>
      <x:c r="G9" s="1" t="s">
        <x:v>1749</x:v>
      </x:c>
      <x:c r="H9" s="1" t="s">
        <x:v>125</x:v>
      </x:c>
      <x:c r="I9" s="1" t="s">
        <x:v>140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1750</x:v>
      </x:c>
      <x:c r="B10" s="1" t="s">
        <x:v>1423</x:v>
      </x:c>
      <x:c r="C10" s="1" t="s">
        <x:v>1265</x:v>
      </x:c>
      <x:c r="D10" s="1" t="s">
        <x:v>1751</x:v>
      </x:c>
      <x:c r="E10" s="1" t="s">
        <x:v>160</x:v>
      </x:c>
      <x:c r="F10" s="1" t="s">
        <x:v>180</x:v>
      </x:c>
      <x:c r="G10" s="1" t="s">
        <x:v>1752</x:v>
      </x:c>
      <x:c r="H10" s="1" t="s">
        <x:v>125</x:v>
      </x:c>
      <x:c r="I10" s="1" t="s">
        <x:v>140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1753</x:v>
      </x:c>
      <x:c r="B11" s="1" t="s">
        <x:v>164</x:v>
      </x:c>
      <x:c r="C11" s="1" t="s">
        <x:v>57</x:v>
      </x:c>
      <x:c r="D11" s="1" t="s">
        <x:v>1754</x:v>
      </x:c>
      <x:c r="E11" s="1" t="s">
        <x:v>160</x:v>
      </x:c>
      <x:c r="F11" s="1" t="s">
        <x:v>160</x:v>
      </x:c>
      <x:c r="G11" s="1" t="s">
        <x:v>166</x:v>
      </x:c>
      <x:c r="H11" s="1" t="s">
        <x:v>125</x:v>
      </x:c>
      <x:c r="I11" s="1" t="s">
        <x:v>140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1755</x:v>
      </x:c>
      <x:c r="B12" s="1" t="s">
        <x:v>168</x:v>
      </x:c>
      <x:c r="C12" s="1" t="s">
        <x:v>1265</x:v>
      </x:c>
      <x:c r="D12" s="1" t="s">
        <x:v>1756</x:v>
      </x:c>
      <x:c r="E12" s="1" t="s">
        <x:v>160</x:v>
      </x:c>
      <x:c r="F12" s="1" t="s">
        <x:v>170</x:v>
      </x:c>
      <x:c r="G12" s="1" t="s">
        <x:v>1757</x:v>
      </x:c>
      <x:c r="H12" s="1" t="s">
        <x:v>125</x:v>
      </x:c>
      <x:c r="I12" s="1" t="s">
        <x:v>140</x:v>
      </x:c>
      <x:c r="J12" s="11" t="n">
        <x:v>46229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1758</x:v>
      </x:c>
      <x:c r="B13" s="1" t="s">
        <x:v>173</x:v>
      </x:c>
      <x:c r="C13" s="1" t="s">
        <x:v>1265</x:v>
      </x:c>
      <x:c r="D13" s="1" t="s">
        <x:v>1759</x:v>
      </x:c>
      <x:c r="E13" s="1" t="s">
        <x:v>160</x:v>
      </x:c>
      <x:c r="F13" s="1" t="s">
        <x:v>175</x:v>
      </x:c>
      <x:c r="G13" s="1" t="s">
        <x:v>1760</x:v>
      </x:c>
      <x:c r="H13" s="1" t="s">
        <x:v>125</x:v>
      </x:c>
      <x:c r="I13" s="1" t="s">
        <x:v>140</x:v>
      </x:c>
      <x:c r="J13" s="11" t="n">
        <x:v>46229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1761</x:v>
      </x:c>
      <x:c r="B14" s="1" t="s">
        <x:v>1649</x:v>
      </x:c>
      <x:c r="C14" s="1" t="s">
        <x:v>1762</x:v>
      </x:c>
      <x:c r="D14" s="1" t="s">
        <x:v>1763</x:v>
      </x:c>
      <x:c r="E14" s="1" t="s">
        <x:v>160</x:v>
      </x:c>
      <x:c r="F14" s="1" t="s">
        <x:v>185</x:v>
      </x:c>
      <x:c r="G14" s="1" t="s">
        <x:v>1764</x:v>
      </x:c>
      <x:c r="H14" s="1" t="s">
        <x:v>125</x:v>
      </x:c>
      <x:c r="I14" s="1" t="s">
        <x:v>140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1765</x:v>
      </x:c>
      <x:c r="B15" s="1" t="s">
        <x:v>1766</x:v>
      </x:c>
      <x:c r="C15" s="1" t="s">
        <x:v>1767</x:v>
      </x:c>
      <x:c r="D15" s="1" t="s">
        <x:v>1768</x:v>
      </x:c>
      <x:c r="E15" s="1" t="s">
        <x:v>160</x:v>
      </x:c>
      <x:c r="F15" s="1" t="s">
        <x:v>195</x:v>
      </x:c>
      <x:c r="G15" s="1" t="s">
        <x:v>1769</x:v>
      </x:c>
      <x:c r="H15" s="1" t="s">
        <x:v>127</x:v>
      </x:c>
      <x:c r="I15" s="1" t="s">
        <x:v>139</x:v>
      </x:c>
      <x:c r="J15" s="11" t="n">
        <x:v>46229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1770</x:v>
      </x:c>
      <x:c r="B16" s="1" t="s">
        <x:v>1771</x:v>
      </x:c>
      <x:c r="C16" s="1" t="s">
        <x:v>827</x:v>
      </x:c>
      <x:c r="D16" s="1" t="s">
        <x:v>1772</x:v>
      </x:c>
      <x:c r="E16" s="1" t="s">
        <x:v>160</x:v>
      </x:c>
      <x:c r="F16" s="1" t="s">
        <x:v>195</x:v>
      </x:c>
      <x:c r="G16" s="1" t="s">
        <x:v>1769</x:v>
      </x:c>
      <x:c r="H16" s="1" t="s">
        <x:v>127</x:v>
      </x:c>
      <x:c r="I16" s="1" t="s">
        <x:v>139</x:v>
      </x:c>
      <x:c r="J16" s="11" t="n">
        <x:v>46229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1773</x:v>
      </x:c>
      <x:c r="B17" s="1" t="s">
        <x:v>1151</x:v>
      </x:c>
      <x:c r="C17" s="1" t="s">
        <x:v>1774</x:v>
      </x:c>
      <x:c r="D17" s="1" t="s">
        <x:v>1775</x:v>
      </x:c>
      <x:c r="E17" s="1" t="s">
        <x:v>160</x:v>
      </x:c>
      <x:c r="F17" s="1" t="s">
        <x:v>185</x:v>
      </x:c>
      <x:c r="G17" s="1" t="s">
        <x:v>1776</x:v>
      </x:c>
      <x:c r="H17" s="1" t="s">
        <x:v>125</x:v>
      </x:c>
      <x:c r="I17" s="1" t="s">
        <x:v>140</x:v>
      </x:c>
      <x:c r="J17" s="11" t="n">
        <x:v>46229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1777</x:v>
      </x:c>
      <x:c r="B18" s="1" t="s">
        <x:v>1778</x:v>
      </x:c>
      <x:c r="C18" s="1" t="s">
        <x:v>1779</x:v>
      </x:c>
      <x:c r="D18" s="1" t="s">
        <x:v>1780</x:v>
      </x:c>
      <x:c r="E18" s="1" t="s">
        <x:v>160</x:v>
      </x:c>
      <x:c r="F18" s="1" t="s">
        <x:v>190</x:v>
      </x:c>
      <x:c r="G18" s="1" t="s">
        <x:v>1781</x:v>
      </x:c>
      <x:c r="H18" s="1" t="s">
        <x:v>125</x:v>
      </x:c>
      <x:c r="I18" s="1" t="s">
        <x:v>140</x:v>
      </x:c>
      <x:c r="J18" s="11" t="n">
        <x:v>46229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1782</x:v>
      </x:c>
      <x:c r="B19" s="1" t="s">
        <x:v>1783</x:v>
      </x:c>
      <x:c r="C19" s="1" t="s">
        <x:v>1784</x:v>
      </x:c>
      <x:c r="D19" s="1" t="s">
        <x:v>1785</x:v>
      </x:c>
      <x:c r="E19" s="1" t="s">
        <x:v>160</x:v>
      </x:c>
      <x:c r="F19" s="1" t="s">
        <x:v>180</x:v>
      </x:c>
      <x:c r="G19" s="1" t="s">
        <x:v>1781</x:v>
      </x:c>
      <x:c r="H19" s="1" t="s">
        <x:v>125</x:v>
      </x:c>
      <x:c r="I19" s="1" t="s">
        <x:v>140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1786</x:v>
      </x:c>
      <x:c r="B20" s="1" t="s">
        <x:v>1787</x:v>
      </x:c>
      <x:c r="C20" s="1" t="s">
        <x:v>1784</x:v>
      </x:c>
      <x:c r="D20" s="1" t="s">
        <x:v>1788</x:v>
      </x:c>
      <x:c r="E20" s="1" t="s">
        <x:v>160</x:v>
      </x:c>
      <x:c r="F20" s="1" t="s">
        <x:v>185</x:v>
      </x:c>
      <x:c r="G20" s="1" t="s">
        <x:v>1764</x:v>
      </x:c>
      <x:c r="H20" s="1" t="s">
        <x:v>125</x:v>
      </x:c>
      <x:c r="I20" s="1" t="s">
        <x:v>140</x:v>
      </x:c>
      <x:c r="J20" s="11" t="n">
        <x:v>46229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1789</x:v>
      </x:c>
      <x:c r="B21" s="1" t="s">
        <x:v>1790</x:v>
      </x:c>
      <x:c r="C21" s="1" t="s">
        <x:v>32</x:v>
      </x:c>
      <x:c r="D21" s="1" t="s">
        <x:v>1791</x:v>
      </x:c>
      <x:c r="E21" s="1" t="s">
        <x:v>160</x:v>
      </x:c>
      <x:c r="F21" s="1" t="s">
        <x:v>185</x:v>
      </x:c>
      <x:c r="G21" s="1" t="s">
        <x:v>1764</x:v>
      </x:c>
      <x:c r="H21" s="1" t="s">
        <x:v>125</x:v>
      </x:c>
      <x:c r="I21" s="1" t="s">
        <x:v>140</x:v>
      </x:c>
      <x:c r="J21" s="11" t="n">
        <x:v>46229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1792</x:v>
      </x:c>
      <x:c r="B22" s="1" t="s">
        <x:v>208</x:v>
      </x:c>
      <x:c r="C22" s="1" t="s">
        <x:v>1265</x:v>
      </x:c>
      <x:c r="D22" s="1" t="s">
        <x:v>1793</x:v>
      </x:c>
      <x:c r="E22" s="1" t="s">
        <x:v>160</x:v>
      </x:c>
      <x:c r="F22" s="1" t="s">
        <x:v>185</x:v>
      </x:c>
      <x:c r="G22" s="1" t="s">
        <x:v>1781</x:v>
      </x:c>
      <x:c r="H22" s="1" t="s">
        <x:v>125</x:v>
      </x:c>
      <x:c r="I22" s="1" t="s">
        <x:v>140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1794</x:v>
      </x:c>
      <x:c r="B23" s="1" t="s">
        <x:v>199</x:v>
      </x:c>
      <x:c r="C23" s="1" t="s">
        <x:v>1795</x:v>
      </x:c>
      <x:c r="D23" s="1" t="s">
        <x:v>1796</x:v>
      </x:c>
      <x:c r="E23" s="1" t="s">
        <x:v>160</x:v>
      </x:c>
      <x:c r="F23" s="1" t="s">
        <x:v>185</x:v>
      </x:c>
      <x:c r="G23" s="1" t="s">
        <x:v>1776</x:v>
      </x:c>
      <x:c r="H23" s="1" t="s">
        <x:v>125</x:v>
      </x:c>
      <x:c r="I23" s="1" t="s">
        <x:v>140</x:v>
      </x:c>
      <x:c r="J23" s="11" t="n">
        <x:v>46229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1797</x:v>
      </x:c>
      <x:c r="B24" s="1" t="s">
        <x:v>188</x:v>
      </x:c>
      <x:c r="C24" s="1" t="s">
        <x:v>1265</x:v>
      </x:c>
      <x:c r="D24" s="1" t="s">
        <x:v>1798</x:v>
      </x:c>
      <x:c r="E24" s="1" t="s">
        <x:v>160</x:v>
      </x:c>
      <x:c r="F24" s="1" t="s">
        <x:v>190</x:v>
      </x:c>
      <x:c r="G24" s="1" t="s">
        <x:v>1764</x:v>
      </x:c>
      <x:c r="H24" s="1" t="s">
        <x:v>125</x:v>
      </x:c>
      <x:c r="I24" s="1" t="s">
        <x:v>140</x:v>
      </x:c>
      <x:c r="J24" s="11" t="n">
        <x:v>46229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15" hidden="0" customHeight="1">
      <x:c r="A25" s="1" t="s">
        <x:v>1799</x:v>
      </x:c>
      <x:c r="B25" s="1" t="s">
        <x:v>193</x:v>
      </x:c>
      <x:c r="C25" s="1" t="s">
        <x:v>57</x:v>
      </x:c>
      <x:c r="D25" s="1" t="s">
        <x:v>1800</x:v>
      </x:c>
      <x:c r="E25" s="1" t="s">
        <x:v>160</x:v>
      </x:c>
      <x:c r="F25" s="1" t="s">
        <x:v>195</x:v>
      </x:c>
      <x:c r="G25" s="1" t="s">
        <x:v>1769</x:v>
      </x:c>
      <x:c r="H25" s="1" t="s">
        <x:v>127</x:v>
      </x:c>
      <x:c r="I25" s="1" t="s">
        <x:v>139</x:v>
      </x:c>
      <x:c r="J25" s="11" t="n">
        <x:v>46229</x:v>
      </x:c>
      <x:c r="K25" s="1" t="s">
        <x:v>1801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15" hidden="0" customHeight="1">
      <x:c r="A26" s="1" t="s">
        <x:v>1802</x:v>
      </x:c>
      <x:c r="B26" s="1" t="s">
        <x:v>212</x:v>
      </x:c>
      <x:c r="C26" s="1" t="s">
        <x:v>57</x:v>
      </x:c>
      <x:c r="D26" s="1" t="s">
        <x:v>1803</x:v>
      </x:c>
      <x:c r="E26" s="1" t="s">
        <x:v>160</x:v>
      </x:c>
      <x:c r="F26" s="1" t="s">
        <x:v>201</x:v>
      </x:c>
      <x:c r="G26" s="1" t="s">
        <x:v>1804</x:v>
      </x:c>
      <x:c r="H26" s="1" t="s">
        <x:v>119</x:v>
      </x:c>
      <x:c r="I26" s="1" t="s">
        <x:v>139</x:v>
      </x:c>
      <x:c r="J26" s="11" t="n">
        <x:v>46229</x:v>
      </x:c>
      <x:c r="K26" s="1" t="s">
        <x:v>1735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0</x:v>
      </x:c>
    </x:row>
    <x:row r="27" s="4" customFormat="1" ht="15" hidden="0" customHeight="1">
      <x:c r="A27" s="1" t="s">
        <x:v>1805</x:v>
      </x:c>
      <x:c r="B27" s="1" t="s">
        <x:v>215</x:v>
      </x:c>
      <x:c r="C27" s="1" t="s">
        <x:v>57</x:v>
      </x:c>
      <x:c r="D27" s="1" t="s">
        <x:v>1806</x:v>
      </x:c>
      <x:c r="E27" s="1" t="s">
        <x:v>160</x:v>
      </x:c>
      <x:c r="F27" s="1" t="s">
        <x:v>217</x:v>
      </x:c>
      <x:c r="G27" s="1" t="s">
        <x:v>1807</x:v>
      </x:c>
      <x:c r="H27" s="1" t="s">
        <x:v>125</x:v>
      </x:c>
      <x:c r="I27" s="1" t="s">
        <x:v>140</x:v>
      </x:c>
      <x:c r="J27" s="11" t="n">
        <x:v>46229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15" hidden="0" customHeight="1">
      <x:c r="A28" s="1" t="s">
        <x:v>1808</x:v>
      </x:c>
      <x:c r="B28" s="1" t="s">
        <x:v>220</x:v>
      </x:c>
      <x:c r="C28" s="1" t="s">
        <x:v>57</x:v>
      </x:c>
      <x:c r="D28" s="1" t="s">
        <x:v>1809</x:v>
      </x:c>
      <x:c r="E28" s="1" t="s">
        <x:v>160</x:v>
      </x:c>
      <x:c r="F28" s="1" t="s">
        <x:v>217</x:v>
      </x:c>
      <x:c r="G28" s="1" t="s">
        <x:v>1810</x:v>
      </x:c>
      <x:c r="H28" s="1" t="s">
        <x:v>125</x:v>
      </x:c>
      <x:c r="I28" s="1" t="s">
        <x:v>140</x:v>
      </x:c>
      <x:c r="J28" s="11" t="n">
        <x:v>46229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15" hidden="0" customHeight="1">
      <x:c r="A29" s="1" t="s">
        <x:v>1811</x:v>
      </x:c>
      <x:c r="B29" s="1" t="s">
        <x:v>646</x:v>
      </x:c>
      <x:c r="C29" s="1" t="s">
        <x:v>57</x:v>
      </x:c>
      <x:c r="D29" s="1" t="s">
        <x:v>1812</x:v>
      </x:c>
      <x:c r="E29" s="1" t="s">
        <x:v>160</x:v>
      </x:c>
      <x:c r="F29" s="1" t="s">
        <x:v>648</x:v>
      </x:c>
      <x:c r="G29" s="1" t="s">
        <x:v>1813</x:v>
      </x:c>
      <x:c r="H29" s="1" t="s">
        <x:v>125</x:v>
      </x:c>
      <x:c r="I29" s="1" t="s">
        <x:v>140</x:v>
      </x:c>
      <x:c r="J29" s="11" t="n">
        <x:v>46229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15" hidden="0" customHeight="1">
      <x:c r="A30" s="1" t="s">
        <x:v>1814</x:v>
      </x:c>
      <x:c r="B30" s="1" t="s">
        <x:v>224</x:v>
      </x:c>
      <x:c r="C30" s="1" t="s">
        <x:v>57</x:v>
      </x:c>
      <x:c r="D30" s="1" t="s">
        <x:v>1815</x:v>
      </x:c>
      <x:c r="E30" s="1" t="s">
        <x:v>226</x:v>
      </x:c>
      <x:c r="F30" s="1" t="s">
        <x:v>226</x:v>
      </x:c>
      <x:c r="G30" s="1" t="s">
        <x:v>227</x:v>
      </x:c>
      <x:c r="H30" s="1" t="s">
        <x:v>125</x:v>
      </x:c>
      <x:c r="I30" s="1" t="s">
        <x:v>140</x:v>
      </x:c>
      <x:c r="J30" s="11" t="n">
        <x:v>46229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15" hidden="0" customHeight="1">
      <x:c r="A31" s="1" t="s">
        <x:v>1816</x:v>
      </x:c>
      <x:c r="B31" s="1" t="s">
        <x:v>229</x:v>
      </x:c>
      <x:c r="C31" s="1" t="s">
        <x:v>57</x:v>
      </x:c>
      <x:c r="D31" s="1" t="s">
        <x:v>1817</x:v>
      </x:c>
      <x:c r="E31" s="1" t="s">
        <x:v>160</x:v>
      </x:c>
      <x:c r="F31" s="1" t="s">
        <x:v>160</x:v>
      </x:c>
      <x:c r="G31" s="1" t="s">
        <x:v>231</x:v>
      </x:c>
      <x:c r="H31" s="1" t="s">
        <x:v>125</x:v>
      </x:c>
      <x:c r="I31" s="1" t="s">
        <x:v>140</x:v>
      </x:c>
      <x:c r="J31" s="11" t="n">
        <x:v>46229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1818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1819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143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1820</x:v>
      </x:c>
      <x:c r="B9" s="1" t="s">
        <x:v>117</x:v>
      </x:c>
      <x:c r="C9" s="1" t="s">
        <x:v>1265</x:v>
      </x:c>
      <x:c r="D9" s="1" t="s">
        <x:v>1821</x:v>
      </x:c>
      <x:c r="E9" s="1" t="s">
        <x:v>160</x:v>
      </x:c>
      <x:c r="F9" s="1" t="s">
        <x:v>161</x:v>
      </x:c>
      <x:c r="G9" s="1" t="s">
        <x:v>1822</x:v>
      </x:c>
      <x:c r="H9" s="1" t="s">
        <x:v>125</x:v>
      </x:c>
      <x:c r="I9" s="1" t="s">
        <x:v>140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1823</x:v>
      </x:c>
      <x:c r="B10" s="1" t="s">
        <x:v>1423</x:v>
      </x:c>
      <x:c r="C10" s="1" t="s">
        <x:v>1824</x:v>
      </x:c>
      <x:c r="D10" s="1" t="s">
        <x:v>1825</x:v>
      </x:c>
      <x:c r="E10" s="1" t="s">
        <x:v>160</x:v>
      </x:c>
      <x:c r="F10" s="1" t="s">
        <x:v>180</x:v>
      </x:c>
      <x:c r="G10" s="1" t="s">
        <x:v>1826</x:v>
      </x:c>
      <x:c r="H10" s="1" t="s">
        <x:v>125</x:v>
      </x:c>
      <x:c r="I10" s="1" t="s">
        <x:v>140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1827</x:v>
      </x:c>
      <x:c r="B11" s="1" t="s">
        <x:v>164</x:v>
      </x:c>
      <x:c r="C11" s="1" t="s">
        <x:v>58</x:v>
      </x:c>
      <x:c r="D11" s="1" t="s">
        <x:v>1828</x:v>
      </x:c>
      <x:c r="E11" s="1" t="s">
        <x:v>160</x:v>
      </x:c>
      <x:c r="F11" s="1" t="s">
        <x:v>160</x:v>
      </x:c>
      <x:c r="G11" s="1" t="s">
        <x:v>166</x:v>
      </x:c>
      <x:c r="H11" s="1" t="s">
        <x:v>125</x:v>
      </x:c>
      <x:c r="I11" s="1" t="s">
        <x:v>140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1829</x:v>
      </x:c>
      <x:c r="B12" s="1" t="s">
        <x:v>168</x:v>
      </x:c>
      <x:c r="C12" s="1" t="s">
        <x:v>1265</x:v>
      </x:c>
      <x:c r="D12" s="1" t="s">
        <x:v>1830</x:v>
      </x:c>
      <x:c r="E12" s="1" t="s">
        <x:v>160</x:v>
      </x:c>
      <x:c r="F12" s="1" t="s">
        <x:v>170</x:v>
      </x:c>
      <x:c r="G12" s="1" t="s">
        <x:v>1831</x:v>
      </x:c>
      <x:c r="H12" s="1" t="s">
        <x:v>125</x:v>
      </x:c>
      <x:c r="I12" s="1" t="s">
        <x:v>140</x:v>
      </x:c>
      <x:c r="J12" s="11" t="n">
        <x:v>46244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1832</x:v>
      </x:c>
      <x:c r="B13" s="1" t="s">
        <x:v>173</x:v>
      </x:c>
      <x:c r="C13" s="1" t="s">
        <x:v>1265</x:v>
      </x:c>
      <x:c r="D13" s="1" t="s">
        <x:v>1833</x:v>
      </x:c>
      <x:c r="E13" s="1" t="s">
        <x:v>160</x:v>
      </x:c>
      <x:c r="F13" s="1" t="s">
        <x:v>175</x:v>
      </x:c>
      <x:c r="G13" s="1" t="s">
        <x:v>1834</x:v>
      </x:c>
      <x:c r="H13" s="1" t="s">
        <x:v>125</x:v>
      </x:c>
      <x:c r="I13" s="1" t="s">
        <x:v>140</x:v>
      </x:c>
      <x:c r="J13" s="11" t="n">
        <x:v>46244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1835</x:v>
      </x:c>
      <x:c r="B14" s="1" t="s">
        <x:v>1649</x:v>
      </x:c>
      <x:c r="C14" s="1" t="s">
        <x:v>1836</x:v>
      </x:c>
      <x:c r="D14" s="1" t="s">
        <x:v>1837</x:v>
      </x:c>
      <x:c r="E14" s="1" t="s">
        <x:v>160</x:v>
      </x:c>
      <x:c r="F14" s="1" t="s">
        <x:v>185</x:v>
      </x:c>
      <x:c r="G14" s="1" t="s">
        <x:v>1838</x:v>
      </x:c>
      <x:c r="H14" s="1" t="s">
        <x:v>125</x:v>
      </x:c>
      <x:c r="I14" s="1" t="s">
        <x:v>140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1839</x:v>
      </x:c>
      <x:c r="B15" s="1" t="s">
        <x:v>1766</x:v>
      </x:c>
      <x:c r="C15" s="1" t="s">
        <x:v>1265</x:v>
      </x:c>
      <x:c r="D15" s="1" t="s">
        <x:v>1840</x:v>
      </x:c>
      <x:c r="E15" s="1" t="s">
        <x:v>160</x:v>
      </x:c>
      <x:c r="F15" s="1" t="s">
        <x:v>195</x:v>
      </x:c>
      <x:c r="G15" s="1" t="s">
        <x:v>1841</x:v>
      </x:c>
      <x:c r="H15" s="1" t="s">
        <x:v>127</x:v>
      </x:c>
      <x:c r="I15" s="1" t="s">
        <x:v>139</x:v>
      </x:c>
      <x:c r="J15" s="11" t="n">
        <x:v>46229</x:v>
      </x:c>
      <x:c r="K15" s="1" t="s">
        <x:v>1842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1843</x:v>
      </x:c>
      <x:c r="B16" s="1" t="s">
        <x:v>1771</x:v>
      </x:c>
      <x:c r="C16" s="1" t="s">
        <x:v>1844</x:v>
      </x:c>
      <x:c r="D16" s="1" t="s">
        <x:v>1845</x:v>
      </x:c>
      <x:c r="E16" s="1" t="s">
        <x:v>160</x:v>
      </x:c>
      <x:c r="F16" s="1" t="s">
        <x:v>195</x:v>
      </x:c>
      <x:c r="G16" s="1" t="s">
        <x:v>1841</x:v>
      </x:c>
      <x:c r="H16" s="1" t="s">
        <x:v>127</x:v>
      </x:c>
      <x:c r="I16" s="1" t="s">
        <x:v>139</x:v>
      </x:c>
      <x:c r="J16" s="11" t="n">
        <x:v>46229</x:v>
      </x:c>
      <x:c r="K16" s="1" t="s">
        <x:v>1846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1847</x:v>
      </x:c>
      <x:c r="B17" s="1" t="s">
        <x:v>1848</x:v>
      </x:c>
      <x:c r="C17" s="1" t="s">
        <x:v>1836</x:v>
      </x:c>
      <x:c r="D17" s="1" t="s">
        <x:v>1849</x:v>
      </x:c>
      <x:c r="E17" s="1" t="s">
        <x:v>160</x:v>
      </x:c>
      <x:c r="F17" s="1" t="s">
        <x:v>185</x:v>
      </x:c>
      <x:c r="G17" s="1" t="s">
        <x:v>1850</x:v>
      </x:c>
      <x:c r="H17" s="1" t="s">
        <x:v>125</x:v>
      </x:c>
      <x:c r="I17" s="1" t="s">
        <x:v>140</x:v>
      </x:c>
      <x:c r="J17" s="11" t="n">
        <x:v>46244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1851</x:v>
      </x:c>
      <x:c r="B18" s="1" t="s">
        <x:v>1662</x:v>
      </x:c>
      <x:c r="C18" s="1" t="s">
        <x:v>1852</x:v>
      </x:c>
      <x:c r="D18" s="1" t="s">
        <x:v>1853</x:v>
      </x:c>
      <x:c r="E18" s="1" t="s">
        <x:v>160</x:v>
      </x:c>
      <x:c r="F18" s="1" t="s">
        <x:v>185</x:v>
      </x:c>
      <x:c r="G18" s="1" t="s">
        <x:v>1854</x:v>
      </x:c>
      <x:c r="H18" s="1" t="s">
        <x:v>125</x:v>
      </x:c>
      <x:c r="I18" s="1" t="s">
        <x:v>140</x:v>
      </x:c>
      <x:c r="J18" s="11" t="n">
        <x:v>46229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1855</x:v>
      </x:c>
      <x:c r="B19" s="1" t="s">
        <x:v>1856</x:v>
      </x:c>
      <x:c r="C19" s="1" t="s">
        <x:v>1857</x:v>
      </x:c>
      <x:c r="D19" s="1" t="s">
        <x:v>1858</x:v>
      </x:c>
      <x:c r="E19" s="1" t="s">
        <x:v>160</x:v>
      </x:c>
      <x:c r="F19" s="1" t="s">
        <x:v>185</x:v>
      </x:c>
      <x:c r="G19" s="1" t="s">
        <x:v>1838</x:v>
      </x:c>
      <x:c r="H19" s="1" t="s">
        <x:v>125</x:v>
      </x:c>
      <x:c r="I19" s="1" t="s">
        <x:v>140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1859</x:v>
      </x:c>
      <x:c r="B20" s="1" t="s">
        <x:v>1860</x:v>
      </x:c>
      <x:c r="C20" s="1" t="s">
        <x:v>1151</x:v>
      </x:c>
      <x:c r="D20" s="1" t="s">
        <x:v>1861</x:v>
      </x:c>
      <x:c r="E20" s="1" t="s">
        <x:v>160</x:v>
      </x:c>
      <x:c r="F20" s="1" t="s">
        <x:v>180</x:v>
      </x:c>
      <x:c r="G20" s="1" t="s">
        <x:v>1862</x:v>
      </x:c>
      <x:c r="H20" s="1" t="s">
        <x:v>125</x:v>
      </x:c>
      <x:c r="I20" s="1" t="s">
        <x:v>140</x:v>
      </x:c>
      <x:c r="J20" s="11" t="n">
        <x:v>46244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1863</x:v>
      </x:c>
      <x:c r="B21" s="1" t="s">
        <x:v>1864</x:v>
      </x:c>
      <x:c r="C21" s="1" t="s">
        <x:v>1864</x:v>
      </x:c>
      <x:c r="D21" s="1" t="s">
        <x:v>1865</x:v>
      </x:c>
      <x:c r="E21" s="1" t="s">
        <x:v>160</x:v>
      </x:c>
      <x:c r="F21" s="1" t="s">
        <x:v>195</x:v>
      </x:c>
      <x:c r="G21" s="1" t="s">
        <x:v>1841</x:v>
      </x:c>
      <x:c r="H21" s="1" t="s">
        <x:v>127</x:v>
      </x:c>
      <x:c r="I21" s="1" t="s">
        <x:v>139</x:v>
      </x:c>
      <x:c r="J21" s="11" t="n">
        <x:v>46229</x:v>
      </x:c>
      <x:c r="K21" s="1" t="s">
        <x:v>1866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1867</x:v>
      </x:c>
      <x:c r="B22" s="1" t="s">
        <x:v>208</x:v>
      </x:c>
      <x:c r="C22" s="1" t="s">
        <x:v>1836</x:v>
      </x:c>
      <x:c r="D22" s="1" t="s">
        <x:v>1868</x:v>
      </x:c>
      <x:c r="E22" s="1" t="s">
        <x:v>160</x:v>
      </x:c>
      <x:c r="F22" s="1" t="s">
        <x:v>185</x:v>
      </x:c>
      <x:c r="G22" s="1" t="s">
        <x:v>1862</x:v>
      </x:c>
      <x:c r="H22" s="1" t="s">
        <x:v>125</x:v>
      </x:c>
      <x:c r="I22" s="1" t="s">
        <x:v>140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1869</x:v>
      </x:c>
      <x:c r="B23" s="1" t="s">
        <x:v>199</x:v>
      </x:c>
      <x:c r="C23" s="1" t="s">
        <x:v>1870</x:v>
      </x:c>
      <x:c r="D23" s="1" t="s">
        <x:v>1871</x:v>
      </x:c>
      <x:c r="E23" s="1" t="s">
        <x:v>160</x:v>
      </x:c>
      <x:c r="F23" s="1" t="s">
        <x:v>185</x:v>
      </x:c>
      <x:c r="G23" s="1" t="s">
        <x:v>1838</x:v>
      </x:c>
      <x:c r="H23" s="1" t="s">
        <x:v>125</x:v>
      </x:c>
      <x:c r="I23" s="1" t="s">
        <x:v>140</x:v>
      </x:c>
      <x:c r="J23" s="11" t="n">
        <x:v>46244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1872</x:v>
      </x:c>
      <x:c r="B24" s="1" t="s">
        <x:v>1310</x:v>
      </x:c>
      <x:c r="C24" s="1" t="s">
        <x:v>1795</x:v>
      </x:c>
      <x:c r="D24" s="1" t="s">
        <x:v>1873</x:v>
      </x:c>
      <x:c r="E24" s="1" t="s">
        <x:v>160</x:v>
      </x:c>
      <x:c r="F24" s="1" t="s">
        <x:v>185</x:v>
      </x:c>
      <x:c r="G24" s="1" t="s">
        <x:v>1838</x:v>
      </x:c>
      <x:c r="H24" s="1" t="s">
        <x:v>125</x:v>
      </x:c>
      <x:c r="I24" s="1" t="s">
        <x:v>140</x:v>
      </x:c>
      <x:c r="J24" s="11" t="n">
        <x:v>46229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1874</x:v>
      </x:c>
      <x:c r="B25" s="1" t="s">
        <x:v>188</x:v>
      </x:c>
      <x:c r="C25" s="1" t="s">
        <x:v>1265</x:v>
      </x:c>
      <x:c r="D25" s="1" t="s">
        <x:v>1875</x:v>
      </x:c>
      <x:c r="E25" s="1" t="s">
        <x:v>160</x:v>
      </x:c>
      <x:c r="F25" s="1" t="s">
        <x:v>190</x:v>
      </x:c>
      <x:c r="G25" s="1" t="s">
        <x:v>1838</x:v>
      </x:c>
      <x:c r="H25" s="1" t="s">
        <x:v>125</x:v>
      </x:c>
      <x:c r="I25" s="1" t="s">
        <x:v>140</x:v>
      </x:c>
      <x:c r="J25" s="11" t="n">
        <x:v>46229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1876</x:v>
      </x:c>
      <x:c r="B26" s="1" t="s">
        <x:v>193</x:v>
      </x:c>
      <x:c r="C26" s="1" t="s">
        <x:v>58</x:v>
      </x:c>
      <x:c r="D26" s="1" t="s">
        <x:v>1877</x:v>
      </x:c>
      <x:c r="E26" s="1" t="s">
        <x:v>160</x:v>
      </x:c>
      <x:c r="F26" s="1" t="s">
        <x:v>195</x:v>
      </x:c>
      <x:c r="G26" s="1" t="s">
        <x:v>1841</x:v>
      </x:c>
      <x:c r="H26" s="1" t="s">
        <x:v>127</x:v>
      </x:c>
      <x:c r="I26" s="1" t="s">
        <x:v>139</x:v>
      </x:c>
      <x:c r="J26" s="11" t="n">
        <x:v>46229</x:v>
      </x:c>
      <x:c r="K26" s="1" t="s">
        <x:v>1878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1879</x:v>
      </x:c>
      <x:c r="B27" s="1" t="s">
        <x:v>212</x:v>
      </x:c>
      <x:c r="C27" s="1" t="s">
        <x:v>58</x:v>
      </x:c>
      <x:c r="D27" s="1" t="s">
        <x:v>1880</x:v>
      </x:c>
      <x:c r="E27" s="1" t="s">
        <x:v>160</x:v>
      </x:c>
      <x:c r="F27" s="1" t="s">
        <x:v>201</x:v>
      </x:c>
      <x:c r="G27" s="1" t="s">
        <x:v>1881</x:v>
      </x:c>
      <x:c r="H27" s="1" t="s">
        <x:v>119</x:v>
      </x:c>
      <x:c r="I27" s="1" t="s">
        <x:v>139</x:v>
      </x:c>
      <x:c r="J27" s="11" t="n">
        <x:v>46229</x:v>
      </x:c>
      <x:c r="K27" s="1" t="s">
        <x:v>1882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1883</x:v>
      </x:c>
      <x:c r="B28" s="1" t="s">
        <x:v>215</x:v>
      </x:c>
      <x:c r="C28" s="1" t="s">
        <x:v>58</x:v>
      </x:c>
      <x:c r="D28" s="1" t="s">
        <x:v>1884</x:v>
      </x:c>
      <x:c r="E28" s="1" t="s">
        <x:v>160</x:v>
      </x:c>
      <x:c r="F28" s="1" t="s">
        <x:v>217</x:v>
      </x:c>
      <x:c r="G28" s="1" t="s">
        <x:v>1885</x:v>
      </x:c>
      <x:c r="H28" s="1" t="s">
        <x:v>125</x:v>
      </x:c>
      <x:c r="I28" s="1" t="s">
        <x:v>140</x:v>
      </x:c>
      <x:c r="J28" s="11" t="n">
        <x:v>46244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1886</x:v>
      </x:c>
      <x:c r="B29" s="1" t="s">
        <x:v>646</x:v>
      </x:c>
      <x:c r="C29" s="1" t="s">
        <x:v>58</x:v>
      </x:c>
      <x:c r="D29" s="1" t="s">
        <x:v>1887</x:v>
      </x:c>
      <x:c r="E29" s="1" t="s">
        <x:v>160</x:v>
      </x:c>
      <x:c r="F29" s="1" t="s">
        <x:v>648</x:v>
      </x:c>
      <x:c r="G29" s="1" t="s">
        <x:v>1888</x:v>
      </x:c>
      <x:c r="H29" s="1" t="s">
        <x:v>125</x:v>
      </x:c>
      <x:c r="I29" s="1" t="s">
        <x:v>140</x:v>
      </x:c>
      <x:c r="J29" s="11" t="n">
        <x:v>46229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1889</x:v>
      </x:c>
      <x:c r="B30" s="1" t="s">
        <x:v>224</x:v>
      </x:c>
      <x:c r="C30" s="1" t="s">
        <x:v>58</x:v>
      </x:c>
      <x:c r="D30" s="1" t="s">
        <x:v>1890</x:v>
      </x:c>
      <x:c r="E30" s="1" t="s">
        <x:v>226</x:v>
      </x:c>
      <x:c r="F30" s="1" t="s">
        <x:v>226</x:v>
      </x:c>
      <x:c r="G30" s="1" t="s">
        <x:v>227</x:v>
      </x:c>
      <x:c r="H30" s="1" t="s">
        <x:v>125</x:v>
      </x:c>
      <x:c r="I30" s="1" t="s">
        <x:v>140</x:v>
      </x:c>
      <x:c r="J30" s="11" t="n">
        <x:v>46229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1891</x:v>
      </x:c>
      <x:c r="B31" s="1" t="s">
        <x:v>229</x:v>
      </x:c>
      <x:c r="C31" s="1" t="s">
        <x:v>58</x:v>
      </x:c>
      <x:c r="D31" s="1" t="s">
        <x:v>1892</x:v>
      </x:c>
      <x:c r="E31" s="1" t="s">
        <x:v>160</x:v>
      </x:c>
      <x:c r="F31" s="1" t="s">
        <x:v>160</x:v>
      </x:c>
      <x:c r="G31" s="1" t="s">
        <x:v>1893</x:v>
      </x:c>
      <x:c r="H31" s="1" t="s">
        <x:v>125</x:v>
      </x:c>
      <x:c r="I31" s="1" t="s">
        <x:v>140</x:v>
      </x:c>
      <x:c r="J31" s="11" t="n">
        <x:v>46244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1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1">
      <x:formula1>"yes,no"</x:formula1>
      <x:formula2>0</x:formula2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1894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1895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143</x:v>
      </x:c>
      <x:c r="E4" s="7" t="n">
        <x:f aca="0">SUM(M9:M30)</x:f>
        <x:v>21</x:v>
      </x:c>
      <x:c r="G4" s="6" t="s">
        <x:v>13</x:v>
      </x:c>
      <x:c r="H4" s="8" t="n">
        <x:f aca="0">IF(B4=0,0,E4/B4)</x:f>
        <x:v>0.9545454545454546</x:v>
      </x:c>
      <x:c r="J4" s="6" t="s">
        <x:v>14</x:v>
      </x:c>
      <x:c r="K4" s="7" t="str">
        <x:f aca="0">IF(COUNTIFS(E9:E30,"package",M9:M30,0)&gt;0,"open","complete")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1896</x:v>
      </x:c>
      <x:c r="B9" s="12" t="s">
        <x:v>117</x:v>
      </x:c>
      <x:c r="C9" s="12" t="s">
        <x:v>59</x:v>
      </x:c>
      <x:c r="D9" s="13" t="s">
        <x:v>1897</x:v>
      </x:c>
      <x:c r="E9" s="12" t="s">
        <x:v>160</x:v>
      </x:c>
      <x:c r="F9" s="12" t="s">
        <x:v>161</x:v>
      </x:c>
      <x:c r="G9" s="13" t="s">
        <x:v>1898</x:v>
      </x:c>
      <x:c r="H9" s="12" t="s">
        <x:v>125</x:v>
      </x:c>
      <x:c r="I9" s="12" t="s">
        <x:v>140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1899</x:v>
      </x:c>
      <x:c r="B10" s="12" t="s">
        <x:v>1423</x:v>
      </x:c>
      <x:c r="C10" s="12" t="s">
        <x:v>59</x:v>
      </x:c>
      <x:c r="D10" s="13" t="s">
        <x:v>1900</x:v>
      </x:c>
      <x:c r="E10" s="12" t="s">
        <x:v>160</x:v>
      </x:c>
      <x:c r="F10" s="12" t="s">
        <x:v>180</x:v>
      </x:c>
      <x:c r="G10" s="13" t="s">
        <x:v>1901</x:v>
      </x:c>
      <x:c r="H10" s="12" t="s">
        <x:v>125</x:v>
      </x:c>
      <x:c r="I10" s="12" t="s">
        <x:v>140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1902</x:v>
      </x:c>
      <x:c r="B11" s="12" t="s">
        <x:v>164</x:v>
      </x:c>
      <x:c r="C11" s="12" t="s">
        <x:v>59</x:v>
      </x:c>
      <x:c r="D11" s="13" t="s">
        <x:v>1903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1904</x:v>
      </x:c>
      <x:c r="B12" s="12" t="s">
        <x:v>168</x:v>
      </x:c>
      <x:c r="C12" s="12" t="s">
        <x:v>59</x:v>
      </x:c>
      <x:c r="D12" s="13" t="s">
        <x:v>1905</x:v>
      </x:c>
      <x:c r="E12" s="12" t="s">
        <x:v>160</x:v>
      </x:c>
      <x:c r="F12" s="12" t="s">
        <x:v>170</x:v>
      </x:c>
      <x:c r="G12" s="13" t="s">
        <x:v>1906</x:v>
      </x:c>
      <x:c r="H12" s="12" t="s">
        <x:v>125</x:v>
      </x:c>
      <x:c r="I12" s="12" t="s">
        <x:v>140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1907</x:v>
      </x:c>
      <x:c r="B13" s="12" t="s">
        <x:v>173</x:v>
      </x:c>
      <x:c r="C13" s="12" t="s">
        <x:v>59</x:v>
      </x:c>
      <x:c r="D13" s="13" t="s">
        <x:v>1908</x:v>
      </x:c>
      <x:c r="E13" s="12" t="s">
        <x:v>160</x:v>
      </x:c>
      <x:c r="F13" s="12" t="s">
        <x:v>175</x:v>
      </x:c>
      <x:c r="G13" s="13" t="s">
        <x:v>1909</x:v>
      </x:c>
      <x:c r="H13" s="12" t="s">
        <x:v>125</x:v>
      </x:c>
      <x:c r="I13" s="12" t="s">
        <x:v>140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1910</x:v>
      </x:c>
      <x:c r="B14" s="12" t="s">
        <x:v>1649</x:v>
      </x:c>
      <x:c r="C14" s="12" t="s">
        <x:v>59</x:v>
      </x:c>
      <x:c r="D14" s="13" t="s">
        <x:v>1911</x:v>
      </x:c>
      <x:c r="E14" s="12" t="s">
        <x:v>160</x:v>
      </x:c>
      <x:c r="F14" s="12" t="s">
        <x:v>185</x:v>
      </x:c>
      <x:c r="G14" s="13" t="s">
        <x:v>1912</x:v>
      </x:c>
      <x:c r="H14" s="12" t="s">
        <x:v>125</x:v>
      </x:c>
      <x:c r="I14" s="12" t="s">
        <x:v>140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1913</x:v>
      </x:c>
      <x:c r="B15" s="12" t="s">
        <x:v>1766</x:v>
      </x:c>
      <x:c r="C15" s="12" t="s">
        <x:v>59</x:v>
      </x:c>
      <x:c r="D15" s="13" t="s">
        <x:v>1914</x:v>
      </x:c>
      <x:c r="E15" s="12" t="s">
        <x:v>160</x:v>
      </x:c>
      <x:c r="F15" s="12" t="s">
        <x:v>195</x:v>
      </x:c>
      <x:c r="G15" s="13" t="s">
        <x:v>1915</x:v>
      </x:c>
      <x:c r="H15" s="12" t="s">
        <x:v>127</x:v>
      </x:c>
      <x:c r="I15" s="12" t="s">
        <x:v>139</x:v>
      </x:c>
      <x:c r="J15" s="14" t="n">
        <x:v>46229</x:v>
      </x:c>
      <x:c r="K15" s="13" t="s">
        <x:v>1842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1916</x:v>
      </x:c>
      <x:c r="B16" s="12" t="s">
        <x:v>1917</x:v>
      </x:c>
      <x:c r="C16" s="12" t="s">
        <x:v>59</x:v>
      </x:c>
      <x:c r="D16" s="13" t="s">
        <x:v>1918</x:v>
      </x:c>
      <x:c r="E16" s="12" t="s">
        <x:v>160</x:v>
      </x:c>
      <x:c r="F16" s="12" t="s">
        <x:v>195</x:v>
      </x:c>
      <x:c r="G16" s="13" t="s">
        <x:v>1915</x:v>
      </x:c>
      <x:c r="H16" s="12" t="s">
        <x:v>127</x:v>
      </x:c>
      <x:c r="I16" s="12" t="s">
        <x:v>139</x:v>
      </x:c>
      <x:c r="J16" s="14" t="n">
        <x:v>46229</x:v>
      </x:c>
      <x:c r="K16" s="13" t="s">
        <x:v>1919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1920</x:v>
      </x:c>
      <x:c r="B17" s="12" t="s">
        <x:v>1921</x:v>
      </x:c>
      <x:c r="C17" s="12" t="s">
        <x:v>59</x:v>
      </x:c>
      <x:c r="D17" s="13" t="s">
        <x:v>1922</x:v>
      </x:c>
      <x:c r="E17" s="12" t="s">
        <x:v>160</x:v>
      </x:c>
      <x:c r="F17" s="12" t="s">
        <x:v>185</x:v>
      </x:c>
      <x:c r="G17" s="13" t="s">
        <x:v>1923</x:v>
      </x:c>
      <x:c r="H17" s="12" t="s">
        <x:v>125</x:v>
      </x:c>
      <x:c r="I17" s="12" t="s">
        <x:v>140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1924</x:v>
      </x:c>
      <x:c r="B18" s="12" t="s">
        <x:v>1925</x:v>
      </x:c>
      <x:c r="C18" s="12" t="s">
        <x:v>59</x:v>
      </x:c>
      <x:c r="D18" s="13" t="s">
        <x:v>1926</x:v>
      </x:c>
      <x:c r="E18" s="12" t="s">
        <x:v>160</x:v>
      </x:c>
      <x:c r="F18" s="12" t="s">
        <x:v>185</x:v>
      </x:c>
      <x:c r="G18" s="13" t="s">
        <x:v>1912</x:v>
      </x:c>
      <x:c r="H18" s="12" t="s">
        <x:v>125</x:v>
      </x:c>
      <x:c r="I18" s="12" t="s">
        <x:v>140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1927</x:v>
      </x:c>
      <x:c r="B19" s="12" t="s">
        <x:v>1928</x:v>
      </x:c>
      <x:c r="C19" s="12" t="s">
        <x:v>59</x:v>
      </x:c>
      <x:c r="D19" s="13" t="s">
        <x:v>1929</x:v>
      </x:c>
      <x:c r="E19" s="12" t="s">
        <x:v>160</x:v>
      </x:c>
      <x:c r="F19" s="12" t="s">
        <x:v>185</x:v>
      </x:c>
      <x:c r="G19" s="13" t="s">
        <x:v>1930</x:v>
      </x:c>
      <x:c r="H19" s="12" t="s">
        <x:v>125</x:v>
      </x:c>
      <x:c r="I19" s="12" t="s">
        <x:v>140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1931</x:v>
      </x:c>
      <x:c r="B20" s="12" t="s">
        <x:v>208</x:v>
      </x:c>
      <x:c r="C20" s="12" t="s">
        <x:v>59</x:v>
      </x:c>
      <x:c r="D20" s="13" t="s">
        <x:v>1932</x:v>
      </x:c>
      <x:c r="E20" s="12" t="s">
        <x:v>160</x:v>
      </x:c>
      <x:c r="F20" s="12" t="s">
        <x:v>195</x:v>
      </x:c>
      <x:c r="G20" s="13" t="s">
        <x:v>1915</x:v>
      </x:c>
      <x:c r="H20" s="12" t="s">
        <x:v>127</x:v>
      </x:c>
      <x:c r="I20" s="12" t="s">
        <x:v>139</x:v>
      </x:c>
      <x:c r="J20" s="14" t="n">
        <x:v>46229</x:v>
      </x:c>
      <x:c r="K20" s="13" t="s">
        <x:v>1933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1934</x:v>
      </x:c>
      <x:c r="B21" s="12" t="s">
        <x:v>188</x:v>
      </x:c>
      <x:c r="C21" s="12" t="s">
        <x:v>59</x:v>
      </x:c>
      <x:c r="D21" s="13" t="s">
        <x:v>1935</x:v>
      </x:c>
      <x:c r="E21" s="12" t="s">
        <x:v>160</x:v>
      </x:c>
      <x:c r="F21" s="12" t="s">
        <x:v>190</x:v>
      </x:c>
      <x:c r="G21" s="13" t="s">
        <x:v>1912</x:v>
      </x:c>
      <x:c r="H21" s="12" t="s">
        <x:v>125</x:v>
      </x:c>
      <x:c r="I21" s="12" t="s">
        <x:v>140</x:v>
      </x:c>
      <x:c r="J21" s="14" t="n">
        <x:v>46229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1936</x:v>
      </x:c>
      <x:c r="B22" s="12" t="s">
        <x:v>199</x:v>
      </x:c>
      <x:c r="C22" s="12" t="s">
        <x:v>59</x:v>
      </x:c>
      <x:c r="D22" s="13" t="s">
        <x:v>1937</x:v>
      </x:c>
      <x:c r="E22" s="12" t="s">
        <x:v>160</x:v>
      </x:c>
      <x:c r="F22" s="12" t="s">
        <x:v>185</x:v>
      </x:c>
      <x:c r="G22" s="13" t="s">
        <x:v>1923</x:v>
      </x:c>
      <x:c r="H22" s="12" t="s">
        <x:v>125</x:v>
      </x:c>
      <x:c r="I22" s="12" t="s">
        <x:v>140</x:v>
      </x:c>
      <x:c r="J22" s="14" t="n">
        <x:v>46229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1938</x:v>
      </x:c>
      <x:c r="B23" s="12" t="s">
        <x:v>93</x:v>
      </x:c>
      <x:c r="C23" s="12" t="s">
        <x:v>59</x:v>
      </x:c>
      <x:c r="D23" s="13" t="s">
        <x:v>1939</x:v>
      </x:c>
      <x:c r="E23" s="12" t="s">
        <x:v>160</x:v>
      </x:c>
      <x:c r="F23" s="12" t="s">
        <x:v>195</x:v>
      </x:c>
      <x:c r="G23" s="13" t="s">
        <x:v>1915</x:v>
      </x:c>
      <x:c r="H23" s="12" t="s">
        <x:v>127</x:v>
      </x:c>
      <x:c r="I23" s="12" t="s">
        <x:v>139</x:v>
      </x:c>
      <x:c r="J23" s="14" t="n">
        <x:v>46229</x:v>
      </x:c>
      <x:c r="K23" s="13" t="s">
        <x:v>1940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1941</x:v>
      </x:c>
      <x:c r="B24" s="12" t="s">
        <x:v>193</x:v>
      </x:c>
      <x:c r="C24" s="12" t="s">
        <x:v>59</x:v>
      </x:c>
      <x:c r="D24" s="13" t="s">
        <x:v>1942</x:v>
      </x:c>
      <x:c r="E24" s="12" t="s">
        <x:v>160</x:v>
      </x:c>
      <x:c r="F24" s="12" t="s">
        <x:v>195</x:v>
      </x:c>
      <x:c r="G24" s="13" t="s">
        <x:v>1915</x:v>
      </x:c>
      <x:c r="H24" s="12" t="s">
        <x:v>127</x:v>
      </x:c>
      <x:c r="I24" s="12" t="s">
        <x:v>139</x:v>
      </x:c>
      <x:c r="J24" s="14" t="n">
        <x:v>46229</x:v>
      </x:c>
      <x:c r="K24" s="13" t="s">
        <x:v>1943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1944</x:v>
      </x:c>
      <x:c r="B25" s="12" t="s">
        <x:v>212</x:v>
      </x:c>
      <x:c r="C25" s="12" t="s">
        <x:v>59</x:v>
      </x:c>
      <x:c r="D25" s="13" t="s">
        <x:v>1945</x:v>
      </x:c>
      <x:c r="E25" s="12" t="s">
        <x:v>160</x:v>
      </x:c>
      <x:c r="F25" s="12" t="s">
        <x:v>201</x:v>
      </x:c>
      <x:c r="G25" s="13" t="s">
        <x:v>1946</x:v>
      </x:c>
      <x:c r="H25" s="12" t="s">
        <x:v>119</x:v>
      </x:c>
      <x:c r="I25" s="12" t="s">
        <x:v>139</x:v>
      </x:c>
      <x:c r="J25" s="14" t="n">
        <x:v>46229</x:v>
      </x:c>
      <x:c r="K25" s="13" t="s">
        <x:v>1882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1947</x:v>
      </x:c>
      <x:c r="B26" s="12" t="s">
        <x:v>215</x:v>
      </x:c>
      <x:c r="C26" s="12" t="s">
        <x:v>59</x:v>
      </x:c>
      <x:c r="D26" s="13" t="s">
        <x:v>1948</x:v>
      </x:c>
      <x:c r="E26" s="12" t="s">
        <x:v>160</x:v>
      </x:c>
      <x:c r="F26" s="12" t="s">
        <x:v>217</x:v>
      </x:c>
      <x:c r="G26" s="13" t="s">
        <x:v>1949</x:v>
      </x:c>
      <x:c r="H26" s="12" t="s">
        <x:v>125</x:v>
      </x:c>
      <x:c r="I26" s="12" t="s">
        <x:v>140</x:v>
      </x:c>
      <x:c r="J26" s="14" t="n">
        <x:v>46229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1950</x:v>
      </x:c>
      <x:c r="B27" s="12" t="s">
        <x:v>220</x:v>
      </x:c>
      <x:c r="C27" s="12" t="s">
        <x:v>59</x:v>
      </x:c>
      <x:c r="D27" s="13" t="s">
        <x:v>1951</x:v>
      </x:c>
      <x:c r="E27" s="12" t="s">
        <x:v>160</x:v>
      </x:c>
      <x:c r="F27" s="12" t="s">
        <x:v>217</x:v>
      </x:c>
      <x:c r="G27" s="13" t="s">
        <x:v>1952</x:v>
      </x:c>
      <x:c r="H27" s="12" t="s">
        <x:v>125</x:v>
      </x:c>
      <x:c r="I27" s="12" t="s">
        <x:v>140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1953</x:v>
      </x:c>
      <x:c r="B28" s="12" t="s">
        <x:v>646</x:v>
      </x:c>
      <x:c r="C28" s="12" t="s">
        <x:v>59</x:v>
      </x:c>
      <x:c r="D28" s="13" t="s">
        <x:v>1954</x:v>
      </x:c>
      <x:c r="E28" s="12" t="s">
        <x:v>160</x:v>
      </x:c>
      <x:c r="F28" s="12" t="s">
        <x:v>648</x:v>
      </x:c>
      <x:c r="G28" s="13" t="s">
        <x:v>1955</x:v>
      </x:c>
      <x:c r="H28" s="12" t="s">
        <x:v>125</x:v>
      </x:c>
      <x:c r="I28" s="12" t="s">
        <x:v>140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1956</x:v>
      </x:c>
      <x:c r="B29" s="12" t="s">
        <x:v>224</x:v>
      </x:c>
      <x:c r="C29" s="12" t="s">
        <x:v>59</x:v>
      </x:c>
      <x:c r="D29" s="13" t="s">
        <x:v>1957</x:v>
      </x:c>
      <x:c r="E29" s="12" t="s">
        <x:v>226</x:v>
      </x:c>
      <x:c r="F29" s="12" t="s">
        <x:v>226</x:v>
      </x:c>
      <x:c r="G29" s="13" t="s">
        <x:v>227</x:v>
      </x:c>
      <x:c r="H29" s="12" t="s">
        <x:v>125</x:v>
      </x:c>
      <x:c r="I29" s="12" t="s">
        <x:v>140</x:v>
      </x:c>
      <x:c r="J29" s="14" t="n">
        <x:v>46229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1958</x:v>
      </x:c>
      <x:c r="B30" s="12" t="s">
        <x:v>229</x:v>
      </x:c>
      <x:c r="C30" s="12" t="s">
        <x:v>59</x:v>
      </x:c>
      <x:c r="D30" s="13" t="s">
        <x:v>1959</x:v>
      </x:c>
      <x:c r="E30" s="12" t="s">
        <x:v>160</x:v>
      </x:c>
      <x:c r="F30" s="12" t="s">
        <x:v>160</x:v>
      </x:c>
      <x:c r="G30" s="13" t="s">
        <x:v>231</x:v>
      </x:c>
      <x:c r="H30" s="12" t="s">
        <x:v>125</x:v>
      </x:c>
      <x:c r="I30" s="12" t="s">
        <x:v>140</x:v>
      </x:c>
      <x:c r="J30" s="14" t="n">
        <x:v>46229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1960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1819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143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1961</x:v>
      </x:c>
      <x:c r="B9" s="1" t="s">
        <x:v>117</x:v>
      </x:c>
      <x:c r="C9" s="1" t="s">
        <x:v>1265</x:v>
      </x:c>
      <x:c r="D9" s="1" t="s">
        <x:v>1962</x:v>
      </x:c>
      <x:c r="E9" s="1" t="s">
        <x:v>160</x:v>
      </x:c>
      <x:c r="F9" s="1" t="s">
        <x:v>161</x:v>
      </x:c>
      <x:c r="G9" s="1" t="s">
        <x:v>1963</x:v>
      </x:c>
      <x:c r="H9" s="1" t="s">
        <x:v>125</x:v>
      </x:c>
      <x:c r="I9" s="1" t="s">
        <x:v>140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1964</x:v>
      </x:c>
      <x:c r="B10" s="1" t="s">
        <x:v>1423</x:v>
      </x:c>
      <x:c r="C10" s="1" t="s">
        <x:v>1265</x:v>
      </x:c>
      <x:c r="D10" s="1" t="s">
        <x:v>1965</x:v>
      </x:c>
      <x:c r="E10" s="1" t="s">
        <x:v>160</x:v>
      </x:c>
      <x:c r="F10" s="1" t="s">
        <x:v>180</x:v>
      </x:c>
      <x:c r="G10" s="1" t="s">
        <x:v>1966</x:v>
      </x:c>
      <x:c r="H10" s="1" t="s">
        <x:v>125</x:v>
      </x:c>
      <x:c r="I10" s="1" t="s">
        <x:v>140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1967</x:v>
      </x:c>
      <x:c r="B11" s="1" t="s">
        <x:v>164</x:v>
      </x:c>
      <x:c r="C11" s="1" t="s">
        <x:v>1968</x:v>
      </x:c>
      <x:c r="D11" s="1" t="s">
        <x:v>1969</x:v>
      </x:c>
      <x:c r="E11" s="1" t="s">
        <x:v>160</x:v>
      </x:c>
      <x:c r="F11" s="1" t="s">
        <x:v>160</x:v>
      </x:c>
      <x:c r="G11" s="1" t="s">
        <x:v>1970</x:v>
      </x:c>
      <x:c r="H11" s="1" t="s">
        <x:v>125</x:v>
      </x:c>
      <x:c r="I11" s="1" t="s">
        <x:v>140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1971</x:v>
      </x:c>
      <x:c r="B12" s="1" t="s">
        <x:v>168</x:v>
      </x:c>
      <x:c r="C12" s="1" t="s">
        <x:v>1265</x:v>
      </x:c>
      <x:c r="D12" s="1" t="s">
        <x:v>1972</x:v>
      </x:c>
      <x:c r="E12" s="1" t="s">
        <x:v>160</x:v>
      </x:c>
      <x:c r="F12" s="1" t="s">
        <x:v>170</x:v>
      </x:c>
      <x:c r="G12" s="1" t="s">
        <x:v>1973</x:v>
      </x:c>
      <x:c r="H12" s="1" t="s">
        <x:v>125</x:v>
      </x:c>
      <x:c r="I12" s="1" t="s">
        <x:v>140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1974</x:v>
      </x:c>
      <x:c r="B13" s="1" t="s">
        <x:v>173</x:v>
      </x:c>
      <x:c r="C13" s="1" t="s">
        <x:v>1265</x:v>
      </x:c>
      <x:c r="D13" s="1" t="s">
        <x:v>1975</x:v>
      </x:c>
      <x:c r="E13" s="1" t="s">
        <x:v>160</x:v>
      </x:c>
      <x:c r="F13" s="1" t="s">
        <x:v>175</x:v>
      </x:c>
      <x:c r="G13" s="1" t="s">
        <x:v>1976</x:v>
      </x:c>
      <x:c r="H13" s="1" t="s">
        <x:v>125</x:v>
      </x:c>
      <x:c r="I13" s="1" t="s">
        <x:v>140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1977</x:v>
      </x:c>
      <x:c r="B14" s="1" t="s">
        <x:v>1649</x:v>
      </x:c>
      <x:c r="C14" s="1" t="s">
        <x:v>1978</x:v>
      </x:c>
      <x:c r="D14" s="1" t="s">
        <x:v>1979</x:v>
      </x:c>
      <x:c r="E14" s="1" t="s">
        <x:v>160</x:v>
      </x:c>
      <x:c r="F14" s="1" t="s">
        <x:v>185</x:v>
      </x:c>
      <x:c r="G14" s="1" t="s">
        <x:v>1980</x:v>
      </x:c>
      <x:c r="H14" s="1" t="s">
        <x:v>125</x:v>
      </x:c>
      <x:c r="I14" s="1" t="s">
        <x:v>140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1981</x:v>
      </x:c>
      <x:c r="B15" s="1" t="s">
        <x:v>1771</x:v>
      </x:c>
      <x:c r="C15" s="1" t="s">
        <x:v>1982</x:v>
      </x:c>
      <x:c r="D15" s="1" t="s">
        <x:v>1983</x:v>
      </x:c>
      <x:c r="E15" s="1" t="s">
        <x:v>160</x:v>
      </x:c>
      <x:c r="F15" s="1" t="s">
        <x:v>195</x:v>
      </x:c>
      <x:c r="G15" s="1" t="s">
        <x:v>1984</x:v>
      </x:c>
      <x:c r="H15" s="1" t="s">
        <x:v>127</x:v>
      </x:c>
      <x:c r="I15" s="1" t="s">
        <x:v>139</x:v>
      </x:c>
      <x:c r="J15" s="11" t="n">
        <x:v>46230</x:v>
      </x:c>
      <x:c r="K15" s="1" t="s">
        <x:v>1985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1986</x:v>
      </x:c>
      <x:c r="B16" s="1" t="s">
        <x:v>1423</x:v>
      </x:c>
      <x:c r="C16" s="1" t="s">
        <x:v>1987</x:v>
      </x:c>
      <x:c r="D16" s="1" t="s">
        <x:v>1988</x:v>
      </x:c>
      <x:c r="E16" s="1" t="s">
        <x:v>160</x:v>
      </x:c>
      <x:c r="F16" s="1" t="s">
        <x:v>195</x:v>
      </x:c>
      <x:c r="G16" s="1" t="s">
        <x:v>1984</x:v>
      </x:c>
      <x:c r="H16" s="1" t="s">
        <x:v>127</x:v>
      </x:c>
      <x:c r="I16" s="1" t="s">
        <x:v>139</x:v>
      </x:c>
      <x:c r="J16" s="11" t="n">
        <x:v>46230</x:v>
      </x:c>
      <x:c r="K16" s="1" t="s">
        <x:v>1989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1990</x:v>
      </x:c>
      <x:c r="B17" s="1" t="s">
        <x:v>1991</x:v>
      </x:c>
      <x:c r="C17" s="1" t="s">
        <x:v>1992</x:v>
      </x:c>
      <x:c r="D17" s="1" t="s">
        <x:v>1993</x:v>
      </x:c>
      <x:c r="E17" s="1" t="s">
        <x:v>160</x:v>
      </x:c>
      <x:c r="F17" s="1" t="s">
        <x:v>185</x:v>
      </x:c>
      <x:c r="G17" s="1" t="s">
        <x:v>1980</x:v>
      </x:c>
      <x:c r="H17" s="1" t="s">
        <x:v>125</x:v>
      </x:c>
      <x:c r="I17" s="1" t="s">
        <x:v>140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1994</x:v>
      </x:c>
      <x:c r="B18" s="1" t="s">
        <x:v>1662</x:v>
      </x:c>
      <x:c r="C18" s="1" t="s">
        <x:v>1995</x:v>
      </x:c>
      <x:c r="D18" s="1" t="s">
        <x:v>1996</x:v>
      </x:c>
      <x:c r="E18" s="1" t="s">
        <x:v>160</x:v>
      </x:c>
      <x:c r="F18" s="1" t="s">
        <x:v>185</x:v>
      </x:c>
      <x:c r="G18" s="1" t="s">
        <x:v>1997</x:v>
      </x:c>
      <x:c r="H18" s="1" t="s">
        <x:v>125</x:v>
      </x:c>
      <x:c r="I18" s="1" t="s">
        <x:v>140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1998</x:v>
      </x:c>
      <x:c r="B19" s="1" t="s">
        <x:v>1999</x:v>
      </x:c>
      <x:c r="C19" s="1" t="s">
        <x:v>2000</x:v>
      </x:c>
      <x:c r="D19" s="1" t="s">
        <x:v>2001</x:v>
      </x:c>
      <x:c r="E19" s="1" t="s">
        <x:v>160</x:v>
      </x:c>
      <x:c r="F19" s="1" t="s">
        <x:v>185</x:v>
      </x:c>
      <x:c r="G19" s="1" t="s">
        <x:v>1980</x:v>
      </x:c>
      <x:c r="H19" s="1" t="s">
        <x:v>125</x:v>
      </x:c>
      <x:c r="I19" s="1" t="s">
        <x:v>140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2002</x:v>
      </x:c>
      <x:c r="B20" s="1" t="s">
        <x:v>1656</x:v>
      </x:c>
      <x:c r="C20" s="1" t="s">
        <x:v>1490</x:v>
      </x:c>
      <x:c r="D20" s="1" t="s">
        <x:v>2003</x:v>
      </x:c>
      <x:c r="E20" s="1" t="s">
        <x:v>160</x:v>
      </x:c>
      <x:c r="F20" s="1" t="s">
        <x:v>185</x:v>
      </x:c>
      <x:c r="G20" s="1" t="s">
        <x:v>1980</x:v>
      </x:c>
      <x:c r="H20" s="1" t="s">
        <x:v>125</x:v>
      </x:c>
      <x:c r="I20" s="1" t="s">
        <x:v>140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2004</x:v>
      </x:c>
      <x:c r="B21" s="1" t="s">
        <x:v>208</x:v>
      </x:c>
      <x:c r="C21" s="1" t="s">
        <x:v>2005</x:v>
      </x:c>
      <x:c r="D21" s="1" t="s">
        <x:v>2006</x:v>
      </x:c>
      <x:c r="E21" s="1" t="s">
        <x:v>160</x:v>
      </x:c>
      <x:c r="F21" s="1" t="s">
        <x:v>185</x:v>
      </x:c>
      <x:c r="G21" s="1" t="s">
        <x:v>2007</x:v>
      </x:c>
      <x:c r="H21" s="1" t="s">
        <x:v>125</x:v>
      </x:c>
      <x:c r="I21" s="1" t="s">
        <x:v>140</x:v>
      </x:c>
      <x:c r="J21" s="11" t="n">
        <x:v>46230</x:v>
      </x:c>
      <x:c r="K21" s="1" t="s">
        <x:v>1866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2008</x:v>
      </x:c>
      <x:c r="B22" s="1" t="s">
        <x:v>199</x:v>
      </x:c>
      <x:c r="C22" s="1" t="s">
        <x:v>1982</x:v>
      </x:c>
      <x:c r="D22" s="1" t="s">
        <x:v>2009</x:v>
      </x:c>
      <x:c r="E22" s="1" t="s">
        <x:v>160</x:v>
      </x:c>
      <x:c r="F22" s="1" t="s">
        <x:v>185</x:v>
      </x:c>
      <x:c r="G22" s="1" t="s">
        <x:v>1997</x:v>
      </x:c>
      <x:c r="H22" s="1" t="s">
        <x:v>125</x:v>
      </x:c>
      <x:c r="I22" s="1" t="s">
        <x:v>140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2010</x:v>
      </x:c>
      <x:c r="B23" s="1" t="s">
        <x:v>1310</x:v>
      </x:c>
      <x:c r="C23" s="1" t="s">
        <x:v>1982</x:v>
      </x:c>
      <x:c r="D23" s="1" t="s">
        <x:v>2011</x:v>
      </x:c>
      <x:c r="E23" s="1" t="s">
        <x:v>160</x:v>
      </x:c>
      <x:c r="F23" s="1" t="s">
        <x:v>185</x:v>
      </x:c>
      <x:c r="G23" s="1" t="s">
        <x:v>1980</x:v>
      </x:c>
      <x:c r="H23" s="1" t="s">
        <x:v>125</x:v>
      </x:c>
      <x:c r="I23" s="1" t="s">
        <x:v>140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2012</x:v>
      </x:c>
      <x:c r="B24" s="1" t="s">
        <x:v>188</x:v>
      </x:c>
      <x:c r="C24" s="1" t="s">
        <x:v>1265</x:v>
      </x:c>
      <x:c r="D24" s="1" t="s">
        <x:v>2013</x:v>
      </x:c>
      <x:c r="E24" s="1" t="s">
        <x:v>160</x:v>
      </x:c>
      <x:c r="F24" s="1" t="s">
        <x:v>190</x:v>
      </x:c>
      <x:c r="G24" s="1" t="s">
        <x:v>1980</x:v>
      </x:c>
      <x:c r="H24" s="1" t="s">
        <x:v>125</x:v>
      </x:c>
      <x:c r="I24" s="1" t="s">
        <x:v>140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2014</x:v>
      </x:c>
      <x:c r="B25" s="1" t="s">
        <x:v>193</x:v>
      </x:c>
      <x:c r="C25" s="1" t="s">
        <x:v>1968</x:v>
      </x:c>
      <x:c r="D25" s="1" t="s">
        <x:v>2015</x:v>
      </x:c>
      <x:c r="E25" s="1" t="s">
        <x:v>160</x:v>
      </x:c>
      <x:c r="F25" s="1" t="s">
        <x:v>195</x:v>
      </x:c>
      <x:c r="G25" s="1" t="s">
        <x:v>1984</x:v>
      </x:c>
      <x:c r="H25" s="1" t="s">
        <x:v>127</x:v>
      </x:c>
      <x:c r="I25" s="1" t="s">
        <x:v>139</x:v>
      </x:c>
      <x:c r="J25" s="11" t="n">
        <x:v>46230</x:v>
      </x:c>
      <x:c r="K25" s="1" t="s">
        <x:v>2016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2017</x:v>
      </x:c>
      <x:c r="B26" s="1" t="s">
        <x:v>1656</x:v>
      </x:c>
      <x:c r="C26" s="1" t="s">
        <x:v>2018</x:v>
      </x:c>
      <x:c r="D26" s="1" t="s">
        <x:v>2019</x:v>
      </x:c>
      <x:c r="E26" s="1" t="s">
        <x:v>160</x:v>
      </x:c>
      <x:c r="F26" s="1" t="s">
        <x:v>185</x:v>
      </x:c>
      <x:c r="G26" s="1" t="s">
        <x:v>1980</x:v>
      </x:c>
      <x:c r="H26" s="1" t="s">
        <x:v>125</x:v>
      </x:c>
      <x:c r="I26" s="1" t="s">
        <x:v>140</x:v>
      </x:c>
      <x:c r="J26" s="11" t="n">
        <x:v>46230</x:v>
      </x:c>
      <x:c r="K26" s="1" t="s">
        <x:v>1878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2020</x:v>
      </x:c>
      <x:c r="B27" s="1" t="s">
        <x:v>212</x:v>
      </x:c>
      <x:c r="C27" s="1" t="s">
        <x:v>60</x:v>
      </x:c>
      <x:c r="D27" s="1" t="s">
        <x:v>2021</x:v>
      </x:c>
      <x:c r="E27" s="1" t="s">
        <x:v>160</x:v>
      </x:c>
      <x:c r="F27" s="1" t="s">
        <x:v>201</x:v>
      </x:c>
      <x:c r="G27" s="1" t="s">
        <x:v>2022</x:v>
      </x:c>
      <x:c r="H27" s="1" t="s">
        <x:v>119</x:v>
      </x:c>
      <x:c r="I27" s="1" t="s">
        <x:v>139</x:v>
      </x:c>
      <x:c r="J27" s="11" t="n">
        <x:v>46230</x:v>
      </x:c>
      <x:c r="K27" s="1" t="s">
        <x:v>1882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2023</x:v>
      </x:c>
      <x:c r="B28" s="1" t="s">
        <x:v>215</x:v>
      </x:c>
      <x:c r="C28" s="1" t="s">
        <x:v>60</x:v>
      </x:c>
      <x:c r="D28" s="1" t="s">
        <x:v>2024</x:v>
      </x:c>
      <x:c r="E28" s="1" t="s">
        <x:v>160</x:v>
      </x:c>
      <x:c r="F28" s="1" t="s">
        <x:v>217</x:v>
      </x:c>
      <x:c r="G28" s="1" t="s">
        <x:v>2025</x:v>
      </x:c>
      <x:c r="H28" s="1" t="s">
        <x:v>125</x:v>
      </x:c>
      <x:c r="I28" s="1" t="s">
        <x:v>140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2026</x:v>
      </x:c>
      <x:c r="B29" s="1" t="s">
        <x:v>646</x:v>
      </x:c>
      <x:c r="C29" s="1" t="s">
        <x:v>60</x:v>
      </x:c>
      <x:c r="D29" s="1" t="s">
        <x:v>2027</x:v>
      </x:c>
      <x:c r="E29" s="1" t="s">
        <x:v>160</x:v>
      </x:c>
      <x:c r="F29" s="1" t="s">
        <x:v>648</x:v>
      </x:c>
      <x:c r="G29" s="1" t="s">
        <x:v>2028</x:v>
      </x:c>
      <x:c r="H29" s="1" t="s">
        <x:v>125</x:v>
      </x:c>
      <x:c r="I29" s="1" t="s">
        <x:v>140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2029</x:v>
      </x:c>
      <x:c r="B30" s="1" t="s">
        <x:v>224</x:v>
      </x:c>
      <x:c r="C30" s="1" t="s">
        <x:v>60</x:v>
      </x:c>
      <x:c r="D30" s="1" t="s">
        <x:v>2030</x:v>
      </x:c>
      <x:c r="E30" s="1" t="s">
        <x:v>226</x:v>
      </x:c>
      <x:c r="F30" s="1" t="s">
        <x:v>226</x:v>
      </x:c>
      <x:c r="G30" s="1" t="s">
        <x:v>227</x:v>
      </x:c>
      <x:c r="H30" s="1" t="s">
        <x:v>125</x:v>
      </x:c>
      <x:c r="I30" s="1" t="s">
        <x:v>140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2031</x:v>
      </x:c>
      <x:c r="B31" s="1" t="s">
        <x:v>229</x:v>
      </x:c>
      <x:c r="C31" s="1" t="s">
        <x:v>60</x:v>
      </x:c>
      <x:c r="D31" s="1" t="s">
        <x:v>2032</x:v>
      </x:c>
      <x:c r="E31" s="1" t="s">
        <x:v>160</x:v>
      </x:c>
      <x:c r="F31" s="1" t="s">
        <x:v>160</x:v>
      </x:c>
      <x:c r="G31" s="1" t="s">
        <x:v>231</x:v>
      </x:c>
      <x:c r="H31" s="1" t="s">
        <x:v>125</x:v>
      </x:c>
      <x:c r="I31" s="1" t="s">
        <x:v>140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2033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1819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143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2034</x:v>
      </x:c>
      <x:c r="B9" s="1" t="s">
        <x:v>117</x:v>
      </x:c>
      <x:c r="C9" s="1" t="s">
        <x:v>1265</x:v>
      </x:c>
      <x:c r="D9" s="1" t="s">
        <x:v>2035</x:v>
      </x:c>
      <x:c r="E9" s="1" t="s">
        <x:v>160</x:v>
      </x:c>
      <x:c r="F9" s="1" t="s">
        <x:v>161</x:v>
      </x:c>
      <x:c r="G9" s="1" t="s">
        <x:v>2036</x:v>
      </x:c>
      <x:c r="H9" s="1" t="s">
        <x:v>125</x:v>
      </x:c>
      <x:c r="I9" s="1" t="s">
        <x:v>140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2037</x:v>
      </x:c>
      <x:c r="B10" s="1" t="s">
        <x:v>1423</x:v>
      </x:c>
      <x:c r="C10" s="1" t="s">
        <x:v>1265</x:v>
      </x:c>
      <x:c r="D10" s="1" t="s">
        <x:v>2038</x:v>
      </x:c>
      <x:c r="E10" s="1" t="s">
        <x:v>160</x:v>
      </x:c>
      <x:c r="F10" s="1" t="s">
        <x:v>180</x:v>
      </x:c>
      <x:c r="G10" s="1" t="s">
        <x:v>2039</x:v>
      </x:c>
      <x:c r="H10" s="1" t="s">
        <x:v>125</x:v>
      </x:c>
      <x:c r="I10" s="1" t="s">
        <x:v>140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2040</x:v>
      </x:c>
      <x:c r="B11" s="1" t="s">
        <x:v>164</x:v>
      </x:c>
      <x:c r="C11" s="1" t="s">
        <x:v>2041</x:v>
      </x:c>
      <x:c r="D11" s="1" t="s">
        <x:v>2042</x:v>
      </x:c>
      <x:c r="E11" s="1" t="s">
        <x:v>160</x:v>
      </x:c>
      <x:c r="F11" s="1" t="s">
        <x:v>160</x:v>
      </x:c>
      <x:c r="G11" s="1" t="s">
        <x:v>1970</x:v>
      </x:c>
      <x:c r="H11" s="1" t="s">
        <x:v>125</x:v>
      </x:c>
      <x:c r="I11" s="1" t="s">
        <x:v>140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2043</x:v>
      </x:c>
      <x:c r="B12" s="1" t="s">
        <x:v>168</x:v>
      </x:c>
      <x:c r="C12" s="1" t="s">
        <x:v>1265</x:v>
      </x:c>
      <x:c r="D12" s="1" t="s">
        <x:v>2044</x:v>
      </x:c>
      <x:c r="E12" s="1" t="s">
        <x:v>160</x:v>
      </x:c>
      <x:c r="F12" s="1" t="s">
        <x:v>170</x:v>
      </x:c>
      <x:c r="G12" s="1" t="s">
        <x:v>2045</x:v>
      </x:c>
      <x:c r="H12" s="1" t="s">
        <x:v>125</x:v>
      </x:c>
      <x:c r="I12" s="1" t="s">
        <x:v>140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2046</x:v>
      </x:c>
      <x:c r="B13" s="1" t="s">
        <x:v>173</x:v>
      </x:c>
      <x:c r="C13" s="1" t="s">
        <x:v>1265</x:v>
      </x:c>
      <x:c r="D13" s="1" t="s">
        <x:v>2047</x:v>
      </x:c>
      <x:c r="E13" s="1" t="s">
        <x:v>160</x:v>
      </x:c>
      <x:c r="F13" s="1" t="s">
        <x:v>175</x:v>
      </x:c>
      <x:c r="G13" s="1" t="s">
        <x:v>2048</x:v>
      </x:c>
      <x:c r="H13" s="1" t="s">
        <x:v>125</x:v>
      </x:c>
      <x:c r="I13" s="1" t="s">
        <x:v>140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2049</x:v>
      </x:c>
      <x:c r="B14" s="1" t="s">
        <x:v>2050</x:v>
      </x:c>
      <x:c r="C14" s="1" t="s">
        <x:v>1490</x:v>
      </x:c>
      <x:c r="D14" s="1" t="s">
        <x:v>2051</x:v>
      </x:c>
      <x:c r="E14" s="1" t="s">
        <x:v>160</x:v>
      </x:c>
      <x:c r="F14" s="1" t="s">
        <x:v>185</x:v>
      </x:c>
      <x:c r="G14" s="1" t="s">
        <x:v>2052</x:v>
      </x:c>
      <x:c r="H14" s="1" t="s">
        <x:v>125</x:v>
      </x:c>
      <x:c r="I14" s="1" t="s">
        <x:v>140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2053</x:v>
      </x:c>
      <x:c r="B15" s="1" t="s">
        <x:v>1771</x:v>
      </x:c>
      <x:c r="C15" s="1" t="s">
        <x:v>1982</x:v>
      </x:c>
      <x:c r="D15" s="1" t="s">
        <x:v>2054</x:v>
      </x:c>
      <x:c r="E15" s="1" t="s">
        <x:v>160</x:v>
      </x:c>
      <x:c r="F15" s="1" t="s">
        <x:v>195</x:v>
      </x:c>
      <x:c r="G15" s="1" t="s">
        <x:v>2055</x:v>
      </x:c>
      <x:c r="H15" s="1" t="s">
        <x:v>127</x:v>
      </x:c>
      <x:c r="I15" s="1" t="s">
        <x:v>139</x:v>
      </x:c>
      <x:c r="J15" s="11" t="n">
        <x:v>46230</x:v>
      </x:c>
      <x:c r="K15" s="1" t="s">
        <x:v>2056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2057</x:v>
      </x:c>
      <x:c r="B16" s="1" t="s">
        <x:v>1423</x:v>
      </x:c>
      <x:c r="C16" s="1" t="s">
        <x:v>2058</x:v>
      </x:c>
      <x:c r="D16" s="1" t="s">
        <x:v>2059</x:v>
      </x:c>
      <x:c r="E16" s="1" t="s">
        <x:v>160</x:v>
      </x:c>
      <x:c r="F16" s="1" t="s">
        <x:v>195</x:v>
      </x:c>
      <x:c r="G16" s="1" t="s">
        <x:v>2055</x:v>
      </x:c>
      <x:c r="H16" s="1" t="s">
        <x:v>127</x:v>
      </x:c>
      <x:c r="I16" s="1" t="s">
        <x:v>139</x:v>
      </x:c>
      <x:c r="J16" s="11" t="n">
        <x:v>46230</x:v>
      </x:c>
      <x:c r="K16" s="1" t="s">
        <x:v>2056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2060</x:v>
      </x:c>
      <x:c r="B17" s="1" t="s">
        <x:v>1991</x:v>
      </x:c>
      <x:c r="C17" s="1" t="s">
        <x:v>1992</x:v>
      </x:c>
      <x:c r="D17" s="1" t="s">
        <x:v>2061</x:v>
      </x:c>
      <x:c r="E17" s="1" t="s">
        <x:v>160</x:v>
      </x:c>
      <x:c r="F17" s="1" t="s">
        <x:v>185</x:v>
      </x:c>
      <x:c r="G17" s="1" t="s">
        <x:v>2052</x:v>
      </x:c>
      <x:c r="H17" s="1" t="s">
        <x:v>125</x:v>
      </x:c>
      <x:c r="I17" s="1" t="s">
        <x:v>140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2062</x:v>
      </x:c>
      <x:c r="B18" s="1" t="s">
        <x:v>1662</x:v>
      </x:c>
      <x:c r="C18" s="1" t="s">
        <x:v>1995</x:v>
      </x:c>
      <x:c r="D18" s="1" t="s">
        <x:v>2063</x:v>
      </x:c>
      <x:c r="E18" s="1" t="s">
        <x:v>160</x:v>
      </x:c>
      <x:c r="F18" s="1" t="s">
        <x:v>185</x:v>
      </x:c>
      <x:c r="G18" s="1" t="s">
        <x:v>2052</x:v>
      </x:c>
      <x:c r="H18" s="1" t="s">
        <x:v>125</x:v>
      </x:c>
      <x:c r="I18" s="1" t="s">
        <x:v>140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2064</x:v>
      </x:c>
      <x:c r="B19" s="1" t="s">
        <x:v>1999</x:v>
      </x:c>
      <x:c r="C19" s="1" t="s">
        <x:v>2000</x:v>
      </x:c>
      <x:c r="D19" s="1" t="s">
        <x:v>2065</x:v>
      </x:c>
      <x:c r="E19" s="1" t="s">
        <x:v>160</x:v>
      </x:c>
      <x:c r="F19" s="1" t="s">
        <x:v>185</x:v>
      </x:c>
      <x:c r="G19" s="1" t="s">
        <x:v>2052</x:v>
      </x:c>
      <x:c r="H19" s="1" t="s">
        <x:v>125</x:v>
      </x:c>
      <x:c r="I19" s="1" t="s">
        <x:v>140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2066</x:v>
      </x:c>
      <x:c r="B20" s="1" t="s">
        <x:v>1656</x:v>
      </x:c>
      <x:c r="C20" s="1" t="s">
        <x:v>2018</x:v>
      </x:c>
      <x:c r="D20" s="1" t="s">
        <x:v>2019</x:v>
      </x:c>
      <x:c r="E20" s="1" t="s">
        <x:v>160</x:v>
      </x:c>
      <x:c r="F20" s="1" t="s">
        <x:v>185</x:v>
      </x:c>
      <x:c r="G20" s="1" t="s">
        <x:v>2052</x:v>
      </x:c>
      <x:c r="H20" s="1" t="s">
        <x:v>125</x:v>
      </x:c>
      <x:c r="I20" s="1" t="s">
        <x:v>140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2067</x:v>
      </x:c>
      <x:c r="B21" s="1" t="s">
        <x:v>208</x:v>
      </x:c>
      <x:c r="C21" s="1" t="s">
        <x:v>2068</x:v>
      </x:c>
      <x:c r="D21" s="1" t="s">
        <x:v>2069</x:v>
      </x:c>
      <x:c r="E21" s="1" t="s">
        <x:v>160</x:v>
      </x:c>
      <x:c r="F21" s="1" t="s">
        <x:v>185</x:v>
      </x:c>
      <x:c r="G21" s="1" t="s">
        <x:v>2052</x:v>
      </x:c>
      <x:c r="H21" s="1" t="s">
        <x:v>125</x:v>
      </x:c>
      <x:c r="I21" s="1" t="s">
        <x:v>140</x:v>
      </x:c>
      <x:c r="J21" s="11" t="n">
        <x:v>46230</x:v>
      </x:c>
      <x:c r="K21" s="1" t="s">
        <x:v>1866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2070</x:v>
      </x:c>
      <x:c r="B22" s="1" t="s">
        <x:v>199</x:v>
      </x:c>
      <x:c r="C22" s="1" t="s">
        <x:v>1265</x:v>
      </x:c>
      <x:c r="D22" s="1" t="s">
        <x:v>2071</x:v>
      </x:c>
      <x:c r="E22" s="1" t="s">
        <x:v>160</x:v>
      </x:c>
      <x:c r="F22" s="1" t="s">
        <x:v>185</x:v>
      </x:c>
      <x:c r="G22" s="1" t="s">
        <x:v>2052</x:v>
      </x:c>
      <x:c r="H22" s="1" t="s">
        <x:v>125</x:v>
      </x:c>
      <x:c r="I22" s="1" t="s">
        <x:v>140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2072</x:v>
      </x:c>
      <x:c r="B23" s="1" t="s">
        <x:v>1310</x:v>
      </x:c>
      <x:c r="C23" s="1" t="s">
        <x:v>1265</x:v>
      </x:c>
      <x:c r="D23" s="1" t="s">
        <x:v>2073</x:v>
      </x:c>
      <x:c r="E23" s="1" t="s">
        <x:v>160</x:v>
      </x:c>
      <x:c r="F23" s="1" t="s">
        <x:v>185</x:v>
      </x:c>
      <x:c r="G23" s="1" t="s">
        <x:v>2052</x:v>
      </x:c>
      <x:c r="H23" s="1" t="s">
        <x:v>125</x:v>
      </x:c>
      <x:c r="I23" s="1" t="s">
        <x:v>140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2074</x:v>
      </x:c>
      <x:c r="B24" s="1" t="s">
        <x:v>188</x:v>
      </x:c>
      <x:c r="C24" s="1" t="s">
        <x:v>1265</x:v>
      </x:c>
      <x:c r="D24" s="1" t="s">
        <x:v>2075</x:v>
      </x:c>
      <x:c r="E24" s="1" t="s">
        <x:v>160</x:v>
      </x:c>
      <x:c r="F24" s="1" t="s">
        <x:v>190</x:v>
      </x:c>
      <x:c r="G24" s="1" t="s">
        <x:v>2052</x:v>
      </x:c>
      <x:c r="H24" s="1" t="s">
        <x:v>125</x:v>
      </x:c>
      <x:c r="I24" s="1" t="s">
        <x:v>140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2076</x:v>
      </x:c>
      <x:c r="B25" s="1" t="s">
        <x:v>193</x:v>
      </x:c>
      <x:c r="C25" s="1" t="s">
        <x:v>1265</x:v>
      </x:c>
      <x:c r="D25" s="1" t="s">
        <x:v>2077</x:v>
      </x:c>
      <x:c r="E25" s="1" t="s">
        <x:v>160</x:v>
      </x:c>
      <x:c r="F25" s="1" t="s">
        <x:v>195</x:v>
      </x:c>
      <x:c r="G25" s="1" t="s">
        <x:v>2055</x:v>
      </x:c>
      <x:c r="H25" s="1" t="s">
        <x:v>127</x:v>
      </x:c>
      <x:c r="I25" s="1" t="s">
        <x:v>139</x:v>
      </x:c>
      <x:c r="J25" s="11" t="n">
        <x:v>46230</x:v>
      </x:c>
      <x:c r="K25" s="1" t="s">
        <x:v>2078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2079</x:v>
      </x:c>
      <x:c r="B26" s="1" t="s">
        <x:v>2080</x:v>
      </x:c>
      <x:c r="C26" s="1" t="s">
        <x:v>1265</x:v>
      </x:c>
      <x:c r="D26" s="1" t="s">
        <x:v>2081</x:v>
      </x:c>
      <x:c r="E26" s="1" t="s">
        <x:v>160</x:v>
      </x:c>
      <x:c r="F26" s="1" t="s">
        <x:v>185</x:v>
      </x:c>
      <x:c r="G26" s="1" t="s">
        <x:v>2052</x:v>
      </x:c>
      <x:c r="H26" s="1" t="s">
        <x:v>125</x:v>
      </x:c>
      <x:c r="I26" s="1" t="s">
        <x:v>140</x:v>
      </x:c>
      <x:c r="J26" s="11" t="n">
        <x:v>46230</x:v>
      </x:c>
      <x:c r="K26" s="1" t="s">
        <x:v>1878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2082</x:v>
      </x:c>
      <x:c r="B27" s="1" t="s">
        <x:v>212</x:v>
      </x:c>
      <x:c r="C27" s="1" t="s">
        <x:v>61</x:v>
      </x:c>
      <x:c r="D27" s="1" t="s">
        <x:v>2021</x:v>
      </x:c>
      <x:c r="E27" s="1" t="s">
        <x:v>160</x:v>
      </x:c>
      <x:c r="F27" s="1" t="s">
        <x:v>201</x:v>
      </x:c>
      <x:c r="G27" s="1" t="s">
        <x:v>2083</x:v>
      </x:c>
      <x:c r="H27" s="1" t="s">
        <x:v>119</x:v>
      </x:c>
      <x:c r="I27" s="1" t="s">
        <x:v>139</x:v>
      </x:c>
      <x:c r="J27" s="11" t="n">
        <x:v>46230</x:v>
      </x:c>
      <x:c r="K27" s="1" t="s">
        <x:v>1882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2084</x:v>
      </x:c>
      <x:c r="B28" s="1" t="s">
        <x:v>215</x:v>
      </x:c>
      <x:c r="C28" s="1" t="s">
        <x:v>61</x:v>
      </x:c>
      <x:c r="D28" s="1" t="s">
        <x:v>2024</x:v>
      </x:c>
      <x:c r="E28" s="1" t="s">
        <x:v>160</x:v>
      </x:c>
      <x:c r="F28" s="1" t="s">
        <x:v>217</x:v>
      </x:c>
      <x:c r="G28" s="1" t="s">
        <x:v>2085</x:v>
      </x:c>
      <x:c r="H28" s="1" t="s">
        <x:v>125</x:v>
      </x:c>
      <x:c r="I28" s="1" t="s">
        <x:v>140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2086</x:v>
      </x:c>
      <x:c r="B29" s="1" t="s">
        <x:v>646</x:v>
      </x:c>
      <x:c r="C29" s="1" t="s">
        <x:v>61</x:v>
      </x:c>
      <x:c r="D29" s="1" t="s">
        <x:v>2027</x:v>
      </x:c>
      <x:c r="E29" s="1" t="s">
        <x:v>160</x:v>
      </x:c>
      <x:c r="F29" s="1" t="s">
        <x:v>648</x:v>
      </x:c>
      <x:c r="G29" s="1" t="s">
        <x:v>2087</x:v>
      </x:c>
      <x:c r="H29" s="1" t="s">
        <x:v>125</x:v>
      </x:c>
      <x:c r="I29" s="1" t="s">
        <x:v>140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2088</x:v>
      </x:c>
      <x:c r="B30" s="1" t="s">
        <x:v>224</x:v>
      </x:c>
      <x:c r="C30" s="1" t="s">
        <x:v>61</x:v>
      </x:c>
      <x:c r="D30" s="1" t="s">
        <x:v>2030</x:v>
      </x:c>
      <x:c r="E30" s="1" t="s">
        <x:v>226</x:v>
      </x:c>
      <x:c r="F30" s="1" t="s">
        <x:v>226</x:v>
      </x:c>
      <x:c r="G30" s="1" t="s">
        <x:v>227</x:v>
      </x:c>
      <x:c r="H30" s="1" t="s">
        <x:v>125</x:v>
      </x:c>
      <x:c r="I30" s="1" t="s">
        <x:v>140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2089</x:v>
      </x:c>
      <x:c r="B31" s="1" t="s">
        <x:v>229</x:v>
      </x:c>
      <x:c r="C31" s="1" t="s">
        <x:v>61</x:v>
      </x:c>
      <x:c r="D31" s="1" t="s">
        <x:v>2032</x:v>
      </x:c>
      <x:c r="E31" s="1" t="s">
        <x:v>160</x:v>
      </x:c>
      <x:c r="F31" s="1" t="s">
        <x:v>160</x:v>
      </x:c>
      <x:c r="G31" s="1" t="s">
        <x:v>231</x:v>
      </x:c>
      <x:c r="H31" s="1" t="s">
        <x:v>125</x:v>
      </x:c>
      <x:c r="I31" s="1" t="s">
        <x:v>140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2090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1819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143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2091</x:v>
      </x:c>
      <x:c r="B9" s="1" t="s">
        <x:v>117</x:v>
      </x:c>
      <x:c r="C9" s="1" t="s">
        <x:v>1265</x:v>
      </x:c>
      <x:c r="D9" s="1" t="s">
        <x:v>2092</x:v>
      </x:c>
      <x:c r="E9" s="1" t="s">
        <x:v>160</x:v>
      </x:c>
      <x:c r="F9" s="1" t="s">
        <x:v>161</x:v>
      </x:c>
      <x:c r="G9" s="1" t="s">
        <x:v>2093</x:v>
      </x:c>
      <x:c r="H9" s="1" t="s">
        <x:v>125</x:v>
      </x:c>
      <x:c r="I9" s="1" t="s">
        <x:v>140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2094</x:v>
      </x:c>
      <x:c r="B10" s="1" t="s">
        <x:v>1423</x:v>
      </x:c>
      <x:c r="C10" s="1" t="s">
        <x:v>1265</x:v>
      </x:c>
      <x:c r="D10" s="1" t="s">
        <x:v>2038</x:v>
      </x:c>
      <x:c r="E10" s="1" t="s">
        <x:v>160</x:v>
      </x:c>
      <x:c r="F10" s="1" t="s">
        <x:v>180</x:v>
      </x:c>
      <x:c r="G10" s="1" t="s">
        <x:v>2095</x:v>
      </x:c>
      <x:c r="H10" s="1" t="s">
        <x:v>125</x:v>
      </x:c>
      <x:c r="I10" s="1" t="s">
        <x:v>140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2096</x:v>
      </x:c>
      <x:c r="B11" s="1" t="s">
        <x:v>164</x:v>
      </x:c>
      <x:c r="C11" s="1" t="s">
        <x:v>62</x:v>
      </x:c>
      <x:c r="D11" s="1" t="s">
        <x:v>2042</x:v>
      </x:c>
      <x:c r="E11" s="1" t="s">
        <x:v>160</x:v>
      </x:c>
      <x:c r="F11" s="1" t="s">
        <x:v>160</x:v>
      </x:c>
      <x:c r="G11" s="1" t="s">
        <x:v>1970</x:v>
      </x:c>
      <x:c r="H11" s="1" t="s">
        <x:v>125</x:v>
      </x:c>
      <x:c r="I11" s="1" t="s">
        <x:v>140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2097</x:v>
      </x:c>
      <x:c r="B12" s="1" t="s">
        <x:v>168</x:v>
      </x:c>
      <x:c r="C12" s="1" t="s">
        <x:v>1265</x:v>
      </x:c>
      <x:c r="D12" s="1" t="s">
        <x:v>2044</x:v>
      </x:c>
      <x:c r="E12" s="1" t="s">
        <x:v>160</x:v>
      </x:c>
      <x:c r="F12" s="1" t="s">
        <x:v>170</x:v>
      </x:c>
      <x:c r="G12" s="1" t="s">
        <x:v>2098</x:v>
      </x:c>
      <x:c r="H12" s="1" t="s">
        <x:v>125</x:v>
      </x:c>
      <x:c r="I12" s="1" t="s">
        <x:v>140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2099</x:v>
      </x:c>
      <x:c r="B13" s="1" t="s">
        <x:v>173</x:v>
      </x:c>
      <x:c r="C13" s="1" t="s">
        <x:v>1265</x:v>
      </x:c>
      <x:c r="D13" s="1" t="s">
        <x:v>2047</x:v>
      </x:c>
      <x:c r="E13" s="1" t="s">
        <x:v>160</x:v>
      </x:c>
      <x:c r="F13" s="1" t="s">
        <x:v>175</x:v>
      </x:c>
      <x:c r="G13" s="1" t="s">
        <x:v>2100</x:v>
      </x:c>
      <x:c r="H13" s="1" t="s">
        <x:v>125</x:v>
      </x:c>
      <x:c r="I13" s="1" t="s">
        <x:v>140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2101</x:v>
      </x:c>
      <x:c r="B14" s="1" t="s">
        <x:v>1649</x:v>
      </x:c>
      <x:c r="C14" s="1" t="s">
        <x:v>2102</x:v>
      </x:c>
      <x:c r="D14" s="1" t="s">
        <x:v>2103</x:v>
      </x:c>
      <x:c r="E14" s="1" t="s">
        <x:v>160</x:v>
      </x:c>
      <x:c r="F14" s="1" t="s">
        <x:v>185</x:v>
      </x:c>
      <x:c r="G14" s="1" t="s">
        <x:v>2104</x:v>
      </x:c>
      <x:c r="H14" s="1" t="s">
        <x:v>125</x:v>
      </x:c>
      <x:c r="I14" s="1" t="s">
        <x:v>140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2105</x:v>
      </x:c>
      <x:c r="B15" s="1" t="s">
        <x:v>2106</x:v>
      </x:c>
      <x:c r="C15" s="1" t="s">
        <x:v>1457</x:v>
      </x:c>
      <x:c r="D15" s="1" t="s">
        <x:v>2107</x:v>
      </x:c>
      <x:c r="E15" s="1" t="s">
        <x:v>160</x:v>
      </x:c>
      <x:c r="F15" s="1" t="s">
        <x:v>185</x:v>
      </x:c>
      <x:c r="G15" s="1" t="s">
        <x:v>2104</x:v>
      </x:c>
      <x:c r="H15" s="1" t="s">
        <x:v>125</x:v>
      </x:c>
      <x:c r="I15" s="1" t="s">
        <x:v>140</x:v>
      </x:c>
      <x:c r="J15" s="11" t="n">
        <x:v>46230</x:v>
      </x:c>
      <x:c r="K15" s="1" t="s">
        <x:v>1842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2108</x:v>
      </x:c>
      <x:c r="B16" s="1" t="s">
        <x:v>1771</x:v>
      </x:c>
      <x:c r="C16" s="1" t="s">
        <x:v>2109</x:v>
      </x:c>
      <x:c r="D16" s="1" t="s">
        <x:v>2110</x:v>
      </x:c>
      <x:c r="E16" s="1" t="s">
        <x:v>160</x:v>
      </x:c>
      <x:c r="F16" s="1" t="s">
        <x:v>195</x:v>
      </x:c>
      <x:c r="G16" s="1" t="s">
        <x:v>2111</x:v>
      </x:c>
      <x:c r="H16" s="1" t="s">
        <x:v>127</x:v>
      </x:c>
      <x:c r="I16" s="1" t="s">
        <x:v>139</x:v>
      </x:c>
      <x:c r="J16" s="11" t="n">
        <x:v>46230</x:v>
      </x:c>
      <x:c r="K16" s="1" t="s">
        <x:v>2056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2112</x:v>
      </x:c>
      <x:c r="B17" s="1" t="s">
        <x:v>1662</x:v>
      </x:c>
      <x:c r="C17" s="1" t="s">
        <x:v>2113</x:v>
      </x:c>
      <x:c r="D17" s="1" t="s">
        <x:v>2114</x:v>
      </x:c>
      <x:c r="E17" s="1" t="s">
        <x:v>160</x:v>
      </x:c>
      <x:c r="F17" s="1" t="s">
        <x:v>185</x:v>
      </x:c>
      <x:c r="G17" s="1" t="s">
        <x:v>2104</x:v>
      </x:c>
      <x:c r="H17" s="1" t="s">
        <x:v>125</x:v>
      </x:c>
      <x:c r="I17" s="1" t="s">
        <x:v>140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2115</x:v>
      </x:c>
      <x:c r="B18" s="1" t="s">
        <x:v>1991</x:v>
      </x:c>
      <x:c r="C18" s="1" t="s">
        <x:v>1992</x:v>
      </x:c>
      <x:c r="D18" s="1" t="s">
        <x:v>2116</x:v>
      </x:c>
      <x:c r="E18" s="1" t="s">
        <x:v>160</x:v>
      </x:c>
      <x:c r="F18" s="1" t="s">
        <x:v>185</x:v>
      </x:c>
      <x:c r="G18" s="1" t="s">
        <x:v>2104</x:v>
      </x:c>
      <x:c r="H18" s="1" t="s">
        <x:v>125</x:v>
      </x:c>
      <x:c r="I18" s="1" t="s">
        <x:v>140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2117</x:v>
      </x:c>
      <x:c r="B19" s="1" t="s">
        <x:v>1999</x:v>
      </x:c>
      <x:c r="C19" s="1" t="s">
        <x:v>2000</x:v>
      </x:c>
      <x:c r="D19" s="1" t="s">
        <x:v>2118</x:v>
      </x:c>
      <x:c r="E19" s="1" t="s">
        <x:v>160</x:v>
      </x:c>
      <x:c r="F19" s="1" t="s">
        <x:v>185</x:v>
      </x:c>
      <x:c r="G19" s="1" t="s">
        <x:v>2104</x:v>
      </x:c>
      <x:c r="H19" s="1" t="s">
        <x:v>125</x:v>
      </x:c>
      <x:c r="I19" s="1" t="s">
        <x:v>140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2119</x:v>
      </x:c>
      <x:c r="B20" s="1" t="s">
        <x:v>1656</x:v>
      </x:c>
      <x:c r="C20" s="1" t="s">
        <x:v>2018</x:v>
      </x:c>
      <x:c r="D20" s="1" t="s">
        <x:v>2019</x:v>
      </x:c>
      <x:c r="E20" s="1" t="s">
        <x:v>160</x:v>
      </x:c>
      <x:c r="F20" s="1" t="s">
        <x:v>185</x:v>
      </x:c>
      <x:c r="G20" s="1" t="s">
        <x:v>2104</x:v>
      </x:c>
      <x:c r="H20" s="1" t="s">
        <x:v>125</x:v>
      </x:c>
      <x:c r="I20" s="1" t="s">
        <x:v>140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2120</x:v>
      </x:c>
      <x:c r="B21" s="1" t="s">
        <x:v>208</x:v>
      </x:c>
      <x:c r="C21" s="1" t="s">
        <x:v>2068</x:v>
      </x:c>
      <x:c r="D21" s="1" t="s">
        <x:v>2069</x:v>
      </x:c>
      <x:c r="E21" s="1" t="s">
        <x:v>160</x:v>
      </x:c>
      <x:c r="F21" s="1" t="s">
        <x:v>185</x:v>
      </x:c>
      <x:c r="G21" s="1" t="s">
        <x:v>2104</x:v>
      </x:c>
      <x:c r="H21" s="1" t="s">
        <x:v>125</x:v>
      </x:c>
      <x:c r="I21" s="1" t="s">
        <x:v>140</x:v>
      </x:c>
      <x:c r="J21" s="11" t="n">
        <x:v>46230</x:v>
      </x:c>
      <x:c r="K21" s="1" t="s">
        <x:v>1866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2121</x:v>
      </x:c>
      <x:c r="B22" s="1" t="s">
        <x:v>199</x:v>
      </x:c>
      <x:c r="C22" s="1" t="s">
        <x:v>1265</x:v>
      </x:c>
      <x:c r="D22" s="1" t="s">
        <x:v>2071</x:v>
      </x:c>
      <x:c r="E22" s="1" t="s">
        <x:v>160</x:v>
      </x:c>
      <x:c r="F22" s="1" t="s">
        <x:v>185</x:v>
      </x:c>
      <x:c r="G22" s="1" t="s">
        <x:v>2104</x:v>
      </x:c>
      <x:c r="H22" s="1" t="s">
        <x:v>125</x:v>
      </x:c>
      <x:c r="I22" s="1" t="s">
        <x:v>140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2122</x:v>
      </x:c>
      <x:c r="B23" s="1" t="s">
        <x:v>1310</x:v>
      </x:c>
      <x:c r="C23" s="1" t="s">
        <x:v>1265</x:v>
      </x:c>
      <x:c r="D23" s="1" t="s">
        <x:v>2073</x:v>
      </x:c>
      <x:c r="E23" s="1" t="s">
        <x:v>160</x:v>
      </x:c>
      <x:c r="F23" s="1" t="s">
        <x:v>185</x:v>
      </x:c>
      <x:c r="G23" s="1" t="s">
        <x:v>2104</x:v>
      </x:c>
      <x:c r="H23" s="1" t="s">
        <x:v>125</x:v>
      </x:c>
      <x:c r="I23" s="1" t="s">
        <x:v>140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2123</x:v>
      </x:c>
      <x:c r="B24" s="1" t="s">
        <x:v>188</x:v>
      </x:c>
      <x:c r="C24" s="1" t="s">
        <x:v>1265</x:v>
      </x:c>
      <x:c r="D24" s="1" t="s">
        <x:v>2075</x:v>
      </x:c>
      <x:c r="E24" s="1" t="s">
        <x:v>160</x:v>
      </x:c>
      <x:c r="F24" s="1" t="s">
        <x:v>190</x:v>
      </x:c>
      <x:c r="G24" s="1" t="s">
        <x:v>2104</x:v>
      </x:c>
      <x:c r="H24" s="1" t="s">
        <x:v>125</x:v>
      </x:c>
      <x:c r="I24" s="1" t="s">
        <x:v>140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2124</x:v>
      </x:c>
      <x:c r="B25" s="1" t="s">
        <x:v>193</x:v>
      </x:c>
      <x:c r="C25" s="1" t="s">
        <x:v>1265</x:v>
      </x:c>
      <x:c r="D25" s="1" t="s">
        <x:v>2077</x:v>
      </x:c>
      <x:c r="E25" s="1" t="s">
        <x:v>160</x:v>
      </x:c>
      <x:c r="F25" s="1" t="s">
        <x:v>195</x:v>
      </x:c>
      <x:c r="G25" s="1" t="s">
        <x:v>2111</x:v>
      </x:c>
      <x:c r="H25" s="1" t="s">
        <x:v>127</x:v>
      </x:c>
      <x:c r="I25" s="1" t="s">
        <x:v>139</x:v>
      </x:c>
      <x:c r="J25" s="11" t="n">
        <x:v>46230</x:v>
      </x:c>
      <x:c r="K25" s="1" t="s">
        <x:v>2078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2125</x:v>
      </x:c>
      <x:c r="B26" s="1" t="s">
        <x:v>2080</x:v>
      </x:c>
      <x:c r="C26" s="1" t="s">
        <x:v>1265</x:v>
      </x:c>
      <x:c r="D26" s="1" t="s">
        <x:v>2081</x:v>
      </x:c>
      <x:c r="E26" s="1" t="s">
        <x:v>160</x:v>
      </x:c>
      <x:c r="F26" s="1" t="s">
        <x:v>185</x:v>
      </x:c>
      <x:c r="G26" s="1" t="s">
        <x:v>2104</x:v>
      </x:c>
      <x:c r="H26" s="1" t="s">
        <x:v>125</x:v>
      </x:c>
      <x:c r="I26" s="1" t="s">
        <x:v>140</x:v>
      </x:c>
      <x:c r="J26" s="11" t="n">
        <x:v>46230</x:v>
      </x:c>
      <x:c r="K26" s="1" t="s">
        <x:v>1878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2126</x:v>
      </x:c>
      <x:c r="B27" s="1" t="s">
        <x:v>212</x:v>
      </x:c>
      <x:c r="C27" s="1" t="s">
        <x:v>62</x:v>
      </x:c>
      <x:c r="D27" s="1" t="s">
        <x:v>2021</x:v>
      </x:c>
      <x:c r="E27" s="1" t="s">
        <x:v>160</x:v>
      </x:c>
      <x:c r="F27" s="1" t="s">
        <x:v>201</x:v>
      </x:c>
      <x:c r="G27" s="1" t="s">
        <x:v>2127</x:v>
      </x:c>
      <x:c r="H27" s="1" t="s">
        <x:v>119</x:v>
      </x:c>
      <x:c r="I27" s="1" t="s">
        <x:v>139</x:v>
      </x:c>
      <x:c r="J27" s="11" t="n">
        <x:v>46230</x:v>
      </x:c>
      <x:c r="K27" s="1" t="s">
        <x:v>1882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2128</x:v>
      </x:c>
      <x:c r="B28" s="1" t="s">
        <x:v>215</x:v>
      </x:c>
      <x:c r="C28" s="1" t="s">
        <x:v>62</x:v>
      </x:c>
      <x:c r="D28" s="1" t="s">
        <x:v>2024</x:v>
      </x:c>
      <x:c r="E28" s="1" t="s">
        <x:v>160</x:v>
      </x:c>
      <x:c r="F28" s="1" t="s">
        <x:v>217</x:v>
      </x:c>
      <x:c r="G28" s="1" t="s">
        <x:v>2129</x:v>
      </x:c>
      <x:c r="H28" s="1" t="s">
        <x:v>125</x:v>
      </x:c>
      <x:c r="I28" s="1" t="s">
        <x:v>140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2130</x:v>
      </x:c>
      <x:c r="B29" s="1" t="s">
        <x:v>646</x:v>
      </x:c>
      <x:c r="C29" s="1" t="s">
        <x:v>62</x:v>
      </x:c>
      <x:c r="D29" s="1" t="s">
        <x:v>2027</x:v>
      </x:c>
      <x:c r="E29" s="1" t="s">
        <x:v>160</x:v>
      </x:c>
      <x:c r="F29" s="1" t="s">
        <x:v>648</x:v>
      </x:c>
      <x:c r="G29" s="1" t="s">
        <x:v>2131</x:v>
      </x:c>
      <x:c r="H29" s="1" t="s">
        <x:v>125</x:v>
      </x:c>
      <x:c r="I29" s="1" t="s">
        <x:v>140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2132</x:v>
      </x:c>
      <x:c r="B30" s="1" t="s">
        <x:v>224</x:v>
      </x:c>
      <x:c r="C30" s="1" t="s">
        <x:v>62</x:v>
      </x:c>
      <x:c r="D30" s="1" t="s">
        <x:v>2030</x:v>
      </x:c>
      <x:c r="E30" s="1" t="s">
        <x:v>226</x:v>
      </x:c>
      <x:c r="F30" s="1" t="s">
        <x:v>226</x:v>
      </x:c>
      <x:c r="G30" s="1" t="s">
        <x:v>227</x:v>
      </x:c>
      <x:c r="H30" s="1" t="s">
        <x:v>125</x:v>
      </x:c>
      <x:c r="I30" s="1" t="s">
        <x:v>140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2133</x:v>
      </x:c>
      <x:c r="B31" s="1" t="s">
        <x:v>229</x:v>
      </x:c>
      <x:c r="C31" s="1" t="s">
        <x:v>62</x:v>
      </x:c>
      <x:c r="D31" s="1" t="s">
        <x:v>2032</x:v>
      </x:c>
      <x:c r="E31" s="1" t="s">
        <x:v>160</x:v>
      </x:c>
      <x:c r="F31" s="1" t="s">
        <x:v>160</x:v>
      </x:c>
      <x:c r="G31" s="1" t="s">
        <x:v>231</x:v>
      </x:c>
      <x:c r="H31" s="1" t="s">
        <x:v>125</x:v>
      </x:c>
      <x:c r="I31" s="1" t="s">
        <x:v>140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2134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1819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143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">
        <x:v>2135</x:v>
      </x:c>
      <x:c r="B9" s="1" t="s">
        <x:v>117</x:v>
      </x:c>
      <x:c r="C9" s="1" t="s">
        <x:v>1265</x:v>
      </x:c>
      <x:c r="D9" s="1" t="s">
        <x:v>2136</x:v>
      </x:c>
      <x:c r="E9" s="1" t="s">
        <x:v>160</x:v>
      </x:c>
      <x:c r="F9" s="1" t="s">
        <x:v>161</x:v>
      </x:c>
      <x:c r="G9" s="1" t="s">
        <x:v>2137</x:v>
      </x:c>
      <x:c r="H9" s="1" t="s">
        <x:v>125</x:v>
      </x:c>
      <x:c r="I9" s="1" t="s">
        <x:v>140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2138</x:v>
      </x:c>
      <x:c r="B10" s="1" t="s">
        <x:v>1423</x:v>
      </x:c>
      <x:c r="C10" s="1" t="s">
        <x:v>2139</x:v>
      </x:c>
      <x:c r="D10" s="1" t="s">
        <x:v>2140</x:v>
      </x:c>
      <x:c r="E10" s="1" t="s">
        <x:v>160</x:v>
      </x:c>
      <x:c r="F10" s="1" t="s">
        <x:v>180</x:v>
      </x:c>
      <x:c r="G10" s="1" t="s">
        <x:v>2141</x:v>
      </x:c>
      <x:c r="H10" s="1" t="s">
        <x:v>125</x:v>
      </x:c>
      <x:c r="I10" s="1" t="s">
        <x:v>140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2142</x:v>
      </x:c>
      <x:c r="B11" s="1" t="s">
        <x:v>164</x:v>
      </x:c>
      <x:c r="C11" s="1" t="s">
        <x:v>2143</x:v>
      </x:c>
      <x:c r="D11" s="1" t="s">
        <x:v>2144</x:v>
      </x:c>
      <x:c r="E11" s="1" t="s">
        <x:v>160</x:v>
      </x:c>
      <x:c r="F11" s="1" t="s">
        <x:v>160</x:v>
      </x:c>
      <x:c r="G11" s="1" t="s">
        <x:v>1970</x:v>
      </x:c>
      <x:c r="H11" s="1" t="s">
        <x:v>125</x:v>
      </x:c>
      <x:c r="I11" s="1" t="s">
        <x:v>140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2145</x:v>
      </x:c>
      <x:c r="B12" s="1" t="s">
        <x:v>168</x:v>
      </x:c>
      <x:c r="C12" s="1" t="s">
        <x:v>1265</x:v>
      </x:c>
      <x:c r="D12" s="1" t="s">
        <x:v>2044</x:v>
      </x:c>
      <x:c r="E12" s="1" t="s">
        <x:v>160</x:v>
      </x:c>
      <x:c r="F12" s="1" t="s">
        <x:v>170</x:v>
      </x:c>
      <x:c r="G12" s="1" t="s">
        <x:v>2146</x:v>
      </x:c>
      <x:c r="H12" s="1" t="s">
        <x:v>125</x:v>
      </x:c>
      <x:c r="I12" s="1" t="s">
        <x:v>140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2147</x:v>
      </x:c>
      <x:c r="B13" s="1" t="s">
        <x:v>173</x:v>
      </x:c>
      <x:c r="C13" s="1" t="s">
        <x:v>1265</x:v>
      </x:c>
      <x:c r="D13" s="1" t="s">
        <x:v>2047</x:v>
      </x:c>
      <x:c r="E13" s="1" t="s">
        <x:v>160</x:v>
      </x:c>
      <x:c r="F13" s="1" t="s">
        <x:v>175</x:v>
      </x:c>
      <x:c r="G13" s="1" t="s">
        <x:v>2148</x:v>
      </x:c>
      <x:c r="H13" s="1" t="s">
        <x:v>125</x:v>
      </x:c>
      <x:c r="I13" s="1" t="s">
        <x:v>140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2149</x:v>
      </x:c>
      <x:c r="B14" s="1" t="s">
        <x:v>1649</x:v>
      </x:c>
      <x:c r="C14" s="1" t="s">
        <x:v>2150</x:v>
      </x:c>
      <x:c r="D14" s="1" t="s">
        <x:v>2151</x:v>
      </x:c>
      <x:c r="E14" s="1" t="s">
        <x:v>160</x:v>
      </x:c>
      <x:c r="F14" s="1" t="s">
        <x:v>185</x:v>
      </x:c>
      <x:c r="G14" s="1" t="s">
        <x:v>2152</x:v>
      </x:c>
      <x:c r="H14" s="1" t="s">
        <x:v>125</x:v>
      </x:c>
      <x:c r="I14" s="1" t="s">
        <x:v>140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2153</x:v>
      </x:c>
      <x:c r="B15" s="1" t="s">
        <x:v>2154</x:v>
      </x:c>
      <x:c r="C15" s="1" t="s">
        <x:v>2155</x:v>
      </x:c>
      <x:c r="D15" s="1" t="s">
        <x:v>2156</x:v>
      </x:c>
      <x:c r="E15" s="1" t="s">
        <x:v>160</x:v>
      </x:c>
      <x:c r="F15" s="1" t="s">
        <x:v>185</x:v>
      </x:c>
      <x:c r="G15" s="1" t="s">
        <x:v>2152</x:v>
      </x:c>
      <x:c r="H15" s="1" t="s">
        <x:v>125</x:v>
      </x:c>
      <x:c r="I15" s="1" t="s">
        <x:v>140</x:v>
      </x:c>
      <x:c r="J15" s="11" t="n">
        <x:v>46230</x:v>
      </x:c>
      <x:c r="K15" s="1" t="s">
        <x:v>1842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2157</x:v>
      </x:c>
      <x:c r="B16" s="1" t="s">
        <x:v>1771</x:v>
      </x:c>
      <x:c r="C16" s="1" t="s">
        <x:v>2158</x:v>
      </x:c>
      <x:c r="D16" s="1" t="s">
        <x:v>2159</x:v>
      </x:c>
      <x:c r="E16" s="1" t="s">
        <x:v>160</x:v>
      </x:c>
      <x:c r="F16" s="1" t="s">
        <x:v>195</x:v>
      </x:c>
      <x:c r="G16" s="1" t="s">
        <x:v>2160</x:v>
      </x:c>
      <x:c r="H16" s="1" t="s">
        <x:v>127</x:v>
      </x:c>
      <x:c r="I16" s="1" t="s">
        <x:v>139</x:v>
      </x:c>
      <x:c r="J16" s="11" t="n">
        <x:v>46230</x:v>
      </x:c>
      <x:c r="K16" s="1" t="s">
        <x:v>2056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2161</x:v>
      </x:c>
      <x:c r="B17" s="1" t="s">
        <x:v>2106</x:v>
      </x:c>
      <x:c r="C17" s="1" t="s">
        <x:v>2162</x:v>
      </x:c>
      <x:c r="D17" s="1" t="s">
        <x:v>2163</x:v>
      </x:c>
      <x:c r="E17" s="1" t="s">
        <x:v>160</x:v>
      </x:c>
      <x:c r="F17" s="1" t="s">
        <x:v>185</x:v>
      </x:c>
      <x:c r="G17" s="1" t="s">
        <x:v>2152</x:v>
      </x:c>
      <x:c r="H17" s="1" t="s">
        <x:v>125</x:v>
      </x:c>
      <x:c r="I17" s="1" t="s">
        <x:v>140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2164</x:v>
      </x:c>
      <x:c r="B18" s="1" t="s">
        <x:v>2165</x:v>
      </x:c>
      <x:c r="C18" s="1" t="s">
        <x:v>2166</x:v>
      </x:c>
      <x:c r="D18" s="1" t="s">
        <x:v>2167</x:v>
      </x:c>
      <x:c r="E18" s="1" t="s">
        <x:v>160</x:v>
      </x:c>
      <x:c r="F18" s="1" t="s">
        <x:v>185</x:v>
      </x:c>
      <x:c r="G18" s="1" t="s">
        <x:v>2152</x:v>
      </x:c>
      <x:c r="H18" s="1" t="s">
        <x:v>125</x:v>
      </x:c>
      <x:c r="I18" s="1" t="s">
        <x:v>140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2168</x:v>
      </x:c>
      <x:c r="B19" s="1" t="s">
        <x:v>1662</x:v>
      </x:c>
      <x:c r="C19" s="1" t="s">
        <x:v>2169</x:v>
      </x:c>
      <x:c r="D19" s="1" t="s">
        <x:v>2170</x:v>
      </x:c>
      <x:c r="E19" s="1" t="s">
        <x:v>160</x:v>
      </x:c>
      <x:c r="F19" s="1" t="s">
        <x:v>185</x:v>
      </x:c>
      <x:c r="G19" s="1" t="s">
        <x:v>2152</x:v>
      </x:c>
      <x:c r="H19" s="1" t="s">
        <x:v>125</x:v>
      </x:c>
      <x:c r="I19" s="1" t="s">
        <x:v>140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2171</x:v>
      </x:c>
      <x:c r="B20" s="1" t="s">
        <x:v>1656</x:v>
      </x:c>
      <x:c r="C20" s="1" t="s">
        <x:v>2018</x:v>
      </x:c>
      <x:c r="D20" s="1" t="s">
        <x:v>2019</x:v>
      </x:c>
      <x:c r="E20" s="1" t="s">
        <x:v>160</x:v>
      </x:c>
      <x:c r="F20" s="1" t="s">
        <x:v>185</x:v>
      </x:c>
      <x:c r="G20" s="1" t="s">
        <x:v>2152</x:v>
      </x:c>
      <x:c r="H20" s="1" t="s">
        <x:v>125</x:v>
      </x:c>
      <x:c r="I20" s="1" t="s">
        <x:v>140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2172</x:v>
      </x:c>
      <x:c r="B21" s="1" t="s">
        <x:v>208</x:v>
      </x:c>
      <x:c r="C21" s="1" t="s">
        <x:v>2068</x:v>
      </x:c>
      <x:c r="D21" s="1" t="s">
        <x:v>2069</x:v>
      </x:c>
      <x:c r="E21" s="1" t="s">
        <x:v>160</x:v>
      </x:c>
      <x:c r="F21" s="1" t="s">
        <x:v>185</x:v>
      </x:c>
      <x:c r="G21" s="1" t="s">
        <x:v>2152</x:v>
      </x:c>
      <x:c r="H21" s="1" t="s">
        <x:v>125</x:v>
      </x:c>
      <x:c r="I21" s="1" t="s">
        <x:v>140</x:v>
      </x:c>
      <x:c r="J21" s="11" t="n">
        <x:v>46230</x:v>
      </x:c>
      <x:c r="K21" s="1" t="s">
        <x:v>1866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2173</x:v>
      </x:c>
      <x:c r="B22" s="1" t="s">
        <x:v>199</x:v>
      </x:c>
      <x:c r="C22" s="1" t="s">
        <x:v>1265</x:v>
      </x:c>
      <x:c r="D22" s="1" t="s">
        <x:v>2071</x:v>
      </x:c>
      <x:c r="E22" s="1" t="s">
        <x:v>160</x:v>
      </x:c>
      <x:c r="F22" s="1" t="s">
        <x:v>185</x:v>
      </x:c>
      <x:c r="G22" s="1" t="s">
        <x:v>2152</x:v>
      </x:c>
      <x:c r="H22" s="1" t="s">
        <x:v>125</x:v>
      </x:c>
      <x:c r="I22" s="1" t="s">
        <x:v>140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2174</x:v>
      </x:c>
      <x:c r="B23" s="1" t="s">
        <x:v>1310</x:v>
      </x:c>
      <x:c r="C23" s="1" t="s">
        <x:v>1265</x:v>
      </x:c>
      <x:c r="D23" s="1" t="s">
        <x:v>2073</x:v>
      </x:c>
      <x:c r="E23" s="1" t="s">
        <x:v>160</x:v>
      </x:c>
      <x:c r="F23" s="1" t="s">
        <x:v>185</x:v>
      </x:c>
      <x:c r="G23" s="1" t="s">
        <x:v>2152</x:v>
      </x:c>
      <x:c r="H23" s="1" t="s">
        <x:v>125</x:v>
      </x:c>
      <x:c r="I23" s="1" t="s">
        <x:v>140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2175</x:v>
      </x:c>
      <x:c r="B24" s="1" t="s">
        <x:v>188</x:v>
      </x:c>
      <x:c r="C24" s="1" t="s">
        <x:v>1265</x:v>
      </x:c>
      <x:c r="D24" s="1" t="s">
        <x:v>2075</x:v>
      </x:c>
      <x:c r="E24" s="1" t="s">
        <x:v>160</x:v>
      </x:c>
      <x:c r="F24" s="1" t="s">
        <x:v>190</x:v>
      </x:c>
      <x:c r="G24" s="1" t="s">
        <x:v>2152</x:v>
      </x:c>
      <x:c r="H24" s="1" t="s">
        <x:v>125</x:v>
      </x:c>
      <x:c r="I24" s="1" t="s">
        <x:v>140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2176</x:v>
      </x:c>
      <x:c r="B25" s="1" t="s">
        <x:v>193</x:v>
      </x:c>
      <x:c r="C25" s="1" t="s">
        <x:v>1265</x:v>
      </x:c>
      <x:c r="D25" s="1" t="s">
        <x:v>2177</x:v>
      </x:c>
      <x:c r="E25" s="1" t="s">
        <x:v>160</x:v>
      </x:c>
      <x:c r="F25" s="1" t="s">
        <x:v>195</x:v>
      </x:c>
      <x:c r="G25" s="1" t="s">
        <x:v>2160</x:v>
      </x:c>
      <x:c r="H25" s="1" t="s">
        <x:v>127</x:v>
      </x:c>
      <x:c r="I25" s="1" t="s">
        <x:v>139</x:v>
      </x:c>
      <x:c r="J25" s="11" t="n">
        <x:v>46230</x:v>
      </x:c>
      <x:c r="K25" s="1" t="s">
        <x:v>2078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2178</x:v>
      </x:c>
      <x:c r="B26" s="1" t="s">
        <x:v>2080</x:v>
      </x:c>
      <x:c r="C26" s="1" t="s">
        <x:v>1265</x:v>
      </x:c>
      <x:c r="D26" s="1" t="s">
        <x:v>2081</x:v>
      </x:c>
      <x:c r="E26" s="1" t="s">
        <x:v>160</x:v>
      </x:c>
      <x:c r="F26" s="1" t="s">
        <x:v>185</x:v>
      </x:c>
      <x:c r="G26" s="1" t="s">
        <x:v>2152</x:v>
      </x:c>
      <x:c r="H26" s="1" t="s">
        <x:v>125</x:v>
      </x:c>
      <x:c r="I26" s="1" t="s">
        <x:v>140</x:v>
      </x:c>
      <x:c r="J26" s="11" t="n">
        <x:v>46230</x:v>
      </x:c>
      <x:c r="K26" s="1" t="s">
        <x:v>1878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2179</x:v>
      </x:c>
      <x:c r="B27" s="1" t="s">
        <x:v>212</x:v>
      </x:c>
      <x:c r="C27" s="1" t="s">
        <x:v>63</x:v>
      </x:c>
      <x:c r="D27" s="1" t="s">
        <x:v>2021</x:v>
      </x:c>
      <x:c r="E27" s="1" t="s">
        <x:v>160</x:v>
      </x:c>
      <x:c r="F27" s="1" t="s">
        <x:v>201</x:v>
      </x:c>
      <x:c r="G27" s="1" t="s">
        <x:v>2180</x:v>
      </x:c>
      <x:c r="H27" s="1" t="s">
        <x:v>119</x:v>
      </x:c>
      <x:c r="I27" s="1" t="s">
        <x:v>139</x:v>
      </x:c>
      <x:c r="J27" s="11" t="n">
        <x:v>46230</x:v>
      </x:c>
      <x:c r="K27" s="1" t="s">
        <x:v>1882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2181</x:v>
      </x:c>
      <x:c r="B28" s="1" t="s">
        <x:v>215</x:v>
      </x:c>
      <x:c r="C28" s="1" t="s">
        <x:v>63</x:v>
      </x:c>
      <x:c r="D28" s="1" t="s">
        <x:v>2024</x:v>
      </x:c>
      <x:c r="E28" s="1" t="s">
        <x:v>160</x:v>
      </x:c>
      <x:c r="F28" s="1" t="s">
        <x:v>217</x:v>
      </x:c>
      <x:c r="G28" s="1" t="s">
        <x:v>2182</x:v>
      </x:c>
      <x:c r="H28" s="1" t="s">
        <x:v>125</x:v>
      </x:c>
      <x:c r="I28" s="1" t="s">
        <x:v>140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2183</x:v>
      </x:c>
      <x:c r="B29" s="1" t="s">
        <x:v>646</x:v>
      </x:c>
      <x:c r="C29" s="1" t="s">
        <x:v>63</x:v>
      </x:c>
      <x:c r="D29" s="1" t="s">
        <x:v>2027</x:v>
      </x:c>
      <x:c r="E29" s="1" t="s">
        <x:v>160</x:v>
      </x:c>
      <x:c r="F29" s="1" t="s">
        <x:v>648</x:v>
      </x:c>
      <x:c r="G29" s="1" t="s">
        <x:v>2184</x:v>
      </x:c>
      <x:c r="H29" s="1" t="s">
        <x:v>125</x:v>
      </x:c>
      <x:c r="I29" s="1" t="s">
        <x:v>140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2185</x:v>
      </x:c>
      <x:c r="B30" s="1" t="s">
        <x:v>224</x:v>
      </x:c>
      <x:c r="C30" s="1" t="s">
        <x:v>63</x:v>
      </x:c>
      <x:c r="D30" s="1" t="s">
        <x:v>2030</x:v>
      </x:c>
      <x:c r="E30" s="1" t="s">
        <x:v>226</x:v>
      </x:c>
      <x:c r="F30" s="1" t="s">
        <x:v>226</x:v>
      </x:c>
      <x:c r="G30" s="1" t="s">
        <x:v>227</x:v>
      </x:c>
      <x:c r="H30" s="1" t="s">
        <x:v>125</x:v>
      </x:c>
      <x:c r="I30" s="1" t="s">
        <x:v>140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2186</x:v>
      </x:c>
      <x:c r="B31" s="1" t="s">
        <x:v>229</x:v>
      </x:c>
      <x:c r="C31" s="1" t="s">
        <x:v>63</x:v>
      </x:c>
      <x:c r="D31" s="1" t="s">
        <x:v>2032</x:v>
      </x:c>
      <x:c r="E31" s="1" t="s">
        <x:v>160</x:v>
      </x:c>
      <x:c r="F31" s="1" t="s">
        <x:v>160</x:v>
      </x:c>
      <x:c r="G31" s="1" t="s">
        <x:v>231</x:v>
      </x:c>
      <x:c r="H31" s="1" t="s">
        <x:v>125</x:v>
      </x:c>
      <x:c r="I31" s="1" t="s">
        <x:v>140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2187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2188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COUNTA(A9:A36)</x:f>
        <x:v>28</x:v>
      </x:c>
      <x:c r="D4" s="6" t="s">
        <x:v>143</x:v>
      </x:c>
      <x:c r="E4" s="7" t="n">
        <x:f aca="0">SUM(M9:M36)</x:f>
        <x:v>27</x:v>
      </x:c>
      <x:c r="G4" s="6" t="s">
        <x:v>13</x:v>
      </x:c>
      <x:c r="H4" s="8" t="n">
        <x:f aca="0">IF(B4=0,0,E4/B4)</x:f>
        <x:v>0.9642857142857143</x:v>
      </x:c>
      <x:c r="J4" s="6" t="s">
        <x:v>14</x:v>
      </x:c>
      <x:c r="K4" s="7" t="str">
        <x:f aca="0">IF(COUNTIFS(E9:E36,"package",M9:M36,0)&gt;0,"open","complete")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IF(COUNTIFS(I9:I36,"yes",M9:M36,0)&gt;0,"open","complete")</x:f>
        <x:v>open</x:v>
      </x:c>
      <x:c r="D5" s="6" t="s">
        <x:v>15</x:v>
      </x:c>
      <x:c r="E5" s="7" t="str">
        <x:f aca="0">IF(COUNTIFS(E9:E36,"consumer",M9:M36,0)&gt;0,"open","complete")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2189</x:v>
      </x:c>
      <x:c r="B9" s="12" t="s">
        <x:v>117</x:v>
      </x:c>
      <x:c r="C9" s="12" t="s">
        <x:v>1265</x:v>
      </x:c>
      <x:c r="D9" s="13" t="s">
        <x:v>2190</x:v>
      </x:c>
      <x:c r="E9" s="12" t="s">
        <x:v>160</x:v>
      </x:c>
      <x:c r="F9" s="12" t="s">
        <x:v>161</x:v>
      </x:c>
      <x:c r="G9" s="13" t="s">
        <x:v>2191</x:v>
      </x:c>
      <x:c r="H9" s="12" t="s">
        <x:v>125</x:v>
      </x:c>
      <x:c r="I9" s="12" t="s">
        <x:v>140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2192</x:v>
      </x:c>
      <x:c r="B10" s="12" t="s">
        <x:v>1423</x:v>
      </x:c>
      <x:c r="C10" s="12" t="s">
        <x:v>2193</x:v>
      </x:c>
      <x:c r="D10" s="13" t="s">
        <x:v>2194</x:v>
      </x:c>
      <x:c r="E10" s="12" t="s">
        <x:v>160</x:v>
      </x:c>
      <x:c r="F10" s="12" t="s">
        <x:v>180</x:v>
      </x:c>
      <x:c r="G10" s="13" t="s">
        <x:v>2195</x:v>
      </x:c>
      <x:c r="H10" s="12" t="s">
        <x:v>125</x:v>
      </x:c>
      <x:c r="I10" s="12" t="s">
        <x:v>140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2196</x:v>
      </x:c>
      <x:c r="B11" s="12" t="s">
        <x:v>164</x:v>
      </x:c>
      <x:c r="C11" s="12" t="s">
        <x:v>2197</x:v>
      </x:c>
      <x:c r="D11" s="13" t="s">
        <x:v>2198</x:v>
      </x:c>
      <x:c r="E11" s="12" t="s">
        <x:v>160</x:v>
      </x:c>
      <x:c r="F11" s="12" t="s">
        <x:v>160</x:v>
      </x:c>
      <x:c r="G11" s="13" t="s">
        <x:v>1970</x:v>
      </x:c>
      <x:c r="H11" s="12" t="s">
        <x:v>125</x:v>
      </x:c>
      <x:c r="I11" s="12" t="s">
        <x:v>140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2199</x:v>
      </x:c>
      <x:c r="B12" s="12" t="s">
        <x:v>168</x:v>
      </x:c>
      <x:c r="C12" s="12" t="s">
        <x:v>1265</x:v>
      </x:c>
      <x:c r="D12" s="13" t="s">
        <x:v>2200</x:v>
      </x:c>
      <x:c r="E12" s="12" t="s">
        <x:v>160</x:v>
      </x:c>
      <x:c r="F12" s="12" t="s">
        <x:v>170</x:v>
      </x:c>
      <x:c r="G12" s="13" t="s">
        <x:v>2201</x:v>
      </x:c>
      <x:c r="H12" s="12" t="s">
        <x:v>125</x:v>
      </x:c>
      <x:c r="I12" s="12" t="s">
        <x:v>140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2202</x:v>
      </x:c>
      <x:c r="B13" s="12" t="s">
        <x:v>173</x:v>
      </x:c>
      <x:c r="C13" s="12" t="s">
        <x:v>1265</x:v>
      </x:c>
      <x:c r="D13" s="13" t="s">
        <x:v>2203</x:v>
      </x:c>
      <x:c r="E13" s="12" t="s">
        <x:v>160</x:v>
      </x:c>
      <x:c r="F13" s="12" t="s">
        <x:v>175</x:v>
      </x:c>
      <x:c r="G13" s="13" t="s">
        <x:v>2204</x:v>
      </x:c>
      <x:c r="H13" s="12" t="s">
        <x:v>125</x:v>
      </x:c>
      <x:c r="I13" s="12" t="s">
        <x:v>140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2205</x:v>
      </x:c>
      <x:c r="B14" s="12" t="s">
        <x:v>1649</x:v>
      </x:c>
      <x:c r="C14" s="12" t="s">
        <x:v>2193</x:v>
      </x:c>
      <x:c r="D14" s="13" t="s">
        <x:v>2206</x:v>
      </x:c>
      <x:c r="E14" s="12" t="s">
        <x:v>160</x:v>
      </x:c>
      <x:c r="F14" s="12" t="s">
        <x:v>185</x:v>
      </x:c>
      <x:c r="G14" s="13" t="s">
        <x:v>2207</x:v>
      </x:c>
      <x:c r="H14" s="12" t="s">
        <x:v>125</x:v>
      </x:c>
      <x:c r="I14" s="12" t="s">
        <x:v>140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2208</x:v>
      </x:c>
      <x:c r="B15" s="12" t="s">
        <x:v>1213</x:v>
      </x:c>
      <x:c r="C15" s="12" t="s">
        <x:v>827</x:v>
      </x:c>
      <x:c r="D15" s="13" t="s">
        <x:v>2209</x:v>
      </x:c>
      <x:c r="E15" s="12" t="s">
        <x:v>160</x:v>
      </x:c>
      <x:c r="F15" s="12" t="s">
        <x:v>185</x:v>
      </x:c>
      <x:c r="G15" s="13" t="s">
        <x:v>2210</x:v>
      </x:c>
      <x:c r="H15" s="12" t="s">
        <x:v>125</x:v>
      </x:c>
      <x:c r="I15" s="12" t="s">
        <x:v>140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2211</x:v>
      </x:c>
      <x:c r="B16" s="12" t="s">
        <x:v>1848</x:v>
      </x:c>
      <x:c r="C16" s="12" t="s">
        <x:v>1633</x:v>
      </x:c>
      <x:c r="D16" s="13" t="s">
        <x:v>2212</x:v>
      </x:c>
      <x:c r="E16" s="12" t="s">
        <x:v>160</x:v>
      </x:c>
      <x:c r="F16" s="12" t="s">
        <x:v>185</x:v>
      </x:c>
      <x:c r="G16" s="13" t="s">
        <x:v>2210</x:v>
      </x:c>
      <x:c r="H16" s="12" t="s">
        <x:v>125</x:v>
      </x:c>
      <x:c r="I16" s="12" t="s">
        <x:v>140</x:v>
      </x:c>
      <x:c r="J16" s="14" t="n">
        <x:v>46230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2213</x:v>
      </x:c>
      <x:c r="B17" s="12" t="s">
        <x:v>1771</x:v>
      </x:c>
      <x:c r="C17" s="12" t="s">
        <x:v>1265</x:v>
      </x:c>
      <x:c r="D17" s="13" t="s">
        <x:v>2214</x:v>
      </x:c>
      <x:c r="E17" s="12" t="s">
        <x:v>160</x:v>
      </x:c>
      <x:c r="F17" s="12" t="s">
        <x:v>185</x:v>
      </x:c>
      <x:c r="G17" s="13" t="s">
        <x:v>2207</x:v>
      </x:c>
      <x:c r="H17" s="12" t="s">
        <x:v>125</x:v>
      </x:c>
      <x:c r="I17" s="12" t="s">
        <x:v>140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2215</x:v>
      </x:c>
      <x:c r="B18" s="12" t="s">
        <x:v>1371</x:v>
      </x:c>
      <x:c r="C18" s="12" t="s">
        <x:v>827</x:v>
      </x:c>
      <x:c r="D18" s="13" t="s">
        <x:v>2216</x:v>
      </x:c>
      <x:c r="E18" s="12" t="s">
        <x:v>160</x:v>
      </x:c>
      <x:c r="F18" s="12" t="s">
        <x:v>185</x:v>
      </x:c>
      <x:c r="G18" s="13" t="s">
        <x:v>2217</x:v>
      </x:c>
      <x:c r="H18" s="12" t="s">
        <x:v>125</x:v>
      </x:c>
      <x:c r="I18" s="12" t="s">
        <x:v>140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2218</x:v>
      </x:c>
      <x:c r="B19" s="12" t="s">
        <x:v>1991</x:v>
      </x:c>
      <x:c r="C19" s="12" t="s">
        <x:v>2219</x:v>
      </x:c>
      <x:c r="D19" s="13" t="s">
        <x:v>2220</x:v>
      </x:c>
      <x:c r="E19" s="12" t="s">
        <x:v>160</x:v>
      </x:c>
      <x:c r="F19" s="12" t="s">
        <x:v>185</x:v>
      </x:c>
      <x:c r="G19" s="13" t="s">
        <x:v>2210</x:v>
      </x:c>
      <x:c r="H19" s="12" t="s">
        <x:v>125</x:v>
      </x:c>
      <x:c r="I19" s="12" t="s">
        <x:v>140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2221</x:v>
      </x:c>
      <x:c r="B20" s="12" t="s">
        <x:v>1469</x:v>
      </x:c>
      <x:c r="C20" s="12" t="s">
        <x:v>2222</x:v>
      </x:c>
      <x:c r="D20" s="13" t="s">
        <x:v>2223</x:v>
      </x:c>
      <x:c r="E20" s="12" t="s">
        <x:v>160</x:v>
      </x:c>
      <x:c r="F20" s="12" t="s">
        <x:v>185</x:v>
      </x:c>
      <x:c r="G20" s="13" t="s">
        <x:v>2207</x:v>
      </x:c>
      <x:c r="H20" s="12" t="s">
        <x:v>125</x:v>
      </x:c>
      <x:c r="I20" s="12" t="s">
        <x:v>140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2224</x:v>
      </x:c>
      <x:c r="B21" s="12" t="s">
        <x:v>2225</x:v>
      </x:c>
      <x:c r="C21" s="12" t="s">
        <x:v>1633</x:v>
      </x:c>
      <x:c r="D21" s="13" t="s">
        <x:v>2226</x:v>
      </x:c>
      <x:c r="E21" s="12" t="s">
        <x:v>160</x:v>
      </x:c>
      <x:c r="F21" s="12" t="s">
        <x:v>180</x:v>
      </x:c>
      <x:c r="G21" s="13" t="s">
        <x:v>2227</x:v>
      </x:c>
      <x:c r="H21" s="12" t="s">
        <x:v>125</x:v>
      </x:c>
      <x:c r="I21" s="12" t="s">
        <x:v>140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2228</x:v>
      </x:c>
      <x:c r="B22" s="12" t="s">
        <x:v>2229</x:v>
      </x:c>
      <x:c r="C22" s="12" t="s">
        <x:v>930</x:v>
      </x:c>
      <x:c r="D22" s="13" t="s">
        <x:v>2230</x:v>
      </x:c>
      <x:c r="E22" s="12" t="s">
        <x:v>160</x:v>
      </x:c>
      <x:c r="F22" s="12" t="s">
        <x:v>185</x:v>
      </x:c>
      <x:c r="G22" s="13" t="s">
        <x:v>2217</x:v>
      </x:c>
      <x:c r="H22" s="12" t="s">
        <x:v>125</x:v>
      </x:c>
      <x:c r="I22" s="12" t="s">
        <x:v>140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2231</x:v>
      </x:c>
      <x:c r="B23" s="12" t="s">
        <x:v>1151</x:v>
      </x:c>
      <x:c r="C23" s="12" t="s">
        <x:v>2232</x:v>
      </x:c>
      <x:c r="D23" s="13" t="s">
        <x:v>2233</x:v>
      </x:c>
      <x:c r="E23" s="12" t="s">
        <x:v>160</x:v>
      </x:c>
      <x:c r="F23" s="12" t="s">
        <x:v>185</x:v>
      </x:c>
      <x:c r="G23" s="13" t="s">
        <x:v>2207</x:v>
      </x:c>
      <x:c r="H23" s="12" t="s">
        <x:v>125</x:v>
      </x:c>
      <x:c r="I23" s="12" t="s">
        <x:v>140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2234</x:v>
      </x:c>
      <x:c r="B24" s="12" t="s">
        <x:v>208</x:v>
      </x:c>
      <x:c r="C24" s="12" t="s">
        <x:v>1265</x:v>
      </x:c>
      <x:c r="D24" s="13" t="s">
        <x:v>2235</x:v>
      </x:c>
      <x:c r="E24" s="12" t="s">
        <x:v>160</x:v>
      </x:c>
      <x:c r="F24" s="12" t="s">
        <x:v>185</x:v>
      </x:c>
      <x:c r="G24" s="13" t="s">
        <x:v>2227</x:v>
      </x:c>
      <x:c r="H24" s="12" t="s">
        <x:v>125</x:v>
      </x:c>
      <x:c r="I24" s="12" t="s">
        <x:v>140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2236</x:v>
      </x:c>
      <x:c r="B25" s="12" t="s">
        <x:v>2237</x:v>
      </x:c>
      <x:c r="C25" s="12" t="s">
        <x:v>827</x:v>
      </x:c>
      <x:c r="D25" s="13" t="s">
        <x:v>2238</x:v>
      </x:c>
      <x:c r="E25" s="12" t="s">
        <x:v>160</x:v>
      </x:c>
      <x:c r="F25" s="12" t="s">
        <x:v>185</x:v>
      </x:c>
      <x:c r="G25" s="13" t="s">
        <x:v>2210</x:v>
      </x:c>
      <x:c r="H25" s="12" t="s">
        <x:v>125</x:v>
      </x:c>
      <x:c r="I25" s="12" t="s">
        <x:v>140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2239</x:v>
      </x:c>
      <x:c r="B26" s="12" t="s">
        <x:v>1604</x:v>
      </x:c>
      <x:c r="C26" s="12" t="s">
        <x:v>827</x:v>
      </x:c>
      <x:c r="D26" s="13" t="s">
        <x:v>2240</x:v>
      </x:c>
      <x:c r="E26" s="12" t="s">
        <x:v>160</x:v>
      </x:c>
      <x:c r="F26" s="12" t="s">
        <x:v>195</x:v>
      </x:c>
      <x:c r="G26" s="13" t="s">
        <x:v>2241</x:v>
      </x:c>
      <x:c r="H26" s="12" t="s">
        <x:v>127</x:v>
      </x:c>
      <x:c r="I26" s="12" t="s">
        <x:v>139</x:v>
      </x:c>
      <x:c r="J26" s="14" t="n">
        <x:v>46230</x:v>
      </x:c>
      <x:c r="K26" s="13" t="s">
        <x:v>2242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2243</x:v>
      </x:c>
      <x:c r="B27" s="12" t="s">
        <x:v>199</x:v>
      </x:c>
      <x:c r="C27" s="12" t="s">
        <x:v>1265</x:v>
      </x:c>
      <x:c r="D27" s="13" t="s">
        <x:v>2244</x:v>
      </x:c>
      <x:c r="E27" s="12" t="s">
        <x:v>160</x:v>
      </x:c>
      <x:c r="F27" s="12" t="s">
        <x:v>185</x:v>
      </x:c>
      <x:c r="G27" s="13" t="s">
        <x:v>2210</x:v>
      </x:c>
      <x:c r="H27" s="12" t="s">
        <x:v>125</x:v>
      </x:c>
      <x:c r="I27" s="12" t="s">
        <x:v>140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2245</x:v>
      </x:c>
      <x:c r="B28" s="12" t="s">
        <x:v>2246</x:v>
      </x:c>
      <x:c r="C28" s="12" t="s">
        <x:v>1265</x:v>
      </x:c>
      <x:c r="D28" s="13" t="s">
        <x:v>2247</x:v>
      </x:c>
      <x:c r="E28" s="12" t="s">
        <x:v>160</x:v>
      </x:c>
      <x:c r="F28" s="12" t="s">
        <x:v>185</x:v>
      </x:c>
      <x:c r="G28" s="13" t="s">
        <x:v>2210</x:v>
      </x:c>
      <x:c r="H28" s="12" t="s">
        <x:v>125</x:v>
      </x:c>
      <x:c r="I28" s="12" t="s">
        <x:v>140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2248</x:v>
      </x:c>
      <x:c r="B29" s="12" t="s">
        <x:v>188</x:v>
      </x:c>
      <x:c r="C29" s="12" t="s">
        <x:v>1265</x:v>
      </x:c>
      <x:c r="D29" s="13" t="s">
        <x:v>2249</x:v>
      </x:c>
      <x:c r="E29" s="12" t="s">
        <x:v>160</x:v>
      </x:c>
      <x:c r="F29" s="12" t="s">
        <x:v>190</x:v>
      </x:c>
      <x:c r="G29" s="13" t="s">
        <x:v>2207</x:v>
      </x:c>
      <x:c r="H29" s="12" t="s">
        <x:v>125</x:v>
      </x:c>
      <x:c r="I29" s="12" t="s">
        <x:v>140</x:v>
      </x:c>
      <x:c r="J29" s="14" t="n">
        <x:v>46230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2250</x:v>
      </x:c>
      <x:c r="B30" s="12" t="s">
        <x:v>193</x:v>
      </x:c>
      <x:c r="C30" s="12" t="s">
        <x:v>1265</x:v>
      </x:c>
      <x:c r="D30" s="13" t="s">
        <x:v>2251</x:v>
      </x:c>
      <x:c r="E30" s="12" t="s">
        <x:v>160</x:v>
      </x:c>
      <x:c r="F30" s="12" t="s">
        <x:v>195</x:v>
      </x:c>
      <x:c r="G30" s="13" t="s">
        <x:v>2252</x:v>
      </x:c>
      <x:c r="H30" s="12" t="s">
        <x:v>127</x:v>
      </x:c>
      <x:c r="I30" s="12" t="s">
        <x:v>139</x:v>
      </x:c>
      <x:c r="J30" s="14" t="n">
        <x:v>46230</x:v>
      </x:c>
      <x:c r="K30" s="13" t="s">
        <x:v>2253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2254</x:v>
      </x:c>
      <x:c r="B31" s="12" t="s">
        <x:v>212</x:v>
      </x:c>
      <x:c r="C31" s="12" t="s">
        <x:v>64</x:v>
      </x:c>
      <x:c r="D31" s="13" t="s">
        <x:v>2255</x:v>
      </x:c>
      <x:c r="E31" s="12" t="s">
        <x:v>160</x:v>
      </x:c>
      <x:c r="F31" s="12" t="s">
        <x:v>201</x:v>
      </x:c>
      <x:c r="G31" s="13" t="s">
        <x:v>2256</x:v>
      </x:c>
      <x:c r="H31" s="12" t="s">
        <x:v>119</x:v>
      </x:c>
      <x:c r="I31" s="12" t="s">
        <x:v>139</x:v>
      </x:c>
      <x:c r="J31" s="14" t="n">
        <x:v>46230</x:v>
      </x:c>
      <x:c r="K31" s="13" t="s">
        <x:v>1882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0</x:v>
      </x:c>
    </x:row>
    <x:row r="32" s="4" customFormat="1" ht="54" hidden="0" customHeight="1">
      <x:c r="A32" s="12" t="s">
        <x:v>2257</x:v>
      </x:c>
      <x:c r="B32" s="12" t="s">
        <x:v>215</x:v>
      </x:c>
      <x:c r="C32" s="12" t="s">
        <x:v>64</x:v>
      </x:c>
      <x:c r="D32" s="13" t="s">
        <x:v>2258</x:v>
      </x:c>
      <x:c r="E32" s="12" t="s">
        <x:v>160</x:v>
      </x:c>
      <x:c r="F32" s="12" t="s">
        <x:v>217</x:v>
      </x:c>
      <x:c r="G32" s="13" t="s">
        <x:v>2259</x:v>
      </x:c>
      <x:c r="H32" s="12" t="s">
        <x:v>125</x:v>
      </x:c>
      <x:c r="I32" s="12" t="s">
        <x:v>140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2260</x:v>
      </x:c>
      <x:c r="B33" s="12" t="s">
        <x:v>220</x:v>
      </x:c>
      <x:c r="C33" s="12" t="s">
        <x:v>64</x:v>
      </x:c>
      <x:c r="D33" s="13" t="s">
        <x:v>2261</x:v>
      </x:c>
      <x:c r="E33" s="12" t="s">
        <x:v>160</x:v>
      </x:c>
      <x:c r="F33" s="12" t="s">
        <x:v>217</x:v>
      </x:c>
      <x:c r="G33" s="13" t="s">
        <x:v>2262</x:v>
      </x:c>
      <x:c r="H33" s="12" t="s">
        <x:v>125</x:v>
      </x:c>
      <x:c r="I33" s="12" t="s">
        <x:v>140</x:v>
      </x:c>
      <x:c r="J33" s="14" t="n">
        <x:v>46230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2263</x:v>
      </x:c>
      <x:c r="B34" s="12" t="s">
        <x:v>646</x:v>
      </x:c>
      <x:c r="C34" s="12" t="s">
        <x:v>64</x:v>
      </x:c>
      <x:c r="D34" s="13" t="s">
        <x:v>2264</x:v>
      </x:c>
      <x:c r="E34" s="12" t="s">
        <x:v>160</x:v>
      </x:c>
      <x:c r="F34" s="12" t="s">
        <x:v>648</x:v>
      </x:c>
      <x:c r="G34" s="13" t="s">
        <x:v>2265</x:v>
      </x:c>
      <x:c r="H34" s="12" t="s">
        <x:v>125</x:v>
      </x:c>
      <x:c r="I34" s="12" t="s">
        <x:v>140</x:v>
      </x:c>
      <x:c r="J34" s="14" t="n">
        <x:v>46230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2266</x:v>
      </x:c>
      <x:c r="B35" s="12" t="s">
        <x:v>224</x:v>
      </x:c>
      <x:c r="C35" s="12" t="s">
        <x:v>64</x:v>
      </x:c>
      <x:c r="D35" s="13" t="s">
        <x:v>2267</x:v>
      </x:c>
      <x:c r="E35" s="12" t="s">
        <x:v>226</x:v>
      </x:c>
      <x:c r="F35" s="12" t="s">
        <x:v>226</x:v>
      </x:c>
      <x:c r="G35" s="13" t="s">
        <x:v>227</x:v>
      </x:c>
      <x:c r="H35" s="12" t="s">
        <x:v>125</x:v>
      </x:c>
      <x:c r="I35" s="12" t="s">
        <x:v>140</x:v>
      </x:c>
      <x:c r="J35" s="14" t="n">
        <x:v>46230</x:v>
      </x:c>
      <x:c r="K35" s="13"/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2268</x:v>
      </x:c>
      <x:c r="B36" s="12" t="s">
        <x:v>229</x:v>
      </x:c>
      <x:c r="C36" s="12" t="s">
        <x:v>64</x:v>
      </x:c>
      <x:c r="D36" s="13" t="s">
        <x:v>2269</x:v>
      </x:c>
      <x:c r="E36" s="12" t="s">
        <x:v>160</x:v>
      </x:c>
      <x:c r="F36" s="12" t="s">
        <x:v>160</x:v>
      </x:c>
      <x:c r="G36" s="13" t="s">
        <x:v>231</x:v>
      </x:c>
      <x:c r="H36" s="12" t="s">
        <x:v>125</x:v>
      </x:c>
      <x:c r="I36" s="12" t="s">
        <x:v>140</x:v>
      </x:c>
      <x:c r="J36" s="14" t="n">
        <x:v>46230</x:v>
      </x:c>
      <x:c r="K36" s="13"/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6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6">
      <x:formula1>"yes,no"</x:formula1>
      <x:formula2>0</x:formula2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2270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2271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COUNTA(A9:A27)</x:f>
        <x:v>19</x:v>
      </x:c>
      <x:c r="D4" s="6" t="s">
        <x:v>143</x:v>
      </x:c>
      <x:c r="E4" s="7" t="n">
        <x:f aca="0">SUM(M9:M27)</x:f>
        <x:v>18</x:v>
      </x:c>
      <x:c r="G4" s="6" t="s">
        <x:v>13</x:v>
      </x:c>
      <x:c r="H4" s="8" t="n">
        <x:f aca="0">IF(B4=0,0,E4/B4)</x:f>
        <x:v>0.9473684210526315</x:v>
      </x:c>
      <x:c r="J4" s="6" t="s">
        <x:v>14</x:v>
      </x:c>
      <x:c r="K4" s="7" t="str">
        <x:f aca="0">IF(COUNTIFS(E9:E27,"package",M9:M27,0)&gt;0,"open","complete")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IF(COUNTIFS(I9:I27,"yes",M9:M27,0)&gt;0,"open","complete")</x:f>
        <x:v>open</x:v>
      </x:c>
      <x:c r="D5" s="6" t="s">
        <x:v>15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2272</x:v>
      </x:c>
      <x:c r="B9" s="12" t="s">
        <x:v>117</x:v>
      </x:c>
      <x:c r="C9" s="12" t="s">
        <x:v>827</x:v>
      </x:c>
      <x:c r="D9" s="13" t="s">
        <x:v>2273</x:v>
      </x:c>
      <x:c r="E9" s="12" t="s">
        <x:v>160</x:v>
      </x:c>
      <x:c r="F9" s="12" t="s">
        <x:v>161</x:v>
      </x:c>
      <x:c r="G9" s="13" t="s">
        <x:v>2274</x:v>
      </x:c>
      <x:c r="H9" s="12" t="s">
        <x:v>125</x:v>
      </x:c>
      <x:c r="I9" s="12" t="s">
        <x:v>140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2275</x:v>
      </x:c>
      <x:c r="B10" s="12" t="s">
        <x:v>1423</x:v>
      </x:c>
      <x:c r="C10" s="12" t="s">
        <x:v>827</x:v>
      </x:c>
      <x:c r="D10" s="13" t="s">
        <x:v>2276</x:v>
      </x:c>
      <x:c r="E10" s="12" t="s">
        <x:v>160</x:v>
      </x:c>
      <x:c r="F10" s="12" t="s">
        <x:v>180</x:v>
      </x:c>
      <x:c r="G10" s="13" t="s">
        <x:v>2277</x:v>
      </x:c>
      <x:c r="H10" s="12" t="s">
        <x:v>125</x:v>
      </x:c>
      <x:c r="I10" s="12" t="s">
        <x:v>140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2278</x:v>
      </x:c>
      <x:c r="B11" s="12" t="s">
        <x:v>164</x:v>
      </x:c>
      <x:c r="C11" s="12" t="s">
        <x:v>2279</x:v>
      </x:c>
      <x:c r="D11" s="13" t="s">
        <x:v>2280</x:v>
      </x:c>
      <x:c r="E11" s="12" t="s">
        <x:v>160</x:v>
      </x:c>
      <x:c r="F11" s="12" t="s">
        <x:v>160</x:v>
      </x:c>
      <x:c r="G11" s="13" t="s">
        <x:v>1970</x:v>
      </x:c>
      <x:c r="H11" s="12" t="s">
        <x:v>125</x:v>
      </x:c>
      <x:c r="I11" s="12" t="s">
        <x:v>140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2281</x:v>
      </x:c>
      <x:c r="B12" s="12" t="s">
        <x:v>168</x:v>
      </x:c>
      <x:c r="C12" s="12" t="s">
        <x:v>827</x:v>
      </x:c>
      <x:c r="D12" s="13" t="s">
        <x:v>2282</x:v>
      </x:c>
      <x:c r="E12" s="12" t="s">
        <x:v>160</x:v>
      </x:c>
      <x:c r="F12" s="12" t="s">
        <x:v>170</x:v>
      </x:c>
      <x:c r="G12" s="13" t="s">
        <x:v>2283</x:v>
      </x:c>
      <x:c r="H12" s="12" t="s">
        <x:v>125</x:v>
      </x:c>
      <x:c r="I12" s="12" t="s">
        <x:v>140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2284</x:v>
      </x:c>
      <x:c r="B13" s="12" t="s">
        <x:v>2285</x:v>
      </x:c>
      <x:c r="C13" s="12" t="s">
        <x:v>827</x:v>
      </x:c>
      <x:c r="D13" s="13" t="s">
        <x:v>2286</x:v>
      </x:c>
      <x:c r="E13" s="12" t="s">
        <x:v>160</x:v>
      </x:c>
      <x:c r="F13" s="12" t="s">
        <x:v>180</x:v>
      </x:c>
      <x:c r="G13" s="13" t="s">
        <x:v>2277</x:v>
      </x:c>
      <x:c r="H13" s="12" t="s">
        <x:v>125</x:v>
      </x:c>
      <x:c r="I13" s="12" t="s">
        <x:v>140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2287</x:v>
      </x:c>
      <x:c r="B14" s="12" t="s">
        <x:v>1374</x:v>
      </x:c>
      <x:c r="C14" s="12" t="s">
        <x:v>827</x:v>
      </x:c>
      <x:c r="D14" s="13" t="s">
        <x:v>2288</x:v>
      </x:c>
      <x:c r="E14" s="12" t="s">
        <x:v>160</x:v>
      </x:c>
      <x:c r="F14" s="12" t="s">
        <x:v>185</x:v>
      </x:c>
      <x:c r="G14" s="13" t="s">
        <x:v>2289</x:v>
      </x:c>
      <x:c r="H14" s="12" t="s">
        <x:v>125</x:v>
      </x:c>
      <x:c r="I14" s="12" t="s">
        <x:v>140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2290</x:v>
      </x:c>
      <x:c r="B15" s="12" t="s">
        <x:v>2291</x:v>
      </x:c>
      <x:c r="C15" s="12" t="s">
        <x:v>827</x:v>
      </x:c>
      <x:c r="D15" s="13" t="s">
        <x:v>2292</x:v>
      </x:c>
      <x:c r="E15" s="12" t="s">
        <x:v>160</x:v>
      </x:c>
      <x:c r="F15" s="12" t="s">
        <x:v>185</x:v>
      </x:c>
      <x:c r="G15" s="13" t="s">
        <x:v>2289</x:v>
      </x:c>
      <x:c r="H15" s="12" t="s">
        <x:v>125</x:v>
      </x:c>
      <x:c r="I15" s="12" t="s">
        <x:v>140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2293</x:v>
      </x:c>
      <x:c r="B16" s="12" t="s">
        <x:v>2294</x:v>
      </x:c>
      <x:c r="C16" s="12" t="s">
        <x:v>827</x:v>
      </x:c>
      <x:c r="D16" s="13" t="s">
        <x:v>2295</x:v>
      </x:c>
      <x:c r="E16" s="12" t="s">
        <x:v>160</x:v>
      </x:c>
      <x:c r="F16" s="12" t="s">
        <x:v>185</x:v>
      </x:c>
      <x:c r="G16" s="13" t="s">
        <x:v>2289</x:v>
      </x:c>
      <x:c r="H16" s="12" t="s">
        <x:v>125</x:v>
      </x:c>
      <x:c r="I16" s="12" t="s">
        <x:v>140</x:v>
      </x:c>
      <x:c r="J16" s="14" t="n">
        <x:v>46230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2296</x:v>
      </x:c>
      <x:c r="B17" s="12" t="s">
        <x:v>208</x:v>
      </x:c>
      <x:c r="C17" s="12" t="s">
        <x:v>827</x:v>
      </x:c>
      <x:c r="D17" s="13" t="s">
        <x:v>2297</x:v>
      </x:c>
      <x:c r="E17" s="12" t="s">
        <x:v>160</x:v>
      </x:c>
      <x:c r="F17" s="12" t="s">
        <x:v>185</x:v>
      </x:c>
      <x:c r="G17" s="13" t="s">
        <x:v>2298</x:v>
      </x:c>
      <x:c r="H17" s="12" t="s">
        <x:v>125</x:v>
      </x:c>
      <x:c r="I17" s="12" t="s">
        <x:v>140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2299</x:v>
      </x:c>
      <x:c r="B18" s="12" t="s">
        <x:v>2300</x:v>
      </x:c>
      <x:c r="C18" s="12" t="s">
        <x:v>827</x:v>
      </x:c>
      <x:c r="D18" s="13" t="s">
        <x:v>2301</x:v>
      </x:c>
      <x:c r="E18" s="12" t="s">
        <x:v>160</x:v>
      </x:c>
      <x:c r="F18" s="12" t="s">
        <x:v>185</x:v>
      </x:c>
      <x:c r="G18" s="13" t="s">
        <x:v>2289</x:v>
      </x:c>
      <x:c r="H18" s="12" t="s">
        <x:v>125</x:v>
      </x:c>
      <x:c r="I18" s="12" t="s">
        <x:v>140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2302</x:v>
      </x:c>
      <x:c r="B19" s="12" t="s">
        <x:v>199</x:v>
      </x:c>
      <x:c r="C19" s="12" t="s">
        <x:v>827</x:v>
      </x:c>
      <x:c r="D19" s="13" t="s">
        <x:v>2303</x:v>
      </x:c>
      <x:c r="E19" s="12" t="s">
        <x:v>160</x:v>
      </x:c>
      <x:c r="F19" s="12" t="s">
        <x:v>185</x:v>
      </x:c>
      <x:c r="G19" s="13" t="s">
        <x:v>2304</x:v>
      </x:c>
      <x:c r="H19" s="12" t="s">
        <x:v>125</x:v>
      </x:c>
      <x:c r="I19" s="12" t="s">
        <x:v>140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2305</x:v>
      </x:c>
      <x:c r="B20" s="12" t="s">
        <x:v>188</x:v>
      </x:c>
      <x:c r="C20" s="12" t="s">
        <x:v>827</x:v>
      </x:c>
      <x:c r="D20" s="13" t="s">
        <x:v>2306</x:v>
      </x:c>
      <x:c r="E20" s="12" t="s">
        <x:v>160</x:v>
      </x:c>
      <x:c r="F20" s="12" t="s">
        <x:v>190</x:v>
      </x:c>
      <x:c r="G20" s="13" t="s">
        <x:v>2289</x:v>
      </x:c>
      <x:c r="H20" s="12" t="s">
        <x:v>125</x:v>
      </x:c>
      <x:c r="I20" s="12" t="s">
        <x:v>140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2307</x:v>
      </x:c>
      <x:c r="B21" s="12" t="s">
        <x:v>193</x:v>
      </x:c>
      <x:c r="C21" s="12" t="s">
        <x:v>827</x:v>
      </x:c>
      <x:c r="D21" s="13" t="s">
        <x:v>2308</x:v>
      </x:c>
      <x:c r="E21" s="12" t="s">
        <x:v>160</x:v>
      </x:c>
      <x:c r="F21" s="12" t="s">
        <x:v>195</x:v>
      </x:c>
      <x:c r="G21" s="13" t="s">
        <x:v>2309</x:v>
      </x:c>
      <x:c r="H21" s="12" t="s">
        <x:v>127</x:v>
      </x:c>
      <x:c r="I21" s="12" t="s">
        <x:v>139</x:v>
      </x:c>
      <x:c r="J21" s="14" t="n">
        <x:v>46230</x:v>
      </x:c>
      <x:c r="K21" s="13" t="s">
        <x:v>2310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2311</x:v>
      </x:c>
      <x:c r="B22" s="12" t="s">
        <x:v>212</x:v>
      </x:c>
      <x:c r="C22" s="12" t="s">
        <x:v>65</x:v>
      </x:c>
      <x:c r="D22" s="13" t="s">
        <x:v>2312</x:v>
      </x:c>
      <x:c r="E22" s="12" t="s">
        <x:v>160</x:v>
      </x:c>
      <x:c r="F22" s="12" t="s">
        <x:v>201</x:v>
      </x:c>
      <x:c r="G22" s="13" t="s">
        <x:v>2313</x:v>
      </x:c>
      <x:c r="H22" s="12" t="s">
        <x:v>119</x:v>
      </x:c>
      <x:c r="I22" s="12" t="s">
        <x:v>139</x:v>
      </x:c>
      <x:c r="J22" s="14" t="n">
        <x:v>46230</x:v>
      </x:c>
      <x:c r="K22" s="13" t="s">
        <x:v>1882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2314</x:v>
      </x:c>
      <x:c r="B23" s="12" t="s">
        <x:v>215</x:v>
      </x:c>
      <x:c r="C23" s="12" t="s">
        <x:v>65</x:v>
      </x:c>
      <x:c r="D23" s="13" t="s">
        <x:v>2315</x:v>
      </x:c>
      <x:c r="E23" s="12" t="s">
        <x:v>160</x:v>
      </x:c>
      <x:c r="F23" s="12" t="s">
        <x:v>217</x:v>
      </x:c>
      <x:c r="G23" s="13" t="s">
        <x:v>2316</x:v>
      </x:c>
      <x:c r="H23" s="12" t="s">
        <x:v>125</x:v>
      </x:c>
      <x:c r="I23" s="12" t="s">
        <x:v>140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2317</x:v>
      </x:c>
      <x:c r="B24" s="12" t="s">
        <x:v>220</x:v>
      </x:c>
      <x:c r="C24" s="12" t="s">
        <x:v>65</x:v>
      </x:c>
      <x:c r="D24" s="13" t="s">
        <x:v>2318</x:v>
      </x:c>
      <x:c r="E24" s="12" t="s">
        <x:v>160</x:v>
      </x:c>
      <x:c r="F24" s="12" t="s">
        <x:v>217</x:v>
      </x:c>
      <x:c r="G24" s="13" t="s">
        <x:v>2319</x:v>
      </x:c>
      <x:c r="H24" s="12" t="s">
        <x:v>125</x:v>
      </x:c>
      <x:c r="I24" s="12" t="s">
        <x:v>140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2320</x:v>
      </x:c>
      <x:c r="B25" s="12" t="s">
        <x:v>646</x:v>
      </x:c>
      <x:c r="C25" s="12" t="s">
        <x:v>65</x:v>
      </x:c>
      <x:c r="D25" s="13" t="s">
        <x:v>2321</x:v>
      </x:c>
      <x:c r="E25" s="12" t="s">
        <x:v>160</x:v>
      </x:c>
      <x:c r="F25" s="12" t="s">
        <x:v>648</x:v>
      </x:c>
      <x:c r="G25" s="13" t="s">
        <x:v>2322</x:v>
      </x:c>
      <x:c r="H25" s="12" t="s">
        <x:v>125</x:v>
      </x:c>
      <x:c r="I25" s="12" t="s">
        <x:v>140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2323</x:v>
      </x:c>
      <x:c r="B26" s="12" t="s">
        <x:v>224</x:v>
      </x:c>
      <x:c r="C26" s="12" t="s">
        <x:v>65</x:v>
      </x:c>
      <x:c r="D26" s="13" t="s">
        <x:v>2324</x:v>
      </x:c>
      <x:c r="E26" s="12" t="s">
        <x:v>226</x:v>
      </x:c>
      <x:c r="F26" s="12" t="s">
        <x:v>226</x:v>
      </x:c>
      <x:c r="G26" s="13" t="s">
        <x:v>227</x:v>
      </x:c>
      <x:c r="H26" s="12" t="s">
        <x:v>125</x:v>
      </x:c>
      <x:c r="I26" s="12" t="s">
        <x:v>140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2325</x:v>
      </x:c>
      <x:c r="B27" s="12" t="s">
        <x:v>229</x:v>
      </x:c>
      <x:c r="C27" s="12" t="s">
        <x:v>65</x:v>
      </x:c>
      <x:c r="D27" s="13" t="s">
        <x:v>2326</x:v>
      </x:c>
      <x:c r="E27" s="12" t="s">
        <x:v>160</x:v>
      </x:c>
      <x:c r="F27" s="12" t="s">
        <x:v>160</x:v>
      </x:c>
      <x:c r="G27" s="13" t="s">
        <x:v>231</x:v>
      </x:c>
      <x:c r="H27" s="12" t="s">
        <x:v>125</x:v>
      </x:c>
      <x:c r="I27" s="12" t="s">
        <x:v>140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/>
    <x:row r="29" s="4" customFormat="1" ht="54" hidden="0" customHeight="1"/>
    <x:row r="30" s="4" customFormat="1" ht="54" hidden="0" customHeight="1"/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7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7">
      <x:formula1>"yes,no"</x:formula1>
      <x:formula2>0</x:formula2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2327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2328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COUNTA(A9:A33)</x:f>
        <x:v>25</x:v>
      </x:c>
      <x:c r="D4" s="6" t="s">
        <x:v>143</x:v>
      </x:c>
      <x:c r="E4" s="7" t="n">
        <x:f aca="0">SUM(M9:M33)</x:f>
        <x:v>24</x:v>
      </x:c>
      <x:c r="G4" s="6" t="s">
        <x:v>13</x:v>
      </x:c>
      <x:c r="H4" s="8" t="n">
        <x:f aca="0">IF(B4=0,0,E4/B4)</x:f>
        <x:v>0.96</x:v>
      </x:c>
      <x:c r="J4" s="6" t="s">
        <x:v>14</x:v>
      </x:c>
      <x:c r="K4" s="7" t="str">
        <x:f aca="0">IF(COUNTIFS(E9:E33,"package",M9:M33,0)&gt;0,"open","complete")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IF(COUNTIFS(I9:I33,"yes",M9:M33,0)&gt;0,"open","complete")</x:f>
        <x:v>open</x:v>
      </x:c>
      <x:c r="D5" s="6" t="s">
        <x:v>15</x:v>
      </x:c>
      <x:c r="E5" s="7" t="str">
        <x:f aca="0">IF(COUNTIFS(E9:E33,"consumer",M9:M33,0)&gt;0,"open","complete")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1103</x:v>
      </x:c>
      <x:c r="B9" s="12" t="s">
        <x:v>117</x:v>
      </x:c>
      <x:c r="C9" s="12" t="s">
        <x:v>827</x:v>
      </x:c>
      <x:c r="D9" s="13" t="s">
        <x:v>2329</x:v>
      </x:c>
      <x:c r="E9" s="12" t="s">
        <x:v>160</x:v>
      </x:c>
      <x:c r="F9" s="12" t="s">
        <x:v>161</x:v>
      </x:c>
      <x:c r="G9" s="13" t="s">
        <x:v>2330</x:v>
      </x:c>
      <x:c r="H9" s="12" t="s">
        <x:v>125</x:v>
      </x:c>
      <x:c r="I9" s="12" t="s">
        <x:v>140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1106</x:v>
      </x:c>
      <x:c r="B10" s="12" t="s">
        <x:v>1423</x:v>
      </x:c>
      <x:c r="C10" s="12" t="s">
        <x:v>1265</x:v>
      </x:c>
      <x:c r="D10" s="13" t="s">
        <x:v>2331</x:v>
      </x:c>
      <x:c r="E10" s="12" t="s">
        <x:v>160</x:v>
      </x:c>
      <x:c r="F10" s="12" t="s">
        <x:v>180</x:v>
      </x:c>
      <x:c r="G10" s="13" t="s">
        <x:v>2332</x:v>
      </x:c>
      <x:c r="H10" s="12" t="s">
        <x:v>125</x:v>
      </x:c>
      <x:c r="I10" s="12" t="s">
        <x:v>140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1108</x:v>
      </x:c>
      <x:c r="B11" s="12" t="s">
        <x:v>164</x:v>
      </x:c>
      <x:c r="C11" s="12" t="s">
        <x:v>1265</x:v>
      </x:c>
      <x:c r="D11" s="13" t="s">
        <x:v>2333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1111</x:v>
      </x:c>
      <x:c r="B12" s="12" t="s">
        <x:v>168</x:v>
      </x:c>
      <x:c r="C12" s="12" t="s">
        <x:v>1265</x:v>
      </x:c>
      <x:c r="D12" s="13" t="s">
        <x:v>2334</x:v>
      </x:c>
      <x:c r="E12" s="12" t="s">
        <x:v>160</x:v>
      </x:c>
      <x:c r="F12" s="12" t="s">
        <x:v>170</x:v>
      </x:c>
      <x:c r="G12" s="13" t="s">
        <x:v>2335</x:v>
      </x:c>
      <x:c r="H12" s="12" t="s">
        <x:v>125</x:v>
      </x:c>
      <x:c r="I12" s="12" t="s">
        <x:v>140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1114</x:v>
      </x:c>
      <x:c r="B13" s="12" t="s">
        <x:v>173</x:v>
      </x:c>
      <x:c r="C13" s="12" t="s">
        <x:v>1265</x:v>
      </x:c>
      <x:c r="D13" s="13" t="s">
        <x:v>2336</x:v>
      </x:c>
      <x:c r="E13" s="12" t="s">
        <x:v>160</x:v>
      </x:c>
      <x:c r="F13" s="12" t="s">
        <x:v>175</x:v>
      </x:c>
      <x:c r="G13" s="13" t="s">
        <x:v>2337</x:v>
      </x:c>
      <x:c r="H13" s="12" t="s">
        <x:v>125</x:v>
      </x:c>
      <x:c r="I13" s="12" t="s">
        <x:v>140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1117</x:v>
      </x:c>
      <x:c r="B14" s="12" t="s">
        <x:v>1649</x:v>
      </x:c>
      <x:c r="C14" s="12" t="s">
        <x:v>827</x:v>
      </x:c>
      <x:c r="D14" s="13" t="s">
        <x:v>2338</x:v>
      </x:c>
      <x:c r="E14" s="12" t="s">
        <x:v>160</x:v>
      </x:c>
      <x:c r="F14" s="12" t="s">
        <x:v>185</x:v>
      </x:c>
      <x:c r="G14" s="13" t="s">
        <x:v>2339</x:v>
      </x:c>
      <x:c r="H14" s="12" t="s">
        <x:v>125</x:v>
      </x:c>
      <x:c r="I14" s="12" t="s">
        <x:v>140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1120</x:v>
      </x:c>
      <x:c r="B15" s="12" t="s">
        <x:v>1766</x:v>
      </x:c>
      <x:c r="C15" s="12" t="s">
        <x:v>827</x:v>
      </x:c>
      <x:c r="D15" s="13" t="s">
        <x:v>2340</x:v>
      </x:c>
      <x:c r="E15" s="12" t="s">
        <x:v>160</x:v>
      </x:c>
      <x:c r="F15" s="12" t="s">
        <x:v>195</x:v>
      </x:c>
      <x:c r="G15" s="13" t="s">
        <x:v>2341</x:v>
      </x:c>
      <x:c r="H15" s="12" t="s">
        <x:v>127</x:v>
      </x:c>
      <x:c r="I15" s="12" t="s">
        <x:v>139</x:v>
      </x:c>
      <x:c r="J15" s="14" t="n">
        <x:v>46230</x:v>
      </x:c>
      <x:c r="K15" s="13" t="s">
        <x:v>2342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1122</x:v>
      </x:c>
      <x:c r="B16" s="12" t="s">
        <x:v>1771</x:v>
      </x:c>
      <x:c r="C16" s="12" t="s">
        <x:v>827</x:v>
      </x:c>
      <x:c r="D16" s="13" t="s">
        <x:v>2343</x:v>
      </x:c>
      <x:c r="E16" s="12" t="s">
        <x:v>160</x:v>
      </x:c>
      <x:c r="F16" s="12" t="s">
        <x:v>195</x:v>
      </x:c>
      <x:c r="G16" s="13" t="s">
        <x:v>2341</x:v>
      </x:c>
      <x:c r="H16" s="12" t="s">
        <x:v>127</x:v>
      </x:c>
      <x:c r="I16" s="12" t="s">
        <x:v>139</x:v>
      </x:c>
      <x:c r="J16" s="14" t="n">
        <x:v>46230</x:v>
      </x:c>
      <x:c r="K16" s="13" t="s">
        <x:v>2344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1126</x:v>
      </x:c>
      <x:c r="B17" s="12" t="s">
        <x:v>1254</x:v>
      </x:c>
      <x:c r="C17" s="12" t="s">
        <x:v>827</x:v>
      </x:c>
      <x:c r="D17" s="13" t="s">
        <x:v>2345</x:v>
      </x:c>
      <x:c r="E17" s="12" t="s">
        <x:v>160</x:v>
      </x:c>
      <x:c r="F17" s="12" t="s">
        <x:v>180</x:v>
      </x:c>
      <x:c r="G17" s="13" t="s">
        <x:v>2346</x:v>
      </x:c>
      <x:c r="H17" s="12" t="s">
        <x:v>125</x:v>
      </x:c>
      <x:c r="I17" s="12" t="s">
        <x:v>140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1130</x:v>
      </x:c>
      <x:c r="B18" s="12" t="s">
        <x:v>2347</x:v>
      </x:c>
      <x:c r="C18" s="12" t="s">
        <x:v>2348</x:v>
      </x:c>
      <x:c r="D18" s="13" t="s">
        <x:v>2349</x:v>
      </x:c>
      <x:c r="E18" s="12" t="s">
        <x:v>160</x:v>
      </x:c>
      <x:c r="F18" s="12" t="s">
        <x:v>185</x:v>
      </x:c>
      <x:c r="G18" s="13" t="s">
        <x:v>2346</x:v>
      </x:c>
      <x:c r="H18" s="12" t="s">
        <x:v>125</x:v>
      </x:c>
      <x:c r="I18" s="12" t="s">
        <x:v>140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1132</x:v>
      </x:c>
      <x:c r="B19" s="12" t="s">
        <x:v>2350</x:v>
      </x:c>
      <x:c r="C19" s="12" t="s">
        <x:v>1151</x:v>
      </x:c>
      <x:c r="D19" s="13" t="s">
        <x:v>2351</x:v>
      </x:c>
      <x:c r="E19" s="12" t="s">
        <x:v>160</x:v>
      </x:c>
      <x:c r="F19" s="12" t="s">
        <x:v>185</x:v>
      </x:c>
      <x:c r="G19" s="13" t="s">
        <x:v>2346</x:v>
      </x:c>
      <x:c r="H19" s="12" t="s">
        <x:v>125</x:v>
      </x:c>
      <x:c r="I19" s="12" t="s">
        <x:v>140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1135</x:v>
      </x:c>
      <x:c r="B20" s="12" t="s">
        <x:v>2352</x:v>
      </x:c>
      <x:c r="C20" s="12" t="s">
        <x:v>2353</x:v>
      </x:c>
      <x:c r="D20" s="13" t="s">
        <x:v>2354</x:v>
      </x:c>
      <x:c r="E20" s="12" t="s">
        <x:v>160</x:v>
      </x:c>
      <x:c r="F20" s="12" t="s">
        <x:v>185</x:v>
      </x:c>
      <x:c r="G20" s="13" t="s">
        <x:v>2355</x:v>
      </x:c>
      <x:c r="H20" s="12" t="s">
        <x:v>125</x:v>
      </x:c>
      <x:c r="I20" s="12" t="s">
        <x:v>140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1138</x:v>
      </x:c>
      <x:c r="B21" s="12" t="s">
        <x:v>1864</x:v>
      </x:c>
      <x:c r="C21" s="12" t="s">
        <x:v>1864</x:v>
      </x:c>
      <x:c r="D21" s="13" t="s">
        <x:v>2356</x:v>
      </x:c>
      <x:c r="E21" s="12" t="s">
        <x:v>160</x:v>
      </x:c>
      <x:c r="F21" s="12" t="s">
        <x:v>195</x:v>
      </x:c>
      <x:c r="G21" s="13" t="s">
        <x:v>2341</x:v>
      </x:c>
      <x:c r="H21" s="12" t="s">
        <x:v>127</x:v>
      </x:c>
      <x:c r="I21" s="12" t="s">
        <x:v>139</x:v>
      </x:c>
      <x:c r="J21" s="14" t="n">
        <x:v>46230</x:v>
      </x:c>
      <x:c r="K21" s="13" t="s">
        <x:v>2357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1140</x:v>
      </x:c>
      <x:c r="B22" s="12" t="s">
        <x:v>208</x:v>
      </x:c>
      <x:c r="C22" s="12" t="s">
        <x:v>2358</x:v>
      </x:c>
      <x:c r="D22" s="13" t="s">
        <x:v>2359</x:v>
      </x:c>
      <x:c r="E22" s="12" t="s">
        <x:v>160</x:v>
      </x:c>
      <x:c r="F22" s="12" t="s">
        <x:v>180</x:v>
      </x:c>
      <x:c r="G22" s="13" t="s">
        <x:v>2346</x:v>
      </x:c>
      <x:c r="H22" s="12" t="s">
        <x:v>125</x:v>
      </x:c>
      <x:c r="I22" s="12" t="s">
        <x:v>140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1143</x:v>
      </x:c>
      <x:c r="B23" s="12" t="s">
        <x:v>2360</x:v>
      </x:c>
      <x:c r="C23" s="12" t="s">
        <x:v>1151</x:v>
      </x:c>
      <x:c r="D23" s="13" t="s">
        <x:v>2361</x:v>
      </x:c>
      <x:c r="E23" s="12" t="s">
        <x:v>160</x:v>
      </x:c>
      <x:c r="F23" s="12" t="s">
        <x:v>185</x:v>
      </x:c>
      <x:c r="G23" s="13" t="s">
        <x:v>2362</x:v>
      </x:c>
      <x:c r="H23" s="12" t="s">
        <x:v>125</x:v>
      </x:c>
      <x:c r="I23" s="12" t="s">
        <x:v>140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2363</x:v>
      </x:c>
      <x:c r="B24" s="12" t="s">
        <x:v>188</x:v>
      </x:c>
      <x:c r="C24" s="12" t="s">
        <x:v>1265</x:v>
      </x:c>
      <x:c r="D24" s="13" t="s">
        <x:v>2364</x:v>
      </x:c>
      <x:c r="E24" s="12" t="s">
        <x:v>160</x:v>
      </x:c>
      <x:c r="F24" s="12" t="s">
        <x:v>190</x:v>
      </x:c>
      <x:c r="G24" s="13" t="s">
        <x:v>2339</x:v>
      </x:c>
      <x:c r="H24" s="12" t="s">
        <x:v>125</x:v>
      </x:c>
      <x:c r="I24" s="12" t="s">
        <x:v>140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2365</x:v>
      </x:c>
      <x:c r="B25" s="12" t="s">
        <x:v>199</x:v>
      </x:c>
      <x:c r="C25" s="12" t="s">
        <x:v>1265</x:v>
      </x:c>
      <x:c r="D25" s="13" t="s">
        <x:v>2366</x:v>
      </x:c>
      <x:c r="E25" s="12" t="s">
        <x:v>160</x:v>
      </x:c>
      <x:c r="F25" s="12" t="s">
        <x:v>185</x:v>
      </x:c>
      <x:c r="G25" s="13" t="s">
        <x:v>2367</x:v>
      </x:c>
      <x:c r="H25" s="12" t="s">
        <x:v>125</x:v>
      </x:c>
      <x:c r="I25" s="12" t="s">
        <x:v>140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2368</x:v>
      </x:c>
      <x:c r="B26" s="12" t="s">
        <x:v>93</x:v>
      </x:c>
      <x:c r="C26" s="12" t="s">
        <x:v>1265</x:v>
      </x:c>
      <x:c r="D26" s="13" t="s">
        <x:v>2369</x:v>
      </x:c>
      <x:c r="E26" s="12" t="s">
        <x:v>160</x:v>
      </x:c>
      <x:c r="F26" s="12" t="s">
        <x:v>195</x:v>
      </x:c>
      <x:c r="G26" s="13" t="s">
        <x:v>2341</x:v>
      </x:c>
      <x:c r="H26" s="12" t="s">
        <x:v>127</x:v>
      </x:c>
      <x:c r="I26" s="12" t="s">
        <x:v>139</x:v>
      </x:c>
      <x:c r="J26" s="14" t="n">
        <x:v>46230</x:v>
      </x:c>
      <x:c r="K26" s="13" t="s">
        <x:v>2370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2371</x:v>
      </x:c>
      <x:c r="B27" s="12" t="s">
        <x:v>193</x:v>
      </x:c>
      <x:c r="C27" s="12" t="s">
        <x:v>1265</x:v>
      </x:c>
      <x:c r="D27" s="13" t="s">
        <x:v>2372</x:v>
      </x:c>
      <x:c r="E27" s="12" t="s">
        <x:v>160</x:v>
      </x:c>
      <x:c r="F27" s="12" t="s">
        <x:v>195</x:v>
      </x:c>
      <x:c r="G27" s="13" t="s">
        <x:v>2341</x:v>
      </x:c>
      <x:c r="H27" s="12" t="s">
        <x:v>127</x:v>
      </x:c>
      <x:c r="I27" s="12" t="s">
        <x:v>139</x:v>
      </x:c>
      <x:c r="J27" s="14" t="n">
        <x:v>46230</x:v>
      </x:c>
      <x:c r="K27" s="13" t="s">
        <x:v>2373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2374</x:v>
      </x:c>
      <x:c r="B28" s="12" t="s">
        <x:v>646</x:v>
      </x:c>
      <x:c r="C28" s="12" t="s">
        <x:v>1265</x:v>
      </x:c>
      <x:c r="D28" s="13" t="s">
        <x:v>2375</x:v>
      </x:c>
      <x:c r="E28" s="12" t="s">
        <x:v>160</x:v>
      </x:c>
      <x:c r="F28" s="12" t="s">
        <x:v>648</x:v>
      </x:c>
      <x:c r="G28" s="13" t="s">
        <x:v>2376</x:v>
      </x:c>
      <x:c r="H28" s="12" t="s">
        <x:v>125</x:v>
      </x:c>
      <x:c r="I28" s="12" t="s">
        <x:v>140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2377</x:v>
      </x:c>
      <x:c r="B29" s="12" t="s">
        <x:v>212</x:v>
      </x:c>
      <x:c r="C29" s="12" t="s">
        <x:v>1265</x:v>
      </x:c>
      <x:c r="D29" s="13" t="s">
        <x:v>2378</x:v>
      </x:c>
      <x:c r="E29" s="12" t="s">
        <x:v>160</x:v>
      </x:c>
      <x:c r="F29" s="12" t="s">
        <x:v>201</x:v>
      </x:c>
      <x:c r="G29" s="13" t="s">
        <x:v>2379</x:v>
      </x:c>
      <x:c r="H29" s="12" t="s">
        <x:v>119</x:v>
      </x:c>
      <x:c r="I29" s="12" t="s">
        <x:v>139</x:v>
      </x:c>
      <x:c r="J29" s="14" t="n">
        <x:v>46230</x:v>
      </x:c>
      <x:c r="K29" s="13" t="s">
        <x:v>1882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2380</x:v>
      </x:c>
      <x:c r="B30" s="12" t="s">
        <x:v>215</x:v>
      </x:c>
      <x:c r="C30" s="12" t="s">
        <x:v>1265</x:v>
      </x:c>
      <x:c r="D30" s="13" t="s">
        <x:v>2381</x:v>
      </x:c>
      <x:c r="E30" s="12" t="s">
        <x:v>160</x:v>
      </x:c>
      <x:c r="F30" s="12" t="s">
        <x:v>217</x:v>
      </x:c>
      <x:c r="G30" s="13" t="s">
        <x:v>2382</x:v>
      </x:c>
      <x:c r="H30" s="12" t="s">
        <x:v>125</x:v>
      </x:c>
      <x:c r="I30" s="12" t="s">
        <x:v>140</x:v>
      </x:c>
      <x:c r="J30" s="14" t="n">
        <x:v>46230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15" hidden="0" customHeight="1">
      <x:c r="A31" s="12" t="s">
        <x:v>2383</x:v>
      </x:c>
      <x:c r="B31" s="12" t="s">
        <x:v>220</x:v>
      </x:c>
      <x:c r="C31" s="12" t="s">
        <x:v>66</x:v>
      </x:c>
      <x:c r="D31" s="13" t="s">
        <x:v>2384</x:v>
      </x:c>
      <x:c r="E31" s="12" t="s">
        <x:v>160</x:v>
      </x:c>
      <x:c r="F31" s="12" t="s">
        <x:v>217</x:v>
      </x:c>
      <x:c r="G31" s="13" t="s">
        <x:v>2385</x:v>
      </x:c>
      <x:c r="H31" s="12" t="s">
        <x:v>125</x:v>
      </x:c>
      <x:c r="I31" s="12" t="s">
        <x:v>140</x:v>
      </x:c>
      <x:c r="J31" s="14" t="n">
        <x:v>46230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15" hidden="0" customHeight="1">
      <x:c r="A32" s="12" t="s">
        <x:v>2386</x:v>
      </x:c>
      <x:c r="B32" s="12" t="s">
        <x:v>224</x:v>
      </x:c>
      <x:c r="C32" s="12" t="s">
        <x:v>66</x:v>
      </x:c>
      <x:c r="D32" s="13" t="s">
        <x:v>2387</x:v>
      </x:c>
      <x:c r="E32" s="12" t="s">
        <x:v>226</x:v>
      </x:c>
      <x:c r="F32" s="12" t="s">
        <x:v>226</x:v>
      </x:c>
      <x:c r="G32" s="13" t="s">
        <x:v>227</x:v>
      </x:c>
      <x:c r="H32" s="12" t="s">
        <x:v>125</x:v>
      </x:c>
      <x:c r="I32" s="12" t="s">
        <x:v>140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15" hidden="0" customHeight="1">
      <x:c r="A33" s="12" t="s">
        <x:v>2388</x:v>
      </x:c>
      <x:c r="B33" s="12" t="s">
        <x:v>229</x:v>
      </x:c>
      <x:c r="C33" s="12" t="s">
        <x:v>66</x:v>
      </x:c>
      <x:c r="D33" s="13" t="s">
        <x:v>2389</x:v>
      </x:c>
      <x:c r="E33" s="12" t="s">
        <x:v>160</x:v>
      </x:c>
      <x:c r="F33" s="12" t="s">
        <x:v>160</x:v>
      </x:c>
      <x:c r="G33" s="13" t="s">
        <x:v>2390</x:v>
      </x:c>
      <x:c r="H33" s="12" t="s">
        <x:v>125</x:v>
      </x:c>
      <x:c r="I33" s="12" t="s">
        <x:v>140</x:v>
      </x:c>
      <x:c r="J33" s="14" t="n">
        <x:v>46230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3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3">
      <x:formula1>"yes,no"</x:formula1>
      <x:formula2>0</x:formula2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2391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2392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COUNTA(A9:A34)</x:f>
        <x:v>26</x:v>
      </x:c>
      <x:c r="D4" s="6" t="s">
        <x:v>143</x:v>
      </x:c>
      <x:c r="E4" s="7" t="n">
        <x:f aca="0">SUM(M9:M34)</x:f>
        <x:v>25</x:v>
      </x:c>
      <x:c r="G4" s="6" t="s">
        <x:v>13</x:v>
      </x:c>
      <x:c r="H4" s="8" t="n">
        <x:f aca="0">IF(B4=0,0,E4/B4)</x:f>
        <x:v>0.9615384615384616</x:v>
      </x:c>
      <x:c r="J4" s="6" t="s">
        <x:v>14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IF(COUNTIFS(I9:I34,"yes",M9:M34,0)&gt;0,"open","complete")</x:f>
        <x:v>open</x:v>
      </x:c>
      <x:c r="D5" s="6" t="s">
        <x:v>15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2393</x:v>
      </x:c>
      <x:c r="B9" s="12" t="s">
        <x:v>117</x:v>
      </x:c>
      <x:c r="C9" s="12" t="s">
        <x:v>827</x:v>
      </x:c>
      <x:c r="D9" s="13" t="s">
        <x:v>2394</x:v>
      </x:c>
      <x:c r="E9" s="12" t="s">
        <x:v>160</x:v>
      </x:c>
      <x:c r="F9" s="12" t="s">
        <x:v>161</x:v>
      </x:c>
      <x:c r="G9" s="13" t="s">
        <x:v>2395</x:v>
      </x:c>
      <x:c r="H9" s="12" t="s">
        <x:v>125</x:v>
      </x:c>
      <x:c r="I9" s="12" t="s">
        <x:v>140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2396</x:v>
      </x:c>
      <x:c r="B10" s="12" t="s">
        <x:v>1423</x:v>
      </x:c>
      <x:c r="C10" s="12" t="s">
        <x:v>1265</x:v>
      </x:c>
      <x:c r="D10" s="13" t="s">
        <x:v>2397</x:v>
      </x:c>
      <x:c r="E10" s="12" t="s">
        <x:v>160</x:v>
      </x:c>
      <x:c r="F10" s="12" t="s">
        <x:v>180</x:v>
      </x:c>
      <x:c r="G10" s="13" t="s">
        <x:v>2398</x:v>
      </x:c>
      <x:c r="H10" s="12" t="s">
        <x:v>125</x:v>
      </x:c>
      <x:c r="I10" s="12" t="s">
        <x:v>140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2399</x:v>
      </x:c>
      <x:c r="B11" s="12" t="s">
        <x:v>164</x:v>
      </x:c>
      <x:c r="C11" s="12" t="s">
        <x:v>1265</x:v>
      </x:c>
      <x:c r="D11" s="13" t="s">
        <x:v>2400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2401</x:v>
      </x:c>
      <x:c r="B12" s="12" t="s">
        <x:v>168</x:v>
      </x:c>
      <x:c r="C12" s="12" t="s">
        <x:v>1265</x:v>
      </x:c>
      <x:c r="D12" s="13" t="s">
        <x:v>2402</x:v>
      </x:c>
      <x:c r="E12" s="12" t="s">
        <x:v>160</x:v>
      </x:c>
      <x:c r="F12" s="12" t="s">
        <x:v>170</x:v>
      </x:c>
      <x:c r="G12" s="13" t="s">
        <x:v>2403</x:v>
      </x:c>
      <x:c r="H12" s="12" t="s">
        <x:v>125</x:v>
      </x:c>
      <x:c r="I12" s="12" t="s">
        <x:v>140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2404</x:v>
      </x:c>
      <x:c r="B13" s="12" t="s">
        <x:v>173</x:v>
      </x:c>
      <x:c r="C13" s="12" t="s">
        <x:v>1265</x:v>
      </x:c>
      <x:c r="D13" s="13" t="s">
        <x:v>2405</x:v>
      </x:c>
      <x:c r="E13" s="12" t="s">
        <x:v>160</x:v>
      </x:c>
      <x:c r="F13" s="12" t="s">
        <x:v>175</x:v>
      </x:c>
      <x:c r="G13" s="13" t="s">
        <x:v>2406</x:v>
      </x:c>
      <x:c r="H13" s="12" t="s">
        <x:v>125</x:v>
      </x:c>
      <x:c r="I13" s="12" t="s">
        <x:v>140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2407</x:v>
      </x:c>
      <x:c r="B14" s="12" t="s">
        <x:v>1649</x:v>
      </x:c>
      <x:c r="C14" s="12" t="s">
        <x:v>827</x:v>
      </x:c>
      <x:c r="D14" s="13" t="s">
        <x:v>2408</x:v>
      </x:c>
      <x:c r="E14" s="12" t="s">
        <x:v>160</x:v>
      </x:c>
      <x:c r="F14" s="12" t="s">
        <x:v>185</x:v>
      </x:c>
      <x:c r="G14" s="13" t="s">
        <x:v>2409</x:v>
      </x:c>
      <x:c r="H14" s="12" t="s">
        <x:v>125</x:v>
      </x:c>
      <x:c r="I14" s="12" t="s">
        <x:v>140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2410</x:v>
      </x:c>
      <x:c r="B15" s="12" t="s">
        <x:v>1766</x:v>
      </x:c>
      <x:c r="C15" s="12" t="s">
        <x:v>827</x:v>
      </x:c>
      <x:c r="D15" s="13" t="s">
        <x:v>2411</x:v>
      </x:c>
      <x:c r="E15" s="12" t="s">
        <x:v>160</x:v>
      </x:c>
      <x:c r="F15" s="12" t="s">
        <x:v>195</x:v>
      </x:c>
      <x:c r="G15" s="13" t="s">
        <x:v>2412</x:v>
      </x:c>
      <x:c r="H15" s="12" t="s">
        <x:v>127</x:v>
      </x:c>
      <x:c r="I15" s="12" t="s">
        <x:v>139</x:v>
      </x:c>
      <x:c r="J15" s="14" t="n">
        <x:v>46230</x:v>
      </x:c>
      <x:c r="K15" s="13" t="s">
        <x:v>2342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2413</x:v>
      </x:c>
      <x:c r="B16" s="12" t="s">
        <x:v>1771</x:v>
      </x:c>
      <x:c r="C16" s="12" t="s">
        <x:v>827</x:v>
      </x:c>
      <x:c r="D16" s="13" t="s">
        <x:v>2414</x:v>
      </x:c>
      <x:c r="E16" s="12" t="s">
        <x:v>160</x:v>
      </x:c>
      <x:c r="F16" s="12" t="s">
        <x:v>195</x:v>
      </x:c>
      <x:c r="G16" s="13" t="s">
        <x:v>2412</x:v>
      </x:c>
      <x:c r="H16" s="12" t="s">
        <x:v>127</x:v>
      </x:c>
      <x:c r="I16" s="12" t="s">
        <x:v>139</x:v>
      </x:c>
      <x:c r="J16" s="14" t="n">
        <x:v>46230</x:v>
      </x:c>
      <x:c r="K16" s="13" t="s">
        <x:v>2344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2415</x:v>
      </x:c>
      <x:c r="B17" s="12" t="s">
        <x:v>2416</x:v>
      </x:c>
      <x:c r="C17" s="12" t="s">
        <x:v>918</x:v>
      </x:c>
      <x:c r="D17" s="13" t="s">
        <x:v>2417</x:v>
      </x:c>
      <x:c r="E17" s="12" t="s">
        <x:v>160</x:v>
      </x:c>
      <x:c r="F17" s="12" t="s">
        <x:v>180</x:v>
      </x:c>
      <x:c r="G17" s="13" t="s">
        <x:v>2418</x:v>
      </x:c>
      <x:c r="H17" s="12" t="s">
        <x:v>125</x:v>
      </x:c>
      <x:c r="I17" s="12" t="s">
        <x:v>140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2419</x:v>
      </x:c>
      <x:c r="B18" s="12" t="s">
        <x:v>2420</x:v>
      </x:c>
      <x:c r="C18" s="12" t="s">
        <x:v>918</x:v>
      </x:c>
      <x:c r="D18" s="13" t="s">
        <x:v>2421</x:v>
      </x:c>
      <x:c r="E18" s="12" t="s">
        <x:v>160</x:v>
      </x:c>
      <x:c r="F18" s="12" t="s">
        <x:v>180</x:v>
      </x:c>
      <x:c r="G18" s="13" t="s">
        <x:v>2418</x:v>
      </x:c>
      <x:c r="H18" s="12" t="s">
        <x:v>125</x:v>
      </x:c>
      <x:c r="I18" s="12" t="s">
        <x:v>140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2422</x:v>
      </x:c>
      <x:c r="B19" s="12" t="s">
        <x:v>2423</x:v>
      </x:c>
      <x:c r="C19" s="12" t="s">
        <x:v>827</x:v>
      </x:c>
      <x:c r="D19" s="13" t="s">
        <x:v>2424</x:v>
      </x:c>
      <x:c r="E19" s="12" t="s">
        <x:v>160</x:v>
      </x:c>
      <x:c r="F19" s="12" t="s">
        <x:v>180</x:v>
      </x:c>
      <x:c r="G19" s="13" t="s">
        <x:v>2398</x:v>
      </x:c>
      <x:c r="H19" s="12" t="s">
        <x:v>125</x:v>
      </x:c>
      <x:c r="I19" s="12" t="s">
        <x:v>140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2425</x:v>
      </x:c>
      <x:c r="B20" s="12" t="s">
        <x:v>2426</x:v>
      </x:c>
      <x:c r="C20" s="12" t="s">
        <x:v>1852</x:v>
      </x:c>
      <x:c r="D20" s="13" t="s">
        <x:v>2427</x:v>
      </x:c>
      <x:c r="E20" s="12" t="s">
        <x:v>160</x:v>
      </x:c>
      <x:c r="F20" s="12" t="s">
        <x:v>185</x:v>
      </x:c>
      <x:c r="G20" s="13" t="s">
        <x:v>2418</x:v>
      </x:c>
      <x:c r="H20" s="12" t="s">
        <x:v>125</x:v>
      </x:c>
      <x:c r="I20" s="12" t="s">
        <x:v>140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2428</x:v>
      </x:c>
      <x:c r="B21" s="12" t="s">
        <x:v>2347</x:v>
      </x:c>
      <x:c r="C21" s="12" t="s">
        <x:v>2429</x:v>
      </x:c>
      <x:c r="D21" s="13" t="s">
        <x:v>2430</x:v>
      </x:c>
      <x:c r="E21" s="12" t="s">
        <x:v>160</x:v>
      </x:c>
      <x:c r="F21" s="12" t="s">
        <x:v>185</x:v>
      </x:c>
      <x:c r="G21" s="13" t="s">
        <x:v>2418</x:v>
      </x:c>
      <x:c r="H21" s="12" t="s">
        <x:v>125</x:v>
      </x:c>
      <x:c r="I21" s="12" t="s">
        <x:v>140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2431</x:v>
      </x:c>
      <x:c r="B22" s="12" t="s">
        <x:v>2350</x:v>
      </x:c>
      <x:c r="C22" s="12" t="s">
        <x:v>1151</x:v>
      </x:c>
      <x:c r="D22" s="13" t="s">
        <x:v>2432</x:v>
      </x:c>
      <x:c r="E22" s="12" t="s">
        <x:v>160</x:v>
      </x:c>
      <x:c r="F22" s="12" t="s">
        <x:v>185</x:v>
      </x:c>
      <x:c r="G22" s="13" t="s">
        <x:v>2418</x:v>
      </x:c>
      <x:c r="H22" s="12" t="s">
        <x:v>125</x:v>
      </x:c>
      <x:c r="I22" s="12" t="s">
        <x:v>140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2433</x:v>
      </x:c>
      <x:c r="B23" s="12" t="s">
        <x:v>2352</x:v>
      </x:c>
      <x:c r="C23" s="12" t="s">
        <x:v>2434</x:v>
      </x:c>
      <x:c r="D23" s="13" t="s">
        <x:v>2435</x:v>
      </x:c>
      <x:c r="E23" s="12" t="s">
        <x:v>160</x:v>
      </x:c>
      <x:c r="F23" s="12" t="s">
        <x:v>185</x:v>
      </x:c>
      <x:c r="G23" s="13" t="s">
        <x:v>2436</x:v>
      </x:c>
      <x:c r="H23" s="12" t="s">
        <x:v>125</x:v>
      </x:c>
      <x:c r="I23" s="12" t="s">
        <x:v>140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2437</x:v>
      </x:c>
      <x:c r="B24" s="12" t="s">
        <x:v>1656</x:v>
      </x:c>
      <x:c r="C24" s="12" t="s">
        <x:v>1852</x:v>
      </x:c>
      <x:c r="D24" s="13" t="s">
        <x:v>2438</x:v>
      </x:c>
      <x:c r="E24" s="12" t="s">
        <x:v>160</x:v>
      </x:c>
      <x:c r="F24" s="12" t="s">
        <x:v>185</x:v>
      </x:c>
      <x:c r="G24" s="13" t="s">
        <x:v>2409</x:v>
      </x:c>
      <x:c r="H24" s="12" t="s">
        <x:v>125</x:v>
      </x:c>
      <x:c r="I24" s="12" t="s">
        <x:v>140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2439</x:v>
      </x:c>
      <x:c r="B25" s="12" t="s">
        <x:v>2106</x:v>
      </x:c>
      <x:c r="C25" s="12" t="s">
        <x:v>1265</x:v>
      </x:c>
      <x:c r="D25" s="13" t="s">
        <x:v>2440</x:v>
      </x:c>
      <x:c r="E25" s="12" t="s">
        <x:v>160</x:v>
      </x:c>
      <x:c r="F25" s="12" t="s">
        <x:v>195</x:v>
      </x:c>
      <x:c r="G25" s="13" t="s">
        <x:v>2441</x:v>
      </x:c>
      <x:c r="H25" s="12" t="s">
        <x:v>127</x:v>
      </x:c>
      <x:c r="I25" s="12" t="s">
        <x:v>139</x:v>
      </x:c>
      <x:c r="J25" s="14" t="n">
        <x:v>46230</x:v>
      </x:c>
      <x:c r="K25" s="13" t="s">
        <x:v>2442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2443</x:v>
      </x:c>
      <x:c r="B26" s="12" t="s">
        <x:v>208</x:v>
      </x:c>
      <x:c r="C26" s="12" t="s">
        <x:v>2444</x:v>
      </x:c>
      <x:c r="D26" s="13" t="s">
        <x:v>2445</x:v>
      </x:c>
      <x:c r="E26" s="12" t="s">
        <x:v>160</x:v>
      </x:c>
      <x:c r="F26" s="12" t="s">
        <x:v>180</x:v>
      </x:c>
      <x:c r="G26" s="13" t="s">
        <x:v>2398</x:v>
      </x:c>
      <x:c r="H26" s="12" t="s">
        <x:v>125</x:v>
      </x:c>
      <x:c r="I26" s="12" t="s">
        <x:v>140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2446</x:v>
      </x:c>
      <x:c r="B27" s="12" t="s">
        <x:v>2447</x:v>
      </x:c>
      <x:c r="C27" s="12" t="s">
        <x:v>1265</x:v>
      </x:c>
      <x:c r="D27" s="13" t="s">
        <x:v>2448</x:v>
      </x:c>
      <x:c r="E27" s="12" t="s">
        <x:v>160</x:v>
      </x:c>
      <x:c r="F27" s="12" t="s">
        <x:v>190</x:v>
      </x:c>
      <x:c r="G27" s="13" t="s">
        <x:v>2409</x:v>
      </x:c>
      <x:c r="H27" s="12" t="s">
        <x:v>125</x:v>
      </x:c>
      <x:c r="I27" s="12" t="s">
        <x:v>140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2449</x:v>
      </x:c>
      <x:c r="B28" s="12" t="s">
        <x:v>93</x:v>
      </x:c>
      <x:c r="C28" s="12" t="s">
        <x:v>1265</x:v>
      </x:c>
      <x:c r="D28" s="13" t="s">
        <x:v>2369</x:v>
      </x:c>
      <x:c r="E28" s="12" t="s">
        <x:v>160</x:v>
      </x:c>
      <x:c r="F28" s="12" t="s">
        <x:v>195</x:v>
      </x:c>
      <x:c r="G28" s="13" t="s">
        <x:v>2412</x:v>
      </x:c>
      <x:c r="H28" s="12" t="s">
        <x:v>127</x:v>
      </x:c>
      <x:c r="I28" s="12" t="s">
        <x:v>139</x:v>
      </x:c>
      <x:c r="J28" s="14" t="n">
        <x:v>46230</x:v>
      </x:c>
      <x:c r="K28" s="13" t="s">
        <x:v>2370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2450</x:v>
      </x:c>
      <x:c r="B29" s="12" t="s">
        <x:v>193</x:v>
      </x:c>
      <x:c r="C29" s="12" t="s">
        <x:v>1265</x:v>
      </x:c>
      <x:c r="D29" s="13" t="s">
        <x:v>2451</x:v>
      </x:c>
      <x:c r="E29" s="12" t="s">
        <x:v>160</x:v>
      </x:c>
      <x:c r="F29" s="12" t="s">
        <x:v>195</x:v>
      </x:c>
      <x:c r="G29" s="13" t="s">
        <x:v>2412</x:v>
      </x:c>
      <x:c r="H29" s="12" t="s">
        <x:v>127</x:v>
      </x:c>
      <x:c r="I29" s="12" t="s">
        <x:v>139</x:v>
      </x:c>
      <x:c r="J29" s="14" t="n">
        <x:v>46230</x:v>
      </x:c>
      <x:c r="K29" s="13" t="s">
        <x:v>2452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2453</x:v>
      </x:c>
      <x:c r="B30" s="12" t="s">
        <x:v>646</x:v>
      </x:c>
      <x:c r="C30" s="12" t="s">
        <x:v>1265</x:v>
      </x:c>
      <x:c r="D30" s="13" t="s">
        <x:v>2454</x:v>
      </x:c>
      <x:c r="E30" s="12" t="s">
        <x:v>160</x:v>
      </x:c>
      <x:c r="F30" s="12" t="s">
        <x:v>648</x:v>
      </x:c>
      <x:c r="G30" s="13" t="s">
        <x:v>2455</x:v>
      </x:c>
      <x:c r="H30" s="12" t="s">
        <x:v>125</x:v>
      </x:c>
      <x:c r="I30" s="12" t="s">
        <x:v>140</x:v>
      </x:c>
      <x:c r="J30" s="14" t="n">
        <x:v>46230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15" hidden="0" customHeight="1">
      <x:c r="A31" s="12" t="s">
        <x:v>2456</x:v>
      </x:c>
      <x:c r="B31" s="12" t="s">
        <x:v>212</x:v>
      </x:c>
      <x:c r="C31" s="12" t="s">
        <x:v>1265</x:v>
      </x:c>
      <x:c r="D31" s="13" t="s">
        <x:v>2378</x:v>
      </x:c>
      <x:c r="E31" s="12" t="s">
        <x:v>160</x:v>
      </x:c>
      <x:c r="F31" s="12" t="s">
        <x:v>201</x:v>
      </x:c>
      <x:c r="G31" s="13" t="s">
        <x:v>2457</x:v>
      </x:c>
      <x:c r="H31" s="12" t="s">
        <x:v>119</x:v>
      </x:c>
      <x:c r="I31" s="12" t="s">
        <x:v>139</x:v>
      </x:c>
      <x:c r="J31" s="14" t="n">
        <x:v>46230</x:v>
      </x:c>
      <x:c r="K31" s="13" t="s">
        <x:v>1882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0</x:v>
      </x:c>
    </x:row>
    <x:row r="32" s="4" customFormat="1" ht="15" hidden="0" customHeight="1">
      <x:c r="A32" s="12" t="s">
        <x:v>2458</x:v>
      </x:c>
      <x:c r="B32" s="12" t="s">
        <x:v>2459</x:v>
      </x:c>
      <x:c r="C32" s="12" t="s">
        <x:v>1265</x:v>
      </x:c>
      <x:c r="D32" s="13" t="s">
        <x:v>2460</x:v>
      </x:c>
      <x:c r="E32" s="12" t="s">
        <x:v>160</x:v>
      </x:c>
      <x:c r="F32" s="12" t="s">
        <x:v>217</x:v>
      </x:c>
      <x:c r="G32" s="13" t="s">
        <x:v>2461</x:v>
      </x:c>
      <x:c r="H32" s="12" t="s">
        <x:v>125</x:v>
      </x:c>
      <x:c r="I32" s="12" t="s">
        <x:v>140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15" hidden="0" customHeight="1">
      <x:c r="A33" s="12" t="s">
        <x:v>2462</x:v>
      </x:c>
      <x:c r="B33" s="12" t="s">
        <x:v>224</x:v>
      </x:c>
      <x:c r="C33" s="12" t="s">
        <x:v>67</x:v>
      </x:c>
      <x:c r="D33" s="13" t="s">
        <x:v>2463</x:v>
      </x:c>
      <x:c r="E33" s="12" t="s">
        <x:v>226</x:v>
      </x:c>
      <x:c r="F33" s="12" t="s">
        <x:v>226</x:v>
      </x:c>
      <x:c r="G33" s="13" t="s">
        <x:v>227</x:v>
      </x:c>
      <x:c r="H33" s="12" t="s">
        <x:v>125</x:v>
      </x:c>
      <x:c r="I33" s="12" t="s">
        <x:v>140</x:v>
      </x:c>
      <x:c r="J33" s="14" t="n">
        <x:v>46230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33.75" hidden="0" customHeight="1">
      <x:c r="A34" s="12" t="s">
        <x:v>2464</x:v>
      </x:c>
      <x:c r="B34" s="12" t="s">
        <x:v>229</x:v>
      </x:c>
      <x:c r="C34" s="12" t="s">
        <x:v>67</x:v>
      </x:c>
      <x:c r="D34" s="13" t="s">
        <x:v>2465</x:v>
      </x:c>
      <x:c r="E34" s="12" t="s">
        <x:v>160</x:v>
      </x:c>
      <x:c r="F34" s="12" t="s">
        <x:v>160</x:v>
      </x:c>
      <x:c r="G34" s="13" t="s">
        <x:v>2390</x:v>
      </x:c>
      <x:c r="H34" s="12" t="s">
        <x:v>125</x:v>
      </x:c>
      <x:c r="I34" s="12" t="s">
        <x:v>140</x:v>
      </x:c>
      <x:c r="J34" s="14" t="n">
        <x:v>46230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2466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2467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COUNTA(A9:A39)</x:f>
        <x:v>31</x:v>
      </x:c>
      <x:c r="D4" s="6" t="s">
        <x:v>143</x:v>
      </x:c>
      <x:c r="E4" s="7" t="n">
        <x:f aca="0">SUM(M9:M39)</x:f>
        <x:v>30</x:v>
      </x:c>
      <x:c r="G4" s="6" t="s">
        <x:v>13</x:v>
      </x:c>
      <x:c r="H4" s="8" t="n">
        <x:f aca="0">IF(B4=0,0,E4/B4)</x:f>
        <x:v>0.967741935483871</x:v>
      </x:c>
      <x:c r="J4" s="6" t="s">
        <x:v>14</x:v>
      </x:c>
      <x:c r="K4" s="7" t="str">
        <x:f aca="0">IF(COUNTIFS(E9:E39,"package",M9:M39,0)&gt;0,"open","complete")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IF(COUNTIFS(I9:I39,"yes",M9:M39,0)&gt;0,"open","complete")</x:f>
        <x:v>open</x:v>
      </x:c>
      <x:c r="D5" s="6" t="s">
        <x:v>15</x:v>
      </x:c>
      <x:c r="E5" s="7" t="str">
        <x:f aca="0">IF(COUNTIFS(E9:E39,"consumer",M9:M39,0)&gt;0,"open","complete")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2468</x:v>
      </x:c>
      <x:c r="B9" s="12" t="s">
        <x:v>117</x:v>
      </x:c>
      <x:c r="C9" s="12" t="s">
        <x:v>1265</x:v>
      </x:c>
      <x:c r="D9" s="13" t="s">
        <x:v>2469</x:v>
      </x:c>
      <x:c r="E9" s="12" t="s">
        <x:v>160</x:v>
      </x:c>
      <x:c r="F9" s="12" t="s">
        <x:v>161</x:v>
      </x:c>
      <x:c r="G9" s="13" t="s">
        <x:v>2470</x:v>
      </x:c>
      <x:c r="H9" s="12" t="s">
        <x:v>125</x:v>
      </x:c>
      <x:c r="I9" s="12" t="s">
        <x:v>140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2471</x:v>
      </x:c>
      <x:c r="B10" s="12" t="s">
        <x:v>2472</x:v>
      </x:c>
      <x:c r="C10" s="12" t="s">
        <x:v>2473</x:v>
      </x:c>
      <x:c r="D10" s="13" t="s">
        <x:v>2474</x:v>
      </x:c>
      <x:c r="E10" s="12" t="s">
        <x:v>160</x:v>
      </x:c>
      <x:c r="F10" s="12" t="s">
        <x:v>180</x:v>
      </x:c>
      <x:c r="G10" s="13" t="s">
        <x:v>2475</x:v>
      </x:c>
      <x:c r="H10" s="12" t="s">
        <x:v>125</x:v>
      </x:c>
      <x:c r="I10" s="12" t="s">
        <x:v>140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2476</x:v>
      </x:c>
      <x:c r="B11" s="12" t="s">
        <x:v>1423</x:v>
      </x:c>
      <x:c r="C11" s="12" t="s">
        <x:v>1265</x:v>
      </x:c>
      <x:c r="D11" s="13" t="s">
        <x:v>2477</x:v>
      </x:c>
      <x:c r="E11" s="12" t="s">
        <x:v>160</x:v>
      </x:c>
      <x:c r="F11" s="12" t="s">
        <x:v>180</x:v>
      </x:c>
      <x:c r="G11" s="13" t="s">
        <x:v>2475</x:v>
      </x:c>
      <x:c r="H11" s="12" t="s">
        <x:v>125</x:v>
      </x:c>
      <x:c r="I11" s="12" t="s">
        <x:v>140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2478</x:v>
      </x:c>
      <x:c r="B12" s="12" t="s">
        <x:v>164</x:v>
      </x:c>
      <x:c r="C12" s="12" t="s">
        <x:v>1265</x:v>
      </x:c>
      <x:c r="D12" s="13" t="s">
        <x:v>2479</x:v>
      </x:c>
      <x:c r="E12" s="12" t="s">
        <x:v>160</x:v>
      </x:c>
      <x:c r="F12" s="12" t="s">
        <x:v>160</x:v>
      </x:c>
      <x:c r="G12" s="13" t="s">
        <x:v>606</x:v>
      </x:c>
      <x:c r="H12" s="12" t="s">
        <x:v>125</x:v>
      </x:c>
      <x:c r="I12" s="12" t="s">
        <x:v>140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2480</x:v>
      </x:c>
      <x:c r="B13" s="12" t="s">
        <x:v>168</x:v>
      </x:c>
      <x:c r="C13" s="12" t="s">
        <x:v>2481</x:v>
      </x:c>
      <x:c r="D13" s="13" t="s">
        <x:v>2482</x:v>
      </x:c>
      <x:c r="E13" s="12" t="s">
        <x:v>160</x:v>
      </x:c>
      <x:c r="F13" s="12" t="s">
        <x:v>170</x:v>
      </x:c>
      <x:c r="G13" s="13" t="s">
        <x:v>2483</x:v>
      </x:c>
      <x:c r="H13" s="12" t="s">
        <x:v>125</x:v>
      </x:c>
      <x:c r="I13" s="12" t="s">
        <x:v>140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2484</x:v>
      </x:c>
      <x:c r="B14" s="12" t="s">
        <x:v>173</x:v>
      </x:c>
      <x:c r="C14" s="12" t="s">
        <x:v>1265</x:v>
      </x:c>
      <x:c r="D14" s="13" t="s">
        <x:v>2485</x:v>
      </x:c>
      <x:c r="E14" s="12" t="s">
        <x:v>160</x:v>
      </x:c>
      <x:c r="F14" s="12" t="s">
        <x:v>175</x:v>
      </x:c>
      <x:c r="G14" s="13" t="s">
        <x:v>2486</x:v>
      </x:c>
      <x:c r="H14" s="12" t="s">
        <x:v>125</x:v>
      </x:c>
      <x:c r="I14" s="12" t="s">
        <x:v>140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2487</x:v>
      </x:c>
      <x:c r="B15" s="12" t="s">
        <x:v>1649</x:v>
      </x:c>
      <x:c r="C15" s="12" t="s">
        <x:v>2488</x:v>
      </x:c>
      <x:c r="D15" s="13" t="s">
        <x:v>2489</x:v>
      </x:c>
      <x:c r="E15" s="12" t="s">
        <x:v>160</x:v>
      </x:c>
      <x:c r="F15" s="12" t="s">
        <x:v>185</x:v>
      </x:c>
      <x:c r="G15" s="13" t="s">
        <x:v>2490</x:v>
      </x:c>
      <x:c r="H15" s="12" t="s">
        <x:v>125</x:v>
      </x:c>
      <x:c r="I15" s="12" t="s">
        <x:v>140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2491</x:v>
      </x:c>
      <x:c r="B16" s="12" t="s">
        <x:v>168</x:v>
      </x:c>
      <x:c r="C16" s="12" t="s">
        <x:v>2492</x:v>
      </x:c>
      <x:c r="D16" s="13" t="s">
        <x:v>2493</x:v>
      </x:c>
      <x:c r="E16" s="12" t="s">
        <x:v>160</x:v>
      </x:c>
      <x:c r="F16" s="12" t="s">
        <x:v>195</x:v>
      </x:c>
      <x:c r="G16" s="13" t="s">
        <x:v>2494</x:v>
      </x:c>
      <x:c r="H16" s="12" t="s">
        <x:v>127</x:v>
      </x:c>
      <x:c r="I16" s="12" t="s">
        <x:v>139</x:v>
      </x:c>
      <x:c r="J16" s="14" t="n">
        <x:v>46230</x:v>
      </x:c>
      <x:c r="K16" s="13" t="s">
        <x:v>2495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2496</x:v>
      </x:c>
      <x:c r="B17" s="12" t="s">
        <x:v>1151</x:v>
      </x:c>
      <x:c r="C17" s="12" t="s">
        <x:v>2497</x:v>
      </x:c>
      <x:c r="D17" s="13" t="s">
        <x:v>2498</x:v>
      </x:c>
      <x:c r="E17" s="12" t="s">
        <x:v>160</x:v>
      </x:c>
      <x:c r="F17" s="12" t="s">
        <x:v>195</x:v>
      </x:c>
      <x:c r="G17" s="13" t="s">
        <x:v>2499</x:v>
      </x:c>
      <x:c r="H17" s="12" t="s">
        <x:v>127</x:v>
      </x:c>
      <x:c r="I17" s="12" t="s">
        <x:v>139</x:v>
      </x:c>
      <x:c r="J17" s="14" t="n">
        <x:v>46230</x:v>
      </x:c>
      <x:c r="K17" s="13" t="s">
        <x:v>2500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2501</x:v>
      </x:c>
      <x:c r="B18" s="12" t="s">
        <x:v>2502</x:v>
      </x:c>
      <x:c r="C18" s="12" t="s">
        <x:v>2503</x:v>
      </x:c>
      <x:c r="D18" s="13" t="s">
        <x:v>2504</x:v>
      </x:c>
      <x:c r="E18" s="12" t="s">
        <x:v>160</x:v>
      </x:c>
      <x:c r="F18" s="12" t="s">
        <x:v>185</x:v>
      </x:c>
      <x:c r="G18" s="13" t="s">
        <x:v>2490</x:v>
      </x:c>
      <x:c r="H18" s="12" t="s">
        <x:v>125</x:v>
      </x:c>
      <x:c r="I18" s="12" t="s">
        <x:v>140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2505</x:v>
      </x:c>
      <x:c r="B19" s="12" t="s">
        <x:v>2506</x:v>
      </x:c>
      <x:c r="C19" s="12" t="s">
        <x:v>2507</x:v>
      </x:c>
      <x:c r="D19" s="13" t="s">
        <x:v>2508</x:v>
      </x:c>
      <x:c r="E19" s="12" t="s">
        <x:v>160</x:v>
      </x:c>
      <x:c r="F19" s="12" t="s">
        <x:v>185</x:v>
      </x:c>
      <x:c r="G19" s="13" t="s">
        <x:v>2509</x:v>
      </x:c>
      <x:c r="H19" s="12" t="s">
        <x:v>125</x:v>
      </x:c>
      <x:c r="I19" s="12" t="s">
        <x:v>140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2510</x:v>
      </x:c>
      <x:c r="B20" s="12" t="s">
        <x:v>2511</x:v>
      </x:c>
      <x:c r="C20" s="12" t="s">
        <x:v>2165</x:v>
      </x:c>
      <x:c r="D20" s="13" t="s">
        <x:v>2512</x:v>
      </x:c>
      <x:c r="E20" s="12" t="s">
        <x:v>160</x:v>
      </x:c>
      <x:c r="F20" s="12" t="s">
        <x:v>195</x:v>
      </x:c>
      <x:c r="G20" s="13" t="s">
        <x:v>2509</x:v>
      </x:c>
      <x:c r="H20" s="12" t="s">
        <x:v>127</x:v>
      </x:c>
      <x:c r="I20" s="12" t="s">
        <x:v>139</x:v>
      </x:c>
      <x:c r="J20" s="14" t="n">
        <x:v>46230</x:v>
      </x:c>
      <x:c r="K20" s="13" t="s">
        <x:v>2513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2514</x:v>
      </x:c>
      <x:c r="B21" s="12" t="s">
        <x:v>2515</x:v>
      </x:c>
      <x:c r="C21" s="12" t="s">
        <x:v>2507</x:v>
      </x:c>
      <x:c r="D21" s="13" t="s">
        <x:v>2516</x:v>
      </x:c>
      <x:c r="E21" s="12" t="s">
        <x:v>160</x:v>
      </x:c>
      <x:c r="F21" s="12" t="s">
        <x:v>185</x:v>
      </x:c>
      <x:c r="G21" s="13" t="s">
        <x:v>2509</x:v>
      </x:c>
      <x:c r="H21" s="12" t="s">
        <x:v>125</x:v>
      </x:c>
      <x:c r="I21" s="12" t="s">
        <x:v>140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2517</x:v>
      </x:c>
      <x:c r="B22" s="12" t="s">
        <x:v>2518</x:v>
      </x:c>
      <x:c r="C22" s="12" t="s">
        <x:v>2519</x:v>
      </x:c>
      <x:c r="D22" s="13" t="s">
        <x:v>2520</x:v>
      </x:c>
      <x:c r="E22" s="12" t="s">
        <x:v>160</x:v>
      </x:c>
      <x:c r="F22" s="12" t="s">
        <x:v>185</x:v>
      </x:c>
      <x:c r="G22" s="13" t="s">
        <x:v>2521</x:v>
      </x:c>
      <x:c r="H22" s="12" t="s">
        <x:v>125</x:v>
      </x:c>
      <x:c r="I22" s="12" t="s">
        <x:v>140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2522</x:v>
      </x:c>
      <x:c r="B23" s="12" t="s">
        <x:v>2523</x:v>
      </x:c>
      <x:c r="C23" s="12" t="s">
        <x:v>2524</x:v>
      </x:c>
      <x:c r="D23" s="13" t="s">
        <x:v>2525</x:v>
      </x:c>
      <x:c r="E23" s="12" t="s">
        <x:v>160</x:v>
      </x:c>
      <x:c r="F23" s="12" t="s">
        <x:v>180</x:v>
      </x:c>
      <x:c r="G23" s="13" t="s">
        <x:v>2526</x:v>
      </x:c>
      <x:c r="H23" s="12" t="s">
        <x:v>125</x:v>
      </x:c>
      <x:c r="I23" s="12" t="s">
        <x:v>140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2527</x:v>
      </x:c>
      <x:c r="B24" s="12" t="s">
        <x:v>2528</x:v>
      </x:c>
      <x:c r="C24" s="12" t="s">
        <x:v>2519</x:v>
      </x:c>
      <x:c r="D24" s="13" t="s">
        <x:v>2529</x:v>
      </x:c>
      <x:c r="E24" s="12" t="s">
        <x:v>160</x:v>
      </x:c>
      <x:c r="F24" s="12" t="s">
        <x:v>190</x:v>
      </x:c>
      <x:c r="G24" s="13" t="s">
        <x:v>2490</x:v>
      </x:c>
      <x:c r="H24" s="12" t="s">
        <x:v>125</x:v>
      </x:c>
      <x:c r="I24" s="12" t="s">
        <x:v>140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2530</x:v>
      </x:c>
      <x:c r="B25" s="12" t="s">
        <x:v>1656</x:v>
      </x:c>
      <x:c r="C25" s="12" t="s">
        <x:v>2531</x:v>
      </x:c>
      <x:c r="D25" s="13" t="s">
        <x:v>2532</x:v>
      </x:c>
      <x:c r="E25" s="12" t="s">
        <x:v>160</x:v>
      </x:c>
      <x:c r="F25" s="12" t="s">
        <x:v>185</x:v>
      </x:c>
      <x:c r="G25" s="13" t="s">
        <x:v>2521</x:v>
      </x:c>
      <x:c r="H25" s="12" t="s">
        <x:v>125</x:v>
      </x:c>
      <x:c r="I25" s="12" t="s">
        <x:v>140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2533</x:v>
      </x:c>
      <x:c r="B26" s="12" t="s">
        <x:v>2534</x:v>
      </x:c>
      <x:c r="C26" s="12" t="s">
        <x:v>827</x:v>
      </x:c>
      <x:c r="D26" s="13" t="s">
        <x:v>2535</x:v>
      </x:c>
      <x:c r="E26" s="12" t="s">
        <x:v>160</x:v>
      </x:c>
      <x:c r="F26" s="12" t="s">
        <x:v>161</x:v>
      </x:c>
      <x:c r="G26" s="13" t="s">
        <x:v>2536</x:v>
      </x:c>
      <x:c r="H26" s="12" t="s">
        <x:v>125</x:v>
      </x:c>
      <x:c r="I26" s="12" t="s">
        <x:v>140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2537</x:v>
      </x:c>
      <x:c r="B27" s="12" t="s">
        <x:v>2538</x:v>
      </x:c>
      <x:c r="C27" s="12" t="s">
        <x:v>2539</x:v>
      </x:c>
      <x:c r="D27" s="13" t="s">
        <x:v>2540</x:v>
      </x:c>
      <x:c r="E27" s="12" t="s">
        <x:v>160</x:v>
      </x:c>
      <x:c r="F27" s="12" t="s">
        <x:v>180</x:v>
      </x:c>
      <x:c r="G27" s="13" t="s">
        <x:v>2541</x:v>
      </x:c>
      <x:c r="H27" s="12" t="s">
        <x:v>125</x:v>
      </x:c>
      <x:c r="I27" s="12" t="s">
        <x:v>140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2542</x:v>
      </x:c>
      <x:c r="B28" s="12" t="s">
        <x:v>1604</x:v>
      </x:c>
      <x:c r="C28" s="12" t="s">
        <x:v>1265</x:v>
      </x:c>
      <x:c r="D28" s="13" t="s">
        <x:v>2543</x:v>
      </x:c>
      <x:c r="E28" s="12" t="s">
        <x:v>160</x:v>
      </x:c>
      <x:c r="F28" s="12" t="s">
        <x:v>180</x:v>
      </x:c>
      <x:c r="G28" s="13" t="s">
        <x:v>2544</x:v>
      </x:c>
      <x:c r="H28" s="12" t="s">
        <x:v>125</x:v>
      </x:c>
      <x:c r="I28" s="12" t="s">
        <x:v>140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2545</x:v>
      </x:c>
      <x:c r="B29" s="12" t="s">
        <x:v>2546</x:v>
      </x:c>
      <x:c r="C29" s="12" t="s">
        <x:v>1265</x:v>
      </x:c>
      <x:c r="D29" s="13" t="s">
        <x:v>2547</x:v>
      </x:c>
      <x:c r="E29" s="12" t="s">
        <x:v>160</x:v>
      </x:c>
      <x:c r="F29" s="12" t="s">
        <x:v>195</x:v>
      </x:c>
      <x:c r="G29" s="13" t="s">
        <x:v>2509</x:v>
      </x:c>
      <x:c r="H29" s="12" t="s">
        <x:v>127</x:v>
      </x:c>
      <x:c r="I29" s="12" t="s">
        <x:v>139</x:v>
      </x:c>
      <x:c r="J29" s="14" t="n">
        <x:v>46230</x:v>
      </x:c>
      <x:c r="K29" s="13" t="s">
        <x:v>2548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2549</x:v>
      </x:c>
      <x:c r="B30" s="12" t="s">
        <x:v>93</x:v>
      </x:c>
      <x:c r="C30" s="12" t="s">
        <x:v>1265</x:v>
      </x:c>
      <x:c r="D30" s="13" t="s">
        <x:v>2550</x:v>
      </x:c>
      <x:c r="E30" s="12" t="s">
        <x:v>160</x:v>
      </x:c>
      <x:c r="F30" s="12" t="s">
        <x:v>195</x:v>
      </x:c>
      <x:c r="G30" s="13" t="s">
        <x:v>2494</x:v>
      </x:c>
      <x:c r="H30" s="12" t="s">
        <x:v>127</x:v>
      </x:c>
      <x:c r="I30" s="12" t="s">
        <x:v>139</x:v>
      </x:c>
      <x:c r="J30" s="14" t="n">
        <x:v>46230</x:v>
      </x:c>
      <x:c r="K30" s="13" t="s">
        <x:v>2551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2552</x:v>
      </x:c>
      <x:c r="B31" s="12" t="s">
        <x:v>2553</x:v>
      </x:c>
      <x:c r="C31" s="12" t="s">
        <x:v>2492</x:v>
      </x:c>
      <x:c r="D31" s="13" t="s">
        <x:v>2554</x:v>
      </x:c>
      <x:c r="E31" s="12" t="s">
        <x:v>160</x:v>
      </x:c>
      <x:c r="F31" s="12" t="s">
        <x:v>195</x:v>
      </x:c>
      <x:c r="G31" s="13" t="s">
        <x:v>2494</x:v>
      </x:c>
      <x:c r="H31" s="12" t="s">
        <x:v>127</x:v>
      </x:c>
      <x:c r="I31" s="12" t="s">
        <x:v>139</x:v>
      </x:c>
      <x:c r="J31" s="14" t="n">
        <x:v>46230</x:v>
      </x:c>
      <x:c r="K31" s="13" t="s">
        <x:v>2555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2556</x:v>
      </x:c>
      <x:c r="B32" s="12" t="s">
        <x:v>188</x:v>
      </x:c>
      <x:c r="C32" s="12" t="s">
        <x:v>1265</x:v>
      </x:c>
      <x:c r="D32" s="13" t="s">
        <x:v>2557</x:v>
      </x:c>
      <x:c r="E32" s="12" t="s">
        <x:v>160</x:v>
      </x:c>
      <x:c r="F32" s="12" t="s">
        <x:v>190</x:v>
      </x:c>
      <x:c r="G32" s="13" t="s">
        <x:v>2521</x:v>
      </x:c>
      <x:c r="H32" s="12" t="s">
        <x:v>125</x:v>
      </x:c>
      <x:c r="I32" s="12" t="s">
        <x:v>140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2558</x:v>
      </x:c>
      <x:c r="B33" s="12" t="s">
        <x:v>193</x:v>
      </x:c>
      <x:c r="C33" s="12" t="s">
        <x:v>1265</x:v>
      </x:c>
      <x:c r="D33" s="13" t="s">
        <x:v>2559</x:v>
      </x:c>
      <x:c r="E33" s="12" t="s">
        <x:v>160</x:v>
      </x:c>
      <x:c r="F33" s="12" t="s">
        <x:v>195</x:v>
      </x:c>
      <x:c r="G33" s="13" t="s">
        <x:v>2494</x:v>
      </x:c>
      <x:c r="H33" s="12" t="s">
        <x:v>127</x:v>
      </x:c>
      <x:c r="I33" s="12" t="s">
        <x:v>139</x:v>
      </x:c>
      <x:c r="J33" s="14" t="n">
        <x:v>46230</x:v>
      </x:c>
      <x:c r="K33" s="13" t="s">
        <x:v>2560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2561</x:v>
      </x:c>
      <x:c r="B34" s="12" t="s">
        <x:v>646</x:v>
      </x:c>
      <x:c r="C34" s="12" t="s">
        <x:v>1265</x:v>
      </x:c>
      <x:c r="D34" s="13" t="s">
        <x:v>2562</x:v>
      </x:c>
      <x:c r="E34" s="12" t="s">
        <x:v>160</x:v>
      </x:c>
      <x:c r="F34" s="12" t="s">
        <x:v>648</x:v>
      </x:c>
      <x:c r="G34" s="13" t="s">
        <x:v>2563</x:v>
      </x:c>
      <x:c r="H34" s="12" t="s">
        <x:v>125</x:v>
      </x:c>
      <x:c r="I34" s="12" t="s">
        <x:v>140</x:v>
      </x:c>
      <x:c r="J34" s="14" t="n">
        <x:v>46230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2564</x:v>
      </x:c>
      <x:c r="B35" s="12" t="s">
        <x:v>212</x:v>
      </x:c>
      <x:c r="C35" s="12" t="s">
        <x:v>1265</x:v>
      </x:c>
      <x:c r="D35" s="13" t="s">
        <x:v>2565</x:v>
      </x:c>
      <x:c r="E35" s="12" t="s">
        <x:v>160</x:v>
      </x:c>
      <x:c r="F35" s="12" t="s">
        <x:v>201</x:v>
      </x:c>
      <x:c r="G35" s="13" t="s">
        <x:v>2566</x:v>
      </x:c>
      <x:c r="H35" s="12" t="s">
        <x:v>119</x:v>
      </x:c>
      <x:c r="I35" s="12" t="s">
        <x:v>139</x:v>
      </x:c>
      <x:c r="J35" s="14" t="n">
        <x:v>46230</x:v>
      </x:c>
      <x:c r="K35" s="13" t="s">
        <x:v>1882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0</x:v>
      </x:c>
    </x:row>
    <x:row r="36" s="4" customFormat="1" ht="54" hidden="0" customHeight="1">
      <x:c r="A36" s="12" t="s">
        <x:v>2567</x:v>
      </x:c>
      <x:c r="B36" s="12" t="s">
        <x:v>2459</x:v>
      </x:c>
      <x:c r="C36" s="12" t="s">
        <x:v>68</x:v>
      </x:c>
      <x:c r="D36" s="13" t="s">
        <x:v>2568</x:v>
      </x:c>
      <x:c r="E36" s="12" t="s">
        <x:v>160</x:v>
      </x:c>
      <x:c r="F36" s="12" t="s">
        <x:v>217</x:v>
      </x:c>
      <x:c r="G36" s="13" t="s">
        <x:v>2569</x:v>
      </x:c>
      <x:c r="H36" s="12" t="s">
        <x:v>125</x:v>
      </x:c>
      <x:c r="I36" s="12" t="s">
        <x:v>140</x:v>
      </x:c>
      <x:c r="J36" s="14" t="n">
        <x:v>46230</x:v>
      </x:c>
      <x:c r="K36" s="13"/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 t="s">
        <x:v>2570</x:v>
      </x:c>
      <x:c r="B37" s="12" t="s">
        <x:v>220</x:v>
      </x:c>
      <x:c r="C37" s="12" t="s">
        <x:v>68</x:v>
      </x:c>
      <x:c r="D37" s="13" t="s">
        <x:v>2571</x:v>
      </x:c>
      <x:c r="E37" s="12" t="s">
        <x:v>160</x:v>
      </x:c>
      <x:c r="F37" s="12" t="s">
        <x:v>217</x:v>
      </x:c>
      <x:c r="G37" s="13" t="s">
        <x:v>2572</x:v>
      </x:c>
      <x:c r="H37" s="12" t="s">
        <x:v>125</x:v>
      </x:c>
      <x:c r="I37" s="12" t="s">
        <x:v>140</x:v>
      </x:c>
      <x:c r="J37" s="14" t="n">
        <x:v>46230</x:v>
      </x:c>
      <x:c r="K37" s="13"/>
      <x:c r="L37" s="12" t="n">
        <x:v>1</x:v>
      </x:c>
      <x:c r="M37" s="12" t="n">
        <x:f aca="0">IF(OR(AND(I37="yes",H37="verified"),AND(I37="no",OR(H37="tested",H37="verified")),AND(H37="not applicable",K37&lt;&gt;"")),1,0)</x:f>
        <x:v>1</x:v>
      </x:c>
    </x:row>
    <x:row r="38" s="4" customFormat="1" ht="54" hidden="0" customHeight="1">
      <x:c r="A38" s="12" t="s">
        <x:v>2573</x:v>
      </x:c>
      <x:c r="B38" s="12" t="s">
        <x:v>224</x:v>
      </x:c>
      <x:c r="C38" s="12" t="s">
        <x:v>2473</x:v>
      </x:c>
      <x:c r="D38" s="13" t="s">
        <x:v>2574</x:v>
      </x:c>
      <x:c r="E38" s="12" t="s">
        <x:v>226</x:v>
      </x:c>
      <x:c r="F38" s="12" t="s">
        <x:v>226</x:v>
      </x:c>
      <x:c r="G38" s="13" t="s">
        <x:v>227</x:v>
      </x:c>
      <x:c r="H38" s="12" t="s">
        <x:v>125</x:v>
      </x:c>
      <x:c r="I38" s="12" t="s">
        <x:v>140</x:v>
      </x:c>
      <x:c r="J38" s="14" t="n">
        <x:v>46230</x:v>
      </x:c>
      <x:c r="K38" s="13"/>
      <x:c r="L38" s="12" t="n">
        <x:v>1</x:v>
      </x:c>
      <x:c r="M38" s="12" t="n">
        <x:f aca="0">IF(OR(AND(I38="yes",H38="verified"),AND(I38="no",OR(H38="tested",H38="verified")),AND(H38="not applicable",K38&lt;&gt;"")),1,0)</x:f>
        <x:v>1</x:v>
      </x:c>
    </x:row>
    <x:row r="39" s="4" customFormat="1" ht="54" hidden="0" customHeight="1">
      <x:c r="A39" s="12" t="s">
        <x:v>2575</x:v>
      </x:c>
      <x:c r="B39" s="12" t="s">
        <x:v>229</x:v>
      </x:c>
      <x:c r="C39" s="12" t="s">
        <x:v>68</x:v>
      </x:c>
      <x:c r="D39" s="13" t="s">
        <x:v>2576</x:v>
      </x:c>
      <x:c r="E39" s="12" t="s">
        <x:v>160</x:v>
      </x:c>
      <x:c r="F39" s="12" t="s">
        <x:v>160</x:v>
      </x:c>
      <x:c r="G39" s="13" t="s">
        <x:v>2577</x:v>
      </x:c>
      <x:c r="H39" s="12" t="s">
        <x:v>125</x:v>
      </x:c>
      <x:c r="I39" s="12" t="s">
        <x:v>140</x:v>
      </x:c>
      <x:c r="J39" s="14" t="n">
        <x:v>46230</x:v>
      </x:c>
      <x:c r="K39" s="13"/>
      <x:c r="L39" s="12" t="n">
        <x:v>1</x:v>
      </x:c>
      <x:c r="M39" s="12" t="n">
        <x:f aca="0">IF(OR(AND(I39="yes",H39="verified"),AND(I39="no",OR(H39="tested",H39="verified")),AND(H39="not applicable",K39&lt;&gt;"")),1,0)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9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9">
      <x:formula1>"yes,no"</x:formula1>
      <x:formula2>0</x:formula2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2578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2579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143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1568</x:v>
      </x:c>
      <x:c r="B9" s="12" t="s">
        <x:v>117</x:v>
      </x:c>
      <x:c r="C9" s="12" t="s">
        <x:v>1265</x:v>
      </x:c>
      <x:c r="D9" s="13" t="s">
        <x:v>2580</x:v>
      </x:c>
      <x:c r="E9" s="12" t="s">
        <x:v>160</x:v>
      </x:c>
      <x:c r="F9" s="12" t="s">
        <x:v>161</x:v>
      </x:c>
      <x:c r="G9" s="13" t="s">
        <x:v>2581</x:v>
      </x:c>
      <x:c r="H9" s="12" t="s">
        <x:v>125</x:v>
      </x:c>
      <x:c r="I9" s="12" t="s">
        <x:v>140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1571</x:v>
      </x:c>
      <x:c r="B10" s="12" t="s">
        <x:v>2472</x:v>
      </x:c>
      <x:c r="C10" s="12" t="s">
        <x:v>1265</x:v>
      </x:c>
      <x:c r="D10" s="13" t="s">
        <x:v>2582</x:v>
      </x:c>
      <x:c r="E10" s="12" t="s">
        <x:v>160</x:v>
      </x:c>
      <x:c r="F10" s="12" t="s">
        <x:v>180</x:v>
      </x:c>
      <x:c r="G10" s="13" t="s">
        <x:v>2583</x:v>
      </x:c>
      <x:c r="H10" s="12" t="s">
        <x:v>125</x:v>
      </x:c>
      <x:c r="I10" s="12" t="s">
        <x:v>140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1575</x:v>
      </x:c>
      <x:c r="B11" s="12" t="s">
        <x:v>1423</x:v>
      </x:c>
      <x:c r="C11" s="12" t="s">
        <x:v>2584</x:v>
      </x:c>
      <x:c r="D11" s="13" t="s">
        <x:v>2585</x:v>
      </x:c>
      <x:c r="E11" s="12" t="s">
        <x:v>160</x:v>
      </x:c>
      <x:c r="F11" s="12" t="s">
        <x:v>180</x:v>
      </x:c>
      <x:c r="G11" s="13" t="s">
        <x:v>2583</x:v>
      </x:c>
      <x:c r="H11" s="12" t="s">
        <x:v>125</x:v>
      </x:c>
      <x:c r="I11" s="12" t="s">
        <x:v>140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1577</x:v>
      </x:c>
      <x:c r="B12" s="12" t="s">
        <x:v>168</x:v>
      </x:c>
      <x:c r="C12" s="12" t="s">
        <x:v>2481</x:v>
      </x:c>
      <x:c r="D12" s="13" t="s">
        <x:v>2586</x:v>
      </x:c>
      <x:c r="E12" s="12" t="s">
        <x:v>160</x:v>
      </x:c>
      <x:c r="F12" s="12" t="s">
        <x:v>170</x:v>
      </x:c>
      <x:c r="G12" s="13" t="s">
        <x:v>2587</x:v>
      </x:c>
      <x:c r="H12" s="12" t="s">
        <x:v>125</x:v>
      </x:c>
      <x:c r="I12" s="12" t="s">
        <x:v>140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1580</x:v>
      </x:c>
      <x:c r="B13" s="12" t="s">
        <x:v>164</x:v>
      </x:c>
      <x:c r="C13" s="12" t="s">
        <x:v>1265</x:v>
      </x:c>
      <x:c r="D13" s="13" t="s">
        <x:v>2588</x:v>
      </x:c>
      <x:c r="E13" s="12" t="s">
        <x:v>160</x:v>
      </x:c>
      <x:c r="F13" s="12" t="s">
        <x:v>160</x:v>
      </x:c>
      <x:c r="G13" s="13" t="s">
        <x:v>166</x:v>
      </x:c>
      <x:c r="H13" s="12" t="s">
        <x:v>125</x:v>
      </x:c>
      <x:c r="I13" s="12" t="s">
        <x:v>140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1583</x:v>
      </x:c>
      <x:c r="B14" s="12" t="s">
        <x:v>1391</x:v>
      </x:c>
      <x:c r="C14" s="12" t="s">
        <x:v>827</x:v>
      </x:c>
      <x:c r="D14" s="13" t="s">
        <x:v>2589</x:v>
      </x:c>
      <x:c r="E14" s="12" t="s">
        <x:v>160</x:v>
      </x:c>
      <x:c r="F14" s="12" t="s">
        <x:v>160</x:v>
      </x:c>
      <x:c r="G14" s="13" t="s">
        <x:v>1393</x:v>
      </x:c>
      <x:c r="H14" s="12" t="s">
        <x:v>125</x:v>
      </x:c>
      <x:c r="I14" s="12" t="s">
        <x:v>140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1586</x:v>
      </x:c>
      <x:c r="B15" s="12" t="s">
        <x:v>1649</x:v>
      </x:c>
      <x:c r="C15" s="12" t="s">
        <x:v>827</x:v>
      </x:c>
      <x:c r="D15" s="13" t="s">
        <x:v>2590</x:v>
      </x:c>
      <x:c r="E15" s="12" t="s">
        <x:v>160</x:v>
      </x:c>
      <x:c r="F15" s="12" t="s">
        <x:v>180</x:v>
      </x:c>
      <x:c r="G15" s="13" t="s">
        <x:v>2583</x:v>
      </x:c>
      <x:c r="H15" s="12" t="s">
        <x:v>125</x:v>
      </x:c>
      <x:c r="I15" s="12" t="s">
        <x:v>140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1589</x:v>
      </x:c>
      <x:c r="B16" s="12" t="s">
        <x:v>1213</x:v>
      </x:c>
      <x:c r="C16" s="12" t="s">
        <x:v>827</x:v>
      </x:c>
      <x:c r="D16" s="13" t="s">
        <x:v>2591</x:v>
      </x:c>
      <x:c r="E16" s="12" t="s">
        <x:v>160</x:v>
      </x:c>
      <x:c r="F16" s="12" t="s">
        <x:v>185</x:v>
      </x:c>
      <x:c r="G16" s="13" t="s">
        <x:v>2592</x:v>
      </x:c>
      <x:c r="H16" s="12" t="s">
        <x:v>125</x:v>
      </x:c>
      <x:c r="I16" s="12" t="s">
        <x:v>140</x:v>
      </x:c>
      <x:c r="J16" s="14" t="n">
        <x:v>46230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1593</x:v>
      </x:c>
      <x:c r="B17" s="12" t="s">
        <x:v>687</x:v>
      </x:c>
      <x:c r="C17" s="12" t="s">
        <x:v>2593</x:v>
      </x:c>
      <x:c r="D17" s="13" t="s">
        <x:v>2594</x:v>
      </x:c>
      <x:c r="E17" s="12" t="s">
        <x:v>160</x:v>
      </x:c>
      <x:c r="F17" s="12" t="s">
        <x:v>180</x:v>
      </x:c>
      <x:c r="G17" s="13" t="s">
        <x:v>2583</x:v>
      </x:c>
      <x:c r="H17" s="12" t="s">
        <x:v>125</x:v>
      </x:c>
      <x:c r="I17" s="12" t="s">
        <x:v>140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1596</x:v>
      </x:c>
      <x:c r="B18" s="12" t="s">
        <x:v>2595</x:v>
      </x:c>
      <x:c r="C18" s="12" t="s">
        <x:v>2593</x:v>
      </x:c>
      <x:c r="D18" s="13" t="s">
        <x:v>2596</x:v>
      </x:c>
      <x:c r="E18" s="12" t="s">
        <x:v>160</x:v>
      </x:c>
      <x:c r="F18" s="12" t="s">
        <x:v>185</x:v>
      </x:c>
      <x:c r="G18" s="13" t="s">
        <x:v>2592</x:v>
      </x:c>
      <x:c r="H18" s="12" t="s">
        <x:v>125</x:v>
      </x:c>
      <x:c r="I18" s="12" t="s">
        <x:v>140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1598</x:v>
      </x:c>
      <x:c r="B19" s="12" t="s">
        <x:v>2597</x:v>
      </x:c>
      <x:c r="C19" s="12" t="s">
        <x:v>2598</x:v>
      </x:c>
      <x:c r="D19" s="13" t="s">
        <x:v>2599</x:v>
      </x:c>
      <x:c r="E19" s="12" t="s">
        <x:v>160</x:v>
      </x:c>
      <x:c r="F19" s="12" t="s">
        <x:v>185</x:v>
      </x:c>
      <x:c r="G19" s="13" t="s">
        <x:v>2592</x:v>
      </x:c>
      <x:c r="H19" s="12" t="s">
        <x:v>125</x:v>
      </x:c>
      <x:c r="I19" s="12" t="s">
        <x:v>140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1601</x:v>
      </x:c>
      <x:c r="B20" s="12" t="s">
        <x:v>199</x:v>
      </x:c>
      <x:c r="C20" s="12" t="s">
        <x:v>41</x:v>
      </x:c>
      <x:c r="D20" s="13" t="s">
        <x:v>2600</x:v>
      </x:c>
      <x:c r="E20" s="12" t="s">
        <x:v>160</x:v>
      </x:c>
      <x:c r="F20" s="12" t="s">
        <x:v>185</x:v>
      </x:c>
      <x:c r="G20" s="13" t="s">
        <x:v>2592</x:v>
      </x:c>
      <x:c r="H20" s="12" t="s">
        <x:v>125</x:v>
      </x:c>
      <x:c r="I20" s="12" t="s">
        <x:v>140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1603</x:v>
      </x:c>
      <x:c r="B21" s="12" t="s">
        <x:v>2601</x:v>
      </x:c>
      <x:c r="C21" s="12" t="s">
        <x:v>2602</x:v>
      </x:c>
      <x:c r="D21" s="13" t="s">
        <x:v>2603</x:v>
      </x:c>
      <x:c r="E21" s="12" t="s">
        <x:v>160</x:v>
      </x:c>
      <x:c r="F21" s="12" t="s">
        <x:v>185</x:v>
      </x:c>
      <x:c r="G21" s="13" t="s">
        <x:v>2592</x:v>
      </x:c>
      <x:c r="H21" s="12" t="s">
        <x:v>125</x:v>
      </x:c>
      <x:c r="I21" s="12" t="s">
        <x:v>140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1607</x:v>
      </x:c>
      <x:c r="B22" s="12" t="s">
        <x:v>2604</x:v>
      </x:c>
      <x:c r="C22" s="12" t="s">
        <x:v>1265</x:v>
      </x:c>
      <x:c r="D22" s="13" t="s">
        <x:v>2605</x:v>
      </x:c>
      <x:c r="E22" s="12" t="s">
        <x:v>160</x:v>
      </x:c>
      <x:c r="F22" s="12" t="s">
        <x:v>195</x:v>
      </x:c>
      <x:c r="G22" s="13" t="s">
        <x:v>2606</x:v>
      </x:c>
      <x:c r="H22" s="12" t="s">
        <x:v>127</x:v>
      </x:c>
      <x:c r="I22" s="12" t="s">
        <x:v>139</x:v>
      </x:c>
      <x:c r="J22" s="14" t="n">
        <x:v>46230</x:v>
      </x:c>
      <x:c r="K22" s="13" t="s">
        <x:v>2607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1610</x:v>
      </x:c>
      <x:c r="B23" s="12" t="s">
        <x:v>93</x:v>
      </x:c>
      <x:c r="C23" s="12" t="s">
        <x:v>1265</x:v>
      </x:c>
      <x:c r="D23" s="13" t="s">
        <x:v>2608</x:v>
      </x:c>
      <x:c r="E23" s="12" t="s">
        <x:v>160</x:v>
      </x:c>
      <x:c r="F23" s="12" t="s">
        <x:v>195</x:v>
      </x:c>
      <x:c r="G23" s="13" t="s">
        <x:v>2606</x:v>
      </x:c>
      <x:c r="H23" s="12" t="s">
        <x:v>127</x:v>
      </x:c>
      <x:c r="I23" s="12" t="s">
        <x:v>139</x:v>
      </x:c>
      <x:c r="J23" s="14" t="n">
        <x:v>46230</x:v>
      </x:c>
      <x:c r="K23" s="13" t="s">
        <x:v>2609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1614</x:v>
      </x:c>
      <x:c r="B24" s="12" t="s">
        <x:v>193</x:v>
      </x:c>
      <x:c r="C24" s="12" t="s">
        <x:v>1265</x:v>
      </x:c>
      <x:c r="D24" s="13" t="s">
        <x:v>2610</x:v>
      </x:c>
      <x:c r="E24" s="12" t="s">
        <x:v>160</x:v>
      </x:c>
      <x:c r="F24" s="12" t="s">
        <x:v>195</x:v>
      </x:c>
      <x:c r="G24" s="13" t="s">
        <x:v>2606</x:v>
      </x:c>
      <x:c r="H24" s="12" t="s">
        <x:v>127</x:v>
      </x:c>
      <x:c r="I24" s="12" t="s">
        <x:v>139</x:v>
      </x:c>
      <x:c r="J24" s="14" t="n">
        <x:v>46231</x:v>
      </x:c>
      <x:c r="K24" s="13" t="s">
        <x:v>2611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1617</x:v>
      </x:c>
      <x:c r="B25" s="12" t="s">
        <x:v>188</x:v>
      </x:c>
      <x:c r="C25" s="12" t="s">
        <x:v>1265</x:v>
      </x:c>
      <x:c r="D25" s="13" t="s">
        <x:v>2612</x:v>
      </x:c>
      <x:c r="E25" s="12" t="s">
        <x:v>160</x:v>
      </x:c>
      <x:c r="F25" s="12" t="s">
        <x:v>190</x:v>
      </x:c>
      <x:c r="G25" s="13" t="s">
        <x:v>2592</x:v>
      </x:c>
      <x:c r="H25" s="12" t="s">
        <x:v>125</x:v>
      </x:c>
      <x:c r="I25" s="12" t="s">
        <x:v>140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1619</x:v>
      </x:c>
      <x:c r="B26" s="12" t="s">
        <x:v>646</x:v>
      </x:c>
      <x:c r="C26" s="12" t="s">
        <x:v>1265</x:v>
      </x:c>
      <x:c r="D26" s="13" t="s">
        <x:v>2613</x:v>
      </x:c>
      <x:c r="E26" s="12" t="s">
        <x:v>160</x:v>
      </x:c>
      <x:c r="F26" s="12" t="s">
        <x:v>648</x:v>
      </x:c>
      <x:c r="G26" s="13" t="s">
        <x:v>2614</x:v>
      </x:c>
      <x:c r="H26" s="12" t="s">
        <x:v>125</x:v>
      </x:c>
      <x:c r="I26" s="12" t="s">
        <x:v>140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1621</x:v>
      </x:c>
      <x:c r="B27" s="12" t="s">
        <x:v>2459</x:v>
      </x:c>
      <x:c r="C27" s="12" t="s">
        <x:v>88</x:v>
      </x:c>
      <x:c r="D27" s="13" t="s">
        <x:v>2615</x:v>
      </x:c>
      <x:c r="E27" s="12" t="s">
        <x:v>160</x:v>
      </x:c>
      <x:c r="F27" s="12" t="s">
        <x:v>217</x:v>
      </x:c>
      <x:c r="G27" s="13" t="s">
        <x:v>2616</x:v>
      </x:c>
      <x:c r="H27" s="12" t="s">
        <x:v>125</x:v>
      </x:c>
      <x:c r="I27" s="12" t="s">
        <x:v>140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1624</x:v>
      </x:c>
      <x:c r="B28" s="12" t="s">
        <x:v>220</x:v>
      </x:c>
      <x:c r="C28" s="12" t="s">
        <x:v>88</x:v>
      </x:c>
      <x:c r="D28" s="13" t="s">
        <x:v>2617</x:v>
      </x:c>
      <x:c r="E28" s="12" t="s">
        <x:v>160</x:v>
      </x:c>
      <x:c r="F28" s="12" t="s">
        <x:v>217</x:v>
      </x:c>
      <x:c r="G28" s="13" t="s">
        <x:v>2618</x:v>
      </x:c>
      <x:c r="H28" s="12" t="s">
        <x:v>125</x:v>
      </x:c>
      <x:c r="I28" s="12" t="s">
        <x:v>140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1627</x:v>
      </x:c>
      <x:c r="B29" s="12" t="s">
        <x:v>224</x:v>
      </x:c>
      <x:c r="C29" s="12" t="s">
        <x:v>88</x:v>
      </x:c>
      <x:c r="D29" s="13" t="s">
        <x:v>2619</x:v>
      </x:c>
      <x:c r="E29" s="12" t="s">
        <x:v>226</x:v>
      </x:c>
      <x:c r="F29" s="12" t="s">
        <x:v>226</x:v>
      </x:c>
      <x:c r="G29" s="13" t="s">
        <x:v>2620</x:v>
      </x:c>
      <x:c r="H29" s="12" t="s">
        <x:v>125</x:v>
      </x:c>
      <x:c r="I29" s="12" t="s">
        <x:v>140</x:v>
      </x:c>
      <x:c r="J29" s="14" t="n">
        <x:v>46230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1629</x:v>
      </x:c>
      <x:c r="B30" s="12" t="s">
        <x:v>212</x:v>
      </x:c>
      <x:c r="C30" s="12" t="s">
        <x:v>1265</x:v>
      </x:c>
      <x:c r="D30" s="13" t="s">
        <x:v>2621</x:v>
      </x:c>
      <x:c r="E30" s="12" t="s">
        <x:v>160</x:v>
      </x:c>
      <x:c r="F30" s="12" t="s">
        <x:v>201</x:v>
      </x:c>
      <x:c r="G30" s="13" t="s">
        <x:v>2622</x:v>
      </x:c>
      <x:c r="H30" s="12" t="s">
        <x:v>119</x:v>
      </x:c>
      <x:c r="I30" s="12" t="s">
        <x:v>139</x:v>
      </x:c>
      <x:c r="J30" s="14" t="n">
        <x:v>46230</x:v>
      </x:c>
      <x:c r="K30" s="13" t="s">
        <x:v>1882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2623</x:v>
      </x:c>
      <x:c r="B31" s="12" t="s">
        <x:v>229</x:v>
      </x:c>
      <x:c r="C31" s="12" t="s">
        <x:v>88</x:v>
      </x:c>
      <x:c r="D31" s="13" t="s">
        <x:v>2624</x:v>
      </x:c>
      <x:c r="E31" s="12" t="s">
        <x:v>160</x:v>
      </x:c>
      <x:c r="F31" s="12" t="s">
        <x:v>160</x:v>
      </x:c>
      <x:c r="G31" s="13" t="s">
        <x:v>2625</x:v>
      </x:c>
      <x:c r="H31" s="12" t="s">
        <x:v>125</x:v>
      </x:c>
      <x:c r="I31" s="12" t="s">
        <x:v>140</x:v>
      </x:c>
      <x:c r="J31" s="14" t="n">
        <x:v>46231</x:v>
      </x:c>
      <x:c r="K31" s="13" t="s">
        <x:v>2626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/>
      <x:c r="B32" s="12"/>
      <x:c r="C32" s="12"/>
      <x:c r="D32" s="13"/>
      <x:c r="E32" s="12"/>
      <x:c r="F32" s="12"/>
      <x:c r="G32" s="13"/>
      <x:c r="H32" s="12"/>
      <x:c r="I32" s="12"/>
      <x:c r="J32" s="14"/>
      <x:c r="K32" s="13"/>
      <x:c r="L32" s="12"/>
      <x:c r="M32" s="12"/>
    </x:row>
    <x:row r="33" s="4" customFormat="1" ht="54" hidden="0" customHeight="1">
      <x:c r="A33" s="12"/>
      <x:c r="B33" s="12"/>
      <x:c r="C33" s="12"/>
      <x:c r="D33" s="13"/>
      <x:c r="E33" s="12"/>
      <x:c r="F33" s="12"/>
      <x:c r="G33" s="13"/>
      <x:c r="H33" s="12"/>
      <x:c r="I33" s="12"/>
      <x:c r="J33" s="14"/>
      <x:c r="K33" s="13"/>
      <x:c r="L33" s="12"/>
      <x:c r="M33" s="12"/>
    </x:row>
    <x:row r="34" s="4" customFormat="1" ht="54" hidden="0" customHeight="1">
      <x:c r="A34" s="12"/>
      <x:c r="B34" s="12"/>
      <x:c r="C34" s="12"/>
      <x:c r="D34" s="13"/>
      <x:c r="E34" s="12"/>
      <x:c r="F34" s="12"/>
      <x:c r="G34" s="13"/>
      <x:c r="H34" s="12"/>
      <x:c r="I34" s="12"/>
      <x:c r="J34" s="14"/>
      <x:c r="K34" s="13"/>
      <x:c r="L34" s="12"/>
      <x:c r="M34" s="12"/>
    </x:row>
    <x:row r="35" s="4" customFormat="1" ht="54" hidden="0" customHeight="1">
      <x:c r="A35" s="12"/>
      <x:c r="B35" s="12"/>
      <x:c r="C35" s="12"/>
      <x:c r="D35" s="13"/>
      <x:c r="E35" s="12"/>
      <x:c r="F35" s="12"/>
      <x:c r="G35" s="13"/>
      <x:c r="H35" s="12"/>
      <x:c r="I35" s="12"/>
      <x:c r="J35" s="14"/>
      <x:c r="K35" s="13"/>
      <x:c r="L35" s="12"/>
      <x:c r="M35" s="12"/>
    </x:row>
    <x:row r="36" s="4" customFormat="1" ht="54" hidden="0" customHeight="1">
      <x:c r="A36" s="12"/>
      <x:c r="B36" s="12"/>
      <x:c r="C36" s="12"/>
      <x:c r="D36" s="13"/>
      <x:c r="E36" s="12"/>
      <x:c r="F36" s="12"/>
      <x:c r="G36" s="13"/>
      <x:c r="H36" s="12"/>
      <x:c r="I36" s="12"/>
      <x:c r="J36" s="14"/>
      <x:c r="K36" s="13"/>
      <x:c r="L36" s="12"/>
      <x:c r="M36" s="12"/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2627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2628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COUNTA(A9:A33)</x:f>
        <x:v>25</x:v>
      </x:c>
      <x:c r="D4" s="6" t="s">
        <x:v>143</x:v>
      </x:c>
      <x:c r="E4" s="7" t="n">
        <x:f aca="0">SUM(M9:M33)</x:f>
        <x:v>21</x:v>
      </x:c>
      <x:c r="G4" s="6" t="s">
        <x:v>13</x:v>
      </x:c>
      <x:c r="H4" s="8" t="n">
        <x:f aca="0">IF(B4=0,0,E4/B4)</x:f>
        <x:v>0.84</x:v>
      </x:c>
      <x:c r="J4" s="6" t="s">
        <x:v>14</x:v>
      </x:c>
      <x:c r="K4" s="7" t="str">
        <x:f aca="0">IF(COUNTIFS(E9:E33,"package",M9:M33,0)&gt;0,"open","complete")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IF(COUNTIFS(I9:I33,"yes",M9:M33,0)&gt;0,"open","complete")</x:f>
        <x:v>open</x:v>
      </x:c>
      <x:c r="D5" s="6" t="s">
        <x:v>15</x:v>
      </x:c>
      <x:c r="E5" s="7" t="str">
        <x:f aca="0">IF(COUNTIFS(E9:E33,"consumer",M9:M33,0)&gt;0,"open","complete")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2629</x:v>
      </x:c>
      <x:c r="B9" s="12" t="s">
        <x:v>117</x:v>
      </x:c>
      <x:c r="C9" s="12" t="s">
        <x:v>1265</x:v>
      </x:c>
      <x:c r="D9" s="13" t="s">
        <x:v>2630</x:v>
      </x:c>
      <x:c r="E9" s="12" t="s">
        <x:v>160</x:v>
      </x:c>
      <x:c r="F9" s="12" t="s">
        <x:v>161</x:v>
      </x:c>
      <x:c r="G9" s="13" t="s">
        <x:v>2631</x:v>
      </x:c>
      <x:c r="H9" s="12" t="s">
        <x:v>125</x:v>
      </x:c>
      <x:c r="I9" s="12" t="s">
        <x:v>140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2632</x:v>
      </x:c>
      <x:c r="B10" s="12" t="s">
        <x:v>2472</x:v>
      </x:c>
      <x:c r="C10" s="12" t="s">
        <x:v>1265</x:v>
      </x:c>
      <x:c r="D10" s="13" t="s">
        <x:v>2633</x:v>
      </x:c>
      <x:c r="E10" s="12" t="s">
        <x:v>160</x:v>
      </x:c>
      <x:c r="F10" s="12" t="s">
        <x:v>180</x:v>
      </x:c>
      <x:c r="G10" s="13" t="s">
        <x:v>2634</x:v>
      </x:c>
      <x:c r="H10" s="12" t="s">
        <x:v>125</x:v>
      </x:c>
      <x:c r="I10" s="12" t="s">
        <x:v>140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2635</x:v>
      </x:c>
      <x:c r="B11" s="12" t="s">
        <x:v>1423</x:v>
      </x:c>
      <x:c r="C11" s="12" t="s">
        <x:v>1265</x:v>
      </x:c>
      <x:c r="D11" s="13" t="s">
        <x:v>2636</x:v>
      </x:c>
      <x:c r="E11" s="12" t="s">
        <x:v>160</x:v>
      </x:c>
      <x:c r="F11" s="12" t="s">
        <x:v>180</x:v>
      </x:c>
      <x:c r="G11" s="13" t="s">
        <x:v>2634</x:v>
      </x:c>
      <x:c r="H11" s="12" t="s">
        <x:v>125</x:v>
      </x:c>
      <x:c r="I11" s="12" t="s">
        <x:v>140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2637</x:v>
      </x:c>
      <x:c r="B12" s="12" t="s">
        <x:v>168</x:v>
      </x:c>
      <x:c r="C12" s="12" t="s">
        <x:v>2481</x:v>
      </x:c>
      <x:c r="D12" s="13" t="s">
        <x:v>2638</x:v>
      </x:c>
      <x:c r="E12" s="12" t="s">
        <x:v>160</x:v>
      </x:c>
      <x:c r="F12" s="12" t="s">
        <x:v>170</x:v>
      </x:c>
      <x:c r="G12" s="13" t="s">
        <x:v>2639</x:v>
      </x:c>
      <x:c r="H12" s="12" t="s">
        <x:v>125</x:v>
      </x:c>
      <x:c r="I12" s="12" t="s">
        <x:v>140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2640</x:v>
      </x:c>
      <x:c r="B13" s="12" t="s">
        <x:v>164</x:v>
      </x:c>
      <x:c r="C13" s="12" t="s">
        <x:v>1265</x:v>
      </x:c>
      <x:c r="D13" s="13" t="s">
        <x:v>2641</x:v>
      </x:c>
      <x:c r="E13" s="12" t="s">
        <x:v>160</x:v>
      </x:c>
      <x:c r="F13" s="12" t="s">
        <x:v>160</x:v>
      </x:c>
      <x:c r="G13" s="13" t="s">
        <x:v>166</x:v>
      </x:c>
      <x:c r="H13" s="12" t="s">
        <x:v>125</x:v>
      </x:c>
      <x:c r="I13" s="12" t="s">
        <x:v>140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2642</x:v>
      </x:c>
      <x:c r="B14" s="12" t="s">
        <x:v>1391</x:v>
      </x:c>
      <x:c r="C14" s="12" t="s">
        <x:v>1265</x:v>
      </x:c>
      <x:c r="D14" s="13" t="s">
        <x:v>2643</x:v>
      </x:c>
      <x:c r="E14" s="12" t="s">
        <x:v>160</x:v>
      </x:c>
      <x:c r="F14" s="12" t="s">
        <x:v>160</x:v>
      </x:c>
      <x:c r="G14" s="13" t="s">
        <x:v>1393</x:v>
      </x:c>
      <x:c r="H14" s="12" t="s">
        <x:v>125</x:v>
      </x:c>
      <x:c r="I14" s="12" t="s">
        <x:v>140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2644</x:v>
      </x:c>
      <x:c r="B15" s="12" t="s">
        <x:v>1649</x:v>
      </x:c>
      <x:c r="C15" s="12" t="s">
        <x:v>827</x:v>
      </x:c>
      <x:c r="D15" s="13" t="s">
        <x:v>2645</x:v>
      </x:c>
      <x:c r="E15" s="12" t="s">
        <x:v>160</x:v>
      </x:c>
      <x:c r="F15" s="12" t="s">
        <x:v>180</x:v>
      </x:c>
      <x:c r="G15" s="13" t="s">
        <x:v>2634</x:v>
      </x:c>
      <x:c r="H15" s="12" t="s">
        <x:v>125</x:v>
      </x:c>
      <x:c r="I15" s="12" t="s">
        <x:v>140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2646</x:v>
      </x:c>
      <x:c r="B16" s="12" t="s">
        <x:v>1213</x:v>
      </x:c>
      <x:c r="C16" s="12" t="s">
        <x:v>827</x:v>
      </x:c>
      <x:c r="D16" s="13" t="s">
        <x:v>2647</x:v>
      </x:c>
      <x:c r="E16" s="12" t="s">
        <x:v>160</x:v>
      </x:c>
      <x:c r="F16" s="12" t="s">
        <x:v>185</x:v>
      </x:c>
      <x:c r="G16" s="13" t="s">
        <x:v>2648</x:v>
      </x:c>
      <x:c r="H16" s="12" t="s">
        <x:v>125</x:v>
      </x:c>
      <x:c r="I16" s="12" t="s">
        <x:v>140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2649</x:v>
      </x:c>
      <x:c r="B17" s="12" t="s">
        <x:v>2650</x:v>
      </x:c>
      <x:c r="C17" s="12" t="s">
        <x:v>2651</x:v>
      </x:c>
      <x:c r="D17" s="13" t="s">
        <x:v>2652</x:v>
      </x:c>
      <x:c r="E17" s="12" t="s">
        <x:v>160</x:v>
      </x:c>
      <x:c r="F17" s="12" t="s">
        <x:v>180</x:v>
      </x:c>
      <x:c r="G17" s="13" t="s">
        <x:v>2634</x:v>
      </x:c>
      <x:c r="H17" s="12" t="s">
        <x:v>125</x:v>
      </x:c>
      <x:c r="I17" s="12" t="s">
        <x:v>140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2653</x:v>
      </x:c>
      <x:c r="B18" s="12" t="s">
        <x:v>1254</x:v>
      </x:c>
      <x:c r="C18" s="12" t="s">
        <x:v>2654</x:v>
      </x:c>
      <x:c r="D18" s="13" t="s">
        <x:v>2655</x:v>
      </x:c>
      <x:c r="E18" s="12" t="s">
        <x:v>160</x:v>
      </x:c>
      <x:c r="F18" s="12" t="s">
        <x:v>185</x:v>
      </x:c>
      <x:c r="G18" s="13" t="s">
        <x:v>2648</x:v>
      </x:c>
      <x:c r="H18" s="12" t="s">
        <x:v>125</x:v>
      </x:c>
      <x:c r="I18" s="12" t="s">
        <x:v>140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2656</x:v>
      </x:c>
      <x:c r="B19" s="12" t="s">
        <x:v>2657</x:v>
      </x:c>
      <x:c r="C19" s="12" t="s">
        <x:v>2654</x:v>
      </x:c>
      <x:c r="D19" s="13" t="s">
        <x:v>2658</x:v>
      </x:c>
      <x:c r="E19" s="12" t="s">
        <x:v>160</x:v>
      </x:c>
      <x:c r="F19" s="12" t="s">
        <x:v>185</x:v>
      </x:c>
      <x:c r="G19" s="13" t="s">
        <x:v>2648</x:v>
      </x:c>
      <x:c r="H19" s="12" t="s">
        <x:v>125</x:v>
      </x:c>
      <x:c r="I19" s="12" t="s">
        <x:v>140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2659</x:v>
      </x:c>
      <x:c r="B20" s="12" t="s">
        <x:v>2660</x:v>
      </x:c>
      <x:c r="C20" s="12" t="s">
        <x:v>2661</x:v>
      </x:c>
      <x:c r="D20" s="13" t="s">
        <x:v>2662</x:v>
      </x:c>
      <x:c r="E20" s="12" t="s">
        <x:v>160</x:v>
      </x:c>
      <x:c r="F20" s="12" t="s">
        <x:v>185</x:v>
      </x:c>
      <x:c r="G20" s="13" t="s">
        <x:v>2648</x:v>
      </x:c>
      <x:c r="H20" s="12" t="s">
        <x:v>125</x:v>
      </x:c>
      <x:c r="I20" s="12" t="s">
        <x:v>140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2663</x:v>
      </x:c>
      <x:c r="B21" s="12" t="s">
        <x:v>188</x:v>
      </x:c>
      <x:c r="C21" s="12" t="s">
        <x:v>1265</x:v>
      </x:c>
      <x:c r="D21" s="13" t="s">
        <x:v>2664</x:v>
      </x:c>
      <x:c r="E21" s="12" t="s">
        <x:v>160</x:v>
      </x:c>
      <x:c r="F21" s="12" t="s">
        <x:v>185</x:v>
      </x:c>
      <x:c r="G21" s="13" t="s">
        <x:v>2648</x:v>
      </x:c>
      <x:c r="H21" s="12" t="s">
        <x:v>125</x:v>
      </x:c>
      <x:c r="I21" s="12" t="s">
        <x:v>140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2665</x:v>
      </x:c>
      <x:c r="B22" s="12" t="s">
        <x:v>199</x:v>
      </x:c>
      <x:c r="C22" s="12" t="s">
        <x:v>2666</x:v>
      </x:c>
      <x:c r="D22" s="13" t="s">
        <x:v>2667</x:v>
      </x:c>
      <x:c r="E22" s="12" t="s">
        <x:v>160</x:v>
      </x:c>
      <x:c r="F22" s="12" t="s">
        <x:v>185</x:v>
      </x:c>
      <x:c r="G22" s="13" t="s">
        <x:v>2648</x:v>
      </x:c>
      <x:c r="H22" s="12" t="s">
        <x:v>125</x:v>
      </x:c>
      <x:c r="I22" s="12" t="s">
        <x:v>140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2668</x:v>
      </x:c>
      <x:c r="B23" s="12" t="s">
        <x:v>93</x:v>
      </x:c>
      <x:c r="C23" s="12" t="s">
        <x:v>1265</x:v>
      </x:c>
      <x:c r="D23" s="13" t="s">
        <x:v>2669</x:v>
      </x:c>
      <x:c r="E23" s="12" t="s">
        <x:v>160</x:v>
      </x:c>
      <x:c r="F23" s="12" t="s">
        <x:v>195</x:v>
      </x:c>
      <x:c r="G23" s="13" t="s">
        <x:v>2670</x:v>
      </x:c>
      <x:c r="H23" s="12" t="s">
        <x:v>123</x:v>
      </x:c>
      <x:c r="I23" s="12" t="s">
        <x:v>139</x:v>
      </x:c>
      <x:c r="J23" s="14" t="n">
        <x:v>46231</x:v>
      </x:c>
      <x:c r="K23" s="13" t="s">
        <x:v>2671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2672</x:v>
      </x:c>
      <x:c r="B24" s="12" t="s">
        <x:v>2553</x:v>
      </x:c>
      <x:c r="C24" s="12" t="s">
        <x:v>2654</x:v>
      </x:c>
      <x:c r="D24" s="13" t="s">
        <x:v>2673</x:v>
      </x:c>
      <x:c r="E24" s="12" t="s">
        <x:v>160</x:v>
      </x:c>
      <x:c r="F24" s="12" t="s">
        <x:v>201</x:v>
      </x:c>
      <x:c r="G24" s="13" t="s">
        <x:v>2674</x:v>
      </x:c>
      <x:c r="H24" s="12" t="s">
        <x:v>123</x:v>
      </x:c>
      <x:c r="I24" s="12" t="s">
        <x:v>139</x:v>
      </x:c>
      <x:c r="J24" s="14" t="n">
        <x:v>46231</x:v>
      </x:c>
      <x:c r="K24" s="13" t="s">
        <x:v>2675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2676</x:v>
      </x:c>
      <x:c r="B25" s="12" t="s">
        <x:v>193</x:v>
      </x:c>
      <x:c r="C25" s="12" t="s">
        <x:v>1265</x:v>
      </x:c>
      <x:c r="D25" s="13" t="s">
        <x:v>2677</x:v>
      </x:c>
      <x:c r="E25" s="12" t="s">
        <x:v>160</x:v>
      </x:c>
      <x:c r="F25" s="12" t="s">
        <x:v>195</x:v>
      </x:c>
      <x:c r="G25" s="13" t="s">
        <x:v>2670</x:v>
      </x:c>
      <x:c r="H25" s="12" t="s">
        <x:v>123</x:v>
      </x:c>
      <x:c r="I25" s="12" t="s">
        <x:v>139</x:v>
      </x:c>
      <x:c r="J25" s="14" t="n">
        <x:v>46231</x:v>
      </x:c>
      <x:c r="K25" s="13" t="s">
        <x:v>2678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2679</x:v>
      </x:c>
      <x:c r="B26" s="12" t="s">
        <x:v>1604</x:v>
      </x:c>
      <x:c r="C26" s="12" t="s">
        <x:v>2680</x:v>
      </x:c>
      <x:c r="D26" s="13" t="s">
        <x:v>2681</x:v>
      </x:c>
      <x:c r="E26" s="12" t="s">
        <x:v>160</x:v>
      </x:c>
      <x:c r="F26" s="12" t="s">
        <x:v>180</x:v>
      </x:c>
      <x:c r="G26" s="13" t="s">
        <x:v>2634</x:v>
      </x:c>
      <x:c r="H26" s="12" t="s">
        <x:v>125</x:v>
      </x:c>
      <x:c r="I26" s="12" t="s">
        <x:v>140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2682</x:v>
      </x:c>
      <x:c r="B27" s="12" t="s">
        <x:v>2459</x:v>
      </x:c>
      <x:c r="C27" s="12" t="s">
        <x:v>2683</x:v>
      </x:c>
      <x:c r="D27" s="13" t="s">
        <x:v>2684</x:v>
      </x:c>
      <x:c r="E27" s="12" t="s">
        <x:v>160</x:v>
      </x:c>
      <x:c r="F27" s="12" t="s">
        <x:v>2685</x:v>
      </x:c>
      <x:c r="G27" s="13" t="s">
        <x:v>2686</x:v>
      </x:c>
      <x:c r="H27" s="12" t="s">
        <x:v>125</x:v>
      </x:c>
      <x:c r="I27" s="12" t="s">
        <x:v>140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2687</x:v>
      </x:c>
      <x:c r="B28" s="12" t="s">
        <x:v>220</x:v>
      </x:c>
      <x:c r="C28" s="12" t="s">
        <x:v>2688</x:v>
      </x:c>
      <x:c r="D28" s="13" t="s">
        <x:v>2689</x:v>
      </x:c>
      <x:c r="E28" s="12" t="s">
        <x:v>160</x:v>
      </x:c>
      <x:c r="F28" s="12" t="s">
        <x:v>2685</x:v>
      </x:c>
      <x:c r="G28" s="13" t="s">
        <x:v>2690</x:v>
      </x:c>
      <x:c r="H28" s="12" t="s">
        <x:v>125</x:v>
      </x:c>
      <x:c r="I28" s="12" t="s">
        <x:v>140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2691</x:v>
      </x:c>
      <x:c r="B29" s="12" t="s">
        <x:v>646</x:v>
      </x:c>
      <x:c r="C29" s="12" t="s">
        <x:v>1265</x:v>
      </x:c>
      <x:c r="D29" s="13" t="s">
        <x:v>2692</x:v>
      </x:c>
      <x:c r="E29" s="12" t="s">
        <x:v>160</x:v>
      </x:c>
      <x:c r="F29" s="12" t="s">
        <x:v>648</x:v>
      </x:c>
      <x:c r="G29" s="13" t="s">
        <x:v>2693</x:v>
      </x:c>
      <x:c r="H29" s="12" t="s">
        <x:v>125</x:v>
      </x:c>
      <x:c r="I29" s="12" t="s">
        <x:v>140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2694</x:v>
      </x:c>
      <x:c r="B30" s="12" t="s">
        <x:v>212</x:v>
      </x:c>
      <x:c r="C30" s="12" t="s">
        <x:v>1265</x:v>
      </x:c>
      <x:c r="D30" s="13" t="s">
        <x:v>2695</x:v>
      </x:c>
      <x:c r="E30" s="12" t="s">
        <x:v>160</x:v>
      </x:c>
      <x:c r="F30" s="12" t="s">
        <x:v>201</x:v>
      </x:c>
      <x:c r="G30" s="13" t="s">
        <x:v>2674</x:v>
      </x:c>
      <x:c r="H30" s="12" t="s">
        <x:v>119</x:v>
      </x:c>
      <x:c r="I30" s="12" t="s">
        <x:v>139</x:v>
      </x:c>
      <x:c r="J30" s="14" t="n">
        <x:v>46231</x:v>
      </x:c>
      <x:c r="K30" s="13" t="s">
        <x:v>2696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2697</x:v>
      </x:c>
      <x:c r="B31" s="12" t="s">
        <x:v>224</x:v>
      </x:c>
      <x:c r="C31" s="12" t="s">
        <x:v>2698</x:v>
      </x:c>
      <x:c r="D31" s="13" t="s">
        <x:v>2699</x:v>
      </x:c>
      <x:c r="E31" s="12" t="s">
        <x:v>226</x:v>
      </x:c>
      <x:c r="F31" s="12" t="s">
        <x:v>226</x:v>
      </x:c>
      <x:c r="G31" s="13" t="s">
        <x:v>227</x:v>
      </x:c>
      <x:c r="H31" s="12" t="s">
        <x:v>125</x:v>
      </x:c>
      <x:c r="I31" s="12" t="s">
        <x:v>140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2700</x:v>
      </x:c>
      <x:c r="B32" s="12" t="s">
        <x:v>229</x:v>
      </x:c>
      <x:c r="C32" s="12" t="s">
        <x:v>2701</x:v>
      </x:c>
      <x:c r="D32" s="13" t="s">
        <x:v>2702</x:v>
      </x:c>
      <x:c r="E32" s="12" t="s">
        <x:v>160</x:v>
      </x:c>
      <x:c r="F32" s="12" t="s">
        <x:v>160</x:v>
      </x:c>
      <x:c r="G32" s="13" t="s">
        <x:v>231</x:v>
      </x:c>
      <x:c r="H32" s="12" t="s">
        <x:v>125</x:v>
      </x:c>
      <x:c r="I32" s="12" t="s">
        <x:v>140</x:v>
      </x:c>
      <x:c r="J32" s="14" t="n">
        <x:v>46231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2703</x:v>
      </x:c>
      <x:c r="B33" s="12" t="s">
        <x:v>2704</x:v>
      </x:c>
      <x:c r="C33" s="12" t="s">
        <x:v>1265</x:v>
      </x:c>
      <x:c r="D33" s="13" t="s">
        <x:v>2705</x:v>
      </x:c>
      <x:c r="E33" s="12" t="s">
        <x:v>160</x:v>
      </x:c>
      <x:c r="F33" s="12" t="s">
        <x:v>2685</x:v>
      </x:c>
      <x:c r="G33" s="13" t="s">
        <x:v>2686</x:v>
      </x:c>
      <x:c r="H33" s="12" t="s">
        <x:v>125</x:v>
      </x:c>
      <x:c r="I33" s="12" t="s">
        <x:v>140</x:v>
      </x:c>
      <x:c r="J33" s="14" t="n">
        <x:v>46231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/>
    <x:row r="35" s="4" customFormat="1" ht="54" hidden="0" customHeight="1"/>
    <x:row r="36" s="4" customFormat="1" ht="54" hidden="0" customHeight="1"/>
    <x:row r="37" s="4" customFormat="1" ht="54" hidden="0" customHeight="1"/>
    <x:row r="38" s="4" customFormat="1" ht="54" hidden="0" customHeight="1"/>
    <x:row r="39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3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3">
      <x:formula1>"yes,no"</x:formula1>
      <x:formula2>0</x:formula2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2706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2707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COUNTA(A9:A34)</x:f>
        <x:v>26</x:v>
      </x:c>
      <x:c r="D4" s="6" t="s">
        <x:v>143</x:v>
      </x:c>
      <x:c r="E4" s="7" t="n">
        <x:f aca="0">SUM(M9:M34)</x:f>
        <x:v>22</x:v>
      </x:c>
      <x:c r="G4" s="6" t="s">
        <x:v>13</x:v>
      </x:c>
      <x:c r="H4" s="8" t="n">
        <x:f aca="0">IF(B4=0,0,E4/B4)</x:f>
        <x:v>0.8461538461538461</x:v>
      </x:c>
      <x:c r="J4" s="6" t="s">
        <x:v>14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IF(COUNTIFS(I9:I34,"yes",M9:M34,0)&gt;0,"open","complete")</x:f>
        <x:v>open</x:v>
      </x:c>
      <x:c r="D5" s="6" t="s">
        <x:v>15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2708</x:v>
      </x:c>
      <x:c r="B9" s="12" t="s">
        <x:v>117</x:v>
      </x:c>
      <x:c r="C9" s="12" t="s">
        <x:v>1265</x:v>
      </x:c>
      <x:c r="D9" s="13" t="s">
        <x:v>2709</x:v>
      </x:c>
      <x:c r="E9" s="12" t="s">
        <x:v>160</x:v>
      </x:c>
      <x:c r="F9" s="12" t="s">
        <x:v>161</x:v>
      </x:c>
      <x:c r="G9" s="13" t="s">
        <x:v>2710</x:v>
      </x:c>
      <x:c r="H9" s="12" t="s">
        <x:v>125</x:v>
      </x:c>
      <x:c r="I9" s="12" t="s">
        <x:v>140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2711</x:v>
      </x:c>
      <x:c r="B10" s="12" t="s">
        <x:v>2472</x:v>
      </x:c>
      <x:c r="C10" s="12" t="s">
        <x:v>1265</x:v>
      </x:c>
      <x:c r="D10" s="13" t="s">
        <x:v>2712</x:v>
      </x:c>
      <x:c r="E10" s="12" t="s">
        <x:v>160</x:v>
      </x:c>
      <x:c r="F10" s="12" t="s">
        <x:v>180</x:v>
      </x:c>
      <x:c r="G10" s="13" t="s">
        <x:v>2713</x:v>
      </x:c>
      <x:c r="H10" s="12" t="s">
        <x:v>125</x:v>
      </x:c>
      <x:c r="I10" s="12" t="s">
        <x:v>140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2714</x:v>
      </x:c>
      <x:c r="B11" s="12" t="s">
        <x:v>1423</x:v>
      </x:c>
      <x:c r="C11" s="12" t="s">
        <x:v>1265</x:v>
      </x:c>
      <x:c r="D11" s="13" t="s">
        <x:v>2715</x:v>
      </x:c>
      <x:c r="E11" s="12" t="s">
        <x:v>160</x:v>
      </x:c>
      <x:c r="F11" s="12" t="s">
        <x:v>180</x:v>
      </x:c>
      <x:c r="G11" s="13" t="s">
        <x:v>2713</x:v>
      </x:c>
      <x:c r="H11" s="12" t="s">
        <x:v>125</x:v>
      </x:c>
      <x:c r="I11" s="12" t="s">
        <x:v>140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2716</x:v>
      </x:c>
      <x:c r="B12" s="12" t="s">
        <x:v>168</x:v>
      </x:c>
      <x:c r="C12" s="12" t="s">
        <x:v>2481</x:v>
      </x:c>
      <x:c r="D12" s="13" t="s">
        <x:v>2717</x:v>
      </x:c>
      <x:c r="E12" s="12" t="s">
        <x:v>160</x:v>
      </x:c>
      <x:c r="F12" s="12" t="s">
        <x:v>170</x:v>
      </x:c>
      <x:c r="G12" s="13" t="s">
        <x:v>2718</x:v>
      </x:c>
      <x:c r="H12" s="12" t="s">
        <x:v>125</x:v>
      </x:c>
      <x:c r="I12" s="12" t="s">
        <x:v>140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2719</x:v>
      </x:c>
      <x:c r="B13" s="12" t="s">
        <x:v>164</x:v>
      </x:c>
      <x:c r="C13" s="12" t="s">
        <x:v>1265</x:v>
      </x:c>
      <x:c r="D13" s="13" t="s">
        <x:v>2720</x:v>
      </x:c>
      <x:c r="E13" s="12" t="s">
        <x:v>160</x:v>
      </x:c>
      <x:c r="F13" s="12" t="s">
        <x:v>160</x:v>
      </x:c>
      <x:c r="G13" s="13" t="s">
        <x:v>166</x:v>
      </x:c>
      <x:c r="H13" s="12" t="s">
        <x:v>125</x:v>
      </x:c>
      <x:c r="I13" s="12" t="s">
        <x:v>140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2721</x:v>
      </x:c>
      <x:c r="B14" s="12" t="s">
        <x:v>1391</x:v>
      </x:c>
      <x:c r="C14" s="12" t="s">
        <x:v>2722</x:v>
      </x:c>
      <x:c r="D14" s="13" t="s">
        <x:v>2723</x:v>
      </x:c>
      <x:c r="E14" s="12" t="s">
        <x:v>160</x:v>
      </x:c>
      <x:c r="F14" s="12" t="s">
        <x:v>160</x:v>
      </x:c>
      <x:c r="G14" s="13" t="s">
        <x:v>1393</x:v>
      </x:c>
      <x:c r="H14" s="12" t="s">
        <x:v>125</x:v>
      </x:c>
      <x:c r="I14" s="12" t="s">
        <x:v>140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2724</x:v>
      </x:c>
      <x:c r="B15" s="12" t="s">
        <x:v>1649</x:v>
      </x:c>
      <x:c r="C15" s="12" t="s">
        <x:v>2725</x:v>
      </x:c>
      <x:c r="D15" s="13" t="s">
        <x:v>2726</x:v>
      </x:c>
      <x:c r="E15" s="12" t="s">
        <x:v>160</x:v>
      </x:c>
      <x:c r="F15" s="12" t="s">
        <x:v>180</x:v>
      </x:c>
      <x:c r="G15" s="13" t="s">
        <x:v>2713</x:v>
      </x:c>
      <x:c r="H15" s="12" t="s">
        <x:v>125</x:v>
      </x:c>
      <x:c r="I15" s="12" t="s">
        <x:v>140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2727</x:v>
      </x:c>
      <x:c r="B16" s="12" t="s">
        <x:v>1213</x:v>
      </x:c>
      <x:c r="C16" s="12" t="s">
        <x:v>827</x:v>
      </x:c>
      <x:c r="D16" s="13" t="s">
        <x:v>2728</x:v>
      </x:c>
      <x:c r="E16" s="12" t="s">
        <x:v>160</x:v>
      </x:c>
      <x:c r="F16" s="12" t="s">
        <x:v>185</x:v>
      </x:c>
      <x:c r="G16" s="13" t="s">
        <x:v>2729</x:v>
      </x:c>
      <x:c r="H16" s="12" t="s">
        <x:v>125</x:v>
      </x:c>
      <x:c r="I16" s="12" t="s">
        <x:v>140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2730</x:v>
      </x:c>
      <x:c r="B17" s="12" t="s">
        <x:v>2731</x:v>
      </x:c>
      <x:c r="C17" s="12" t="s">
        <x:v>2722</x:v>
      </x:c>
      <x:c r="D17" s="13" t="s">
        <x:v>2732</x:v>
      </x:c>
      <x:c r="E17" s="12" t="s">
        <x:v>160</x:v>
      </x:c>
      <x:c r="F17" s="12" t="s">
        <x:v>185</x:v>
      </x:c>
      <x:c r="G17" s="13" t="s">
        <x:v>2733</x:v>
      </x:c>
      <x:c r="H17" s="12" t="s">
        <x:v>125</x:v>
      </x:c>
      <x:c r="I17" s="12" t="s">
        <x:v>140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2734</x:v>
      </x:c>
      <x:c r="B18" s="12" t="s">
        <x:v>1991</x:v>
      </x:c>
      <x:c r="C18" s="12" t="s">
        <x:v>2735</x:v>
      </x:c>
      <x:c r="D18" s="13" t="s">
        <x:v>2736</x:v>
      </x:c>
      <x:c r="E18" s="12" t="s">
        <x:v>160</x:v>
      </x:c>
      <x:c r="F18" s="12" t="s">
        <x:v>185</x:v>
      </x:c>
      <x:c r="G18" s="13" t="s">
        <x:v>2733</x:v>
      </x:c>
      <x:c r="H18" s="12" t="s">
        <x:v>125</x:v>
      </x:c>
      <x:c r="I18" s="12" t="s">
        <x:v>140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2737</x:v>
      </x:c>
      <x:c r="B19" s="12" t="s">
        <x:v>2597</x:v>
      </x:c>
      <x:c r="C19" s="12" t="s">
        <x:v>2738</x:v>
      </x:c>
      <x:c r="D19" s="13" t="s">
        <x:v>2739</x:v>
      </x:c>
      <x:c r="E19" s="12" t="s">
        <x:v>160</x:v>
      </x:c>
      <x:c r="F19" s="12" t="s">
        <x:v>185</x:v>
      </x:c>
      <x:c r="G19" s="13" t="s">
        <x:v>2729</x:v>
      </x:c>
      <x:c r="H19" s="12" t="s">
        <x:v>125</x:v>
      </x:c>
      <x:c r="I19" s="12" t="s">
        <x:v>140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2740</x:v>
      </x:c>
      <x:c r="B20" s="12" t="s">
        <x:v>2595</x:v>
      </x:c>
      <x:c r="C20" s="12" t="s">
        <x:v>2741</x:v>
      </x:c>
      <x:c r="D20" s="13" t="s">
        <x:v>2742</x:v>
      </x:c>
      <x:c r="E20" s="12" t="s">
        <x:v>160</x:v>
      </x:c>
      <x:c r="F20" s="12" t="s">
        <x:v>180</x:v>
      </x:c>
      <x:c r="G20" s="13" t="s">
        <x:v>2713</x:v>
      </x:c>
      <x:c r="H20" s="12" t="s">
        <x:v>125</x:v>
      </x:c>
      <x:c r="I20" s="12" t="s">
        <x:v>140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2743</x:v>
      </x:c>
      <x:c r="B21" s="12" t="s">
        <x:v>1662</x:v>
      </x:c>
      <x:c r="C21" s="12" t="s">
        <x:v>2744</x:v>
      </x:c>
      <x:c r="D21" s="13" t="s">
        <x:v>2745</x:v>
      </x:c>
      <x:c r="E21" s="12" t="s">
        <x:v>160</x:v>
      </x:c>
      <x:c r="F21" s="12" t="s">
        <x:v>185</x:v>
      </x:c>
      <x:c r="G21" s="13" t="s">
        <x:v>2729</x:v>
      </x:c>
      <x:c r="H21" s="12" t="s">
        <x:v>125</x:v>
      </x:c>
      <x:c r="I21" s="12" t="s">
        <x:v>140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2746</x:v>
      </x:c>
      <x:c r="B22" s="12" t="s">
        <x:v>199</x:v>
      </x:c>
      <x:c r="C22" s="12" t="s">
        <x:v>41</x:v>
      </x:c>
      <x:c r="D22" s="13" t="s">
        <x:v>2747</x:v>
      </x:c>
      <x:c r="E22" s="12" t="s">
        <x:v>160</x:v>
      </x:c>
      <x:c r="F22" s="12" t="s">
        <x:v>185</x:v>
      </x:c>
      <x:c r="G22" s="13" t="s">
        <x:v>2729</x:v>
      </x:c>
      <x:c r="H22" s="12" t="s">
        <x:v>125</x:v>
      </x:c>
      <x:c r="I22" s="12" t="s">
        <x:v>140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2748</x:v>
      </x:c>
      <x:c r="B23" s="12" t="s">
        <x:v>2604</x:v>
      </x:c>
      <x:c r="C23" s="12" t="s">
        <x:v>1265</x:v>
      </x:c>
      <x:c r="D23" s="13" t="s">
        <x:v>2749</x:v>
      </x:c>
      <x:c r="E23" s="12" t="s">
        <x:v>160</x:v>
      </x:c>
      <x:c r="F23" s="12" t="s">
        <x:v>195</x:v>
      </x:c>
      <x:c r="G23" s="13" t="s">
        <x:v>2750</x:v>
      </x:c>
      <x:c r="H23" s="12" t="s">
        <x:v>123</x:v>
      </x:c>
      <x:c r="I23" s="12" t="s">
        <x:v>139</x:v>
      </x:c>
      <x:c r="J23" s="14" t="n">
        <x:v>46231</x:v>
      </x:c>
      <x:c r="K23" s="13" t="s">
        <x:v>2671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2751</x:v>
      </x:c>
      <x:c r="B24" s="12" t="s">
        <x:v>93</x:v>
      </x:c>
      <x:c r="C24" s="12" t="s">
        <x:v>1265</x:v>
      </x:c>
      <x:c r="D24" s="13" t="s">
        <x:v>2752</x:v>
      </x:c>
      <x:c r="E24" s="12" t="s">
        <x:v>160</x:v>
      </x:c>
      <x:c r="F24" s="12" t="s">
        <x:v>195</x:v>
      </x:c>
      <x:c r="G24" s="13" t="s">
        <x:v>2750</x:v>
      </x:c>
      <x:c r="H24" s="12" t="s">
        <x:v>123</x:v>
      </x:c>
      <x:c r="I24" s="12" t="s">
        <x:v>139</x:v>
      </x:c>
      <x:c r="J24" s="14" t="n">
        <x:v>46231</x:v>
      </x:c>
      <x:c r="K24" s="13" t="s">
        <x:v>2671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2753</x:v>
      </x:c>
      <x:c r="B25" s="12" t="s">
        <x:v>193</x:v>
      </x:c>
      <x:c r="C25" s="12" t="s">
        <x:v>1265</x:v>
      </x:c>
      <x:c r="D25" s="13" t="s">
        <x:v>2754</x:v>
      </x:c>
      <x:c r="E25" s="12" t="s">
        <x:v>160</x:v>
      </x:c>
      <x:c r="F25" s="12" t="s">
        <x:v>195</x:v>
      </x:c>
      <x:c r="G25" s="13" t="s">
        <x:v>2750</x:v>
      </x:c>
      <x:c r="H25" s="12" t="s">
        <x:v>123</x:v>
      </x:c>
      <x:c r="I25" s="12" t="s">
        <x:v>139</x:v>
      </x:c>
      <x:c r="J25" s="14" t="n">
        <x:v>46231</x:v>
      </x:c>
      <x:c r="K25" s="13" t="s">
        <x:v>2755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2756</x:v>
      </x:c>
      <x:c r="B26" s="12" t="s">
        <x:v>1604</x:v>
      </x:c>
      <x:c r="C26" s="12" t="s">
        <x:v>1265</x:v>
      </x:c>
      <x:c r="D26" s="13" t="s">
        <x:v>2757</x:v>
      </x:c>
      <x:c r="E26" s="12" t="s">
        <x:v>160</x:v>
      </x:c>
      <x:c r="F26" s="12" t="s">
        <x:v>180</x:v>
      </x:c>
      <x:c r="G26" s="13" t="s">
        <x:v>2758</x:v>
      </x:c>
      <x:c r="H26" s="12" t="s">
        <x:v>125</x:v>
      </x:c>
      <x:c r="I26" s="12" t="s">
        <x:v>140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2759</x:v>
      </x:c>
      <x:c r="B27" s="12" t="s">
        <x:v>188</x:v>
      </x:c>
      <x:c r="C27" s="12" t="s">
        <x:v>1265</x:v>
      </x:c>
      <x:c r="D27" s="13" t="s">
        <x:v>2760</x:v>
      </x:c>
      <x:c r="E27" s="12" t="s">
        <x:v>160</x:v>
      </x:c>
      <x:c r="F27" s="12" t="s">
        <x:v>190</x:v>
      </x:c>
      <x:c r="G27" s="13" t="s">
        <x:v>2729</x:v>
      </x:c>
      <x:c r="H27" s="12" t="s">
        <x:v>125</x:v>
      </x:c>
      <x:c r="I27" s="12" t="s">
        <x:v>140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2761</x:v>
      </x:c>
      <x:c r="B28" s="12" t="s">
        <x:v>646</x:v>
      </x:c>
      <x:c r="C28" s="12" t="s">
        <x:v>1265</x:v>
      </x:c>
      <x:c r="D28" s="13" t="s">
        <x:v>2762</x:v>
      </x:c>
      <x:c r="E28" s="12" t="s">
        <x:v>160</x:v>
      </x:c>
      <x:c r="F28" s="12" t="s">
        <x:v>648</x:v>
      </x:c>
      <x:c r="G28" s="13" t="s">
        <x:v>2763</x:v>
      </x:c>
      <x:c r="H28" s="12" t="s">
        <x:v>125</x:v>
      </x:c>
      <x:c r="I28" s="12" t="s">
        <x:v>140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2764</x:v>
      </x:c>
      <x:c r="B29" s="12" t="s">
        <x:v>2459</x:v>
      </x:c>
      <x:c r="C29" s="12" t="s">
        <x:v>2683</x:v>
      </x:c>
      <x:c r="D29" s="13" t="s">
        <x:v>2765</x:v>
      </x:c>
      <x:c r="E29" s="12" t="s">
        <x:v>160</x:v>
      </x:c>
      <x:c r="F29" s="12" t="s">
        <x:v>2685</x:v>
      </x:c>
      <x:c r="G29" s="13" t="s">
        <x:v>2766</x:v>
      </x:c>
      <x:c r="H29" s="12" t="s">
        <x:v>125</x:v>
      </x:c>
      <x:c r="I29" s="12" t="s">
        <x:v>140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2767</x:v>
      </x:c>
      <x:c r="B30" s="12" t="s">
        <x:v>220</x:v>
      </x:c>
      <x:c r="C30" s="12" t="s">
        <x:v>2688</x:v>
      </x:c>
      <x:c r="D30" s="13" t="s">
        <x:v>2768</x:v>
      </x:c>
      <x:c r="E30" s="12" t="s">
        <x:v>160</x:v>
      </x:c>
      <x:c r="F30" s="12" t="s">
        <x:v>2685</x:v>
      </x:c>
      <x:c r="G30" s="13" t="s">
        <x:v>2769</x:v>
      </x:c>
      <x:c r="H30" s="12" t="s">
        <x:v>125</x:v>
      </x:c>
      <x:c r="I30" s="12" t="s">
        <x:v>140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2770</x:v>
      </x:c>
      <x:c r="B31" s="12" t="s">
        <x:v>224</x:v>
      </x:c>
      <x:c r="C31" s="12" t="s">
        <x:v>1265</x:v>
      </x:c>
      <x:c r="D31" s="13" t="s">
        <x:v>2771</x:v>
      </x:c>
      <x:c r="E31" s="12" t="s">
        <x:v>226</x:v>
      </x:c>
      <x:c r="F31" s="12" t="s">
        <x:v>226</x:v>
      </x:c>
      <x:c r="G31" s="13" t="s">
        <x:v>227</x:v>
      </x:c>
      <x:c r="H31" s="12" t="s">
        <x:v>125</x:v>
      </x:c>
      <x:c r="I31" s="12" t="s">
        <x:v>140</x:v>
      </x:c>
      <x:c r="J31" s="14" t="n">
        <x:v>46231</x:v>
      </x:c>
      <x:c r="K31" s="13" t="s">
        <x:v>2772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2773</x:v>
      </x:c>
      <x:c r="B32" s="12" t="s">
        <x:v>212</x:v>
      </x:c>
      <x:c r="C32" s="12" t="s">
        <x:v>1265</x:v>
      </x:c>
      <x:c r="D32" s="13" t="s">
        <x:v>2774</x:v>
      </x:c>
      <x:c r="E32" s="12" t="s">
        <x:v>160</x:v>
      </x:c>
      <x:c r="F32" s="12" t="s">
        <x:v>201</x:v>
      </x:c>
      <x:c r="G32" s="13" t="s">
        <x:v>2775</x:v>
      </x:c>
      <x:c r="H32" s="12" t="s">
        <x:v>119</x:v>
      </x:c>
      <x:c r="I32" s="12" t="s">
        <x:v>139</x:v>
      </x:c>
      <x:c r="J32" s="14" t="n">
        <x:v>46231</x:v>
      </x:c>
      <x:c r="K32" s="13" t="s">
        <x:v>1882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0</x:v>
      </x:c>
    </x:row>
    <x:row r="33" s="4" customFormat="1" ht="54" hidden="0" customHeight="1">
      <x:c r="A33" s="12" t="s">
        <x:v>2776</x:v>
      </x:c>
      <x:c r="B33" s="12" t="s">
        <x:v>229</x:v>
      </x:c>
      <x:c r="C33" s="12" t="s">
        <x:v>2701</x:v>
      </x:c>
      <x:c r="D33" s="13" t="s">
        <x:v>2624</x:v>
      </x:c>
      <x:c r="E33" s="12" t="s">
        <x:v>160</x:v>
      </x:c>
      <x:c r="F33" s="12" t="s">
        <x:v>160</x:v>
      </x:c>
      <x:c r="G33" s="13" t="s">
        <x:v>2625</x:v>
      </x:c>
      <x:c r="H33" s="12" t="s">
        <x:v>125</x:v>
      </x:c>
      <x:c r="I33" s="12" t="s">
        <x:v>140</x:v>
      </x:c>
      <x:c r="J33" s="14" t="n">
        <x:v>46231</x:v>
      </x:c>
      <x:c r="K33" s="13" t="s">
        <x:v>2777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2778</x:v>
      </x:c>
      <x:c r="B34" s="12" t="s">
        <x:v>2779</x:v>
      </x:c>
      <x:c r="C34" s="12" t="s">
        <x:v>1265</x:v>
      </x:c>
      <x:c r="D34" s="13" t="s">
        <x:v>2780</x:v>
      </x:c>
      <x:c r="E34" s="12" t="s">
        <x:v>160</x:v>
      </x:c>
      <x:c r="F34" s="12" t="s">
        <x:v>2685</x:v>
      </x:c>
      <x:c r="G34" s="13" t="s">
        <x:v>2766</x:v>
      </x:c>
      <x:c r="H34" s="12" t="s">
        <x:v>125</x:v>
      </x:c>
      <x:c r="I34" s="12" t="s">
        <x:v>140</x:v>
      </x:c>
      <x:c r="J34" s="14" t="n">
        <x:v>46231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/>
      <x:c r="B35" s="12"/>
      <x:c r="C35" s="12"/>
      <x:c r="D35" s="13"/>
      <x:c r="E35" s="12"/>
      <x:c r="F35" s="12"/>
      <x:c r="G35" s="13"/>
      <x:c r="H35" s="12"/>
      <x:c r="I35" s="12"/>
      <x:c r="J35" s="14"/>
      <x:c r="K35" s="13"/>
      <x:c r="L35" s="12"/>
      <x:c r="M35" s="12"/>
    </x:row>
    <x:row r="36" s="4" customFormat="1" ht="54" hidden="0" customHeight="1">
      <x:c r="A36" s="12"/>
      <x:c r="B36" s="12"/>
      <x:c r="C36" s="12"/>
      <x:c r="D36" s="13"/>
      <x:c r="E36" s="12"/>
      <x:c r="F36" s="12"/>
      <x:c r="G36" s="13"/>
      <x:c r="H36" s="12"/>
      <x:c r="I36" s="12"/>
      <x:c r="J36" s="14"/>
      <x:c r="K36" s="13"/>
      <x:c r="L36" s="12"/>
      <x:c r="M36" s="12"/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2781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2782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COUNTA(A9:A36)</x:f>
        <x:v>28</x:v>
      </x:c>
      <x:c r="D4" s="6" t="s">
        <x:v>143</x:v>
      </x:c>
      <x:c r="E4" s="7" t="n">
        <x:f aca="0">SUM(M9:M36)</x:f>
        <x:v>24</x:v>
      </x:c>
      <x:c r="G4" s="6" t="s">
        <x:v>13</x:v>
      </x:c>
      <x:c r="H4" s="8" t="n">
        <x:f aca="0">IF(B4=0,0,E4/B4)</x:f>
        <x:v>0.8571428571428571</x:v>
      </x:c>
      <x:c r="J4" s="6" t="s">
        <x:v>14</x:v>
      </x:c>
      <x:c r="K4" s="7" t="str">
        <x:f aca="0">IF(COUNTIFS(E9:E36,"package",M9:M36,0)&gt;0,"open","complete")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IF(COUNTIFS(I9:I36,"yes",M9:M36,0)&gt;0,"open","complete")</x:f>
        <x:v>open</x:v>
      </x:c>
      <x:c r="D5" s="6" t="s">
        <x:v>15</x:v>
      </x:c>
      <x:c r="E5" s="7" t="str">
        <x:f aca="0">IF(COUNTIFS(E9:E36,"consumer",M9:M36,0)&gt;0,"open","complete")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767</x:v>
      </x:c>
      <x:c r="B9" s="12" t="s">
        <x:v>117</x:v>
      </x:c>
      <x:c r="C9" s="12" t="s">
        <x:v>1265</x:v>
      </x:c>
      <x:c r="D9" s="13" t="s">
        <x:v>2783</x:v>
      </x:c>
      <x:c r="E9" s="12" t="s">
        <x:v>160</x:v>
      </x:c>
      <x:c r="F9" s="12" t="s">
        <x:v>161</x:v>
      </x:c>
      <x:c r="G9" s="13" t="s">
        <x:v>2784</x:v>
      </x:c>
      <x:c r="H9" s="12" t="s">
        <x:v>125</x:v>
      </x:c>
      <x:c r="I9" s="12" t="s">
        <x:v>140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770</x:v>
      </x:c>
      <x:c r="B10" s="12" t="s">
        <x:v>2472</x:v>
      </x:c>
      <x:c r="C10" s="12" t="s">
        <x:v>1265</x:v>
      </x:c>
      <x:c r="D10" s="13" t="s">
        <x:v>2785</x:v>
      </x:c>
      <x:c r="E10" s="12" t="s">
        <x:v>160</x:v>
      </x:c>
      <x:c r="F10" s="12" t="s">
        <x:v>180</x:v>
      </x:c>
      <x:c r="G10" s="13" t="s">
        <x:v>2786</x:v>
      </x:c>
      <x:c r="H10" s="12" t="s">
        <x:v>125</x:v>
      </x:c>
      <x:c r="I10" s="12" t="s">
        <x:v>140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771</x:v>
      </x:c>
      <x:c r="B11" s="12" t="s">
        <x:v>1423</x:v>
      </x:c>
      <x:c r="C11" s="12" t="s">
        <x:v>1265</x:v>
      </x:c>
      <x:c r="D11" s="13" t="s">
        <x:v>2787</x:v>
      </x:c>
      <x:c r="E11" s="12" t="s">
        <x:v>160</x:v>
      </x:c>
      <x:c r="F11" s="12" t="s">
        <x:v>180</x:v>
      </x:c>
      <x:c r="G11" s="13" t="s">
        <x:v>2786</x:v>
      </x:c>
      <x:c r="H11" s="12" t="s">
        <x:v>125</x:v>
      </x:c>
      <x:c r="I11" s="12" t="s">
        <x:v>140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773</x:v>
      </x:c>
      <x:c r="B12" s="12" t="s">
        <x:v>168</x:v>
      </x:c>
      <x:c r="C12" s="12" t="s">
        <x:v>2481</x:v>
      </x:c>
      <x:c r="D12" s="13" t="s">
        <x:v>2788</x:v>
      </x:c>
      <x:c r="E12" s="12" t="s">
        <x:v>160</x:v>
      </x:c>
      <x:c r="F12" s="12" t="s">
        <x:v>170</x:v>
      </x:c>
      <x:c r="G12" s="13" t="s">
        <x:v>2789</x:v>
      </x:c>
      <x:c r="H12" s="12" t="s">
        <x:v>125</x:v>
      </x:c>
      <x:c r="I12" s="12" t="s">
        <x:v>140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775</x:v>
      </x:c>
      <x:c r="B13" s="12" t="s">
        <x:v>164</x:v>
      </x:c>
      <x:c r="C13" s="12" t="s">
        <x:v>1265</x:v>
      </x:c>
      <x:c r="D13" s="13" t="s">
        <x:v>2790</x:v>
      </x:c>
      <x:c r="E13" s="12" t="s">
        <x:v>160</x:v>
      </x:c>
      <x:c r="F13" s="12" t="s">
        <x:v>160</x:v>
      </x:c>
      <x:c r="G13" s="13" t="s">
        <x:v>166</x:v>
      </x:c>
      <x:c r="H13" s="12" t="s">
        <x:v>125</x:v>
      </x:c>
      <x:c r="I13" s="12" t="s">
        <x:v>140</x:v>
      </x:c>
      <x:c r="J13" s="14" t="n">
        <x:v>46231</x:v>
      </x:c>
      <x:c r="K13" s="13" t="s">
        <x:v>2791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777</x:v>
      </x:c>
      <x:c r="B14" s="12" t="s">
        <x:v>1391</x:v>
      </x:c>
      <x:c r="C14" s="12" t="s">
        <x:v>2722</x:v>
      </x:c>
      <x:c r="D14" s="13" t="s">
        <x:v>2792</x:v>
      </x:c>
      <x:c r="E14" s="12" t="s">
        <x:v>160</x:v>
      </x:c>
      <x:c r="F14" s="12" t="s">
        <x:v>160</x:v>
      </x:c>
      <x:c r="G14" s="13" t="s">
        <x:v>1393</x:v>
      </x:c>
      <x:c r="H14" s="12" t="s">
        <x:v>125</x:v>
      </x:c>
      <x:c r="I14" s="12" t="s">
        <x:v>140</x:v>
      </x:c>
      <x:c r="J14" s="14" t="n">
        <x:v>46231</x:v>
      </x:c>
      <x:c r="K14" s="13" t="s">
        <x:v>2793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779</x:v>
      </x:c>
      <x:c r="B15" s="12" t="s">
        <x:v>1649</x:v>
      </x:c>
      <x:c r="C15" s="12" t="s">
        <x:v>2725</x:v>
      </x:c>
      <x:c r="D15" s="13" t="s">
        <x:v>2726</x:v>
      </x:c>
      <x:c r="E15" s="12" t="s">
        <x:v>160</x:v>
      </x:c>
      <x:c r="F15" s="12" t="s">
        <x:v>180</x:v>
      </x:c>
      <x:c r="G15" s="13" t="s">
        <x:v>2786</x:v>
      </x:c>
      <x:c r="H15" s="12" t="s">
        <x:v>125</x:v>
      </x:c>
      <x:c r="I15" s="12" t="s">
        <x:v>140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781</x:v>
      </x:c>
      <x:c r="B16" s="12" t="s">
        <x:v>1213</x:v>
      </x:c>
      <x:c r="C16" s="12" t="s">
        <x:v>827</x:v>
      </x:c>
      <x:c r="D16" s="13" t="s">
        <x:v>2728</x:v>
      </x:c>
      <x:c r="E16" s="12" t="s">
        <x:v>160</x:v>
      </x:c>
      <x:c r="F16" s="12" t="s">
        <x:v>185</x:v>
      </x:c>
      <x:c r="G16" s="13" t="s">
        <x:v>2794</x:v>
      </x:c>
      <x:c r="H16" s="12" t="s">
        <x:v>125</x:v>
      </x:c>
      <x:c r="I16" s="12" t="s">
        <x:v>140</x:v>
      </x:c>
      <x:c r="J16" s="14" t="n">
        <x:v>46231</x:v>
      </x:c>
      <x:c r="K16" s="13" t="s">
        <x:v>2795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783</x:v>
      </x:c>
      <x:c r="B17" s="12" t="s">
        <x:v>2796</x:v>
      </x:c>
      <x:c r="C17" s="12" t="s">
        <x:v>2797</x:v>
      </x:c>
      <x:c r="D17" s="13" t="s">
        <x:v>2798</x:v>
      </x:c>
      <x:c r="E17" s="12" t="s">
        <x:v>160</x:v>
      </x:c>
      <x:c r="F17" s="12" t="s">
        <x:v>185</x:v>
      </x:c>
      <x:c r="G17" s="13" t="s">
        <x:v>2799</x:v>
      </x:c>
      <x:c r="H17" s="12" t="s">
        <x:v>125</x:v>
      </x:c>
      <x:c r="I17" s="12" t="s">
        <x:v>140</x:v>
      </x:c>
      <x:c r="J17" s="14" t="n">
        <x:v>46231</x:v>
      </x:c>
      <x:c r="K17" s="13" t="s">
        <x:v>2800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785</x:v>
      </x:c>
      <x:c r="B18" s="12" t="s">
        <x:v>2731</x:v>
      </x:c>
      <x:c r="C18" s="12" t="s">
        <x:v>2722</x:v>
      </x:c>
      <x:c r="D18" s="13" t="s">
        <x:v>2801</x:v>
      </x:c>
      <x:c r="E18" s="12" t="s">
        <x:v>160</x:v>
      </x:c>
      <x:c r="F18" s="12" t="s">
        <x:v>185</x:v>
      </x:c>
      <x:c r="G18" s="13" t="s">
        <x:v>2799</x:v>
      </x:c>
      <x:c r="H18" s="12" t="s">
        <x:v>125</x:v>
      </x:c>
      <x:c r="I18" s="12" t="s">
        <x:v>140</x:v>
      </x:c>
      <x:c r="J18" s="14" t="n">
        <x:v>46231</x:v>
      </x:c>
      <x:c r="K18" s="13" t="s">
        <x:v>2802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786</x:v>
      </x:c>
      <x:c r="B19" s="12" t="s">
        <x:v>1163</x:v>
      </x:c>
      <x:c r="C19" s="12" t="s">
        <x:v>2735</x:v>
      </x:c>
      <x:c r="D19" s="13" t="s">
        <x:v>2803</x:v>
      </x:c>
      <x:c r="E19" s="12" t="s">
        <x:v>160</x:v>
      </x:c>
      <x:c r="F19" s="12" t="s">
        <x:v>185</x:v>
      </x:c>
      <x:c r="G19" s="13" t="s">
        <x:v>2799</x:v>
      </x:c>
      <x:c r="H19" s="12" t="s">
        <x:v>125</x:v>
      </x:c>
      <x:c r="I19" s="12" t="s">
        <x:v>140</x:v>
      </x:c>
      <x:c r="J19" s="14" t="n">
        <x:v>46231</x:v>
      </x:c>
      <x:c r="K19" s="13" t="s">
        <x:v>2800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788</x:v>
      </x:c>
      <x:c r="B20" s="12" t="s">
        <x:v>1991</x:v>
      </x:c>
      <x:c r="C20" s="12" t="s">
        <x:v>2735</x:v>
      </x:c>
      <x:c r="D20" s="13" t="s">
        <x:v>2804</x:v>
      </x:c>
      <x:c r="E20" s="12" t="s">
        <x:v>160</x:v>
      </x:c>
      <x:c r="F20" s="12" t="s">
        <x:v>185</x:v>
      </x:c>
      <x:c r="G20" s="13" t="s">
        <x:v>2799</x:v>
      </x:c>
      <x:c r="H20" s="12" t="s">
        <x:v>125</x:v>
      </x:c>
      <x:c r="I20" s="12" t="s">
        <x:v>140</x:v>
      </x:c>
      <x:c r="J20" s="14" t="n">
        <x:v>46231</x:v>
      </x:c>
      <x:c r="K20" s="13" t="s">
        <x:v>2805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789</x:v>
      </x:c>
      <x:c r="B21" s="12" t="s">
        <x:v>2597</x:v>
      </x:c>
      <x:c r="C21" s="12" t="s">
        <x:v>2738</x:v>
      </x:c>
      <x:c r="D21" s="13" t="s">
        <x:v>2739</x:v>
      </x:c>
      <x:c r="E21" s="12" t="s">
        <x:v>160</x:v>
      </x:c>
      <x:c r="F21" s="12" t="s">
        <x:v>185</x:v>
      </x:c>
      <x:c r="G21" s="13" t="s">
        <x:v>2794</x:v>
      </x:c>
      <x:c r="H21" s="12" t="s">
        <x:v>125</x:v>
      </x:c>
      <x:c r="I21" s="12" t="s">
        <x:v>140</x:v>
      </x:c>
      <x:c r="J21" s="14" t="n">
        <x:v>46231</x:v>
      </x:c>
      <x:c r="K21" s="13" t="s">
        <x:v>2806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791</x:v>
      </x:c>
      <x:c r="B22" s="12" t="s">
        <x:v>2595</x:v>
      </x:c>
      <x:c r="C22" s="12" t="s">
        <x:v>2807</x:v>
      </x:c>
      <x:c r="D22" s="13" t="s">
        <x:v>2742</x:v>
      </x:c>
      <x:c r="E22" s="12" t="s">
        <x:v>160</x:v>
      </x:c>
      <x:c r="F22" s="12" t="s">
        <x:v>180</x:v>
      </x:c>
      <x:c r="G22" s="13" t="s">
        <x:v>2786</x:v>
      </x:c>
      <x:c r="H22" s="12" t="s">
        <x:v>125</x:v>
      </x:c>
      <x:c r="I22" s="12" t="s">
        <x:v>140</x:v>
      </x:c>
      <x:c r="J22" s="14" t="n">
        <x:v>46231</x:v>
      </x:c>
      <x:c r="K22" s="13" t="s">
        <x:v>2808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793</x:v>
      </x:c>
      <x:c r="B23" s="12" t="s">
        <x:v>1662</x:v>
      </x:c>
      <x:c r="C23" s="12" t="s">
        <x:v>2744</x:v>
      </x:c>
      <x:c r="D23" s="13" t="s">
        <x:v>2809</x:v>
      </x:c>
      <x:c r="E23" s="12" t="s">
        <x:v>160</x:v>
      </x:c>
      <x:c r="F23" s="12" t="s">
        <x:v>185</x:v>
      </x:c>
      <x:c r="G23" s="13" t="s">
        <x:v>2794</x:v>
      </x:c>
      <x:c r="H23" s="12" t="s">
        <x:v>125</x:v>
      </x:c>
      <x:c r="I23" s="12" t="s">
        <x:v>140</x:v>
      </x:c>
      <x:c r="J23" s="14" t="n">
        <x:v>46231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794</x:v>
      </x:c>
      <x:c r="B24" s="12" t="s">
        <x:v>199</x:v>
      </x:c>
      <x:c r="C24" s="12" t="s">
        <x:v>41</x:v>
      </x:c>
      <x:c r="D24" s="13" t="s">
        <x:v>2810</x:v>
      </x:c>
      <x:c r="E24" s="12" t="s">
        <x:v>160</x:v>
      </x:c>
      <x:c r="F24" s="12" t="s">
        <x:v>185</x:v>
      </x:c>
      <x:c r="G24" s="13" t="s">
        <x:v>2794</x:v>
      </x:c>
      <x:c r="H24" s="12" t="s">
        <x:v>125</x:v>
      </x:c>
      <x:c r="I24" s="12" t="s">
        <x:v>140</x:v>
      </x:c>
      <x:c r="J24" s="14" t="n">
        <x:v>46231</x:v>
      </x:c>
      <x:c r="K24" s="13" t="s">
        <x:v>2811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2812</x:v>
      </x:c>
      <x:c r="B25" s="12" t="s">
        <x:v>2604</x:v>
      </x:c>
      <x:c r="C25" s="12" t="s">
        <x:v>1265</x:v>
      </x:c>
      <x:c r="D25" s="13" t="s">
        <x:v>2813</x:v>
      </x:c>
      <x:c r="E25" s="12" t="s">
        <x:v>160</x:v>
      </x:c>
      <x:c r="F25" s="12" t="s">
        <x:v>195</x:v>
      </x:c>
      <x:c r="G25" s="13" t="s">
        <x:v>2814</x:v>
      </x:c>
      <x:c r="H25" s="12" t="s">
        <x:v>123</x:v>
      </x:c>
      <x:c r="I25" s="12" t="s">
        <x:v>139</x:v>
      </x:c>
      <x:c r="J25" s="14" t="n">
        <x:v>46231</x:v>
      </x:c>
      <x:c r="K25" s="13" t="s">
        <x:v>2815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2816</x:v>
      </x:c>
      <x:c r="B26" s="12" t="s">
        <x:v>93</x:v>
      </x:c>
      <x:c r="C26" s="12" t="s">
        <x:v>1265</x:v>
      </x:c>
      <x:c r="D26" s="13" t="s">
        <x:v>2817</x:v>
      </x:c>
      <x:c r="E26" s="12" t="s">
        <x:v>160</x:v>
      </x:c>
      <x:c r="F26" s="12" t="s">
        <x:v>195</x:v>
      </x:c>
      <x:c r="G26" s="13" t="s">
        <x:v>2814</x:v>
      </x:c>
      <x:c r="H26" s="12" t="s">
        <x:v>123</x:v>
      </x:c>
      <x:c r="I26" s="12" t="s">
        <x:v>139</x:v>
      </x:c>
      <x:c r="J26" s="14" t="n">
        <x:v>46231</x:v>
      </x:c>
      <x:c r="K26" s="13" t="s">
        <x:v>2671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54" hidden="0" customHeight="1">
      <x:c r="A27" s="12" t="s">
        <x:v>2818</x:v>
      </x:c>
      <x:c r="B27" s="12" t="s">
        <x:v>193</x:v>
      </x:c>
      <x:c r="C27" s="12" t="s">
        <x:v>1265</x:v>
      </x:c>
      <x:c r="D27" s="13" t="s">
        <x:v>2819</x:v>
      </x:c>
      <x:c r="E27" s="12" t="s">
        <x:v>160</x:v>
      </x:c>
      <x:c r="F27" s="12" t="s">
        <x:v>195</x:v>
      </x:c>
      <x:c r="G27" s="13" t="s">
        <x:v>2814</x:v>
      </x:c>
      <x:c r="H27" s="12" t="s">
        <x:v>123</x:v>
      </x:c>
      <x:c r="I27" s="12" t="s">
        <x:v>139</x:v>
      </x:c>
      <x:c r="J27" s="14" t="n">
        <x:v>46231</x:v>
      </x:c>
      <x:c r="K27" s="13" t="s">
        <x:v>2755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2820</x:v>
      </x:c>
      <x:c r="B28" s="12" t="s">
        <x:v>1604</x:v>
      </x:c>
      <x:c r="C28" s="12" t="s">
        <x:v>1265</x:v>
      </x:c>
      <x:c r="D28" s="13" t="s">
        <x:v>2821</x:v>
      </x:c>
      <x:c r="E28" s="12" t="s">
        <x:v>160</x:v>
      </x:c>
      <x:c r="F28" s="12" t="s">
        <x:v>180</x:v>
      </x:c>
      <x:c r="G28" s="13" t="s">
        <x:v>2822</x:v>
      </x:c>
      <x:c r="H28" s="12" t="s">
        <x:v>125</x:v>
      </x:c>
      <x:c r="I28" s="12" t="s">
        <x:v>140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2823</x:v>
      </x:c>
      <x:c r="B29" s="12" t="s">
        <x:v>188</x:v>
      </x:c>
      <x:c r="C29" s="12" t="s">
        <x:v>1265</x:v>
      </x:c>
      <x:c r="D29" s="13" t="s">
        <x:v>2824</x:v>
      </x:c>
      <x:c r="E29" s="12" t="s">
        <x:v>160</x:v>
      </x:c>
      <x:c r="F29" s="12" t="s">
        <x:v>190</x:v>
      </x:c>
      <x:c r="G29" s="13" t="s">
        <x:v>2794</x:v>
      </x:c>
      <x:c r="H29" s="12" t="s">
        <x:v>125</x:v>
      </x:c>
      <x:c r="I29" s="12" t="s">
        <x:v>140</x:v>
      </x:c>
      <x:c r="J29" s="14" t="n">
        <x:v>46231</x:v>
      </x:c>
      <x:c r="K29" s="13" t="s">
        <x:v>2825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2826</x:v>
      </x:c>
      <x:c r="B30" s="12" t="s">
        <x:v>646</x:v>
      </x:c>
      <x:c r="C30" s="12" t="s">
        <x:v>1265</x:v>
      </x:c>
      <x:c r="D30" s="13" t="s">
        <x:v>2827</x:v>
      </x:c>
      <x:c r="E30" s="12" t="s">
        <x:v>160</x:v>
      </x:c>
      <x:c r="F30" s="12" t="s">
        <x:v>648</x:v>
      </x:c>
      <x:c r="G30" s="13" t="s">
        <x:v>2828</x:v>
      </x:c>
      <x:c r="H30" s="12" t="s">
        <x:v>125</x:v>
      </x:c>
      <x:c r="I30" s="12" t="s">
        <x:v>140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2829</x:v>
      </x:c>
      <x:c r="B31" s="12" t="s">
        <x:v>2459</x:v>
      </x:c>
      <x:c r="C31" s="12" t="s">
        <x:v>2683</x:v>
      </x:c>
      <x:c r="D31" s="13" t="s">
        <x:v>2830</x:v>
      </x:c>
      <x:c r="E31" s="12" t="s">
        <x:v>160</x:v>
      </x:c>
      <x:c r="F31" s="12" t="s">
        <x:v>2685</x:v>
      </x:c>
      <x:c r="G31" s="13" t="s">
        <x:v>2831</x:v>
      </x:c>
      <x:c r="H31" s="12" t="s">
        <x:v>125</x:v>
      </x:c>
      <x:c r="I31" s="12" t="s">
        <x:v>140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2832</x:v>
      </x:c>
      <x:c r="B32" s="12" t="s">
        <x:v>220</x:v>
      </x:c>
      <x:c r="C32" s="12" t="s">
        <x:v>2688</x:v>
      </x:c>
      <x:c r="D32" s="13" t="s">
        <x:v>2833</x:v>
      </x:c>
      <x:c r="E32" s="12" t="s">
        <x:v>160</x:v>
      </x:c>
      <x:c r="F32" s="12" t="s">
        <x:v>2685</x:v>
      </x:c>
      <x:c r="G32" s="13" t="s">
        <x:v>2834</x:v>
      </x:c>
      <x:c r="H32" s="12" t="s">
        <x:v>125</x:v>
      </x:c>
      <x:c r="I32" s="12" t="s">
        <x:v>140</x:v>
      </x:c>
      <x:c r="J32" s="14" t="n">
        <x:v>46231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2835</x:v>
      </x:c>
      <x:c r="B33" s="12" t="s">
        <x:v>224</x:v>
      </x:c>
      <x:c r="C33" s="12" t="s">
        <x:v>1265</x:v>
      </x:c>
      <x:c r="D33" s="13" t="s">
        <x:v>2836</x:v>
      </x:c>
      <x:c r="E33" s="12" t="s">
        <x:v>226</x:v>
      </x:c>
      <x:c r="F33" s="12" t="s">
        <x:v>226</x:v>
      </x:c>
      <x:c r="G33" s="13" t="s">
        <x:v>227</x:v>
      </x:c>
      <x:c r="H33" s="12" t="s">
        <x:v>125</x:v>
      </x:c>
      <x:c r="I33" s="12" t="s">
        <x:v>140</x:v>
      </x:c>
      <x:c r="J33" s="14" t="n">
        <x:v>46231</x:v>
      </x:c>
      <x:c r="K33" s="13" t="s">
        <x:v>2837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2838</x:v>
      </x:c>
      <x:c r="B34" s="12" t="s">
        <x:v>212</x:v>
      </x:c>
      <x:c r="C34" s="12" t="s">
        <x:v>1265</x:v>
      </x:c>
      <x:c r="D34" s="13" t="s">
        <x:v>2839</x:v>
      </x:c>
      <x:c r="E34" s="12" t="s">
        <x:v>160</x:v>
      </x:c>
      <x:c r="F34" s="12" t="s">
        <x:v>201</x:v>
      </x:c>
      <x:c r="G34" s="13" t="s">
        <x:v>2840</x:v>
      </x:c>
      <x:c r="H34" s="12" t="s">
        <x:v>119</x:v>
      </x:c>
      <x:c r="I34" s="12" t="s">
        <x:v>139</x:v>
      </x:c>
      <x:c r="J34" s="14" t="n">
        <x:v>46231</x:v>
      </x:c>
      <x:c r="K34" s="13" t="s">
        <x:v>1882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0</x:v>
      </x:c>
    </x:row>
    <x:row r="35" s="4" customFormat="1" ht="54" hidden="0" customHeight="1">
      <x:c r="A35" s="12" t="s">
        <x:v>2841</x:v>
      </x:c>
      <x:c r="B35" s="12" t="s">
        <x:v>229</x:v>
      </x:c>
      <x:c r="C35" s="12" t="s">
        <x:v>2701</x:v>
      </x:c>
      <x:c r="D35" s="13" t="s">
        <x:v>2842</x:v>
      </x:c>
      <x:c r="E35" s="12" t="s">
        <x:v>160</x:v>
      </x:c>
      <x:c r="F35" s="12" t="s">
        <x:v>160</x:v>
      </x:c>
      <x:c r="G35" s="13" t="s">
        <x:v>2625</x:v>
      </x:c>
      <x:c r="H35" s="12" t="s">
        <x:v>125</x:v>
      </x:c>
      <x:c r="I35" s="12" t="s">
        <x:v>140</x:v>
      </x:c>
      <x:c r="J35" s="14" t="n">
        <x:v>46231</x:v>
      </x:c>
      <x:c r="K35" s="13" t="s">
        <x:v>2843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2844</x:v>
      </x:c>
      <x:c r="B36" s="12" t="s">
        <x:v>2779</x:v>
      </x:c>
      <x:c r="C36" s="12" t="s">
        <x:v>1265</x:v>
      </x:c>
      <x:c r="D36" s="13" t="s">
        <x:v>2845</x:v>
      </x:c>
      <x:c r="E36" s="12" t="s">
        <x:v>160</x:v>
      </x:c>
      <x:c r="F36" s="12" t="s">
        <x:v>2685</x:v>
      </x:c>
      <x:c r="G36" s="13" t="s">
        <x:v>2831</x:v>
      </x:c>
      <x:c r="H36" s="12" t="s">
        <x:v>125</x:v>
      </x:c>
      <x:c r="I36" s="12" t="s">
        <x:v>140</x:v>
      </x:c>
      <x:c r="J36" s="14" t="n">
        <x:v>46231</x:v>
      </x:c>
      <x:c r="K36" s="13"/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2846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2847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COUNTA(A9:A34)</x:f>
        <x:v>26</x:v>
      </x:c>
      <x:c r="D4" s="6" t="s">
        <x:v>143</x:v>
      </x:c>
      <x:c r="E4" s="7" t="n">
        <x:f aca="0">SUM(M9:M34)</x:f>
        <x:v>22</x:v>
      </x:c>
      <x:c r="G4" s="6" t="s">
        <x:v>13</x:v>
      </x:c>
      <x:c r="H4" s="8" t="n">
        <x:f aca="0">IF(B4=0,0,E4/B4)</x:f>
        <x:v>0.8461538461538461</x:v>
      </x:c>
      <x:c r="J4" s="6" t="s">
        <x:v>14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IF(COUNTIFS(I9:I34,"yes",M9:M34,0)&gt;0,"open","complete")</x:f>
        <x:v>open</x:v>
      </x:c>
      <x:c r="D5" s="6" t="s">
        <x:v>15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2848</x:v>
      </x:c>
      <x:c r="B9" s="12" t="s">
        <x:v>117</x:v>
      </x:c>
      <x:c r="C9" s="12" t="s">
        <x:v>1265</x:v>
      </x:c>
      <x:c r="D9" s="13" t="s">
        <x:v>2849</x:v>
      </x:c>
      <x:c r="E9" s="12" t="s">
        <x:v>160</x:v>
      </x:c>
      <x:c r="F9" s="12" t="s">
        <x:v>161</x:v>
      </x:c>
      <x:c r="G9" s="13" t="s">
        <x:v>2850</x:v>
      </x:c>
      <x:c r="H9" s="12" t="s">
        <x:v>125</x:v>
      </x:c>
      <x:c r="I9" s="12" t="s">
        <x:v>140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2851</x:v>
      </x:c>
      <x:c r="B10" s="12" t="s">
        <x:v>2472</x:v>
      </x:c>
      <x:c r="C10" s="12" t="s">
        <x:v>1265</x:v>
      </x:c>
      <x:c r="D10" s="13" t="s">
        <x:v>2852</x:v>
      </x:c>
      <x:c r="E10" s="12" t="s">
        <x:v>160</x:v>
      </x:c>
      <x:c r="F10" s="12" t="s">
        <x:v>180</x:v>
      </x:c>
      <x:c r="G10" s="13" t="s">
        <x:v>2853</x:v>
      </x:c>
      <x:c r="H10" s="12" t="s">
        <x:v>125</x:v>
      </x:c>
      <x:c r="I10" s="12" t="s">
        <x:v>140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2854</x:v>
      </x:c>
      <x:c r="B11" s="12" t="s">
        <x:v>1423</x:v>
      </x:c>
      <x:c r="C11" s="12" t="s">
        <x:v>1265</x:v>
      </x:c>
      <x:c r="D11" s="13" t="s">
        <x:v>2855</x:v>
      </x:c>
      <x:c r="E11" s="12" t="s">
        <x:v>160</x:v>
      </x:c>
      <x:c r="F11" s="12" t="s">
        <x:v>180</x:v>
      </x:c>
      <x:c r="G11" s="13" t="s">
        <x:v>2853</x:v>
      </x:c>
      <x:c r="H11" s="12" t="s">
        <x:v>125</x:v>
      </x:c>
      <x:c r="I11" s="12" t="s">
        <x:v>140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2856</x:v>
      </x:c>
      <x:c r="B12" s="12" t="s">
        <x:v>168</x:v>
      </x:c>
      <x:c r="C12" s="12" t="s">
        <x:v>2481</x:v>
      </x:c>
      <x:c r="D12" s="13" t="s">
        <x:v>2857</x:v>
      </x:c>
      <x:c r="E12" s="12" t="s">
        <x:v>160</x:v>
      </x:c>
      <x:c r="F12" s="12" t="s">
        <x:v>170</x:v>
      </x:c>
      <x:c r="G12" s="13" t="s">
        <x:v>2858</x:v>
      </x:c>
      <x:c r="H12" s="12" t="s">
        <x:v>125</x:v>
      </x:c>
      <x:c r="I12" s="12" t="s">
        <x:v>140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2859</x:v>
      </x:c>
      <x:c r="B13" s="12" t="s">
        <x:v>164</x:v>
      </x:c>
      <x:c r="C13" s="12" t="s">
        <x:v>1265</x:v>
      </x:c>
      <x:c r="D13" s="13" t="s">
        <x:v>2860</x:v>
      </x:c>
      <x:c r="E13" s="12" t="s">
        <x:v>160</x:v>
      </x:c>
      <x:c r="F13" s="12" t="s">
        <x:v>160</x:v>
      </x:c>
      <x:c r="G13" s="13" t="s">
        <x:v>166</x:v>
      </x:c>
      <x:c r="H13" s="12" t="s">
        <x:v>125</x:v>
      </x:c>
      <x:c r="I13" s="12" t="s">
        <x:v>140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2861</x:v>
      </x:c>
      <x:c r="B14" s="12" t="s">
        <x:v>1391</x:v>
      </x:c>
      <x:c r="C14" s="12" t="s">
        <x:v>1265</x:v>
      </x:c>
      <x:c r="D14" s="13" t="s">
        <x:v>2862</x:v>
      </x:c>
      <x:c r="E14" s="12" t="s">
        <x:v>160</x:v>
      </x:c>
      <x:c r="F14" s="12" t="s">
        <x:v>160</x:v>
      </x:c>
      <x:c r="G14" s="13" t="s">
        <x:v>1393</x:v>
      </x:c>
      <x:c r="H14" s="12" t="s">
        <x:v>125</x:v>
      </x:c>
      <x:c r="I14" s="12" t="s">
        <x:v>140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2863</x:v>
      </x:c>
      <x:c r="B15" s="12" t="s">
        <x:v>1649</x:v>
      </x:c>
      <x:c r="C15" s="12" t="s">
        <x:v>827</x:v>
      </x:c>
      <x:c r="D15" s="13" t="s">
        <x:v>2864</x:v>
      </x:c>
      <x:c r="E15" s="12" t="s">
        <x:v>160</x:v>
      </x:c>
      <x:c r="F15" s="12" t="s">
        <x:v>180</x:v>
      </x:c>
      <x:c r="G15" s="13" t="s">
        <x:v>2865</x:v>
      </x:c>
      <x:c r="H15" s="12" t="s">
        <x:v>125</x:v>
      </x:c>
      <x:c r="I15" s="12" t="s">
        <x:v>140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2866</x:v>
      </x:c>
      <x:c r="B16" s="12" t="s">
        <x:v>1213</x:v>
      </x:c>
      <x:c r="C16" s="12" t="s">
        <x:v>827</x:v>
      </x:c>
      <x:c r="D16" s="13" t="s">
        <x:v>2867</x:v>
      </x:c>
      <x:c r="E16" s="12" t="s">
        <x:v>160</x:v>
      </x:c>
      <x:c r="F16" s="12" t="s">
        <x:v>185</x:v>
      </x:c>
      <x:c r="G16" s="13" t="s">
        <x:v>2868</x:v>
      </x:c>
      <x:c r="H16" s="12" t="s">
        <x:v>125</x:v>
      </x:c>
      <x:c r="I16" s="12" t="s">
        <x:v>140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2869</x:v>
      </x:c>
      <x:c r="B17" s="12" t="s">
        <x:v>2870</x:v>
      </x:c>
      <x:c r="C17" s="12" t="s">
        <x:v>918</x:v>
      </x:c>
      <x:c r="D17" s="13" t="s">
        <x:v>2871</x:v>
      </x:c>
      <x:c r="E17" s="12" t="s">
        <x:v>160</x:v>
      </x:c>
      <x:c r="F17" s="12" t="s">
        <x:v>185</x:v>
      </x:c>
      <x:c r="G17" s="13" t="s">
        <x:v>2872</x:v>
      </x:c>
      <x:c r="H17" s="12" t="s">
        <x:v>125</x:v>
      </x:c>
      <x:c r="I17" s="12" t="s">
        <x:v>140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2873</x:v>
      </x:c>
      <x:c r="B18" s="12" t="s">
        <x:v>2731</x:v>
      </x:c>
      <x:c r="C18" s="12" t="s">
        <x:v>918</x:v>
      </x:c>
      <x:c r="D18" s="13" t="s">
        <x:v>2874</x:v>
      </x:c>
      <x:c r="E18" s="12" t="s">
        <x:v>160</x:v>
      </x:c>
      <x:c r="F18" s="12" t="s">
        <x:v>185</x:v>
      </x:c>
      <x:c r="G18" s="13" t="s">
        <x:v>2872</x:v>
      </x:c>
      <x:c r="H18" s="12" t="s">
        <x:v>125</x:v>
      </x:c>
      <x:c r="I18" s="12" t="s">
        <x:v>140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2875</x:v>
      </x:c>
      <x:c r="B19" s="12" t="s">
        <x:v>1991</x:v>
      </x:c>
      <x:c r="C19" s="12" t="s">
        <x:v>918</x:v>
      </x:c>
      <x:c r="D19" s="13" t="s">
        <x:v>2876</x:v>
      </x:c>
      <x:c r="E19" s="12" t="s">
        <x:v>160</x:v>
      </x:c>
      <x:c r="F19" s="12" t="s">
        <x:v>185</x:v>
      </x:c>
      <x:c r="G19" s="13" t="s">
        <x:v>2868</x:v>
      </x:c>
      <x:c r="H19" s="12" t="s">
        <x:v>125</x:v>
      </x:c>
      <x:c r="I19" s="12" t="s">
        <x:v>140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2877</x:v>
      </x:c>
      <x:c r="B20" s="12" t="s">
        <x:v>2878</x:v>
      </x:c>
      <x:c r="C20" s="12" t="s">
        <x:v>2879</x:v>
      </x:c>
      <x:c r="D20" s="13" t="s">
        <x:v>2880</x:v>
      </x:c>
      <x:c r="E20" s="12" t="s">
        <x:v>160</x:v>
      </x:c>
      <x:c r="F20" s="12" t="s">
        <x:v>185</x:v>
      </x:c>
      <x:c r="G20" s="13" t="s">
        <x:v>2868</x:v>
      </x:c>
      <x:c r="H20" s="12" t="s">
        <x:v>125</x:v>
      </x:c>
      <x:c r="I20" s="12" t="s">
        <x:v>140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2881</x:v>
      </x:c>
      <x:c r="B21" s="12" t="s">
        <x:v>1662</x:v>
      </x:c>
      <x:c r="C21" s="12" t="s">
        <x:v>2882</x:v>
      </x:c>
      <x:c r="D21" s="13" t="s">
        <x:v>2883</x:v>
      </x:c>
      <x:c r="E21" s="12" t="s">
        <x:v>160</x:v>
      </x:c>
      <x:c r="F21" s="12" t="s">
        <x:v>185</x:v>
      </x:c>
      <x:c r="G21" s="13" t="s">
        <x:v>2868</x:v>
      </x:c>
      <x:c r="H21" s="12" t="s">
        <x:v>125</x:v>
      </x:c>
      <x:c r="I21" s="12" t="s">
        <x:v>140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2884</x:v>
      </x:c>
      <x:c r="B22" s="12" t="s">
        <x:v>199</x:v>
      </x:c>
      <x:c r="C22" s="12" t="s">
        <x:v>2885</x:v>
      </x:c>
      <x:c r="D22" s="13" t="s">
        <x:v>2886</x:v>
      </x:c>
      <x:c r="E22" s="12" t="s">
        <x:v>160</x:v>
      </x:c>
      <x:c r="F22" s="12" t="s">
        <x:v>185</x:v>
      </x:c>
      <x:c r="G22" s="13" t="s">
        <x:v>2868</x:v>
      </x:c>
      <x:c r="H22" s="12" t="s">
        <x:v>125</x:v>
      </x:c>
      <x:c r="I22" s="12" t="s">
        <x:v>140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2887</x:v>
      </x:c>
      <x:c r="B23" s="12" t="s">
        <x:v>2604</x:v>
      </x:c>
      <x:c r="C23" s="12" t="s">
        <x:v>1265</x:v>
      </x:c>
      <x:c r="D23" s="13" t="s">
        <x:v>2888</x:v>
      </x:c>
      <x:c r="E23" s="12" t="s">
        <x:v>160</x:v>
      </x:c>
      <x:c r="F23" s="12" t="s">
        <x:v>195</x:v>
      </x:c>
      <x:c r="G23" s="13" t="s">
        <x:v>2889</x:v>
      </x:c>
      <x:c r="H23" s="12" t="s">
        <x:v>123</x:v>
      </x:c>
      <x:c r="I23" s="12" t="s">
        <x:v>139</x:v>
      </x:c>
      <x:c r="J23" s="14" t="n">
        <x:v>46231</x:v>
      </x:c>
      <x:c r="K23" s="13" t="s">
        <x:v>2671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2890</x:v>
      </x:c>
      <x:c r="B24" s="12" t="s">
        <x:v>93</x:v>
      </x:c>
      <x:c r="C24" s="12" t="s">
        <x:v>1265</x:v>
      </x:c>
      <x:c r="D24" s="13" t="s">
        <x:v>2891</x:v>
      </x:c>
      <x:c r="E24" s="12" t="s">
        <x:v>160</x:v>
      </x:c>
      <x:c r="F24" s="12" t="s">
        <x:v>195</x:v>
      </x:c>
      <x:c r="G24" s="13" t="s">
        <x:v>2889</x:v>
      </x:c>
      <x:c r="H24" s="12" t="s">
        <x:v>123</x:v>
      </x:c>
      <x:c r="I24" s="12" t="s">
        <x:v>139</x:v>
      </x:c>
      <x:c r="J24" s="14" t="n">
        <x:v>46231</x:v>
      </x:c>
      <x:c r="K24" s="13" t="s">
        <x:v>2671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2892</x:v>
      </x:c>
      <x:c r="B25" s="12" t="s">
        <x:v>193</x:v>
      </x:c>
      <x:c r="C25" s="12" t="s">
        <x:v>1265</x:v>
      </x:c>
      <x:c r="D25" s="13" t="s">
        <x:v>2893</x:v>
      </x:c>
      <x:c r="E25" s="12" t="s">
        <x:v>160</x:v>
      </x:c>
      <x:c r="F25" s="12" t="s">
        <x:v>195</x:v>
      </x:c>
      <x:c r="G25" s="13" t="s">
        <x:v>2889</x:v>
      </x:c>
      <x:c r="H25" s="12" t="s">
        <x:v>123</x:v>
      </x:c>
      <x:c r="I25" s="12" t="s">
        <x:v>139</x:v>
      </x:c>
      <x:c r="J25" s="14" t="n">
        <x:v>46231</x:v>
      </x:c>
      <x:c r="K25" s="13" t="s">
        <x:v>2755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2894</x:v>
      </x:c>
      <x:c r="B26" s="12" t="s">
        <x:v>1604</x:v>
      </x:c>
      <x:c r="C26" s="12" t="s">
        <x:v>1265</x:v>
      </x:c>
      <x:c r="D26" s="13" t="s">
        <x:v>2895</x:v>
      </x:c>
      <x:c r="E26" s="12" t="s">
        <x:v>160</x:v>
      </x:c>
      <x:c r="F26" s="12" t="s">
        <x:v>180</x:v>
      </x:c>
      <x:c r="G26" s="13" t="s">
        <x:v>2896</x:v>
      </x:c>
      <x:c r="H26" s="12" t="s">
        <x:v>125</x:v>
      </x:c>
      <x:c r="I26" s="12" t="s">
        <x:v>140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2897</x:v>
      </x:c>
      <x:c r="B27" s="12" t="s">
        <x:v>188</x:v>
      </x:c>
      <x:c r="C27" s="12" t="s">
        <x:v>1265</x:v>
      </x:c>
      <x:c r="D27" s="13" t="s">
        <x:v>2898</x:v>
      </x:c>
      <x:c r="E27" s="12" t="s">
        <x:v>160</x:v>
      </x:c>
      <x:c r="F27" s="12" t="s">
        <x:v>190</x:v>
      </x:c>
      <x:c r="G27" s="13" t="s">
        <x:v>2868</x:v>
      </x:c>
      <x:c r="H27" s="12" t="s">
        <x:v>125</x:v>
      </x:c>
      <x:c r="I27" s="12" t="s">
        <x:v>140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2899</x:v>
      </x:c>
      <x:c r="B28" s="12" t="s">
        <x:v>646</x:v>
      </x:c>
      <x:c r="C28" s="12" t="s">
        <x:v>1265</x:v>
      </x:c>
      <x:c r="D28" s="13" t="s">
        <x:v>2900</x:v>
      </x:c>
      <x:c r="E28" s="12" t="s">
        <x:v>160</x:v>
      </x:c>
      <x:c r="F28" s="12" t="s">
        <x:v>648</x:v>
      </x:c>
      <x:c r="G28" s="13" t="s">
        <x:v>2901</x:v>
      </x:c>
      <x:c r="H28" s="12" t="s">
        <x:v>125</x:v>
      </x:c>
      <x:c r="I28" s="12" t="s">
        <x:v>140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2902</x:v>
      </x:c>
      <x:c r="B29" s="12" t="s">
        <x:v>2459</x:v>
      </x:c>
      <x:c r="C29" s="12" t="s">
        <x:v>2683</x:v>
      </x:c>
      <x:c r="D29" s="13" t="s">
        <x:v>2903</x:v>
      </x:c>
      <x:c r="E29" s="12" t="s">
        <x:v>160</x:v>
      </x:c>
      <x:c r="F29" s="12" t="s">
        <x:v>2685</x:v>
      </x:c>
      <x:c r="G29" s="13" t="s">
        <x:v>2904</x:v>
      </x:c>
      <x:c r="H29" s="12" t="s">
        <x:v>125</x:v>
      </x:c>
      <x:c r="I29" s="12" t="s">
        <x:v>140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2905</x:v>
      </x:c>
      <x:c r="B30" s="12" t="s">
        <x:v>220</x:v>
      </x:c>
      <x:c r="C30" s="12" t="s">
        <x:v>2688</x:v>
      </x:c>
      <x:c r="D30" s="13" t="s">
        <x:v>2906</x:v>
      </x:c>
      <x:c r="E30" s="12" t="s">
        <x:v>160</x:v>
      </x:c>
      <x:c r="F30" s="12" t="s">
        <x:v>2685</x:v>
      </x:c>
      <x:c r="G30" s="13" t="s">
        <x:v>2907</x:v>
      </x:c>
      <x:c r="H30" s="12" t="s">
        <x:v>125</x:v>
      </x:c>
      <x:c r="I30" s="12" t="s">
        <x:v>140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2908</x:v>
      </x:c>
      <x:c r="B31" s="12" t="s">
        <x:v>224</x:v>
      </x:c>
      <x:c r="C31" s="12" t="s">
        <x:v>1265</x:v>
      </x:c>
      <x:c r="D31" s="13" t="s">
        <x:v>2909</x:v>
      </x:c>
      <x:c r="E31" s="12" t="s">
        <x:v>226</x:v>
      </x:c>
      <x:c r="F31" s="12" t="s">
        <x:v>226</x:v>
      </x:c>
      <x:c r="G31" s="13" t="s">
        <x:v>227</x:v>
      </x:c>
      <x:c r="H31" s="12" t="s">
        <x:v>125</x:v>
      </x:c>
      <x:c r="I31" s="12" t="s">
        <x:v>140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2910</x:v>
      </x:c>
      <x:c r="B32" s="12" t="s">
        <x:v>212</x:v>
      </x:c>
      <x:c r="C32" s="12" t="s">
        <x:v>1265</x:v>
      </x:c>
      <x:c r="D32" s="13" t="s">
        <x:v>2911</x:v>
      </x:c>
      <x:c r="E32" s="12" t="s">
        <x:v>160</x:v>
      </x:c>
      <x:c r="F32" s="12" t="s">
        <x:v>201</x:v>
      </x:c>
      <x:c r="G32" s="13" t="s">
        <x:v>2912</x:v>
      </x:c>
      <x:c r="H32" s="12" t="s">
        <x:v>119</x:v>
      </x:c>
      <x:c r="I32" s="12" t="s">
        <x:v>139</x:v>
      </x:c>
      <x:c r="J32" s="14" t="n">
        <x:v>46231</x:v>
      </x:c>
      <x:c r="K32" s="13" t="s">
        <x:v>1882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0</x:v>
      </x:c>
    </x:row>
    <x:row r="33" s="4" customFormat="1" ht="54" hidden="0" customHeight="1">
      <x:c r="A33" s="12" t="s">
        <x:v>2913</x:v>
      </x:c>
      <x:c r="B33" s="12" t="s">
        <x:v>229</x:v>
      </x:c>
      <x:c r="C33" s="12" t="s">
        <x:v>2701</x:v>
      </x:c>
      <x:c r="D33" s="13" t="s">
        <x:v>2624</x:v>
      </x:c>
      <x:c r="E33" s="12" t="s">
        <x:v>160</x:v>
      </x:c>
      <x:c r="F33" s="12" t="s">
        <x:v>160</x:v>
      </x:c>
      <x:c r="G33" s="13" t="s">
        <x:v>2625</x:v>
      </x:c>
      <x:c r="H33" s="12" t="s">
        <x:v>125</x:v>
      </x:c>
      <x:c r="I33" s="12" t="s">
        <x:v>140</x:v>
      </x:c>
      <x:c r="J33" s="14" t="n">
        <x:v>46231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2914</x:v>
      </x:c>
      <x:c r="B34" s="12" t="s">
        <x:v>2779</x:v>
      </x:c>
      <x:c r="C34" s="12" t="s">
        <x:v>1265</x:v>
      </x:c>
      <x:c r="D34" s="13" t="s">
        <x:v>2915</x:v>
      </x:c>
      <x:c r="E34" s="12" t="s">
        <x:v>160</x:v>
      </x:c>
      <x:c r="F34" s="12" t="s">
        <x:v>2685</x:v>
      </x:c>
      <x:c r="G34" s="13" t="s">
        <x:v>2904</x:v>
      </x:c>
      <x:c r="H34" s="12" t="s">
        <x:v>125</x:v>
      </x:c>
      <x:c r="I34" s="12" t="s">
        <x:v>140</x:v>
      </x:c>
      <x:c r="J34" s="14" t="n">
        <x:v>46231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/>
      <x:c r="B35" s="12"/>
      <x:c r="C35" s="12"/>
      <x:c r="D35" s="13"/>
      <x:c r="E35" s="12"/>
      <x:c r="F35" s="12"/>
      <x:c r="G35" s="13"/>
      <x:c r="H35" s="12"/>
      <x:c r="I35" s="12"/>
      <x:c r="J35" s="14"/>
      <x:c r="K35" s="13"/>
      <x:c r="L35" s="12"/>
      <x:c r="M35" s="12"/>
    </x:row>
    <x:row r="36" s="4" customFormat="1" ht="54" hidden="0" customHeight="1">
      <x:c r="A36" s="12"/>
      <x:c r="B36" s="12"/>
      <x:c r="C36" s="12"/>
      <x:c r="D36" s="13"/>
      <x:c r="E36" s="12"/>
      <x:c r="F36" s="12"/>
      <x:c r="G36" s="13"/>
      <x:c r="H36" s="12"/>
      <x:c r="I36" s="12"/>
      <x:c r="J36" s="14"/>
      <x:c r="K36" s="13"/>
      <x:c r="L36" s="12"/>
      <x:c r="M36" s="12"/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2916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2917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COUNTA(A9:A39)</x:f>
        <x:v>31</x:v>
      </x:c>
      <x:c r="D4" s="6" t="s">
        <x:v>143</x:v>
      </x:c>
      <x:c r="E4" s="7" t="n">
        <x:f aca="0">SUM(M9:M39)</x:f>
        <x:v>30</x:v>
      </x:c>
      <x:c r="G4" s="6" t="s">
        <x:v>13</x:v>
      </x:c>
      <x:c r="H4" s="8" t="n">
        <x:f aca="0">IF(B4=0,0,E4/B4)</x:f>
        <x:v>0.967741935483871</x:v>
      </x:c>
      <x:c r="J4" s="6" t="s">
        <x:v>14</x:v>
      </x:c>
      <x:c r="K4" s="7" t="str">
        <x:f aca="0">IF(COUNTIFS(E9:E39,"package",M9:M39,0)&gt;0,"open","complete")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IF(COUNTIFS(I9:I39,"yes",M9:M39,0)&gt;0,"open","complete")</x:f>
        <x:v>open</x:v>
      </x:c>
      <x:c r="D5" s="6" t="s">
        <x:v>15</x:v>
      </x:c>
      <x:c r="E5" s="7" t="str">
        <x:f aca="0">IF(COUNTIFS(E9:E39,"consumer",M9:M39,0)&gt;0,"open","complete")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2918</x:v>
      </x:c>
      <x:c r="B9" s="12" t="s">
        <x:v>2919</x:v>
      </x:c>
      <x:c r="C9" s="12" t="s">
        <x:v>918</x:v>
      </x:c>
      <x:c r="D9" s="13" t="s">
        <x:v>2920</x:v>
      </x:c>
      <x:c r="E9" s="12" t="s">
        <x:v>160</x:v>
      </x:c>
      <x:c r="F9" s="12" t="s">
        <x:v>161</x:v>
      </x:c>
      <x:c r="G9" s="13" t="s">
        <x:v>2921</x:v>
      </x:c>
      <x:c r="H9" s="12" t="s">
        <x:v>125</x:v>
      </x:c>
      <x:c r="I9" s="12" t="s">
        <x:v>140</x:v>
      </x:c>
      <x:c r="J9" s="14" t="n">
        <x:v>46232</x:v>
      </x:c>
      <x:c r="K9" s="13" t="s">
        <x:v>2922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2923</x:v>
      </x:c>
      <x:c r="B10" s="12" t="s">
        <x:v>2472</x:v>
      </x:c>
      <x:c r="C10" s="12" t="s">
        <x:v>918</x:v>
      </x:c>
      <x:c r="D10" s="13" t="s">
        <x:v>2924</x:v>
      </x:c>
      <x:c r="E10" s="12" t="s">
        <x:v>160</x:v>
      </x:c>
      <x:c r="F10" s="12" t="s">
        <x:v>180</x:v>
      </x:c>
      <x:c r="G10" s="13" t="s">
        <x:v>2925</x:v>
      </x:c>
      <x:c r="H10" s="12" t="s">
        <x:v>125</x:v>
      </x:c>
      <x:c r="I10" s="12" t="s">
        <x:v>140</x:v>
      </x:c>
      <x:c r="J10" s="14" t="n">
        <x:v>46232</x:v>
      </x:c>
      <x:c r="K10" s="13" t="s">
        <x:v>2926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2927</x:v>
      </x:c>
      <x:c r="B11" s="12" t="s">
        <x:v>1423</x:v>
      </x:c>
      <x:c r="C11" s="12" t="s">
        <x:v>918</x:v>
      </x:c>
      <x:c r="D11" s="13" t="s">
        <x:v>2928</x:v>
      </x:c>
      <x:c r="E11" s="12" t="s">
        <x:v>160</x:v>
      </x:c>
      <x:c r="F11" s="12" t="s">
        <x:v>180</x:v>
      </x:c>
      <x:c r="G11" s="13" t="s">
        <x:v>2929</x:v>
      </x:c>
      <x:c r="H11" s="12" t="s">
        <x:v>125</x:v>
      </x:c>
      <x:c r="I11" s="12" t="s">
        <x:v>140</x:v>
      </x:c>
      <x:c r="J11" s="14" t="n">
        <x:v>46232</x:v>
      </x:c>
      <x:c r="K11" s="13" t="s">
        <x:v>2930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2931</x:v>
      </x:c>
      <x:c r="B12" s="12" t="s">
        <x:v>2932</x:v>
      </x:c>
      <x:c r="C12" s="12" t="s">
        <x:v>827</x:v>
      </x:c>
      <x:c r="D12" s="13" t="s">
        <x:v>2933</x:v>
      </x:c>
      <x:c r="E12" s="12" t="s">
        <x:v>185</x:v>
      </x:c>
      <x:c r="F12" s="12" t="s">
        <x:v>185</x:v>
      </x:c>
      <x:c r="G12" s="13" t="s">
        <x:v>2934</x:v>
      </x:c>
      <x:c r="H12" s="12" t="s">
        <x:v>125</x:v>
      </x:c>
      <x:c r="I12" s="12" t="s">
        <x:v>140</x:v>
      </x:c>
      <x:c r="J12" s="14" t="n">
        <x:v>46232</x:v>
      </x:c>
      <x:c r="K12" s="13" t="s">
        <x:v>2935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2936</x:v>
      </x:c>
      <x:c r="B13" s="12" t="s">
        <x:v>2937</x:v>
      </x:c>
      <x:c r="C13" s="12" t="s">
        <x:v>930</x:v>
      </x:c>
      <x:c r="D13" s="13" t="s">
        <x:v>2938</x:v>
      </x:c>
      <x:c r="E13" s="12" t="s">
        <x:v>185</x:v>
      </x:c>
      <x:c r="F13" s="12" t="s">
        <x:v>185</x:v>
      </x:c>
      <x:c r="G13" s="13" t="s">
        <x:v>2934</x:v>
      </x:c>
      <x:c r="H13" s="12" t="s">
        <x:v>125</x:v>
      </x:c>
      <x:c r="I13" s="12" t="s">
        <x:v>140</x:v>
      </x:c>
      <x:c r="J13" s="14" t="n">
        <x:v>46232</x:v>
      </x:c>
      <x:c r="K13" s="13" t="s">
        <x:v>2939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2940</x:v>
      </x:c>
      <x:c r="B14" s="12" t="s">
        <x:v>2941</x:v>
      </x:c>
      <x:c r="C14" s="12" t="s">
        <x:v>918</x:v>
      </x:c>
      <x:c r="D14" s="13" t="s">
        <x:v>2942</x:v>
      </x:c>
      <x:c r="E14" s="12" t="s">
        <x:v>185</x:v>
      </x:c>
      <x:c r="F14" s="12" t="s">
        <x:v>185</x:v>
      </x:c>
      <x:c r="G14" s="13" t="s">
        <x:v>2943</x:v>
      </x:c>
      <x:c r="H14" s="12" t="s">
        <x:v>125</x:v>
      </x:c>
      <x:c r="I14" s="12" t="s">
        <x:v>140</x:v>
      </x:c>
      <x:c r="J14" s="14" t="n">
        <x:v>46232</x:v>
      </x:c>
      <x:c r="K14" s="13" t="s">
        <x:v>2944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2945</x:v>
      </x:c>
      <x:c r="B15" s="12" t="s">
        <x:v>1656</x:v>
      </x:c>
      <x:c r="C15" s="12" t="s">
        <x:v>918</x:v>
      </x:c>
      <x:c r="D15" s="13" t="s">
        <x:v>2946</x:v>
      </x:c>
      <x:c r="E15" s="12" t="s">
        <x:v>185</x:v>
      </x:c>
      <x:c r="F15" s="12" t="s">
        <x:v>185</x:v>
      </x:c>
      <x:c r="G15" s="13" t="s">
        <x:v>2934</x:v>
      </x:c>
      <x:c r="H15" s="12" t="s">
        <x:v>125</x:v>
      </x:c>
      <x:c r="I15" s="12" t="s">
        <x:v>140</x:v>
      </x:c>
      <x:c r="J15" s="14" t="n">
        <x:v>46232</x:v>
      </x:c>
      <x:c r="K15" s="13" t="s">
        <x:v>2947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2948</x:v>
      </x:c>
      <x:c r="B16" s="12" t="s">
        <x:v>2949</x:v>
      </x:c>
      <x:c r="C16" s="12" t="s">
        <x:v>918</x:v>
      </x:c>
      <x:c r="D16" s="13" t="s">
        <x:v>2950</x:v>
      </x:c>
      <x:c r="E16" s="12" t="s">
        <x:v>185</x:v>
      </x:c>
      <x:c r="F16" s="12" t="s">
        <x:v>185</x:v>
      </x:c>
      <x:c r="G16" s="13" t="s">
        <x:v>2934</x:v>
      </x:c>
      <x:c r="H16" s="12" t="s">
        <x:v>125</x:v>
      </x:c>
      <x:c r="I16" s="12" t="s">
        <x:v>140</x:v>
      </x:c>
      <x:c r="J16" s="14" t="n">
        <x:v>46232</x:v>
      </x:c>
      <x:c r="K16" s="13" t="s">
        <x:v>2951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2952</x:v>
      </x:c>
      <x:c r="B17" s="12" t="s">
        <x:v>2953</x:v>
      </x:c>
      <x:c r="C17" s="12" t="s">
        <x:v>930</x:v>
      </x:c>
      <x:c r="D17" s="13" t="s">
        <x:v>2954</x:v>
      </x:c>
      <x:c r="E17" s="12" t="s">
        <x:v>185</x:v>
      </x:c>
      <x:c r="F17" s="12" t="s">
        <x:v>185</x:v>
      </x:c>
      <x:c r="G17" s="13" t="s">
        <x:v>2934</x:v>
      </x:c>
      <x:c r="H17" s="12" t="s">
        <x:v>125</x:v>
      </x:c>
      <x:c r="I17" s="12" t="s">
        <x:v>140</x:v>
      </x:c>
      <x:c r="J17" s="14" t="n">
        <x:v>46232</x:v>
      </x:c>
      <x:c r="K17" s="13" t="s">
        <x:v>2955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2956</x:v>
      </x:c>
      <x:c r="B18" s="12" t="s">
        <x:v>2957</x:v>
      </x:c>
      <x:c r="C18" s="12" t="s">
        <x:v>827</x:v>
      </x:c>
      <x:c r="D18" s="13" t="s">
        <x:v>2958</x:v>
      </x:c>
      <x:c r="E18" s="12" t="s">
        <x:v>185</x:v>
      </x:c>
      <x:c r="F18" s="12" t="s">
        <x:v>185</x:v>
      </x:c>
      <x:c r="G18" s="13" t="s">
        <x:v>2934</x:v>
      </x:c>
      <x:c r="H18" s="12" t="s">
        <x:v>125</x:v>
      </x:c>
      <x:c r="I18" s="12" t="s">
        <x:v>140</x:v>
      </x:c>
      <x:c r="J18" s="14" t="n">
        <x:v>46232</x:v>
      </x:c>
      <x:c r="K18" s="13" t="s">
        <x:v>2959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2960</x:v>
      </x:c>
      <x:c r="B19" s="12" t="s">
        <x:v>164</x:v>
      </x:c>
      <x:c r="C19" s="12" t="s">
        <x:v>73</x:v>
      </x:c>
      <x:c r="D19" s="13" t="s">
        <x:v>2961</x:v>
      </x:c>
      <x:c r="E19" s="12" t="s">
        <x:v>160</x:v>
      </x:c>
      <x:c r="F19" s="12" t="s">
        <x:v>160</x:v>
      </x:c>
      <x:c r="G19" s="13" t="s">
        <x:v>2962</x:v>
      </x:c>
      <x:c r="H19" s="12" t="s">
        <x:v>125</x:v>
      </x:c>
      <x:c r="I19" s="12" t="s">
        <x:v>140</x:v>
      </x:c>
      <x:c r="J19" s="14" t="n">
        <x:v>46232</x:v>
      </x:c>
      <x:c r="K19" s="13" t="s">
        <x:v>2963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2964</x:v>
      </x:c>
      <x:c r="B20" s="12" t="s">
        <x:v>168</x:v>
      </x:c>
      <x:c r="C20" s="12" t="s">
        <x:v>2481</x:v>
      </x:c>
      <x:c r="D20" s="13" t="s">
        <x:v>2965</x:v>
      </x:c>
      <x:c r="E20" s="12" t="s">
        <x:v>160</x:v>
      </x:c>
      <x:c r="F20" s="12" t="s">
        <x:v>170</x:v>
      </x:c>
      <x:c r="G20" s="13" t="s">
        <x:v>2966</x:v>
      </x:c>
      <x:c r="H20" s="12" t="s">
        <x:v>125</x:v>
      </x:c>
      <x:c r="I20" s="12" t="s">
        <x:v>140</x:v>
      </x:c>
      <x:c r="J20" s="14" t="n">
        <x:v>46232</x:v>
      </x:c>
      <x:c r="K20" s="13" t="s">
        <x:v>2967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2968</x:v>
      </x:c>
      <x:c r="B21" s="12" t="s">
        <x:v>1391</x:v>
      </x:c>
      <x:c r="C21" s="12" t="s">
        <x:v>918</x:v>
      </x:c>
      <x:c r="D21" s="13" t="s">
        <x:v>2969</x:v>
      </x:c>
      <x:c r="E21" s="12" t="s">
        <x:v>160</x:v>
      </x:c>
      <x:c r="F21" s="12" t="s">
        <x:v>160</x:v>
      </x:c>
      <x:c r="G21" s="13" t="s">
        <x:v>1393</x:v>
      </x:c>
      <x:c r="H21" s="12" t="s">
        <x:v>125</x:v>
      </x:c>
      <x:c r="I21" s="12" t="s">
        <x:v>140</x:v>
      </x:c>
      <x:c r="J21" s="14" t="n">
        <x:v>46232</x:v>
      </x:c>
      <x:c r="K21" s="13" t="s">
        <x:v>2970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2971</x:v>
      </x:c>
      <x:c r="B22" s="12" t="s">
        <x:v>173</x:v>
      </x:c>
      <x:c r="C22" s="12" t="s">
        <x:v>918</x:v>
      </x:c>
      <x:c r="D22" s="13" t="s">
        <x:v>2972</x:v>
      </x:c>
      <x:c r="E22" s="12" t="s">
        <x:v>160</x:v>
      </x:c>
      <x:c r="F22" s="12" t="s">
        <x:v>175</x:v>
      </x:c>
      <x:c r="G22" s="13" t="s">
        <x:v>2973</x:v>
      </x:c>
      <x:c r="H22" s="12" t="s">
        <x:v>125</x:v>
      </x:c>
      <x:c r="I22" s="12" t="s">
        <x:v>140</x:v>
      </x:c>
      <x:c r="J22" s="14" t="n">
        <x:v>46232</x:v>
      </x:c>
      <x:c r="K22" s="13" t="s">
        <x:v>2974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2975</x:v>
      </x:c>
      <x:c r="B23" s="12" t="s">
        <x:v>1766</x:v>
      </x:c>
      <x:c r="C23" s="12" t="s">
        <x:v>918</x:v>
      </x:c>
      <x:c r="D23" s="13" t="s">
        <x:v>2976</x:v>
      </x:c>
      <x:c r="E23" s="12" t="s">
        <x:v>185</x:v>
      </x:c>
      <x:c r="F23" s="12" t="s">
        <x:v>195</x:v>
      </x:c>
      <x:c r="G23" s="13" t="s">
        <x:v>2977</x:v>
      </x:c>
      <x:c r="H23" s="12" t="s">
        <x:v>125</x:v>
      </x:c>
      <x:c r="I23" s="12" t="s">
        <x:v>140</x:v>
      </x:c>
      <x:c r="J23" s="14" t="n">
        <x:v>46232</x:v>
      </x:c>
      <x:c r="K23" s="13" t="s">
        <x:v>2978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2979</x:v>
      </x:c>
      <x:c r="B24" s="12" t="s">
        <x:v>2980</x:v>
      </x:c>
      <x:c r="C24" s="12" t="s">
        <x:v>918</x:v>
      </x:c>
      <x:c r="D24" s="13" t="s">
        <x:v>2981</x:v>
      </x:c>
      <x:c r="E24" s="12" t="s">
        <x:v>185</x:v>
      </x:c>
      <x:c r="F24" s="12" t="s">
        <x:v>195</x:v>
      </x:c>
      <x:c r="G24" s="13" t="s">
        <x:v>2977</x:v>
      </x:c>
      <x:c r="H24" s="12" t="s">
        <x:v>125</x:v>
      </x:c>
      <x:c r="I24" s="12" t="s">
        <x:v>140</x:v>
      </x:c>
      <x:c r="J24" s="14" t="n">
        <x:v>46232</x:v>
      </x:c>
      <x:c r="K24" s="13" t="s">
        <x:v>2982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2983</x:v>
      </x:c>
      <x:c r="B25" s="12" t="s">
        <x:v>2984</x:v>
      </x:c>
      <x:c r="C25" s="12" t="s">
        <x:v>2985</x:v>
      </x:c>
      <x:c r="D25" s="13" t="s">
        <x:v>2986</x:v>
      </x:c>
      <x:c r="E25" s="12" t="s">
        <x:v>185</x:v>
      </x:c>
      <x:c r="F25" s="12" t="s">
        <x:v>195</x:v>
      </x:c>
      <x:c r="G25" s="13" t="s">
        <x:v>2977</x:v>
      </x:c>
      <x:c r="H25" s="12" t="s">
        <x:v>125</x:v>
      </x:c>
      <x:c r="I25" s="12" t="s">
        <x:v>140</x:v>
      </x:c>
      <x:c r="J25" s="14" t="n">
        <x:v>46232</x:v>
      </x:c>
      <x:c r="K25" s="13" t="s">
        <x:v>2987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2988</x:v>
      </x:c>
      <x:c r="B26" s="12" t="s">
        <x:v>2989</x:v>
      </x:c>
      <x:c r="C26" s="12" t="s">
        <x:v>918</x:v>
      </x:c>
      <x:c r="D26" s="13" t="s">
        <x:v>2990</x:v>
      </x:c>
      <x:c r="E26" s="12" t="s">
        <x:v>160</x:v>
      </x:c>
      <x:c r="F26" s="12" t="s">
        <x:v>180</x:v>
      </x:c>
      <x:c r="G26" s="13" t="s">
        <x:v>2929</x:v>
      </x:c>
      <x:c r="H26" s="12" t="s">
        <x:v>125</x:v>
      </x:c>
      <x:c r="I26" s="12" t="s">
        <x:v>140</x:v>
      </x:c>
      <x:c r="J26" s="14" t="n">
        <x:v>46232</x:v>
      </x:c>
      <x:c r="K26" s="13" t="s">
        <x:v>2991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2992</x:v>
      </x:c>
      <x:c r="B27" s="12" t="s">
        <x:v>2993</x:v>
      </x:c>
      <x:c r="C27" s="12" t="s">
        <x:v>2994</x:v>
      </x:c>
      <x:c r="D27" s="13" t="s">
        <x:v>2995</x:v>
      </x:c>
      <x:c r="E27" s="12" t="s">
        <x:v>185</x:v>
      </x:c>
      <x:c r="F27" s="12" t="s">
        <x:v>185</x:v>
      </x:c>
      <x:c r="G27" s="13" t="s">
        <x:v>2996</x:v>
      </x:c>
      <x:c r="H27" s="12" t="s">
        <x:v>125</x:v>
      </x:c>
      <x:c r="I27" s="12" t="s">
        <x:v>140</x:v>
      </x:c>
      <x:c r="J27" s="14" t="n">
        <x:v>46232</x:v>
      </x:c>
      <x:c r="K27" s="13" t="s">
        <x:v>2997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2998</x:v>
      </x:c>
      <x:c r="B28" s="12" t="s">
        <x:v>199</x:v>
      </x:c>
      <x:c r="C28" s="12" t="s">
        <x:v>918</x:v>
      </x:c>
      <x:c r="D28" s="13" t="s">
        <x:v>2999</x:v>
      </x:c>
      <x:c r="E28" s="12" t="s">
        <x:v>185</x:v>
      </x:c>
      <x:c r="F28" s="12" t="s">
        <x:v>185</x:v>
      </x:c>
      <x:c r="G28" s="13" t="s">
        <x:v>2977</x:v>
      </x:c>
      <x:c r="H28" s="12" t="s">
        <x:v>125</x:v>
      </x:c>
      <x:c r="I28" s="12" t="s">
        <x:v>140</x:v>
      </x:c>
      <x:c r="J28" s="14" t="n">
        <x:v>46232</x:v>
      </x:c>
      <x:c r="K28" s="13" t="s">
        <x:v>3000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3001</x:v>
      </x:c>
      <x:c r="B29" s="12" t="s">
        <x:v>2604</x:v>
      </x:c>
      <x:c r="C29" s="12" t="s">
        <x:v>918</x:v>
      </x:c>
      <x:c r="D29" s="13" t="s">
        <x:v>3002</x:v>
      </x:c>
      <x:c r="E29" s="12" t="s">
        <x:v>185</x:v>
      </x:c>
      <x:c r="F29" s="12" t="s">
        <x:v>185</x:v>
      </x:c>
      <x:c r="G29" s="13" t="s">
        <x:v>2977</x:v>
      </x:c>
      <x:c r="H29" s="12" t="s">
        <x:v>125</x:v>
      </x:c>
      <x:c r="I29" s="12" t="s">
        <x:v>140</x:v>
      </x:c>
      <x:c r="J29" s="14" t="n">
        <x:v>46232</x:v>
      </x:c>
      <x:c r="K29" s="13" t="s">
        <x:v>3003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3004</x:v>
      </x:c>
      <x:c r="B30" s="12" t="s">
        <x:v>3005</x:v>
      </x:c>
      <x:c r="C30" s="12" t="s">
        <x:v>918</x:v>
      </x:c>
      <x:c r="D30" s="13" t="s">
        <x:v>3006</x:v>
      </x:c>
      <x:c r="E30" s="12" t="s">
        <x:v>185</x:v>
      </x:c>
      <x:c r="F30" s="12" t="s">
        <x:v>195</x:v>
      </x:c>
      <x:c r="G30" s="13" t="s">
        <x:v>2977</x:v>
      </x:c>
      <x:c r="H30" s="12" t="s">
        <x:v>125</x:v>
      </x:c>
      <x:c r="I30" s="12" t="s">
        <x:v>140</x:v>
      </x:c>
      <x:c r="J30" s="14" t="n">
        <x:v>46232</x:v>
      </x:c>
      <x:c r="K30" s="13" t="s">
        <x:v>3007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3008</x:v>
      </x:c>
      <x:c r="B31" s="12" t="s">
        <x:v>1604</x:v>
      </x:c>
      <x:c r="C31" s="12" t="s">
        <x:v>918</x:v>
      </x:c>
      <x:c r="D31" s="13" t="s">
        <x:v>3009</x:v>
      </x:c>
      <x:c r="E31" s="12" t="s">
        <x:v>160</x:v>
      </x:c>
      <x:c r="F31" s="12" t="s">
        <x:v>180</x:v>
      </x:c>
      <x:c r="G31" s="13" t="s">
        <x:v>3010</x:v>
      </x:c>
      <x:c r="H31" s="12" t="s">
        <x:v>125</x:v>
      </x:c>
      <x:c r="I31" s="12" t="s">
        <x:v>140</x:v>
      </x:c>
      <x:c r="J31" s="14" t="n">
        <x:v>46232</x:v>
      </x:c>
      <x:c r="K31" s="13" t="s">
        <x:v>3011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3012</x:v>
      </x:c>
      <x:c r="B32" s="12" t="s">
        <x:v>188</x:v>
      </x:c>
      <x:c r="C32" s="12" t="s">
        <x:v>918</x:v>
      </x:c>
      <x:c r="D32" s="13" t="s">
        <x:v>3013</x:v>
      </x:c>
      <x:c r="E32" s="12" t="s">
        <x:v>185</x:v>
      </x:c>
      <x:c r="F32" s="12" t="s">
        <x:v>190</x:v>
      </x:c>
      <x:c r="G32" s="13" t="s">
        <x:v>2934</x:v>
      </x:c>
      <x:c r="H32" s="12" t="s">
        <x:v>125</x:v>
      </x:c>
      <x:c r="I32" s="12" t="s">
        <x:v>140</x:v>
      </x:c>
      <x:c r="J32" s="14" t="n">
        <x:v>46232</x:v>
      </x:c>
      <x:c r="K32" s="13" t="s">
        <x:v>3014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3015</x:v>
      </x:c>
      <x:c r="B33" s="12" t="s">
        <x:v>646</x:v>
      </x:c>
      <x:c r="C33" s="12" t="s">
        <x:v>918</x:v>
      </x:c>
      <x:c r="D33" s="13" t="s">
        <x:v>3016</x:v>
      </x:c>
      <x:c r="E33" s="12" t="s">
        <x:v>160</x:v>
      </x:c>
      <x:c r="F33" s="12" t="s">
        <x:v>648</x:v>
      </x:c>
      <x:c r="G33" s="13" t="s">
        <x:v>3017</x:v>
      </x:c>
      <x:c r="H33" s="12" t="s">
        <x:v>125</x:v>
      </x:c>
      <x:c r="I33" s="12" t="s">
        <x:v>140</x:v>
      </x:c>
      <x:c r="J33" s="14" t="n">
        <x:v>46232</x:v>
      </x:c>
      <x:c r="K33" s="13" t="s">
        <x:v>3018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3019</x:v>
      </x:c>
      <x:c r="B34" s="12" t="s">
        <x:v>3020</x:v>
      </x:c>
      <x:c r="C34" s="12" t="s">
        <x:v>918</x:v>
      </x:c>
      <x:c r="D34" s="13" t="s">
        <x:v>3021</x:v>
      </x:c>
      <x:c r="E34" s="12" t="s">
        <x:v>185</x:v>
      </x:c>
      <x:c r="F34" s="12" t="s">
        <x:v>195</x:v>
      </x:c>
      <x:c r="G34" s="13" t="s">
        <x:v>3022</x:v>
      </x:c>
      <x:c r="H34" s="12" t="s">
        <x:v>127</x:v>
      </x:c>
      <x:c r="I34" s="12" t="s">
        <x:v>139</x:v>
      </x:c>
      <x:c r="J34" s="14" t="n">
        <x:v>46232</x:v>
      </x:c>
      <x:c r="K34" s="13" t="s">
        <x:v>3023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3024</x:v>
      </x:c>
      <x:c r="B35" s="12" t="s">
        <x:v>2459</x:v>
      </x:c>
      <x:c r="C35" s="12" t="s">
        <x:v>3025</x:v>
      </x:c>
      <x:c r="D35" s="13" t="s">
        <x:v>3026</x:v>
      </x:c>
      <x:c r="E35" s="12" t="s">
        <x:v>160</x:v>
      </x:c>
      <x:c r="F35" s="12" t="s">
        <x:v>2685</x:v>
      </x:c>
      <x:c r="G35" s="13" t="s">
        <x:v>3027</x:v>
      </x:c>
      <x:c r="H35" s="12" t="s">
        <x:v>125</x:v>
      </x:c>
      <x:c r="I35" s="12" t="s">
        <x:v>140</x:v>
      </x:c>
      <x:c r="J35" s="14" t="n">
        <x:v>46232</x:v>
      </x:c>
      <x:c r="K35" s="13" t="s">
        <x:v>3028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3029</x:v>
      </x:c>
      <x:c r="B36" s="12" t="s">
        <x:v>224</x:v>
      </x:c>
      <x:c r="C36" s="12" t="s">
        <x:v>918</x:v>
      </x:c>
      <x:c r="D36" s="13" t="s">
        <x:v>3030</x:v>
      </x:c>
      <x:c r="E36" s="12" t="s">
        <x:v>226</x:v>
      </x:c>
      <x:c r="F36" s="12" t="s">
        <x:v>226</x:v>
      </x:c>
      <x:c r="G36" s="13" t="s">
        <x:v>227</x:v>
      </x:c>
      <x:c r="H36" s="12" t="s">
        <x:v>125</x:v>
      </x:c>
      <x:c r="I36" s="12" t="s">
        <x:v>140</x:v>
      </x:c>
      <x:c r="J36" s="14" t="n">
        <x:v>46232</x:v>
      </x:c>
      <x:c r="K36" s="13" t="s">
        <x:v>3031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 t="s">
        <x:v>3032</x:v>
      </x:c>
      <x:c r="B37" s="12" t="s">
        <x:v>212</x:v>
      </x:c>
      <x:c r="C37" s="12" t="s">
        <x:v>918</x:v>
      </x:c>
      <x:c r="D37" s="13" t="s">
        <x:v>3033</x:v>
      </x:c>
      <x:c r="E37" s="12" t="s">
        <x:v>3034</x:v>
      </x:c>
      <x:c r="F37" s="12" t="s">
        <x:v>201</x:v>
      </x:c>
      <x:c r="G37" s="13" t="s">
        <x:v>3035</x:v>
      </x:c>
      <x:c r="H37" s="12" t="s">
        <x:v>119</x:v>
      </x:c>
      <x:c r="I37" s="12" t="s">
        <x:v>139</x:v>
      </x:c>
      <x:c r="J37" s="14"/>
      <x:c r="K37" s="13" t="s">
        <x:v>3036</x:v>
      </x:c>
      <x:c r="L37" s="12" t="n">
        <x:v>1</x:v>
      </x:c>
      <x:c r="M37" s="12" t="n">
        <x:f aca="0">IF(OR(AND(I37="yes",H37="verified"),AND(I37="no",OR(H37="tested",H37="verified")),AND(H37="not applicable",K37&lt;&gt;"")),1,0)</x:f>
        <x:v>0</x:v>
      </x:c>
    </x:row>
    <x:row r="38" s="4" customFormat="1" ht="54" hidden="0" customHeight="1">
      <x:c r="A38" s="12" t="s">
        <x:v>3037</x:v>
      </x:c>
      <x:c r="B38" s="12" t="s">
        <x:v>229</x:v>
      </x:c>
      <x:c r="C38" s="12" t="s">
        <x:v>2701</x:v>
      </x:c>
      <x:c r="D38" s="13" t="s">
        <x:v>3038</x:v>
      </x:c>
      <x:c r="E38" s="12" t="s">
        <x:v>160</x:v>
      </x:c>
      <x:c r="F38" s="12" t="s">
        <x:v>160</x:v>
      </x:c>
      <x:c r="G38" s="13" t="s">
        <x:v>3039</x:v>
      </x:c>
      <x:c r="H38" s="12" t="s">
        <x:v>125</x:v>
      </x:c>
      <x:c r="I38" s="12" t="s">
        <x:v>140</x:v>
      </x:c>
      <x:c r="J38" s="14" t="n">
        <x:v>46232</x:v>
      </x:c>
      <x:c r="K38" s="13" t="s">
        <x:v>3040</x:v>
      </x:c>
      <x:c r="L38" s="12" t="n">
        <x:v>1</x:v>
      </x:c>
      <x:c r="M38" s="12" t="n">
        <x:f aca="0">IF(OR(AND(I38="yes",H38="verified"),AND(I38="no",OR(H38="tested",H38="verified")),AND(H38="not applicable",K38&lt;&gt;"")),1,0)</x:f>
        <x:v>1</x:v>
      </x:c>
    </x:row>
    <x:row r="39" s="4" customFormat="1" ht="54" hidden="0" customHeight="1">
      <x:c r="A39" s="12" t="s">
        <x:v>3041</x:v>
      </x:c>
      <x:c r="B39" s="12" t="s">
        <x:v>2779</x:v>
      </x:c>
      <x:c r="C39" s="12" t="s">
        <x:v>918</x:v>
      </x:c>
      <x:c r="D39" s="13" t="s">
        <x:v>3042</x:v>
      </x:c>
      <x:c r="E39" s="12" t="s">
        <x:v>160</x:v>
      </x:c>
      <x:c r="F39" s="12" t="s">
        <x:v>2685</x:v>
      </x:c>
      <x:c r="G39" s="13" t="s">
        <x:v>3043</x:v>
      </x:c>
      <x:c r="H39" s="12" t="s">
        <x:v>125</x:v>
      </x:c>
      <x:c r="I39" s="12" t="s">
        <x:v>140</x:v>
      </x:c>
      <x:c r="J39" s="14" t="n">
        <x:v>46232</x:v>
      </x:c>
      <x:c r="K39" s="13" t="s">
        <x:v>3044</x:v>
      </x:c>
      <x:c r="L39" s="12" t="n">
        <x:v>1</x:v>
      </x:c>
      <x:c r="M39" s="12" t="n">
        <x:f aca="0">IF(OR(AND(I39="yes",H39="verified"),AND(I39="no",OR(H39="tested",H39="verified")),AND(H39="not applicable",K39&lt;&gt;"")),1,0)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9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9">
      <x:formula1>"yes,no"</x:formula1>
      <x:formula2>0</x:formula2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3045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3046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COUNTA(A9:A34)</x:f>
        <x:v>26</x:v>
      </x:c>
      <x:c r="D4" s="6" t="s">
        <x:v>143</x:v>
      </x:c>
      <x:c r="E4" s="7" t="n">
        <x:f aca="0">SUM(M9:M34)</x:f>
        <x:v>21</x:v>
      </x:c>
      <x:c r="G4" s="6" t="s">
        <x:v>13</x:v>
      </x:c>
      <x:c r="H4" s="8" t="n">
        <x:f aca="0">IF(B4=0,0,E4/B4)</x:f>
        <x:v>0.8076923076923077</x:v>
      </x:c>
      <x:c r="J4" s="6" t="s">
        <x:v>14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IF(COUNTIFS(I9:I34,"yes",M9:M34,0)&gt;0,"open","complete")</x:f>
        <x:v>open</x:v>
      </x:c>
      <x:c r="D5" s="6" t="s">
        <x:v>15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3047</x:v>
      </x:c>
      <x:c r="B9" s="12" t="s">
        <x:v>117</x:v>
      </x:c>
      <x:c r="C9" s="12" t="s">
        <x:v>827</x:v>
      </x:c>
      <x:c r="D9" s="13" t="s">
        <x:v>3048</x:v>
      </x:c>
      <x:c r="E9" s="12" t="s">
        <x:v>160</x:v>
      </x:c>
      <x:c r="F9" s="12" t="s">
        <x:v>161</x:v>
      </x:c>
      <x:c r="G9" s="13" t="s">
        <x:v>3049</x:v>
      </x:c>
      <x:c r="H9" s="12" t="s">
        <x:v>125</x:v>
      </x:c>
      <x:c r="I9" s="12" t="s">
        <x:v>140</x:v>
      </x:c>
      <x:c r="J9" s="14" t="n">
        <x:v>46231</x:v>
      </x:c>
      <x:c r="K9" s="13" t="s">
        <x:v>3050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3051</x:v>
      </x:c>
      <x:c r="B10" s="12" t="s">
        <x:v>2472</x:v>
      </x:c>
      <x:c r="C10" s="12" t="s">
        <x:v>827</x:v>
      </x:c>
      <x:c r="D10" s="13" t="s">
        <x:v>3052</x:v>
      </x:c>
      <x:c r="E10" s="12" t="s">
        <x:v>160</x:v>
      </x:c>
      <x:c r="F10" s="12" t="s">
        <x:v>180</x:v>
      </x:c>
      <x:c r="G10" s="13" t="s">
        <x:v>3053</x:v>
      </x:c>
      <x:c r="H10" s="12" t="s">
        <x:v>125</x:v>
      </x:c>
      <x:c r="I10" s="12" t="s">
        <x:v>140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3054</x:v>
      </x:c>
      <x:c r="B11" s="12" t="s">
        <x:v>1423</x:v>
      </x:c>
      <x:c r="C11" s="12" t="s">
        <x:v>827</x:v>
      </x:c>
      <x:c r="D11" s="13" t="s">
        <x:v>3055</x:v>
      </x:c>
      <x:c r="E11" s="12" t="s">
        <x:v>160</x:v>
      </x:c>
      <x:c r="F11" s="12" t="s">
        <x:v>180</x:v>
      </x:c>
      <x:c r="G11" s="13" t="s">
        <x:v>3053</x:v>
      </x:c>
      <x:c r="H11" s="12" t="s">
        <x:v>125</x:v>
      </x:c>
      <x:c r="I11" s="12" t="s">
        <x:v>140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3056</x:v>
      </x:c>
      <x:c r="B12" s="12" t="s">
        <x:v>168</x:v>
      </x:c>
      <x:c r="C12" s="12" t="s">
        <x:v>2481</x:v>
      </x:c>
      <x:c r="D12" s="13" t="s">
        <x:v>3057</x:v>
      </x:c>
      <x:c r="E12" s="12" t="s">
        <x:v>160</x:v>
      </x:c>
      <x:c r="F12" s="12" t="s">
        <x:v>170</x:v>
      </x:c>
      <x:c r="G12" s="13" t="s">
        <x:v>3058</x:v>
      </x:c>
      <x:c r="H12" s="12" t="s">
        <x:v>125</x:v>
      </x:c>
      <x:c r="I12" s="12" t="s">
        <x:v>140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3059</x:v>
      </x:c>
      <x:c r="B13" s="12" t="s">
        <x:v>164</x:v>
      </x:c>
      <x:c r="C13" s="12" t="s">
        <x:v>827</x:v>
      </x:c>
      <x:c r="D13" s="13" t="s">
        <x:v>3060</x:v>
      </x:c>
      <x:c r="E13" s="12" t="s">
        <x:v>160</x:v>
      </x:c>
      <x:c r="F13" s="12" t="s">
        <x:v>160</x:v>
      </x:c>
      <x:c r="G13" s="13" t="s">
        <x:v>166</x:v>
      </x:c>
      <x:c r="H13" s="12" t="s">
        <x:v>125</x:v>
      </x:c>
      <x:c r="I13" s="12" t="s">
        <x:v>140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3061</x:v>
      </x:c>
      <x:c r="B14" s="12" t="s">
        <x:v>1391</x:v>
      </x:c>
      <x:c r="C14" s="12" t="s">
        <x:v>827</x:v>
      </x:c>
      <x:c r="D14" s="13" t="s">
        <x:v>3062</x:v>
      </x:c>
      <x:c r="E14" s="12" t="s">
        <x:v>160</x:v>
      </x:c>
      <x:c r="F14" s="12" t="s">
        <x:v>160</x:v>
      </x:c>
      <x:c r="G14" s="13" t="s">
        <x:v>1393</x:v>
      </x:c>
      <x:c r="H14" s="12" t="s">
        <x:v>125</x:v>
      </x:c>
      <x:c r="I14" s="12" t="s">
        <x:v>140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3063</x:v>
      </x:c>
      <x:c r="B15" s="12" t="s">
        <x:v>1374</x:v>
      </x:c>
      <x:c r="C15" s="12" t="s">
        <x:v>827</x:v>
      </x:c>
      <x:c r="D15" s="13" t="s">
        <x:v>3064</x:v>
      </x:c>
      <x:c r="E15" s="12" t="s">
        <x:v>160</x:v>
      </x:c>
      <x:c r="F15" s="12" t="s">
        <x:v>185</x:v>
      </x:c>
      <x:c r="G15" s="13" t="s">
        <x:v>3065</x:v>
      </x:c>
      <x:c r="H15" s="12" t="s">
        <x:v>125</x:v>
      </x:c>
      <x:c r="I15" s="12" t="s">
        <x:v>140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3066</x:v>
      </x:c>
      <x:c r="B16" s="12" t="s">
        <x:v>1766</x:v>
      </x:c>
      <x:c r="C16" s="12" t="s">
        <x:v>827</x:v>
      </x:c>
      <x:c r="D16" s="13" t="s">
        <x:v>3067</x:v>
      </x:c>
      <x:c r="E16" s="12" t="s">
        <x:v>160</x:v>
      </x:c>
      <x:c r="F16" s="12" t="s">
        <x:v>185</x:v>
      </x:c>
      <x:c r="G16" s="13" t="s">
        <x:v>3068</x:v>
      </x:c>
      <x:c r="H16" s="12" t="s">
        <x:v>125</x:v>
      </x:c>
      <x:c r="I16" s="12" t="s">
        <x:v>140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3069</x:v>
      </x:c>
      <x:c r="B17" s="12" t="s">
        <x:v>3070</x:v>
      </x:c>
      <x:c r="C17" s="12" t="s">
        <x:v>827</x:v>
      </x:c>
      <x:c r="D17" s="13" t="s">
        <x:v>3071</x:v>
      </x:c>
      <x:c r="E17" s="12" t="s">
        <x:v>160</x:v>
      </x:c>
      <x:c r="F17" s="12" t="s">
        <x:v>185</x:v>
      </x:c>
      <x:c r="G17" s="13" t="s">
        <x:v>3068</x:v>
      </x:c>
      <x:c r="H17" s="12" t="s">
        <x:v>125</x:v>
      </x:c>
      <x:c r="I17" s="12" t="s">
        <x:v>140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3072</x:v>
      </x:c>
      <x:c r="B18" s="12" t="s">
        <x:v>3073</x:v>
      </x:c>
      <x:c r="C18" s="12" t="s">
        <x:v>827</x:v>
      </x:c>
      <x:c r="D18" s="13" t="s">
        <x:v>3074</x:v>
      </x:c>
      <x:c r="E18" s="12" t="s">
        <x:v>160</x:v>
      </x:c>
      <x:c r="F18" s="12" t="s">
        <x:v>185</x:v>
      </x:c>
      <x:c r="G18" s="13" t="s">
        <x:v>3068</x:v>
      </x:c>
      <x:c r="H18" s="12" t="s">
        <x:v>125</x:v>
      </x:c>
      <x:c r="I18" s="12" t="s">
        <x:v>140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3075</x:v>
      </x:c>
      <x:c r="B19" s="12" t="s">
        <x:v>1151</x:v>
      </x:c>
      <x:c r="C19" s="12" t="s">
        <x:v>3076</x:v>
      </x:c>
      <x:c r="D19" s="13" t="s">
        <x:v>3077</x:v>
      </x:c>
      <x:c r="E19" s="12" t="s">
        <x:v>160</x:v>
      </x:c>
      <x:c r="F19" s="12" t="s">
        <x:v>185</x:v>
      </x:c>
      <x:c r="G19" s="13" t="s">
        <x:v>3068</x:v>
      </x:c>
      <x:c r="H19" s="12" t="s">
        <x:v>125</x:v>
      </x:c>
      <x:c r="I19" s="12" t="s">
        <x:v>140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3078</x:v>
      </x:c>
      <x:c r="B20" s="12" t="s">
        <x:v>208</x:v>
      </x:c>
      <x:c r="C20" s="12" t="s">
        <x:v>827</x:v>
      </x:c>
      <x:c r="D20" s="13" t="s">
        <x:v>3079</x:v>
      </x:c>
      <x:c r="E20" s="12" t="s">
        <x:v>160</x:v>
      </x:c>
      <x:c r="F20" s="12" t="s">
        <x:v>180</x:v>
      </x:c>
      <x:c r="G20" s="13" t="s">
        <x:v>3053</x:v>
      </x:c>
      <x:c r="H20" s="12" t="s">
        <x:v>125</x:v>
      </x:c>
      <x:c r="I20" s="12" t="s">
        <x:v>140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3080</x:v>
      </x:c>
      <x:c r="B21" s="12" t="s">
        <x:v>687</x:v>
      </x:c>
      <x:c r="C21" s="12" t="s">
        <x:v>3081</x:v>
      </x:c>
      <x:c r="D21" s="13" t="s">
        <x:v>3082</x:v>
      </x:c>
      <x:c r="E21" s="12" t="s">
        <x:v>160</x:v>
      </x:c>
      <x:c r="F21" s="12" t="s">
        <x:v>185</x:v>
      </x:c>
      <x:c r="G21" s="13" t="s">
        <x:v>3068</x:v>
      </x:c>
      <x:c r="H21" s="12" t="s">
        <x:v>125</x:v>
      </x:c>
      <x:c r="I21" s="12" t="s">
        <x:v>140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3083</x:v>
      </x:c>
      <x:c r="B22" s="12" t="s">
        <x:v>188</x:v>
      </x:c>
      <x:c r="C22" s="12" t="s">
        <x:v>3081</x:v>
      </x:c>
      <x:c r="D22" s="13" t="s">
        <x:v>3084</x:v>
      </x:c>
      <x:c r="E22" s="12" t="s">
        <x:v>160</x:v>
      </x:c>
      <x:c r="F22" s="12" t="s">
        <x:v>190</x:v>
      </x:c>
      <x:c r="G22" s="13" t="s">
        <x:v>3068</x:v>
      </x:c>
      <x:c r="H22" s="12" t="s">
        <x:v>125</x:v>
      </x:c>
      <x:c r="I22" s="12" t="s">
        <x:v>140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3085</x:v>
      </x:c>
      <x:c r="B23" s="12" t="s">
        <x:v>199</x:v>
      </x:c>
      <x:c r="C23" s="12" t="s">
        <x:v>827</x:v>
      </x:c>
      <x:c r="D23" s="13" t="s">
        <x:v>3086</x:v>
      </x:c>
      <x:c r="E23" s="12" t="s">
        <x:v>160</x:v>
      </x:c>
      <x:c r="F23" s="12" t="s">
        <x:v>185</x:v>
      </x:c>
      <x:c r="G23" s="13" t="s">
        <x:v>3068</x:v>
      </x:c>
      <x:c r="H23" s="12" t="s">
        <x:v>125</x:v>
      </x:c>
      <x:c r="I23" s="12" t="s">
        <x:v>140</x:v>
      </x:c>
      <x:c r="J23" s="14" t="n">
        <x:v>46231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3087</x:v>
      </x:c>
      <x:c r="B24" s="12" t="s">
        <x:v>2604</x:v>
      </x:c>
      <x:c r="C24" s="12" t="s">
        <x:v>3081</x:v>
      </x:c>
      <x:c r="D24" s="13" t="s">
        <x:v>3088</x:v>
      </x:c>
      <x:c r="E24" s="12" t="s">
        <x:v>160</x:v>
      </x:c>
      <x:c r="F24" s="12" t="s">
        <x:v>195</x:v>
      </x:c>
      <x:c r="G24" s="13" t="s">
        <x:v>3089</x:v>
      </x:c>
      <x:c r="H24" s="12" t="s">
        <x:v>123</x:v>
      </x:c>
      <x:c r="I24" s="12" t="s">
        <x:v>139</x:v>
      </x:c>
      <x:c r="J24" s="14" t="n">
        <x:v>46231</x:v>
      </x:c>
      <x:c r="K24" s="13" t="s">
        <x:v>3090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3091</x:v>
      </x:c>
      <x:c r="B25" s="12" t="s">
        <x:v>93</x:v>
      </x:c>
      <x:c r="C25" s="12" t="s">
        <x:v>827</x:v>
      </x:c>
      <x:c r="D25" s="13" t="s">
        <x:v>3092</x:v>
      </x:c>
      <x:c r="E25" s="12" t="s">
        <x:v>160</x:v>
      </x:c>
      <x:c r="F25" s="12" t="s">
        <x:v>195</x:v>
      </x:c>
      <x:c r="G25" s="13" t="s">
        <x:v>3089</x:v>
      </x:c>
      <x:c r="H25" s="12" t="s">
        <x:v>123</x:v>
      </x:c>
      <x:c r="I25" s="12" t="s">
        <x:v>139</x:v>
      </x:c>
      <x:c r="J25" s="14" t="n">
        <x:v>46231</x:v>
      </x:c>
      <x:c r="K25" s="13" t="s">
        <x:v>3093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3094</x:v>
      </x:c>
      <x:c r="B26" s="12" t="s">
        <x:v>2553</x:v>
      </x:c>
      <x:c r="C26" s="12" t="s">
        <x:v>827</x:v>
      </x:c>
      <x:c r="D26" s="13" t="s">
        <x:v>3095</x:v>
      </x:c>
      <x:c r="E26" s="12" t="s">
        <x:v>160</x:v>
      </x:c>
      <x:c r="F26" s="12" t="s">
        <x:v>195</x:v>
      </x:c>
      <x:c r="G26" s="13" t="s">
        <x:v>3096</x:v>
      </x:c>
      <x:c r="H26" s="12" t="s">
        <x:v>123</x:v>
      </x:c>
      <x:c r="I26" s="12" t="s">
        <x:v>139</x:v>
      </x:c>
      <x:c r="J26" s="14" t="n">
        <x:v>46231</x:v>
      </x:c>
      <x:c r="K26" s="13" t="s">
        <x:v>3097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54" hidden="0" customHeight="1">
      <x:c r="A27" s="12" t="s">
        <x:v>3098</x:v>
      </x:c>
      <x:c r="B27" s="12" t="s">
        <x:v>1604</x:v>
      </x:c>
      <x:c r="C27" s="12" t="s">
        <x:v>827</x:v>
      </x:c>
      <x:c r="D27" s="13" t="s">
        <x:v>3099</x:v>
      </x:c>
      <x:c r="E27" s="12" t="s">
        <x:v>160</x:v>
      </x:c>
      <x:c r="F27" s="12" t="s">
        <x:v>180</x:v>
      </x:c>
      <x:c r="G27" s="13" t="s">
        <x:v>3100</x:v>
      </x:c>
      <x:c r="H27" s="12" t="s">
        <x:v>125</x:v>
      </x:c>
      <x:c r="I27" s="12" t="s">
        <x:v>140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3101</x:v>
      </x:c>
      <x:c r="B28" s="12" t="s">
        <x:v>646</x:v>
      </x:c>
      <x:c r="C28" s="12" t="s">
        <x:v>827</x:v>
      </x:c>
      <x:c r="D28" s="13" t="s">
        <x:v>3102</x:v>
      </x:c>
      <x:c r="E28" s="12" t="s">
        <x:v>160</x:v>
      </x:c>
      <x:c r="F28" s="12" t="s">
        <x:v>648</x:v>
      </x:c>
      <x:c r="G28" s="13" t="s">
        <x:v>3103</x:v>
      </x:c>
      <x:c r="H28" s="12" t="s">
        <x:v>125</x:v>
      </x:c>
      <x:c r="I28" s="12" t="s">
        <x:v>140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3104</x:v>
      </x:c>
      <x:c r="B29" s="12" t="s">
        <x:v>2459</x:v>
      </x:c>
      <x:c r="C29" s="12" t="s">
        <x:v>2683</x:v>
      </x:c>
      <x:c r="D29" s="13" t="s">
        <x:v>3105</x:v>
      </x:c>
      <x:c r="E29" s="12" t="s">
        <x:v>160</x:v>
      </x:c>
      <x:c r="F29" s="12" t="s">
        <x:v>2685</x:v>
      </x:c>
      <x:c r="G29" s="13" t="s">
        <x:v>3106</x:v>
      </x:c>
      <x:c r="H29" s="12" t="s">
        <x:v>125</x:v>
      </x:c>
      <x:c r="I29" s="12" t="s">
        <x:v>140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3107</x:v>
      </x:c>
      <x:c r="B30" s="12" t="s">
        <x:v>220</x:v>
      </x:c>
      <x:c r="C30" s="12" t="s">
        <x:v>2688</x:v>
      </x:c>
      <x:c r="D30" s="13" t="s">
        <x:v>3108</x:v>
      </x:c>
      <x:c r="E30" s="12" t="s">
        <x:v>160</x:v>
      </x:c>
      <x:c r="F30" s="12" t="s">
        <x:v>2685</x:v>
      </x:c>
      <x:c r="G30" s="13" t="s">
        <x:v>3109</x:v>
      </x:c>
      <x:c r="H30" s="12" t="s">
        <x:v>125</x:v>
      </x:c>
      <x:c r="I30" s="12" t="s">
        <x:v>140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3110</x:v>
      </x:c>
      <x:c r="B31" s="12" t="s">
        <x:v>224</x:v>
      </x:c>
      <x:c r="C31" s="12" t="s">
        <x:v>827</x:v>
      </x:c>
      <x:c r="D31" s="13" t="s">
        <x:v>3111</x:v>
      </x:c>
      <x:c r="E31" s="12" t="s">
        <x:v>226</x:v>
      </x:c>
      <x:c r="F31" s="12" t="s">
        <x:v>226</x:v>
      </x:c>
      <x:c r="G31" s="13" t="s">
        <x:v>227</x:v>
      </x:c>
      <x:c r="H31" s="12" t="s">
        <x:v>125</x:v>
      </x:c>
      <x:c r="I31" s="12" t="s">
        <x:v>140</x:v>
      </x:c>
      <x:c r="J31" s="14" t="s">
        <x:v>3112</x:v>
      </x:c>
      <x:c r="K31" s="13" t="s">
        <x:v>3113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3114</x:v>
      </x:c>
      <x:c r="B32" s="12" t="s">
        <x:v>193</x:v>
      </x:c>
      <x:c r="C32" s="12" t="s">
        <x:v>3081</x:v>
      </x:c>
      <x:c r="D32" s="13" t="s">
        <x:v>3115</x:v>
      </x:c>
      <x:c r="E32" s="12" t="s">
        <x:v>160</x:v>
      </x:c>
      <x:c r="F32" s="12" t="s">
        <x:v>195</x:v>
      </x:c>
      <x:c r="G32" s="13" t="s">
        <x:v>3089</x:v>
      </x:c>
      <x:c r="H32" s="12" t="s">
        <x:v>123</x:v>
      </x:c>
      <x:c r="I32" s="12" t="s">
        <x:v>139</x:v>
      </x:c>
      <x:c r="J32" s="14" t="n">
        <x:v>46231</x:v>
      </x:c>
      <x:c r="K32" s="13" t="s">
        <x:v>3116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0</x:v>
      </x:c>
    </x:row>
    <x:row r="33" s="4" customFormat="1" ht="54" hidden="0" customHeight="1">
      <x:c r="A33" s="12" t="s">
        <x:v>3117</x:v>
      </x:c>
      <x:c r="B33" s="12" t="s">
        <x:v>212</x:v>
      </x:c>
      <x:c r="C33" s="12" t="s">
        <x:v>3081</x:v>
      </x:c>
      <x:c r="D33" s="13" t="s">
        <x:v>3118</x:v>
      </x:c>
      <x:c r="E33" s="12" t="s">
        <x:v>160</x:v>
      </x:c>
      <x:c r="F33" s="12" t="s">
        <x:v>201</x:v>
      </x:c>
      <x:c r="G33" s="13" t="s">
        <x:v>3119</x:v>
      </x:c>
      <x:c r="H33" s="12" t="s">
        <x:v>119</x:v>
      </x:c>
      <x:c r="I33" s="12" t="s">
        <x:v>139</x:v>
      </x:c>
      <x:c r="J33" s="14"/>
      <x:c r="K33" s="13" t="s">
        <x:v>1882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0</x:v>
      </x:c>
    </x:row>
    <x:row r="34" s="4" customFormat="1" ht="54" hidden="0" customHeight="1">
      <x:c r="A34" s="12" t="s">
        <x:v>3120</x:v>
      </x:c>
      <x:c r="B34" s="12" t="s">
        <x:v>229</x:v>
      </x:c>
      <x:c r="C34" s="12" t="s">
        <x:v>2701</x:v>
      </x:c>
      <x:c r="D34" s="13" t="s">
        <x:v>3121</x:v>
      </x:c>
      <x:c r="E34" s="12" t="s">
        <x:v>160</x:v>
      </x:c>
      <x:c r="F34" s="12" t="s">
        <x:v>160</x:v>
      </x:c>
      <x:c r="G34" s="13" t="s">
        <x:v>2625</x:v>
      </x:c>
      <x:c r="H34" s="12" t="s">
        <x:v>125</x:v>
      </x:c>
      <x:c r="I34" s="12" t="s">
        <x:v>140</x:v>
      </x:c>
      <x:c r="J34" s="14" t="s">
        <x:v>3112</x:v>
      </x:c>
      <x:c r="K34" s="13" t="s">
        <x:v>3122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/>
    <x:row r="36" s="4" customFormat="1" ht="54" hidden="0" customHeight="1"/>
    <x:row r="37" s="4" customFormat="1" ht="54" hidden="0" customHeight="1"/>
    <x:row r="38" s="4" customFormat="1" ht="54" hidden="0" customHeight="1"/>
    <x:row r="39" s="4" customFormat="1" ht="54" hidden="0" customHeight="1"/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3123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3124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COUNTA(A9:A38)</x:f>
        <x:v>30</x:v>
      </x:c>
      <x:c r="D4" s="6" t="s">
        <x:v>143</x:v>
      </x:c>
      <x:c r="E4" s="7" t="n">
        <x:f aca="0">SUM(M9:M38)</x:f>
        <x:v>23</x:v>
      </x:c>
      <x:c r="G4" s="6" t="s">
        <x:v>13</x:v>
      </x:c>
      <x:c r="H4" s="8" t="n">
        <x:f aca="0">IF(B4=0,0,E4/B4)</x:f>
        <x:v>0.7666666666666667</x:v>
      </x:c>
      <x:c r="J4" s="6" t="s">
        <x:v>14</x:v>
      </x:c>
      <x:c r="K4" s="7" t="str">
        <x:f aca="0">IF(COUNTIFS(E9:E38,"package",M9:M38,0)&gt;0,"open","complete")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IF(COUNTIFS(I9:I38,"yes",M9:M38,0)&gt;0,"open","complete")</x:f>
        <x:v>open</x:v>
      </x:c>
      <x:c r="D5" s="6" t="s">
        <x:v>15</x:v>
      </x:c>
      <x:c r="E5" s="7" t="str">
        <x:f aca="0">IF(COUNTIFS(E9:E38,"consumer",M9:M38,0)&gt;0,"open","complete")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1820</x:v>
      </x:c>
      <x:c r="B9" s="12" t="s">
        <x:v>117</x:v>
      </x:c>
      <x:c r="C9" s="12" t="s">
        <x:v>1265</x:v>
      </x:c>
      <x:c r="D9" s="13" t="s">
        <x:v>3125</x:v>
      </x:c>
      <x:c r="E9" s="12" t="s">
        <x:v>160</x:v>
      </x:c>
      <x:c r="F9" s="12" t="s">
        <x:v>161</x:v>
      </x:c>
      <x:c r="G9" s="13" t="s">
        <x:v>3126</x:v>
      </x:c>
      <x:c r="H9" s="12" t="s">
        <x:v>125</x:v>
      </x:c>
      <x:c r="I9" s="12" t="s">
        <x:v>140</x:v>
      </x:c>
      <x:c r="J9" s="14" t="n">
        <x:v>46231</x:v>
      </x:c>
      <x:c r="K9" s="13" t="s">
        <x:v>3127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1823</x:v>
      </x:c>
      <x:c r="B10" s="12" t="s">
        <x:v>2472</x:v>
      </x:c>
      <x:c r="C10" s="12" t="s">
        <x:v>2481</x:v>
      </x:c>
      <x:c r="D10" s="13" t="s">
        <x:v>3128</x:v>
      </x:c>
      <x:c r="E10" s="12" t="s">
        <x:v>160</x:v>
      </x:c>
      <x:c r="F10" s="12" t="s">
        <x:v>180</x:v>
      </x:c>
      <x:c r="G10" s="13" t="s">
        <x:v>3129</x:v>
      </x:c>
      <x:c r="H10" s="12" t="s">
        <x:v>125</x:v>
      </x:c>
      <x:c r="I10" s="12" t="s">
        <x:v>140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1827</x:v>
      </x:c>
      <x:c r="B11" s="12" t="s">
        <x:v>1423</x:v>
      </x:c>
      <x:c r="C11" s="12" t="s">
        <x:v>1265</x:v>
      </x:c>
      <x:c r="D11" s="13" t="s">
        <x:v>3130</x:v>
      </x:c>
      <x:c r="E11" s="12" t="s">
        <x:v>160</x:v>
      </x:c>
      <x:c r="F11" s="12" t="s">
        <x:v>180</x:v>
      </x:c>
      <x:c r="G11" s="13" t="s">
        <x:v>3129</x:v>
      </x:c>
      <x:c r="H11" s="12" t="s">
        <x:v>125</x:v>
      </x:c>
      <x:c r="I11" s="12" t="s">
        <x:v>140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1829</x:v>
      </x:c>
      <x:c r="B12" s="12" t="s">
        <x:v>168</x:v>
      </x:c>
      <x:c r="C12" s="12" t="s">
        <x:v>2481</x:v>
      </x:c>
      <x:c r="D12" s="13" t="s">
        <x:v>3131</x:v>
      </x:c>
      <x:c r="E12" s="12" t="s">
        <x:v>160</x:v>
      </x:c>
      <x:c r="F12" s="12" t="s">
        <x:v>170</x:v>
      </x:c>
      <x:c r="G12" s="13" t="s">
        <x:v>3132</x:v>
      </x:c>
      <x:c r="H12" s="12" t="s">
        <x:v>125</x:v>
      </x:c>
      <x:c r="I12" s="12" t="s">
        <x:v>140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1832</x:v>
      </x:c>
      <x:c r="B13" s="12" t="s">
        <x:v>164</x:v>
      </x:c>
      <x:c r="C13" s="12" t="s">
        <x:v>1265</x:v>
      </x:c>
      <x:c r="D13" s="13" t="s">
        <x:v>3133</x:v>
      </x:c>
      <x:c r="E13" s="12" t="s">
        <x:v>160</x:v>
      </x:c>
      <x:c r="F13" s="12" t="s">
        <x:v>160</x:v>
      </x:c>
      <x:c r="G13" s="13" t="s">
        <x:v>166</x:v>
      </x:c>
      <x:c r="H13" s="12" t="s">
        <x:v>125</x:v>
      </x:c>
      <x:c r="I13" s="12" t="s">
        <x:v>140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1835</x:v>
      </x:c>
      <x:c r="B14" s="12" t="s">
        <x:v>1391</x:v>
      </x:c>
      <x:c r="C14" s="12" t="s">
        <x:v>1265</x:v>
      </x:c>
      <x:c r="D14" s="13" t="s">
        <x:v>3134</x:v>
      </x:c>
      <x:c r="E14" s="12" t="s">
        <x:v>160</x:v>
      </x:c>
      <x:c r="F14" s="12" t="s">
        <x:v>160</x:v>
      </x:c>
      <x:c r="G14" s="13" t="s">
        <x:v>1393</x:v>
      </x:c>
      <x:c r="H14" s="12" t="s">
        <x:v>125</x:v>
      </x:c>
      <x:c r="I14" s="12" t="s">
        <x:v>140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1839</x:v>
      </x:c>
      <x:c r="B15" s="12" t="s">
        <x:v>1649</x:v>
      </x:c>
      <x:c r="C15" s="12" t="s">
        <x:v>827</x:v>
      </x:c>
      <x:c r="D15" s="13" t="s">
        <x:v>3135</x:v>
      </x:c>
      <x:c r="E15" s="12" t="s">
        <x:v>160</x:v>
      </x:c>
      <x:c r="F15" s="12" t="s">
        <x:v>185</x:v>
      </x:c>
      <x:c r="G15" s="13" t="s">
        <x:v>3136</x:v>
      </x:c>
      <x:c r="H15" s="12" t="s">
        <x:v>125</x:v>
      </x:c>
      <x:c r="I15" s="12" t="s">
        <x:v>140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1843</x:v>
      </x:c>
      <x:c r="B16" s="12" t="s">
        <x:v>1766</x:v>
      </x:c>
      <x:c r="C16" s="12" t="s">
        <x:v>827</x:v>
      </x:c>
      <x:c r="D16" s="13" t="s">
        <x:v>3137</x:v>
      </x:c>
      <x:c r="E16" s="12" t="s">
        <x:v>160</x:v>
      </x:c>
      <x:c r="F16" s="12" t="s">
        <x:v>195</x:v>
      </x:c>
      <x:c r="G16" s="13" t="s">
        <x:v>3138</x:v>
      </x:c>
      <x:c r="H16" s="12" t="s">
        <x:v>123</x:v>
      </x:c>
      <x:c r="I16" s="12" t="s">
        <x:v>139</x:v>
      </x:c>
      <x:c r="J16" s="14" t="n">
        <x:v>46231</x:v>
      </x:c>
      <x:c r="K16" s="13" t="s">
        <x:v>3139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0</x:v>
      </x:c>
    </x:row>
    <x:row r="17" s="4" customFormat="1" ht="54" hidden="0" customHeight="1">
      <x:c r="A17" s="12" t="s">
        <x:v>1847</x:v>
      </x:c>
      <x:c r="B17" s="12" t="s">
        <x:v>1771</x:v>
      </x:c>
      <x:c r="C17" s="12" t="s">
        <x:v>3140</x:v>
      </x:c>
      <x:c r="D17" s="13" t="s">
        <x:v>3141</x:v>
      </x:c>
      <x:c r="E17" s="12" t="s">
        <x:v>160</x:v>
      </x:c>
      <x:c r="F17" s="12" t="s">
        <x:v>195</x:v>
      </x:c>
      <x:c r="G17" s="13" t="s">
        <x:v>3138</x:v>
      </x:c>
      <x:c r="H17" s="12" t="s">
        <x:v>123</x:v>
      </x:c>
      <x:c r="I17" s="12" t="s">
        <x:v>139</x:v>
      </x:c>
      <x:c r="J17" s="14" t="n">
        <x:v>46231</x:v>
      </x:c>
      <x:c r="K17" s="13" t="s">
        <x:v>3142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1851</x:v>
      </x:c>
      <x:c r="B18" s="12" t="s">
        <x:v>3143</x:v>
      </x:c>
      <x:c r="C18" s="12" t="s">
        <x:v>20</x:v>
      </x:c>
      <x:c r="D18" s="13" t="s">
        <x:v>3144</x:v>
      </x:c>
      <x:c r="E18" s="12" t="s">
        <x:v>160</x:v>
      </x:c>
      <x:c r="F18" s="12" t="s">
        <x:v>180</x:v>
      </x:c>
      <x:c r="G18" s="13" t="s">
        <x:v>3145</x:v>
      </x:c>
      <x:c r="H18" s="12" t="s">
        <x:v>125</x:v>
      </x:c>
      <x:c r="I18" s="12" t="s">
        <x:v>140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1855</x:v>
      </x:c>
      <x:c r="B19" s="12" t="s">
        <x:v>3146</x:v>
      </x:c>
      <x:c r="C19" s="12" t="s">
        <x:v>32</x:v>
      </x:c>
      <x:c r="D19" s="13" t="s">
        <x:v>3147</x:v>
      </x:c>
      <x:c r="E19" s="12" t="s">
        <x:v>160</x:v>
      </x:c>
      <x:c r="F19" s="12" t="s">
        <x:v>185</x:v>
      </x:c>
      <x:c r="G19" s="13" t="s">
        <x:v>3136</x:v>
      </x:c>
      <x:c r="H19" s="12" t="s">
        <x:v>125</x:v>
      </x:c>
      <x:c r="I19" s="12" t="s">
        <x:v>140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1859</x:v>
      </x:c>
      <x:c r="B20" s="12" t="s">
        <x:v>3148</x:v>
      </x:c>
      <x:c r="C20" s="12" t="s">
        <x:v>3149</x:v>
      </x:c>
      <x:c r="D20" s="13" t="s">
        <x:v>3150</x:v>
      </x:c>
      <x:c r="E20" s="12" t="s">
        <x:v>160</x:v>
      </x:c>
      <x:c r="F20" s="12" t="s">
        <x:v>180</x:v>
      </x:c>
      <x:c r="G20" s="13" t="s">
        <x:v>3129</x:v>
      </x:c>
      <x:c r="H20" s="12" t="s">
        <x:v>125</x:v>
      </x:c>
      <x:c r="I20" s="12" t="s">
        <x:v>140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1863</x:v>
      </x:c>
      <x:c r="B21" s="12" t="s">
        <x:v>3151</x:v>
      </x:c>
      <x:c r="C21" s="12" t="s">
        <x:v>3152</x:v>
      </x:c>
      <x:c r="D21" s="13" t="s">
        <x:v>3153</x:v>
      </x:c>
      <x:c r="E21" s="12" t="s">
        <x:v>160</x:v>
      </x:c>
      <x:c r="F21" s="12" t="s">
        <x:v>180</x:v>
      </x:c>
      <x:c r="G21" s="13" t="s">
        <x:v>3129</x:v>
      </x:c>
      <x:c r="H21" s="12" t="s">
        <x:v>125</x:v>
      </x:c>
      <x:c r="I21" s="12" t="s">
        <x:v>140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1867</x:v>
      </x:c>
      <x:c r="B22" s="12" t="s">
        <x:v>3154</x:v>
      </x:c>
      <x:c r="C22" s="12" t="s">
        <x:v>3152</x:v>
      </x:c>
      <x:c r="D22" s="13" t="s">
        <x:v>3155</x:v>
      </x:c>
      <x:c r="E22" s="12" t="s">
        <x:v>160</x:v>
      </x:c>
      <x:c r="F22" s="12" t="s">
        <x:v>185</x:v>
      </x:c>
      <x:c r="G22" s="13" t="s">
        <x:v>3136</x:v>
      </x:c>
      <x:c r="H22" s="12" t="s">
        <x:v>125</x:v>
      </x:c>
      <x:c r="I22" s="12" t="s">
        <x:v>140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1869</x:v>
      </x:c>
      <x:c r="B23" s="12" t="s">
        <x:v>1656</x:v>
      </x:c>
      <x:c r="C23" s="12" t="s">
        <x:v>3156</x:v>
      </x:c>
      <x:c r="D23" s="13" t="s">
        <x:v>3157</x:v>
      </x:c>
      <x:c r="E23" s="12" t="s">
        <x:v>160</x:v>
      </x:c>
      <x:c r="F23" s="12" t="s">
        <x:v>185</x:v>
      </x:c>
      <x:c r="G23" s="13" t="s">
        <x:v>3158</x:v>
      </x:c>
      <x:c r="H23" s="12" t="s">
        <x:v>125</x:v>
      </x:c>
      <x:c r="I23" s="12" t="s">
        <x:v>140</x:v>
      </x:c>
      <x:c r="J23" s="14" t="n">
        <x:v>46231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1872</x:v>
      </x:c>
      <x:c r="B24" s="12" t="s">
        <x:v>2106</x:v>
      </x:c>
      <x:c r="C24" s="12" t="s">
        <x:v>3159</x:v>
      </x:c>
      <x:c r="D24" s="13" t="s">
        <x:v>3160</x:v>
      </x:c>
      <x:c r="E24" s="12" t="s">
        <x:v>160</x:v>
      </x:c>
      <x:c r="F24" s="12" t="s">
        <x:v>185</x:v>
      </x:c>
      <x:c r="G24" s="13" t="s">
        <x:v>3136</x:v>
      </x:c>
      <x:c r="H24" s="12" t="s">
        <x:v>125</x:v>
      </x:c>
      <x:c r="I24" s="12" t="s">
        <x:v>140</x:v>
      </x:c>
      <x:c r="J24" s="14" t="n">
        <x:v>46231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1874</x:v>
      </x:c>
      <x:c r="B25" s="12" t="s">
        <x:v>208</x:v>
      </x:c>
      <x:c r="C25" s="12" t="s">
        <x:v>3140</x:v>
      </x:c>
      <x:c r="D25" s="13" t="s">
        <x:v>3161</x:v>
      </x:c>
      <x:c r="E25" s="12" t="s">
        <x:v>160</x:v>
      </x:c>
      <x:c r="F25" s="12" t="s">
        <x:v>180</x:v>
      </x:c>
      <x:c r="G25" s="13" t="s">
        <x:v>3162</x:v>
      </x:c>
      <x:c r="H25" s="12" t="s">
        <x:v>125</x:v>
      </x:c>
      <x:c r="I25" s="12" t="s">
        <x:v>140</x:v>
      </x:c>
      <x:c r="J25" s="14" t="n">
        <x:v>46231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1876</x:v>
      </x:c>
      <x:c r="B26" s="12" t="s">
        <x:v>199</x:v>
      </x:c>
      <x:c r="C26" s="12" t="s">
        <x:v>827</x:v>
      </x:c>
      <x:c r="D26" s="13" t="s">
        <x:v>3163</x:v>
      </x:c>
      <x:c r="E26" s="12" t="s">
        <x:v>160</x:v>
      </x:c>
      <x:c r="F26" s="12" t="s">
        <x:v>185</x:v>
      </x:c>
      <x:c r="G26" s="13" t="s">
        <x:v>3136</x:v>
      </x:c>
      <x:c r="H26" s="12" t="s">
        <x:v>125</x:v>
      </x:c>
      <x:c r="I26" s="12" t="s">
        <x:v>140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1879</x:v>
      </x:c>
      <x:c r="B27" s="12" t="s">
        <x:v>2604</x:v>
      </x:c>
      <x:c r="C27" s="12" t="s">
        <x:v>3140</x:v>
      </x:c>
      <x:c r="D27" s="13" t="s">
        <x:v>3164</x:v>
      </x:c>
      <x:c r="E27" s="12" t="s">
        <x:v>160</x:v>
      </x:c>
      <x:c r="F27" s="12" t="s">
        <x:v>195</x:v>
      </x:c>
      <x:c r="G27" s="13" t="s">
        <x:v>3165</x:v>
      </x:c>
      <x:c r="H27" s="12" t="s">
        <x:v>123</x:v>
      </x:c>
      <x:c r="I27" s="12" t="s">
        <x:v>139</x:v>
      </x:c>
      <x:c r="J27" s="14" t="n">
        <x:v>46231</x:v>
      </x:c>
      <x:c r="K27" s="13" t="s">
        <x:v>3166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1883</x:v>
      </x:c>
      <x:c r="B28" s="12" t="s">
        <x:v>188</x:v>
      </x:c>
      <x:c r="C28" s="12" t="s">
        <x:v>1265</x:v>
      </x:c>
      <x:c r="D28" s="13" t="s">
        <x:v>3167</x:v>
      </x:c>
      <x:c r="E28" s="12" t="s">
        <x:v>160</x:v>
      </x:c>
      <x:c r="F28" s="12" t="s">
        <x:v>190</x:v>
      </x:c>
      <x:c r="G28" s="13" t="s">
        <x:v>3136</x:v>
      </x:c>
      <x:c r="H28" s="12" t="s">
        <x:v>125</x:v>
      </x:c>
      <x:c r="I28" s="12" t="s">
        <x:v>140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1886</x:v>
      </x:c>
      <x:c r="B29" s="12" t="s">
        <x:v>93</x:v>
      </x:c>
      <x:c r="C29" s="12" t="s">
        <x:v>1265</x:v>
      </x:c>
      <x:c r="D29" s="13" t="s">
        <x:v>3168</x:v>
      </x:c>
      <x:c r="E29" s="12" t="s">
        <x:v>160</x:v>
      </x:c>
      <x:c r="F29" s="12" t="s">
        <x:v>195</x:v>
      </x:c>
      <x:c r="G29" s="13" t="s">
        <x:v>3138</x:v>
      </x:c>
      <x:c r="H29" s="12" t="s">
        <x:v>123</x:v>
      </x:c>
      <x:c r="I29" s="12" t="s">
        <x:v>139</x:v>
      </x:c>
      <x:c r="J29" s="14" t="n">
        <x:v>46231</x:v>
      </x:c>
      <x:c r="K29" s="13" t="s">
        <x:v>3093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1889</x:v>
      </x:c>
      <x:c r="B30" s="12" t="s">
        <x:v>2553</x:v>
      </x:c>
      <x:c r="C30" s="12" t="s">
        <x:v>1265</x:v>
      </x:c>
      <x:c r="D30" s="13" t="s">
        <x:v>3169</x:v>
      </x:c>
      <x:c r="E30" s="12" t="s">
        <x:v>160</x:v>
      </x:c>
      <x:c r="F30" s="12" t="s">
        <x:v>195</x:v>
      </x:c>
      <x:c r="G30" s="13" t="s">
        <x:v>3170</x:v>
      </x:c>
      <x:c r="H30" s="12" t="s">
        <x:v>123</x:v>
      </x:c>
      <x:c r="I30" s="12" t="s">
        <x:v>139</x:v>
      </x:c>
      <x:c r="J30" s="14" t="n">
        <x:v>46231</x:v>
      </x:c>
      <x:c r="K30" s="13" t="s">
        <x:v>3171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1891</x:v>
      </x:c>
      <x:c r="B31" s="12" t="s">
        <x:v>1604</x:v>
      </x:c>
      <x:c r="C31" s="12" t="s">
        <x:v>1265</x:v>
      </x:c>
      <x:c r="D31" s="13" t="s">
        <x:v>3172</x:v>
      </x:c>
      <x:c r="E31" s="12" t="s">
        <x:v>160</x:v>
      </x:c>
      <x:c r="F31" s="12" t="s">
        <x:v>2685</x:v>
      </x:c>
      <x:c r="G31" s="13" t="s">
        <x:v>3173</x:v>
      </x:c>
      <x:c r="H31" s="12" t="s">
        <x:v>125</x:v>
      </x:c>
      <x:c r="I31" s="12" t="s">
        <x:v>140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3174</x:v>
      </x:c>
      <x:c r="B32" s="12" t="s">
        <x:v>646</x:v>
      </x:c>
      <x:c r="C32" s="12" t="s">
        <x:v>1265</x:v>
      </x:c>
      <x:c r="D32" s="13" t="s">
        <x:v>3175</x:v>
      </x:c>
      <x:c r="E32" s="12" t="s">
        <x:v>160</x:v>
      </x:c>
      <x:c r="F32" s="12" t="s">
        <x:v>648</x:v>
      </x:c>
      <x:c r="G32" s="13" t="s">
        <x:v>3176</x:v>
      </x:c>
      <x:c r="H32" s="12" t="s">
        <x:v>125</x:v>
      </x:c>
      <x:c r="I32" s="12" t="s">
        <x:v>140</x:v>
      </x:c>
      <x:c r="J32" s="14" t="n">
        <x:v>46231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3177</x:v>
      </x:c>
      <x:c r="B33" s="12" t="s">
        <x:v>2459</x:v>
      </x:c>
      <x:c r="C33" s="12" t="s">
        <x:v>2683</x:v>
      </x:c>
      <x:c r="D33" s="13" t="s">
        <x:v>3178</x:v>
      </x:c>
      <x:c r="E33" s="12" t="s">
        <x:v>160</x:v>
      </x:c>
      <x:c r="F33" s="12" t="s">
        <x:v>2685</x:v>
      </x:c>
      <x:c r="G33" s="13" t="s">
        <x:v>3179</x:v>
      </x:c>
      <x:c r="H33" s="12" t="s">
        <x:v>125</x:v>
      </x:c>
      <x:c r="I33" s="12" t="s">
        <x:v>140</x:v>
      </x:c>
      <x:c r="J33" s="14" t="n">
        <x:v>46231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3180</x:v>
      </x:c>
      <x:c r="B34" s="12" t="s">
        <x:v>220</x:v>
      </x:c>
      <x:c r="C34" s="12" t="s">
        <x:v>2688</x:v>
      </x:c>
      <x:c r="D34" s="13" t="s">
        <x:v>3181</x:v>
      </x:c>
      <x:c r="E34" s="12" t="s">
        <x:v>160</x:v>
      </x:c>
      <x:c r="F34" s="12" t="s">
        <x:v>2685</x:v>
      </x:c>
      <x:c r="G34" s="13" t="s">
        <x:v>3182</x:v>
      </x:c>
      <x:c r="H34" s="12" t="s">
        <x:v>125</x:v>
      </x:c>
      <x:c r="I34" s="12" t="s">
        <x:v>140</x:v>
      </x:c>
      <x:c r="J34" s="14" t="n">
        <x:v>46231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3183</x:v>
      </x:c>
      <x:c r="B35" s="12" t="s">
        <x:v>224</x:v>
      </x:c>
      <x:c r="C35" s="12" t="s">
        <x:v>1265</x:v>
      </x:c>
      <x:c r="D35" s="13" t="s">
        <x:v>3184</x:v>
      </x:c>
      <x:c r="E35" s="12" t="s">
        <x:v>226</x:v>
      </x:c>
      <x:c r="F35" s="12" t="s">
        <x:v>226</x:v>
      </x:c>
      <x:c r="G35" s="13" t="s">
        <x:v>227</x:v>
      </x:c>
      <x:c r="H35" s="12" t="s">
        <x:v>125</x:v>
      </x:c>
      <x:c r="I35" s="12" t="s">
        <x:v>140</x:v>
      </x:c>
      <x:c r="J35" s="14" t="n">
        <x:v>46231</x:v>
      </x:c>
      <x:c r="K35" s="13" t="s">
        <x:v>3185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3186</x:v>
      </x:c>
      <x:c r="B36" s="12" t="s">
        <x:v>193</x:v>
      </x:c>
      <x:c r="C36" s="12" t="s">
        <x:v>1265</x:v>
      </x:c>
      <x:c r="D36" s="13" t="s">
        <x:v>3187</x:v>
      </x:c>
      <x:c r="E36" s="12" t="s">
        <x:v>160</x:v>
      </x:c>
      <x:c r="F36" s="12" t="s">
        <x:v>195</x:v>
      </x:c>
      <x:c r="G36" s="13" t="s">
        <x:v>3138</x:v>
      </x:c>
      <x:c r="H36" s="12" t="s">
        <x:v>123</x:v>
      </x:c>
      <x:c r="I36" s="12" t="s">
        <x:v>139</x:v>
      </x:c>
      <x:c r="J36" s="14" t="n">
        <x:v>46231</x:v>
      </x:c>
      <x:c r="K36" s="13" t="s">
        <x:v>3116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0</x:v>
      </x:c>
    </x:row>
    <x:row r="37" s="4" customFormat="1" ht="54" hidden="0" customHeight="1">
      <x:c r="A37" s="12" t="s">
        <x:v>3188</x:v>
      </x:c>
      <x:c r="B37" s="12" t="s">
        <x:v>212</x:v>
      </x:c>
      <x:c r="C37" s="12" t="s">
        <x:v>1265</x:v>
      </x:c>
      <x:c r="D37" s="13" t="s">
        <x:v>3189</x:v>
      </x:c>
      <x:c r="E37" s="12" t="s">
        <x:v>160</x:v>
      </x:c>
      <x:c r="F37" s="12" t="s">
        <x:v>201</x:v>
      </x:c>
      <x:c r="G37" s="13" t="s">
        <x:v>3190</x:v>
      </x:c>
      <x:c r="H37" s="12" t="s">
        <x:v>119</x:v>
      </x:c>
      <x:c r="I37" s="12" t="s">
        <x:v>139</x:v>
      </x:c>
      <x:c r="J37" s="14"/>
      <x:c r="K37" s="13" t="s">
        <x:v>1882</x:v>
      </x:c>
      <x:c r="L37" s="12" t="n">
        <x:v>1</x:v>
      </x:c>
      <x:c r="M37" s="12" t="n">
        <x:f aca="0">IF(OR(AND(I37="yes",H37="verified"),AND(I37="no",OR(H37="tested",H37="verified")),AND(H37="not applicable",K37&lt;&gt;"")),1,0)</x:f>
        <x:v>0</x:v>
      </x:c>
    </x:row>
    <x:row r="38" s="4" customFormat="1" ht="54" hidden="0" customHeight="1">
      <x:c r="A38" s="12" t="s">
        <x:v>3191</x:v>
      </x:c>
      <x:c r="B38" s="12" t="s">
        <x:v>229</x:v>
      </x:c>
      <x:c r="C38" s="12" t="s">
        <x:v>2701</x:v>
      </x:c>
      <x:c r="D38" s="13" t="s">
        <x:v>3192</x:v>
      </x:c>
      <x:c r="E38" s="12" t="s">
        <x:v>160</x:v>
      </x:c>
      <x:c r="F38" s="12" t="s">
        <x:v>160</x:v>
      </x:c>
      <x:c r="G38" s="13" t="s">
        <x:v>2625</x:v>
      </x:c>
      <x:c r="H38" s="12" t="s">
        <x:v>125</x:v>
      </x:c>
      <x:c r="I38" s="12" t="s">
        <x:v>140</x:v>
      </x:c>
      <x:c r="J38" s="14" t="n">
        <x:v>46231</x:v>
      </x:c>
      <x:c r="K38" s="13" t="s">
        <x:v>3193</x:v>
      </x:c>
      <x:c r="L38" s="12" t="n">
        <x:v>1</x:v>
      </x:c>
      <x:c r="M38" s="12" t="n">
        <x:f aca="0">IF(OR(AND(I38="yes",H38="verified"),AND(I38="no",OR(H38="tested",H38="verified")),AND(H38="not applicable",K38&lt;&gt;"")),1,0)</x:f>
        <x:v>1</x:v>
      </x:c>
    </x:row>
    <x:row r="39" s="4" customFormat="1" ht="54" hidden="0" customHeight="1"/>
  </x:sheetData>
  <x:mergeCells>
    <x:mergeCell ref="A1:M1"/>
    <x:mergeCell ref="A2:M2"/>
  </x:mergeCells>
  <x:conditionalFormatting sqref="H9:H3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3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8">
      <x:formula1>"yes,no"</x:formula1>
      <x:formula2>0</x:formula2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3194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3195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COUNTA(A9:A39)</x:f>
        <x:v>31</x:v>
      </x:c>
      <x:c r="D4" s="6" t="s">
        <x:v>143</x:v>
      </x:c>
      <x:c r="E4" s="7" t="n">
        <x:f aca="0">SUM(M9:M39)</x:f>
        <x:v>20</x:v>
      </x:c>
      <x:c r="G4" s="6" t="s">
        <x:v>13</x:v>
      </x:c>
      <x:c r="H4" s="8" t="n">
        <x:f aca="0">IF(B4=0,0,E4/B4)</x:f>
        <x:v>0.6451612903225806</x:v>
      </x:c>
      <x:c r="J4" s="6" t="s">
        <x:v>14</x:v>
      </x:c>
      <x:c r="K4" s="7" t="str">
        <x:f aca="0">IF(COUNTIFS(E9:E39,"package",M9:M39,0)&gt;0,"open","complete")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IF(COUNTIFS(I9:I39,"yes",M9:M39,0)&gt;0,"open","complete")</x:f>
        <x:v>open</x:v>
      </x:c>
      <x:c r="D5" s="6" t="s">
        <x:v>15</x:v>
      </x:c>
      <x:c r="E5" s="7" t="str">
        <x:f aca="0">IF(COUNTIFS(E9:E39,"consumer",M9:M39,0)&gt;0,"open","complete")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3196</x:v>
      </x:c>
      <x:c r="B9" s="12" t="s">
        <x:v>117</x:v>
      </x:c>
      <x:c r="C9" s="12" t="s">
        <x:v>1265</x:v>
      </x:c>
      <x:c r="D9" s="13" t="s">
        <x:v>3197</x:v>
      </x:c>
      <x:c r="E9" s="12" t="s">
        <x:v>160</x:v>
      </x:c>
      <x:c r="F9" s="12" t="s">
        <x:v>161</x:v>
      </x:c>
      <x:c r="G9" s="13" t="s">
        <x:v>3198</x:v>
      </x:c>
      <x:c r="H9" s="12" t="s">
        <x:v>125</x:v>
      </x:c>
      <x:c r="I9" s="12" t="s">
        <x:v>140</x:v>
      </x:c>
      <x:c r="J9" s="14" t="n">
        <x:v>46231</x:v>
      </x:c>
      <x:c r="K9" s="13" t="s">
        <x:v>3127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3199</x:v>
      </x:c>
      <x:c r="B10" s="12" t="s">
        <x:v>2472</x:v>
      </x:c>
      <x:c r="C10" s="12" t="s">
        <x:v>2481</x:v>
      </x:c>
      <x:c r="D10" s="13" t="s">
        <x:v>3200</x:v>
      </x:c>
      <x:c r="E10" s="12" t="s">
        <x:v>160</x:v>
      </x:c>
      <x:c r="F10" s="12" t="s">
        <x:v>180</x:v>
      </x:c>
      <x:c r="G10" s="13" t="s">
        <x:v>3201</x:v>
      </x:c>
      <x:c r="H10" s="12" t="s">
        <x:v>125</x:v>
      </x:c>
      <x:c r="I10" s="12" t="s">
        <x:v>140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3202</x:v>
      </x:c>
      <x:c r="B11" s="12" t="s">
        <x:v>1423</x:v>
      </x:c>
      <x:c r="C11" s="12" t="s">
        <x:v>3203</x:v>
      </x:c>
      <x:c r="D11" s="13" t="s">
        <x:v>3204</x:v>
      </x:c>
      <x:c r="E11" s="12" t="s">
        <x:v>160</x:v>
      </x:c>
      <x:c r="F11" s="12" t="s">
        <x:v>180</x:v>
      </x:c>
      <x:c r="G11" s="13" t="s">
        <x:v>3201</x:v>
      </x:c>
      <x:c r="H11" s="12" t="s">
        <x:v>125</x:v>
      </x:c>
      <x:c r="I11" s="12" t="s">
        <x:v>140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3205</x:v>
      </x:c>
      <x:c r="B12" s="12" t="s">
        <x:v>168</x:v>
      </x:c>
      <x:c r="C12" s="12" t="s">
        <x:v>2481</x:v>
      </x:c>
      <x:c r="D12" s="13" t="s">
        <x:v>3206</x:v>
      </x:c>
      <x:c r="E12" s="12" t="s">
        <x:v>160</x:v>
      </x:c>
      <x:c r="F12" s="12" t="s">
        <x:v>170</x:v>
      </x:c>
      <x:c r="G12" s="13" t="s">
        <x:v>3207</x:v>
      </x:c>
      <x:c r="H12" s="12" t="s">
        <x:v>125</x:v>
      </x:c>
      <x:c r="I12" s="12" t="s">
        <x:v>140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3208</x:v>
      </x:c>
      <x:c r="B13" s="12" t="s">
        <x:v>164</x:v>
      </x:c>
      <x:c r="C13" s="12" t="s">
        <x:v>1265</x:v>
      </x:c>
      <x:c r="D13" s="13" t="s">
        <x:v>3209</x:v>
      </x:c>
      <x:c r="E13" s="12" t="s">
        <x:v>160</x:v>
      </x:c>
      <x:c r="F13" s="12" t="s">
        <x:v>160</x:v>
      </x:c>
      <x:c r="G13" s="13" t="s">
        <x:v>166</x:v>
      </x:c>
      <x:c r="H13" s="12" t="s">
        <x:v>125</x:v>
      </x:c>
      <x:c r="I13" s="12" t="s">
        <x:v>140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3210</x:v>
      </x:c>
      <x:c r="B14" s="12" t="s">
        <x:v>1391</x:v>
      </x:c>
      <x:c r="C14" s="12" t="s">
        <x:v>1265</x:v>
      </x:c>
      <x:c r="D14" s="13" t="s">
        <x:v>3211</x:v>
      </x:c>
      <x:c r="E14" s="12" t="s">
        <x:v>160</x:v>
      </x:c>
      <x:c r="F14" s="12" t="s">
        <x:v>160</x:v>
      </x:c>
      <x:c r="G14" s="13" t="s">
        <x:v>1393</x:v>
      </x:c>
      <x:c r="H14" s="12" t="s">
        <x:v>125</x:v>
      </x:c>
      <x:c r="I14" s="12" t="s">
        <x:v>140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3212</x:v>
      </x:c>
      <x:c r="B15" s="12" t="s">
        <x:v>1649</x:v>
      </x:c>
      <x:c r="C15" s="12" t="s">
        <x:v>827</x:v>
      </x:c>
      <x:c r="D15" s="13" t="s">
        <x:v>3213</x:v>
      </x:c>
      <x:c r="E15" s="12" t="s">
        <x:v>160</x:v>
      </x:c>
      <x:c r="F15" s="12" t="s">
        <x:v>185</x:v>
      </x:c>
      <x:c r="G15" s="13" t="s">
        <x:v>3214</x:v>
      </x:c>
      <x:c r="H15" s="12" t="s">
        <x:v>125</x:v>
      </x:c>
      <x:c r="I15" s="12" t="s">
        <x:v>140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3215</x:v>
      </x:c>
      <x:c r="B16" s="12" t="s">
        <x:v>1766</x:v>
      </x:c>
      <x:c r="C16" s="12" t="s">
        <x:v>827</x:v>
      </x:c>
      <x:c r="D16" s="13" t="s">
        <x:v>3216</x:v>
      </x:c>
      <x:c r="E16" s="12" t="s">
        <x:v>160</x:v>
      </x:c>
      <x:c r="F16" s="12" t="s">
        <x:v>195</x:v>
      </x:c>
      <x:c r="G16" s="13" t="s">
        <x:v>3217</x:v>
      </x:c>
      <x:c r="H16" s="12" t="s">
        <x:v>123</x:v>
      </x:c>
      <x:c r="I16" s="12" t="s">
        <x:v>139</x:v>
      </x:c>
      <x:c r="J16" s="14" t="n">
        <x:v>46231</x:v>
      </x:c>
      <x:c r="K16" s="13" t="s">
        <x:v>3139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0</x:v>
      </x:c>
    </x:row>
    <x:row r="17" s="4" customFormat="1" ht="54" hidden="0" customHeight="1">
      <x:c r="A17" s="12" t="s">
        <x:v>3218</x:v>
      </x:c>
      <x:c r="B17" s="12" t="s">
        <x:v>3219</x:v>
      </x:c>
      <x:c r="C17" s="12" t="s">
        <x:v>827</x:v>
      </x:c>
      <x:c r="D17" s="13" t="s">
        <x:v>3220</x:v>
      </x:c>
      <x:c r="E17" s="12" t="s">
        <x:v>160</x:v>
      </x:c>
      <x:c r="F17" s="12" t="s">
        <x:v>195</x:v>
      </x:c>
      <x:c r="G17" s="13" t="s">
        <x:v>3217</x:v>
      </x:c>
      <x:c r="H17" s="12" t="s">
        <x:v>123</x:v>
      </x:c>
      <x:c r="I17" s="12" t="s">
        <x:v>139</x:v>
      </x:c>
      <x:c r="J17" s="14" t="n">
        <x:v>46231</x:v>
      </x:c>
      <x:c r="K17" s="13" t="s">
        <x:v>3221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3222</x:v>
      </x:c>
      <x:c r="B18" s="12" t="s">
        <x:v>1771</x:v>
      </x:c>
      <x:c r="C18" s="12" t="s">
        <x:v>3223</x:v>
      </x:c>
      <x:c r="D18" s="13" t="s">
        <x:v>3224</x:v>
      </x:c>
      <x:c r="E18" s="12" t="s">
        <x:v>160</x:v>
      </x:c>
      <x:c r="F18" s="12" t="s">
        <x:v>195</x:v>
      </x:c>
      <x:c r="G18" s="13" t="s">
        <x:v>3225</x:v>
      </x:c>
      <x:c r="H18" s="12" t="s">
        <x:v>123</x:v>
      </x:c>
      <x:c r="I18" s="12" t="s">
        <x:v>139</x:v>
      </x:c>
      <x:c r="J18" s="14" t="n">
        <x:v>46231</x:v>
      </x:c>
      <x:c r="K18" s="13" t="s">
        <x:v>3226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3227</x:v>
      </x:c>
      <x:c r="B19" s="12" t="s">
        <x:v>3228</x:v>
      </x:c>
      <x:c r="C19" s="12" t="s">
        <x:v>827</x:v>
      </x:c>
      <x:c r="D19" s="13" t="s">
        <x:v>3229</x:v>
      </x:c>
      <x:c r="E19" s="12" t="s">
        <x:v>160</x:v>
      </x:c>
      <x:c r="F19" s="12" t="s">
        <x:v>195</x:v>
      </x:c>
      <x:c r="G19" s="13" t="s">
        <x:v>3217</x:v>
      </x:c>
      <x:c r="H19" s="12" t="s">
        <x:v>123</x:v>
      </x:c>
      <x:c r="I19" s="12" t="s">
        <x:v>139</x:v>
      </x:c>
      <x:c r="J19" s="14" t="n">
        <x:v>46231</x:v>
      </x:c>
      <x:c r="K19" s="13" t="s">
        <x:v>3230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3231</x:v>
      </x:c>
      <x:c r="B20" s="12" t="s">
        <x:v>3232</x:v>
      </x:c>
      <x:c r="C20" s="12" t="s">
        <x:v>3232</x:v>
      </x:c>
      <x:c r="D20" s="13" t="s">
        <x:v>3233</x:v>
      </x:c>
      <x:c r="E20" s="12" t="s">
        <x:v>160</x:v>
      </x:c>
      <x:c r="F20" s="12" t="s">
        <x:v>185</x:v>
      </x:c>
      <x:c r="G20" s="13" t="s">
        <x:v>3214</x:v>
      </x:c>
      <x:c r="H20" s="12" t="s">
        <x:v>125</x:v>
      </x:c>
      <x:c r="I20" s="12" t="s">
        <x:v>140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3234</x:v>
      </x:c>
      <x:c r="B21" s="12" t="s">
        <x:v>3235</x:v>
      </x:c>
      <x:c r="C21" s="12" t="s">
        <x:v>3236</x:v>
      </x:c>
      <x:c r="D21" s="13" t="s">
        <x:v>3237</x:v>
      </x:c>
      <x:c r="E21" s="12" t="s">
        <x:v>160</x:v>
      </x:c>
      <x:c r="F21" s="12" t="s">
        <x:v>195</x:v>
      </x:c>
      <x:c r="G21" s="13" t="s">
        <x:v>3217</x:v>
      </x:c>
      <x:c r="H21" s="12" t="s">
        <x:v>123</x:v>
      </x:c>
      <x:c r="I21" s="12" t="s">
        <x:v>139</x:v>
      </x:c>
      <x:c r="J21" s="14" t="n">
        <x:v>46231</x:v>
      </x:c>
      <x:c r="K21" s="13" t="s">
        <x:v>3238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12" t="s">
        <x:v>3239</x:v>
      </x:c>
      <x:c r="B22" s="12" t="s">
        <x:v>3240</x:v>
      </x:c>
      <x:c r="C22" s="12" t="s">
        <x:v>3241</x:v>
      </x:c>
      <x:c r="D22" s="13" t="s">
        <x:v>3242</x:v>
      </x:c>
      <x:c r="E22" s="12" t="s">
        <x:v>160</x:v>
      </x:c>
      <x:c r="F22" s="12" t="s">
        <x:v>185</x:v>
      </x:c>
      <x:c r="G22" s="13" t="s">
        <x:v>3214</x:v>
      </x:c>
      <x:c r="H22" s="12" t="s">
        <x:v>125</x:v>
      </x:c>
      <x:c r="I22" s="12" t="s">
        <x:v>140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3243</x:v>
      </x:c>
      <x:c r="B23" s="12" t="s">
        <x:v>2347</x:v>
      </x:c>
      <x:c r="C23" s="12" t="s">
        <x:v>3241</x:v>
      </x:c>
      <x:c r="D23" s="13" t="s">
        <x:v>3244</x:v>
      </x:c>
      <x:c r="E23" s="12" t="s">
        <x:v>160</x:v>
      </x:c>
      <x:c r="F23" s="12" t="s">
        <x:v>180</x:v>
      </x:c>
      <x:c r="G23" s="13" t="s">
        <x:v>3245</x:v>
      </x:c>
      <x:c r="H23" s="12" t="s">
        <x:v>125</x:v>
      </x:c>
      <x:c r="I23" s="12" t="s">
        <x:v>140</x:v>
      </x:c>
      <x:c r="J23" s="14" t="n">
        <x:v>46231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3246</x:v>
      </x:c>
      <x:c r="B24" s="12" t="s">
        <x:v>208</x:v>
      </x:c>
      <x:c r="C24" s="12" t="s">
        <x:v>1265</x:v>
      </x:c>
      <x:c r="D24" s="13" t="s">
        <x:v>3247</x:v>
      </x:c>
      <x:c r="E24" s="12" t="s">
        <x:v>160</x:v>
      </x:c>
      <x:c r="F24" s="12" t="s">
        <x:v>180</x:v>
      </x:c>
      <x:c r="G24" s="13" t="s">
        <x:v>3201</x:v>
      </x:c>
      <x:c r="H24" s="12" t="s">
        <x:v>125</x:v>
      </x:c>
      <x:c r="I24" s="12" t="s">
        <x:v>140</x:v>
      </x:c>
      <x:c r="J24" s="14" t="n">
        <x:v>46231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3248</x:v>
      </x:c>
      <x:c r="B25" s="12" t="s">
        <x:v>199</x:v>
      </x:c>
      <x:c r="C25" s="12" t="s">
        <x:v>3236</x:v>
      </x:c>
      <x:c r="D25" s="13" t="s">
        <x:v>3249</x:v>
      </x:c>
      <x:c r="E25" s="12" t="s">
        <x:v>160</x:v>
      </x:c>
      <x:c r="F25" s="12" t="s">
        <x:v>185</x:v>
      </x:c>
      <x:c r="G25" s="13" t="s">
        <x:v>3214</x:v>
      </x:c>
      <x:c r="H25" s="12" t="s">
        <x:v>125</x:v>
      </x:c>
      <x:c r="I25" s="12" t="s">
        <x:v>140</x:v>
      </x:c>
      <x:c r="J25" s="14" t="n">
        <x:v>46231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3250</x:v>
      </x:c>
      <x:c r="B26" s="12" t="s">
        <x:v>2657</x:v>
      </x:c>
      <x:c r="C26" s="12" t="s">
        <x:v>3236</x:v>
      </x:c>
      <x:c r="D26" s="13" t="s">
        <x:v>3251</x:v>
      </x:c>
      <x:c r="E26" s="12" t="s">
        <x:v>160</x:v>
      </x:c>
      <x:c r="F26" s="12" t="s">
        <x:v>195</x:v>
      </x:c>
      <x:c r="G26" s="13" t="s">
        <x:v>3225</x:v>
      </x:c>
      <x:c r="H26" s="12" t="s">
        <x:v>123</x:v>
      </x:c>
      <x:c r="I26" s="12" t="s">
        <x:v>139</x:v>
      </x:c>
      <x:c r="J26" s="14" t="n">
        <x:v>46231</x:v>
      </x:c>
      <x:c r="K26" s="13" t="s">
        <x:v>3252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54" hidden="0" customHeight="1">
      <x:c r="A27" s="12" t="s">
        <x:v>3253</x:v>
      </x:c>
      <x:c r="B27" s="12" t="s">
        <x:v>2604</x:v>
      </x:c>
      <x:c r="C27" s="12" t="s">
        <x:v>1265</x:v>
      </x:c>
      <x:c r="D27" s="13" t="s">
        <x:v>3254</x:v>
      </x:c>
      <x:c r="E27" s="12" t="s">
        <x:v>160</x:v>
      </x:c>
      <x:c r="F27" s="12" t="s">
        <x:v>195</x:v>
      </x:c>
      <x:c r="G27" s="13" t="s">
        <x:v>3225</x:v>
      </x:c>
      <x:c r="H27" s="12" t="s">
        <x:v>123</x:v>
      </x:c>
      <x:c r="I27" s="12" t="s">
        <x:v>139</x:v>
      </x:c>
      <x:c r="J27" s="14" t="n">
        <x:v>46231</x:v>
      </x:c>
      <x:c r="K27" s="13" t="s">
        <x:v>3255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3256</x:v>
      </x:c>
      <x:c r="B28" s="12" t="s">
        <x:v>188</x:v>
      </x:c>
      <x:c r="C28" s="12" t="s">
        <x:v>1265</x:v>
      </x:c>
      <x:c r="D28" s="13" t="s">
        <x:v>3257</x:v>
      </x:c>
      <x:c r="E28" s="12" t="s">
        <x:v>160</x:v>
      </x:c>
      <x:c r="F28" s="12" t="s">
        <x:v>190</x:v>
      </x:c>
      <x:c r="G28" s="13" t="s">
        <x:v>3214</x:v>
      </x:c>
      <x:c r="H28" s="12" t="s">
        <x:v>125</x:v>
      </x:c>
      <x:c r="I28" s="12" t="s">
        <x:v>140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3258</x:v>
      </x:c>
      <x:c r="B29" s="12" t="s">
        <x:v>93</x:v>
      </x:c>
      <x:c r="C29" s="12" t="s">
        <x:v>1265</x:v>
      </x:c>
      <x:c r="D29" s="13" t="s">
        <x:v>3259</x:v>
      </x:c>
      <x:c r="E29" s="12" t="s">
        <x:v>160</x:v>
      </x:c>
      <x:c r="F29" s="12" t="s">
        <x:v>195</x:v>
      </x:c>
      <x:c r="G29" s="13" t="s">
        <x:v>3217</x:v>
      </x:c>
      <x:c r="H29" s="12" t="s">
        <x:v>123</x:v>
      </x:c>
      <x:c r="I29" s="12" t="s">
        <x:v>139</x:v>
      </x:c>
      <x:c r="J29" s="14" t="n">
        <x:v>46231</x:v>
      </x:c>
      <x:c r="K29" s="13" t="s">
        <x:v>3093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3260</x:v>
      </x:c>
      <x:c r="B30" s="12" t="s">
        <x:v>2553</x:v>
      </x:c>
      <x:c r="C30" s="12" t="s">
        <x:v>1265</x:v>
      </x:c>
      <x:c r="D30" s="13" t="s">
        <x:v>3261</x:v>
      </x:c>
      <x:c r="E30" s="12" t="s">
        <x:v>160</x:v>
      </x:c>
      <x:c r="F30" s="12" t="s">
        <x:v>201</x:v>
      </x:c>
      <x:c r="G30" s="13" t="s">
        <x:v>3262</x:v>
      </x:c>
      <x:c r="H30" s="12" t="s">
        <x:v>123</x:v>
      </x:c>
      <x:c r="I30" s="12" t="s">
        <x:v>139</x:v>
      </x:c>
      <x:c r="J30" s="14" t="n">
        <x:v>46231</x:v>
      </x:c>
      <x:c r="K30" s="13" t="s">
        <x:v>3263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3264</x:v>
      </x:c>
      <x:c r="B31" s="12" t="s">
        <x:v>1604</x:v>
      </x:c>
      <x:c r="C31" s="12" t="s">
        <x:v>1265</x:v>
      </x:c>
      <x:c r="D31" s="13" t="s">
        <x:v>3265</x:v>
      </x:c>
      <x:c r="E31" s="12" t="s">
        <x:v>160</x:v>
      </x:c>
      <x:c r="F31" s="12" t="s">
        <x:v>2685</x:v>
      </x:c>
      <x:c r="G31" s="13" t="s">
        <x:v>3266</x:v>
      </x:c>
      <x:c r="H31" s="12" t="s">
        <x:v>125</x:v>
      </x:c>
      <x:c r="I31" s="12" t="s">
        <x:v>140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3267</x:v>
      </x:c>
      <x:c r="B32" s="12" t="s">
        <x:v>2779</x:v>
      </x:c>
      <x:c r="C32" s="12" t="s">
        <x:v>3268</x:v>
      </x:c>
      <x:c r="D32" s="13" t="s">
        <x:v>3269</x:v>
      </x:c>
      <x:c r="E32" s="12" t="s">
        <x:v>160</x:v>
      </x:c>
      <x:c r="F32" s="12" t="s">
        <x:v>2685</x:v>
      </x:c>
      <x:c r="G32" s="13" t="s">
        <x:v>3266</x:v>
      </x:c>
      <x:c r="H32" s="12" t="s">
        <x:v>125</x:v>
      </x:c>
      <x:c r="I32" s="12" t="s">
        <x:v>140</x:v>
      </x:c>
      <x:c r="J32" s="14" t="n">
        <x:v>46231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3270</x:v>
      </x:c>
      <x:c r="B33" s="12" t="s">
        <x:v>646</x:v>
      </x:c>
      <x:c r="C33" s="12" t="s">
        <x:v>1265</x:v>
      </x:c>
      <x:c r="D33" s="13" t="s">
        <x:v>3271</x:v>
      </x:c>
      <x:c r="E33" s="12" t="s">
        <x:v>160</x:v>
      </x:c>
      <x:c r="F33" s="12" t="s">
        <x:v>648</x:v>
      </x:c>
      <x:c r="G33" s="13" t="s">
        <x:v>3272</x:v>
      </x:c>
      <x:c r="H33" s="12" t="s">
        <x:v>125</x:v>
      </x:c>
      <x:c r="I33" s="12" t="s">
        <x:v>140</x:v>
      </x:c>
      <x:c r="J33" s="14" t="n">
        <x:v>46231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3273</x:v>
      </x:c>
      <x:c r="B34" s="12" t="s">
        <x:v>2459</x:v>
      </x:c>
      <x:c r="C34" s="12" t="s">
        <x:v>2683</x:v>
      </x:c>
      <x:c r="D34" s="13" t="s">
        <x:v>3274</x:v>
      </x:c>
      <x:c r="E34" s="12" t="s">
        <x:v>160</x:v>
      </x:c>
      <x:c r="F34" s="12" t="s">
        <x:v>2685</x:v>
      </x:c>
      <x:c r="G34" s="13" t="s">
        <x:v>3275</x:v>
      </x:c>
      <x:c r="H34" s="12" t="s">
        <x:v>125</x:v>
      </x:c>
      <x:c r="I34" s="12" t="s">
        <x:v>140</x:v>
      </x:c>
      <x:c r="J34" s="14" t="n">
        <x:v>46231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3276</x:v>
      </x:c>
      <x:c r="B35" s="12" t="s">
        <x:v>220</x:v>
      </x:c>
      <x:c r="C35" s="12" t="s">
        <x:v>2688</x:v>
      </x:c>
      <x:c r="D35" s="13" t="s">
        <x:v>3277</x:v>
      </x:c>
      <x:c r="E35" s="12" t="s">
        <x:v>160</x:v>
      </x:c>
      <x:c r="F35" s="12" t="s">
        <x:v>2685</x:v>
      </x:c>
      <x:c r="G35" s="13" t="s">
        <x:v>3278</x:v>
      </x:c>
      <x:c r="H35" s="12" t="s">
        <x:v>125</x:v>
      </x:c>
      <x:c r="I35" s="12" t="s">
        <x:v>140</x:v>
      </x:c>
      <x:c r="J35" s="14" t="n">
        <x:v>46231</x:v>
      </x:c>
      <x:c r="K35" s="13"/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3279</x:v>
      </x:c>
      <x:c r="B36" s="12" t="s">
        <x:v>224</x:v>
      </x:c>
      <x:c r="C36" s="12" t="s">
        <x:v>1265</x:v>
      </x:c>
      <x:c r="D36" s="13" t="s">
        <x:v>3280</x:v>
      </x:c>
      <x:c r="E36" s="12" t="s">
        <x:v>226</x:v>
      </x:c>
      <x:c r="F36" s="12" t="s">
        <x:v>226</x:v>
      </x:c>
      <x:c r="G36" s="13" t="s">
        <x:v>227</x:v>
      </x:c>
      <x:c r="H36" s="12" t="s">
        <x:v>125</x:v>
      </x:c>
      <x:c r="I36" s="12" t="s">
        <x:v>140</x:v>
      </x:c>
      <x:c r="J36" s="14" t="n">
        <x:v>46231</x:v>
      </x:c>
      <x:c r="K36" s="13" t="s">
        <x:v>3185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 t="s">
        <x:v>3281</x:v>
      </x:c>
      <x:c r="B37" s="12" t="s">
        <x:v>193</x:v>
      </x:c>
      <x:c r="C37" s="12" t="s">
        <x:v>1265</x:v>
      </x:c>
      <x:c r="D37" s="13" t="s">
        <x:v>3282</x:v>
      </x:c>
      <x:c r="E37" s="12" t="s">
        <x:v>160</x:v>
      </x:c>
      <x:c r="F37" s="12" t="s">
        <x:v>195</x:v>
      </x:c>
      <x:c r="G37" s="13" t="s">
        <x:v>3217</x:v>
      </x:c>
      <x:c r="H37" s="12" t="s">
        <x:v>123</x:v>
      </x:c>
      <x:c r="I37" s="12" t="s">
        <x:v>139</x:v>
      </x:c>
      <x:c r="J37" s="14" t="n">
        <x:v>46231</x:v>
      </x:c>
      <x:c r="K37" s="13" t="s">
        <x:v>3116</x:v>
      </x:c>
      <x:c r="L37" s="12" t="n">
        <x:v>1</x:v>
      </x:c>
      <x:c r="M37" s="12" t="n">
        <x:f aca="0">IF(OR(AND(I37="yes",H37="verified"),AND(I37="no",OR(H37="tested",H37="verified")),AND(H37="not applicable",K37&lt;&gt;"")),1,0)</x:f>
        <x:v>0</x:v>
      </x:c>
    </x:row>
    <x:row r="38" s="4" customFormat="1" ht="54" hidden="0" customHeight="1">
      <x:c r="A38" s="12" t="s">
        <x:v>3283</x:v>
      </x:c>
      <x:c r="B38" s="12" t="s">
        <x:v>212</x:v>
      </x:c>
      <x:c r="C38" s="12" t="s">
        <x:v>1265</x:v>
      </x:c>
      <x:c r="D38" s="13" t="s">
        <x:v>3284</x:v>
      </x:c>
      <x:c r="E38" s="12" t="s">
        <x:v>160</x:v>
      </x:c>
      <x:c r="F38" s="12" t="s">
        <x:v>201</x:v>
      </x:c>
      <x:c r="G38" s="13" t="s">
        <x:v>3262</x:v>
      </x:c>
      <x:c r="H38" s="12" t="s">
        <x:v>119</x:v>
      </x:c>
      <x:c r="I38" s="12" t="s">
        <x:v>139</x:v>
      </x:c>
      <x:c r="J38" s="14"/>
      <x:c r="K38" s="13" t="s">
        <x:v>1882</x:v>
      </x:c>
      <x:c r="L38" s="12" t="n">
        <x:v>1</x:v>
      </x:c>
      <x:c r="M38" s="12" t="n">
        <x:f aca="0">IF(OR(AND(I38="yes",H38="verified"),AND(I38="no",OR(H38="tested",H38="verified")),AND(H38="not applicable",K38&lt;&gt;"")),1,0)</x:f>
        <x:v>0</x:v>
      </x:c>
    </x:row>
    <x:row r="39" s="4" customFormat="1" ht="54" hidden="0" customHeight="1">
      <x:c r="A39" s="12" t="s">
        <x:v>3285</x:v>
      </x:c>
      <x:c r="B39" s="12" t="s">
        <x:v>229</x:v>
      </x:c>
      <x:c r="C39" s="12" t="s">
        <x:v>2701</x:v>
      </x:c>
      <x:c r="D39" s="13" t="s">
        <x:v>3286</x:v>
      </x:c>
      <x:c r="E39" s="12" t="s">
        <x:v>160</x:v>
      </x:c>
      <x:c r="F39" s="12" t="s">
        <x:v>160</x:v>
      </x:c>
      <x:c r="G39" s="13" t="s">
        <x:v>2625</x:v>
      </x:c>
      <x:c r="H39" s="12" t="s">
        <x:v>125</x:v>
      </x:c>
      <x:c r="I39" s="12" t="s">
        <x:v>140</x:v>
      </x:c>
      <x:c r="J39" s="14" t="n">
        <x:v>46231</x:v>
      </x:c>
      <x:c r="K39" s="13" t="s">
        <x:v>3287</x:v>
      </x:c>
      <x:c r="L39" s="12" t="n">
        <x:v>1</x:v>
      </x:c>
      <x:c r="M39" s="12" t="n">
        <x:f aca="0">IF(OR(AND(I39="yes",H39="verified"),AND(I39="no",OR(H39="tested",H39="verified")),AND(H39="not applicable",K39&lt;&gt;"")),1,0)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3288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3289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143</x:v>
      </x:c>
      <x:c r="E4" s="7" t="n">
        <x:f aca="0">SUM(M9:M30)</x:f>
        <x:v>14</x:v>
      </x:c>
      <x:c r="G4" s="6" t="s">
        <x:v>13</x:v>
      </x:c>
      <x:c r="H4" s="8" t="n">
        <x:f aca="0">IF(B4=0,0,E4/B4)</x:f>
        <x:v>0.6363636363636364</x:v>
      </x:c>
      <x:c r="J4" s="6" t="s">
        <x:v>14</x:v>
      </x:c>
      <x:c r="K4" s="7" t="str">
        <x:f aca="0">IF(COUNTIFS(E9:E24,"package",M9:M24,0)&gt;0,"open","complete")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1146</x:v>
      </x:c>
      <x:c r="B9" s="12" t="s">
        <x:v>157</x:v>
      </x:c>
      <x:c r="C9" s="12" t="s">
        <x:v>3290</x:v>
      </x:c>
      <x:c r="D9" s="13" t="s">
        <x:v>3291</x:v>
      </x:c>
      <x:c r="E9" s="12" t="s">
        <x:v>160</x:v>
      </x:c>
      <x:c r="F9" s="12" t="s">
        <x:v>161</x:v>
      </x:c>
      <x:c r="G9" s="13" t="s">
        <x:v>3292</x:v>
      </x:c>
      <x:c r="H9" s="12" t="s">
        <x:v>125</x:v>
      </x:c>
      <x:c r="I9" s="12" t="s">
        <x:v>140</x:v>
      </x:c>
      <x:c r="J9" s="14" t="s">
        <x:v>3293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1150</x:v>
      </x:c>
      <x:c r="B10" s="12" t="s">
        <x:v>1423</x:v>
      </x:c>
      <x:c r="C10" s="12" t="s">
        <x:v>1265</x:v>
      </x:c>
      <x:c r="D10" s="13" t="s">
        <x:v>3294</x:v>
      </x:c>
      <x:c r="E10" s="12" t="s">
        <x:v>160</x:v>
      </x:c>
      <x:c r="F10" s="12" t="s">
        <x:v>180</x:v>
      </x:c>
      <x:c r="G10" s="13" t="s">
        <x:v>3295</x:v>
      </x:c>
      <x:c r="H10" s="12" t="s">
        <x:v>125</x:v>
      </x:c>
      <x:c r="I10" s="12" t="s">
        <x:v>140</x:v>
      </x:c>
      <x:c r="J10" s="14" t="s">
        <x:v>3293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1154</x:v>
      </x:c>
      <x:c r="B11" s="12" t="s">
        <x:v>164</x:v>
      </x:c>
      <x:c r="C11" s="12" t="s">
        <x:v>77</x:v>
      </x:c>
      <x:c r="D11" s="13" t="s">
        <x:v>3296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s">
        <x:v>3293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1158</x:v>
      </x:c>
      <x:c r="B12" s="12" t="s">
        <x:v>168</x:v>
      </x:c>
      <x:c r="C12" s="12" t="s">
        <x:v>1463</x:v>
      </x:c>
      <x:c r="D12" s="13" t="s">
        <x:v>3297</x:v>
      </x:c>
      <x:c r="E12" s="12" t="s">
        <x:v>160</x:v>
      </x:c>
      <x:c r="F12" s="12" t="s">
        <x:v>170</x:v>
      </x:c>
      <x:c r="G12" s="13" t="s">
        <x:v>3298</x:v>
      </x:c>
      <x:c r="H12" s="12" t="s">
        <x:v>125</x:v>
      </x:c>
      <x:c r="I12" s="12" t="s">
        <x:v>140</x:v>
      </x:c>
      <x:c r="J12" s="14" t="s">
        <x:v>3293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1162</x:v>
      </x:c>
      <x:c r="B13" s="12" t="s">
        <x:v>173</x:v>
      </x:c>
      <x:c r="C13" s="12" t="s">
        <x:v>3299</x:v>
      </x:c>
      <x:c r="D13" s="13" t="s">
        <x:v>1467</x:v>
      </x:c>
      <x:c r="E13" s="12" t="s">
        <x:v>160</x:v>
      </x:c>
      <x:c r="F13" s="12" t="s">
        <x:v>175</x:v>
      </x:c>
      <x:c r="G13" s="13" t="s">
        <x:v>3300</x:v>
      </x:c>
      <x:c r="H13" s="12" t="s">
        <x:v>125</x:v>
      </x:c>
      <x:c r="I13" s="12" t="s">
        <x:v>140</x:v>
      </x:c>
      <x:c r="J13" s="14" t="s">
        <x:v>3293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1167</x:v>
      </x:c>
      <x:c r="B14" s="12" t="s">
        <x:v>3301</x:v>
      </x:c>
      <x:c r="C14" s="12" t="s">
        <x:v>3302</x:v>
      </x:c>
      <x:c r="D14" s="13" t="s">
        <x:v>3303</x:v>
      </x:c>
      <x:c r="E14" s="12" t="s">
        <x:v>185</x:v>
      </x:c>
      <x:c r="F14" s="12" t="s">
        <x:v>185</x:v>
      </x:c>
      <x:c r="G14" s="13" t="s">
        <x:v>3304</x:v>
      </x:c>
      <x:c r="H14" s="12" t="s">
        <x:v>125</x:v>
      </x:c>
      <x:c r="I14" s="12" t="s">
        <x:v>140</x:v>
      </x:c>
      <x:c r="J14" s="14" t="s">
        <x:v>3293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1171</x:v>
      </x:c>
      <x:c r="B15" s="12" t="s">
        <x:v>1991</x:v>
      </x:c>
      <x:c r="C15" s="12" t="s">
        <x:v>3305</x:v>
      </x:c>
      <x:c r="D15" s="13" t="s">
        <x:v>3306</x:v>
      </x:c>
      <x:c r="E15" s="12" t="s">
        <x:v>185</x:v>
      </x:c>
      <x:c r="F15" s="12" t="s">
        <x:v>185</x:v>
      </x:c>
      <x:c r="G15" s="13" t="s">
        <x:v>3304</x:v>
      </x:c>
      <x:c r="H15" s="12" t="s">
        <x:v>125</x:v>
      </x:c>
      <x:c r="I15" s="12" t="s">
        <x:v>140</x:v>
      </x:c>
      <x:c r="J15" s="14" t="s">
        <x:v>3293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1173</x:v>
      </x:c>
      <x:c r="B16" s="12" t="s">
        <x:v>3307</x:v>
      </x:c>
      <x:c r="C16" s="12" t="s">
        <x:v>3308</x:v>
      </x:c>
      <x:c r="D16" s="13" t="s">
        <x:v>3309</x:v>
      </x:c>
      <x:c r="E16" s="12" t="s">
        <x:v>160</x:v>
      </x:c>
      <x:c r="F16" s="12" t="s">
        <x:v>180</x:v>
      </x:c>
      <x:c r="G16" s="13" t="s">
        <x:v>3295</x:v>
      </x:c>
      <x:c r="H16" s="12" t="s">
        <x:v>125</x:v>
      </x:c>
      <x:c r="I16" s="12" t="s">
        <x:v>140</x:v>
      </x:c>
      <x:c r="J16" s="14" t="s">
        <x:v>3293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1176</x:v>
      </x:c>
      <x:c r="B17" s="12" t="s">
        <x:v>1662</x:v>
      </x:c>
      <x:c r="C17" s="12" t="s">
        <x:v>3310</x:v>
      </x:c>
      <x:c r="D17" s="13" t="s">
        <x:v>3311</x:v>
      </x:c>
      <x:c r="E17" s="12" t="s">
        <x:v>3034</x:v>
      </x:c>
      <x:c r="F17" s="12" t="s">
        <x:v>195</x:v>
      </x:c>
      <x:c r="G17" s="13" t="s">
        <x:v>3312</x:v>
      </x:c>
      <x:c r="H17" s="12" t="s">
        <x:v>123</x:v>
      </x:c>
      <x:c r="I17" s="12" t="s">
        <x:v>139</x:v>
      </x:c>
      <x:c r="J17" s="14" t="s">
        <x:v>3313</x:v>
      </x:c>
      <x:c r="K17" s="13"/>
      <x:c r="L17" s="12"/>
      <x:c r="M17" s="12" t="n">
        <x:f aca="0">IF(OR(H17="tested",H17="verified",H17="not applicable"),1,0)</x:f>
        <x:v>0</x:v>
      </x:c>
    </x:row>
    <x:row r="18" s="4" customFormat="1" ht="54" hidden="0" customHeight="1">
      <x:c r="A18" s="12" t="s">
        <x:v>1179</x:v>
      </x:c>
      <x:c r="B18" s="12" t="s">
        <x:v>1213</x:v>
      </x:c>
      <x:c r="C18" s="12" t="s">
        <x:v>3314</x:v>
      </x:c>
      <x:c r="D18" s="13" t="s">
        <x:v>3315</x:v>
      </x:c>
      <x:c r="E18" s="12" t="s">
        <x:v>185</x:v>
      </x:c>
      <x:c r="F18" s="12" t="s">
        <x:v>185</x:v>
      </x:c>
      <x:c r="G18" s="13" t="s">
        <x:v>3304</x:v>
      </x:c>
      <x:c r="H18" s="12" t="s">
        <x:v>125</x:v>
      </x:c>
      <x:c r="I18" s="12" t="s">
        <x:v>140</x:v>
      </x:c>
      <x:c r="J18" s="14" t="s">
        <x:v>3293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1181</x:v>
      </x:c>
      <x:c r="B19" s="12" t="s">
        <x:v>3316</x:v>
      </x:c>
      <x:c r="C19" s="12" t="s">
        <x:v>1151</x:v>
      </x:c>
      <x:c r="D19" s="13" t="s">
        <x:v>3317</x:v>
      </x:c>
      <x:c r="E19" s="12" t="s">
        <x:v>185</x:v>
      </x:c>
      <x:c r="F19" s="12" t="s">
        <x:v>185</x:v>
      </x:c>
      <x:c r="G19" s="13" t="s">
        <x:v>3304</x:v>
      </x:c>
      <x:c r="H19" s="12" t="s">
        <x:v>125</x:v>
      </x:c>
      <x:c r="I19" s="12" t="s">
        <x:v>140</x:v>
      </x:c>
      <x:c r="J19" s="14" t="s">
        <x:v>3293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1183</x:v>
      </x:c>
      <x:c r="B20" s="12" t="s">
        <x:v>3318</x:v>
      </x:c>
      <x:c r="C20" s="12" t="s">
        <x:v>1151</x:v>
      </x:c>
      <x:c r="D20" s="13" t="s">
        <x:v>3319</x:v>
      </x:c>
      <x:c r="E20" s="12" t="s">
        <x:v>3034</x:v>
      </x:c>
      <x:c r="F20" s="12" t="s">
        <x:v>201</x:v>
      </x:c>
      <x:c r="G20" s="13" t="s">
        <x:v>3320</x:v>
      </x:c>
      <x:c r="H20" s="12" t="s">
        <x:v>123</x:v>
      </x:c>
      <x:c r="I20" s="12" t="s">
        <x:v>139</x:v>
      </x:c>
      <x:c r="J20" s="14" t="s">
        <x:v>3313</x:v>
      </x:c>
      <x:c r="K20" s="13"/>
      <x:c r="L20" s="12"/>
      <x:c r="M20" s="12" t="n">
        <x:f aca="0">IF(OR(H20="tested",H20="verified",H20="not applicable"),1,0)</x:f>
        <x:v>0</x:v>
      </x:c>
    </x:row>
    <x:row r="21" s="4" customFormat="1" ht="54" hidden="0" customHeight="1">
      <x:c r="A21" s="12" t="s">
        <x:v>1186</x:v>
      </x:c>
      <x:c r="B21" s="12" t="s">
        <x:v>188</x:v>
      </x:c>
      <x:c r="C21" s="12" t="s">
        <x:v>1265</x:v>
      </x:c>
      <x:c r="D21" s="13" t="s">
        <x:v>3321</x:v>
      </x:c>
      <x:c r="E21" s="12" t="s">
        <x:v>185</x:v>
      </x:c>
      <x:c r="F21" s="12" t="s">
        <x:v>190</x:v>
      </x:c>
      <x:c r="G21" s="13" t="s">
        <x:v>3304</x:v>
      </x:c>
      <x:c r="H21" s="12" t="s">
        <x:v>125</x:v>
      </x:c>
      <x:c r="I21" s="12" t="s">
        <x:v>140</x:v>
      </x:c>
      <x:c r="J21" s="14" t="s">
        <x:v>3293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1189</x:v>
      </x:c>
      <x:c r="B22" s="12" t="s">
        <x:v>93</x:v>
      </x:c>
      <x:c r="C22" s="12" t="s">
        <x:v>1265</x:v>
      </x:c>
      <x:c r="D22" s="13" t="s">
        <x:v>3322</x:v>
      </x:c>
      <x:c r="E22" s="12" t="s">
        <x:v>3034</x:v>
      </x:c>
      <x:c r="F22" s="12" t="s">
        <x:v>195</x:v>
      </x:c>
      <x:c r="G22" s="13" t="s">
        <x:v>3312</x:v>
      </x:c>
      <x:c r="H22" s="12" t="s">
        <x:v>123</x:v>
      </x:c>
      <x:c r="I22" s="12" t="s">
        <x:v>139</x:v>
      </x:c>
      <x:c r="J22" s="14" t="s">
        <x:v>3313</x:v>
      </x:c>
      <x:c r="K22" s="13"/>
      <x:c r="L22" s="12"/>
      <x:c r="M22" s="12" t="n">
        <x:f aca="0">IF(OR(H22="tested",H22="verified",H22="not applicable"),1,0)</x:f>
        <x:v>0</x:v>
      </x:c>
    </x:row>
    <x:row r="23" s="4" customFormat="1" ht="54" hidden="0" customHeight="1">
      <x:c r="A23" s="12" t="s">
        <x:v>1192</x:v>
      </x:c>
      <x:c r="B23" s="12" t="s">
        <x:v>199</x:v>
      </x:c>
      <x:c r="C23" s="12" t="s">
        <x:v>3323</x:v>
      </x:c>
      <x:c r="D23" s="13" t="s">
        <x:v>3324</x:v>
      </x:c>
      <x:c r="E23" s="12" t="s">
        <x:v>3034</x:v>
      </x:c>
      <x:c r="F23" s="12" t="s">
        <x:v>201</x:v>
      </x:c>
      <x:c r="G23" s="13" t="s">
        <x:v>3320</x:v>
      </x:c>
      <x:c r="H23" s="12" t="s">
        <x:v>123</x:v>
      </x:c>
      <x:c r="I23" s="12" t="s">
        <x:v>139</x:v>
      </x:c>
      <x:c r="J23" s="14" t="s">
        <x:v>3313</x:v>
      </x:c>
      <x:c r="K23" s="13"/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1195</x:v>
      </x:c>
      <x:c r="B24" s="12" t="s">
        <x:v>2604</x:v>
      </x:c>
      <x:c r="C24" s="12" t="s">
        <x:v>3323</x:v>
      </x:c>
      <x:c r="D24" s="13" t="s">
        <x:v>3325</x:v>
      </x:c>
      <x:c r="E24" s="12" t="s">
        <x:v>3034</x:v>
      </x:c>
      <x:c r="F24" s="12" t="s">
        <x:v>195</x:v>
      </x:c>
      <x:c r="G24" s="13" t="s">
        <x:v>3312</x:v>
      </x:c>
      <x:c r="H24" s="12" t="s">
        <x:v>123</x:v>
      </x:c>
      <x:c r="I24" s="12" t="s">
        <x:v>139</x:v>
      </x:c>
      <x:c r="J24" s="14" t="s">
        <x:v>3313</x:v>
      </x:c>
      <x:c r="K24" s="13"/>
      <x:c r="L24" s="12"/>
      <x:c r="M24" s="12" t="n">
        <x:f aca="0">IF(OR(H24="tested",H24="verified",H24="not applicable"),1,0)</x:f>
        <x:v>0</x:v>
      </x:c>
    </x:row>
    <x:row r="25" s="4" customFormat="1" ht="23.25" hidden="0" customHeight="1">
      <x:c r="A25" s="12" t="s">
        <x:v>1197</x:v>
      </x:c>
      <x:c r="B25" s="12" t="s">
        <x:v>1604</x:v>
      </x:c>
      <x:c r="C25" s="12" t="s">
        <x:v>3314</x:v>
      </x:c>
      <x:c r="D25" s="13" t="s">
        <x:v>3326</x:v>
      </x:c>
      <x:c r="E25" s="12" t="s">
        <x:v>3034</x:v>
      </x:c>
      <x:c r="F25" s="12" t="s">
        <x:v>201</x:v>
      </x:c>
      <x:c r="G25" s="13" t="s">
        <x:v>3320</x:v>
      </x:c>
      <x:c r="H25" s="12" t="s">
        <x:v>123</x:v>
      </x:c>
      <x:c r="I25" s="12" t="s">
        <x:v>139</x:v>
      </x:c>
      <x:c r="J25" s="14" t="s">
        <x:v>3313</x:v>
      </x:c>
      <x:c r="K25" s="13"/>
      <x:c r="L25" s="12"/>
      <x:c r="M25" s="12" t="n">
        <x:f aca="0">IF(OR(H25="tested",H25="verified",H25="not applicable"),1,0)</x:f>
        <x:v>0</x:v>
      </x:c>
    </x:row>
    <x:row r="26" s="4" customFormat="1" ht="23.25" hidden="0" customHeight="1">
      <x:c r="A26" s="12" t="s">
        <x:v>1200</x:v>
      </x:c>
      <x:c r="B26" s="12" t="s">
        <x:v>2459</x:v>
      </x:c>
      <x:c r="C26" s="12" t="s">
        <x:v>77</x:v>
      </x:c>
      <x:c r="D26" s="13" t="s">
        <x:v>3327</x:v>
      </x:c>
      <x:c r="E26" s="12" t="s">
        <x:v>160</x:v>
      </x:c>
      <x:c r="F26" s="12" t="s">
        <x:v>217</x:v>
      </x:c>
      <x:c r="G26" s="13" t="s">
        <x:v>3328</x:v>
      </x:c>
      <x:c r="H26" s="12" t="s">
        <x:v>125</x:v>
      </x:c>
      <x:c r="I26" s="12" t="s">
        <x:v>140</x:v>
      </x:c>
      <x:c r="J26" s="14" t="s">
        <x:v>3293</x:v>
      </x:c>
      <x:c r="K26" s="13"/>
      <x:c r="L26" s="12"/>
      <x:c r="M26" s="12" t="n">
        <x:f aca="0">IF(OR(H26="tested",H26="verified",H26="not applicable"),1,0)</x:f>
        <x:v>1</x:v>
      </x:c>
    </x:row>
    <x:row r="27" s="4" customFormat="1" ht="23.25" hidden="0" customHeight="1">
      <x:c r="A27" s="12" t="s">
        <x:v>1203</x:v>
      </x:c>
      <x:c r="B27" s="12" t="s">
        <x:v>224</x:v>
      </x:c>
      <x:c r="C27" s="12" t="s">
        <x:v>77</x:v>
      </x:c>
      <x:c r="D27" s="13" t="s">
        <x:v>3329</x:v>
      </x:c>
      <x:c r="E27" s="12" t="s">
        <x:v>226</x:v>
      </x:c>
      <x:c r="F27" s="12" t="s">
        <x:v>226</x:v>
      </x:c>
      <x:c r="G27" s="13" t="s">
        <x:v>3330</x:v>
      </x:c>
      <x:c r="H27" s="12" t="s">
        <x:v>125</x:v>
      </x:c>
      <x:c r="I27" s="12" t="s">
        <x:v>140</x:v>
      </x:c>
      <x:c r="J27" s="14" t="s">
        <x:v>3293</x:v>
      </x:c>
      <x:c r="K27" s="13"/>
      <x:c r="L27" s="12"/>
      <x:c r="M27" s="12" t="n">
        <x:f aca="0">IF(OR(H27="tested",H27="verified",H27="not applicable"),1,0)</x:f>
        <x:v>1</x:v>
      </x:c>
    </x:row>
    <x:row r="28" s="4" customFormat="1" ht="23.25" hidden="0" customHeight="1">
      <x:c r="A28" s="12" t="s">
        <x:v>1205</x:v>
      </x:c>
      <x:c r="B28" s="12" t="s">
        <x:v>229</x:v>
      </x:c>
      <x:c r="C28" s="12" t="s">
        <x:v>77</x:v>
      </x:c>
      <x:c r="D28" s="13" t="s">
        <x:v>3331</x:v>
      </x:c>
      <x:c r="E28" s="12" t="s">
        <x:v>226</x:v>
      </x:c>
      <x:c r="F28" s="12" t="s">
        <x:v>160</x:v>
      </x:c>
      <x:c r="G28" s="13" t="s">
        <x:v>3332</x:v>
      </x:c>
      <x:c r="H28" s="12" t="s">
        <x:v>125</x:v>
      </x:c>
      <x:c r="I28" s="12" t="s">
        <x:v>140</x:v>
      </x:c>
      <x:c r="J28" s="14" t="s">
        <x:v>3293</x:v>
      </x:c>
      <x:c r="K28" s="13"/>
      <x:c r="L28" s="12"/>
      <x:c r="M28" s="12" t="n">
        <x:f aca="0">IF(OR(H28="tested",H28="verified",H28="not applicable"),1,0)</x:f>
        <x:v>1</x:v>
      </x:c>
    </x:row>
    <x:row r="29" s="4" customFormat="1" ht="23.25" hidden="0" customHeight="1">
      <x:c r="A29" s="12" t="s">
        <x:v>3333</x:v>
      </x:c>
      <x:c r="B29" s="12" t="s">
        <x:v>212</x:v>
      </x:c>
      <x:c r="C29" s="12" t="s">
        <x:v>1265</x:v>
      </x:c>
      <x:c r="D29" s="13" t="s">
        <x:v>3334</x:v>
      </x:c>
      <x:c r="E29" s="12" t="s">
        <x:v>3034</x:v>
      </x:c>
      <x:c r="F29" s="12" t="s">
        <x:v>201</x:v>
      </x:c>
      <x:c r="G29" s="13" t="s">
        <x:v>3320</x:v>
      </x:c>
      <x:c r="H29" s="12" t="s">
        <x:v>123</x:v>
      </x:c>
      <x:c r="I29" s="12" t="s">
        <x:v>139</x:v>
      </x:c>
      <x:c r="J29" s="14" t="s">
        <x:v>3313</x:v>
      </x:c>
      <x:c r="K29" s="13"/>
      <x:c r="L29" s="12"/>
      <x:c r="M29" s="12" t="n">
        <x:f aca="0">IF(OR(H29="tested",H29="verified",H29="not applicable"),1,0)</x:f>
        <x:v>0</x:v>
      </x:c>
    </x:row>
    <x:row r="30" s="4" customFormat="1" ht="23.25" hidden="0" customHeight="1">
      <x:c r="A30" s="12" t="s">
        <x:v>3335</x:v>
      </x:c>
      <x:c r="B30" s="12" t="s">
        <x:v>193</x:v>
      </x:c>
      <x:c r="C30" s="12" t="s">
        <x:v>1265</x:v>
      </x:c>
      <x:c r="D30" s="13" t="s">
        <x:v>3336</x:v>
      </x:c>
      <x:c r="E30" s="12" t="s">
        <x:v>3034</x:v>
      </x:c>
      <x:c r="F30" s="12" t="s">
        <x:v>195</x:v>
      </x:c>
      <x:c r="G30" s="13" t="s">
        <x:v>3312</x:v>
      </x:c>
      <x:c r="H30" s="12" t="s">
        <x:v>123</x:v>
      </x:c>
      <x:c r="I30" s="12" t="s">
        <x:v>139</x:v>
      </x:c>
      <x:c r="J30" s="14" t="s">
        <x:v>3313</x:v>
      </x:c>
      <x:c r="K30" s="13"/>
      <x:c r="L30" s="12"/>
      <x:c r="M30" s="12" t="n">
        <x:f aca="0">IF(OR(H30="tested",H30="verified",H30="not applicable"),1,0)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3337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3338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COUNTA(A9:A27)</x:f>
        <x:v>19</x:v>
      </x:c>
      <x:c r="D4" s="6" t="s">
        <x:v>143</x:v>
      </x:c>
      <x:c r="E4" s="7" t="n">
        <x:f aca="0">SUM(M9:M27)</x:f>
        <x:v>16</x:v>
      </x:c>
      <x:c r="G4" s="6" t="s">
        <x:v>13</x:v>
      </x:c>
      <x:c r="H4" s="8" t="n">
        <x:f aca="0">IF(B4=0,0,E4/B4)</x:f>
        <x:v>0.8421052631578947</x:v>
      </x:c>
      <x:c r="J4" s="6" t="s">
        <x:v>14</x:v>
      </x:c>
      <x:c r="K4" s="7" t="str">
        <x:f aca="0">IF(COUNTIFS(E9:E27,"package",M9:M27,0)&gt;0,"open","complete")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IF(COUNTIFS(I9:I27,"yes",M9:M27,0)&gt;0,"open","complete")</x:f>
        <x:v>open</x:v>
      </x:c>
      <x:c r="D5" s="6" t="s">
        <x:v>15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3339</x:v>
      </x:c>
      <x:c r="B9" s="12" t="s">
        <x:v>157</x:v>
      </x:c>
      <x:c r="C9" s="12" t="s">
        <x:v>827</x:v>
      </x:c>
      <x:c r="D9" s="13" t="s">
        <x:v>3340</x:v>
      </x:c>
      <x:c r="E9" s="12" t="s">
        <x:v>160</x:v>
      </x:c>
      <x:c r="F9" s="12" t="s">
        <x:v>161</x:v>
      </x:c>
      <x:c r="G9" s="13" t="s">
        <x:v>3341</x:v>
      </x:c>
      <x:c r="H9" s="12" t="s">
        <x:v>125</x:v>
      </x:c>
      <x:c r="I9" s="12" t="s">
        <x:v>140</x:v>
      </x:c>
      <x:c r="J9" s="14" t="s">
        <x:v>3293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3342</x:v>
      </x:c>
      <x:c r="B10" s="12" t="s">
        <x:v>1423</x:v>
      </x:c>
      <x:c r="C10" s="12" t="s">
        <x:v>1265</x:v>
      </x:c>
      <x:c r="D10" s="13" t="s">
        <x:v>3343</x:v>
      </x:c>
      <x:c r="E10" s="12" t="s">
        <x:v>160</x:v>
      </x:c>
      <x:c r="F10" s="12" t="s">
        <x:v>180</x:v>
      </x:c>
      <x:c r="G10" s="13" t="s">
        <x:v>3344</x:v>
      </x:c>
      <x:c r="H10" s="12" t="s">
        <x:v>125</x:v>
      </x:c>
      <x:c r="I10" s="12" t="s">
        <x:v>140</x:v>
      </x:c>
      <x:c r="J10" s="14" t="s">
        <x:v>3293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3345</x:v>
      </x:c>
      <x:c r="B11" s="12" t="s">
        <x:v>164</x:v>
      </x:c>
      <x:c r="C11" s="12" t="s">
        <x:v>3346</x:v>
      </x:c>
      <x:c r="D11" s="13" t="s">
        <x:v>3347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s">
        <x:v>3293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3348</x:v>
      </x:c>
      <x:c r="B12" s="12" t="s">
        <x:v>168</x:v>
      </x:c>
      <x:c r="C12" s="12" t="s">
        <x:v>1463</x:v>
      </x:c>
      <x:c r="D12" s="13" t="s">
        <x:v>3297</x:v>
      </x:c>
      <x:c r="E12" s="12" t="s">
        <x:v>160</x:v>
      </x:c>
      <x:c r="F12" s="12" t="s">
        <x:v>170</x:v>
      </x:c>
      <x:c r="G12" s="13" t="s">
        <x:v>3349</x:v>
      </x:c>
      <x:c r="H12" s="12" t="s">
        <x:v>125</x:v>
      </x:c>
      <x:c r="I12" s="12" t="s">
        <x:v>140</x:v>
      </x:c>
      <x:c r="J12" s="14" t="s">
        <x:v>3293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3350</x:v>
      </x:c>
      <x:c r="B13" s="12" t="s">
        <x:v>173</x:v>
      </x:c>
      <x:c r="C13" s="12" t="s">
        <x:v>1265</x:v>
      </x:c>
      <x:c r="D13" s="13" t="s">
        <x:v>3351</x:v>
      </x:c>
      <x:c r="E13" s="12" t="s">
        <x:v>160</x:v>
      </x:c>
      <x:c r="F13" s="12" t="s">
        <x:v>175</x:v>
      </x:c>
      <x:c r="G13" s="13" t="s">
        <x:v>3352</x:v>
      </x:c>
      <x:c r="H13" s="12" t="s">
        <x:v>125</x:v>
      </x:c>
      <x:c r="I13" s="12" t="s">
        <x:v>140</x:v>
      </x:c>
      <x:c r="J13" s="14" t="s">
        <x:v>3293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3353</x:v>
      </x:c>
      <x:c r="B14" s="12" t="s">
        <x:v>3354</x:v>
      </x:c>
      <x:c r="C14" s="12" t="s">
        <x:v>3355</x:v>
      </x:c>
      <x:c r="D14" s="13" t="s">
        <x:v>3356</x:v>
      </x:c>
      <x:c r="E14" s="12" t="s">
        <x:v>185</x:v>
      </x:c>
      <x:c r="F14" s="12" t="s">
        <x:v>185</x:v>
      </x:c>
      <x:c r="G14" s="13" t="s">
        <x:v>3357</x:v>
      </x:c>
      <x:c r="H14" s="12" t="s">
        <x:v>125</x:v>
      </x:c>
      <x:c r="I14" s="12" t="s">
        <x:v>140</x:v>
      </x:c>
      <x:c r="J14" s="14" t="s">
        <x:v>3293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3358</x:v>
      </x:c>
      <x:c r="B15" s="12" t="s">
        <x:v>1482</x:v>
      </x:c>
      <x:c r="C15" s="12" t="s">
        <x:v>3308</x:v>
      </x:c>
      <x:c r="D15" s="13" t="s">
        <x:v>3359</x:v>
      </x:c>
      <x:c r="E15" s="12" t="s">
        <x:v>185</x:v>
      </x:c>
      <x:c r="F15" s="12" t="s">
        <x:v>185</x:v>
      </x:c>
      <x:c r="G15" s="13" t="s">
        <x:v>3357</x:v>
      </x:c>
      <x:c r="H15" s="12" t="s">
        <x:v>125</x:v>
      </x:c>
      <x:c r="I15" s="12" t="s">
        <x:v>140</x:v>
      </x:c>
      <x:c r="J15" s="14" t="s">
        <x:v>3293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3360</x:v>
      </x:c>
      <x:c r="B16" s="12" t="s">
        <x:v>1662</x:v>
      </x:c>
      <x:c r="C16" s="12" t="s">
        <x:v>1265</x:v>
      </x:c>
      <x:c r="D16" s="13" t="s">
        <x:v>3361</x:v>
      </x:c>
      <x:c r="E16" s="12" t="s">
        <x:v>3034</x:v>
      </x:c>
      <x:c r="F16" s="12" t="s">
        <x:v>195</x:v>
      </x:c>
      <x:c r="G16" s="13" t="s">
        <x:v>3362</x:v>
      </x:c>
      <x:c r="H16" s="12" t="s">
        <x:v>127</x:v>
      </x:c>
      <x:c r="I16" s="12" t="s">
        <x:v>139</x:v>
      </x:c>
      <x:c r="J16" s="14" t="s">
        <x:v>3363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3364</x:v>
      </x:c>
      <x:c r="B17" s="12" t="s">
        <x:v>1213</x:v>
      </x:c>
      <x:c r="C17" s="12" t="s">
        <x:v>827</x:v>
      </x:c>
      <x:c r="D17" s="13" t="s">
        <x:v>3365</x:v>
      </x:c>
      <x:c r="E17" s="12" t="s">
        <x:v>185</x:v>
      </x:c>
      <x:c r="F17" s="12" t="s">
        <x:v>185</x:v>
      </x:c>
      <x:c r="G17" s="13" t="s">
        <x:v>3357</x:v>
      </x:c>
      <x:c r="H17" s="12" t="s">
        <x:v>125</x:v>
      </x:c>
      <x:c r="I17" s="12" t="s">
        <x:v>140</x:v>
      </x:c>
      <x:c r="J17" s="14" t="s">
        <x:v>3293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3366</x:v>
      </x:c>
      <x:c r="B18" s="12" t="s">
        <x:v>188</x:v>
      </x:c>
      <x:c r="C18" s="12" t="s">
        <x:v>1265</x:v>
      </x:c>
      <x:c r="D18" s="13" t="s">
        <x:v>3367</x:v>
      </x:c>
      <x:c r="E18" s="12" t="s">
        <x:v>185</x:v>
      </x:c>
      <x:c r="F18" s="12" t="s">
        <x:v>190</x:v>
      </x:c>
      <x:c r="G18" s="13" t="s">
        <x:v>3357</x:v>
      </x:c>
      <x:c r="H18" s="12" t="s">
        <x:v>125</x:v>
      </x:c>
      <x:c r="I18" s="12" t="s">
        <x:v>140</x:v>
      </x:c>
      <x:c r="J18" s="14" t="s">
        <x:v>3293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3368</x:v>
      </x:c>
      <x:c r="B19" s="12" t="s">
        <x:v>93</x:v>
      </x:c>
      <x:c r="C19" s="12" t="s">
        <x:v>1265</x:v>
      </x:c>
      <x:c r="D19" s="13" t="s">
        <x:v>3369</x:v>
      </x:c>
      <x:c r="E19" s="12" t="s">
        <x:v>3034</x:v>
      </x:c>
      <x:c r="F19" s="12" t="s">
        <x:v>195</x:v>
      </x:c>
      <x:c r="G19" s="13" t="s">
        <x:v>3362</x:v>
      </x:c>
      <x:c r="H19" s="12" t="s">
        <x:v>127</x:v>
      </x:c>
      <x:c r="I19" s="12" t="s">
        <x:v>139</x:v>
      </x:c>
      <x:c r="J19" s="14" t="s">
        <x:v>3363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3370</x:v>
      </x:c>
      <x:c r="B20" s="12" t="s">
        <x:v>199</x:v>
      </x:c>
      <x:c r="C20" s="12" t="s">
        <x:v>827</x:v>
      </x:c>
      <x:c r="D20" s="13" t="s">
        <x:v>3371</x:v>
      </x:c>
      <x:c r="E20" s="12" t="s">
        <x:v>3034</x:v>
      </x:c>
      <x:c r="F20" s="12" t="s">
        <x:v>201</x:v>
      </x:c>
      <x:c r="G20" s="13" t="s">
        <x:v>3372</x:v>
      </x:c>
      <x:c r="H20" s="12" t="s">
        <x:v>123</x:v>
      </x:c>
      <x:c r="I20" s="12" t="s">
        <x:v>139</x:v>
      </x:c>
      <x:c r="J20" s="14" t="s">
        <x:v>3373</x:v>
      </x:c>
      <x:c r="K20" s="13"/>
      <x:c r="L20" s="12"/>
      <x:c r="M20" s="12" t="n">
        <x:f aca="0">IF(OR(H20="tested",H20="verified",H20="not applicable"),1,0)</x:f>
        <x:v>0</x:v>
      </x:c>
    </x:row>
    <x:row r="21" s="4" customFormat="1" ht="54" hidden="0" customHeight="1">
      <x:c r="A21" s="12" t="s">
        <x:v>3374</x:v>
      </x:c>
      <x:c r="B21" s="12" t="s">
        <x:v>2604</x:v>
      </x:c>
      <x:c r="C21" s="12" t="s">
        <x:v>3375</x:v>
      </x:c>
      <x:c r="D21" s="13" t="s">
        <x:v>3376</x:v>
      </x:c>
      <x:c r="E21" s="12" t="s">
        <x:v>3034</x:v>
      </x:c>
      <x:c r="F21" s="12" t="s">
        <x:v>195</x:v>
      </x:c>
      <x:c r="G21" s="13" t="s">
        <x:v>3362</x:v>
      </x:c>
      <x:c r="H21" s="12" t="s">
        <x:v>127</x:v>
      </x:c>
      <x:c r="I21" s="12" t="s">
        <x:v>139</x:v>
      </x:c>
      <x:c r="J21" s="14" t="s">
        <x:v>3363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3377</x:v>
      </x:c>
      <x:c r="B22" s="12" t="s">
        <x:v>1604</x:v>
      </x:c>
      <x:c r="C22" s="12" t="s">
        <x:v>827</x:v>
      </x:c>
      <x:c r="D22" s="13" t="s">
        <x:v>3326</x:v>
      </x:c>
      <x:c r="E22" s="12" t="s">
        <x:v>3034</x:v>
      </x:c>
      <x:c r="F22" s="12" t="s">
        <x:v>201</x:v>
      </x:c>
      <x:c r="G22" s="13" t="s">
        <x:v>3372</x:v>
      </x:c>
      <x:c r="H22" s="12" t="s">
        <x:v>123</x:v>
      </x:c>
      <x:c r="I22" s="12" t="s">
        <x:v>139</x:v>
      </x:c>
      <x:c r="J22" s="14"/>
      <x:c r="K22" s="13" t="s">
        <x:v>203</x:v>
      </x:c>
      <x:c r="L22" s="12"/>
      <x:c r="M22" s="12" t="n">
        <x:f aca="0">IF(OR(H22="tested",H22="verified",H22="not applicable"),1,0)</x:f>
        <x:v>0</x:v>
      </x:c>
    </x:row>
    <x:row r="23" s="4" customFormat="1" ht="54" hidden="0" customHeight="1">
      <x:c r="A23" s="12" t="s">
        <x:v>3378</x:v>
      </x:c>
      <x:c r="B23" s="12" t="s">
        <x:v>2459</x:v>
      </x:c>
      <x:c r="C23" s="12" t="s">
        <x:v>3346</x:v>
      </x:c>
      <x:c r="D23" s="13" t="s">
        <x:v>3379</x:v>
      </x:c>
      <x:c r="E23" s="12" t="s">
        <x:v>160</x:v>
      </x:c>
      <x:c r="F23" s="12" t="s">
        <x:v>217</x:v>
      </x:c>
      <x:c r="G23" s="13" t="s">
        <x:v>3380</x:v>
      </x:c>
      <x:c r="H23" s="12" t="s">
        <x:v>125</x:v>
      </x:c>
      <x:c r="I23" s="12" t="s">
        <x:v>140</x:v>
      </x:c>
      <x:c r="J23" s="14" t="s">
        <x:v>3293</x:v>
      </x:c>
      <x:c r="K23" s="13"/>
      <x:c r="L23" s="12"/>
      <x:c r="M23" s="12" t="n">
        <x:f aca="0">IF(OR(H23="tested",H23="verified",H23="not applicable"),1,0)</x:f>
        <x:v>1</x:v>
      </x:c>
    </x:row>
    <x:row r="24" s="4" customFormat="1" ht="54" hidden="0" customHeight="1">
      <x:c r="A24" s="12" t="s">
        <x:v>3381</x:v>
      </x:c>
      <x:c r="B24" s="12" t="s">
        <x:v>224</x:v>
      </x:c>
      <x:c r="C24" s="12" t="s">
        <x:v>3346</x:v>
      </x:c>
      <x:c r="D24" s="13" t="s">
        <x:v>3382</x:v>
      </x:c>
      <x:c r="E24" s="12" t="s">
        <x:v>226</x:v>
      </x:c>
      <x:c r="F24" s="12" t="s">
        <x:v>226</x:v>
      </x:c>
      <x:c r="G24" s="13" t="s">
        <x:v>3330</x:v>
      </x:c>
      <x:c r="H24" s="12" t="s">
        <x:v>125</x:v>
      </x:c>
      <x:c r="I24" s="12" t="s">
        <x:v>140</x:v>
      </x:c>
      <x:c r="J24" s="14" t="s">
        <x:v>3383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3384</x:v>
      </x:c>
      <x:c r="B25" s="12" t="s">
        <x:v>229</x:v>
      </x:c>
      <x:c r="C25" s="12" t="s">
        <x:v>3346</x:v>
      </x:c>
      <x:c r="D25" s="13" t="s">
        <x:v>3331</x:v>
      </x:c>
      <x:c r="E25" s="12" t="s">
        <x:v>226</x:v>
      </x:c>
      <x:c r="F25" s="12" t="s">
        <x:v>160</x:v>
      </x:c>
      <x:c r="G25" s="13" t="s">
        <x:v>3332</x:v>
      </x:c>
      <x:c r="H25" s="12" t="s">
        <x:v>125</x:v>
      </x:c>
      <x:c r="I25" s="12" t="s">
        <x:v>140</x:v>
      </x:c>
      <x:c r="J25" s="14" t="s">
        <x:v>3383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 t="s">
        <x:v>3385</x:v>
      </x:c>
      <x:c r="B26" s="12" t="s">
        <x:v>212</x:v>
      </x:c>
      <x:c r="C26" s="12" t="s">
        <x:v>1265</x:v>
      </x:c>
      <x:c r="D26" s="13" t="s">
        <x:v>3386</x:v>
      </x:c>
      <x:c r="E26" s="12" t="s">
        <x:v>3034</x:v>
      </x:c>
      <x:c r="F26" s="12" t="s">
        <x:v>201</x:v>
      </x:c>
      <x:c r="G26" s="13" t="s">
        <x:v>3372</x:v>
      </x:c>
      <x:c r="H26" s="12" t="s">
        <x:v>123</x:v>
      </x:c>
      <x:c r="I26" s="12" t="s">
        <x:v>139</x:v>
      </x:c>
      <x:c r="J26" s="14" t="s">
        <x:v>3373</x:v>
      </x:c>
      <x:c r="K26" s="13"/>
      <x:c r="L26" s="12"/>
      <x:c r="M26" s="12" t="n">
        <x:f aca="0">IF(OR(H26="tested",H26="verified",H26="not applicable"),1,0)</x:f>
        <x:v>0</x:v>
      </x:c>
    </x:row>
    <x:row r="27" s="4" customFormat="1" ht="23.25" hidden="0" customHeight="1">
      <x:c r="A27" s="12" t="s">
        <x:v>3387</x:v>
      </x:c>
      <x:c r="B27" s="12" t="s">
        <x:v>193</x:v>
      </x:c>
      <x:c r="C27" s="12" t="s">
        <x:v>1265</x:v>
      </x:c>
      <x:c r="D27" s="13" t="s">
        <x:v>3388</x:v>
      </x:c>
      <x:c r="E27" s="12" t="s">
        <x:v>3034</x:v>
      </x:c>
      <x:c r="F27" s="12" t="s">
        <x:v>195</x:v>
      </x:c>
      <x:c r="G27" s="13" t="s">
        <x:v>3362</x:v>
      </x:c>
      <x:c r="H27" s="12" t="s">
        <x:v>127</x:v>
      </x:c>
      <x:c r="I27" s="12" t="s">
        <x:v>139</x:v>
      </x:c>
      <x:c r="J27" s="14" t="s">
        <x:v>3363</x:v>
      </x:c>
      <x:c r="K27" s="13"/>
      <x:c r="L27" s="12"/>
      <x:c r="M27" s="12" t="n">
        <x:f aca="0">IF(OR(H27="tested",H27="verified",H27="not applicable"),1,0)</x:f>
        <x:v>1</x:v>
      </x:c>
    </x:row>
    <x:row r="28" s="4" customFormat="1" ht="23.25" hidden="0" customHeight="1">
      <x:c r="A28" s="12"/>
      <x:c r="B28" s="12"/>
      <x:c r="C28" s="12"/>
      <x:c r="D28" s="13"/>
      <x:c r="E28" s="12"/>
      <x:c r="F28" s="12"/>
      <x:c r="G28" s="13"/>
      <x:c r="H28" s="12"/>
      <x:c r="I28" s="12"/>
      <x:c r="J28" s="14"/>
      <x:c r="K28" s="13"/>
      <x:c r="L28" s="12"/>
      <x:c r="M28" s="12"/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3389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3390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143</x:v>
      </x:c>
      <x:c r="E4" s="7" t="n">
        <x:f aca="0">SUM(M9:M28)</x:f>
        <x:v>17</x:v>
      </x:c>
      <x:c r="G4" s="6" t="s">
        <x:v>13</x:v>
      </x:c>
      <x:c r="H4" s="8" t="n">
        <x:f aca="0">IF(B4=0,0,E4/B4)</x:f>
        <x:v>0.85</x:v>
      </x:c>
      <x:c r="J4" s="6" t="s">
        <x:v>14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3391</x:v>
      </x:c>
      <x:c r="B9" s="12" t="s">
        <x:v>157</x:v>
      </x:c>
      <x:c r="C9" s="12" t="s">
        <x:v>827</x:v>
      </x:c>
      <x:c r="D9" s="13" t="s">
        <x:v>3392</x:v>
      </x:c>
      <x:c r="E9" s="12" t="s">
        <x:v>160</x:v>
      </x:c>
      <x:c r="F9" s="12" t="s">
        <x:v>161</x:v>
      </x:c>
      <x:c r="G9" s="13" t="s">
        <x:v>3393</x:v>
      </x:c>
      <x:c r="H9" s="12" t="s">
        <x:v>125</x:v>
      </x:c>
      <x:c r="I9" s="12" t="s">
        <x:v>140</x:v>
      </x:c>
      <x:c r="J9" s="14" t="s">
        <x:v>3293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3394</x:v>
      </x:c>
      <x:c r="B10" s="12" t="s">
        <x:v>1423</x:v>
      </x:c>
      <x:c r="C10" s="12" t="s">
        <x:v>1265</x:v>
      </x:c>
      <x:c r="D10" s="13" t="s">
        <x:v>3395</x:v>
      </x:c>
      <x:c r="E10" s="12" t="s">
        <x:v>160</x:v>
      </x:c>
      <x:c r="F10" s="12" t="s">
        <x:v>180</x:v>
      </x:c>
      <x:c r="G10" s="13" t="s">
        <x:v>3396</x:v>
      </x:c>
      <x:c r="H10" s="12" t="s">
        <x:v>125</x:v>
      </x:c>
      <x:c r="I10" s="12" t="s">
        <x:v>140</x:v>
      </x:c>
      <x:c r="J10" s="14" t="s">
        <x:v>3293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3397</x:v>
      </x:c>
      <x:c r="B11" s="12" t="s">
        <x:v>164</x:v>
      </x:c>
      <x:c r="C11" s="12" t="s">
        <x:v>3398</x:v>
      </x:c>
      <x:c r="D11" s="13" t="s">
        <x:v>3399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s">
        <x:v>3293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3400</x:v>
      </x:c>
      <x:c r="B12" s="12" t="s">
        <x:v>168</x:v>
      </x:c>
      <x:c r="C12" s="12" t="s">
        <x:v>1463</x:v>
      </x:c>
      <x:c r="D12" s="13" t="s">
        <x:v>3401</x:v>
      </x:c>
      <x:c r="E12" s="12" t="s">
        <x:v>160</x:v>
      </x:c>
      <x:c r="F12" s="12" t="s">
        <x:v>170</x:v>
      </x:c>
      <x:c r="G12" s="13" t="s">
        <x:v>3402</x:v>
      </x:c>
      <x:c r="H12" s="12" t="s">
        <x:v>125</x:v>
      </x:c>
      <x:c r="I12" s="12" t="s">
        <x:v>140</x:v>
      </x:c>
      <x:c r="J12" s="14" t="s">
        <x:v>3293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3403</x:v>
      </x:c>
      <x:c r="B13" s="12" t="s">
        <x:v>173</x:v>
      </x:c>
      <x:c r="C13" s="12" t="s">
        <x:v>3404</x:v>
      </x:c>
      <x:c r="D13" s="13" t="s">
        <x:v>3405</x:v>
      </x:c>
      <x:c r="E13" s="12" t="s">
        <x:v>160</x:v>
      </x:c>
      <x:c r="F13" s="12" t="s">
        <x:v>175</x:v>
      </x:c>
      <x:c r="G13" s="13" t="s">
        <x:v>3406</x:v>
      </x:c>
      <x:c r="H13" s="12" t="s">
        <x:v>125</x:v>
      </x:c>
      <x:c r="I13" s="12" t="s">
        <x:v>140</x:v>
      </x:c>
      <x:c r="J13" s="14" t="s">
        <x:v>3293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3407</x:v>
      </x:c>
      <x:c r="B14" s="12" t="s">
        <x:v>3408</x:v>
      </x:c>
      <x:c r="C14" s="12" t="s">
        <x:v>3409</x:v>
      </x:c>
      <x:c r="D14" s="13" t="s">
        <x:v>3410</x:v>
      </x:c>
      <x:c r="E14" s="12" t="s">
        <x:v>185</x:v>
      </x:c>
      <x:c r="F14" s="12" t="s">
        <x:v>185</x:v>
      </x:c>
      <x:c r="G14" s="13" t="s">
        <x:v>3411</x:v>
      </x:c>
      <x:c r="H14" s="12" t="s">
        <x:v>125</x:v>
      </x:c>
      <x:c r="I14" s="12" t="s">
        <x:v>140</x:v>
      </x:c>
      <x:c r="J14" s="14" t="s">
        <x:v>3293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3412</x:v>
      </x:c>
      <x:c r="B15" s="12" t="s">
        <x:v>1482</x:v>
      </x:c>
      <x:c r="C15" s="12" t="s">
        <x:v>3308</x:v>
      </x:c>
      <x:c r="D15" s="13" t="s">
        <x:v>3413</x:v>
      </x:c>
      <x:c r="E15" s="12" t="s">
        <x:v>185</x:v>
      </x:c>
      <x:c r="F15" s="12" t="s">
        <x:v>185</x:v>
      </x:c>
      <x:c r="G15" s="13" t="s">
        <x:v>3411</x:v>
      </x:c>
      <x:c r="H15" s="12" t="s">
        <x:v>125</x:v>
      </x:c>
      <x:c r="I15" s="12" t="s">
        <x:v>140</x:v>
      </x:c>
      <x:c r="J15" s="14" t="s">
        <x:v>3293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3414</x:v>
      </x:c>
      <x:c r="B16" s="12" t="s">
        <x:v>2657</x:v>
      </x:c>
      <x:c r="C16" s="12" t="s">
        <x:v>31</x:v>
      </x:c>
      <x:c r="D16" s="13" t="s">
        <x:v>3415</x:v>
      </x:c>
      <x:c r="E16" s="12" t="s">
        <x:v>185</x:v>
      </x:c>
      <x:c r="F16" s="12" t="s">
        <x:v>185</x:v>
      </x:c>
      <x:c r="G16" s="13" t="s">
        <x:v>3411</x:v>
      </x:c>
      <x:c r="H16" s="12" t="s">
        <x:v>125</x:v>
      </x:c>
      <x:c r="I16" s="12" t="s">
        <x:v>140</x:v>
      </x:c>
      <x:c r="J16" s="14" t="s">
        <x:v>3293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3416</x:v>
      </x:c>
      <x:c r="B17" s="12" t="s">
        <x:v>1662</x:v>
      </x:c>
      <x:c r="C17" s="12" t="s">
        <x:v>1265</x:v>
      </x:c>
      <x:c r="D17" s="13" t="s">
        <x:v>3417</x:v>
      </x:c>
      <x:c r="E17" s="12" t="s">
        <x:v>3034</x:v>
      </x:c>
      <x:c r="F17" s="12" t="s">
        <x:v>195</x:v>
      </x:c>
      <x:c r="G17" s="13" t="s">
        <x:v>3418</x:v>
      </x:c>
      <x:c r="H17" s="12" t="s">
        <x:v>127</x:v>
      </x:c>
      <x:c r="I17" s="12" t="s">
        <x:v>139</x:v>
      </x:c>
      <x:c r="J17" s="14" t="s">
        <x:v>3363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3419</x:v>
      </x:c>
      <x:c r="B18" s="12" t="s">
        <x:v>1213</x:v>
      </x:c>
      <x:c r="C18" s="12" t="s">
        <x:v>3420</x:v>
      </x:c>
      <x:c r="D18" s="13" t="s">
        <x:v>3421</x:v>
      </x:c>
      <x:c r="E18" s="12" t="s">
        <x:v>185</x:v>
      </x:c>
      <x:c r="F18" s="12" t="s">
        <x:v>185</x:v>
      </x:c>
      <x:c r="G18" s="13" t="s">
        <x:v>3411</x:v>
      </x:c>
      <x:c r="H18" s="12" t="s">
        <x:v>125</x:v>
      </x:c>
      <x:c r="I18" s="12" t="s">
        <x:v>140</x:v>
      </x:c>
      <x:c r="J18" s="14" t="s">
        <x:v>3293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3422</x:v>
      </x:c>
      <x:c r="B19" s="12" t="s">
        <x:v>188</x:v>
      </x:c>
      <x:c r="C19" s="12" t="s">
        <x:v>3308</x:v>
      </x:c>
      <x:c r="D19" s="13" t="s">
        <x:v>3423</x:v>
      </x:c>
      <x:c r="E19" s="12" t="s">
        <x:v>185</x:v>
      </x:c>
      <x:c r="F19" s="12" t="s">
        <x:v>190</x:v>
      </x:c>
      <x:c r="G19" s="13" t="s">
        <x:v>3411</x:v>
      </x:c>
      <x:c r="H19" s="12" t="s">
        <x:v>125</x:v>
      </x:c>
      <x:c r="I19" s="12" t="s">
        <x:v>140</x:v>
      </x:c>
      <x:c r="J19" s="14" t="s">
        <x:v>3293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3424</x:v>
      </x:c>
      <x:c r="B20" s="12" t="s">
        <x:v>93</x:v>
      </x:c>
      <x:c r="C20" s="12" t="s">
        <x:v>1265</x:v>
      </x:c>
      <x:c r="D20" s="13" t="s">
        <x:v>3369</x:v>
      </x:c>
      <x:c r="E20" s="12" t="s">
        <x:v>3034</x:v>
      </x:c>
      <x:c r="F20" s="12" t="s">
        <x:v>195</x:v>
      </x:c>
      <x:c r="G20" s="13" t="s">
        <x:v>3418</x:v>
      </x:c>
      <x:c r="H20" s="12" t="s">
        <x:v>127</x:v>
      </x:c>
      <x:c r="I20" s="12" t="s">
        <x:v>139</x:v>
      </x:c>
      <x:c r="J20" s="14" t="s">
        <x:v>3363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3425</x:v>
      </x:c>
      <x:c r="B21" s="12" t="s">
        <x:v>199</x:v>
      </x:c>
      <x:c r="C21" s="12" t="s">
        <x:v>97</x:v>
      </x:c>
      <x:c r="D21" s="13" t="s">
        <x:v>3426</x:v>
      </x:c>
      <x:c r="E21" s="12" t="s">
        <x:v>3034</x:v>
      </x:c>
      <x:c r="F21" s="12" t="s">
        <x:v>201</x:v>
      </x:c>
      <x:c r="G21" s="13" t="s">
        <x:v>3427</x:v>
      </x:c>
      <x:c r="H21" s="12" t="s">
        <x:v>123</x:v>
      </x:c>
      <x:c r="I21" s="12" t="s">
        <x:v>139</x:v>
      </x:c>
      <x:c r="J21" s="14" t="s">
        <x:v>3373</x:v>
      </x:c>
      <x:c r="K21" s="13"/>
      <x:c r="L21" s="12"/>
      <x:c r="M21" s="12" t="n">
        <x:f aca="0">IF(OR(H21="tested",H21="verified",H21="not applicable"),1,0)</x:f>
        <x:v>0</x:v>
      </x:c>
    </x:row>
    <x:row r="22" s="4" customFormat="1" ht="54" hidden="0" customHeight="1">
      <x:c r="A22" s="12" t="s">
        <x:v>3428</x:v>
      </x:c>
      <x:c r="B22" s="12" t="s">
        <x:v>2604</x:v>
      </x:c>
      <x:c r="C22" s="12" t="s">
        <x:v>97</x:v>
      </x:c>
      <x:c r="D22" s="13" t="s">
        <x:v>3429</x:v>
      </x:c>
      <x:c r="E22" s="12" t="s">
        <x:v>3034</x:v>
      </x:c>
      <x:c r="F22" s="12" t="s">
        <x:v>195</x:v>
      </x:c>
      <x:c r="G22" s="13" t="s">
        <x:v>3418</x:v>
      </x:c>
      <x:c r="H22" s="12" t="s">
        <x:v>127</x:v>
      </x:c>
      <x:c r="I22" s="12" t="s">
        <x:v>139</x:v>
      </x:c>
      <x:c r="J22" s="14" t="s">
        <x:v>3363</x:v>
      </x:c>
      <x:c r="K22" s="13"/>
      <x:c r="L22" s="12"/>
      <x:c r="M22" s="12" t="n">
        <x:f aca="0">IF(OR(H22="tested",H22="verified",H22="not applicable"),1,0)</x:f>
        <x:v>1</x:v>
      </x:c>
    </x:row>
    <x:row r="23" s="4" customFormat="1" ht="54" hidden="0" customHeight="1">
      <x:c r="A23" s="12" t="s">
        <x:v>3430</x:v>
      </x:c>
      <x:c r="B23" s="12" t="s">
        <x:v>1604</x:v>
      </x:c>
      <x:c r="C23" s="12" t="s">
        <x:v>31</x:v>
      </x:c>
      <x:c r="D23" s="13" t="s">
        <x:v>3431</x:v>
      </x:c>
      <x:c r="E23" s="12" t="s">
        <x:v>3034</x:v>
      </x:c>
      <x:c r="F23" s="12" t="s">
        <x:v>201</x:v>
      </x:c>
      <x:c r="G23" s="13" t="s">
        <x:v>3427</x:v>
      </x:c>
      <x:c r="H23" s="12" t="s">
        <x:v>123</x:v>
      </x:c>
      <x:c r="I23" s="12" t="s">
        <x:v>139</x:v>
      </x:c>
      <x:c r="J23" s="14"/>
      <x:c r="K23" s="13" t="s">
        <x:v>203</x:v>
      </x:c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3432</x:v>
      </x:c>
      <x:c r="B24" s="12" t="s">
        <x:v>2459</x:v>
      </x:c>
      <x:c r="C24" s="12" t="s">
        <x:v>3398</x:v>
      </x:c>
      <x:c r="D24" s="13" t="s">
        <x:v>3379</x:v>
      </x:c>
      <x:c r="E24" s="12" t="s">
        <x:v>160</x:v>
      </x:c>
      <x:c r="F24" s="12" t="s">
        <x:v>217</x:v>
      </x:c>
      <x:c r="G24" s="13" t="s">
        <x:v>3433</x:v>
      </x:c>
      <x:c r="H24" s="12" t="s">
        <x:v>125</x:v>
      </x:c>
      <x:c r="I24" s="12" t="s">
        <x:v>140</x:v>
      </x:c>
      <x:c r="J24" s="14" t="s">
        <x:v>3293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3434</x:v>
      </x:c>
      <x:c r="B25" s="12" t="s">
        <x:v>224</x:v>
      </x:c>
      <x:c r="C25" s="12" t="s">
        <x:v>3398</x:v>
      </x:c>
      <x:c r="D25" s="13" t="s">
        <x:v>3435</x:v>
      </x:c>
      <x:c r="E25" s="12" t="s">
        <x:v>226</x:v>
      </x:c>
      <x:c r="F25" s="12" t="s">
        <x:v>226</x:v>
      </x:c>
      <x:c r="G25" s="13" t="s">
        <x:v>3330</x:v>
      </x:c>
      <x:c r="H25" s="12" t="s">
        <x:v>125</x:v>
      </x:c>
      <x:c r="I25" s="12" t="s">
        <x:v>140</x:v>
      </x:c>
      <x:c r="J25" s="14" t="s">
        <x:v>3383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 t="s">
        <x:v>3436</x:v>
      </x:c>
      <x:c r="B26" s="12" t="s">
        <x:v>229</x:v>
      </x:c>
      <x:c r="C26" s="12" t="s">
        <x:v>3398</x:v>
      </x:c>
      <x:c r="D26" s="13" t="s">
        <x:v>3331</x:v>
      </x:c>
      <x:c r="E26" s="12" t="s">
        <x:v>226</x:v>
      </x:c>
      <x:c r="F26" s="12" t="s">
        <x:v>160</x:v>
      </x:c>
      <x:c r="G26" s="13" t="s">
        <x:v>3332</x:v>
      </x:c>
      <x:c r="H26" s="12" t="s">
        <x:v>125</x:v>
      </x:c>
      <x:c r="I26" s="12" t="s">
        <x:v>140</x:v>
      </x:c>
      <x:c r="J26" s="14" t="s">
        <x:v>3383</x:v>
      </x:c>
      <x:c r="K26" s="13"/>
      <x:c r="L26" s="12"/>
      <x:c r="M26" s="12" t="n">
        <x:f aca="0">IF(OR(H26="tested",H26="verified",H26="not applicable"),1,0)</x:f>
        <x:v>1</x:v>
      </x:c>
    </x:row>
    <x:row r="27" s="4" customFormat="1" ht="23.25" hidden="0" customHeight="1">
      <x:c r="A27" s="12" t="s">
        <x:v>3437</x:v>
      </x:c>
      <x:c r="B27" s="12" t="s">
        <x:v>212</x:v>
      </x:c>
      <x:c r="C27" s="12" t="s">
        <x:v>1265</x:v>
      </x:c>
      <x:c r="D27" s="13" t="s">
        <x:v>3438</x:v>
      </x:c>
      <x:c r="E27" s="12" t="s">
        <x:v>3034</x:v>
      </x:c>
      <x:c r="F27" s="12" t="s">
        <x:v>201</x:v>
      </x:c>
      <x:c r="G27" s="13" t="s">
        <x:v>3427</x:v>
      </x:c>
      <x:c r="H27" s="12" t="s">
        <x:v>123</x:v>
      </x:c>
      <x:c r="I27" s="12" t="s">
        <x:v>139</x:v>
      </x:c>
      <x:c r="J27" s="14" t="s">
        <x:v>3373</x:v>
      </x:c>
      <x:c r="K27" s="13"/>
      <x:c r="L27" s="12"/>
      <x:c r="M27" s="12" t="n">
        <x:f aca="0">IF(OR(H27="tested",H27="verified",H27="not applicable"),1,0)</x:f>
        <x:v>0</x:v>
      </x:c>
    </x:row>
    <x:row r="28" s="4" customFormat="1" ht="23.25" hidden="0" customHeight="1">
      <x:c r="A28" s="12" t="s">
        <x:v>3439</x:v>
      </x:c>
      <x:c r="B28" s="12" t="s">
        <x:v>193</x:v>
      </x:c>
      <x:c r="C28" s="12" t="s">
        <x:v>1265</x:v>
      </x:c>
      <x:c r="D28" s="13" t="s">
        <x:v>3388</x:v>
      </x:c>
      <x:c r="E28" s="12" t="s">
        <x:v>3034</x:v>
      </x:c>
      <x:c r="F28" s="12" t="s">
        <x:v>195</x:v>
      </x:c>
      <x:c r="G28" s="13" t="s">
        <x:v>3418</x:v>
      </x:c>
      <x:c r="H28" s="12" t="s">
        <x:v>127</x:v>
      </x:c>
      <x:c r="I28" s="12" t="s">
        <x:v>139</x:v>
      </x:c>
      <x:c r="J28" s="14" t="s">
        <x:v>3363</x:v>
      </x:c>
      <x:c r="K28" s="13"/>
      <x:c r="L28" s="12"/>
      <x:c r="M28" s="12" t="n">
        <x:f aca="0">IF(OR(H28="tested",H28="verified",H28="not applicable"),1,0)</x:f>
        <x:v>1</x:v>
      </x:c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3440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3441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143</x:v>
      </x:c>
      <x:c r="E4" s="7" t="n">
        <x:f aca="0">SUM(M9:M28)</x:f>
        <x:v>17</x:v>
      </x:c>
      <x:c r="G4" s="6" t="s">
        <x:v>13</x:v>
      </x:c>
      <x:c r="H4" s="8" t="n">
        <x:f aca="0">IF(B4=0,0,E4/B4)</x:f>
        <x:v>0.85</x:v>
      </x:c>
      <x:c r="J4" s="6" t="s">
        <x:v>14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3442</x:v>
      </x:c>
      <x:c r="B9" s="12" t="s">
        <x:v>157</x:v>
      </x:c>
      <x:c r="C9" s="12" t="s">
        <x:v>827</x:v>
      </x:c>
      <x:c r="D9" s="13" t="s">
        <x:v>3443</x:v>
      </x:c>
      <x:c r="E9" s="12" t="s">
        <x:v>160</x:v>
      </x:c>
      <x:c r="F9" s="12" t="s">
        <x:v>161</x:v>
      </x:c>
      <x:c r="G9" s="13" t="s">
        <x:v>3444</x:v>
      </x:c>
      <x:c r="H9" s="12" t="s">
        <x:v>125</x:v>
      </x:c>
      <x:c r="I9" s="12" t="s">
        <x:v>140</x:v>
      </x:c>
      <x:c r="J9" s="14" t="s">
        <x:v>3293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3445</x:v>
      </x:c>
      <x:c r="B10" s="12" t="s">
        <x:v>1423</x:v>
      </x:c>
      <x:c r="C10" s="12" t="s">
        <x:v>1265</x:v>
      </x:c>
      <x:c r="D10" s="13" t="s">
        <x:v>3446</x:v>
      </x:c>
      <x:c r="E10" s="12" t="s">
        <x:v>160</x:v>
      </x:c>
      <x:c r="F10" s="12" t="s">
        <x:v>180</x:v>
      </x:c>
      <x:c r="G10" s="13" t="s">
        <x:v>3447</x:v>
      </x:c>
      <x:c r="H10" s="12" t="s">
        <x:v>125</x:v>
      </x:c>
      <x:c r="I10" s="12" t="s">
        <x:v>140</x:v>
      </x:c>
      <x:c r="J10" s="14" t="s">
        <x:v>3293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3448</x:v>
      </x:c>
      <x:c r="B11" s="12" t="s">
        <x:v>164</x:v>
      </x:c>
      <x:c r="C11" s="12" t="s">
        <x:v>3449</x:v>
      </x:c>
      <x:c r="D11" s="13" t="s">
        <x:v>3450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s">
        <x:v>3293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3451</x:v>
      </x:c>
      <x:c r="B12" s="12" t="s">
        <x:v>168</x:v>
      </x:c>
      <x:c r="C12" s="12" t="s">
        <x:v>1463</x:v>
      </x:c>
      <x:c r="D12" s="13" t="s">
        <x:v>3452</x:v>
      </x:c>
      <x:c r="E12" s="12" t="s">
        <x:v>160</x:v>
      </x:c>
      <x:c r="F12" s="12" t="s">
        <x:v>170</x:v>
      </x:c>
      <x:c r="G12" s="13" t="s">
        <x:v>3453</x:v>
      </x:c>
      <x:c r="H12" s="12" t="s">
        <x:v>125</x:v>
      </x:c>
      <x:c r="I12" s="12" t="s">
        <x:v>140</x:v>
      </x:c>
      <x:c r="J12" s="14" t="s">
        <x:v>3293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3454</x:v>
      </x:c>
      <x:c r="B13" s="12" t="s">
        <x:v>173</x:v>
      </x:c>
      <x:c r="C13" s="12" t="s">
        <x:v>1265</x:v>
      </x:c>
      <x:c r="D13" s="13" t="s">
        <x:v>3455</x:v>
      </x:c>
      <x:c r="E13" s="12" t="s">
        <x:v>160</x:v>
      </x:c>
      <x:c r="F13" s="12" t="s">
        <x:v>175</x:v>
      </x:c>
      <x:c r="G13" s="13" t="s">
        <x:v>3456</x:v>
      </x:c>
      <x:c r="H13" s="12" t="s">
        <x:v>125</x:v>
      </x:c>
      <x:c r="I13" s="12" t="s">
        <x:v>140</x:v>
      </x:c>
      <x:c r="J13" s="14" t="s">
        <x:v>3293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3457</x:v>
      </x:c>
      <x:c r="B14" s="12" t="s">
        <x:v>3458</x:v>
      </x:c>
      <x:c r="C14" s="12" t="s">
        <x:v>3459</x:v>
      </x:c>
      <x:c r="D14" s="13" t="s">
        <x:v>3460</x:v>
      </x:c>
      <x:c r="E14" s="12" t="s">
        <x:v>185</x:v>
      </x:c>
      <x:c r="F14" s="12" t="s">
        <x:v>185</x:v>
      </x:c>
      <x:c r="G14" s="13" t="s">
        <x:v>3461</x:v>
      </x:c>
      <x:c r="H14" s="12" t="s">
        <x:v>125</x:v>
      </x:c>
      <x:c r="I14" s="12" t="s">
        <x:v>140</x:v>
      </x:c>
      <x:c r="J14" s="14" t="s">
        <x:v>3293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3462</x:v>
      </x:c>
      <x:c r="B15" s="12" t="s">
        <x:v>1482</x:v>
      </x:c>
      <x:c r="C15" s="12" t="s">
        <x:v>3308</x:v>
      </x:c>
      <x:c r="D15" s="13" t="s">
        <x:v>3463</x:v>
      </x:c>
      <x:c r="E15" s="12" t="s">
        <x:v>185</x:v>
      </x:c>
      <x:c r="F15" s="12" t="s">
        <x:v>185</x:v>
      </x:c>
      <x:c r="G15" s="13" t="s">
        <x:v>3461</x:v>
      </x:c>
      <x:c r="H15" s="12" t="s">
        <x:v>125</x:v>
      </x:c>
      <x:c r="I15" s="12" t="s">
        <x:v>140</x:v>
      </x:c>
      <x:c r="J15" s="14" t="s">
        <x:v>3293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3464</x:v>
      </x:c>
      <x:c r="B16" s="12" t="s">
        <x:v>2657</x:v>
      </x:c>
      <x:c r="C16" s="12" t="s">
        <x:v>35</x:v>
      </x:c>
      <x:c r="D16" s="13" t="s">
        <x:v>3465</x:v>
      </x:c>
      <x:c r="E16" s="12" t="s">
        <x:v>185</x:v>
      </x:c>
      <x:c r="F16" s="12" t="s">
        <x:v>185</x:v>
      </x:c>
      <x:c r="G16" s="13" t="s">
        <x:v>3461</x:v>
      </x:c>
      <x:c r="H16" s="12" t="s">
        <x:v>125</x:v>
      </x:c>
      <x:c r="I16" s="12" t="s">
        <x:v>140</x:v>
      </x:c>
      <x:c r="J16" s="14" t="s">
        <x:v>3293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3466</x:v>
      </x:c>
      <x:c r="B17" s="12" t="s">
        <x:v>1662</x:v>
      </x:c>
      <x:c r="C17" s="12" t="s">
        <x:v>1265</x:v>
      </x:c>
      <x:c r="D17" s="13" t="s">
        <x:v>3467</x:v>
      </x:c>
      <x:c r="E17" s="12" t="s">
        <x:v>3034</x:v>
      </x:c>
      <x:c r="F17" s="12" t="s">
        <x:v>195</x:v>
      </x:c>
      <x:c r="G17" s="13" t="s">
        <x:v>3468</x:v>
      </x:c>
      <x:c r="H17" s="12" t="s">
        <x:v>127</x:v>
      </x:c>
      <x:c r="I17" s="12" t="s">
        <x:v>139</x:v>
      </x:c>
      <x:c r="J17" s="14" t="s">
        <x:v>3363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3469</x:v>
      </x:c>
      <x:c r="B18" s="12" t="s">
        <x:v>1213</x:v>
      </x:c>
      <x:c r="C18" s="12" t="s">
        <x:v>827</x:v>
      </x:c>
      <x:c r="D18" s="13" t="s">
        <x:v>3365</x:v>
      </x:c>
      <x:c r="E18" s="12" t="s">
        <x:v>185</x:v>
      </x:c>
      <x:c r="F18" s="12" t="s">
        <x:v>185</x:v>
      </x:c>
      <x:c r="G18" s="13" t="s">
        <x:v>3461</x:v>
      </x:c>
      <x:c r="H18" s="12" t="s">
        <x:v>125</x:v>
      </x:c>
      <x:c r="I18" s="12" t="s">
        <x:v>140</x:v>
      </x:c>
      <x:c r="J18" s="14" t="s">
        <x:v>3293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3470</x:v>
      </x:c>
      <x:c r="B19" s="12" t="s">
        <x:v>188</x:v>
      </x:c>
      <x:c r="C19" s="12" t="s">
        <x:v>3471</x:v>
      </x:c>
      <x:c r="D19" s="13" t="s">
        <x:v>3472</x:v>
      </x:c>
      <x:c r="E19" s="12" t="s">
        <x:v>185</x:v>
      </x:c>
      <x:c r="F19" s="12" t="s">
        <x:v>190</x:v>
      </x:c>
      <x:c r="G19" s="13" t="s">
        <x:v>3461</x:v>
      </x:c>
      <x:c r="H19" s="12" t="s">
        <x:v>125</x:v>
      </x:c>
      <x:c r="I19" s="12" t="s">
        <x:v>140</x:v>
      </x:c>
      <x:c r="J19" s="14" t="s">
        <x:v>3293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3473</x:v>
      </x:c>
      <x:c r="B20" s="12" t="s">
        <x:v>93</x:v>
      </x:c>
      <x:c r="C20" s="12" t="s">
        <x:v>1265</x:v>
      </x:c>
      <x:c r="D20" s="13" t="s">
        <x:v>3369</x:v>
      </x:c>
      <x:c r="E20" s="12" t="s">
        <x:v>3034</x:v>
      </x:c>
      <x:c r="F20" s="12" t="s">
        <x:v>195</x:v>
      </x:c>
      <x:c r="G20" s="13" t="s">
        <x:v>3468</x:v>
      </x:c>
      <x:c r="H20" s="12" t="s">
        <x:v>127</x:v>
      </x:c>
      <x:c r="I20" s="12" t="s">
        <x:v>139</x:v>
      </x:c>
      <x:c r="J20" s="14" t="s">
        <x:v>3363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3474</x:v>
      </x:c>
      <x:c r="B21" s="12" t="s">
        <x:v>199</x:v>
      </x:c>
      <x:c r="C21" s="12" t="s">
        <x:v>827</x:v>
      </x:c>
      <x:c r="D21" s="13" t="s">
        <x:v>3475</x:v>
      </x:c>
      <x:c r="E21" s="12" t="s">
        <x:v>3034</x:v>
      </x:c>
      <x:c r="F21" s="12" t="s">
        <x:v>201</x:v>
      </x:c>
      <x:c r="G21" s="13" t="s">
        <x:v>3476</x:v>
      </x:c>
      <x:c r="H21" s="12" t="s">
        <x:v>123</x:v>
      </x:c>
      <x:c r="I21" s="12" t="s">
        <x:v>139</x:v>
      </x:c>
      <x:c r="J21" s="14" t="s">
        <x:v>3373</x:v>
      </x:c>
      <x:c r="K21" s="13"/>
      <x:c r="L21" s="12"/>
      <x:c r="M21" s="12" t="n">
        <x:f aca="0">IF(OR(H21="tested",H21="verified",H21="not applicable"),1,0)</x:f>
        <x:v>0</x:v>
      </x:c>
    </x:row>
    <x:row r="22" s="4" customFormat="1" ht="54" hidden="0" customHeight="1">
      <x:c r="A22" s="12" t="s">
        <x:v>3477</x:v>
      </x:c>
      <x:c r="B22" s="12" t="s">
        <x:v>2604</x:v>
      </x:c>
      <x:c r="C22" s="12" t="s">
        <x:v>3478</x:v>
      </x:c>
      <x:c r="D22" s="13" t="s">
        <x:v>3479</x:v>
      </x:c>
      <x:c r="E22" s="12" t="s">
        <x:v>3034</x:v>
      </x:c>
      <x:c r="F22" s="12" t="s">
        <x:v>195</x:v>
      </x:c>
      <x:c r="G22" s="13" t="s">
        <x:v>3468</x:v>
      </x:c>
      <x:c r="H22" s="12" t="s">
        <x:v>127</x:v>
      </x:c>
      <x:c r="I22" s="12" t="s">
        <x:v>139</x:v>
      </x:c>
      <x:c r="J22" s="14" t="s">
        <x:v>3363</x:v>
      </x:c>
      <x:c r="K22" s="13"/>
      <x:c r="L22" s="12"/>
      <x:c r="M22" s="12" t="n">
        <x:f aca="0">IF(OR(H22="tested",H22="verified",H22="not applicable"),1,0)</x:f>
        <x:v>1</x:v>
      </x:c>
    </x:row>
    <x:row r="23" s="4" customFormat="1" ht="54" hidden="0" customHeight="1">
      <x:c r="A23" s="12" t="s">
        <x:v>3480</x:v>
      </x:c>
      <x:c r="B23" s="12" t="s">
        <x:v>1604</x:v>
      </x:c>
      <x:c r="C23" s="12" t="s">
        <x:v>827</x:v>
      </x:c>
      <x:c r="D23" s="13" t="s">
        <x:v>3481</x:v>
      </x:c>
      <x:c r="E23" s="12" t="s">
        <x:v>3034</x:v>
      </x:c>
      <x:c r="F23" s="12" t="s">
        <x:v>201</x:v>
      </x:c>
      <x:c r="G23" s="13" t="s">
        <x:v>3476</x:v>
      </x:c>
      <x:c r="H23" s="12" t="s">
        <x:v>123</x:v>
      </x:c>
      <x:c r="I23" s="12" t="s">
        <x:v>139</x:v>
      </x:c>
      <x:c r="J23" s="14"/>
      <x:c r="K23" s="13" t="s">
        <x:v>203</x:v>
      </x:c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3482</x:v>
      </x:c>
      <x:c r="B24" s="12" t="s">
        <x:v>2459</x:v>
      </x:c>
      <x:c r="C24" s="12" t="s">
        <x:v>3449</x:v>
      </x:c>
      <x:c r="D24" s="13" t="s">
        <x:v>3379</x:v>
      </x:c>
      <x:c r="E24" s="12" t="s">
        <x:v>160</x:v>
      </x:c>
      <x:c r="F24" s="12" t="s">
        <x:v>217</x:v>
      </x:c>
      <x:c r="G24" s="13" t="s">
        <x:v>3483</x:v>
      </x:c>
      <x:c r="H24" s="12" t="s">
        <x:v>125</x:v>
      </x:c>
      <x:c r="I24" s="12" t="s">
        <x:v>140</x:v>
      </x:c>
      <x:c r="J24" s="14" t="s">
        <x:v>3293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3484</x:v>
      </x:c>
      <x:c r="B25" s="12" t="s">
        <x:v>224</x:v>
      </x:c>
      <x:c r="C25" s="12" t="s">
        <x:v>3449</x:v>
      </x:c>
      <x:c r="D25" s="13" t="s">
        <x:v>3485</x:v>
      </x:c>
      <x:c r="E25" s="12" t="s">
        <x:v>226</x:v>
      </x:c>
      <x:c r="F25" s="12" t="s">
        <x:v>226</x:v>
      </x:c>
      <x:c r="G25" s="13" t="s">
        <x:v>3330</x:v>
      </x:c>
      <x:c r="H25" s="12" t="s">
        <x:v>125</x:v>
      </x:c>
      <x:c r="I25" s="12" t="s">
        <x:v>140</x:v>
      </x:c>
      <x:c r="J25" s="14" t="s">
        <x:v>3383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 t="s">
        <x:v>3486</x:v>
      </x:c>
      <x:c r="B26" s="12" t="s">
        <x:v>229</x:v>
      </x:c>
      <x:c r="C26" s="12" t="s">
        <x:v>3449</x:v>
      </x:c>
      <x:c r="D26" s="13" t="s">
        <x:v>3331</x:v>
      </x:c>
      <x:c r="E26" s="12" t="s">
        <x:v>226</x:v>
      </x:c>
      <x:c r="F26" s="12" t="s">
        <x:v>160</x:v>
      </x:c>
      <x:c r="G26" s="13" t="s">
        <x:v>3332</x:v>
      </x:c>
      <x:c r="H26" s="12" t="s">
        <x:v>125</x:v>
      </x:c>
      <x:c r="I26" s="12" t="s">
        <x:v>140</x:v>
      </x:c>
      <x:c r="J26" s="14" t="s">
        <x:v>3383</x:v>
      </x:c>
      <x:c r="K26" s="13"/>
      <x:c r="L26" s="12"/>
      <x:c r="M26" s="12" t="n">
        <x:f aca="0">IF(OR(H26="tested",H26="verified",H26="not applicable"),1,0)</x:f>
        <x:v>1</x:v>
      </x:c>
    </x:row>
    <x:row r="27" s="4" customFormat="1" ht="23.25" hidden="0" customHeight="1">
      <x:c r="A27" s="12" t="s">
        <x:v>3487</x:v>
      </x:c>
      <x:c r="B27" s="12" t="s">
        <x:v>212</x:v>
      </x:c>
      <x:c r="C27" s="12" t="s">
        <x:v>1265</x:v>
      </x:c>
      <x:c r="D27" s="13" t="s">
        <x:v>3488</x:v>
      </x:c>
      <x:c r="E27" s="12" t="s">
        <x:v>3034</x:v>
      </x:c>
      <x:c r="F27" s="12" t="s">
        <x:v>201</x:v>
      </x:c>
      <x:c r="G27" s="13" t="s">
        <x:v>3476</x:v>
      </x:c>
      <x:c r="H27" s="12" t="s">
        <x:v>123</x:v>
      </x:c>
      <x:c r="I27" s="12" t="s">
        <x:v>139</x:v>
      </x:c>
      <x:c r="J27" s="14" t="s">
        <x:v>3373</x:v>
      </x:c>
      <x:c r="K27" s="13"/>
      <x:c r="L27" s="12"/>
      <x:c r="M27" s="12" t="n">
        <x:f aca="0">IF(OR(H27="tested",H27="verified",H27="not applicable"),1,0)</x:f>
        <x:v>0</x:v>
      </x:c>
    </x:row>
    <x:row r="28" s="4" customFormat="1" ht="23.25" hidden="0" customHeight="1">
      <x:c r="A28" s="12" t="s">
        <x:v>3489</x:v>
      </x:c>
      <x:c r="B28" s="12" t="s">
        <x:v>193</x:v>
      </x:c>
      <x:c r="C28" s="12" t="s">
        <x:v>1265</x:v>
      </x:c>
      <x:c r="D28" s="13" t="s">
        <x:v>3388</x:v>
      </x:c>
      <x:c r="E28" s="12" t="s">
        <x:v>3034</x:v>
      </x:c>
      <x:c r="F28" s="12" t="s">
        <x:v>195</x:v>
      </x:c>
      <x:c r="G28" s="13" t="s">
        <x:v>3468</x:v>
      </x:c>
      <x:c r="H28" s="12" t="s">
        <x:v>127</x:v>
      </x:c>
      <x:c r="I28" s="12" t="s">
        <x:v>139</x:v>
      </x:c>
      <x:c r="J28" s="14" t="s">
        <x:v>3363</x:v>
      </x:c>
      <x:c r="K28" s="13"/>
      <x:c r="L28" s="12"/>
      <x:c r="M28" s="12" t="n">
        <x:f aca="0">IF(OR(H28="tested",H28="verified",H28="not applicable"),1,0)</x:f>
        <x:v>1</x:v>
      </x:c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3490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3491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143</x:v>
      </x:c>
      <x:c r="E4" s="7" t="n">
        <x:f aca="0">SUM(M9:M24)</x:f>
        <x:v>15</x:v>
      </x:c>
      <x:c r="G4" s="6" t="s">
        <x:v>13</x:v>
      </x:c>
      <x:c r="H4" s="8" t="n">
        <x:f aca="0">IF(B4=0,0,E4/B4)</x:f>
        <x:v>0.9375</x:v>
      </x:c>
      <x:c r="J4" s="6" t="s">
        <x:v>14</x:v>
      </x:c>
      <x:c r="K4" s="7" t="str">
        <x:f aca="0">IF(COUNTIFS(E9:E24,"package",M9:M24,0)&gt;0,"open","complete")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3492</x:v>
      </x:c>
      <x:c r="B9" s="12" t="s">
        <x:v>157</x:v>
      </x:c>
      <x:c r="C9" s="12" t="s">
        <x:v>1463</x:v>
      </x:c>
      <x:c r="D9" s="13" t="s">
        <x:v>3493</x:v>
      </x:c>
      <x:c r="E9" s="12" t="s">
        <x:v>160</x:v>
      </x:c>
      <x:c r="F9" s="12" t="s">
        <x:v>161</x:v>
      </x:c>
      <x:c r="G9" s="13" t="s">
        <x:v>3494</x:v>
      </x:c>
      <x:c r="H9" s="12" t="s">
        <x:v>125</x:v>
      </x:c>
      <x:c r="I9" s="12" t="s">
        <x:v>140</x:v>
      </x:c>
      <x:c r="J9" s="14" t="s">
        <x:v>3495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3496</x:v>
      </x:c>
      <x:c r="B10" s="12" t="s">
        <x:v>1423</x:v>
      </x:c>
      <x:c r="C10" s="12" t="s">
        <x:v>1265</x:v>
      </x:c>
      <x:c r="D10" s="13" t="s">
        <x:v>3497</x:v>
      </x:c>
      <x:c r="E10" s="12" t="s">
        <x:v>160</x:v>
      </x:c>
      <x:c r="F10" s="12" t="s">
        <x:v>180</x:v>
      </x:c>
      <x:c r="G10" s="13" t="s">
        <x:v>3498</x:v>
      </x:c>
      <x:c r="H10" s="12" t="s">
        <x:v>125</x:v>
      </x:c>
      <x:c r="I10" s="12" t="s">
        <x:v>140</x:v>
      </x:c>
      <x:c r="J10" s="14" t="s">
        <x:v>3499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3500</x:v>
      </x:c>
      <x:c r="B11" s="12" t="s">
        <x:v>164</x:v>
      </x:c>
      <x:c r="C11" s="12" t="s">
        <x:v>81</x:v>
      </x:c>
      <x:c r="D11" s="13" t="s">
        <x:v>3501</x:v>
      </x:c>
      <x:c r="E11" s="12" t="s">
        <x:v>160</x:v>
      </x:c>
      <x:c r="F11" s="12" t="s">
        <x:v>160</x:v>
      </x:c>
      <x:c r="G11" s="13" t="s">
        <x:v>3502</x:v>
      </x:c>
      <x:c r="H11" s="12" t="s">
        <x:v>125</x:v>
      </x:c>
      <x:c r="I11" s="12" t="s">
        <x:v>140</x:v>
      </x:c>
      <x:c r="J11" s="14" t="s">
        <x:v>3503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3504</x:v>
      </x:c>
      <x:c r="B12" s="12" t="s">
        <x:v>168</x:v>
      </x:c>
      <x:c r="C12" s="12" t="s">
        <x:v>1463</x:v>
      </x:c>
      <x:c r="D12" s="13" t="s">
        <x:v>3505</x:v>
      </x:c>
      <x:c r="E12" s="12" t="s">
        <x:v>160</x:v>
      </x:c>
      <x:c r="F12" s="12" t="s">
        <x:v>170</x:v>
      </x:c>
      <x:c r="G12" s="13" t="s">
        <x:v>3506</x:v>
      </x:c>
      <x:c r="H12" s="12" t="s">
        <x:v>125</x:v>
      </x:c>
      <x:c r="I12" s="12" t="s">
        <x:v>140</x:v>
      </x:c>
      <x:c r="J12" s="14" t="s">
        <x:v>3507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3508</x:v>
      </x:c>
      <x:c r="B13" s="12" t="s">
        <x:v>173</x:v>
      </x:c>
      <x:c r="C13" s="12" t="s">
        <x:v>1265</x:v>
      </x:c>
      <x:c r="D13" s="13" t="s">
        <x:v>3509</x:v>
      </x:c>
      <x:c r="E13" s="12" t="s">
        <x:v>160</x:v>
      </x:c>
      <x:c r="F13" s="12" t="s">
        <x:v>175</x:v>
      </x:c>
      <x:c r="G13" s="13" t="s">
        <x:v>3510</x:v>
      </x:c>
      <x:c r="H13" s="12" t="s">
        <x:v>125</x:v>
      </x:c>
      <x:c r="I13" s="12" t="s">
        <x:v>140</x:v>
      </x:c>
      <x:c r="J13" s="14" t="s">
        <x:v>3511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3512</x:v>
      </x:c>
      <x:c r="B14" s="12" t="s">
        <x:v>3513</x:v>
      </x:c>
      <x:c r="C14" s="12" t="s">
        <x:v>1694</x:v>
      </x:c>
      <x:c r="D14" s="13" t="s">
        <x:v>3514</x:v>
      </x:c>
      <x:c r="E14" s="12" t="s">
        <x:v>185</x:v>
      </x:c>
      <x:c r="F14" s="12" t="s">
        <x:v>185</x:v>
      </x:c>
      <x:c r="G14" s="13" t="s">
        <x:v>3515</x:v>
      </x:c>
      <x:c r="H14" s="12" t="s">
        <x:v>125</x:v>
      </x:c>
      <x:c r="I14" s="12" t="s">
        <x:v>140</x:v>
      </x:c>
      <x:c r="J14" s="14" t="s">
        <x:v>3516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3517</x:v>
      </x:c>
      <x:c r="B15" s="12" t="s">
        <x:v>31</x:v>
      </x:c>
      <x:c r="C15" s="12" t="s">
        <x:v>3518</x:v>
      </x:c>
      <x:c r="D15" s="13" t="s">
        <x:v>3519</x:v>
      </x:c>
      <x:c r="E15" s="12" t="s">
        <x:v>185</x:v>
      </x:c>
      <x:c r="F15" s="12" t="s">
        <x:v>185</x:v>
      </x:c>
      <x:c r="G15" s="13" t="s">
        <x:v>3515</x:v>
      </x:c>
      <x:c r="H15" s="12" t="s">
        <x:v>125</x:v>
      </x:c>
      <x:c r="I15" s="12" t="s">
        <x:v>140</x:v>
      </x:c>
      <x:c r="J15" s="14" t="s">
        <x:v>3520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3521</x:v>
      </x:c>
      <x:c r="B16" s="12" t="s">
        <x:v>3522</x:v>
      </x:c>
      <x:c r="C16" s="12" t="s">
        <x:v>827</x:v>
      </x:c>
      <x:c r="D16" s="13" t="s">
        <x:v>3523</x:v>
      </x:c>
      <x:c r="E16" s="12" t="s">
        <x:v>160</x:v>
      </x:c>
      <x:c r="F16" s="12" t="s">
        <x:v>180</x:v>
      </x:c>
      <x:c r="G16" s="13" t="s">
        <x:v>3498</x:v>
      </x:c>
      <x:c r="H16" s="12" t="s">
        <x:v>125</x:v>
      </x:c>
      <x:c r="I16" s="12" t="s">
        <x:v>140</x:v>
      </x:c>
      <x:c r="J16" s="14" t="s">
        <x:v>3524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3525</x:v>
      </x:c>
      <x:c r="B17" s="12" t="s">
        <x:v>1213</x:v>
      </x:c>
      <x:c r="C17" s="12" t="s">
        <x:v>827</x:v>
      </x:c>
      <x:c r="D17" s="13" t="s">
        <x:v>3526</x:v>
      </x:c>
      <x:c r="E17" s="12" t="s">
        <x:v>185</x:v>
      </x:c>
      <x:c r="F17" s="12" t="s">
        <x:v>185</x:v>
      </x:c>
      <x:c r="G17" s="13" t="s">
        <x:v>3515</x:v>
      </x:c>
      <x:c r="H17" s="12" t="s">
        <x:v>125</x:v>
      </x:c>
      <x:c r="I17" s="12" t="s">
        <x:v>140</x:v>
      </x:c>
      <x:c r="J17" s="14" t="s">
        <x:v>3527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3528</x:v>
      </x:c>
      <x:c r="B18" s="12" t="s">
        <x:v>1151</x:v>
      </x:c>
      <x:c r="C18" s="12" t="s">
        <x:v>3529</x:v>
      </x:c>
      <x:c r="D18" s="13" t="s">
        <x:v>3530</x:v>
      </x:c>
      <x:c r="E18" s="12" t="s">
        <x:v>160</x:v>
      </x:c>
      <x:c r="F18" s="12" t="s">
        <x:v>180</x:v>
      </x:c>
      <x:c r="G18" s="13" t="s">
        <x:v>3498</x:v>
      </x:c>
      <x:c r="H18" s="12" t="s">
        <x:v>125</x:v>
      </x:c>
      <x:c r="I18" s="12" t="s">
        <x:v>140</x:v>
      </x:c>
      <x:c r="J18" s="14" t="s">
        <x:v>3531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3532</x:v>
      </x:c>
      <x:c r="B19" s="12" t="s">
        <x:v>93</x:v>
      </x:c>
      <x:c r="C19" s="12" t="s">
        <x:v>1265</x:v>
      </x:c>
      <x:c r="D19" s="13" t="s">
        <x:v>3533</x:v>
      </x:c>
      <x:c r="E19" s="12" t="s">
        <x:v>3034</x:v>
      </x:c>
      <x:c r="F19" s="12" t="s">
        <x:v>195</x:v>
      </x:c>
      <x:c r="G19" s="13" t="s">
        <x:v>3534</x:v>
      </x:c>
      <x:c r="H19" s="12" t="s">
        <x:v>127</x:v>
      </x:c>
      <x:c r="I19" s="12" t="s">
        <x:v>139</x:v>
      </x:c>
      <x:c r="J19" s="14" t="s">
        <x:v>3535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3536</x:v>
      </x:c>
      <x:c r="B20" s="12" t="s">
        <x:v>199</x:v>
      </x:c>
      <x:c r="C20" s="12" t="s">
        <x:v>3537</x:v>
      </x:c>
      <x:c r="D20" s="13" t="s">
        <x:v>3538</x:v>
      </x:c>
      <x:c r="E20" s="12" t="s">
        <x:v>3034</x:v>
      </x:c>
      <x:c r="F20" s="12" t="s">
        <x:v>195</x:v>
      </x:c>
      <x:c r="G20" s="13" t="s">
        <x:v>3534</x:v>
      </x:c>
      <x:c r="H20" s="12" t="s">
        <x:v>127</x:v>
      </x:c>
      <x:c r="I20" s="12" t="s">
        <x:v>139</x:v>
      </x:c>
      <x:c r="J20" s="14" t="s">
        <x:v>3539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3540</x:v>
      </x:c>
      <x:c r="B21" s="12" t="s">
        <x:v>188</x:v>
      </x:c>
      <x:c r="C21" s="12" t="s">
        <x:v>3518</x:v>
      </x:c>
      <x:c r="D21" s="13" t="s">
        <x:v>3541</x:v>
      </x:c>
      <x:c r="E21" s="12" t="s">
        <x:v>185</x:v>
      </x:c>
      <x:c r="F21" s="12" t="s">
        <x:v>190</x:v>
      </x:c>
      <x:c r="G21" s="13" t="s">
        <x:v>3515</x:v>
      </x:c>
      <x:c r="H21" s="12" t="s">
        <x:v>125</x:v>
      </x:c>
      <x:c r="I21" s="12" t="s">
        <x:v>140</x:v>
      </x:c>
      <x:c r="J21" s="14" t="s">
        <x:v>3542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3543</x:v>
      </x:c>
      <x:c r="B22" s="12" t="s">
        <x:v>212</x:v>
      </x:c>
      <x:c r="C22" s="12" t="s">
        <x:v>81</x:v>
      </x:c>
      <x:c r="D22" s="13" t="s">
        <x:v>3544</x:v>
      </x:c>
      <x:c r="E22" s="12" t="s">
        <x:v>3034</x:v>
      </x:c>
      <x:c r="F22" s="12" t="s">
        <x:v>201</x:v>
      </x:c>
      <x:c r="G22" s="13" t="s">
        <x:v>3545</x:v>
      </x:c>
      <x:c r="H22" s="12" t="s">
        <x:v>123</x:v>
      </x:c>
      <x:c r="I22" s="12" t="s">
        <x:v>139</x:v>
      </x:c>
      <x:c r="J22" s="14" t="s">
        <x:v>3546</x:v>
      </x:c>
      <x:c r="K22" s="13"/>
      <x:c r="L22" s="12"/>
      <x:c r="M22" s="12" t="n">
        <x:f aca="0">IF(OR(H22="tested",H22="verified",H22="not applicable"),1,0)</x:f>
        <x:v>0</x:v>
      </x:c>
    </x:row>
    <x:row r="23" s="4" customFormat="1" ht="54" hidden="0" customHeight="1">
      <x:c r="A23" s="12" t="s">
        <x:v>3547</x:v>
      </x:c>
      <x:c r="B23" s="12" t="s">
        <x:v>2459</x:v>
      </x:c>
      <x:c r="C23" s="12" t="s">
        <x:v>81</x:v>
      </x:c>
      <x:c r="D23" s="13" t="s">
        <x:v>3548</x:v>
      </x:c>
      <x:c r="E23" s="12" t="s">
        <x:v>160</x:v>
      </x:c>
      <x:c r="F23" s="12" t="s">
        <x:v>217</x:v>
      </x:c>
      <x:c r="G23" s="13" t="s">
        <x:v>3549</x:v>
      </x:c>
      <x:c r="H23" s="12" t="s">
        <x:v>125</x:v>
      </x:c>
      <x:c r="I23" s="12" t="s">
        <x:v>140</x:v>
      </x:c>
      <x:c r="J23" s="14" t="s">
        <x:v>3550</x:v>
      </x:c>
      <x:c r="K23" s="13"/>
      <x:c r="L23" s="12"/>
      <x:c r="M23" s="12" t="n">
        <x:f aca="0">IF(OR(H23="tested",H23="verified",H23="not applicable"),1,0)</x:f>
        <x:v>1</x:v>
      </x:c>
    </x:row>
    <x:row r="24" s="4" customFormat="1" ht="54" hidden="0" customHeight="1">
      <x:c r="A24" s="12" t="s">
        <x:v>3551</x:v>
      </x:c>
      <x:c r="B24" s="12" t="s">
        <x:v>224</x:v>
      </x:c>
      <x:c r="C24" s="12" t="s">
        <x:v>1463</x:v>
      </x:c>
      <x:c r="D24" s="13" t="s">
        <x:v>3552</x:v>
      </x:c>
      <x:c r="E24" s="12" t="s">
        <x:v>226</x:v>
      </x:c>
      <x:c r="F24" s="12" t="s">
        <x:v>226</x:v>
      </x:c>
      <x:c r="G24" s="13" t="s">
        <x:v>2620</x:v>
      </x:c>
      <x:c r="H24" s="12" t="s">
        <x:v>125</x:v>
      </x:c>
      <x:c r="I24" s="12" t="s">
        <x:v>140</x:v>
      </x:c>
      <x:c r="J24" s="14" t="s">
        <x:v>3553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  <x:row r="26" s="4" customFormat="1" ht="23.25" hidden="0" customHeight="1">
      <x:c r="A26" s="12"/>
      <x:c r="B26" s="12"/>
      <x:c r="C26" s="12"/>
      <x:c r="D26" s="13"/>
      <x:c r="E26" s="12"/>
      <x:c r="F26" s="12"/>
      <x:c r="G26" s="13"/>
      <x:c r="H26" s="12"/>
      <x:c r="I26" s="12"/>
      <x:c r="J26" s="14"/>
      <x:c r="K26" s="13"/>
      <x:c r="L26" s="12"/>
      <x:c r="M26" s="12"/>
    </x:row>
    <x:row r="27" s="4" customFormat="1" ht="23.25" hidden="0" customHeight="1">
      <x:c r="A27" s="12"/>
      <x:c r="B27" s="12"/>
      <x:c r="C27" s="12"/>
      <x:c r="D27" s="13"/>
      <x:c r="E27" s="12"/>
      <x:c r="F27" s="12"/>
      <x:c r="G27" s="13"/>
      <x:c r="H27" s="12"/>
      <x:c r="I27" s="12"/>
      <x:c r="J27" s="14"/>
      <x:c r="K27" s="13"/>
      <x:c r="L27" s="12"/>
      <x:c r="M27" s="12"/>
    </x:row>
    <x:row r="28" s="4" customFormat="1" ht="23.25" hidden="0" customHeight="1">
      <x:c r="A28" s="12"/>
      <x:c r="B28" s="12"/>
      <x:c r="C28" s="12"/>
      <x:c r="D28" s="13"/>
      <x:c r="E28" s="12"/>
      <x:c r="F28" s="12"/>
      <x:c r="G28" s="13"/>
      <x:c r="H28" s="12"/>
      <x:c r="I28" s="12"/>
      <x:c r="J28" s="14"/>
      <x:c r="K28" s="13"/>
      <x:c r="L28" s="12"/>
      <x:c r="M28" s="12"/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4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8d6fa9095fb46a1"/>
  </x:tableParts>
</x:worksheet>
</file>

<file path=xl/worksheets/sheet7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3554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3555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143</x:v>
      </x:c>
      <x:c r="E4" s="7" t="n">
        <x:f aca="0">SUM(M9:M25)</x:f>
        <x:v>16</x:v>
      </x:c>
      <x:c r="G4" s="6" t="s">
        <x:v>13</x:v>
      </x:c>
      <x:c r="H4" s="8" t="n">
        <x:f aca="0">IF(B4=0,0,E4/B4)</x:f>
        <x:v>0.9411764705882353</x:v>
      </x:c>
      <x:c r="J4" s="6" t="s">
        <x:v>14</x:v>
      </x:c>
      <x:c r="K4" s="7" t="str">
        <x:f aca="0">IF(COUNTIFS(E9:E25,"package",M9:M25,0)&gt;0,"open","complete")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3556</x:v>
      </x:c>
      <x:c r="B9" s="12" t="s">
        <x:v>157</x:v>
      </x:c>
      <x:c r="C9" s="12" t="s">
        <x:v>1633</x:v>
      </x:c>
      <x:c r="D9" s="13" t="s">
        <x:v>3557</x:v>
      </x:c>
      <x:c r="E9" s="12" t="s">
        <x:v>160</x:v>
      </x:c>
      <x:c r="F9" s="12" t="s">
        <x:v>161</x:v>
      </x:c>
      <x:c r="G9" s="13" t="s">
        <x:v>3558</x:v>
      </x:c>
      <x:c r="H9" s="12" t="s">
        <x:v>125</x:v>
      </x:c>
      <x:c r="I9" s="12" t="s">
        <x:v>140</x:v>
      </x:c>
      <x:c r="J9" s="14" t="s">
        <x:v>3495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3559</x:v>
      </x:c>
      <x:c r="B10" s="12" t="s">
        <x:v>1423</x:v>
      </x:c>
      <x:c r="C10" s="12" t="s">
        <x:v>1633</x:v>
      </x:c>
      <x:c r="D10" s="13" t="s">
        <x:v>3560</x:v>
      </x:c>
      <x:c r="E10" s="12" t="s">
        <x:v>160</x:v>
      </x:c>
      <x:c r="F10" s="12" t="s">
        <x:v>180</x:v>
      </x:c>
      <x:c r="G10" s="13" t="s">
        <x:v>3561</x:v>
      </x:c>
      <x:c r="H10" s="12" t="s">
        <x:v>125</x:v>
      </x:c>
      <x:c r="I10" s="12" t="s">
        <x:v>140</x:v>
      </x:c>
      <x:c r="J10" s="14" t="s">
        <x:v>3499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3562</x:v>
      </x:c>
      <x:c r="B11" s="12" t="s">
        <x:v>164</x:v>
      </x:c>
      <x:c r="C11" s="12" t="s">
        <x:v>82</x:v>
      </x:c>
      <x:c r="D11" s="13" t="s">
        <x:v>3563</x:v>
      </x:c>
      <x:c r="E11" s="12" t="s">
        <x:v>160</x:v>
      </x:c>
      <x:c r="F11" s="12" t="s">
        <x:v>160</x:v>
      </x:c>
      <x:c r="G11" s="13" t="s">
        <x:v>3502</x:v>
      </x:c>
      <x:c r="H11" s="12" t="s">
        <x:v>125</x:v>
      </x:c>
      <x:c r="I11" s="12" t="s">
        <x:v>140</x:v>
      </x:c>
      <x:c r="J11" s="14" t="s">
        <x:v>3503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3564</x:v>
      </x:c>
      <x:c r="B12" s="12" t="s">
        <x:v>168</x:v>
      </x:c>
      <x:c r="C12" s="12" t="s">
        <x:v>1633</x:v>
      </x:c>
      <x:c r="D12" s="13" t="s">
        <x:v>3565</x:v>
      </x:c>
      <x:c r="E12" s="12" t="s">
        <x:v>160</x:v>
      </x:c>
      <x:c r="F12" s="12" t="s">
        <x:v>170</x:v>
      </x:c>
      <x:c r="G12" s="13" t="s">
        <x:v>3566</x:v>
      </x:c>
      <x:c r="H12" s="12" t="s">
        <x:v>125</x:v>
      </x:c>
      <x:c r="I12" s="12" t="s">
        <x:v>140</x:v>
      </x:c>
      <x:c r="J12" s="14" t="s">
        <x:v>3507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3567</x:v>
      </x:c>
      <x:c r="B13" s="12" t="s">
        <x:v>173</x:v>
      </x:c>
      <x:c r="C13" s="12" t="s">
        <x:v>1633</x:v>
      </x:c>
      <x:c r="D13" s="13" t="s">
        <x:v>3568</x:v>
      </x:c>
      <x:c r="E13" s="12" t="s">
        <x:v>160</x:v>
      </x:c>
      <x:c r="F13" s="12" t="s">
        <x:v>175</x:v>
      </x:c>
      <x:c r="G13" s="13" t="s">
        <x:v>3569</x:v>
      </x:c>
      <x:c r="H13" s="12" t="s">
        <x:v>125</x:v>
      </x:c>
      <x:c r="I13" s="12" t="s">
        <x:v>140</x:v>
      </x:c>
      <x:c r="J13" s="14" t="s">
        <x:v>3511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3570</x:v>
      </x:c>
      <x:c r="B14" s="12" t="s">
        <x:v>687</x:v>
      </x:c>
      <x:c r="C14" s="12" t="s">
        <x:v>827</x:v>
      </x:c>
      <x:c r="D14" s="13" t="s">
        <x:v>3571</x:v>
      </x:c>
      <x:c r="E14" s="12" t="s">
        <x:v>185</x:v>
      </x:c>
      <x:c r="F14" s="12" t="s">
        <x:v>185</x:v>
      </x:c>
      <x:c r="G14" s="13" t="s">
        <x:v>3572</x:v>
      </x:c>
      <x:c r="H14" s="12" t="s">
        <x:v>125</x:v>
      </x:c>
      <x:c r="I14" s="12" t="s">
        <x:v>140</x:v>
      </x:c>
      <x:c r="J14" s="14" t="s">
        <x:v>3573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3574</x:v>
      </x:c>
      <x:c r="B15" s="12" t="s">
        <x:v>3575</x:v>
      </x:c>
      <x:c r="C15" s="12" t="s">
        <x:v>1633</x:v>
      </x:c>
      <x:c r="D15" s="13" t="s">
        <x:v>3576</x:v>
      </x:c>
      <x:c r="E15" s="12" t="s">
        <x:v>185</x:v>
      </x:c>
      <x:c r="F15" s="12" t="s">
        <x:v>185</x:v>
      </x:c>
      <x:c r="G15" s="13" t="s">
        <x:v>3572</x:v>
      </x:c>
      <x:c r="H15" s="12" t="s">
        <x:v>125</x:v>
      </x:c>
      <x:c r="I15" s="12" t="s">
        <x:v>140</x:v>
      </x:c>
      <x:c r="J15" s="14" t="s">
        <x:v>3577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3578</x:v>
      </x:c>
      <x:c r="B16" s="12" t="s">
        <x:v>31</x:v>
      </x:c>
      <x:c r="C16" s="12" t="s">
        <x:v>827</x:v>
      </x:c>
      <x:c r="D16" s="13" t="s">
        <x:v>3579</x:v>
      </x:c>
      <x:c r="E16" s="12" t="s">
        <x:v>185</x:v>
      </x:c>
      <x:c r="F16" s="12" t="s">
        <x:v>185</x:v>
      </x:c>
      <x:c r="G16" s="13" t="s">
        <x:v>3572</x:v>
      </x:c>
      <x:c r="H16" s="12" t="s">
        <x:v>125</x:v>
      </x:c>
      <x:c r="I16" s="12" t="s">
        <x:v>140</x:v>
      </x:c>
      <x:c r="J16" s="14" t="s">
        <x:v>3580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3581</x:v>
      </x:c>
      <x:c r="B17" s="12" t="s">
        <x:v>3522</x:v>
      </x:c>
      <x:c r="C17" s="12" t="s">
        <x:v>827</x:v>
      </x:c>
      <x:c r="D17" s="13" t="s">
        <x:v>3582</x:v>
      </x:c>
      <x:c r="E17" s="12" t="s">
        <x:v>160</x:v>
      </x:c>
      <x:c r="F17" s="12" t="s">
        <x:v>180</x:v>
      </x:c>
      <x:c r="G17" s="13" t="s">
        <x:v>3561</x:v>
      </x:c>
      <x:c r="H17" s="12" t="s">
        <x:v>125</x:v>
      </x:c>
      <x:c r="I17" s="12" t="s">
        <x:v>140</x:v>
      </x:c>
      <x:c r="J17" s="14" t="s">
        <x:v>3524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3583</x:v>
      </x:c>
      <x:c r="B18" s="12" t="s">
        <x:v>1213</x:v>
      </x:c>
      <x:c r="C18" s="12" t="s">
        <x:v>827</x:v>
      </x:c>
      <x:c r="D18" s="13" t="s">
        <x:v>3584</x:v>
      </x:c>
      <x:c r="E18" s="12" t="s">
        <x:v>185</x:v>
      </x:c>
      <x:c r="F18" s="12" t="s">
        <x:v>185</x:v>
      </x:c>
      <x:c r="G18" s="13" t="s">
        <x:v>3572</x:v>
      </x:c>
      <x:c r="H18" s="12" t="s">
        <x:v>125</x:v>
      </x:c>
      <x:c r="I18" s="12" t="s">
        <x:v>140</x:v>
      </x:c>
      <x:c r="J18" s="14" t="s">
        <x:v>3527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3585</x:v>
      </x:c>
      <x:c r="B19" s="12" t="s">
        <x:v>3586</x:v>
      </x:c>
      <x:c r="C19" s="12" t="s">
        <x:v>930</x:v>
      </x:c>
      <x:c r="D19" s="13" t="s">
        <x:v>3587</x:v>
      </x:c>
      <x:c r="E19" s="12" t="s">
        <x:v>160</x:v>
      </x:c>
      <x:c r="F19" s="12" t="s">
        <x:v>180</x:v>
      </x:c>
      <x:c r="G19" s="13" t="s">
        <x:v>3561</x:v>
      </x:c>
      <x:c r="H19" s="12" t="s">
        <x:v>125</x:v>
      </x:c>
      <x:c r="I19" s="12" t="s">
        <x:v>140</x:v>
      </x:c>
      <x:c r="J19" s="14" t="s">
        <x:v>3588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3589</x:v>
      </x:c>
      <x:c r="B20" s="12" t="s">
        <x:v>93</x:v>
      </x:c>
      <x:c r="C20" s="12" t="s">
        <x:v>1633</x:v>
      </x:c>
      <x:c r="D20" s="13" t="s">
        <x:v>3533</x:v>
      </x:c>
      <x:c r="E20" s="12" t="s">
        <x:v>3034</x:v>
      </x:c>
      <x:c r="F20" s="12" t="s">
        <x:v>195</x:v>
      </x:c>
      <x:c r="G20" s="13" t="s">
        <x:v>3590</x:v>
      </x:c>
      <x:c r="H20" s="12" t="s">
        <x:v>127</x:v>
      </x:c>
      <x:c r="I20" s="12" t="s">
        <x:v>139</x:v>
      </x:c>
      <x:c r="J20" s="14" t="s">
        <x:v>3591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3592</x:v>
      </x:c>
      <x:c r="B21" s="12" t="s">
        <x:v>199</x:v>
      </x:c>
      <x:c r="C21" s="12" t="s">
        <x:v>1633</x:v>
      </x:c>
      <x:c r="D21" s="13" t="s">
        <x:v>3593</x:v>
      </x:c>
      <x:c r="E21" s="12" t="s">
        <x:v>3034</x:v>
      </x:c>
      <x:c r="F21" s="12" t="s">
        <x:v>195</x:v>
      </x:c>
      <x:c r="G21" s="13" t="s">
        <x:v>3590</x:v>
      </x:c>
      <x:c r="H21" s="12" t="s">
        <x:v>127</x:v>
      </x:c>
      <x:c r="I21" s="12" t="s">
        <x:v>139</x:v>
      </x:c>
      <x:c r="J21" s="14" t="s">
        <x:v>3594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3595</x:v>
      </x:c>
      <x:c r="B22" s="12" t="s">
        <x:v>188</x:v>
      </x:c>
      <x:c r="C22" s="12" t="s">
        <x:v>1633</x:v>
      </x:c>
      <x:c r="D22" s="13" t="s">
        <x:v>3596</x:v>
      </x:c>
      <x:c r="E22" s="12" t="s">
        <x:v>185</x:v>
      </x:c>
      <x:c r="F22" s="12" t="s">
        <x:v>190</x:v>
      </x:c>
      <x:c r="G22" s="13" t="s">
        <x:v>3572</x:v>
      </x:c>
      <x:c r="H22" s="12" t="s">
        <x:v>125</x:v>
      </x:c>
      <x:c r="I22" s="12" t="s">
        <x:v>140</x:v>
      </x:c>
      <x:c r="J22" s="14" t="s">
        <x:v>3542</x:v>
      </x:c>
      <x:c r="K22" s="13"/>
      <x:c r="L22" s="12"/>
      <x:c r="M22" s="12" t="n">
        <x:f aca="0">IF(OR(H22="tested",H22="verified",H22="not applicable"),1,0)</x:f>
        <x:v>1</x:v>
      </x:c>
    </x:row>
    <x:row r="23" s="4" customFormat="1" ht="54" hidden="0" customHeight="1">
      <x:c r="A23" s="12" t="s">
        <x:v>3597</x:v>
      </x:c>
      <x:c r="B23" s="12" t="s">
        <x:v>212</x:v>
      </x:c>
      <x:c r="C23" s="12" t="s">
        <x:v>82</x:v>
      </x:c>
      <x:c r="D23" s="13" t="s">
        <x:v>3598</x:v>
      </x:c>
      <x:c r="E23" s="12" t="s">
        <x:v>3034</x:v>
      </x:c>
      <x:c r="F23" s="12" t="s">
        <x:v>201</x:v>
      </x:c>
      <x:c r="G23" s="13" t="s">
        <x:v>3599</x:v>
      </x:c>
      <x:c r="H23" s="12" t="s">
        <x:v>123</x:v>
      </x:c>
      <x:c r="I23" s="12" t="s">
        <x:v>139</x:v>
      </x:c>
      <x:c r="J23" s="14" t="s">
        <x:v>3600</x:v>
      </x:c>
      <x:c r="K23" s="13"/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3601</x:v>
      </x:c>
      <x:c r="B24" s="12" t="s">
        <x:v>2459</x:v>
      </x:c>
      <x:c r="C24" s="12" t="s">
        <x:v>82</x:v>
      </x:c>
      <x:c r="D24" s="13" t="s">
        <x:v>3602</x:v>
      </x:c>
      <x:c r="E24" s="12" t="s">
        <x:v>160</x:v>
      </x:c>
      <x:c r="F24" s="12" t="s">
        <x:v>217</x:v>
      </x:c>
      <x:c r="G24" s="13" t="s">
        <x:v>3603</x:v>
      </x:c>
      <x:c r="H24" s="12" t="s">
        <x:v>125</x:v>
      </x:c>
      <x:c r="I24" s="12" t="s">
        <x:v>140</x:v>
      </x:c>
      <x:c r="J24" s="14" t="s">
        <x:v>3550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3604</x:v>
      </x:c>
      <x:c r="B25" s="12" t="s">
        <x:v>224</x:v>
      </x:c>
      <x:c r="C25" s="12" t="s">
        <x:v>1633</x:v>
      </x:c>
      <x:c r="D25" s="13" t="s">
        <x:v>3605</x:v>
      </x:c>
      <x:c r="E25" s="12" t="s">
        <x:v>226</x:v>
      </x:c>
      <x:c r="F25" s="12" t="s">
        <x:v>226</x:v>
      </x:c>
      <x:c r="G25" s="13" t="s">
        <x:v>2620</x:v>
      </x:c>
      <x:c r="H25" s="12" t="s">
        <x:v>125</x:v>
      </x:c>
      <x:c r="I25" s="12" t="s">
        <x:v>140</x:v>
      </x:c>
      <x:c r="J25" s="14" t="s">
        <x:v>3553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/>
      <x:c r="B26" s="12"/>
      <x:c r="C26" s="12"/>
      <x:c r="D26" s="13"/>
      <x:c r="E26" s="12"/>
      <x:c r="F26" s="12"/>
      <x:c r="G26" s="13"/>
      <x:c r="H26" s="12"/>
      <x:c r="I26" s="12"/>
      <x:c r="J26" s="14"/>
      <x:c r="K26" s="13"/>
      <x:c r="L26" s="12"/>
      <x:c r="M26" s="12"/>
    </x:row>
    <x:row r="27" s="4" customFormat="1" ht="23.25" hidden="0" customHeight="1">
      <x:c r="A27" s="12"/>
      <x:c r="B27" s="12"/>
      <x:c r="C27" s="12"/>
      <x:c r="D27" s="13"/>
      <x:c r="E27" s="12"/>
      <x:c r="F27" s="12"/>
      <x:c r="G27" s="13"/>
      <x:c r="H27" s="12"/>
      <x:c r="I27" s="12"/>
      <x:c r="J27" s="14"/>
      <x:c r="K27" s="13"/>
      <x:c r="L27" s="12"/>
      <x:c r="M27" s="12"/>
    </x:row>
    <x:row r="28" s="4" customFormat="1" ht="23.25" hidden="0" customHeight="1">
      <x:c r="A28" s="12"/>
      <x:c r="B28" s="12"/>
      <x:c r="C28" s="12"/>
      <x:c r="D28" s="13"/>
      <x:c r="E28" s="12"/>
      <x:c r="F28" s="12"/>
      <x:c r="G28" s="13"/>
      <x:c r="H28" s="12"/>
      <x:c r="I28" s="12"/>
      <x:c r="J28" s="14"/>
      <x:c r="K28" s="13"/>
      <x:c r="L28" s="12"/>
      <x:c r="M28" s="12"/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e5dc95887db4862"/>
  </x:tableParts>
</x:worksheet>
</file>

<file path=xl/worksheets/sheet7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3606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3607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COUNTA(A9:A36)</x:f>
        <x:v>28</x:v>
      </x:c>
      <x:c r="D4" s="6" t="s">
        <x:v>143</x:v>
      </x:c>
      <x:c r="E4" s="7" t="n">
        <x:f aca="0">SUM(M9:M36)</x:f>
        <x:v>27</x:v>
      </x:c>
      <x:c r="G4" s="6" t="s">
        <x:v>13</x:v>
      </x:c>
      <x:c r="H4" s="8" t="n">
        <x:f aca="0">IF(B4=0,0,E4/B4)</x:f>
        <x:v>0.9642857142857143</x:v>
      </x:c>
      <x:c r="J4" s="6" t="s">
        <x:v>14</x:v>
      </x:c>
      <x:c r="K4" s="7" t="str">
        <x:f aca="0">IF(COUNTIFS(E9:E36,"package",M9:M36,0)&gt;0,"open","complete")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IF(COUNTIFS(I9:I36,"yes",M9:M36,0)&gt;0,"open","complete")</x:f>
        <x:v>open</x:v>
      </x:c>
      <x:c r="D5" s="6" t="s">
        <x:v>15</x:v>
      </x:c>
      <x:c r="E5" s="7" t="str">
        <x:f aca="0">IF(COUNTIFS(E9:E36,"consumer",M9:M36,0)&gt;0,"open","complete")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3608</x:v>
      </x:c>
      <x:c r="B9" s="12" t="s">
        <x:v>117</x:v>
      </x:c>
      <x:c r="C9" s="12" t="s">
        <x:v>1265</x:v>
      </x:c>
      <x:c r="D9" s="13" t="s">
        <x:v>3609</x:v>
      </x:c>
      <x:c r="E9" s="12" t="s">
        <x:v>160</x:v>
      </x:c>
      <x:c r="F9" s="12" t="s">
        <x:v>161</x:v>
      </x:c>
      <x:c r="G9" s="13" t="s">
        <x:v>3610</x:v>
      </x:c>
      <x:c r="H9" s="12" t="s">
        <x:v>125</x:v>
      </x:c>
      <x:c r="I9" s="12" t="s">
        <x:v>140</x:v>
      </x:c>
      <x:c r="J9" s="14" t="n">
        <x:v>46232</x:v>
      </x:c>
      <x:c r="K9" s="13" t="s">
        <x:v>3611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3612</x:v>
      </x:c>
      <x:c r="B10" s="12" t="s">
        <x:v>2472</x:v>
      </x:c>
      <x:c r="C10" s="12" t="s">
        <x:v>1265</x:v>
      </x:c>
      <x:c r="D10" s="13" t="s">
        <x:v>3613</x:v>
      </x:c>
      <x:c r="E10" s="12" t="s">
        <x:v>160</x:v>
      </x:c>
      <x:c r="F10" s="12" t="s">
        <x:v>180</x:v>
      </x:c>
      <x:c r="G10" s="13" t="s">
        <x:v>3614</x:v>
      </x:c>
      <x:c r="H10" s="12" t="s">
        <x:v>125</x:v>
      </x:c>
      <x:c r="I10" s="12" t="s">
        <x:v>140</x:v>
      </x:c>
      <x:c r="J10" s="14" t="n">
        <x:v>46232</x:v>
      </x:c>
      <x:c r="K10" s="13" t="s">
        <x:v>3499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3615</x:v>
      </x:c>
      <x:c r="B11" s="12" t="s">
        <x:v>1423</x:v>
      </x:c>
      <x:c r="C11" s="12" t="s">
        <x:v>1265</x:v>
      </x:c>
      <x:c r="D11" s="13" t="s">
        <x:v>3616</x:v>
      </x:c>
      <x:c r="E11" s="12" t="s">
        <x:v>160</x:v>
      </x:c>
      <x:c r="F11" s="12" t="s">
        <x:v>180</x:v>
      </x:c>
      <x:c r="G11" s="13" t="s">
        <x:v>3614</x:v>
      </x:c>
      <x:c r="H11" s="12" t="s">
        <x:v>125</x:v>
      </x:c>
      <x:c r="I11" s="12" t="s">
        <x:v>140</x:v>
      </x:c>
      <x:c r="J11" s="14" t="n">
        <x:v>46232</x:v>
      </x:c>
      <x:c r="K11" s="13" t="s">
        <x:v>3617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3618</x:v>
      </x:c>
      <x:c r="B12" s="12" t="s">
        <x:v>168</x:v>
      </x:c>
      <x:c r="C12" s="12" t="s">
        <x:v>2481</x:v>
      </x:c>
      <x:c r="D12" s="13" t="s">
        <x:v>3619</x:v>
      </x:c>
      <x:c r="E12" s="12" t="s">
        <x:v>160</x:v>
      </x:c>
      <x:c r="F12" s="12" t="s">
        <x:v>170</x:v>
      </x:c>
      <x:c r="G12" s="13" t="s">
        <x:v>3620</x:v>
      </x:c>
      <x:c r="H12" s="12" t="s">
        <x:v>125</x:v>
      </x:c>
      <x:c r="I12" s="12" t="s">
        <x:v>140</x:v>
      </x:c>
      <x:c r="J12" s="14" t="n">
        <x:v>46232</x:v>
      </x:c>
      <x:c r="K12" s="13" t="s">
        <x:v>3621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3622</x:v>
      </x:c>
      <x:c r="B13" s="12" t="s">
        <x:v>164</x:v>
      </x:c>
      <x:c r="C13" s="12" t="s">
        <x:v>1265</x:v>
      </x:c>
      <x:c r="D13" s="13" t="s">
        <x:v>3623</x:v>
      </x:c>
      <x:c r="E13" s="12" t="s">
        <x:v>160</x:v>
      </x:c>
      <x:c r="F13" s="12" t="s">
        <x:v>160</x:v>
      </x:c>
      <x:c r="G13" s="13" t="s">
        <x:v>2962</x:v>
      </x:c>
      <x:c r="H13" s="12" t="s">
        <x:v>125</x:v>
      </x:c>
      <x:c r="I13" s="12" t="s">
        <x:v>140</x:v>
      </x:c>
      <x:c r="J13" s="14" t="n">
        <x:v>46232</x:v>
      </x:c>
      <x:c r="K13" s="13" t="s">
        <x:v>3624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3625</x:v>
      </x:c>
      <x:c r="B14" s="12" t="s">
        <x:v>1391</x:v>
      </x:c>
      <x:c r="C14" s="12" t="s">
        <x:v>3626</x:v>
      </x:c>
      <x:c r="D14" s="13" t="s">
        <x:v>3627</x:v>
      </x:c>
      <x:c r="E14" s="12" t="s">
        <x:v>160</x:v>
      </x:c>
      <x:c r="F14" s="12" t="s">
        <x:v>160</x:v>
      </x:c>
      <x:c r="G14" s="13" t="s">
        <x:v>1393</x:v>
      </x:c>
      <x:c r="H14" s="12" t="s">
        <x:v>125</x:v>
      </x:c>
      <x:c r="I14" s="12" t="s">
        <x:v>140</x:v>
      </x:c>
      <x:c r="J14" s="14" t="n">
        <x:v>46232</x:v>
      </x:c>
      <x:c r="K14" s="13" t="s">
        <x:v>3628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3629</x:v>
      </x:c>
      <x:c r="B15" s="12" t="s">
        <x:v>173</x:v>
      </x:c>
      <x:c r="C15" s="12" t="s">
        <x:v>1265</x:v>
      </x:c>
      <x:c r="D15" s="13" t="s">
        <x:v>3630</x:v>
      </x:c>
      <x:c r="E15" s="12" t="s">
        <x:v>160</x:v>
      </x:c>
      <x:c r="F15" s="12" t="s">
        <x:v>175</x:v>
      </x:c>
      <x:c r="G15" s="13" t="s">
        <x:v>3631</x:v>
      </x:c>
      <x:c r="H15" s="12" t="s">
        <x:v>125</x:v>
      </x:c>
      <x:c r="I15" s="12" t="s">
        <x:v>140</x:v>
      </x:c>
      <x:c r="J15" s="14" t="n">
        <x:v>46232</x:v>
      </x:c>
      <x:c r="K15" s="13" t="s">
        <x:v>3632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3633</x:v>
      </x:c>
      <x:c r="B16" s="12" t="s">
        <x:v>3634</x:v>
      </x:c>
      <x:c r="C16" s="12" t="s">
        <x:v>3635</x:v>
      </x:c>
      <x:c r="D16" s="13" t="s">
        <x:v>3636</x:v>
      </x:c>
      <x:c r="E16" s="12" t="s">
        <x:v>185</x:v>
      </x:c>
      <x:c r="F16" s="12" t="s">
        <x:v>185</x:v>
      </x:c>
      <x:c r="G16" s="13" t="s">
        <x:v>3637</x:v>
      </x:c>
      <x:c r="H16" s="12" t="s">
        <x:v>125</x:v>
      </x:c>
      <x:c r="I16" s="12" t="s">
        <x:v>140</x:v>
      </x:c>
      <x:c r="J16" s="14" t="n">
        <x:v>46232</x:v>
      </x:c>
      <x:c r="K16" s="13" t="s">
        <x:v>3638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3639</x:v>
      </x:c>
      <x:c r="B17" s="12" t="s">
        <x:v>3640</x:v>
      </x:c>
      <x:c r="C17" s="12" t="s">
        <x:v>3641</x:v>
      </x:c>
      <x:c r="D17" s="13" t="s">
        <x:v>3642</x:v>
      </x:c>
      <x:c r="E17" s="12" t="s">
        <x:v>185</x:v>
      </x:c>
      <x:c r="F17" s="12" t="s">
        <x:v>185</x:v>
      </x:c>
      <x:c r="G17" s="13" t="s">
        <x:v>3643</x:v>
      </x:c>
      <x:c r="H17" s="12" t="s">
        <x:v>125</x:v>
      </x:c>
      <x:c r="I17" s="12" t="s">
        <x:v>140</x:v>
      </x:c>
      <x:c r="J17" s="14" t="n">
        <x:v>46232</x:v>
      </x:c>
      <x:c r="K17" s="13" t="s">
        <x:v>3644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3645</x:v>
      </x:c>
      <x:c r="B18" s="12" t="s">
        <x:v>3646</x:v>
      </x:c>
      <x:c r="C18" s="12" t="s">
        <x:v>3647</x:v>
      </x:c>
      <x:c r="D18" s="13" t="s">
        <x:v>3648</x:v>
      </x:c>
      <x:c r="E18" s="12" t="s">
        <x:v>185</x:v>
      </x:c>
      <x:c r="F18" s="12" t="s">
        <x:v>185</x:v>
      </x:c>
      <x:c r="G18" s="13" t="s">
        <x:v>3637</x:v>
      </x:c>
      <x:c r="H18" s="12" t="s">
        <x:v>125</x:v>
      </x:c>
      <x:c r="I18" s="12" t="s">
        <x:v>140</x:v>
      </x:c>
      <x:c r="J18" s="14" t="n">
        <x:v>46232</x:v>
      </x:c>
      <x:c r="K18" s="13" t="s">
        <x:v>3649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3650</x:v>
      </x:c>
      <x:c r="B19" s="12" t="s">
        <x:v>3651</x:v>
      </x:c>
      <x:c r="C19" s="12" t="s">
        <x:v>3652</x:v>
      </x:c>
      <x:c r="D19" s="13" t="s">
        <x:v>3653</x:v>
      </x:c>
      <x:c r="E19" s="12" t="s">
        <x:v>185</x:v>
      </x:c>
      <x:c r="F19" s="12" t="s">
        <x:v>185</x:v>
      </x:c>
      <x:c r="G19" s="13" t="s">
        <x:v>3654</x:v>
      </x:c>
      <x:c r="H19" s="12" t="s">
        <x:v>125</x:v>
      </x:c>
      <x:c r="I19" s="12" t="s">
        <x:v>140</x:v>
      </x:c>
      <x:c r="J19" s="14" t="n">
        <x:v>46232</x:v>
      </x:c>
      <x:c r="K19" s="13" t="s">
        <x:v>3655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3656</x:v>
      </x:c>
      <x:c r="B20" s="12" t="s">
        <x:v>1662</x:v>
      </x:c>
      <x:c r="C20" s="12" t="s">
        <x:v>3657</x:v>
      </x:c>
      <x:c r="D20" s="13" t="s">
        <x:v>3658</x:v>
      </x:c>
      <x:c r="E20" s="12" t="s">
        <x:v>160</x:v>
      </x:c>
      <x:c r="F20" s="12" t="s">
        <x:v>180</x:v>
      </x:c>
      <x:c r="G20" s="13" t="s">
        <x:v>3659</x:v>
      </x:c>
      <x:c r="H20" s="12" t="s">
        <x:v>125</x:v>
      </x:c>
      <x:c r="I20" s="12" t="s">
        <x:v>140</x:v>
      </x:c>
      <x:c r="J20" s="14" t="n">
        <x:v>46232</x:v>
      </x:c>
      <x:c r="K20" s="13" t="s">
        <x:v>3660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3661</x:v>
      </x:c>
      <x:c r="B21" s="12" t="s">
        <x:v>1766</x:v>
      </x:c>
      <x:c r="C21" s="12" t="s">
        <x:v>3647</x:v>
      </x:c>
      <x:c r="D21" s="13" t="s">
        <x:v>3662</x:v>
      </x:c>
      <x:c r="E21" s="12" t="s">
        <x:v>185</x:v>
      </x:c>
      <x:c r="F21" s="12" t="s">
        <x:v>195</x:v>
      </x:c>
      <x:c r="G21" s="13" t="s">
        <x:v>3663</x:v>
      </x:c>
      <x:c r="H21" s="12" t="s">
        <x:v>125</x:v>
      </x:c>
      <x:c r="I21" s="12" t="s">
        <x:v>140</x:v>
      </x:c>
      <x:c r="J21" s="14" t="n">
        <x:v>46232</x:v>
      </x:c>
      <x:c r="K21" s="13" t="s">
        <x:v>3664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3665</x:v>
      </x:c>
      <x:c r="B22" s="12" t="s">
        <x:v>3666</x:v>
      </x:c>
      <x:c r="C22" s="12" t="s">
        <x:v>3667</x:v>
      </x:c>
      <x:c r="D22" s="13" t="s">
        <x:v>3668</x:v>
      </x:c>
      <x:c r="E22" s="12" t="s">
        <x:v>185</x:v>
      </x:c>
      <x:c r="F22" s="12" t="s">
        <x:v>185</x:v>
      </x:c>
      <x:c r="G22" s="13" t="s">
        <x:v>3669</x:v>
      </x:c>
      <x:c r="H22" s="12" t="s">
        <x:v>125</x:v>
      </x:c>
      <x:c r="I22" s="12" t="s">
        <x:v>140</x:v>
      </x:c>
      <x:c r="J22" s="14" t="n">
        <x:v>46232</x:v>
      </x:c>
      <x:c r="K22" s="13" t="s">
        <x:v>3670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3671</x:v>
      </x:c>
      <x:c r="B23" s="12" t="s">
        <x:v>3672</x:v>
      </x:c>
      <x:c r="C23" s="12" t="s">
        <x:v>3673</x:v>
      </x:c>
      <x:c r="D23" s="13" t="s">
        <x:v>3674</x:v>
      </x:c>
      <x:c r="E23" s="12" t="s">
        <x:v>185</x:v>
      </x:c>
      <x:c r="F23" s="12" t="s">
        <x:v>195</x:v>
      </x:c>
      <x:c r="G23" s="13" t="s">
        <x:v>3663</x:v>
      </x:c>
      <x:c r="H23" s="12" t="s">
        <x:v>125</x:v>
      </x:c>
      <x:c r="I23" s="12" t="s">
        <x:v>140</x:v>
      </x:c>
      <x:c r="J23" s="14" t="n">
        <x:v>46232</x:v>
      </x:c>
      <x:c r="K23" s="13" t="s">
        <x:v>3675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3676</x:v>
      </x:c>
      <x:c r="B24" s="12" t="s">
        <x:v>199</x:v>
      </x:c>
      <x:c r="C24" s="12" t="s">
        <x:v>3140</x:v>
      </x:c>
      <x:c r="D24" s="13" t="s">
        <x:v>3677</x:v>
      </x:c>
      <x:c r="E24" s="12" t="s">
        <x:v>185</x:v>
      </x:c>
      <x:c r="F24" s="12" t="s">
        <x:v>185</x:v>
      </x:c>
      <x:c r="G24" s="13" t="s">
        <x:v>3637</x:v>
      </x:c>
      <x:c r="H24" s="12" t="s">
        <x:v>125</x:v>
      </x:c>
      <x:c r="I24" s="12" t="s">
        <x:v>140</x:v>
      </x:c>
      <x:c r="J24" s="14" t="n">
        <x:v>46232</x:v>
      </x:c>
      <x:c r="K24" s="13" t="s">
        <x:v>3678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3679</x:v>
      </x:c>
      <x:c r="B25" s="12" t="s">
        <x:v>2604</x:v>
      </x:c>
      <x:c r="C25" s="12" t="s">
        <x:v>1265</x:v>
      </x:c>
      <x:c r="D25" s="13" t="s">
        <x:v>3680</x:v>
      </x:c>
      <x:c r="E25" s="12" t="s">
        <x:v>185</x:v>
      </x:c>
      <x:c r="F25" s="12" t="s">
        <x:v>185</x:v>
      </x:c>
      <x:c r="G25" s="13" t="s">
        <x:v>3637</x:v>
      </x:c>
      <x:c r="H25" s="12" t="s">
        <x:v>125</x:v>
      </x:c>
      <x:c r="I25" s="12" t="s">
        <x:v>140</x:v>
      </x:c>
      <x:c r="J25" s="14" t="n">
        <x:v>46232</x:v>
      </x:c>
      <x:c r="K25" s="13" t="s">
        <x:v>3681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3682</x:v>
      </x:c>
      <x:c r="B26" s="12" t="s">
        <x:v>3005</x:v>
      </x:c>
      <x:c r="C26" s="12" t="s">
        <x:v>1265</x:v>
      </x:c>
      <x:c r="D26" s="13" t="s">
        <x:v>3683</x:v>
      </x:c>
      <x:c r="E26" s="12" t="s">
        <x:v>185</x:v>
      </x:c>
      <x:c r="F26" s="12" t="s">
        <x:v>195</x:v>
      </x:c>
      <x:c r="G26" s="13" t="s">
        <x:v>3663</x:v>
      </x:c>
      <x:c r="H26" s="12" t="s">
        <x:v>125</x:v>
      </x:c>
      <x:c r="I26" s="12" t="s">
        <x:v>140</x:v>
      </x:c>
      <x:c r="J26" s="14" t="n">
        <x:v>46232</x:v>
      </x:c>
      <x:c r="K26" s="13" t="s">
        <x:v>3684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3685</x:v>
      </x:c>
      <x:c r="B27" s="12" t="s">
        <x:v>1604</x:v>
      </x:c>
      <x:c r="C27" s="12" t="s">
        <x:v>1265</x:v>
      </x:c>
      <x:c r="D27" s="13" t="s">
        <x:v>3686</x:v>
      </x:c>
      <x:c r="E27" s="12" t="s">
        <x:v>160</x:v>
      </x:c>
      <x:c r="F27" s="12" t="s">
        <x:v>180</x:v>
      </x:c>
      <x:c r="G27" s="13" t="s">
        <x:v>3687</x:v>
      </x:c>
      <x:c r="H27" s="12" t="s">
        <x:v>125</x:v>
      </x:c>
      <x:c r="I27" s="12" t="s">
        <x:v>140</x:v>
      </x:c>
      <x:c r="J27" s="14" t="n">
        <x:v>46232</x:v>
      </x:c>
      <x:c r="K27" s="13" t="s">
        <x:v>3688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3689</x:v>
      </x:c>
      <x:c r="B28" s="12" t="s">
        <x:v>188</x:v>
      </x:c>
      <x:c r="C28" s="12" t="s">
        <x:v>3690</x:v>
      </x:c>
      <x:c r="D28" s="13" t="s">
        <x:v>3691</x:v>
      </x:c>
      <x:c r="E28" s="12" t="s">
        <x:v>185</x:v>
      </x:c>
      <x:c r="F28" s="12" t="s">
        <x:v>190</x:v>
      </x:c>
      <x:c r="G28" s="13" t="s">
        <x:v>3643</x:v>
      </x:c>
      <x:c r="H28" s="12" t="s">
        <x:v>125</x:v>
      </x:c>
      <x:c r="I28" s="12" t="s">
        <x:v>140</x:v>
      </x:c>
      <x:c r="J28" s="14" t="n">
        <x:v>46232</x:v>
      </x:c>
      <x:c r="K28" s="13" t="s">
        <x:v>3692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3693</x:v>
      </x:c>
      <x:c r="B29" s="12" t="s">
        <x:v>646</x:v>
      </x:c>
      <x:c r="C29" s="12" t="s">
        <x:v>1265</x:v>
      </x:c>
      <x:c r="D29" s="13" t="s">
        <x:v>3694</x:v>
      </x:c>
      <x:c r="E29" s="12" t="s">
        <x:v>160</x:v>
      </x:c>
      <x:c r="F29" s="12" t="s">
        <x:v>648</x:v>
      </x:c>
      <x:c r="G29" s="13" t="s">
        <x:v>3695</x:v>
      </x:c>
      <x:c r="H29" s="12" t="s">
        <x:v>125</x:v>
      </x:c>
      <x:c r="I29" s="12" t="s">
        <x:v>140</x:v>
      </x:c>
      <x:c r="J29" s="14" t="n">
        <x:v>46232</x:v>
      </x:c>
      <x:c r="K29" s="13" t="s">
        <x:v>3696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3697</x:v>
      </x:c>
      <x:c r="B30" s="12" t="s">
        <x:v>3020</x:v>
      </x:c>
      <x:c r="C30" s="12" t="s">
        <x:v>1265</x:v>
      </x:c>
      <x:c r="D30" s="13" t="s">
        <x:v>3698</x:v>
      </x:c>
      <x:c r="E30" s="12" t="s">
        <x:v>185</x:v>
      </x:c>
      <x:c r="F30" s="12" t="s">
        <x:v>195</x:v>
      </x:c>
      <x:c r="G30" s="13" t="s">
        <x:v>3699</x:v>
      </x:c>
      <x:c r="H30" s="12" t="s">
        <x:v>125</x:v>
      </x:c>
      <x:c r="I30" s="12" t="s">
        <x:v>140</x:v>
      </x:c>
      <x:c r="J30" s="14" t="n">
        <x:v>46232</x:v>
      </x:c>
      <x:c r="K30" s="13" t="s">
        <x:v>3700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3701</x:v>
      </x:c>
      <x:c r="B31" s="12" t="s">
        <x:v>2459</x:v>
      </x:c>
      <x:c r="C31" s="12" t="s">
        <x:v>2683</x:v>
      </x:c>
      <x:c r="D31" s="13" t="s">
        <x:v>3702</x:v>
      </x:c>
      <x:c r="E31" s="12" t="s">
        <x:v>160</x:v>
      </x:c>
      <x:c r="F31" s="12" t="s">
        <x:v>2685</x:v>
      </x:c>
      <x:c r="G31" s="13" t="s">
        <x:v>3703</x:v>
      </x:c>
      <x:c r="H31" s="12" t="s">
        <x:v>125</x:v>
      </x:c>
      <x:c r="I31" s="12" t="s">
        <x:v>140</x:v>
      </x:c>
      <x:c r="J31" s="14" t="n">
        <x:v>46232</x:v>
      </x:c>
      <x:c r="K31" s="13" t="s">
        <x:v>3704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3705</x:v>
      </x:c>
      <x:c r="B32" s="12" t="s">
        <x:v>220</x:v>
      </x:c>
      <x:c r="C32" s="12" t="s">
        <x:v>2688</x:v>
      </x:c>
      <x:c r="D32" s="13" t="s">
        <x:v>3706</x:v>
      </x:c>
      <x:c r="E32" s="12" t="s">
        <x:v>160</x:v>
      </x:c>
      <x:c r="F32" s="12" t="s">
        <x:v>2685</x:v>
      </x:c>
      <x:c r="G32" s="13" t="s">
        <x:v>3707</x:v>
      </x:c>
      <x:c r="H32" s="12" t="s">
        <x:v>125</x:v>
      </x:c>
      <x:c r="I32" s="12" t="s">
        <x:v>140</x:v>
      </x:c>
      <x:c r="J32" s="14" t="n">
        <x:v>46232</x:v>
      </x:c>
      <x:c r="K32" s="13" t="s">
        <x:v>3708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3709</x:v>
      </x:c>
      <x:c r="B33" s="12" t="s">
        <x:v>224</x:v>
      </x:c>
      <x:c r="C33" s="12" t="s">
        <x:v>3710</x:v>
      </x:c>
      <x:c r="D33" s="13" t="s">
        <x:v>3711</x:v>
      </x:c>
      <x:c r="E33" s="12" t="s">
        <x:v>226</x:v>
      </x:c>
      <x:c r="F33" s="12" t="s">
        <x:v>226</x:v>
      </x:c>
      <x:c r="G33" s="13" t="s">
        <x:v>227</x:v>
      </x:c>
      <x:c r="H33" s="12" t="s">
        <x:v>125</x:v>
      </x:c>
      <x:c r="I33" s="12" t="s">
        <x:v>140</x:v>
      </x:c>
      <x:c r="J33" s="14" t="n">
        <x:v>46232</x:v>
      </x:c>
      <x:c r="K33" s="13" t="s">
        <x:v>3712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3713</x:v>
      </x:c>
      <x:c r="B34" s="12" t="s">
        <x:v>212</x:v>
      </x:c>
      <x:c r="C34" s="12" t="s">
        <x:v>1265</x:v>
      </x:c>
      <x:c r="D34" s="13" t="s">
        <x:v>3714</x:v>
      </x:c>
      <x:c r="E34" s="12" t="s">
        <x:v>3034</x:v>
      </x:c>
      <x:c r="F34" s="12" t="s">
        <x:v>201</x:v>
      </x:c>
      <x:c r="G34" s="13" t="s">
        <x:v>3715</x:v>
      </x:c>
      <x:c r="H34" s="12" t="s">
        <x:v>119</x:v>
      </x:c>
      <x:c r="I34" s="12" t="s">
        <x:v>139</x:v>
      </x:c>
      <x:c r="J34" s="14" t="n">
        <x:v>46232</x:v>
      </x:c>
      <x:c r="K34" s="13" t="s">
        <x:v>3716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0</x:v>
      </x:c>
    </x:row>
    <x:row r="35" s="4" customFormat="1" ht="54" hidden="0" customHeight="1">
      <x:c r="A35" s="12" t="s">
        <x:v>3717</x:v>
      </x:c>
      <x:c r="B35" s="12" t="s">
        <x:v>229</x:v>
      </x:c>
      <x:c r="C35" s="12" t="s">
        <x:v>2701</x:v>
      </x:c>
      <x:c r="D35" s="13" t="s">
        <x:v>3718</x:v>
      </x:c>
      <x:c r="E35" s="12" t="s">
        <x:v>160</x:v>
      </x:c>
      <x:c r="F35" s="12" t="s">
        <x:v>160</x:v>
      </x:c>
      <x:c r="G35" s="13" t="s">
        <x:v>231</x:v>
      </x:c>
      <x:c r="H35" s="12" t="s">
        <x:v>125</x:v>
      </x:c>
      <x:c r="I35" s="12" t="s">
        <x:v>140</x:v>
      </x:c>
      <x:c r="J35" s="14" t="n">
        <x:v>46232</x:v>
      </x:c>
      <x:c r="K35" s="13" t="s">
        <x:v>3719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3720</x:v>
      </x:c>
      <x:c r="B36" s="12" t="s">
        <x:v>2779</x:v>
      </x:c>
      <x:c r="C36" s="12" t="s">
        <x:v>1265</x:v>
      </x:c>
      <x:c r="D36" s="13" t="s">
        <x:v>3721</x:v>
      </x:c>
      <x:c r="E36" s="12" t="s">
        <x:v>160</x:v>
      </x:c>
      <x:c r="F36" s="12" t="s">
        <x:v>2685</x:v>
      </x:c>
      <x:c r="G36" s="13" t="s">
        <x:v>3703</x:v>
      </x:c>
      <x:c r="H36" s="12" t="s">
        <x:v>125</x:v>
      </x:c>
      <x:c r="I36" s="12" t="s">
        <x:v>140</x:v>
      </x:c>
      <x:c r="J36" s="14" t="n">
        <x:v>46232</x:v>
      </x:c>
      <x:c r="K36" s="13" t="s">
        <x:v>3044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6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6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d76cedd08ab4532"/>
  </x:tableParts>
</x:worksheet>
</file>

<file path=xl/worksheets/sheet7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3722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3723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143</x:v>
      </x:c>
      <x:c r="E4" s="7" t="n">
        <x:f aca="0">SUM(M9:M28)</x:f>
        <x:v>19</x:v>
      </x:c>
      <x:c r="G4" s="6" t="s">
        <x:v>13</x:v>
      </x:c>
      <x:c r="H4" s="8" t="n">
        <x:f aca="0">IF(B4=0,0,E4/B4)</x:f>
        <x:v>0.95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3492</x:v>
      </x:c>
      <x:c r="B9" s="12" t="s">
        <x:v>117</x:v>
      </x:c>
      <x:c r="C9" s="12" t="s">
        <x:v>3724</x:v>
      </x:c>
      <x:c r="D9" s="13" t="s">
        <x:v>3725</x:v>
      </x:c>
      <x:c r="E9" s="12" t="s">
        <x:v>160</x:v>
      </x:c>
      <x:c r="F9" s="12" t="s">
        <x:v>161</x:v>
      </x:c>
      <x:c r="G9" s="13" t="s">
        <x:v>3726</x:v>
      </x:c>
      <x:c r="H9" s="12" t="s">
        <x:v>125</x:v>
      </x:c>
      <x:c r="I9" s="12" t="s">
        <x:v>140</x:v>
      </x:c>
      <x:c r="J9" s="14" t="n">
        <x:v>46232</x:v>
      </x:c>
      <x:c r="K9" s="13" t="s">
        <x:v>3727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3496</x:v>
      </x:c>
      <x:c r="B10" s="12" t="s">
        <x:v>1423</x:v>
      </x:c>
      <x:c r="C10" s="12" t="s">
        <x:v>3724</x:v>
      </x:c>
      <x:c r="D10" s="13" t="s">
        <x:v>3728</x:v>
      </x:c>
      <x:c r="E10" s="12" t="s">
        <x:v>160</x:v>
      </x:c>
      <x:c r="F10" s="12" t="s">
        <x:v>180</x:v>
      </x:c>
      <x:c r="G10" s="13" t="s">
        <x:v>3729</x:v>
      </x:c>
      <x:c r="H10" s="12" t="s">
        <x:v>125</x:v>
      </x:c>
      <x:c r="I10" s="12" t="s">
        <x:v>140</x:v>
      </x:c>
      <x:c r="J10" s="14" t="n">
        <x:v>46232</x:v>
      </x:c>
      <x:c r="K10" s="13" t="s">
        <x:v>3730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3500</x:v>
      </x:c>
      <x:c r="B11" s="12" t="s">
        <x:v>164</x:v>
      </x:c>
      <x:c r="C11" s="12" t="s">
        <x:v>3731</x:v>
      </x:c>
      <x:c r="D11" s="13" t="s">
        <x:v>3732</x:v>
      </x:c>
      <x:c r="E11" s="12" t="s">
        <x:v>160</x:v>
      </x:c>
      <x:c r="F11" s="12" t="s">
        <x:v>160</x:v>
      </x:c>
      <x:c r="G11" s="13" t="s">
        <x:v>2962</x:v>
      </x:c>
      <x:c r="H11" s="12" t="s">
        <x:v>125</x:v>
      </x:c>
      <x:c r="I11" s="12" t="s">
        <x:v>140</x:v>
      </x:c>
      <x:c r="J11" s="14" t="n">
        <x:v>46232</x:v>
      </x:c>
      <x:c r="K11" s="13" t="s">
        <x:v>3733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3504</x:v>
      </x:c>
      <x:c r="B12" s="12" t="s">
        <x:v>168</x:v>
      </x:c>
      <x:c r="C12" s="12" t="s">
        <x:v>3724</x:v>
      </x:c>
      <x:c r="D12" s="13" t="s">
        <x:v>3734</x:v>
      </x:c>
      <x:c r="E12" s="12" t="s">
        <x:v>160</x:v>
      </x:c>
      <x:c r="F12" s="12" t="s">
        <x:v>170</x:v>
      </x:c>
      <x:c r="G12" s="13" t="s">
        <x:v>3735</x:v>
      </x:c>
      <x:c r="H12" s="12" t="s">
        <x:v>125</x:v>
      </x:c>
      <x:c r="I12" s="12" t="s">
        <x:v>140</x:v>
      </x:c>
      <x:c r="J12" s="14" t="n">
        <x:v>46232</x:v>
      </x:c>
      <x:c r="K12" s="13" t="s">
        <x:v>3736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3508</x:v>
      </x:c>
      <x:c r="B13" s="12" t="s">
        <x:v>1391</x:v>
      </x:c>
      <x:c r="C13" s="12" t="s">
        <x:v>3724</x:v>
      </x:c>
      <x:c r="D13" s="13" t="s">
        <x:v>3737</x:v>
      </x:c>
      <x:c r="E13" s="12" t="s">
        <x:v>160</x:v>
      </x:c>
      <x:c r="F13" s="12" t="s">
        <x:v>160</x:v>
      </x:c>
      <x:c r="G13" s="13" t="s">
        <x:v>606</x:v>
      </x:c>
      <x:c r="H13" s="12" t="s">
        <x:v>125</x:v>
      </x:c>
      <x:c r="I13" s="12" t="s">
        <x:v>140</x:v>
      </x:c>
      <x:c r="J13" s="14" t="n">
        <x:v>46232</x:v>
      </x:c>
      <x:c r="K13" s="13" t="s">
        <x:v>3738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3512</x:v>
      </x:c>
      <x:c r="B14" s="12" t="s">
        <x:v>173</x:v>
      </x:c>
      <x:c r="C14" s="12" t="s">
        <x:v>827</x:v>
      </x:c>
      <x:c r="D14" s="13" t="s">
        <x:v>3739</x:v>
      </x:c>
      <x:c r="E14" s="12" t="s">
        <x:v>160</x:v>
      </x:c>
      <x:c r="F14" s="12" t="s">
        <x:v>175</x:v>
      </x:c>
      <x:c r="G14" s="13" t="s">
        <x:v>3740</x:v>
      </x:c>
      <x:c r="H14" s="12" t="s">
        <x:v>125</x:v>
      </x:c>
      <x:c r="I14" s="12" t="s">
        <x:v>140</x:v>
      </x:c>
      <x:c r="J14" s="14" t="n">
        <x:v>46232</x:v>
      </x:c>
      <x:c r="K14" s="13" t="s">
        <x:v>3741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3517</x:v>
      </x:c>
      <x:c r="B15" s="12" t="s">
        <x:v>3742</x:v>
      </x:c>
      <x:c r="C15" s="12" t="s">
        <x:v>827</x:v>
      </x:c>
      <x:c r="D15" s="13" t="s">
        <x:v>3743</x:v>
      </x:c>
      <x:c r="E15" s="12" t="s">
        <x:v>185</x:v>
      </x:c>
      <x:c r="F15" s="12" t="s">
        <x:v>185</x:v>
      </x:c>
      <x:c r="G15" s="13" t="s">
        <x:v>3744</x:v>
      </x:c>
      <x:c r="H15" s="12" t="s">
        <x:v>125</x:v>
      </x:c>
      <x:c r="I15" s="12" t="s">
        <x:v>140</x:v>
      </x:c>
      <x:c r="J15" s="14" t="n">
        <x:v>46232</x:v>
      </x:c>
      <x:c r="K15" s="13" t="s">
        <x:v>3745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3521</x:v>
      </x:c>
      <x:c r="B16" s="12" t="s">
        <x:v>1856</x:v>
      </x:c>
      <x:c r="C16" s="12" t="s">
        <x:v>3724</x:v>
      </x:c>
      <x:c r="D16" s="13" t="s">
        <x:v>3746</x:v>
      </x:c>
      <x:c r="E16" s="12" t="s">
        <x:v>185</x:v>
      </x:c>
      <x:c r="F16" s="12" t="s">
        <x:v>185</x:v>
      </x:c>
      <x:c r="G16" s="13" t="s">
        <x:v>3747</x:v>
      </x:c>
      <x:c r="H16" s="12" t="s">
        <x:v>125</x:v>
      </x:c>
      <x:c r="I16" s="12" t="s">
        <x:v>140</x:v>
      </x:c>
      <x:c r="J16" s="14" t="n">
        <x:v>46232</x:v>
      </x:c>
      <x:c r="K16" s="13" t="s">
        <x:v>3748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3525</x:v>
      </x:c>
      <x:c r="B17" s="12" t="s">
        <x:v>3749</x:v>
      </x:c>
      <x:c r="C17" s="12" t="s">
        <x:v>3724</x:v>
      </x:c>
      <x:c r="D17" s="13" t="s">
        <x:v>3750</x:v>
      </x:c>
      <x:c r="E17" s="12" t="s">
        <x:v>185</x:v>
      </x:c>
      <x:c r="F17" s="12" t="s">
        <x:v>185</x:v>
      </x:c>
      <x:c r="G17" s="13" t="s">
        <x:v>3744</x:v>
      </x:c>
      <x:c r="H17" s="12" t="s">
        <x:v>125</x:v>
      </x:c>
      <x:c r="I17" s="12" t="s">
        <x:v>140</x:v>
      </x:c>
      <x:c r="J17" s="14" t="n">
        <x:v>46232</x:v>
      </x:c>
      <x:c r="K17" s="13" t="s">
        <x:v>3751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3528</x:v>
      </x:c>
      <x:c r="B18" s="12" t="s">
        <x:v>208</x:v>
      </x:c>
      <x:c r="C18" s="12" t="s">
        <x:v>3724</x:v>
      </x:c>
      <x:c r="D18" s="13" t="s">
        <x:v>3752</x:v>
      </x:c>
      <x:c r="E18" s="12" t="s">
        <x:v>185</x:v>
      </x:c>
      <x:c r="F18" s="12" t="s">
        <x:v>185</x:v>
      </x:c>
      <x:c r="G18" s="13" t="s">
        <x:v>3753</x:v>
      </x:c>
      <x:c r="H18" s="12" t="s">
        <x:v>125</x:v>
      </x:c>
      <x:c r="I18" s="12" t="s">
        <x:v>140</x:v>
      </x:c>
      <x:c r="J18" s="14" t="n">
        <x:v>46232</x:v>
      </x:c>
      <x:c r="K18" s="13" t="s">
        <x:v>2991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3532</x:v>
      </x:c>
      <x:c r="B19" s="12" t="s">
        <x:v>3754</x:v>
      </x:c>
      <x:c r="C19" s="12" t="s">
        <x:v>827</x:v>
      </x:c>
      <x:c r="D19" s="13" t="s">
        <x:v>3755</x:v>
      </x:c>
      <x:c r="E19" s="12" t="s">
        <x:v>185</x:v>
      </x:c>
      <x:c r="F19" s="12" t="s">
        <x:v>185</x:v>
      </x:c>
      <x:c r="G19" s="13" t="s">
        <x:v>3756</x:v>
      </x:c>
      <x:c r="H19" s="12" t="s">
        <x:v>125</x:v>
      </x:c>
      <x:c r="I19" s="12" t="s">
        <x:v>140</x:v>
      </x:c>
      <x:c r="J19" s="14" t="n">
        <x:v>46232</x:v>
      </x:c>
      <x:c r="K19" s="13" t="s">
        <x:v>3757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3536</x:v>
      </x:c>
      <x:c r="B20" s="12" t="s">
        <x:v>3758</x:v>
      </x:c>
      <x:c r="C20" s="12" t="s">
        <x:v>827</x:v>
      </x:c>
      <x:c r="D20" s="13" t="s">
        <x:v>3759</x:v>
      </x:c>
      <x:c r="E20" s="12" t="s">
        <x:v>185</x:v>
      </x:c>
      <x:c r="F20" s="12" t="s">
        <x:v>185</x:v>
      </x:c>
      <x:c r="G20" s="13" t="s">
        <x:v>3756</x:v>
      </x:c>
      <x:c r="H20" s="12" t="s">
        <x:v>125</x:v>
      </x:c>
      <x:c r="I20" s="12" t="s">
        <x:v>140</x:v>
      </x:c>
      <x:c r="J20" s="14" t="n">
        <x:v>46232</x:v>
      </x:c>
      <x:c r="K20" s="13" t="s">
        <x:v>3760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3540</x:v>
      </x:c>
      <x:c r="B21" s="12" t="s">
        <x:v>188</x:v>
      </x:c>
      <x:c r="C21" s="12" t="s">
        <x:v>3724</x:v>
      </x:c>
      <x:c r="D21" s="13" t="s">
        <x:v>3761</x:v>
      </x:c>
      <x:c r="E21" s="12" t="s">
        <x:v>185</x:v>
      </x:c>
      <x:c r="F21" s="12" t="s">
        <x:v>190</x:v>
      </x:c>
      <x:c r="G21" s="13" t="s">
        <x:v>3744</x:v>
      </x:c>
      <x:c r="H21" s="12" t="s">
        <x:v>125</x:v>
      </x:c>
      <x:c r="I21" s="12" t="s">
        <x:v>140</x:v>
      </x:c>
      <x:c r="J21" s="14" t="n">
        <x:v>46232</x:v>
      </x:c>
      <x:c r="K21" s="13" t="s">
        <x:v>3762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3543</x:v>
      </x:c>
      <x:c r="B22" s="12" t="s">
        <x:v>193</x:v>
      </x:c>
      <x:c r="C22" s="12" t="s">
        <x:v>827</x:v>
      </x:c>
      <x:c r="D22" s="13" t="s">
        <x:v>3763</x:v>
      </x:c>
      <x:c r="E22" s="12" t="s">
        <x:v>185</x:v>
      </x:c>
      <x:c r="F22" s="12" t="s">
        <x:v>195</x:v>
      </x:c>
      <x:c r="G22" s="13" t="s">
        <x:v>3764</x:v>
      </x:c>
      <x:c r="H22" s="12" t="s">
        <x:v>127</x:v>
      </x:c>
      <x:c r="I22" s="12" t="s">
        <x:v>139</x:v>
      </x:c>
      <x:c r="J22" s="14" t="n">
        <x:v>46232</x:v>
      </x:c>
      <x:c r="K22" s="13" t="s">
        <x:v>3765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3547</x:v>
      </x:c>
      <x:c r="B23" s="12" t="s">
        <x:v>646</x:v>
      </x:c>
      <x:c r="C23" s="12" t="s">
        <x:v>3731</x:v>
      </x:c>
      <x:c r="D23" s="13" t="s">
        <x:v>3766</x:v>
      </x:c>
      <x:c r="E23" s="12" t="s">
        <x:v>160</x:v>
      </x:c>
      <x:c r="F23" s="12" t="s">
        <x:v>648</x:v>
      </x:c>
      <x:c r="G23" s="13" t="s">
        <x:v>3767</x:v>
      </x:c>
      <x:c r="H23" s="12" t="s">
        <x:v>125</x:v>
      </x:c>
      <x:c r="I23" s="12" t="s">
        <x:v>140</x:v>
      </x:c>
      <x:c r="J23" s="14" t="n">
        <x:v>46232</x:v>
      </x:c>
      <x:c r="K23" s="13" t="s">
        <x:v>3768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3551</x:v>
      </x:c>
      <x:c r="B24" s="12" t="s">
        <x:v>215</x:v>
      </x:c>
      <x:c r="C24" s="12" t="s">
        <x:v>3731</x:v>
      </x:c>
      <x:c r="D24" s="13" t="s">
        <x:v>3769</x:v>
      </x:c>
      <x:c r="E24" s="12" t="s">
        <x:v>160</x:v>
      </x:c>
      <x:c r="F24" s="12" t="s">
        <x:v>217</x:v>
      </x:c>
      <x:c r="G24" s="13" t="s">
        <x:v>3770</x:v>
      </x:c>
      <x:c r="H24" s="12" t="s">
        <x:v>125</x:v>
      </x:c>
      <x:c r="I24" s="12" t="s">
        <x:v>140</x:v>
      </x:c>
      <x:c r="J24" s="14" t="n">
        <x:v>46232</x:v>
      </x:c>
      <x:c r="K24" s="13" t="s">
        <x:v>3771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3772</x:v>
      </x:c>
      <x:c r="B25" s="12" t="s">
        <x:v>220</x:v>
      </x:c>
      <x:c r="C25" s="12" t="s">
        <x:v>3731</x:v>
      </x:c>
      <x:c r="D25" s="13" t="s">
        <x:v>3773</x:v>
      </x:c>
      <x:c r="E25" s="12" t="s">
        <x:v>160</x:v>
      </x:c>
      <x:c r="F25" s="12" t="s">
        <x:v>217</x:v>
      </x:c>
      <x:c r="G25" s="13" t="s">
        <x:v>3774</x:v>
      </x:c>
      <x:c r="H25" s="12" t="s">
        <x:v>125</x:v>
      </x:c>
      <x:c r="I25" s="12" t="s">
        <x:v>140</x:v>
      </x:c>
      <x:c r="J25" s="14" t="n">
        <x:v>46232</x:v>
      </x:c>
      <x:c r="K25" s="13" t="s">
        <x:v>3775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3776</x:v>
      </x:c>
      <x:c r="B26" s="12" t="s">
        <x:v>224</x:v>
      </x:c>
      <x:c r="C26" s="12" t="s">
        <x:v>3724</x:v>
      </x:c>
      <x:c r="D26" s="13" t="s">
        <x:v>3777</x:v>
      </x:c>
      <x:c r="E26" s="12" t="s">
        <x:v>226</x:v>
      </x:c>
      <x:c r="F26" s="12" t="s">
        <x:v>226</x:v>
      </x:c>
      <x:c r="G26" s="13" t="s">
        <x:v>227</x:v>
      </x:c>
      <x:c r="H26" s="12" t="s">
        <x:v>125</x:v>
      </x:c>
      <x:c r="I26" s="12" t="s">
        <x:v>140</x:v>
      </x:c>
      <x:c r="J26" s="14" t="n">
        <x:v>46232</x:v>
      </x:c>
      <x:c r="K26" s="13" t="s">
        <x:v>3778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3779</x:v>
      </x:c>
      <x:c r="B27" s="12" t="s">
        <x:v>212</x:v>
      </x:c>
      <x:c r="C27" s="12" t="s">
        <x:v>3731</x:v>
      </x:c>
      <x:c r="D27" s="13" t="s">
        <x:v>3780</x:v>
      </x:c>
      <x:c r="E27" s="12" t="s">
        <x:v>160</x:v>
      </x:c>
      <x:c r="F27" s="12" t="s">
        <x:v>201</x:v>
      </x:c>
      <x:c r="G27" s="13" t="s">
        <x:v>3781</x:v>
      </x:c>
      <x:c r="H27" s="12" t="s">
        <x:v>119</x:v>
      </x:c>
      <x:c r="I27" s="12" t="s">
        <x:v>139</x:v>
      </x:c>
      <x:c r="J27" s="14" t="n">
        <x:v>46232</x:v>
      </x:c>
      <x:c r="K27" s="13" t="s">
        <x:v>3782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3783</x:v>
      </x:c>
      <x:c r="B28" s="12" t="s">
        <x:v>229</x:v>
      </x:c>
      <x:c r="C28" s="12" t="s">
        <x:v>3731</x:v>
      </x:c>
      <x:c r="D28" s="13" t="s">
        <x:v>2326</x:v>
      </x:c>
      <x:c r="E28" s="12" t="s">
        <x:v>160</x:v>
      </x:c>
      <x:c r="F28" s="12" t="s">
        <x:v>160</x:v>
      </x:c>
      <x:c r="G28" s="13" t="s">
        <x:v>231</x:v>
      </x:c>
      <x:c r="H28" s="12" t="s">
        <x:v>125</x:v>
      </x:c>
      <x:c r="I28" s="12" t="s">
        <x:v>140</x:v>
      </x:c>
      <x:c r="J28" s="14" t="n">
        <x:v>46232</x:v>
      </x:c>
      <x:c r="K28" s="13" t="s">
        <x:v>3784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/>
    <x:row r="30" s="4" customFormat="1" ht="54" hidden="0" customHeight="1"/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3785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3786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143</x:v>
      </x:c>
      <x:c r="E4" s="7" t="n">
        <x:f aca="0">SUM(M9:M30)</x:f>
        <x:v>21</x:v>
      </x:c>
      <x:c r="G4" s="6" t="s">
        <x:v>13</x:v>
      </x:c>
      <x:c r="H4" s="8" t="n">
        <x:f aca="0">IF(B4=0,0,E4/B4)</x:f>
        <x:v>0.9545454545454546</x:v>
      </x:c>
      <x:c r="J4" s="6" t="s">
        <x:v>14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3787</x:v>
      </x:c>
      <x:c r="B9" s="12" t="s">
        <x:v>117</x:v>
      </x:c>
      <x:c r="C9" s="12" t="s">
        <x:v>85</x:v>
      </x:c>
      <x:c r="D9" s="13" t="s">
        <x:v>3788</x:v>
      </x:c>
      <x:c r="E9" s="12" t="s">
        <x:v>160</x:v>
      </x:c>
      <x:c r="F9" s="12" t="s">
        <x:v>161</x:v>
      </x:c>
      <x:c r="G9" s="13" t="s">
        <x:v>3789</x:v>
      </x:c>
      <x:c r="H9" s="12" t="s">
        <x:v>125</x:v>
      </x:c>
      <x:c r="I9" s="12" t="s">
        <x:v>140</x:v>
      </x:c>
      <x:c r="J9" s="14" t="n">
        <x:v>46232</x:v>
      </x:c>
      <x:c r="K9" s="13" t="s">
        <x:v>3790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3791</x:v>
      </x:c>
      <x:c r="B10" s="12" t="s">
        <x:v>1423</x:v>
      </x:c>
      <x:c r="C10" s="12" t="s">
        <x:v>827</x:v>
      </x:c>
      <x:c r="D10" s="13" t="s">
        <x:v>3792</x:v>
      </x:c>
      <x:c r="E10" s="12" t="s">
        <x:v>160</x:v>
      </x:c>
      <x:c r="F10" s="12" t="s">
        <x:v>180</x:v>
      </x:c>
      <x:c r="G10" s="13" t="s">
        <x:v>3793</x:v>
      </x:c>
      <x:c r="H10" s="12" t="s">
        <x:v>125</x:v>
      </x:c>
      <x:c r="I10" s="12" t="s">
        <x:v>140</x:v>
      </x:c>
      <x:c r="J10" s="14" t="n">
        <x:v>46232</x:v>
      </x:c>
      <x:c r="K10" s="13" t="s">
        <x:v>3794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3795</x:v>
      </x:c>
      <x:c r="B11" s="12" t="s">
        <x:v>164</x:v>
      </x:c>
      <x:c r="C11" s="12" t="s">
        <x:v>85</x:v>
      </x:c>
      <x:c r="D11" s="13" t="s">
        <x:v>3796</x:v>
      </x:c>
      <x:c r="E11" s="12" t="s">
        <x:v>160</x:v>
      </x:c>
      <x:c r="F11" s="12" t="s">
        <x:v>160</x:v>
      </x:c>
      <x:c r="G11" s="13" t="s">
        <x:v>2962</x:v>
      </x:c>
      <x:c r="H11" s="12" t="s">
        <x:v>125</x:v>
      </x:c>
      <x:c r="I11" s="12" t="s">
        <x:v>140</x:v>
      </x:c>
      <x:c r="J11" s="14" t="n">
        <x:v>46232</x:v>
      </x:c>
      <x:c r="K11" s="13" t="s">
        <x:v>3797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3798</x:v>
      </x:c>
      <x:c r="B12" s="12" t="s">
        <x:v>168</x:v>
      </x:c>
      <x:c r="C12" s="12" t="s">
        <x:v>2481</x:v>
      </x:c>
      <x:c r="D12" s="13" t="s">
        <x:v>3799</x:v>
      </x:c>
      <x:c r="E12" s="12" t="s">
        <x:v>160</x:v>
      </x:c>
      <x:c r="F12" s="12" t="s">
        <x:v>170</x:v>
      </x:c>
      <x:c r="G12" s="13" t="s">
        <x:v>3800</x:v>
      </x:c>
      <x:c r="H12" s="12" t="s">
        <x:v>125</x:v>
      </x:c>
      <x:c r="I12" s="12" t="s">
        <x:v>140</x:v>
      </x:c>
      <x:c r="J12" s="14" t="n">
        <x:v>46232</x:v>
      </x:c>
      <x:c r="K12" s="13" t="s">
        <x:v>3801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3802</x:v>
      </x:c>
      <x:c r="B13" s="12" t="s">
        <x:v>1391</x:v>
      </x:c>
      <x:c r="C13" s="12" t="s">
        <x:v>827</x:v>
      </x:c>
      <x:c r="D13" s="13" t="s">
        <x:v>3803</x:v>
      </x:c>
      <x:c r="E13" s="12" t="s">
        <x:v>160</x:v>
      </x:c>
      <x:c r="F13" s="12" t="s">
        <x:v>160</x:v>
      </x:c>
      <x:c r="G13" s="13" t="s">
        <x:v>1393</x:v>
      </x:c>
      <x:c r="H13" s="12" t="s">
        <x:v>125</x:v>
      </x:c>
      <x:c r="I13" s="12" t="s">
        <x:v>140</x:v>
      </x:c>
      <x:c r="J13" s="14" t="n">
        <x:v>46232</x:v>
      </x:c>
      <x:c r="K13" s="13" t="s">
        <x:v>3804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3805</x:v>
      </x:c>
      <x:c r="B14" s="12" t="s">
        <x:v>173</x:v>
      </x:c>
      <x:c r="C14" s="12" t="s">
        <x:v>827</x:v>
      </x:c>
      <x:c r="D14" s="13" t="s">
        <x:v>3806</x:v>
      </x:c>
      <x:c r="E14" s="12" t="s">
        <x:v>160</x:v>
      </x:c>
      <x:c r="F14" s="12" t="s">
        <x:v>175</x:v>
      </x:c>
      <x:c r="G14" s="13" t="s">
        <x:v>3807</x:v>
      </x:c>
      <x:c r="H14" s="12" t="s">
        <x:v>125</x:v>
      </x:c>
      <x:c r="I14" s="12" t="s">
        <x:v>140</x:v>
      </x:c>
      <x:c r="J14" s="14" t="n">
        <x:v>46232</x:v>
      </x:c>
      <x:c r="K14" s="13" t="s">
        <x:v>3808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3809</x:v>
      </x:c>
      <x:c r="B15" s="12" t="s">
        <x:v>3810</x:v>
      </x:c>
      <x:c r="C15" s="12" t="s">
        <x:v>827</x:v>
      </x:c>
      <x:c r="D15" s="13" t="s">
        <x:v>3811</x:v>
      </x:c>
      <x:c r="E15" s="12" t="s">
        <x:v>185</x:v>
      </x:c>
      <x:c r="F15" s="12" t="s">
        <x:v>185</x:v>
      </x:c>
      <x:c r="G15" s="13" t="s">
        <x:v>3812</x:v>
      </x:c>
      <x:c r="H15" s="12" t="s">
        <x:v>125</x:v>
      </x:c>
      <x:c r="I15" s="12" t="s">
        <x:v>140</x:v>
      </x:c>
      <x:c r="J15" s="14" t="n">
        <x:v>46232</x:v>
      </x:c>
      <x:c r="K15" s="13" t="s">
        <x:v>3813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3814</x:v>
      </x:c>
      <x:c r="B16" s="12" t="s">
        <x:v>3815</x:v>
      </x:c>
      <x:c r="C16" s="12" t="s">
        <x:v>827</x:v>
      </x:c>
      <x:c r="D16" s="13" t="s">
        <x:v>3816</x:v>
      </x:c>
      <x:c r="E16" s="12" t="s">
        <x:v>185</x:v>
      </x:c>
      <x:c r="F16" s="12" t="s">
        <x:v>185</x:v>
      </x:c>
      <x:c r="G16" s="13" t="s">
        <x:v>3812</x:v>
      </x:c>
      <x:c r="H16" s="12" t="s">
        <x:v>125</x:v>
      </x:c>
      <x:c r="I16" s="12" t="s">
        <x:v>140</x:v>
      </x:c>
      <x:c r="J16" s="14" t="n">
        <x:v>46232</x:v>
      </x:c>
      <x:c r="K16" s="13" t="s">
        <x:v>3817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3818</x:v>
      </x:c>
      <x:c r="B17" s="12" t="s">
        <x:v>3819</x:v>
      </x:c>
      <x:c r="C17" s="12" t="s">
        <x:v>3081</x:v>
      </x:c>
      <x:c r="D17" s="13" t="s">
        <x:v>3820</x:v>
      </x:c>
      <x:c r="E17" s="12" t="s">
        <x:v>185</x:v>
      </x:c>
      <x:c r="F17" s="12" t="s">
        <x:v>185</x:v>
      </x:c>
      <x:c r="G17" s="13" t="s">
        <x:v>3812</x:v>
      </x:c>
      <x:c r="H17" s="12" t="s">
        <x:v>125</x:v>
      </x:c>
      <x:c r="I17" s="12" t="s">
        <x:v>140</x:v>
      </x:c>
      <x:c r="J17" s="14" t="n">
        <x:v>46232</x:v>
      </x:c>
      <x:c r="K17" s="13" t="s">
        <x:v>3821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3822</x:v>
      </x:c>
      <x:c r="B18" s="12" t="s">
        <x:v>3823</x:v>
      </x:c>
      <x:c r="C18" s="12" t="s">
        <x:v>3081</x:v>
      </x:c>
      <x:c r="D18" s="13" t="s">
        <x:v>3824</x:v>
      </x:c>
      <x:c r="E18" s="12" t="s">
        <x:v>185</x:v>
      </x:c>
      <x:c r="F18" s="12" t="s">
        <x:v>190</x:v>
      </x:c>
      <x:c r="G18" s="13" t="s">
        <x:v>3812</x:v>
      </x:c>
      <x:c r="H18" s="12" t="s">
        <x:v>125</x:v>
      </x:c>
      <x:c r="I18" s="12" t="s">
        <x:v>140</x:v>
      </x:c>
      <x:c r="J18" s="14" t="n">
        <x:v>46232</x:v>
      </x:c>
      <x:c r="K18" s="13" t="s">
        <x:v>3825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3826</x:v>
      </x:c>
      <x:c r="B19" s="12" t="s">
        <x:v>208</x:v>
      </x:c>
      <x:c r="C19" s="12" t="s">
        <x:v>3827</x:v>
      </x:c>
      <x:c r="D19" s="13" t="s">
        <x:v>3828</x:v>
      </x:c>
      <x:c r="E19" s="12" t="s">
        <x:v>185</x:v>
      </x:c>
      <x:c r="F19" s="12" t="s">
        <x:v>185</x:v>
      </x:c>
      <x:c r="G19" s="13" t="s">
        <x:v>3812</x:v>
      </x:c>
      <x:c r="H19" s="12" t="s">
        <x:v>125</x:v>
      </x:c>
      <x:c r="I19" s="12" t="s">
        <x:v>140</x:v>
      </x:c>
      <x:c r="J19" s="14" t="n">
        <x:v>46232</x:v>
      </x:c>
      <x:c r="K19" s="13" t="s">
        <x:v>3829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3830</x:v>
      </x:c>
      <x:c r="B20" s="12" t="s">
        <x:v>3831</x:v>
      </x:c>
      <x:c r="C20" s="12" t="s">
        <x:v>827</x:v>
      </x:c>
      <x:c r="D20" s="13" t="s">
        <x:v>3832</x:v>
      </x:c>
      <x:c r="E20" s="12" t="s">
        <x:v>160</x:v>
      </x:c>
      <x:c r="F20" s="12" t="s">
        <x:v>180</x:v>
      </x:c>
      <x:c r="G20" s="13" t="s">
        <x:v>3793</x:v>
      </x:c>
      <x:c r="H20" s="12" t="s">
        <x:v>125</x:v>
      </x:c>
      <x:c r="I20" s="12" t="s">
        <x:v>140</x:v>
      </x:c>
      <x:c r="J20" s="14" t="n">
        <x:v>46232</x:v>
      </x:c>
      <x:c r="K20" s="13" t="s">
        <x:v>3833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3834</x:v>
      </x:c>
      <x:c r="B21" s="12" t="s">
        <x:v>2989</x:v>
      </x:c>
      <x:c r="C21" s="12" t="s">
        <x:v>827</x:v>
      </x:c>
      <x:c r="D21" s="13" t="s">
        <x:v>3835</x:v>
      </x:c>
      <x:c r="E21" s="12" t="s">
        <x:v>160</x:v>
      </x:c>
      <x:c r="F21" s="12" t="s">
        <x:v>180</x:v>
      </x:c>
      <x:c r="G21" s="13" t="s">
        <x:v>3836</x:v>
      </x:c>
      <x:c r="H21" s="12" t="s">
        <x:v>125</x:v>
      </x:c>
      <x:c r="I21" s="12" t="s">
        <x:v>140</x:v>
      </x:c>
      <x:c r="J21" s="14" t="n">
        <x:v>46232</x:v>
      </x:c>
      <x:c r="K21" s="13" t="s">
        <x:v>3837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3838</x:v>
      </x:c>
      <x:c r="B22" s="12" t="s">
        <x:v>2546</x:v>
      </x:c>
      <x:c r="C22" s="12" t="s">
        <x:v>3081</x:v>
      </x:c>
      <x:c r="D22" s="13" t="s">
        <x:v>3839</x:v>
      </x:c>
      <x:c r="E22" s="12" t="s">
        <x:v>185</x:v>
      </x:c>
      <x:c r="F22" s="12" t="s">
        <x:v>185</x:v>
      </x:c>
      <x:c r="G22" s="13" t="s">
        <x:v>3840</x:v>
      </x:c>
      <x:c r="H22" s="12" t="s">
        <x:v>125</x:v>
      </x:c>
      <x:c r="I22" s="12" t="s">
        <x:v>140</x:v>
      </x:c>
      <x:c r="J22" s="14" t="n">
        <x:v>46232</x:v>
      </x:c>
      <x:c r="K22" s="13" t="s">
        <x:v>3841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3842</x:v>
      </x:c>
      <x:c r="B23" s="12" t="s">
        <x:v>188</x:v>
      </x:c>
      <x:c r="C23" s="12" t="s">
        <x:v>3081</x:v>
      </x:c>
      <x:c r="D23" s="13" t="s">
        <x:v>3843</x:v>
      </x:c>
      <x:c r="E23" s="12" t="s">
        <x:v>185</x:v>
      </x:c>
      <x:c r="F23" s="12" t="s">
        <x:v>190</x:v>
      </x:c>
      <x:c r="G23" s="13" t="s">
        <x:v>3812</x:v>
      </x:c>
      <x:c r="H23" s="12" t="s">
        <x:v>125</x:v>
      </x:c>
      <x:c r="I23" s="12" t="s">
        <x:v>140</x:v>
      </x:c>
      <x:c r="J23" s="14" t="n">
        <x:v>46232</x:v>
      </x:c>
      <x:c r="K23" s="13" t="s">
        <x:v>3844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3845</x:v>
      </x:c>
      <x:c r="B24" s="12" t="s">
        <x:v>646</x:v>
      </x:c>
      <x:c r="C24" s="12" t="s">
        <x:v>85</x:v>
      </x:c>
      <x:c r="D24" s="13" t="s">
        <x:v>3846</x:v>
      </x:c>
      <x:c r="E24" s="12" t="s">
        <x:v>160</x:v>
      </x:c>
      <x:c r="F24" s="12" t="s">
        <x:v>648</x:v>
      </x:c>
      <x:c r="G24" s="13" t="s">
        <x:v>3847</x:v>
      </x:c>
      <x:c r="H24" s="12" t="s">
        <x:v>125</x:v>
      </x:c>
      <x:c r="I24" s="12" t="s">
        <x:v>140</x:v>
      </x:c>
      <x:c r="J24" s="14" t="n">
        <x:v>46232</x:v>
      </x:c>
      <x:c r="K24" s="13" t="s">
        <x:v>3848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3849</x:v>
      </x:c>
      <x:c r="B25" s="12" t="s">
        <x:v>193</x:v>
      </x:c>
      <x:c r="C25" s="12" t="s">
        <x:v>3081</x:v>
      </x:c>
      <x:c r="D25" s="13" t="s">
        <x:v>3850</x:v>
      </x:c>
      <x:c r="E25" s="12" t="s">
        <x:v>185</x:v>
      </x:c>
      <x:c r="F25" s="12" t="s">
        <x:v>195</x:v>
      </x:c>
      <x:c r="G25" s="13" t="s">
        <x:v>3851</x:v>
      </x:c>
      <x:c r="H25" s="12" t="s">
        <x:v>127</x:v>
      </x:c>
      <x:c r="I25" s="12" t="s">
        <x:v>139</x:v>
      </x:c>
      <x:c r="J25" s="14" t="n">
        <x:v>46232</x:v>
      </x:c>
      <x:c r="K25" s="13" t="s">
        <x:v>3852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3853</x:v>
      </x:c>
      <x:c r="B26" s="12" t="s">
        <x:v>2459</x:v>
      </x:c>
      <x:c r="C26" s="12" t="s">
        <x:v>2683</x:v>
      </x:c>
      <x:c r="D26" s="13" t="s">
        <x:v>3854</x:v>
      </x:c>
      <x:c r="E26" s="12" t="s">
        <x:v>160</x:v>
      </x:c>
      <x:c r="F26" s="12" t="s">
        <x:v>2685</x:v>
      </x:c>
      <x:c r="G26" s="13" t="s">
        <x:v>3855</x:v>
      </x:c>
      <x:c r="H26" s="12" t="s">
        <x:v>125</x:v>
      </x:c>
      <x:c r="I26" s="12" t="s">
        <x:v>140</x:v>
      </x:c>
      <x:c r="J26" s="14" t="n">
        <x:v>46232</x:v>
      </x:c>
      <x:c r="K26" s="13" t="s">
        <x:v>3856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3857</x:v>
      </x:c>
      <x:c r="B27" s="12" t="s">
        <x:v>220</x:v>
      </x:c>
      <x:c r="C27" s="12" t="s">
        <x:v>2688</x:v>
      </x:c>
      <x:c r="D27" s="13" t="s">
        <x:v>3858</x:v>
      </x:c>
      <x:c r="E27" s="12" t="s">
        <x:v>160</x:v>
      </x:c>
      <x:c r="F27" s="12" t="s">
        <x:v>2685</x:v>
      </x:c>
      <x:c r="G27" s="13" t="s">
        <x:v>3859</x:v>
      </x:c>
      <x:c r="H27" s="12" t="s">
        <x:v>125</x:v>
      </x:c>
      <x:c r="I27" s="12" t="s">
        <x:v>140</x:v>
      </x:c>
      <x:c r="J27" s="14" t="n">
        <x:v>46232</x:v>
      </x:c>
      <x:c r="K27" s="13" t="s">
        <x:v>3775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3860</x:v>
      </x:c>
      <x:c r="B28" s="12" t="s">
        <x:v>224</x:v>
      </x:c>
      <x:c r="C28" s="12" t="s">
        <x:v>827</x:v>
      </x:c>
      <x:c r="D28" s="13" t="s">
        <x:v>3861</x:v>
      </x:c>
      <x:c r="E28" s="12" t="s">
        <x:v>226</x:v>
      </x:c>
      <x:c r="F28" s="12" t="s">
        <x:v>226</x:v>
      </x:c>
      <x:c r="G28" s="13" t="s">
        <x:v>3862</x:v>
      </x:c>
      <x:c r="H28" s="12" t="s">
        <x:v>125</x:v>
      </x:c>
      <x:c r="I28" s="12" t="s">
        <x:v>140</x:v>
      </x:c>
      <x:c r="J28" s="14" t="n">
        <x:v>46232</x:v>
      </x:c>
      <x:c r="K28" s="13" t="s">
        <x:v>3863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3864</x:v>
      </x:c>
      <x:c r="B29" s="12" t="s">
        <x:v>212</x:v>
      </x:c>
      <x:c r="C29" s="12" t="s">
        <x:v>85</x:v>
      </x:c>
      <x:c r="D29" s="13" t="s">
        <x:v>3865</x:v>
      </x:c>
      <x:c r="E29" s="12" t="s">
        <x:v>160</x:v>
      </x:c>
      <x:c r="F29" s="12" t="s">
        <x:v>201</x:v>
      </x:c>
      <x:c r="G29" s="13" t="s">
        <x:v>3866</x:v>
      </x:c>
      <x:c r="H29" s="12" t="s">
        <x:v>119</x:v>
      </x:c>
      <x:c r="I29" s="12" t="s">
        <x:v>139</x:v>
      </x:c>
      <x:c r="J29" s="14"/>
      <x:c r="K29" s="13" t="s">
        <x:v>3867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3868</x:v>
      </x:c>
      <x:c r="B30" s="12" t="s">
        <x:v>229</x:v>
      </x:c>
      <x:c r="C30" s="12" t="s">
        <x:v>85</x:v>
      </x:c>
      <x:c r="D30" s="13" t="s">
        <x:v>3869</x:v>
      </x:c>
      <x:c r="E30" s="12" t="s">
        <x:v>160</x:v>
      </x:c>
      <x:c r="F30" s="12" t="s">
        <x:v>160</x:v>
      </x:c>
      <x:c r="G30" s="13" t="s">
        <x:v>231</x:v>
      </x:c>
      <x:c r="H30" s="12" t="s">
        <x:v>125</x:v>
      </x:c>
      <x:c r="I30" s="12" t="s">
        <x:v>140</x:v>
      </x:c>
      <x:c r="J30" s="14" t="n">
        <x:v>46232</x:v>
      </x:c>
      <x:c r="K30" s="13" t="s">
        <x:v>3870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3871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3786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143</x:v>
      </x:c>
      <x:c r="E4" s="7" t="n">
        <x:f aca="0">SUM(M9:M30)</x:f>
        <x:v>21</x:v>
      </x:c>
      <x:c r="G4" s="6" t="s">
        <x:v>13</x:v>
      </x:c>
      <x:c r="H4" s="8" t="n">
        <x:f aca="0">IF(B4=0,0,E4/B4)</x:f>
        <x:v>0.9545454545454546</x:v>
      </x:c>
      <x:c r="J4" s="6" t="s">
        <x:v>14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3872</x:v>
      </x:c>
      <x:c r="B9" s="12" t="s">
        <x:v>117</x:v>
      </x:c>
      <x:c r="C9" s="12" t="s">
        <x:v>86</x:v>
      </x:c>
      <x:c r="D9" s="13" t="s">
        <x:v>3873</x:v>
      </x:c>
      <x:c r="E9" s="12" t="s">
        <x:v>160</x:v>
      </x:c>
      <x:c r="F9" s="12" t="s">
        <x:v>161</x:v>
      </x:c>
      <x:c r="G9" s="13" t="s">
        <x:v>3874</x:v>
      </x:c>
      <x:c r="H9" s="12" t="s">
        <x:v>125</x:v>
      </x:c>
      <x:c r="I9" s="12" t="s">
        <x:v>140</x:v>
      </x:c>
      <x:c r="J9" s="14" t="n">
        <x:v>46232</x:v>
      </x:c>
      <x:c r="K9" s="13" t="s">
        <x:v>3790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3875</x:v>
      </x:c>
      <x:c r="B10" s="12" t="s">
        <x:v>1423</x:v>
      </x:c>
      <x:c r="C10" s="12" t="s">
        <x:v>827</x:v>
      </x:c>
      <x:c r="D10" s="13" t="s">
        <x:v>3876</x:v>
      </x:c>
      <x:c r="E10" s="12" t="s">
        <x:v>160</x:v>
      </x:c>
      <x:c r="F10" s="12" t="s">
        <x:v>180</x:v>
      </x:c>
      <x:c r="G10" s="13" t="s">
        <x:v>3877</x:v>
      </x:c>
      <x:c r="H10" s="12" t="s">
        <x:v>125</x:v>
      </x:c>
      <x:c r="I10" s="12" t="s">
        <x:v>140</x:v>
      </x:c>
      <x:c r="J10" s="14" t="n">
        <x:v>46232</x:v>
      </x:c>
      <x:c r="K10" s="13" t="s">
        <x:v>3794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3878</x:v>
      </x:c>
      <x:c r="B11" s="12" t="s">
        <x:v>164</x:v>
      </x:c>
      <x:c r="C11" s="12" t="s">
        <x:v>86</x:v>
      </x:c>
      <x:c r="D11" s="13" t="s">
        <x:v>3879</x:v>
      </x:c>
      <x:c r="E11" s="12" t="s">
        <x:v>160</x:v>
      </x:c>
      <x:c r="F11" s="12" t="s">
        <x:v>160</x:v>
      </x:c>
      <x:c r="G11" s="13" t="s">
        <x:v>2962</x:v>
      </x:c>
      <x:c r="H11" s="12" t="s">
        <x:v>125</x:v>
      </x:c>
      <x:c r="I11" s="12" t="s">
        <x:v>140</x:v>
      </x:c>
      <x:c r="J11" s="14" t="n">
        <x:v>46232</x:v>
      </x:c>
      <x:c r="K11" s="13" t="s">
        <x:v>3797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3880</x:v>
      </x:c>
      <x:c r="B12" s="12" t="s">
        <x:v>168</x:v>
      </x:c>
      <x:c r="C12" s="12" t="s">
        <x:v>2481</x:v>
      </x:c>
      <x:c r="D12" s="13" t="s">
        <x:v>3799</x:v>
      </x:c>
      <x:c r="E12" s="12" t="s">
        <x:v>160</x:v>
      </x:c>
      <x:c r="F12" s="12" t="s">
        <x:v>170</x:v>
      </x:c>
      <x:c r="G12" s="13" t="s">
        <x:v>3881</x:v>
      </x:c>
      <x:c r="H12" s="12" t="s">
        <x:v>125</x:v>
      </x:c>
      <x:c r="I12" s="12" t="s">
        <x:v>140</x:v>
      </x:c>
      <x:c r="J12" s="14" t="n">
        <x:v>46232</x:v>
      </x:c>
      <x:c r="K12" s="13" t="s">
        <x:v>3801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3882</x:v>
      </x:c>
      <x:c r="B13" s="12" t="s">
        <x:v>1391</x:v>
      </x:c>
      <x:c r="C13" s="12" t="s">
        <x:v>827</x:v>
      </x:c>
      <x:c r="D13" s="13" t="s">
        <x:v>3883</x:v>
      </x:c>
      <x:c r="E13" s="12" t="s">
        <x:v>160</x:v>
      </x:c>
      <x:c r="F13" s="12" t="s">
        <x:v>160</x:v>
      </x:c>
      <x:c r="G13" s="13" t="s">
        <x:v>1393</x:v>
      </x:c>
      <x:c r="H13" s="12" t="s">
        <x:v>125</x:v>
      </x:c>
      <x:c r="I13" s="12" t="s">
        <x:v>140</x:v>
      </x:c>
      <x:c r="J13" s="14" t="n">
        <x:v>46232</x:v>
      </x:c>
      <x:c r="K13" s="13" t="s">
        <x:v>3804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3884</x:v>
      </x:c>
      <x:c r="B14" s="12" t="s">
        <x:v>173</x:v>
      </x:c>
      <x:c r="C14" s="12" t="s">
        <x:v>827</x:v>
      </x:c>
      <x:c r="D14" s="13" t="s">
        <x:v>3885</x:v>
      </x:c>
      <x:c r="E14" s="12" t="s">
        <x:v>160</x:v>
      </x:c>
      <x:c r="F14" s="12" t="s">
        <x:v>175</x:v>
      </x:c>
      <x:c r="G14" s="13" t="s">
        <x:v>3886</x:v>
      </x:c>
      <x:c r="H14" s="12" t="s">
        <x:v>125</x:v>
      </x:c>
      <x:c r="I14" s="12" t="s">
        <x:v>140</x:v>
      </x:c>
      <x:c r="J14" s="14" t="n">
        <x:v>46232</x:v>
      </x:c>
      <x:c r="K14" s="13" t="s">
        <x:v>3808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3887</x:v>
      </x:c>
      <x:c r="B15" s="12" t="s">
        <x:v>3810</x:v>
      </x:c>
      <x:c r="C15" s="12" t="s">
        <x:v>827</x:v>
      </x:c>
      <x:c r="D15" s="13" t="s">
        <x:v>3888</x:v>
      </x:c>
      <x:c r="E15" s="12" t="s">
        <x:v>185</x:v>
      </x:c>
      <x:c r="F15" s="12" t="s">
        <x:v>185</x:v>
      </x:c>
      <x:c r="G15" s="13" t="s">
        <x:v>3889</x:v>
      </x:c>
      <x:c r="H15" s="12" t="s">
        <x:v>125</x:v>
      </x:c>
      <x:c r="I15" s="12" t="s">
        <x:v>140</x:v>
      </x:c>
      <x:c r="J15" s="14" t="n">
        <x:v>46232</x:v>
      </x:c>
      <x:c r="K15" s="13" t="s">
        <x:v>3813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3890</x:v>
      </x:c>
      <x:c r="B16" s="12" t="s">
        <x:v>3815</x:v>
      </x:c>
      <x:c r="C16" s="12" t="s">
        <x:v>827</x:v>
      </x:c>
      <x:c r="D16" s="13" t="s">
        <x:v>3816</x:v>
      </x:c>
      <x:c r="E16" s="12" t="s">
        <x:v>185</x:v>
      </x:c>
      <x:c r="F16" s="12" t="s">
        <x:v>185</x:v>
      </x:c>
      <x:c r="G16" s="13" t="s">
        <x:v>3889</x:v>
      </x:c>
      <x:c r="H16" s="12" t="s">
        <x:v>125</x:v>
      </x:c>
      <x:c r="I16" s="12" t="s">
        <x:v>140</x:v>
      </x:c>
      <x:c r="J16" s="14" t="n">
        <x:v>46232</x:v>
      </x:c>
      <x:c r="K16" s="13" t="s">
        <x:v>3817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3891</x:v>
      </x:c>
      <x:c r="B17" s="12" t="s">
        <x:v>3819</x:v>
      </x:c>
      <x:c r="C17" s="12" t="s">
        <x:v>3081</x:v>
      </x:c>
      <x:c r="D17" s="13" t="s">
        <x:v>3892</x:v>
      </x:c>
      <x:c r="E17" s="12" t="s">
        <x:v>185</x:v>
      </x:c>
      <x:c r="F17" s="12" t="s">
        <x:v>185</x:v>
      </x:c>
      <x:c r="G17" s="13" t="s">
        <x:v>3889</x:v>
      </x:c>
      <x:c r="H17" s="12" t="s">
        <x:v>125</x:v>
      </x:c>
      <x:c r="I17" s="12" t="s">
        <x:v>140</x:v>
      </x:c>
      <x:c r="J17" s="14" t="n">
        <x:v>46232</x:v>
      </x:c>
      <x:c r="K17" s="13" t="s">
        <x:v>3821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3893</x:v>
      </x:c>
      <x:c r="B18" s="12" t="s">
        <x:v>3823</x:v>
      </x:c>
      <x:c r="C18" s="12" t="s">
        <x:v>3081</x:v>
      </x:c>
      <x:c r="D18" s="13" t="s">
        <x:v>3824</x:v>
      </x:c>
      <x:c r="E18" s="12" t="s">
        <x:v>185</x:v>
      </x:c>
      <x:c r="F18" s="12" t="s">
        <x:v>190</x:v>
      </x:c>
      <x:c r="G18" s="13" t="s">
        <x:v>3889</x:v>
      </x:c>
      <x:c r="H18" s="12" t="s">
        <x:v>125</x:v>
      </x:c>
      <x:c r="I18" s="12" t="s">
        <x:v>140</x:v>
      </x:c>
      <x:c r="J18" s="14" t="n">
        <x:v>46232</x:v>
      </x:c>
      <x:c r="K18" s="13" t="s">
        <x:v>3825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3894</x:v>
      </x:c>
      <x:c r="B19" s="12" t="s">
        <x:v>208</x:v>
      </x:c>
      <x:c r="C19" s="12" t="s">
        <x:v>3895</x:v>
      </x:c>
      <x:c r="D19" s="13" t="s">
        <x:v>3896</x:v>
      </x:c>
      <x:c r="E19" s="12" t="s">
        <x:v>185</x:v>
      </x:c>
      <x:c r="F19" s="12" t="s">
        <x:v>185</x:v>
      </x:c>
      <x:c r="G19" s="13" t="s">
        <x:v>3889</x:v>
      </x:c>
      <x:c r="H19" s="12" t="s">
        <x:v>125</x:v>
      </x:c>
      <x:c r="I19" s="12" t="s">
        <x:v>140</x:v>
      </x:c>
      <x:c r="J19" s="14" t="n">
        <x:v>46232</x:v>
      </x:c>
      <x:c r="K19" s="13" t="s">
        <x:v>3829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3897</x:v>
      </x:c>
      <x:c r="B20" s="12" t="s">
        <x:v>3831</x:v>
      </x:c>
      <x:c r="C20" s="12" t="s">
        <x:v>827</x:v>
      </x:c>
      <x:c r="D20" s="13" t="s">
        <x:v>3832</x:v>
      </x:c>
      <x:c r="E20" s="12" t="s">
        <x:v>160</x:v>
      </x:c>
      <x:c r="F20" s="12" t="s">
        <x:v>180</x:v>
      </x:c>
      <x:c r="G20" s="13" t="s">
        <x:v>3877</x:v>
      </x:c>
      <x:c r="H20" s="12" t="s">
        <x:v>125</x:v>
      </x:c>
      <x:c r="I20" s="12" t="s">
        <x:v>140</x:v>
      </x:c>
      <x:c r="J20" s="14" t="n">
        <x:v>46232</x:v>
      </x:c>
      <x:c r="K20" s="13" t="s">
        <x:v>3833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3898</x:v>
      </x:c>
      <x:c r="B21" s="12" t="s">
        <x:v>2989</x:v>
      </x:c>
      <x:c r="C21" s="12" t="s">
        <x:v>827</x:v>
      </x:c>
      <x:c r="D21" s="13" t="s">
        <x:v>3835</x:v>
      </x:c>
      <x:c r="E21" s="12" t="s">
        <x:v>160</x:v>
      </x:c>
      <x:c r="F21" s="12" t="s">
        <x:v>180</x:v>
      </x:c>
      <x:c r="G21" s="13" t="s">
        <x:v>3899</x:v>
      </x:c>
      <x:c r="H21" s="12" t="s">
        <x:v>125</x:v>
      </x:c>
      <x:c r="I21" s="12" t="s">
        <x:v>140</x:v>
      </x:c>
      <x:c r="J21" s="14" t="n">
        <x:v>46232</x:v>
      </x:c>
      <x:c r="K21" s="13" t="s">
        <x:v>3837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3900</x:v>
      </x:c>
      <x:c r="B22" s="12" t="s">
        <x:v>2546</x:v>
      </x:c>
      <x:c r="C22" s="12" t="s">
        <x:v>3081</x:v>
      </x:c>
      <x:c r="D22" s="13" t="s">
        <x:v>3839</x:v>
      </x:c>
      <x:c r="E22" s="12" t="s">
        <x:v>185</x:v>
      </x:c>
      <x:c r="F22" s="12" t="s">
        <x:v>185</x:v>
      </x:c>
      <x:c r="G22" s="13" t="s">
        <x:v>3901</x:v>
      </x:c>
      <x:c r="H22" s="12" t="s">
        <x:v>125</x:v>
      </x:c>
      <x:c r="I22" s="12" t="s">
        <x:v>140</x:v>
      </x:c>
      <x:c r="J22" s="14" t="n">
        <x:v>46232</x:v>
      </x:c>
      <x:c r="K22" s="13" t="s">
        <x:v>3841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3902</x:v>
      </x:c>
      <x:c r="B23" s="12" t="s">
        <x:v>188</x:v>
      </x:c>
      <x:c r="C23" s="12" t="s">
        <x:v>3081</x:v>
      </x:c>
      <x:c r="D23" s="13" t="s">
        <x:v>3843</x:v>
      </x:c>
      <x:c r="E23" s="12" t="s">
        <x:v>185</x:v>
      </x:c>
      <x:c r="F23" s="12" t="s">
        <x:v>190</x:v>
      </x:c>
      <x:c r="G23" s="13" t="s">
        <x:v>3889</x:v>
      </x:c>
      <x:c r="H23" s="12" t="s">
        <x:v>125</x:v>
      </x:c>
      <x:c r="I23" s="12" t="s">
        <x:v>140</x:v>
      </x:c>
      <x:c r="J23" s="14" t="n">
        <x:v>46232</x:v>
      </x:c>
      <x:c r="K23" s="13" t="s">
        <x:v>3844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3903</x:v>
      </x:c>
      <x:c r="B24" s="12" t="s">
        <x:v>646</x:v>
      </x:c>
      <x:c r="C24" s="12" t="s">
        <x:v>86</x:v>
      </x:c>
      <x:c r="D24" s="13" t="s">
        <x:v>3846</x:v>
      </x:c>
      <x:c r="E24" s="12" t="s">
        <x:v>160</x:v>
      </x:c>
      <x:c r="F24" s="12" t="s">
        <x:v>648</x:v>
      </x:c>
      <x:c r="G24" s="13" t="s">
        <x:v>3904</x:v>
      </x:c>
      <x:c r="H24" s="12" t="s">
        <x:v>125</x:v>
      </x:c>
      <x:c r="I24" s="12" t="s">
        <x:v>140</x:v>
      </x:c>
      <x:c r="J24" s="14" t="n">
        <x:v>46232</x:v>
      </x:c>
      <x:c r="K24" s="13" t="s">
        <x:v>3848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3905</x:v>
      </x:c>
      <x:c r="B25" s="12" t="s">
        <x:v>193</x:v>
      </x:c>
      <x:c r="C25" s="12" t="s">
        <x:v>3081</x:v>
      </x:c>
      <x:c r="D25" s="13" t="s">
        <x:v>3850</x:v>
      </x:c>
      <x:c r="E25" s="12" t="s">
        <x:v>185</x:v>
      </x:c>
      <x:c r="F25" s="12" t="s">
        <x:v>195</x:v>
      </x:c>
      <x:c r="G25" s="13" t="s">
        <x:v>3906</x:v>
      </x:c>
      <x:c r="H25" s="12" t="s">
        <x:v>127</x:v>
      </x:c>
      <x:c r="I25" s="12" t="s">
        <x:v>139</x:v>
      </x:c>
      <x:c r="J25" s="14" t="n">
        <x:v>46232</x:v>
      </x:c>
      <x:c r="K25" s="13" t="s">
        <x:v>3852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3907</x:v>
      </x:c>
      <x:c r="B26" s="12" t="s">
        <x:v>2459</x:v>
      </x:c>
      <x:c r="C26" s="12" t="s">
        <x:v>2683</x:v>
      </x:c>
      <x:c r="D26" s="13" t="s">
        <x:v>3854</x:v>
      </x:c>
      <x:c r="E26" s="12" t="s">
        <x:v>160</x:v>
      </x:c>
      <x:c r="F26" s="12" t="s">
        <x:v>2685</x:v>
      </x:c>
      <x:c r="G26" s="13" t="s">
        <x:v>3908</x:v>
      </x:c>
      <x:c r="H26" s="12" t="s">
        <x:v>125</x:v>
      </x:c>
      <x:c r="I26" s="12" t="s">
        <x:v>140</x:v>
      </x:c>
      <x:c r="J26" s="14" t="n">
        <x:v>46232</x:v>
      </x:c>
      <x:c r="K26" s="13" t="s">
        <x:v>3856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3909</x:v>
      </x:c>
      <x:c r="B27" s="12" t="s">
        <x:v>220</x:v>
      </x:c>
      <x:c r="C27" s="12" t="s">
        <x:v>2688</x:v>
      </x:c>
      <x:c r="D27" s="13" t="s">
        <x:v>3910</x:v>
      </x:c>
      <x:c r="E27" s="12" t="s">
        <x:v>160</x:v>
      </x:c>
      <x:c r="F27" s="12" t="s">
        <x:v>2685</x:v>
      </x:c>
      <x:c r="G27" s="13" t="s">
        <x:v>3911</x:v>
      </x:c>
      <x:c r="H27" s="12" t="s">
        <x:v>125</x:v>
      </x:c>
      <x:c r="I27" s="12" t="s">
        <x:v>140</x:v>
      </x:c>
      <x:c r="J27" s="14" t="n">
        <x:v>46232</x:v>
      </x:c>
      <x:c r="K27" s="13" t="s">
        <x:v>3775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3912</x:v>
      </x:c>
      <x:c r="B28" s="12" t="s">
        <x:v>224</x:v>
      </x:c>
      <x:c r="C28" s="12" t="s">
        <x:v>827</x:v>
      </x:c>
      <x:c r="D28" s="13" t="s">
        <x:v>3913</x:v>
      </x:c>
      <x:c r="E28" s="12" t="s">
        <x:v>226</x:v>
      </x:c>
      <x:c r="F28" s="12" t="s">
        <x:v>226</x:v>
      </x:c>
      <x:c r="G28" s="13" t="s">
        <x:v>3862</x:v>
      </x:c>
      <x:c r="H28" s="12" t="s">
        <x:v>125</x:v>
      </x:c>
      <x:c r="I28" s="12" t="s">
        <x:v>140</x:v>
      </x:c>
      <x:c r="J28" s="14" t="n">
        <x:v>46232</x:v>
      </x:c>
      <x:c r="K28" s="13" t="s">
        <x:v>3863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3914</x:v>
      </x:c>
      <x:c r="B29" s="12" t="s">
        <x:v>212</x:v>
      </x:c>
      <x:c r="C29" s="12" t="s">
        <x:v>86</x:v>
      </x:c>
      <x:c r="D29" s="13" t="s">
        <x:v>3865</x:v>
      </x:c>
      <x:c r="E29" s="12" t="s">
        <x:v>160</x:v>
      </x:c>
      <x:c r="F29" s="12" t="s">
        <x:v>201</x:v>
      </x:c>
      <x:c r="G29" s="13" t="s">
        <x:v>3915</x:v>
      </x:c>
      <x:c r="H29" s="12" t="s">
        <x:v>119</x:v>
      </x:c>
      <x:c r="I29" s="12" t="s">
        <x:v>139</x:v>
      </x:c>
      <x:c r="J29" s="14"/>
      <x:c r="K29" s="13" t="s">
        <x:v>3867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3916</x:v>
      </x:c>
      <x:c r="B30" s="12" t="s">
        <x:v>229</x:v>
      </x:c>
      <x:c r="C30" s="12" t="s">
        <x:v>86</x:v>
      </x:c>
      <x:c r="D30" s="13" t="s">
        <x:v>3869</x:v>
      </x:c>
      <x:c r="E30" s="12" t="s">
        <x:v>160</x:v>
      </x:c>
      <x:c r="F30" s="12" t="s">
        <x:v>160</x:v>
      </x:c>
      <x:c r="G30" s="13" t="s">
        <x:v>231</x:v>
      </x:c>
      <x:c r="H30" s="12" t="s">
        <x:v>125</x:v>
      </x:c>
      <x:c r="I30" s="12" t="s">
        <x:v>140</x:v>
      </x:c>
      <x:c r="J30" s="14" t="n">
        <x:v>46232</x:v>
      </x:c>
      <x:c r="K30" s="13" t="s">
        <x:v>3870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3917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3918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COUNTA(A9:A39)</x:f>
        <x:v>31</x:v>
      </x:c>
      <x:c r="D4" s="6" t="s">
        <x:v>143</x:v>
      </x:c>
      <x:c r="E4" s="7" t="n">
        <x:f aca="0">SUM(M9:M39)</x:f>
        <x:v>30</x:v>
      </x:c>
      <x:c r="G4" s="6" t="s">
        <x:v>13</x:v>
      </x:c>
      <x:c r="H4" s="8" t="n">
        <x:f aca="0">IF(B4=0,0,E4/B4)</x:f>
        <x:v>0.967741935483871</x:v>
      </x:c>
      <x:c r="J4" s="6" t="s">
        <x:v>14</x:v>
      </x:c>
      <x:c r="K4" s="7" t="str">
        <x:f aca="0">IF(COUNTIFS(E9:E39,"package",M9:M39,0)&gt;0,"open","complete")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IF(COUNTIFS(I9:I39,"yes",M9:M39,0)&gt;0,"open","complete")</x:f>
        <x:v>open</x:v>
      </x:c>
      <x:c r="D5" s="6" t="s">
        <x:v>15</x:v>
      </x:c>
      <x:c r="E5" s="7" t="str">
        <x:f aca="0">IF(COUNTIFS(E9:E39,"consumer",M9:M39,0)&gt;0,"open","complete")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1693</x:v>
      </x:c>
      <x:c r="B9" s="12" t="s">
        <x:v>2919</x:v>
      </x:c>
      <x:c r="C9" s="12" t="s">
        <x:v>3919</x:v>
      </x:c>
      <x:c r="D9" s="13" t="s">
        <x:v>3920</x:v>
      </x:c>
      <x:c r="E9" s="12" t="s">
        <x:v>160</x:v>
      </x:c>
      <x:c r="F9" s="12" t="s">
        <x:v>161</x:v>
      </x:c>
      <x:c r="G9" s="13" t="s">
        <x:v>3921</x:v>
      </x:c>
      <x:c r="H9" s="12" t="s">
        <x:v>125</x:v>
      </x:c>
      <x:c r="I9" s="12" t="s">
        <x:v>140</x:v>
      </x:c>
      <x:c r="J9" s="14" t="n">
        <x:v>46232</x:v>
      </x:c>
      <x:c r="K9" s="13" t="s">
        <x:v>2922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1697</x:v>
      </x:c>
      <x:c r="B10" s="12" t="s">
        <x:v>2472</x:v>
      </x:c>
      <x:c r="C10" s="12" t="s">
        <x:v>3922</x:v>
      </x:c>
      <x:c r="D10" s="13" t="s">
        <x:v>3923</x:v>
      </x:c>
      <x:c r="E10" s="12" t="s">
        <x:v>160</x:v>
      </x:c>
      <x:c r="F10" s="12" t="s">
        <x:v>180</x:v>
      </x:c>
      <x:c r="G10" s="13" t="s">
        <x:v>3924</x:v>
      </x:c>
      <x:c r="H10" s="12" t="s">
        <x:v>125</x:v>
      </x:c>
      <x:c r="I10" s="12" t="s">
        <x:v>140</x:v>
      </x:c>
      <x:c r="J10" s="14" t="n">
        <x:v>46232</x:v>
      </x:c>
      <x:c r="K10" s="13" t="s">
        <x:v>3925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1700</x:v>
      </x:c>
      <x:c r="B11" s="12" t="s">
        <x:v>1423</x:v>
      </x:c>
      <x:c r="C11" s="12" t="s">
        <x:v>3919</x:v>
      </x:c>
      <x:c r="D11" s="13" t="s">
        <x:v>3926</x:v>
      </x:c>
      <x:c r="E11" s="12" t="s">
        <x:v>160</x:v>
      </x:c>
      <x:c r="F11" s="12" t="s">
        <x:v>180</x:v>
      </x:c>
      <x:c r="G11" s="13" t="s">
        <x:v>3927</x:v>
      </x:c>
      <x:c r="H11" s="12" t="s">
        <x:v>125</x:v>
      </x:c>
      <x:c r="I11" s="12" t="s">
        <x:v>140</x:v>
      </x:c>
      <x:c r="J11" s="14" t="n">
        <x:v>46232</x:v>
      </x:c>
      <x:c r="K11" s="13" t="s">
        <x:v>3928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1702</x:v>
      </x:c>
      <x:c r="B12" s="12" t="s">
        <x:v>1254</x:v>
      </x:c>
      <x:c r="C12" s="12" t="s">
        <x:v>827</x:v>
      </x:c>
      <x:c r="D12" s="13" t="s">
        <x:v>3929</x:v>
      </x:c>
      <x:c r="E12" s="12" t="s">
        <x:v>185</x:v>
      </x:c>
      <x:c r="F12" s="12" t="s">
        <x:v>185</x:v>
      </x:c>
      <x:c r="G12" s="13" t="s">
        <x:v>3930</x:v>
      </x:c>
      <x:c r="H12" s="12" t="s">
        <x:v>125</x:v>
      </x:c>
      <x:c r="I12" s="12" t="s">
        <x:v>140</x:v>
      </x:c>
      <x:c r="J12" s="14" t="n">
        <x:v>46232</x:v>
      </x:c>
      <x:c r="K12" s="13" t="s">
        <x:v>3931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1705</x:v>
      </x:c>
      <x:c r="B13" s="12" t="s">
        <x:v>3932</x:v>
      </x:c>
      <x:c r="C13" s="12" t="s">
        <x:v>1151</x:v>
      </x:c>
      <x:c r="D13" s="13" t="s">
        <x:v>3933</x:v>
      </x:c>
      <x:c r="E13" s="12" t="s">
        <x:v>185</x:v>
      </x:c>
      <x:c r="F13" s="12" t="s">
        <x:v>185</x:v>
      </x:c>
      <x:c r="G13" s="13" t="s">
        <x:v>3934</x:v>
      </x:c>
      <x:c r="H13" s="12" t="s">
        <x:v>125</x:v>
      </x:c>
      <x:c r="I13" s="12" t="s">
        <x:v>140</x:v>
      </x:c>
      <x:c r="J13" s="14" t="n">
        <x:v>46232</x:v>
      </x:c>
      <x:c r="K13" s="13" t="s">
        <x:v>3935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1708</x:v>
      </x:c>
      <x:c r="B14" s="12" t="s">
        <x:v>3936</x:v>
      </x:c>
      <x:c r="C14" s="12" t="s">
        <x:v>2502</x:v>
      </x:c>
      <x:c r="D14" s="13" t="s">
        <x:v>3937</x:v>
      </x:c>
      <x:c r="E14" s="12" t="s">
        <x:v>185</x:v>
      </x:c>
      <x:c r="F14" s="12" t="s">
        <x:v>185</x:v>
      </x:c>
      <x:c r="G14" s="13" t="s">
        <x:v>3938</x:v>
      </x:c>
      <x:c r="H14" s="12" t="s">
        <x:v>125</x:v>
      </x:c>
      <x:c r="I14" s="12" t="s">
        <x:v>140</x:v>
      </x:c>
      <x:c r="J14" s="14" t="n">
        <x:v>46232</x:v>
      </x:c>
      <x:c r="K14" s="13" t="s">
        <x:v>3939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1711</x:v>
      </x:c>
      <x:c r="B15" s="12" t="s">
        <x:v>3940</x:v>
      </x:c>
      <x:c r="C15" s="12" t="s">
        <x:v>1151</x:v>
      </x:c>
      <x:c r="D15" s="13" t="s">
        <x:v>3941</x:v>
      </x:c>
      <x:c r="E15" s="12" t="s">
        <x:v>185</x:v>
      </x:c>
      <x:c r="F15" s="12" t="s">
        <x:v>185</x:v>
      </x:c>
      <x:c r="G15" s="13" t="s">
        <x:v>3942</x:v>
      </x:c>
      <x:c r="H15" s="12" t="s">
        <x:v>125</x:v>
      </x:c>
      <x:c r="I15" s="12" t="s">
        <x:v>140</x:v>
      </x:c>
      <x:c r="J15" s="14" t="n">
        <x:v>46232</x:v>
      </x:c>
      <x:c r="K15" s="13" t="s">
        <x:v>3943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1713</x:v>
      </x:c>
      <x:c r="B16" s="12" t="s">
        <x:v>3944</x:v>
      </x:c>
      <x:c r="C16" s="12" t="s">
        <x:v>3945</x:v>
      </x:c>
      <x:c r="D16" s="13" t="s">
        <x:v>3946</x:v>
      </x:c>
      <x:c r="E16" s="12" t="s">
        <x:v>185</x:v>
      </x:c>
      <x:c r="F16" s="12" t="s">
        <x:v>185</x:v>
      </x:c>
      <x:c r="G16" s="13" t="s">
        <x:v>3942</x:v>
      </x:c>
      <x:c r="H16" s="12" t="s">
        <x:v>125</x:v>
      </x:c>
      <x:c r="I16" s="12" t="s">
        <x:v>140</x:v>
      </x:c>
      <x:c r="J16" s="14" t="n">
        <x:v>46232</x:v>
      </x:c>
      <x:c r="K16" s="13" t="s">
        <x:v>3947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1715</x:v>
      </x:c>
      <x:c r="B17" s="12" t="s">
        <x:v>1656</x:v>
      </x:c>
      <x:c r="C17" s="12" t="s">
        <x:v>1151</x:v>
      </x:c>
      <x:c r="D17" s="13" t="s">
        <x:v>3948</x:v>
      </x:c>
      <x:c r="E17" s="12" t="s">
        <x:v>185</x:v>
      </x:c>
      <x:c r="F17" s="12" t="s">
        <x:v>185</x:v>
      </x:c>
      <x:c r="G17" s="13" t="s">
        <x:v>3942</x:v>
      </x:c>
      <x:c r="H17" s="12" t="s">
        <x:v>125</x:v>
      </x:c>
      <x:c r="I17" s="12" t="s">
        <x:v>140</x:v>
      </x:c>
      <x:c r="J17" s="14" t="n">
        <x:v>46232</x:v>
      </x:c>
      <x:c r="K17" s="13" t="s">
        <x:v>3949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1718</x:v>
      </x:c>
      <x:c r="B18" s="12" t="s">
        <x:v>1310</x:v>
      </x:c>
      <x:c r="C18" s="12" t="s">
        <x:v>3950</x:v>
      </x:c>
      <x:c r="D18" s="13" t="s">
        <x:v>3951</x:v>
      </x:c>
      <x:c r="E18" s="12" t="s">
        <x:v>185</x:v>
      </x:c>
      <x:c r="F18" s="12" t="s">
        <x:v>185</x:v>
      </x:c>
      <x:c r="G18" s="13" t="s">
        <x:v>3952</x:v>
      </x:c>
      <x:c r="H18" s="12" t="s">
        <x:v>125</x:v>
      </x:c>
      <x:c r="I18" s="12" t="s">
        <x:v>140</x:v>
      </x:c>
      <x:c r="J18" s="14" t="n">
        <x:v>46232</x:v>
      </x:c>
      <x:c r="K18" s="13" t="s">
        <x:v>3953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1720</x:v>
      </x:c>
      <x:c r="B19" s="12" t="s">
        <x:v>3954</x:v>
      </x:c>
      <x:c r="C19" s="12" t="s">
        <x:v>827</x:v>
      </x:c>
      <x:c r="D19" s="13" t="s">
        <x:v>3955</x:v>
      </x:c>
      <x:c r="E19" s="12" t="s">
        <x:v>185</x:v>
      </x:c>
      <x:c r="F19" s="12" t="s">
        <x:v>185</x:v>
      </x:c>
      <x:c r="G19" s="13" t="s">
        <x:v>3930</x:v>
      </x:c>
      <x:c r="H19" s="12" t="s">
        <x:v>125</x:v>
      </x:c>
      <x:c r="I19" s="12" t="s">
        <x:v>140</x:v>
      </x:c>
      <x:c r="J19" s="14" t="n">
        <x:v>46232</x:v>
      </x:c>
      <x:c r="K19" s="13" t="s">
        <x:v>3956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1722</x:v>
      </x:c>
      <x:c r="B20" s="12" t="s">
        <x:v>3957</x:v>
      </x:c>
      <x:c r="C20" s="12" t="s">
        <x:v>1151</x:v>
      </x:c>
      <x:c r="D20" s="13" t="s">
        <x:v>3958</x:v>
      </x:c>
      <x:c r="E20" s="12" t="s">
        <x:v>226</x:v>
      </x:c>
      <x:c r="F20" s="12" t="s">
        <x:v>226</x:v>
      </x:c>
      <x:c r="G20" s="13" t="s">
        <x:v>3959</x:v>
      </x:c>
      <x:c r="H20" s="12" t="s">
        <x:v>125</x:v>
      </x:c>
      <x:c r="I20" s="12" t="s">
        <x:v>140</x:v>
      </x:c>
      <x:c r="J20" s="14" t="n">
        <x:v>46232</x:v>
      </x:c>
      <x:c r="K20" s="13" t="s">
        <x:v>3960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1724</x:v>
      </x:c>
      <x:c r="B21" s="12" t="s">
        <x:v>3961</x:v>
      </x:c>
      <x:c r="C21" s="12" t="s">
        <x:v>827</x:v>
      </x:c>
      <x:c r="D21" s="13" t="s">
        <x:v>3962</x:v>
      </x:c>
      <x:c r="E21" s="12" t="s">
        <x:v>160</x:v>
      </x:c>
      <x:c r="F21" s="12" t="s">
        <x:v>170</x:v>
      </x:c>
      <x:c r="G21" s="13" t="s">
        <x:v>3963</x:v>
      </x:c>
      <x:c r="H21" s="12" t="s">
        <x:v>125</x:v>
      </x:c>
      <x:c r="I21" s="12" t="s">
        <x:v>140</x:v>
      </x:c>
      <x:c r="J21" s="14" t="n">
        <x:v>46232</x:v>
      </x:c>
      <x:c r="K21" s="13" t="s">
        <x:v>3964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1726</x:v>
      </x:c>
      <x:c r="B22" s="12" t="s">
        <x:v>164</x:v>
      </x:c>
      <x:c r="C22" s="12" t="s">
        <x:v>87</x:v>
      </x:c>
      <x:c r="D22" s="13" t="s">
        <x:v>3965</x:v>
      </x:c>
      <x:c r="E22" s="12" t="s">
        <x:v>160</x:v>
      </x:c>
      <x:c r="F22" s="12" t="s">
        <x:v>160</x:v>
      </x:c>
      <x:c r="G22" s="13" t="s">
        <x:v>3966</x:v>
      </x:c>
      <x:c r="H22" s="12" t="s">
        <x:v>125</x:v>
      </x:c>
      <x:c r="I22" s="12" t="s">
        <x:v>140</x:v>
      </x:c>
      <x:c r="J22" s="14" t="n">
        <x:v>46232</x:v>
      </x:c>
      <x:c r="K22" s="13" t="s">
        <x:v>3967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1728</x:v>
      </x:c>
      <x:c r="B23" s="12" t="s">
        <x:v>168</x:v>
      </x:c>
      <x:c r="C23" s="12" t="s">
        <x:v>2481</x:v>
      </x:c>
      <x:c r="D23" s="13" t="s">
        <x:v>3968</x:v>
      </x:c>
      <x:c r="E23" s="12" t="s">
        <x:v>160</x:v>
      </x:c>
      <x:c r="F23" s="12" t="s">
        <x:v>170</x:v>
      </x:c>
      <x:c r="G23" s="13" t="s">
        <x:v>3969</x:v>
      </x:c>
      <x:c r="H23" s="12" t="s">
        <x:v>125</x:v>
      </x:c>
      <x:c r="I23" s="12" t="s">
        <x:v>140</x:v>
      </x:c>
      <x:c r="J23" s="14" t="n">
        <x:v>46232</x:v>
      </x:c>
      <x:c r="K23" s="13" t="s">
        <x:v>2967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1732</x:v>
      </x:c>
      <x:c r="B24" s="12" t="s">
        <x:v>1391</x:v>
      </x:c>
      <x:c r="C24" s="12" t="s">
        <x:v>3919</x:v>
      </x:c>
      <x:c r="D24" s="13" t="s">
        <x:v>3970</x:v>
      </x:c>
      <x:c r="E24" s="12" t="s">
        <x:v>160</x:v>
      </x:c>
      <x:c r="F24" s="12" t="s">
        <x:v>160</x:v>
      </x:c>
      <x:c r="G24" s="13" t="s">
        <x:v>3971</x:v>
      </x:c>
      <x:c r="H24" s="12" t="s">
        <x:v>125</x:v>
      </x:c>
      <x:c r="I24" s="12" t="s">
        <x:v>140</x:v>
      </x:c>
      <x:c r="J24" s="14" t="n">
        <x:v>46232</x:v>
      </x:c>
      <x:c r="K24" s="13" t="s">
        <x:v>2970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1736</x:v>
      </x:c>
      <x:c r="B25" s="12" t="s">
        <x:v>173</x:v>
      </x:c>
      <x:c r="C25" s="12" t="s">
        <x:v>3919</x:v>
      </x:c>
      <x:c r="D25" s="13" t="s">
        <x:v>3972</x:v>
      </x:c>
      <x:c r="E25" s="12" t="s">
        <x:v>160</x:v>
      </x:c>
      <x:c r="F25" s="12" t="s">
        <x:v>175</x:v>
      </x:c>
      <x:c r="G25" s="13" t="s">
        <x:v>3973</x:v>
      </x:c>
      <x:c r="H25" s="12" t="s">
        <x:v>125</x:v>
      </x:c>
      <x:c r="I25" s="12" t="s">
        <x:v>140</x:v>
      </x:c>
      <x:c r="J25" s="14" t="n">
        <x:v>46232</x:v>
      </x:c>
      <x:c r="K25" s="13" t="s">
        <x:v>3974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1738</x:v>
      </x:c>
      <x:c r="B26" s="12" t="s">
        <x:v>1766</x:v>
      </x:c>
      <x:c r="C26" s="12" t="s">
        <x:v>827</x:v>
      </x:c>
      <x:c r="D26" s="13" t="s">
        <x:v>3975</x:v>
      </x:c>
      <x:c r="E26" s="12" t="s">
        <x:v>185</x:v>
      </x:c>
      <x:c r="F26" s="12" t="s">
        <x:v>195</x:v>
      </x:c>
      <x:c r="G26" s="13" t="s">
        <x:v>3952</x:v>
      </x:c>
      <x:c r="H26" s="12" t="s">
        <x:v>125</x:v>
      </x:c>
      <x:c r="I26" s="12" t="s">
        <x:v>140</x:v>
      </x:c>
      <x:c r="J26" s="14" t="n">
        <x:v>46232</x:v>
      </x:c>
      <x:c r="K26" s="13" t="s">
        <x:v>3976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1740</x:v>
      </x:c>
      <x:c r="B27" s="12" t="s">
        <x:v>3977</x:v>
      </x:c>
      <x:c r="C27" s="12" t="s">
        <x:v>3919</x:v>
      </x:c>
      <x:c r="D27" s="13" t="s">
        <x:v>3978</x:v>
      </x:c>
      <x:c r="E27" s="12" t="s">
        <x:v>185</x:v>
      </x:c>
      <x:c r="F27" s="12" t="s">
        <x:v>195</x:v>
      </x:c>
      <x:c r="G27" s="13" t="s">
        <x:v>3979</x:v>
      </x:c>
      <x:c r="H27" s="12" t="s">
        <x:v>125</x:v>
      </x:c>
      <x:c r="I27" s="12" t="s">
        <x:v>140</x:v>
      </x:c>
      <x:c r="J27" s="14" t="n">
        <x:v>46232</x:v>
      </x:c>
      <x:c r="K27" s="13" t="s">
        <x:v>3980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1742</x:v>
      </x:c>
      <x:c r="B28" s="12" t="s">
        <x:v>3981</x:v>
      </x:c>
      <x:c r="C28" s="12" t="s">
        <x:v>3982</x:v>
      </x:c>
      <x:c r="D28" s="13" t="s">
        <x:v>3983</x:v>
      </x:c>
      <x:c r="E28" s="12" t="s">
        <x:v>185</x:v>
      </x:c>
      <x:c r="F28" s="12" t="s">
        <x:v>195</x:v>
      </x:c>
      <x:c r="G28" s="13" t="s">
        <x:v>3979</x:v>
      </x:c>
      <x:c r="H28" s="12" t="s">
        <x:v>125</x:v>
      </x:c>
      <x:c r="I28" s="12" t="s">
        <x:v>140</x:v>
      </x:c>
      <x:c r="J28" s="14" t="n">
        <x:v>46232</x:v>
      </x:c>
      <x:c r="K28" s="13" t="s">
        <x:v>3984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3985</x:v>
      </x:c>
      <x:c r="B29" s="12" t="s">
        <x:v>2989</x:v>
      </x:c>
      <x:c r="C29" s="12" t="s">
        <x:v>1265</x:v>
      </x:c>
      <x:c r="D29" s="13" t="s">
        <x:v>3986</x:v>
      </x:c>
      <x:c r="E29" s="12" t="s">
        <x:v>160</x:v>
      </x:c>
      <x:c r="F29" s="12" t="s">
        <x:v>180</x:v>
      </x:c>
      <x:c r="G29" s="13" t="s">
        <x:v>3924</x:v>
      </x:c>
      <x:c r="H29" s="12" t="s">
        <x:v>125</x:v>
      </x:c>
      <x:c r="I29" s="12" t="s">
        <x:v>140</x:v>
      </x:c>
      <x:c r="J29" s="14" t="n">
        <x:v>46232</x:v>
      </x:c>
      <x:c r="K29" s="13" t="s">
        <x:v>3987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3988</x:v>
      </x:c>
      <x:c r="B30" s="12" t="s">
        <x:v>199</x:v>
      </x:c>
      <x:c r="C30" s="12" t="s">
        <x:v>3945</x:v>
      </x:c>
      <x:c r="D30" s="13" t="s">
        <x:v>3989</x:v>
      </x:c>
      <x:c r="E30" s="12" t="s">
        <x:v>185</x:v>
      </x:c>
      <x:c r="F30" s="12" t="s">
        <x:v>185</x:v>
      </x:c>
      <x:c r="G30" s="13" t="s">
        <x:v>3952</x:v>
      </x:c>
      <x:c r="H30" s="12" t="s">
        <x:v>125</x:v>
      </x:c>
      <x:c r="I30" s="12" t="s">
        <x:v>140</x:v>
      </x:c>
      <x:c r="J30" s="14" t="n">
        <x:v>46232</x:v>
      </x:c>
      <x:c r="K30" s="13" t="s">
        <x:v>3990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3991</x:v>
      </x:c>
      <x:c r="B31" s="12" t="s">
        <x:v>3005</x:v>
      </x:c>
      <x:c r="C31" s="12" t="s">
        <x:v>3919</x:v>
      </x:c>
      <x:c r="D31" s="13" t="s">
        <x:v>3992</x:v>
      </x:c>
      <x:c r="E31" s="12" t="s">
        <x:v>185</x:v>
      </x:c>
      <x:c r="F31" s="12" t="s">
        <x:v>195</x:v>
      </x:c>
      <x:c r="G31" s="13" t="s">
        <x:v>3979</x:v>
      </x:c>
      <x:c r="H31" s="12" t="s">
        <x:v>125</x:v>
      </x:c>
      <x:c r="I31" s="12" t="s">
        <x:v>140</x:v>
      </x:c>
      <x:c r="J31" s="14" t="n">
        <x:v>46232</x:v>
      </x:c>
      <x:c r="K31" s="13" t="s">
        <x:v>3993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3994</x:v>
      </x:c>
      <x:c r="B32" s="12" t="s">
        <x:v>1604</x:v>
      </x:c>
      <x:c r="C32" s="12" t="s">
        <x:v>3919</x:v>
      </x:c>
      <x:c r="D32" s="13" t="s">
        <x:v>3995</x:v>
      </x:c>
      <x:c r="E32" s="12" t="s">
        <x:v>160</x:v>
      </x:c>
      <x:c r="F32" s="12" t="s">
        <x:v>180</x:v>
      </x:c>
      <x:c r="G32" s="13" t="s">
        <x:v>3996</x:v>
      </x:c>
      <x:c r="H32" s="12" t="s">
        <x:v>125</x:v>
      </x:c>
      <x:c r="I32" s="12" t="s">
        <x:v>140</x:v>
      </x:c>
      <x:c r="J32" s="14" t="n">
        <x:v>46232</x:v>
      </x:c>
      <x:c r="K32" s="13" t="s">
        <x:v>3997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3998</x:v>
      </x:c>
      <x:c r="B33" s="12" t="s">
        <x:v>188</x:v>
      </x:c>
      <x:c r="C33" s="12" t="s">
        <x:v>3919</x:v>
      </x:c>
      <x:c r="D33" s="13" t="s">
        <x:v>3999</x:v>
      </x:c>
      <x:c r="E33" s="12" t="s">
        <x:v>185</x:v>
      </x:c>
      <x:c r="F33" s="12" t="s">
        <x:v>190</x:v>
      </x:c>
      <x:c r="G33" s="13" t="s">
        <x:v>3942</x:v>
      </x:c>
      <x:c r="H33" s="12" t="s">
        <x:v>125</x:v>
      </x:c>
      <x:c r="I33" s="12" t="s">
        <x:v>140</x:v>
      </x:c>
      <x:c r="J33" s="14" t="n">
        <x:v>46232</x:v>
      </x:c>
      <x:c r="K33" s="13" t="s">
        <x:v>4000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4001</x:v>
      </x:c>
      <x:c r="B34" s="12" t="s">
        <x:v>646</x:v>
      </x:c>
      <x:c r="C34" s="12" t="s">
        <x:v>1265</x:v>
      </x:c>
      <x:c r="D34" s="13" t="s">
        <x:v>4002</x:v>
      </x:c>
      <x:c r="E34" s="12" t="s">
        <x:v>160</x:v>
      </x:c>
      <x:c r="F34" s="12" t="s">
        <x:v>648</x:v>
      </x:c>
      <x:c r="G34" s="13" t="s">
        <x:v>4003</x:v>
      </x:c>
      <x:c r="H34" s="12" t="s">
        <x:v>125</x:v>
      </x:c>
      <x:c r="I34" s="12" t="s">
        <x:v>140</x:v>
      </x:c>
      <x:c r="J34" s="14" t="n">
        <x:v>46232</x:v>
      </x:c>
      <x:c r="K34" s="13" t="s">
        <x:v>4004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4005</x:v>
      </x:c>
      <x:c r="B35" s="12" t="s">
        <x:v>3020</x:v>
      </x:c>
      <x:c r="C35" s="12" t="s">
        <x:v>1265</x:v>
      </x:c>
      <x:c r="D35" s="13" t="s">
        <x:v>4006</x:v>
      </x:c>
      <x:c r="E35" s="12" t="s">
        <x:v>185</x:v>
      </x:c>
      <x:c r="F35" s="12" t="s">
        <x:v>195</x:v>
      </x:c>
      <x:c r="G35" s="13" t="s">
        <x:v>4007</x:v>
      </x:c>
      <x:c r="H35" s="12" t="s">
        <x:v>127</x:v>
      </x:c>
      <x:c r="I35" s="12" t="s">
        <x:v>139</x:v>
      </x:c>
      <x:c r="J35" s="14" t="n">
        <x:v>46232</x:v>
      </x:c>
      <x:c r="K35" s="13" t="s">
        <x:v>4008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4009</x:v>
      </x:c>
      <x:c r="B36" s="12" t="s">
        <x:v>2459</x:v>
      </x:c>
      <x:c r="C36" s="12" t="s">
        <x:v>3025</x:v>
      </x:c>
      <x:c r="D36" s="13" t="s">
        <x:v>4010</x:v>
      </x:c>
      <x:c r="E36" s="12" t="s">
        <x:v>160</x:v>
      </x:c>
      <x:c r="F36" s="12" t="s">
        <x:v>2685</x:v>
      </x:c>
      <x:c r="G36" s="13" t="s">
        <x:v>4011</x:v>
      </x:c>
      <x:c r="H36" s="12" t="s">
        <x:v>125</x:v>
      </x:c>
      <x:c r="I36" s="12" t="s">
        <x:v>140</x:v>
      </x:c>
      <x:c r="J36" s="14" t="n">
        <x:v>46232</x:v>
      </x:c>
      <x:c r="K36" s="13" t="s">
        <x:v>3028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 t="s">
        <x:v>4012</x:v>
      </x:c>
      <x:c r="B37" s="12" t="s">
        <x:v>224</x:v>
      </x:c>
      <x:c r="C37" s="12" t="s">
        <x:v>3919</x:v>
      </x:c>
      <x:c r="D37" s="13" t="s">
        <x:v>4013</x:v>
      </x:c>
      <x:c r="E37" s="12" t="s">
        <x:v>226</x:v>
      </x:c>
      <x:c r="F37" s="12" t="s">
        <x:v>226</x:v>
      </x:c>
      <x:c r="G37" s="13" t="s">
        <x:v>4014</x:v>
      </x:c>
      <x:c r="H37" s="12" t="s">
        <x:v>125</x:v>
      </x:c>
      <x:c r="I37" s="12" t="s">
        <x:v>140</x:v>
      </x:c>
      <x:c r="J37" s="14" t="n">
        <x:v>46232</x:v>
      </x:c>
      <x:c r="K37" s="13" t="s">
        <x:v>4015</x:v>
      </x:c>
      <x:c r="L37" s="12" t="n">
        <x:v>1</x:v>
      </x:c>
      <x:c r="M37" s="12" t="n">
        <x:f aca="0">IF(OR(AND(I37="yes",H37="verified"),AND(I37="no",OR(H37="tested",H37="verified")),AND(H37="not applicable",K37&lt;&gt;"")),1,0)</x:f>
        <x:v>1</x:v>
      </x:c>
    </x:row>
    <x:row r="38" s="4" customFormat="1" ht="54" hidden="0" customHeight="1">
      <x:c r="A38" s="12" t="s">
        <x:v>4016</x:v>
      </x:c>
      <x:c r="B38" s="12" t="s">
        <x:v>212</x:v>
      </x:c>
      <x:c r="C38" s="12" t="s">
        <x:v>3919</x:v>
      </x:c>
      <x:c r="D38" s="13" t="s">
        <x:v>4017</x:v>
      </x:c>
      <x:c r="E38" s="12" t="s">
        <x:v>3034</x:v>
      </x:c>
      <x:c r="F38" s="12" t="s">
        <x:v>201</x:v>
      </x:c>
      <x:c r="G38" s="13" t="s">
        <x:v>4018</x:v>
      </x:c>
      <x:c r="H38" s="12" t="s">
        <x:v>119</x:v>
      </x:c>
      <x:c r="I38" s="12" t="s">
        <x:v>139</x:v>
      </x:c>
      <x:c r="J38" s="14"/>
      <x:c r="K38" s="13" t="s">
        <x:v>4019</x:v>
      </x:c>
      <x:c r="L38" s="12" t="n">
        <x:v>1</x:v>
      </x:c>
      <x:c r="M38" s="12" t="n">
        <x:f aca="0">IF(OR(AND(I38="yes",H38="verified"),AND(I38="no",OR(H38="tested",H38="verified")),AND(H38="not applicable",K38&lt;&gt;"")),1,0)</x:f>
        <x:v>0</x:v>
      </x:c>
    </x:row>
    <x:row r="39" s="4" customFormat="1" ht="54" hidden="0" customHeight="1">
      <x:c r="A39" s="12" t="s">
        <x:v>4020</x:v>
      </x:c>
      <x:c r="B39" s="12" t="s">
        <x:v>229</x:v>
      </x:c>
      <x:c r="C39" s="12" t="s">
        <x:v>2701</x:v>
      </x:c>
      <x:c r="D39" s="13" t="s">
        <x:v>4021</x:v>
      </x:c>
      <x:c r="E39" s="12" t="s">
        <x:v>160</x:v>
      </x:c>
      <x:c r="F39" s="12" t="s">
        <x:v>160</x:v>
      </x:c>
      <x:c r="G39" s="13" t="s">
        <x:v>3039</x:v>
      </x:c>
      <x:c r="H39" s="12" t="s">
        <x:v>125</x:v>
      </x:c>
      <x:c r="I39" s="12" t="s">
        <x:v>140</x:v>
      </x:c>
      <x:c r="J39" s="14" t="n">
        <x:v>46232</x:v>
      </x:c>
      <x:c r="K39" s="13" t="s">
        <x:v>4022</x:v>
      </x:c>
      <x:c r="L39" s="12" t="n">
        <x:v>1</x:v>
      </x:c>
      <x:c r="M39" s="12" t="n">
        <x:f aca="0">IF(OR(AND(I39="yes",H39="verified"),AND(I39="no",OR(H39="tested",H39="verified")),AND(H39="not applicable",K39&lt;&gt;"")),1,0)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4023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4024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143</x:v>
      </x:c>
      <x:c r="E4" s="7" t="n">
        <x:f aca="0">SUM(M9:M30)</x:f>
        <x:v>21</x:v>
      </x:c>
      <x:c r="G4" s="6" t="s">
        <x:v>13</x:v>
      </x:c>
      <x:c r="H4" s="8" t="n">
        <x:f aca="0">IF(B4=0,0,E4/B4)</x:f>
        <x:v>0.9545454545454546</x:v>
      </x:c>
      <x:c r="J4" s="6" t="s">
        <x:v>14</x:v>
      </x:c>
      <x:c r="K4" s="7" t="str">
        <x:f aca="0">IF(COUNTIFS(E9:E30,"package",M9:M30,0)&gt;0,"open","complete")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4025</x:v>
      </x:c>
      <x:c r="B9" s="12" t="s">
        <x:v>117</x:v>
      </x:c>
      <x:c r="C9" s="12" t="s">
        <x:v>1265</x:v>
      </x:c>
      <x:c r="D9" s="13" t="s">
        <x:v>4026</x:v>
      </x:c>
      <x:c r="E9" s="12" t="s">
        <x:v>160</x:v>
      </x:c>
      <x:c r="F9" s="12" t="s">
        <x:v>161</x:v>
      </x:c>
      <x:c r="G9" s="13" t="s">
        <x:v>4027</x:v>
      </x:c>
      <x:c r="H9" s="12" t="s">
        <x:v>125</x:v>
      </x:c>
      <x:c r="I9" s="12" t="s">
        <x:v>140</x:v>
      </x:c>
      <x:c r="J9" s="14" t="n">
        <x:v>46230</x:v>
      </x:c>
      <x:c r="K9" s="13" t="s">
        <x:v>4028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4029</x:v>
      </x:c>
      <x:c r="B10" s="12" t="s">
        <x:v>2472</x:v>
      </x:c>
      <x:c r="C10" s="12" t="s">
        <x:v>1265</x:v>
      </x:c>
      <x:c r="D10" s="13" t="s">
        <x:v>4030</x:v>
      </x:c>
      <x:c r="E10" s="12" t="s">
        <x:v>160</x:v>
      </x:c>
      <x:c r="F10" s="12" t="s">
        <x:v>180</x:v>
      </x:c>
      <x:c r="G10" s="13" t="s">
        <x:v>4031</x:v>
      </x:c>
      <x:c r="H10" s="12" t="s">
        <x:v>125</x:v>
      </x:c>
      <x:c r="I10" s="12" t="s">
        <x:v>140</x:v>
      </x:c>
      <x:c r="J10" s="14" t="n">
        <x:v>46230</x:v>
      </x:c>
      <x:c r="K10" s="13" t="s">
        <x:v>4032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4033</x:v>
      </x:c>
      <x:c r="B11" s="12" t="s">
        <x:v>1423</x:v>
      </x:c>
      <x:c r="C11" s="12" t="s">
        <x:v>1265</x:v>
      </x:c>
      <x:c r="D11" s="13" t="s">
        <x:v>4034</x:v>
      </x:c>
      <x:c r="E11" s="12" t="s">
        <x:v>160</x:v>
      </x:c>
      <x:c r="F11" s="12" t="s">
        <x:v>180</x:v>
      </x:c>
      <x:c r="G11" s="13" t="s">
        <x:v>4031</x:v>
      </x:c>
      <x:c r="H11" s="12" t="s">
        <x:v>125</x:v>
      </x:c>
      <x:c r="I11" s="12" t="s">
        <x:v>140</x:v>
      </x:c>
      <x:c r="J11" s="14" t="n">
        <x:v>46230</x:v>
      </x:c>
      <x:c r="K11" s="13" t="s">
        <x:v>4035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4036</x:v>
      </x:c>
      <x:c r="B12" s="12" t="s">
        <x:v>168</x:v>
      </x:c>
      <x:c r="C12" s="12" t="s">
        <x:v>2481</x:v>
      </x:c>
      <x:c r="D12" s="13" t="s">
        <x:v>4037</x:v>
      </x:c>
      <x:c r="E12" s="12" t="s">
        <x:v>160</x:v>
      </x:c>
      <x:c r="F12" s="12" t="s">
        <x:v>170</x:v>
      </x:c>
      <x:c r="G12" s="13" t="s">
        <x:v>4038</x:v>
      </x:c>
      <x:c r="H12" s="12" t="s">
        <x:v>125</x:v>
      </x:c>
      <x:c r="I12" s="12" t="s">
        <x:v>140</x:v>
      </x:c>
      <x:c r="J12" s="14" t="n">
        <x:v>46230</x:v>
      </x:c>
      <x:c r="K12" s="13" t="s">
        <x:v>4039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4040</x:v>
      </x:c>
      <x:c r="B13" s="12" t="s">
        <x:v>164</x:v>
      </x:c>
      <x:c r="C13" s="12" t="s">
        <x:v>89</x:v>
      </x:c>
      <x:c r="D13" s="13" t="s">
        <x:v>4041</x:v>
      </x:c>
      <x:c r="E13" s="12" t="s">
        <x:v>160</x:v>
      </x:c>
      <x:c r="F13" s="12" t="s">
        <x:v>160</x:v>
      </x:c>
      <x:c r="G13" s="13" t="s">
        <x:v>2962</x:v>
      </x:c>
      <x:c r="H13" s="12" t="s">
        <x:v>125</x:v>
      </x:c>
      <x:c r="I13" s="12" t="s">
        <x:v>140</x:v>
      </x:c>
      <x:c r="J13" s="14" t="n">
        <x:v>46230</x:v>
      </x:c>
      <x:c r="K13" s="13" t="s">
        <x:v>4042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4043</x:v>
      </x:c>
      <x:c r="B14" s="12" t="s">
        <x:v>1391</x:v>
      </x:c>
      <x:c r="C14" s="12" t="s">
        <x:v>827</x:v>
      </x:c>
      <x:c r="D14" s="13" t="s">
        <x:v>4044</x:v>
      </x:c>
      <x:c r="E14" s="12" t="s">
        <x:v>160</x:v>
      </x:c>
      <x:c r="F14" s="12" t="s">
        <x:v>160</x:v>
      </x:c>
      <x:c r="G14" s="13" t="s">
        <x:v>1393</x:v>
      </x:c>
      <x:c r="H14" s="12" t="s">
        <x:v>125</x:v>
      </x:c>
      <x:c r="I14" s="12" t="s">
        <x:v>140</x:v>
      </x:c>
      <x:c r="J14" s="14" t="n">
        <x:v>46230</x:v>
      </x:c>
      <x:c r="K14" s="13" t="s">
        <x:v>4045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4046</x:v>
      </x:c>
      <x:c r="B15" s="12" t="s">
        <x:v>1649</x:v>
      </x:c>
      <x:c r="C15" s="12" t="s">
        <x:v>827</x:v>
      </x:c>
      <x:c r="D15" s="13" t="s">
        <x:v>4047</x:v>
      </x:c>
      <x:c r="E15" s="12" t="s">
        <x:v>160</x:v>
      </x:c>
      <x:c r="F15" s="12" t="s">
        <x:v>180</x:v>
      </x:c>
      <x:c r="G15" s="13" t="s">
        <x:v>4031</x:v>
      </x:c>
      <x:c r="H15" s="12" t="s">
        <x:v>125</x:v>
      </x:c>
      <x:c r="I15" s="12" t="s">
        <x:v>140</x:v>
      </x:c>
      <x:c r="J15" s="14" t="n">
        <x:v>46230</x:v>
      </x:c>
      <x:c r="K15" s="13" t="s">
        <x:v>4048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4049</x:v>
      </x:c>
      <x:c r="B16" s="12" t="s">
        <x:v>3513</x:v>
      </x:c>
      <x:c r="C16" s="12" t="s">
        <x:v>4050</x:v>
      </x:c>
      <x:c r="D16" s="13" t="s">
        <x:v>4051</x:v>
      </x:c>
      <x:c r="E16" s="12" t="s">
        <x:v>185</x:v>
      </x:c>
      <x:c r="F16" s="12" t="s">
        <x:v>185</x:v>
      </x:c>
      <x:c r="G16" s="13" t="s">
        <x:v>4052</x:v>
      </x:c>
      <x:c r="H16" s="12" t="s">
        <x:v>125</x:v>
      </x:c>
      <x:c r="I16" s="12" t="s">
        <x:v>140</x:v>
      </x:c>
      <x:c r="J16" s="14" t="n">
        <x:v>46230</x:v>
      </x:c>
      <x:c r="K16" s="13" t="s">
        <x:v>4053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4054</x:v>
      </x:c>
      <x:c r="B17" s="12" t="s">
        <x:v>1662</x:v>
      </x:c>
      <x:c r="C17" s="12" t="s">
        <x:v>4050</x:v>
      </x:c>
      <x:c r="D17" s="13" t="s">
        <x:v>4055</x:v>
      </x:c>
      <x:c r="E17" s="12" t="s">
        <x:v>185</x:v>
      </x:c>
      <x:c r="F17" s="12" t="s">
        <x:v>195</x:v>
      </x:c>
      <x:c r="G17" s="13" t="s">
        <x:v>4056</x:v>
      </x:c>
      <x:c r="H17" s="12" t="s">
        <x:v>125</x:v>
      </x:c>
      <x:c r="I17" s="12" t="s">
        <x:v>140</x:v>
      </x:c>
      <x:c r="J17" s="14" t="n">
        <x:v>46230</x:v>
      </x:c>
      <x:c r="K17" s="13" t="s">
        <x:v>4057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4058</x:v>
      </x:c>
      <x:c r="B18" s="12" t="s">
        <x:v>1213</x:v>
      </x:c>
      <x:c r="C18" s="12" t="s">
        <x:v>827</x:v>
      </x:c>
      <x:c r="D18" s="13" t="s">
        <x:v>4059</x:v>
      </x:c>
      <x:c r="E18" s="12" t="s">
        <x:v>185</x:v>
      </x:c>
      <x:c r="F18" s="12" t="s">
        <x:v>185</x:v>
      </x:c>
      <x:c r="G18" s="13" t="s">
        <x:v>4052</x:v>
      </x:c>
      <x:c r="H18" s="12" t="s">
        <x:v>125</x:v>
      </x:c>
      <x:c r="I18" s="12" t="s">
        <x:v>140</x:v>
      </x:c>
      <x:c r="J18" s="14" t="n">
        <x:v>46230</x:v>
      </x:c>
      <x:c r="K18" s="13" t="s">
        <x:v>4060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4061</x:v>
      </x:c>
      <x:c r="B19" s="12" t="s">
        <x:v>1310</x:v>
      </x:c>
      <x:c r="C19" s="12" t="s">
        <x:v>4062</x:v>
      </x:c>
      <x:c r="D19" s="13" t="s">
        <x:v>4063</x:v>
      </x:c>
      <x:c r="E19" s="12" t="s">
        <x:v>185</x:v>
      </x:c>
      <x:c r="F19" s="12" t="s">
        <x:v>185</x:v>
      </x:c>
      <x:c r="G19" s="13" t="s">
        <x:v>4052</x:v>
      </x:c>
      <x:c r="H19" s="12" t="s">
        <x:v>125</x:v>
      </x:c>
      <x:c r="I19" s="12" t="s">
        <x:v>140</x:v>
      </x:c>
      <x:c r="J19" s="14" t="n">
        <x:v>46230</x:v>
      </x:c>
      <x:c r="K19" s="13" t="s">
        <x:v>4064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4065</x:v>
      </x:c>
      <x:c r="B20" s="12" t="s">
        <x:v>4066</x:v>
      </x:c>
      <x:c r="C20" s="12" t="s">
        <x:v>4066</x:v>
      </x:c>
      <x:c r="D20" s="13" t="s">
        <x:v>4067</x:v>
      </x:c>
      <x:c r="E20" s="12" t="s">
        <x:v>160</x:v>
      </x:c>
      <x:c r="F20" s="12" t="s">
        <x:v>180</x:v>
      </x:c>
      <x:c r="G20" s="13" t="s">
        <x:v>4068</x:v>
      </x:c>
      <x:c r="H20" s="12" t="s">
        <x:v>125</x:v>
      </x:c>
      <x:c r="I20" s="12" t="s">
        <x:v>140</x:v>
      </x:c>
      <x:c r="J20" s="14" t="n">
        <x:v>46230</x:v>
      </x:c>
      <x:c r="K20" s="13" t="s">
        <x:v>4069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4070</x:v>
      </x:c>
      <x:c r="B21" s="12" t="s">
        <x:v>4071</x:v>
      </x:c>
      <x:c r="C21" s="12" t="s">
        <x:v>4072</x:v>
      </x:c>
      <x:c r="D21" s="13" t="s">
        <x:v>4073</x:v>
      </x:c>
      <x:c r="E21" s="12" t="s">
        <x:v>185</x:v>
      </x:c>
      <x:c r="F21" s="12" t="s">
        <x:v>185</x:v>
      </x:c>
      <x:c r="G21" s="13" t="s">
        <x:v>4052</x:v>
      </x:c>
      <x:c r="H21" s="12" t="s">
        <x:v>125</x:v>
      </x:c>
      <x:c r="I21" s="12" t="s">
        <x:v>140</x:v>
      </x:c>
      <x:c r="J21" s="14" t="n">
        <x:v>46230</x:v>
      </x:c>
      <x:c r="K21" s="13" t="s">
        <x:v>4074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4075</x:v>
      </x:c>
      <x:c r="B22" s="12" t="s">
        <x:v>199</x:v>
      </x:c>
      <x:c r="C22" s="12" t="s">
        <x:v>1265</x:v>
      </x:c>
      <x:c r="D22" s="13" t="s">
        <x:v>4076</x:v>
      </x:c>
      <x:c r="E22" s="12" t="s">
        <x:v>185</x:v>
      </x:c>
      <x:c r="F22" s="12" t="s">
        <x:v>195</x:v>
      </x:c>
      <x:c r="G22" s="13" t="s">
        <x:v>4056</x:v>
      </x:c>
      <x:c r="H22" s="12" t="s">
        <x:v>125</x:v>
      </x:c>
      <x:c r="I22" s="12" t="s">
        <x:v>140</x:v>
      </x:c>
      <x:c r="J22" s="14" t="n">
        <x:v>46230</x:v>
      </x:c>
      <x:c r="K22" s="13" t="s">
        <x:v>4077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4078</x:v>
      </x:c>
      <x:c r="B23" s="12" t="s">
        <x:v>2553</x:v>
      </x:c>
      <x:c r="C23" s="12" t="s">
        <x:v>4062</x:v>
      </x:c>
      <x:c r="D23" s="13" t="s">
        <x:v>4079</x:v>
      </x:c>
      <x:c r="E23" s="12" t="s">
        <x:v>185</x:v>
      </x:c>
      <x:c r="F23" s="12" t="s">
        <x:v>195</x:v>
      </x:c>
      <x:c r="G23" s="13" t="s">
        <x:v>4080</x:v>
      </x:c>
      <x:c r="H23" s="12" t="s">
        <x:v>125</x:v>
      </x:c>
      <x:c r="I23" s="12" t="s">
        <x:v>140</x:v>
      </x:c>
      <x:c r="J23" s="14" t="n">
        <x:v>46230</x:v>
      </x:c>
      <x:c r="K23" s="13" t="s">
        <x:v>4081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4082</x:v>
      </x:c>
      <x:c r="B24" s="12" t="s">
        <x:v>188</x:v>
      </x:c>
      <x:c r="C24" s="12" t="s">
        <x:v>827</x:v>
      </x:c>
      <x:c r="D24" s="13" t="s">
        <x:v>4083</x:v>
      </x:c>
      <x:c r="E24" s="12" t="s">
        <x:v>185</x:v>
      </x:c>
      <x:c r="F24" s="12" t="s">
        <x:v>190</x:v>
      </x:c>
      <x:c r="G24" s="13" t="s">
        <x:v>4052</x:v>
      </x:c>
      <x:c r="H24" s="12" t="s">
        <x:v>125</x:v>
      </x:c>
      <x:c r="I24" s="12" t="s">
        <x:v>140</x:v>
      </x:c>
      <x:c r="J24" s="14" t="n">
        <x:v>46230</x:v>
      </x:c>
      <x:c r="K24" s="13" t="s">
        <x:v>4084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4085</x:v>
      </x:c>
      <x:c r="B25" s="12" t="s">
        <x:v>646</x:v>
      </x:c>
      <x:c r="C25" s="12" t="s">
        <x:v>89</x:v>
      </x:c>
      <x:c r="D25" s="13" t="s">
        <x:v>4086</x:v>
      </x:c>
      <x:c r="E25" s="12" t="s">
        <x:v>160</x:v>
      </x:c>
      <x:c r="F25" s="12" t="s">
        <x:v>648</x:v>
      </x:c>
      <x:c r="G25" s="13" t="s">
        <x:v>4087</x:v>
      </x:c>
      <x:c r="H25" s="12" t="s">
        <x:v>125</x:v>
      </x:c>
      <x:c r="I25" s="12" t="s">
        <x:v>140</x:v>
      </x:c>
      <x:c r="J25" s="14" t="n">
        <x:v>46230</x:v>
      </x:c>
      <x:c r="K25" s="13" t="s">
        <x:v>4088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4089</x:v>
      </x:c>
      <x:c r="B26" s="12" t="s">
        <x:v>2459</x:v>
      </x:c>
      <x:c r="C26" s="12" t="s">
        <x:v>89</x:v>
      </x:c>
      <x:c r="D26" s="13" t="s">
        <x:v>4090</x:v>
      </x:c>
      <x:c r="E26" s="12" t="s">
        <x:v>160</x:v>
      </x:c>
      <x:c r="F26" s="12" t="s">
        <x:v>217</x:v>
      </x:c>
      <x:c r="G26" s="13" t="s">
        <x:v>4091</x:v>
      </x:c>
      <x:c r="H26" s="12" t="s">
        <x:v>125</x:v>
      </x:c>
      <x:c r="I26" s="12" t="s">
        <x:v>140</x:v>
      </x:c>
      <x:c r="J26" s="14" t="n">
        <x:v>46230</x:v>
      </x:c>
      <x:c r="K26" s="13" t="s">
        <x:v>3550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4092</x:v>
      </x:c>
      <x:c r="B27" s="12" t="s">
        <x:v>220</x:v>
      </x:c>
      <x:c r="C27" s="12" t="s">
        <x:v>89</x:v>
      </x:c>
      <x:c r="D27" s="13" t="s">
        <x:v>4093</x:v>
      </x:c>
      <x:c r="E27" s="12" t="s">
        <x:v>160</x:v>
      </x:c>
      <x:c r="F27" s="12" t="s">
        <x:v>217</x:v>
      </x:c>
      <x:c r="G27" s="13" t="s">
        <x:v>4094</x:v>
      </x:c>
      <x:c r="H27" s="12" t="s">
        <x:v>125</x:v>
      </x:c>
      <x:c r="I27" s="12" t="s">
        <x:v>140</x:v>
      </x:c>
      <x:c r="J27" s="14" t="n">
        <x:v>46230</x:v>
      </x:c>
      <x:c r="K27" s="13" t="s">
        <x:v>4095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4096</x:v>
      </x:c>
      <x:c r="B28" s="12" t="s">
        <x:v>224</x:v>
      </x:c>
      <x:c r="C28" s="12" t="s">
        <x:v>89</x:v>
      </x:c>
      <x:c r="D28" s="13" t="s">
        <x:v>4097</x:v>
      </x:c>
      <x:c r="E28" s="12" t="s">
        <x:v>226</x:v>
      </x:c>
      <x:c r="F28" s="12" t="s">
        <x:v>226</x:v>
      </x:c>
      <x:c r="G28" s="13" t="s">
        <x:v>2620</x:v>
      </x:c>
      <x:c r="H28" s="12" t="s">
        <x:v>125</x:v>
      </x:c>
      <x:c r="I28" s="12" t="s">
        <x:v>140</x:v>
      </x:c>
      <x:c r="J28" s="14" t="n">
        <x:v>46230</x:v>
      </x:c>
      <x:c r="K28" s="13" t="s">
        <x:v>4098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4099</x:v>
      </x:c>
      <x:c r="B29" s="12" t="s">
        <x:v>212</x:v>
      </x:c>
      <x:c r="C29" s="12" t="s">
        <x:v>89</x:v>
      </x:c>
      <x:c r="D29" s="13" t="s">
        <x:v>4100</x:v>
      </x:c>
      <x:c r="E29" s="12" t="s">
        <x:v>3034</x:v>
      </x:c>
      <x:c r="F29" s="12" t="s">
        <x:v>201</x:v>
      </x:c>
      <x:c r="G29" s="13" t="s">
        <x:v>4101</x:v>
      </x:c>
      <x:c r="H29" s="12" t="s">
        <x:v>119</x:v>
      </x:c>
      <x:c r="I29" s="12" t="s">
        <x:v>139</x:v>
      </x:c>
      <x:c r="J29" s="14" t="n">
        <x:v>46230</x:v>
      </x:c>
      <x:c r="K29" s="13" t="s">
        <x:v>1882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4102</x:v>
      </x:c>
      <x:c r="B30" s="12" t="s">
        <x:v>229</x:v>
      </x:c>
      <x:c r="C30" s="12" t="s">
        <x:v>89</x:v>
      </x:c>
      <x:c r="D30" s="13" t="s">
        <x:v>2624</x:v>
      </x:c>
      <x:c r="E30" s="12" t="s">
        <x:v>160</x:v>
      </x:c>
      <x:c r="F30" s="12" t="s">
        <x:v>160</x:v>
      </x:c>
      <x:c r="G30" s="13" t="s">
        <x:v>4103</x:v>
      </x:c>
      <x:c r="H30" s="12" t="s">
        <x:v>125</x:v>
      </x:c>
      <x:c r="I30" s="12" t="s">
        <x:v>140</x:v>
      </x:c>
      <x:c r="J30" s="14" t="n">
        <x:v>46230</x:v>
      </x:c>
      <x:c r="K30" s="13" t="s">
        <x:v>4104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conditionalFormatting sqref="H9:H30">
    <x:cfRule type="expression" dxfId="12" priority="2" aboveAverage="0" percent="0" bottom="0" rank="0" equalAverage="0">
      <x:formula>H9="verified"</x:formula>
    </x:cfRule>
  </x:conditionalFormatting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4105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4106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143</x:v>
      </x:c>
      <x:c r="E4" s="7" t="n">
        <x:f aca="0">SUM(M9:M30)</x:f>
        <x:v>21</x:v>
      </x:c>
      <x:c r="G4" s="6" t="s">
        <x:v>13</x:v>
      </x:c>
      <x:c r="H4" s="8" t="n">
        <x:f aca="0">IF(B4=0,0,E4/B4)</x:f>
        <x:v>0.9545454545454546</x:v>
      </x:c>
      <x:c r="J4" s="6" t="s">
        <x:v>14</x:v>
      </x:c>
      <x:c r="K4" s="7" t="str">
        <x:f aca="0">IF(COUNTIFS(E9:E30,"package",M9:M30,0)&gt;0,"open","complete")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4107</x:v>
      </x:c>
      <x:c r="B9" s="12" t="s">
        <x:v>117</x:v>
      </x:c>
      <x:c r="C9" s="12" t="s">
        <x:v>1265</x:v>
      </x:c>
      <x:c r="D9" s="13" t="s">
        <x:v>4108</x:v>
      </x:c>
      <x:c r="E9" s="12" t="s">
        <x:v>160</x:v>
      </x:c>
      <x:c r="F9" s="12" t="s">
        <x:v>161</x:v>
      </x:c>
      <x:c r="G9" s="13" t="s">
        <x:v>4109</x:v>
      </x:c>
      <x:c r="H9" s="12" t="s">
        <x:v>125</x:v>
      </x:c>
      <x:c r="I9" s="12" t="s">
        <x:v>140</x:v>
      </x:c>
      <x:c r="J9" s="14" t="n">
        <x:v>46230</x:v>
      </x:c>
      <x:c r="K9" s="13" t="s">
        <x:v>4028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4110</x:v>
      </x:c>
      <x:c r="B10" s="12" t="s">
        <x:v>2472</x:v>
      </x:c>
      <x:c r="C10" s="12" t="s">
        <x:v>1265</x:v>
      </x:c>
      <x:c r="D10" s="13" t="s">
        <x:v>4111</x:v>
      </x:c>
      <x:c r="E10" s="12" t="s">
        <x:v>160</x:v>
      </x:c>
      <x:c r="F10" s="12" t="s">
        <x:v>180</x:v>
      </x:c>
      <x:c r="G10" s="13" t="s">
        <x:v>4112</x:v>
      </x:c>
      <x:c r="H10" s="12" t="s">
        <x:v>125</x:v>
      </x:c>
      <x:c r="I10" s="12" t="s">
        <x:v>140</x:v>
      </x:c>
      <x:c r="J10" s="14" t="n">
        <x:v>46230</x:v>
      </x:c>
      <x:c r="K10" s="13" t="s">
        <x:v>4032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4113</x:v>
      </x:c>
      <x:c r="B11" s="12" t="s">
        <x:v>1423</x:v>
      </x:c>
      <x:c r="C11" s="12" t="s">
        <x:v>1265</x:v>
      </x:c>
      <x:c r="D11" s="13" t="s">
        <x:v>4114</x:v>
      </x:c>
      <x:c r="E11" s="12" t="s">
        <x:v>160</x:v>
      </x:c>
      <x:c r="F11" s="12" t="s">
        <x:v>180</x:v>
      </x:c>
      <x:c r="G11" s="13" t="s">
        <x:v>4112</x:v>
      </x:c>
      <x:c r="H11" s="12" t="s">
        <x:v>125</x:v>
      </x:c>
      <x:c r="I11" s="12" t="s">
        <x:v>140</x:v>
      </x:c>
      <x:c r="J11" s="14" t="n">
        <x:v>46230</x:v>
      </x:c>
      <x:c r="K11" s="13" t="s">
        <x:v>4115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4116</x:v>
      </x:c>
      <x:c r="B12" s="12" t="s">
        <x:v>168</x:v>
      </x:c>
      <x:c r="C12" s="12" t="s">
        <x:v>2481</x:v>
      </x:c>
      <x:c r="D12" s="13" t="s">
        <x:v>4117</x:v>
      </x:c>
      <x:c r="E12" s="12" t="s">
        <x:v>160</x:v>
      </x:c>
      <x:c r="F12" s="12" t="s">
        <x:v>170</x:v>
      </x:c>
      <x:c r="G12" s="13" t="s">
        <x:v>4118</x:v>
      </x:c>
      <x:c r="H12" s="12" t="s">
        <x:v>125</x:v>
      </x:c>
      <x:c r="I12" s="12" t="s">
        <x:v>140</x:v>
      </x:c>
      <x:c r="J12" s="14" t="n">
        <x:v>46230</x:v>
      </x:c>
      <x:c r="K12" s="13" t="s">
        <x:v>4119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4120</x:v>
      </x:c>
      <x:c r="B13" s="12" t="s">
        <x:v>164</x:v>
      </x:c>
      <x:c r="C13" s="12" t="s">
        <x:v>90</x:v>
      </x:c>
      <x:c r="D13" s="13" t="s">
        <x:v>4121</x:v>
      </x:c>
      <x:c r="E13" s="12" t="s">
        <x:v>160</x:v>
      </x:c>
      <x:c r="F13" s="12" t="s">
        <x:v>160</x:v>
      </x:c>
      <x:c r="G13" s="13" t="s">
        <x:v>2962</x:v>
      </x:c>
      <x:c r="H13" s="12" t="s">
        <x:v>125</x:v>
      </x:c>
      <x:c r="I13" s="12" t="s">
        <x:v>140</x:v>
      </x:c>
      <x:c r="J13" s="14" t="n">
        <x:v>46230</x:v>
      </x:c>
      <x:c r="K13" s="13" t="s">
        <x:v>4042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4122</x:v>
      </x:c>
      <x:c r="B14" s="12" t="s">
        <x:v>1391</x:v>
      </x:c>
      <x:c r="C14" s="12" t="s">
        <x:v>827</x:v>
      </x:c>
      <x:c r="D14" s="13" t="s">
        <x:v>4123</x:v>
      </x:c>
      <x:c r="E14" s="12" t="s">
        <x:v>160</x:v>
      </x:c>
      <x:c r="F14" s="12" t="s">
        <x:v>160</x:v>
      </x:c>
      <x:c r="G14" s="13" t="s">
        <x:v>1393</x:v>
      </x:c>
      <x:c r="H14" s="12" t="s">
        <x:v>125</x:v>
      </x:c>
      <x:c r="I14" s="12" t="s">
        <x:v>140</x:v>
      </x:c>
      <x:c r="J14" s="14" t="n">
        <x:v>46230</x:v>
      </x:c>
      <x:c r="K14" s="13" t="s">
        <x:v>4045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4124</x:v>
      </x:c>
      <x:c r="B15" s="12" t="s">
        <x:v>1649</x:v>
      </x:c>
      <x:c r="C15" s="12" t="s">
        <x:v>827</x:v>
      </x:c>
      <x:c r="D15" s="13" t="s">
        <x:v>4125</x:v>
      </x:c>
      <x:c r="E15" s="12" t="s">
        <x:v>160</x:v>
      </x:c>
      <x:c r="F15" s="12" t="s">
        <x:v>180</x:v>
      </x:c>
      <x:c r="G15" s="13" t="s">
        <x:v>4112</x:v>
      </x:c>
      <x:c r="H15" s="12" t="s">
        <x:v>125</x:v>
      </x:c>
      <x:c r="I15" s="12" t="s">
        <x:v>140</x:v>
      </x:c>
      <x:c r="J15" s="14" t="n">
        <x:v>46230</x:v>
      </x:c>
      <x:c r="K15" s="13" t="s">
        <x:v>4048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4126</x:v>
      </x:c>
      <x:c r="B16" s="12" t="s">
        <x:v>3513</x:v>
      </x:c>
      <x:c r="C16" s="12" t="s">
        <x:v>4050</x:v>
      </x:c>
      <x:c r="D16" s="13" t="s">
        <x:v>4051</x:v>
      </x:c>
      <x:c r="E16" s="12" t="s">
        <x:v>185</x:v>
      </x:c>
      <x:c r="F16" s="12" t="s">
        <x:v>185</x:v>
      </x:c>
      <x:c r="G16" s="13" t="s">
        <x:v>4127</x:v>
      </x:c>
      <x:c r="H16" s="12" t="s">
        <x:v>125</x:v>
      </x:c>
      <x:c r="I16" s="12" t="s">
        <x:v>140</x:v>
      </x:c>
      <x:c r="J16" s="14" t="n">
        <x:v>46230</x:v>
      </x:c>
      <x:c r="K16" s="13" t="s">
        <x:v>4053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4128</x:v>
      </x:c>
      <x:c r="B17" s="12" t="s">
        <x:v>1374</x:v>
      </x:c>
      <x:c r="C17" s="12" t="s">
        <x:v>4129</x:v>
      </x:c>
      <x:c r="D17" s="13" t="s">
        <x:v>4130</x:v>
      </x:c>
      <x:c r="E17" s="12" t="s">
        <x:v>185</x:v>
      </x:c>
      <x:c r="F17" s="12" t="s">
        <x:v>185</x:v>
      </x:c>
      <x:c r="G17" s="13" t="s">
        <x:v>4127</x:v>
      </x:c>
      <x:c r="H17" s="12" t="s">
        <x:v>125</x:v>
      </x:c>
      <x:c r="I17" s="12" t="s">
        <x:v>140</x:v>
      </x:c>
      <x:c r="J17" s="14" t="n">
        <x:v>46230</x:v>
      </x:c>
      <x:c r="K17" s="13" t="s">
        <x:v>4131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4132</x:v>
      </x:c>
      <x:c r="B18" s="12" t="s">
        <x:v>1213</x:v>
      </x:c>
      <x:c r="C18" s="12" t="s">
        <x:v>827</x:v>
      </x:c>
      <x:c r="D18" s="13" t="s">
        <x:v>4133</x:v>
      </x:c>
      <x:c r="E18" s="12" t="s">
        <x:v>185</x:v>
      </x:c>
      <x:c r="F18" s="12" t="s">
        <x:v>185</x:v>
      </x:c>
      <x:c r="G18" s="13" t="s">
        <x:v>4127</x:v>
      </x:c>
      <x:c r="H18" s="12" t="s">
        <x:v>125</x:v>
      </x:c>
      <x:c r="I18" s="12" t="s">
        <x:v>140</x:v>
      </x:c>
      <x:c r="J18" s="14" t="n">
        <x:v>46230</x:v>
      </x:c>
      <x:c r="K18" s="13" t="s">
        <x:v>4060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4134</x:v>
      </x:c>
      <x:c r="B19" s="12" t="s">
        <x:v>1310</x:v>
      </x:c>
      <x:c r="C19" s="12" t="s">
        <x:v>4129</x:v>
      </x:c>
      <x:c r="D19" s="13" t="s">
        <x:v>4135</x:v>
      </x:c>
      <x:c r="E19" s="12" t="s">
        <x:v>185</x:v>
      </x:c>
      <x:c r="F19" s="12" t="s">
        <x:v>185</x:v>
      </x:c>
      <x:c r="G19" s="13" t="s">
        <x:v>4127</x:v>
      </x:c>
      <x:c r="H19" s="12" t="s">
        <x:v>125</x:v>
      </x:c>
      <x:c r="I19" s="12" t="s">
        <x:v>140</x:v>
      </x:c>
      <x:c r="J19" s="14" t="n">
        <x:v>46230</x:v>
      </x:c>
      <x:c r="K19" s="13" t="s">
        <x:v>4136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4137</x:v>
      </x:c>
      <x:c r="B20" s="12" t="s">
        <x:v>1662</x:v>
      </x:c>
      <x:c r="C20" s="12" t="s">
        <x:v>1864</x:v>
      </x:c>
      <x:c r="D20" s="13" t="s">
        <x:v>4138</x:v>
      </x:c>
      <x:c r="E20" s="12" t="s">
        <x:v>185</x:v>
      </x:c>
      <x:c r="F20" s="12" t="s">
        <x:v>195</x:v>
      </x:c>
      <x:c r="G20" s="13" t="s">
        <x:v>4139</x:v>
      </x:c>
      <x:c r="H20" s="12" t="s">
        <x:v>125</x:v>
      </x:c>
      <x:c r="I20" s="12" t="s">
        <x:v>140</x:v>
      </x:c>
      <x:c r="J20" s="14" t="n">
        <x:v>46230</x:v>
      </x:c>
      <x:c r="K20" s="13" t="s">
        <x:v>4057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4140</x:v>
      </x:c>
      <x:c r="B21" s="12" t="s">
        <x:v>4071</x:v>
      </x:c>
      <x:c r="C21" s="12" t="s">
        <x:v>4072</x:v>
      </x:c>
      <x:c r="D21" s="13" t="s">
        <x:v>4073</x:v>
      </x:c>
      <x:c r="E21" s="12" t="s">
        <x:v>185</x:v>
      </x:c>
      <x:c r="F21" s="12" t="s">
        <x:v>185</x:v>
      </x:c>
      <x:c r="G21" s="13" t="s">
        <x:v>4127</x:v>
      </x:c>
      <x:c r="H21" s="12" t="s">
        <x:v>125</x:v>
      </x:c>
      <x:c r="I21" s="12" t="s">
        <x:v>140</x:v>
      </x:c>
      <x:c r="J21" s="14" t="n">
        <x:v>46230</x:v>
      </x:c>
      <x:c r="K21" s="13" t="s">
        <x:v>4141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4142</x:v>
      </x:c>
      <x:c r="B22" s="12" t="s">
        <x:v>199</x:v>
      </x:c>
      <x:c r="C22" s="12" t="s">
        <x:v>1265</x:v>
      </x:c>
      <x:c r="D22" s="13" t="s">
        <x:v>4143</x:v>
      </x:c>
      <x:c r="E22" s="12" t="s">
        <x:v>185</x:v>
      </x:c>
      <x:c r="F22" s="12" t="s">
        <x:v>195</x:v>
      </x:c>
      <x:c r="G22" s="13" t="s">
        <x:v>4139</x:v>
      </x:c>
      <x:c r="H22" s="12" t="s">
        <x:v>125</x:v>
      </x:c>
      <x:c r="I22" s="12" t="s">
        <x:v>140</x:v>
      </x:c>
      <x:c r="J22" s="14" t="n">
        <x:v>46230</x:v>
      </x:c>
      <x:c r="K22" s="13" t="s">
        <x:v>4077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4144</x:v>
      </x:c>
      <x:c r="B23" s="12" t="s">
        <x:v>2553</x:v>
      </x:c>
      <x:c r="C23" s="12" t="s">
        <x:v>4129</x:v>
      </x:c>
      <x:c r="D23" s="13" t="s">
        <x:v>4145</x:v>
      </x:c>
      <x:c r="E23" s="12" t="s">
        <x:v>185</x:v>
      </x:c>
      <x:c r="F23" s="12" t="s">
        <x:v>195</x:v>
      </x:c>
      <x:c r="G23" s="13" t="s">
        <x:v>4146</x:v>
      </x:c>
      <x:c r="H23" s="12" t="s">
        <x:v>125</x:v>
      </x:c>
      <x:c r="I23" s="12" t="s">
        <x:v>140</x:v>
      </x:c>
      <x:c r="J23" s="14" t="n">
        <x:v>46230</x:v>
      </x:c>
      <x:c r="K23" s="13" t="s">
        <x:v>4081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4147</x:v>
      </x:c>
      <x:c r="B24" s="12" t="s">
        <x:v>188</x:v>
      </x:c>
      <x:c r="C24" s="12" t="s">
        <x:v>4148</x:v>
      </x:c>
      <x:c r="D24" s="13" t="s">
        <x:v>4149</x:v>
      </x:c>
      <x:c r="E24" s="12" t="s">
        <x:v>185</x:v>
      </x:c>
      <x:c r="F24" s="12" t="s">
        <x:v>190</x:v>
      </x:c>
      <x:c r="G24" s="13" t="s">
        <x:v>4127</x:v>
      </x:c>
      <x:c r="H24" s="12" t="s">
        <x:v>125</x:v>
      </x:c>
      <x:c r="I24" s="12" t="s">
        <x:v>140</x:v>
      </x:c>
      <x:c r="J24" s="14" t="n">
        <x:v>46230</x:v>
      </x:c>
      <x:c r="K24" s="13" t="s">
        <x:v>4084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4150</x:v>
      </x:c>
      <x:c r="B25" s="12" t="s">
        <x:v>646</x:v>
      </x:c>
      <x:c r="C25" s="12" t="s">
        <x:v>90</x:v>
      </x:c>
      <x:c r="D25" s="13" t="s">
        <x:v>4086</x:v>
      </x:c>
      <x:c r="E25" s="12" t="s">
        <x:v>160</x:v>
      </x:c>
      <x:c r="F25" s="12" t="s">
        <x:v>648</x:v>
      </x:c>
      <x:c r="G25" s="13" t="s">
        <x:v>4151</x:v>
      </x:c>
      <x:c r="H25" s="12" t="s">
        <x:v>125</x:v>
      </x:c>
      <x:c r="I25" s="12" t="s">
        <x:v>140</x:v>
      </x:c>
      <x:c r="J25" s="14" t="n">
        <x:v>46230</x:v>
      </x:c>
      <x:c r="K25" s="13" t="s">
        <x:v>4088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4152</x:v>
      </x:c>
      <x:c r="B26" s="12" t="s">
        <x:v>2459</x:v>
      </x:c>
      <x:c r="C26" s="12" t="s">
        <x:v>90</x:v>
      </x:c>
      <x:c r="D26" s="13" t="s">
        <x:v>4153</x:v>
      </x:c>
      <x:c r="E26" s="12" t="s">
        <x:v>160</x:v>
      </x:c>
      <x:c r="F26" s="12" t="s">
        <x:v>217</x:v>
      </x:c>
      <x:c r="G26" s="13" t="s">
        <x:v>4154</x:v>
      </x:c>
      <x:c r="H26" s="12" t="s">
        <x:v>125</x:v>
      </x:c>
      <x:c r="I26" s="12" t="s">
        <x:v>140</x:v>
      </x:c>
      <x:c r="J26" s="14" t="n">
        <x:v>46230</x:v>
      </x:c>
      <x:c r="K26" s="13" t="s">
        <x:v>3550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4155</x:v>
      </x:c>
      <x:c r="B27" s="12" t="s">
        <x:v>220</x:v>
      </x:c>
      <x:c r="C27" s="12" t="s">
        <x:v>90</x:v>
      </x:c>
      <x:c r="D27" s="13" t="s">
        <x:v>4156</x:v>
      </x:c>
      <x:c r="E27" s="12" t="s">
        <x:v>160</x:v>
      </x:c>
      <x:c r="F27" s="12" t="s">
        <x:v>217</x:v>
      </x:c>
      <x:c r="G27" s="13" t="s">
        <x:v>4157</x:v>
      </x:c>
      <x:c r="H27" s="12" t="s">
        <x:v>125</x:v>
      </x:c>
      <x:c r="I27" s="12" t="s">
        <x:v>140</x:v>
      </x:c>
      <x:c r="J27" s="14" t="n">
        <x:v>46230</x:v>
      </x:c>
      <x:c r="K27" s="13" t="s">
        <x:v>4095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4158</x:v>
      </x:c>
      <x:c r="B28" s="12" t="s">
        <x:v>224</x:v>
      </x:c>
      <x:c r="C28" s="12" t="s">
        <x:v>90</x:v>
      </x:c>
      <x:c r="D28" s="13" t="s">
        <x:v>4159</x:v>
      </x:c>
      <x:c r="E28" s="12" t="s">
        <x:v>226</x:v>
      </x:c>
      <x:c r="F28" s="12" t="s">
        <x:v>226</x:v>
      </x:c>
      <x:c r="G28" s="13" t="s">
        <x:v>2620</x:v>
      </x:c>
      <x:c r="H28" s="12" t="s">
        <x:v>125</x:v>
      </x:c>
      <x:c r="I28" s="12" t="s">
        <x:v>140</x:v>
      </x:c>
      <x:c r="J28" s="14" t="n">
        <x:v>46230</x:v>
      </x:c>
      <x:c r="K28" s="13" t="s">
        <x:v>4098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4160</x:v>
      </x:c>
      <x:c r="B29" s="12" t="s">
        <x:v>212</x:v>
      </x:c>
      <x:c r="C29" s="12" t="s">
        <x:v>90</x:v>
      </x:c>
      <x:c r="D29" s="13" t="s">
        <x:v>4100</x:v>
      </x:c>
      <x:c r="E29" s="12" t="s">
        <x:v>3034</x:v>
      </x:c>
      <x:c r="F29" s="12" t="s">
        <x:v>201</x:v>
      </x:c>
      <x:c r="G29" s="13" t="s">
        <x:v>4161</x:v>
      </x:c>
      <x:c r="H29" s="12" t="s">
        <x:v>119</x:v>
      </x:c>
      <x:c r="I29" s="12" t="s">
        <x:v>139</x:v>
      </x:c>
      <x:c r="J29" s="14" t="n">
        <x:v>46230</x:v>
      </x:c>
      <x:c r="K29" s="13" t="s">
        <x:v>1882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4162</x:v>
      </x:c>
      <x:c r="B30" s="12" t="s">
        <x:v>229</x:v>
      </x:c>
      <x:c r="C30" s="12" t="s">
        <x:v>90</x:v>
      </x:c>
      <x:c r="D30" s="13" t="s">
        <x:v>2624</x:v>
      </x:c>
      <x:c r="E30" s="12" t="s">
        <x:v>160</x:v>
      </x:c>
      <x:c r="F30" s="12" t="s">
        <x:v>160</x:v>
      </x:c>
      <x:c r="G30" s="13" t="s">
        <x:v>4103</x:v>
      </x:c>
      <x:c r="H30" s="12" t="s">
        <x:v>125</x:v>
      </x:c>
      <x:c r="I30" s="12" t="s">
        <x:v>140</x:v>
      </x:c>
      <x:c r="J30" s="14" t="n">
        <x:v>46230</x:v>
      </x:c>
      <x:c r="K30" s="13" t="s">
        <x:v>4104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conditionalFormatting sqref="H9:H30">
    <x:cfRule type="expression" dxfId="12" priority="2" aboveAverage="0" percent="0" bottom="0" rank="0" equalAverage="0">
      <x:formula>H9="verified"</x:formula>
    </x:cfRule>
  </x:conditionalFormatting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4163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4164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COUNTA(A9:A33)</x:f>
        <x:v>25</x:v>
      </x:c>
      <x:c r="D4" s="6" t="s">
        <x:v>143</x:v>
      </x:c>
      <x:c r="E4" s="7" t="n">
        <x:f aca="0">SUM(M9:M33)</x:f>
        <x:v>16</x:v>
      </x:c>
      <x:c r="G4" s="6" t="s">
        <x:v>13</x:v>
      </x:c>
      <x:c r="H4" s="8" t="n">
        <x:f aca="0">IF(B4=0,0,E4/B4)</x:f>
        <x:v>0.64</x:v>
      </x:c>
      <x:c r="J4" s="6" t="s">
        <x:v>14</x:v>
      </x:c>
      <x:c r="K4" s="7" t="str">
        <x:f aca="0">IF(COUNTIFS(E9:E33,"package",M9:M33,0)&gt;0,"open","complete")</x:f>
        <x:v>complete</x:v>
      </x:c>
    </x:row>
    <x:row r="5" s="4" customFormat="1" ht="17.25" hidden="0" customHeight="1">
      <x:c r="A5" s="6" t="s">
        <x:v>144</x:v>
      </x:c>
      <x:c r="B5" s="7" t="str">
        <x:f aca="0">IF(COUNTIFS(I9:I33,"yes",M9:M33,0)&gt;0,"open","complete")</x:f>
        <x:v>open</x:v>
      </x:c>
      <x:c r="D5" s="6" t="s">
        <x:v>15</x:v>
      </x:c>
      <x:c r="E5" s="7" t="str">
        <x:f aca="0">IF(COUNTIFS(E9:E33,"consumer",M9:M33,0)&gt;0,"open","complete")</x:f>
        <x:v>open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4165</x:v>
      </x:c>
      <x:c r="B9" s="12" t="s">
        <x:v>117</x:v>
      </x:c>
      <x:c r="C9" s="12" t="s">
        <x:v>1265</x:v>
      </x:c>
      <x:c r="D9" s="13" t="s">
        <x:v>4166</x:v>
      </x:c>
      <x:c r="E9" s="12" t="s">
        <x:v>160</x:v>
      </x:c>
      <x:c r="F9" s="12" t="s">
        <x:v>161</x:v>
      </x:c>
      <x:c r="G9" s="13" t="s">
        <x:v>4167</x:v>
      </x:c>
      <x:c r="H9" s="12" t="s">
        <x:v>125</x:v>
      </x:c>
      <x:c r="I9" s="12" t="s">
        <x:v>140</x:v>
      </x:c>
      <x:c r="J9" s="14" t="n">
        <x:v>46241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4168</x:v>
      </x:c>
      <x:c r="B10" s="12" t="s">
        <x:v>2472</x:v>
      </x:c>
      <x:c r="C10" s="12" t="s">
        <x:v>1265</x:v>
      </x:c>
      <x:c r="D10" s="13" t="s">
        <x:v>4169</x:v>
      </x:c>
      <x:c r="E10" s="12" t="s">
        <x:v>160</x:v>
      </x:c>
      <x:c r="F10" s="12" t="s">
        <x:v>180</x:v>
      </x:c>
      <x:c r="G10" s="13" t="s">
        <x:v>4170</x:v>
      </x:c>
      <x:c r="H10" s="12" t="s">
        <x:v>125</x:v>
      </x:c>
      <x:c r="I10" s="12" t="s">
        <x:v>140</x:v>
      </x:c>
      <x:c r="J10" s="14" t="n">
        <x:v>46241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4171</x:v>
      </x:c>
      <x:c r="B11" s="12" t="s">
        <x:v>1423</x:v>
      </x:c>
      <x:c r="C11" s="12" t="s">
        <x:v>1265</x:v>
      </x:c>
      <x:c r="D11" s="13" t="s">
        <x:v>4172</x:v>
      </x:c>
      <x:c r="E11" s="12" t="s">
        <x:v>160</x:v>
      </x:c>
      <x:c r="F11" s="12" t="s">
        <x:v>180</x:v>
      </x:c>
      <x:c r="G11" s="13" t="s">
        <x:v>4170</x:v>
      </x:c>
      <x:c r="H11" s="12" t="s">
        <x:v>125</x:v>
      </x:c>
      <x:c r="I11" s="12" t="s">
        <x:v>140</x:v>
      </x:c>
      <x:c r="J11" s="14" t="n">
        <x:v>46241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4173</x:v>
      </x:c>
      <x:c r="B12" s="12" t="s">
        <x:v>168</x:v>
      </x:c>
      <x:c r="C12" s="12" t="s">
        <x:v>2481</x:v>
      </x:c>
      <x:c r="D12" s="13" t="s">
        <x:v>4174</x:v>
      </x:c>
      <x:c r="E12" s="12" t="s">
        <x:v>160</x:v>
      </x:c>
      <x:c r="F12" s="12" t="s">
        <x:v>170</x:v>
      </x:c>
      <x:c r="G12" s="13" t="s">
        <x:v>4175</x:v>
      </x:c>
      <x:c r="H12" s="12" t="s">
        <x:v>125</x:v>
      </x:c>
      <x:c r="I12" s="12" t="s">
        <x:v>140</x:v>
      </x:c>
      <x:c r="J12" s="14" t="n">
        <x:v>46241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4176</x:v>
      </x:c>
      <x:c r="B13" s="12" t="s">
        <x:v>164</x:v>
      </x:c>
      <x:c r="C13" s="12" t="s">
        <x:v>1265</x:v>
      </x:c>
      <x:c r="D13" s="13" t="s">
        <x:v>4177</x:v>
      </x:c>
      <x:c r="E13" s="12" t="s">
        <x:v>160</x:v>
      </x:c>
      <x:c r="F13" s="12" t="s">
        <x:v>160</x:v>
      </x:c>
      <x:c r="G13" s="13" t="s">
        <x:v>166</x:v>
      </x:c>
      <x:c r="H13" s="12" t="s">
        <x:v>125</x:v>
      </x:c>
      <x:c r="I13" s="12" t="s">
        <x:v>140</x:v>
      </x:c>
      <x:c r="J13" s="14" t="n">
        <x:v>46241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4178</x:v>
      </x:c>
      <x:c r="B14" s="12" t="s">
        <x:v>4179</x:v>
      </x:c>
      <x:c r="C14" s="12" t="s">
        <x:v>4180</x:v>
      </x:c>
      <x:c r="D14" s="13" t="s">
        <x:v>4181</x:v>
      </x:c>
      <x:c r="E14" s="12" t="s">
        <x:v>160</x:v>
      </x:c>
      <x:c r="F14" s="12" t="s">
        <x:v>160</x:v>
      </x:c>
      <x:c r="G14" s="13" t="s">
        <x:v>4182</x:v>
      </x:c>
      <x:c r="H14" s="12" t="s">
        <x:v>125</x:v>
      </x:c>
      <x:c r="I14" s="12" t="s">
        <x:v>140</x:v>
      </x:c>
      <x:c r="J14" s="14" t="n">
        <x:v>46241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4183</x:v>
      </x:c>
      <x:c r="B15" s="12" t="s">
        <x:v>1649</x:v>
      </x:c>
      <x:c r="C15" s="12" t="s">
        <x:v>827</x:v>
      </x:c>
      <x:c r="D15" s="13" t="s">
        <x:v>4184</x:v>
      </x:c>
      <x:c r="E15" s="12" t="s">
        <x:v>160</x:v>
      </x:c>
      <x:c r="F15" s="12" t="s">
        <x:v>180</x:v>
      </x:c>
      <x:c r="G15" s="13" t="s">
        <x:v>4170</x:v>
      </x:c>
      <x:c r="H15" s="12" t="s">
        <x:v>125</x:v>
      </x:c>
      <x:c r="I15" s="12" t="s">
        <x:v>140</x:v>
      </x:c>
      <x:c r="J15" s="14" t="n">
        <x:v>46241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4185</x:v>
      </x:c>
      <x:c r="B16" s="12" t="s">
        <x:v>2654</x:v>
      </x:c>
      <x:c r="C16" s="12" t="s">
        <x:v>4186</x:v>
      </x:c>
      <x:c r="D16" s="13" t="s">
        <x:v>4187</x:v>
      </x:c>
      <x:c r="E16" s="12" t="s">
        <x:v>160</x:v>
      </x:c>
      <x:c r="F16" s="12" t="s">
        <x:v>185</x:v>
      </x:c>
      <x:c r="G16" s="13" t="s">
        <x:v>4188</x:v>
      </x:c>
      <x:c r="H16" s="12" t="s">
        <x:v>125</x:v>
      </x:c>
      <x:c r="I16" s="12" t="s">
        <x:v>140</x:v>
      </x:c>
      <x:c r="J16" s="14" t="n">
        <x:v>46241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4189</x:v>
      </x:c>
      <x:c r="B17" s="12" t="s">
        <x:v>4190</x:v>
      </x:c>
      <x:c r="C17" s="12" t="s">
        <x:v>4191</x:v>
      </x:c>
      <x:c r="D17" s="13" t="s">
        <x:v>4192</x:v>
      </x:c>
      <x:c r="E17" s="12" t="s">
        <x:v>160</x:v>
      </x:c>
      <x:c r="F17" s="12" t="s">
        <x:v>185</x:v>
      </x:c>
      <x:c r="G17" s="13" t="s">
        <x:v>4188</x:v>
      </x:c>
      <x:c r="H17" s="12" t="s">
        <x:v>125</x:v>
      </x:c>
      <x:c r="I17" s="12" t="s">
        <x:v>140</x:v>
      </x:c>
      <x:c r="J17" s="14" t="n">
        <x:v>46241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4193</x:v>
      </x:c>
      <x:c r="B18" s="12" t="s">
        <x:v>1991</x:v>
      </x:c>
      <x:c r="C18" s="12" t="s">
        <x:v>3634</x:v>
      </x:c>
      <x:c r="D18" s="13" t="s">
        <x:v>4194</x:v>
      </x:c>
      <x:c r="E18" s="12" t="s">
        <x:v>160</x:v>
      </x:c>
      <x:c r="F18" s="12" t="s">
        <x:v>185</x:v>
      </x:c>
      <x:c r="G18" s="13" t="s">
        <x:v>4188</x:v>
      </x:c>
      <x:c r="H18" s="12" t="s">
        <x:v>125</x:v>
      </x:c>
      <x:c r="I18" s="12" t="s">
        <x:v>140</x:v>
      </x:c>
      <x:c r="J18" s="14" t="n">
        <x:v>46241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4195</x:v>
      </x:c>
      <x:c r="B19" s="12" t="s">
        <x:v>2731</x:v>
      </x:c>
      <x:c r="C19" s="12" t="s">
        <x:v>2661</x:v>
      </x:c>
      <x:c r="D19" s="13" t="s">
        <x:v>4196</x:v>
      </x:c>
      <x:c r="E19" s="12" t="s">
        <x:v>160</x:v>
      </x:c>
      <x:c r="F19" s="12" t="s">
        <x:v>185</x:v>
      </x:c>
      <x:c r="G19" s="13" t="s">
        <x:v>4188</x:v>
      </x:c>
      <x:c r="H19" s="12" t="s">
        <x:v>125</x:v>
      </x:c>
      <x:c r="I19" s="12" t="s">
        <x:v>140</x:v>
      </x:c>
      <x:c r="J19" s="14" t="n">
        <x:v>46241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4197</x:v>
      </x:c>
      <x:c r="B20" s="12" t="s">
        <x:v>4198</x:v>
      </x:c>
      <x:c r="C20" s="12" t="s">
        <x:v>4199</x:v>
      </x:c>
      <x:c r="D20" s="13" t="s">
        <x:v>4200</x:v>
      </x:c>
      <x:c r="E20" s="12" t="s">
        <x:v>160</x:v>
      </x:c>
      <x:c r="F20" s="12" t="s">
        <x:v>185</x:v>
      </x:c>
      <x:c r="G20" s="13" t="s">
        <x:v>4188</x:v>
      </x:c>
      <x:c r="H20" s="12" t="s">
        <x:v>125</x:v>
      </x:c>
      <x:c r="I20" s="12" t="s">
        <x:v>140</x:v>
      </x:c>
      <x:c r="J20" s="14" t="n">
        <x:v>46241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4201</x:v>
      </x:c>
      <x:c r="B21" s="12" t="s">
        <x:v>188</x:v>
      </x:c>
      <x:c r="C21" s="12" t="s">
        <x:v>4202</x:v>
      </x:c>
      <x:c r="D21" s="13" t="s">
        <x:v>4203</x:v>
      </x:c>
      <x:c r="E21" s="12" t="s">
        <x:v>160</x:v>
      </x:c>
      <x:c r="F21" s="12" t="s">
        <x:v>180</x:v>
      </x:c>
      <x:c r="G21" s="13" t="s">
        <x:v>4170</x:v>
      </x:c>
      <x:c r="H21" s="12" t="s">
        <x:v>125</x:v>
      </x:c>
      <x:c r="I21" s="12" t="s">
        <x:v>140</x:v>
      </x:c>
      <x:c r="J21" s="14" t="n">
        <x:v>46241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4204</x:v>
      </x:c>
      <x:c r="B22" s="12" t="s">
        <x:v>188</x:v>
      </x:c>
      <x:c r="C22" s="12" t="s">
        <x:v>2654</x:v>
      </x:c>
      <x:c r="D22" s="13" t="s">
        <x:v>4205</x:v>
      </x:c>
      <x:c r="E22" s="12" t="s">
        <x:v>160</x:v>
      </x:c>
      <x:c r="F22" s="12" t="s">
        <x:v>185</x:v>
      </x:c>
      <x:c r="G22" s="13" t="s">
        <x:v>4188</x:v>
      </x:c>
      <x:c r="H22" s="12" t="s">
        <x:v>125</x:v>
      </x:c>
      <x:c r="I22" s="12" t="s">
        <x:v>140</x:v>
      </x:c>
      <x:c r="J22" s="14" t="n">
        <x:v>46241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4206</x:v>
      </x:c>
      <x:c r="B23" s="12" t="s">
        <x:v>188</x:v>
      </x:c>
      <x:c r="C23" s="12" t="s">
        <x:v>4207</x:v>
      </x:c>
      <x:c r="D23" s="13" t="s">
        <x:v>4208</x:v>
      </x:c>
      <x:c r="E23" s="12" t="s">
        <x:v>160</x:v>
      </x:c>
      <x:c r="F23" s="12" t="s">
        <x:v>185</x:v>
      </x:c>
      <x:c r="G23" s="13" t="s">
        <x:v>4188</x:v>
      </x:c>
      <x:c r="H23" s="12" t="s">
        <x:v>125</x:v>
      </x:c>
      <x:c r="I23" s="12" t="s">
        <x:v>140</x:v>
      </x:c>
      <x:c r="J23" s="14" t="n">
        <x:v>46241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4209</x:v>
      </x:c>
      <x:c r="B24" s="12" t="s">
        <x:v>1213</x:v>
      </x:c>
      <x:c r="C24" s="12" t="s">
        <x:v>827</x:v>
      </x:c>
      <x:c r="D24" s="13" t="s">
        <x:v>4210</x:v>
      </x:c>
      <x:c r="E24" s="12" t="s">
        <x:v>648</x:v>
      </x:c>
      <x:c r="F24" s="12" t="s">
        <x:v>195</x:v>
      </x:c>
      <x:c r="G24" s="13" t="s">
        <x:v>4211</x:v>
      </x:c>
      <x:c r="H24" s="12" t="s">
        <x:v>123</x:v>
      </x:c>
      <x:c r="I24" s="12" t="s">
        <x:v>139</x:v>
      </x:c>
      <x:c r="J24" s="14"/>
      <x:c r="K24" s="13"/>
      <x:c r="L24" s="12" t="n">
        <x:v>0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4212</x:v>
      </x:c>
      <x:c r="B25" s="12" t="s">
        <x:v>4213</x:v>
      </x:c>
      <x:c r="C25" s="12" t="s">
        <x:v>827</x:v>
      </x:c>
      <x:c r="D25" s="13" t="s">
        <x:v>4214</x:v>
      </x:c>
      <x:c r="E25" s="12" t="s">
        <x:v>648</x:v>
      </x:c>
      <x:c r="F25" s="12" t="s">
        <x:v>195</x:v>
      </x:c>
      <x:c r="G25" s="13" t="s">
        <x:v>4211</x:v>
      </x:c>
      <x:c r="H25" s="12" t="s">
        <x:v>123</x:v>
      </x:c>
      <x:c r="I25" s="12" t="s">
        <x:v>139</x:v>
      </x:c>
      <x:c r="J25" s="14"/>
      <x:c r="K25" s="13"/>
      <x:c r="L25" s="12" t="n">
        <x:v>0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4215</x:v>
      </x:c>
      <x:c r="B26" s="12" t="s">
        <x:v>93</x:v>
      </x:c>
      <x:c r="C26" s="12" t="s">
        <x:v>1265</x:v>
      </x:c>
      <x:c r="D26" s="13" t="s">
        <x:v>4216</x:v>
      </x:c>
      <x:c r="E26" s="12" t="s">
        <x:v>648</x:v>
      </x:c>
      <x:c r="F26" s="12" t="s">
        <x:v>195</x:v>
      </x:c>
      <x:c r="G26" s="13" t="s">
        <x:v>4211</x:v>
      </x:c>
      <x:c r="H26" s="12" t="s">
        <x:v>123</x:v>
      </x:c>
      <x:c r="I26" s="12" t="s">
        <x:v>139</x:v>
      </x:c>
      <x:c r="J26" s="14"/>
      <x:c r="K26" s="13"/>
      <x:c r="L26" s="12" t="n">
        <x:v>0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54" hidden="0" customHeight="1">
      <x:c r="A27" s="12" t="s">
        <x:v>4217</x:v>
      </x:c>
      <x:c r="B27" s="12" t="s">
        <x:v>2360</x:v>
      </x:c>
      <x:c r="C27" s="12" t="s">
        <x:v>1265</x:v>
      </x:c>
      <x:c r="D27" s="13" t="s">
        <x:v>4218</x:v>
      </x:c>
      <x:c r="E27" s="12" t="s">
        <x:v>201</x:v>
      </x:c>
      <x:c r="F27" s="12" t="s">
        <x:v>201</x:v>
      </x:c>
      <x:c r="G27" s="13" t="s">
        <x:v>4219</x:v>
      </x:c>
      <x:c r="H27" s="12" t="s">
        <x:v>119</x:v>
      </x:c>
      <x:c r="I27" s="12" t="s">
        <x:v>139</x:v>
      </x:c>
      <x:c r="J27" s="14"/>
      <x:c r="K27" s="13"/>
      <x:c r="L27" s="12" t="n">
        <x:v>0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4220</x:v>
      </x:c>
      <x:c r="B28" s="12" t="s">
        <x:v>1310</x:v>
      </x:c>
      <x:c r="C28" s="12" t="s">
        <x:v>1265</x:v>
      </x:c>
      <x:c r="D28" s="13" t="s">
        <x:v>4221</x:v>
      </x:c>
      <x:c r="E28" s="12" t="s">
        <x:v>201</x:v>
      </x:c>
      <x:c r="F28" s="12" t="s">
        <x:v>201</x:v>
      </x:c>
      <x:c r="G28" s="13" t="s">
        <x:v>4219</x:v>
      </x:c>
      <x:c r="H28" s="12" t="s">
        <x:v>119</x:v>
      </x:c>
      <x:c r="I28" s="12" t="s">
        <x:v>139</x:v>
      </x:c>
      <x:c r="J28" s="14"/>
      <x:c r="K28" s="13"/>
      <x:c r="L28" s="12" t="n">
        <x:v>0</x:v>
      </x:c>
      <x:c r="M28" s="12" t="n">
        <x:f aca="0">IF(OR(AND(I28="yes",H28="verified"),AND(I28="no",OR(H28="tested",H28="verified")),AND(H28="not applicable",K28&lt;&gt;"")),1,0)</x:f>
        <x:v>0</x:v>
      </x:c>
    </x:row>
    <x:row r="29" s="4" customFormat="1" ht="54" hidden="0" customHeight="1">
      <x:c r="A29" s="12" t="s">
        <x:v>4222</x:v>
      </x:c>
      <x:c r="B29" s="12" t="s">
        <x:v>4223</x:v>
      </x:c>
      <x:c r="C29" s="12" t="s">
        <x:v>1265</x:v>
      </x:c>
      <x:c r="D29" s="13" t="s">
        <x:v>4224</x:v>
      </x:c>
      <x:c r="E29" s="12" t="s">
        <x:v>201</x:v>
      </x:c>
      <x:c r="F29" s="12" t="s">
        <x:v>201</x:v>
      </x:c>
      <x:c r="G29" s="13" t="s">
        <x:v>4219</x:v>
      </x:c>
      <x:c r="H29" s="12" t="s">
        <x:v>119</x:v>
      </x:c>
      <x:c r="I29" s="12" t="s">
        <x:v>139</x:v>
      </x:c>
      <x:c r="J29" s="14"/>
      <x:c r="K29" s="13"/>
      <x:c r="L29" s="12" t="n">
        <x:v>0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4225</x:v>
      </x:c>
      <x:c r="B30" s="12" t="s">
        <x:v>4226</x:v>
      </x:c>
      <x:c r="C30" s="12" t="s">
        <x:v>2654</x:v>
      </x:c>
      <x:c r="D30" s="13" t="s">
        <x:v>4227</x:v>
      </x:c>
      <x:c r="E30" s="12" t="s">
        <x:v>201</x:v>
      </x:c>
      <x:c r="F30" s="12" t="s">
        <x:v>201</x:v>
      </x:c>
      <x:c r="G30" s="13" t="s">
        <x:v>4219</x:v>
      </x:c>
      <x:c r="H30" s="12" t="s">
        <x:v>119</x:v>
      </x:c>
      <x:c r="I30" s="12" t="s">
        <x:v>139</x:v>
      </x:c>
      <x:c r="J30" s="14"/>
      <x:c r="K30" s="13"/>
      <x:c r="L30" s="12" t="n">
        <x:v>0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4228</x:v>
      </x:c>
      <x:c r="B31" s="12" t="s">
        <x:v>4229</x:v>
      </x:c>
      <x:c r="C31" s="12" t="s">
        <x:v>1265</x:v>
      </x:c>
      <x:c r="D31" s="13" t="s">
        <x:v>4230</x:v>
      </x:c>
      <x:c r="E31" s="12" t="s">
        <x:v>201</x:v>
      </x:c>
      <x:c r="F31" s="12" t="s">
        <x:v>201</x:v>
      </x:c>
      <x:c r="G31" s="13" t="s">
        <x:v>4219</x:v>
      </x:c>
      <x:c r="H31" s="12" t="s">
        <x:v>119</x:v>
      </x:c>
      <x:c r="I31" s="12" t="s">
        <x:v>139</x:v>
      </x:c>
      <x:c r="J31" s="14"/>
      <x:c r="K31" s="13"/>
      <x:c r="L31" s="12" t="n">
        <x:v>0</x:v>
      </x:c>
      <x:c r="M31" s="12" t="n">
        <x:f aca="0">IF(OR(AND(I31="yes",H31="verified"),AND(I31="no",OR(H31="tested",H31="verified")),AND(H31="not applicable",K31&lt;&gt;"")),1,0)</x:f>
        <x:v>0</x:v>
      </x:c>
    </x:row>
    <x:row r="32" s="4" customFormat="1" ht="54" hidden="0" customHeight="1">
      <x:c r="A32" s="12" t="s">
        <x:v>4231</x:v>
      </x:c>
      <x:c r="B32" s="12" t="s">
        <x:v>4232</x:v>
      </x:c>
      <x:c r="C32" s="12" t="s">
        <x:v>1991</x:v>
      </x:c>
      <x:c r="D32" s="13" t="s">
        <x:v>4233</x:v>
      </x:c>
      <x:c r="E32" s="12" t="s">
        <x:v>160</x:v>
      </x:c>
      <x:c r="F32" s="12" t="s">
        <x:v>2685</x:v>
      </x:c>
      <x:c r="G32" s="13" t="s">
        <x:v>4234</x:v>
      </x:c>
      <x:c r="H32" s="12" t="s">
        <x:v>125</x:v>
      </x:c>
      <x:c r="I32" s="12" t="s">
        <x:v>140</x:v>
      </x:c>
      <x:c r="J32" s="14" t="n">
        <x:v>46241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4235</x:v>
      </x:c>
      <x:c r="B33" s="12" t="s">
        <x:v>224</x:v>
      </x:c>
      <x:c r="C33" s="12" t="s">
        <x:v>208</x:v>
      </x:c>
      <x:c r="D33" s="13" t="s">
        <x:v>4236</x:v>
      </x:c>
      <x:c r="E33" s="12" t="s">
        <x:v>226</x:v>
      </x:c>
      <x:c r="F33" s="12" t="s">
        <x:v>226</x:v>
      </x:c>
      <x:c r="G33" s="13" t="s">
        <x:v>4237</x:v>
      </x:c>
      <x:c r="H33" s="12" t="s">
        <x:v>123</x:v>
      </x:c>
      <x:c r="I33" s="12" t="s">
        <x:v>140</x:v>
      </x:c>
      <x:c r="J33" s="14"/>
      <x:c r="K33" s="13"/>
      <x:c r="L33" s="12" t="n">
        <x:v>0</x:v>
      </x:c>
      <x:c r="M33" s="12" t="n">
        <x:f aca="0">IF(OR(AND(I33="yes",H33="verified"),AND(I33="no",OR(H33="tested",H33="verified")),AND(H33="not applicable",K33&lt;&gt;"")),1,0)</x:f>
        <x:v>0</x:v>
      </x:c>
    </x:row>
    <x:row r="34" s="4" customFormat="1" ht="54" hidden="0" customHeight="1"/>
    <x:row r="35" s="4" customFormat="1" ht="54" hidden="0" customHeight="1"/>
    <x:row r="36" s="4" customFormat="1" ht="54" hidden="0" customHeight="1"/>
    <x:row r="37" s="4" customFormat="1" ht="54" hidden="0" customHeight="1"/>
    <x:row r="38" s="4" customFormat="1" ht="54" hidden="0" customHeight="1"/>
    <x:row r="39" s="4" customFormat="1" ht="54" hidden="0" customHeight="1"/>
  </x:sheetData>
  <x:mergeCells>
    <x:mergeCell ref="A1:M1"/>
    <x:mergeCell ref="A2:M2"/>
  </x:mergeCell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4238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143</x:v>
      </x:c>
      <x:c r="E4" s="7" t="n">
        <x:f aca="0">SUM(M9:M24)</x:f>
        <x:v>13</x:v>
      </x:c>
      <x:c r="G4" s="6" t="s">
        <x:v>13</x:v>
      </x:c>
      <x:c r="H4" s="8" t="n">
        <x:f aca="0">IF(B4=0,0,E4/B4)</x:f>
        <x:v>0.8125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4239</x:v>
      </x:c>
      <x:c r="B9" s="12" t="s">
        <x:v>157</x:v>
      </x:c>
      <x:c r="C9" s="12" t="s">
        <x:v>1633</x:v>
      </x:c>
      <x:c r="D9" s="13" t="s">
        <x:v>4240</x:v>
      </x:c>
      <x:c r="E9" s="12" t="s">
        <x:v>160</x:v>
      </x:c>
      <x:c r="F9" s="12" t="s">
        <x:v>161</x:v>
      </x:c>
      <x:c r="G9" s="13" t="s">
        <x:v>4241</x:v>
      </x:c>
      <x:c r="H9" s="12" t="s">
        <x:v>125</x:v>
      </x:c>
      <x:c r="I9" s="12" t="s">
        <x:v>140</x:v>
      </x:c>
      <x:c r="J9" s="14" t="n">
        <x:v>46244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4242</x:v>
      </x:c>
      <x:c r="B10" s="12" t="s">
        <x:v>1423</x:v>
      </x:c>
      <x:c r="C10" s="12" t="s">
        <x:v>1633</x:v>
      </x:c>
      <x:c r="D10" s="13" t="s">
        <x:v>4243</x:v>
      </x:c>
      <x:c r="E10" s="12" t="s">
        <x:v>160</x:v>
      </x:c>
      <x:c r="F10" s="12" t="s">
        <x:v>180</x:v>
      </x:c>
      <x:c r="G10" s="13" t="s">
        <x:v>4244</x:v>
      </x:c>
      <x:c r="H10" s="12" t="s">
        <x:v>125</x:v>
      </x:c>
      <x:c r="I10" s="12" t="s">
        <x:v>140</x:v>
      </x:c>
      <x:c r="J10" s="14" t="n">
        <x:v>46244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4245</x:v>
      </x:c>
      <x:c r="B11" s="12" t="s">
        <x:v>164</x:v>
      </x:c>
      <x:c r="C11" s="12" t="s">
        <x:v>92</x:v>
      </x:c>
      <x:c r="D11" s="13" t="s">
        <x:v>4246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n">
        <x:v>46244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4247</x:v>
      </x:c>
      <x:c r="B12" s="12" t="s">
        <x:v>168</x:v>
      </x:c>
      <x:c r="C12" s="12" t="s">
        <x:v>1633</x:v>
      </x:c>
      <x:c r="D12" s="13" t="s">
        <x:v>4248</x:v>
      </x:c>
      <x:c r="E12" s="12" t="s">
        <x:v>160</x:v>
      </x:c>
      <x:c r="F12" s="12" t="s">
        <x:v>170</x:v>
      </x:c>
      <x:c r="G12" s="13" t="s">
        <x:v>4249</x:v>
      </x:c>
      <x:c r="H12" s="12" t="s">
        <x:v>125</x:v>
      </x:c>
      <x:c r="I12" s="12" t="s">
        <x:v>140</x:v>
      </x:c>
      <x:c r="J12" s="14" t="n">
        <x:v>46244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4250</x:v>
      </x:c>
      <x:c r="B13" s="12" t="s">
        <x:v>173</x:v>
      </x:c>
      <x:c r="C13" s="12" t="s">
        <x:v>1633</x:v>
      </x:c>
      <x:c r="D13" s="13" t="s">
        <x:v>4251</x:v>
      </x:c>
      <x:c r="E13" s="12" t="s">
        <x:v>160</x:v>
      </x:c>
      <x:c r="F13" s="12" t="s">
        <x:v>175</x:v>
      </x:c>
      <x:c r="G13" s="13" t="s">
        <x:v>4252</x:v>
      </x:c>
      <x:c r="H13" s="12" t="s">
        <x:v>125</x:v>
      </x:c>
      <x:c r="I13" s="12" t="s">
        <x:v>140</x:v>
      </x:c>
      <x:c r="J13" s="14" t="n">
        <x:v>46244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4253</x:v>
      </x:c>
      <x:c r="B14" s="12" t="s">
        <x:v>178</x:v>
      </x:c>
      <x:c r="C14" s="12" t="s">
        <x:v>1633</x:v>
      </x:c>
      <x:c r="D14" s="13" t="s">
        <x:v>4254</x:v>
      </x:c>
      <x:c r="E14" s="12" t="s">
        <x:v>160</x:v>
      </x:c>
      <x:c r="F14" s="12" t="s">
        <x:v>180</x:v>
      </x:c>
      <x:c r="G14" s="13" t="s">
        <x:v>4244</x:v>
      </x:c>
      <x:c r="H14" s="12" t="s">
        <x:v>125</x:v>
      </x:c>
      <x:c r="I14" s="12" t="s">
        <x:v>140</x:v>
      </x:c>
      <x:c r="J14" s="14" t="n">
        <x:v>46244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4255</x:v>
      </x:c>
      <x:c r="B15" s="12" t="s">
        <x:v>183</x:v>
      </x:c>
      <x:c r="C15" s="12" t="s">
        <x:v>1633</x:v>
      </x:c>
      <x:c r="D15" s="13" t="s">
        <x:v>4256</x:v>
      </x:c>
      <x:c r="E15" s="12" t="s">
        <x:v>160</x:v>
      </x:c>
      <x:c r="F15" s="12" t="s">
        <x:v>185</x:v>
      </x:c>
      <x:c r="G15" s="13" t="s">
        <x:v>4257</x:v>
      </x:c>
      <x:c r="H15" s="12" t="s">
        <x:v>125</x:v>
      </x:c>
      <x:c r="I15" s="12" t="s">
        <x:v>140</x:v>
      </x:c>
      <x:c r="J15" s="14" t="n">
        <x:v>46244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4258</x:v>
      </x:c>
      <x:c r="B16" s="12" t="s">
        <x:v>4213</x:v>
      </x:c>
      <x:c r="C16" s="12" t="s">
        <x:v>930</x:v>
      </x:c>
      <x:c r="D16" s="13" t="s">
        <x:v>4259</x:v>
      </x:c>
      <x:c r="E16" s="12" t="s">
        <x:v>160</x:v>
      </x:c>
      <x:c r="F16" s="12" t="s">
        <x:v>195</x:v>
      </x:c>
      <x:c r="G16" s="13" t="s">
        <x:v>4260</x:v>
      </x:c>
      <x:c r="H16" s="12" t="s">
        <x:v>127</x:v>
      </x:c>
      <x:c r="I16" s="12" t="s">
        <x:v>139</x:v>
      </x:c>
      <x:c r="J16" s="14" t="n">
        <x:v>46244</x:v>
      </x:c>
      <x:c r="K16" s="13" t="s">
        <x:v>4261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4262</x:v>
      </x:c>
      <x:c r="B17" s="12" t="s">
        <x:v>208</x:v>
      </x:c>
      <x:c r="C17" s="12" t="s">
        <x:v>930</x:v>
      </x:c>
      <x:c r="D17" s="13" t="s">
        <x:v>4263</x:v>
      </x:c>
      <x:c r="E17" s="12" t="s">
        <x:v>160</x:v>
      </x:c>
      <x:c r="F17" s="12" t="s">
        <x:v>185</x:v>
      </x:c>
      <x:c r="G17" s="13" t="s">
        <x:v>4257</x:v>
      </x:c>
      <x:c r="H17" s="12" t="s">
        <x:v>125</x:v>
      </x:c>
      <x:c r="I17" s="12" t="s">
        <x:v>140</x:v>
      </x:c>
      <x:c r="J17" s="14" t="n">
        <x:v>46244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4264</x:v>
      </x:c>
      <x:c r="B18" s="12" t="s">
        <x:v>188</x:v>
      </x:c>
      <x:c r="C18" s="12" t="s">
        <x:v>1633</x:v>
      </x:c>
      <x:c r="D18" s="13" t="s">
        <x:v>4265</x:v>
      </x:c>
      <x:c r="E18" s="12" t="s">
        <x:v>160</x:v>
      </x:c>
      <x:c r="F18" s="12" t="s">
        <x:v>190</x:v>
      </x:c>
      <x:c r="G18" s="13" t="s">
        <x:v>4257</x:v>
      </x:c>
      <x:c r="H18" s="12" t="s">
        <x:v>125</x:v>
      </x:c>
      <x:c r="I18" s="12" t="s">
        <x:v>140</x:v>
      </x:c>
      <x:c r="J18" s="14" t="n">
        <x:v>46244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4266</x:v>
      </x:c>
      <x:c r="B19" s="12" t="s">
        <x:v>199</x:v>
      </x:c>
      <x:c r="C19" s="12" t="s">
        <x:v>1633</x:v>
      </x:c>
      <x:c r="D19" s="13" t="s">
        <x:v>4267</x:v>
      </x:c>
      <x:c r="E19" s="12" t="s">
        <x:v>160</x:v>
      </x:c>
      <x:c r="F19" s="12" t="s">
        <x:v>201</x:v>
      </x:c>
      <x:c r="G19" s="13" t="s">
        <x:v>4268</x:v>
      </x:c>
      <x:c r="H19" s="12" t="s">
        <x:v>123</x:v>
      </x:c>
      <x:c r="I19" s="12" t="s">
        <x:v>139</x:v>
      </x:c>
      <x:c r="J19" s="14"/>
      <x:c r="K19" s="13" t="s">
        <x:v>4269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4270</x:v>
      </x:c>
      <x:c r="B20" s="12" t="s">
        <x:v>212</x:v>
      </x:c>
      <x:c r="C20" s="12" t="s">
        <x:v>92</x:v>
      </x:c>
      <x:c r="D20" s="13" t="s">
        <x:v>4271</x:v>
      </x:c>
      <x:c r="E20" s="12" t="s">
        <x:v>160</x:v>
      </x:c>
      <x:c r="F20" s="12" t="s">
        <x:v>201</x:v>
      </x:c>
      <x:c r="G20" s="13" t="s">
        <x:v>4268</x:v>
      </x:c>
      <x:c r="H20" s="12" t="s">
        <x:v>123</x:v>
      </x:c>
      <x:c r="I20" s="12" t="s">
        <x:v>139</x:v>
      </x:c>
      <x:c r="J20" s="14"/>
      <x:c r="K20" s="13" t="s">
        <x:v>4272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4273</x:v>
      </x:c>
      <x:c r="B21" s="12" t="s">
        <x:v>215</x:v>
      </x:c>
      <x:c r="C21" s="12" t="s">
        <x:v>92</x:v>
      </x:c>
      <x:c r="D21" s="13" t="s">
        <x:v>4274</x:v>
      </x:c>
      <x:c r="E21" s="12" t="s">
        <x:v>160</x:v>
      </x:c>
      <x:c r="F21" s="12" t="s">
        <x:v>217</x:v>
      </x:c>
      <x:c r="G21" s="13" t="s">
        <x:v>4275</x:v>
      </x:c>
      <x:c r="H21" s="12" t="s">
        <x:v>125</x:v>
      </x:c>
      <x:c r="I21" s="12" t="s">
        <x:v>140</x:v>
      </x:c>
      <x:c r="J21" s="14" t="n">
        <x:v>46244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4276</x:v>
      </x:c>
      <x:c r="B22" s="12" t="s">
        <x:v>220</x:v>
      </x:c>
      <x:c r="C22" s="12" t="s">
        <x:v>92</x:v>
      </x:c>
      <x:c r="D22" s="13" t="s">
        <x:v>4277</x:v>
      </x:c>
      <x:c r="E22" s="12" t="s">
        <x:v>160</x:v>
      </x:c>
      <x:c r="F22" s="12" t="s">
        <x:v>217</x:v>
      </x:c>
      <x:c r="G22" s="13" t="s">
        <x:v>4278</x:v>
      </x:c>
      <x:c r="H22" s="12" t="s">
        <x:v>125</x:v>
      </x:c>
      <x:c r="I22" s="12" t="s">
        <x:v>140</x:v>
      </x:c>
      <x:c r="J22" s="14" t="n">
        <x:v>46244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4279</x:v>
      </x:c>
      <x:c r="B23" s="12" t="s">
        <x:v>224</x:v>
      </x:c>
      <x:c r="C23" s="12" t="s">
        <x:v>92</x:v>
      </x:c>
      <x:c r="D23" s="13" t="s">
        <x:v>4280</x:v>
      </x:c>
      <x:c r="E23" s="12" t="s">
        <x:v>226</x:v>
      </x:c>
      <x:c r="F23" s="12" t="s">
        <x:v>226</x:v>
      </x:c>
      <x:c r="G23" s="13" t="s">
        <x:v>4281</x:v>
      </x:c>
      <x:c r="H23" s="12" t="s">
        <x:v>125</x:v>
      </x:c>
      <x:c r="I23" s="12" t="s">
        <x:v>140</x:v>
      </x:c>
      <x:c r="J23" s="14" t="n">
        <x:v>46244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4282</x:v>
      </x:c>
      <x:c r="B24" s="12" t="s">
        <x:v>229</x:v>
      </x:c>
      <x:c r="C24" s="12" t="s">
        <x:v>92</x:v>
      </x:c>
      <x:c r="D24" s="13" t="s">
        <x:v>4283</x:v>
      </x:c>
      <x:c r="E24" s="12" t="s">
        <x:v>160</x:v>
      </x:c>
      <x:c r="F24" s="12" t="s">
        <x:v>160</x:v>
      </x:c>
      <x:c r="G24" s="13" t="s">
        <x:v>598</x:v>
      </x:c>
      <x:c r="H24" s="12" t="s">
        <x:v>123</x:v>
      </x:c>
      <x:c r="I24" s="12" t="s">
        <x:v>139</x:v>
      </x:c>
      <x:c r="J24" s="14" t="n">
        <x:v>46244</x:v>
      </x:c>
      <x:c r="K24" s="13" t="s">
        <x:v>849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8ec19c10a2a47c5"/>
  </x:tableParts>
</x:worksheet>
</file>

<file path=xl/worksheets/sheet8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4284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4285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143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4286</x:v>
      </x:c>
      <x:c r="B9" s="12" t="s">
        <x:v>157</x:v>
      </x:c>
      <x:c r="C9" s="12" t="s">
        <x:v>2779</x:v>
      </x:c>
      <x:c r="D9" s="13" t="s">
        <x:v>4287</x:v>
      </x:c>
      <x:c r="E9" s="12" t="s">
        <x:v>160</x:v>
      </x:c>
      <x:c r="F9" s="12" t="s">
        <x:v>161</x:v>
      </x:c>
      <x:c r="G9" s="13" t="s">
        <x:v>4288</x:v>
      </x:c>
      <x:c r="H9" s="12" t="s">
        <x:v>125</x:v>
      </x:c>
      <x:c r="I9" s="12" t="s">
        <x:v>140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4289</x:v>
      </x:c>
      <x:c r="B10" s="12" t="s">
        <x:v>164</x:v>
      </x:c>
      <x:c r="C10" s="12" t="s">
        <x:v>93</x:v>
      </x:c>
      <x:c r="D10" s="13" t="s">
        <x:v>4290</x:v>
      </x:c>
      <x:c r="E10" s="12" t="s">
        <x:v>160</x:v>
      </x:c>
      <x:c r="F10" s="12" t="s">
        <x:v>160</x:v>
      </x:c>
      <x:c r="G10" s="13" t="s">
        <x:v>606</x:v>
      </x:c>
      <x:c r="H10" s="12" t="s">
        <x:v>125</x:v>
      </x:c>
      <x:c r="I10" s="12" t="s">
        <x:v>140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4291</x:v>
      </x:c>
      <x:c r="B11" s="12" t="s">
        <x:v>168</x:v>
      </x:c>
      <x:c r="C11" s="12" t="s">
        <x:v>2481</x:v>
      </x:c>
      <x:c r="D11" s="13" t="s">
        <x:v>4292</x:v>
      </x:c>
      <x:c r="E11" s="12" t="s">
        <x:v>160</x:v>
      </x:c>
      <x:c r="F11" s="12" t="s">
        <x:v>170</x:v>
      </x:c>
      <x:c r="G11" s="13" t="s">
        <x:v>4293</x:v>
      </x:c>
      <x:c r="H11" s="12" t="s">
        <x:v>125</x:v>
      </x:c>
      <x:c r="I11" s="12" t="s">
        <x:v>140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4294</x:v>
      </x:c>
      <x:c r="B12" s="12" t="s">
        <x:v>173</x:v>
      </x:c>
      <x:c r="C12" s="12" t="s">
        <x:v>2779</x:v>
      </x:c>
      <x:c r="D12" s="13" t="s">
        <x:v>4295</x:v>
      </x:c>
      <x:c r="E12" s="12" t="s">
        <x:v>160</x:v>
      </x:c>
      <x:c r="F12" s="12" t="s">
        <x:v>175</x:v>
      </x:c>
      <x:c r="G12" s="13" t="s">
        <x:v>4296</x:v>
      </x:c>
      <x:c r="H12" s="12" t="s">
        <x:v>125</x:v>
      </x:c>
      <x:c r="I12" s="12" t="s">
        <x:v>140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4297</x:v>
      </x:c>
      <x:c r="B13" s="12" t="s">
        <x:v>178</x:v>
      </x:c>
      <x:c r="C13" s="12" t="s">
        <x:v>2779</x:v>
      </x:c>
      <x:c r="D13" s="13" t="s">
        <x:v>4298</x:v>
      </x:c>
      <x:c r="E13" s="12" t="s">
        <x:v>160</x:v>
      </x:c>
      <x:c r="F13" s="12" t="s">
        <x:v>180</x:v>
      </x:c>
      <x:c r="G13" s="13" t="s">
        <x:v>4299</x:v>
      </x:c>
      <x:c r="H13" s="12" t="s">
        <x:v>125</x:v>
      </x:c>
      <x:c r="I13" s="12" t="s">
        <x:v>140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4300</x:v>
      </x:c>
      <x:c r="B14" s="12" t="s">
        <x:v>183</x:v>
      </x:c>
      <x:c r="C14" s="12" t="s">
        <x:v>4301</x:v>
      </x:c>
      <x:c r="D14" s="13" t="s">
        <x:v>4302</x:v>
      </x:c>
      <x:c r="E14" s="12" t="s">
        <x:v>160</x:v>
      </x:c>
      <x:c r="F14" s="12" t="s">
        <x:v>185</x:v>
      </x:c>
      <x:c r="G14" s="13" t="s">
        <x:v>4303</x:v>
      </x:c>
      <x:c r="H14" s="12" t="s">
        <x:v>125</x:v>
      </x:c>
      <x:c r="I14" s="12" t="s">
        <x:v>140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4304</x:v>
      </x:c>
      <x:c r="B15" s="12" t="s">
        <x:v>4305</x:v>
      </x:c>
      <x:c r="C15" s="12" t="s">
        <x:v>4306</x:v>
      </x:c>
      <x:c r="D15" s="13" t="s">
        <x:v>4307</x:v>
      </x:c>
      <x:c r="E15" s="12" t="s">
        <x:v>160</x:v>
      </x:c>
      <x:c r="F15" s="12" t="s">
        <x:v>185</x:v>
      </x:c>
      <x:c r="G15" s="13" t="s">
        <x:v>4303</x:v>
      </x:c>
      <x:c r="H15" s="12" t="s">
        <x:v>125</x:v>
      </x:c>
      <x:c r="I15" s="12" t="s">
        <x:v>140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4308</x:v>
      </x:c>
      <x:c r="B16" s="12" t="s">
        <x:v>205</x:v>
      </x:c>
      <x:c r="C16" s="12" t="s">
        <x:v>4309</x:v>
      </x:c>
      <x:c r="D16" s="13" t="s">
        <x:v>4310</x:v>
      </x:c>
      <x:c r="E16" s="12" t="s">
        <x:v>160</x:v>
      </x:c>
      <x:c r="F16" s="12" t="s">
        <x:v>185</x:v>
      </x:c>
      <x:c r="G16" s="13" t="s">
        <x:v>4311</x:v>
      </x:c>
      <x:c r="H16" s="12" t="s">
        <x:v>125</x:v>
      </x:c>
      <x:c r="I16" s="12" t="s">
        <x:v>140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4312</x:v>
      </x:c>
      <x:c r="B17" s="12" t="s">
        <x:v>188</x:v>
      </x:c>
      <x:c r="C17" s="12" t="s">
        <x:v>2779</x:v>
      </x:c>
      <x:c r="D17" s="13" t="s">
        <x:v>4313</x:v>
      </x:c>
      <x:c r="E17" s="12" t="s">
        <x:v>160</x:v>
      </x:c>
      <x:c r="F17" s="12" t="s">
        <x:v>190</x:v>
      </x:c>
      <x:c r="G17" s="13" t="s">
        <x:v>4314</x:v>
      </x:c>
      <x:c r="H17" s="12" t="s">
        <x:v>125</x:v>
      </x:c>
      <x:c r="I17" s="12" t="s">
        <x:v>140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4315</x:v>
      </x:c>
      <x:c r="B18" s="12" t="s">
        <x:v>193</x:v>
      </x:c>
      <x:c r="C18" s="12" t="s">
        <x:v>4316</x:v>
      </x:c>
      <x:c r="D18" s="13" t="s">
        <x:v>4317</x:v>
      </x:c>
      <x:c r="E18" s="12" t="s">
        <x:v>160</x:v>
      </x:c>
      <x:c r="F18" s="12" t="s">
        <x:v>195</x:v>
      </x:c>
      <x:c r="G18" s="13" t="s">
        <x:v>4318</x:v>
      </x:c>
      <x:c r="H18" s="12" t="s">
        <x:v>123</x:v>
      </x:c>
      <x:c r="I18" s="12" t="s">
        <x:v>139</x:v>
      </x:c>
      <x:c r="J18" s="14"/>
      <x:c r="K18" s="13" t="s">
        <x:v>4319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4320</x:v>
      </x:c>
      <x:c r="B19" s="12" t="s">
        <x:v>199</x:v>
      </x:c>
      <x:c r="C19" s="12" t="s">
        <x:v>4316</x:v>
      </x:c>
      <x:c r="D19" s="13" t="s">
        <x:v>4321</x:v>
      </x:c>
      <x:c r="E19" s="12" t="s">
        <x:v>160</x:v>
      </x:c>
      <x:c r="F19" s="12" t="s">
        <x:v>201</x:v>
      </x:c>
      <x:c r="G19" s="13" t="s">
        <x:v>4322</x:v>
      </x:c>
      <x:c r="H19" s="12" t="s">
        <x:v>123</x:v>
      </x:c>
      <x:c r="I19" s="12" t="s">
        <x:v>139</x:v>
      </x:c>
      <x:c r="J19" s="14"/>
      <x:c r="K19" s="13" t="s">
        <x:v>4323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4324</x:v>
      </x:c>
      <x:c r="B20" s="12" t="s">
        <x:v>212</x:v>
      </x:c>
      <x:c r="C20" s="12" t="s">
        <x:v>93</x:v>
      </x:c>
      <x:c r="D20" s="13" t="s">
        <x:v>4325</x:v>
      </x:c>
      <x:c r="E20" s="12" t="s">
        <x:v>160</x:v>
      </x:c>
      <x:c r="F20" s="12" t="s">
        <x:v>201</x:v>
      </x:c>
      <x:c r="G20" s="13" t="s">
        <x:v>4322</x:v>
      </x:c>
      <x:c r="H20" s="12" t="s">
        <x:v>123</x:v>
      </x:c>
      <x:c r="I20" s="12" t="s">
        <x:v>139</x:v>
      </x:c>
      <x:c r="J20" s="14"/>
      <x:c r="K20" s="13" t="s">
        <x:v>4272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4326</x:v>
      </x:c>
      <x:c r="B21" s="12" t="s">
        <x:v>215</x:v>
      </x:c>
      <x:c r="C21" s="12" t="s">
        <x:v>93</x:v>
      </x:c>
      <x:c r="D21" s="13" t="s">
        <x:v>4327</x:v>
      </x:c>
      <x:c r="E21" s="12" t="s">
        <x:v>160</x:v>
      </x:c>
      <x:c r="F21" s="12" t="s">
        <x:v>217</x:v>
      </x:c>
      <x:c r="G21" s="13" t="s">
        <x:v>4328</x:v>
      </x:c>
      <x:c r="H21" s="12" t="s">
        <x:v>125</x:v>
      </x:c>
      <x:c r="I21" s="12" t="s">
        <x:v>140</x:v>
      </x:c>
      <x:c r="J21" s="14" t="n">
        <x:v>46257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4329</x:v>
      </x:c>
      <x:c r="B22" s="12" t="s">
        <x:v>4232</x:v>
      </x:c>
      <x:c r="C22" s="12" t="s">
        <x:v>1991</x:v>
      </x:c>
      <x:c r="D22" s="13" t="s">
        <x:v>4330</x:v>
      </x:c>
      <x:c r="E22" s="12" t="s">
        <x:v>160</x:v>
      </x:c>
      <x:c r="F22" s="12" t="s">
        <x:v>2685</x:v>
      </x:c>
      <x:c r="G22" s="13" t="s">
        <x:v>4331</x:v>
      </x:c>
      <x:c r="H22" s="12" t="s">
        <x:v>125</x:v>
      </x:c>
      <x:c r="I22" s="12" t="s">
        <x:v>140</x:v>
      </x:c>
      <x:c r="J22" s="14" t="n">
        <x:v>46257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4332</x:v>
      </x:c>
      <x:c r="B23" s="12" t="s">
        <x:v>220</x:v>
      </x:c>
      <x:c r="C23" s="12" t="s">
        <x:v>93</x:v>
      </x:c>
      <x:c r="D23" s="13" t="s">
        <x:v>4333</x:v>
      </x:c>
      <x:c r="E23" s="12" t="s">
        <x:v>160</x:v>
      </x:c>
      <x:c r="F23" s="12" t="s">
        <x:v>217</x:v>
      </x:c>
      <x:c r="G23" s="13" t="s">
        <x:v>4334</x:v>
      </x:c>
      <x:c r="H23" s="12" t="s">
        <x:v>125</x:v>
      </x:c>
      <x:c r="I23" s="12" t="s">
        <x:v>140</x:v>
      </x:c>
      <x:c r="J23" s="14" t="n">
        <x:v>46257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4335</x:v>
      </x:c>
      <x:c r="B24" s="12" t="s">
        <x:v>224</x:v>
      </x:c>
      <x:c r="C24" s="12" t="s">
        <x:v>93</x:v>
      </x:c>
      <x:c r="D24" s="13" t="s">
        <x:v>4336</x:v>
      </x:c>
      <x:c r="E24" s="12" t="s">
        <x:v>226</x:v>
      </x:c>
      <x:c r="F24" s="12" t="s">
        <x:v>226</x:v>
      </x:c>
      <x:c r="G24" s="13" t="s">
        <x:v>4237</x:v>
      </x:c>
      <x:c r="H24" s="12" t="s">
        <x:v>131</x:v>
      </x:c>
      <x:c r="I24" s="12" t="s">
        <x:v>140</x:v>
      </x:c>
      <x:c r="J24" s="14"/>
      <x:c r="K24" s="13" t="s">
        <x:v>4337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4338</x:v>
      </x:c>
      <x:c r="B25" s="12" t="s">
        <x:v>229</x:v>
      </x:c>
      <x:c r="C25" s="12" t="s">
        <x:v>93</x:v>
      </x:c>
      <x:c r="D25" s="13" t="s">
        <x:v>4339</x:v>
      </x:c>
      <x:c r="E25" s="12" t="s">
        <x:v>160</x:v>
      </x:c>
      <x:c r="F25" s="12" t="s">
        <x:v>160</x:v>
      </x:c>
      <x:c r="G25" s="13" t="s">
        <x:v>4340</x:v>
      </x:c>
      <x:c r="H25" s="12" t="s">
        <x:v>123</x:v>
      </x:c>
      <x:c r="I25" s="12" t="s">
        <x:v>139</x:v>
      </x:c>
      <x:c r="J25" s="14"/>
      <x:c r="K25" s="13" t="s">
        <x:v>849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4341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4342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143</x:v>
      </x:c>
      <x:c r="E4" s="7" t="n">
        <x:f aca="0">SUM(M9:M24)</x:f>
        <x:v>12</x:v>
      </x:c>
      <x:c r="G4" s="6" t="s">
        <x:v>13</x:v>
      </x:c>
      <x:c r="H4" s="8" t="n">
        <x:f aca="0">IF(B4=0,0,E4/B4)</x:f>
        <x:v>0.75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4343</x:v>
      </x:c>
      <x:c r="B9" s="12" t="s">
        <x:v>157</x:v>
      </x:c>
      <x:c r="C9" s="12" t="s">
        <x:v>94</x:v>
      </x:c>
      <x:c r="D9" s="13" t="s">
        <x:v>4344</x:v>
      </x:c>
      <x:c r="E9" s="12" t="s">
        <x:v>160</x:v>
      </x:c>
      <x:c r="F9" s="12" t="s">
        <x:v>161</x:v>
      </x:c>
      <x:c r="G9" s="13" t="s">
        <x:v>4345</x:v>
      </x:c>
      <x:c r="H9" s="12" t="s">
        <x:v>125</x:v>
      </x:c>
      <x:c r="I9" s="12" t="s">
        <x:v>140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4346</x:v>
      </x:c>
      <x:c r="B10" s="12" t="s">
        <x:v>164</x:v>
      </x:c>
      <x:c r="C10" s="12" t="s">
        <x:v>94</x:v>
      </x:c>
      <x:c r="D10" s="13" t="s">
        <x:v>4347</x:v>
      </x:c>
      <x:c r="E10" s="12" t="s">
        <x:v>160</x:v>
      </x:c>
      <x:c r="F10" s="12" t="s">
        <x:v>160</x:v>
      </x:c>
      <x:c r="G10" s="13" t="s">
        <x:v>606</x:v>
      </x:c>
      <x:c r="H10" s="12" t="s">
        <x:v>125</x:v>
      </x:c>
      <x:c r="I10" s="12" t="s">
        <x:v>140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4348</x:v>
      </x:c>
      <x:c r="B11" s="12" t="s">
        <x:v>168</x:v>
      </x:c>
      <x:c r="C11" s="12" t="s">
        <x:v>2481</x:v>
      </x:c>
      <x:c r="D11" s="13" t="s">
        <x:v>4349</x:v>
      </x:c>
      <x:c r="E11" s="12" t="s">
        <x:v>160</x:v>
      </x:c>
      <x:c r="F11" s="12" t="s">
        <x:v>170</x:v>
      </x:c>
      <x:c r="G11" s="13" t="s">
        <x:v>4350</x:v>
      </x:c>
      <x:c r="H11" s="12" t="s">
        <x:v>125</x:v>
      </x:c>
      <x:c r="I11" s="12" t="s">
        <x:v>140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4351</x:v>
      </x:c>
      <x:c r="B12" s="12" t="s">
        <x:v>173</x:v>
      </x:c>
      <x:c r="C12" s="12" t="s">
        <x:v>94</x:v>
      </x:c>
      <x:c r="D12" s="13" t="s">
        <x:v>4352</x:v>
      </x:c>
      <x:c r="E12" s="12" t="s">
        <x:v>160</x:v>
      </x:c>
      <x:c r="F12" s="12" t="s">
        <x:v>175</x:v>
      </x:c>
      <x:c r="G12" s="13" t="s">
        <x:v>4353</x:v>
      </x:c>
      <x:c r="H12" s="12" t="s">
        <x:v>125</x:v>
      </x:c>
      <x:c r="I12" s="12" t="s">
        <x:v>140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4354</x:v>
      </x:c>
      <x:c r="B13" s="12" t="s">
        <x:v>178</x:v>
      </x:c>
      <x:c r="C13" s="12" t="s">
        <x:v>94</x:v>
      </x:c>
      <x:c r="D13" s="13" t="s">
        <x:v>4355</x:v>
      </x:c>
      <x:c r="E13" s="12" t="s">
        <x:v>160</x:v>
      </x:c>
      <x:c r="F13" s="12" t="s">
        <x:v>180</x:v>
      </x:c>
      <x:c r="G13" s="13" t="s">
        <x:v>4356</x:v>
      </x:c>
      <x:c r="H13" s="12" t="s">
        <x:v>125</x:v>
      </x:c>
      <x:c r="I13" s="12" t="s">
        <x:v>140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4357</x:v>
      </x:c>
      <x:c r="B14" s="12" t="s">
        <x:v>183</x:v>
      </x:c>
      <x:c r="C14" s="12" t="s">
        <x:v>3646</x:v>
      </x:c>
      <x:c r="D14" s="13" t="s">
        <x:v>4358</x:v>
      </x:c>
      <x:c r="E14" s="12" t="s">
        <x:v>160</x:v>
      </x:c>
      <x:c r="F14" s="12" t="s">
        <x:v>185</x:v>
      </x:c>
      <x:c r="G14" s="13" t="s">
        <x:v>4359</x:v>
      </x:c>
      <x:c r="H14" s="12" t="s">
        <x:v>125</x:v>
      </x:c>
      <x:c r="I14" s="12" t="s">
        <x:v>140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4360</x:v>
      </x:c>
      <x:c r="B15" s="12" t="s">
        <x:v>208</x:v>
      </x:c>
      <x:c r="C15" s="12" t="s">
        <x:v>4361</x:v>
      </x:c>
      <x:c r="D15" s="13" t="s">
        <x:v>4362</x:v>
      </x:c>
      <x:c r="E15" s="12" t="s">
        <x:v>160</x:v>
      </x:c>
      <x:c r="F15" s="12" t="s">
        <x:v>185</x:v>
      </x:c>
      <x:c r="G15" s="13" t="s">
        <x:v>4359</x:v>
      </x:c>
      <x:c r="H15" s="12" t="s">
        <x:v>125</x:v>
      </x:c>
      <x:c r="I15" s="12" t="s">
        <x:v>140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4363</x:v>
      </x:c>
      <x:c r="B16" s="12" t="s">
        <x:v>4364</x:v>
      </x:c>
      <x:c r="C16" s="12" t="s">
        <x:v>94</x:v>
      </x:c>
      <x:c r="D16" s="13" t="s">
        <x:v>4365</x:v>
      </x:c>
      <x:c r="E16" s="12" t="s">
        <x:v>160</x:v>
      </x:c>
      <x:c r="F16" s="12" t="s">
        <x:v>185</x:v>
      </x:c>
      <x:c r="G16" s="13" t="s">
        <x:v>4359</x:v>
      </x:c>
      <x:c r="H16" s="12" t="s">
        <x:v>125</x:v>
      </x:c>
      <x:c r="I16" s="12" t="s">
        <x:v>140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4366</x:v>
      </x:c>
      <x:c r="B17" s="12" t="s">
        <x:v>188</x:v>
      </x:c>
      <x:c r="C17" s="12" t="s">
        <x:v>94</x:v>
      </x:c>
      <x:c r="D17" s="13" t="s">
        <x:v>4367</x:v>
      </x:c>
      <x:c r="E17" s="12" t="s">
        <x:v>160</x:v>
      </x:c>
      <x:c r="F17" s="12" t="s">
        <x:v>190</x:v>
      </x:c>
      <x:c r="G17" s="13" t="s">
        <x:v>4359</x:v>
      </x:c>
      <x:c r="H17" s="12" t="s">
        <x:v>125</x:v>
      </x:c>
      <x:c r="I17" s="12" t="s">
        <x:v>140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4368</x:v>
      </x:c>
      <x:c r="B18" s="12" t="s">
        <x:v>193</x:v>
      </x:c>
      <x:c r="C18" s="12" t="s">
        <x:v>3646</x:v>
      </x:c>
      <x:c r="D18" s="13" t="s">
        <x:v>4369</x:v>
      </x:c>
      <x:c r="E18" s="12" t="s">
        <x:v>160</x:v>
      </x:c>
      <x:c r="F18" s="12" t="s">
        <x:v>195</x:v>
      </x:c>
      <x:c r="G18" s="13" t="s">
        <x:v>4370</x:v>
      </x:c>
      <x:c r="H18" s="12" t="s">
        <x:v>123</x:v>
      </x:c>
      <x:c r="I18" s="12" t="s">
        <x:v>139</x:v>
      </x:c>
      <x:c r="J18" s="14"/>
      <x:c r="K18" s="13" t="s">
        <x:v>4319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4371</x:v>
      </x:c>
      <x:c r="B19" s="12" t="s">
        <x:v>199</x:v>
      </x:c>
      <x:c r="C19" s="12" t="s">
        <x:v>94</x:v>
      </x:c>
      <x:c r="D19" s="13" t="s">
        <x:v>4372</x:v>
      </x:c>
      <x:c r="E19" s="12" t="s">
        <x:v>160</x:v>
      </x:c>
      <x:c r="F19" s="12" t="s">
        <x:v>201</x:v>
      </x:c>
      <x:c r="G19" s="13" t="s">
        <x:v>4373</x:v>
      </x:c>
      <x:c r="H19" s="12" t="s">
        <x:v>123</x:v>
      </x:c>
      <x:c r="I19" s="12" t="s">
        <x:v>139</x:v>
      </x:c>
      <x:c r="J19" s="14"/>
      <x:c r="K19" s="13" t="s">
        <x:v>4374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4375</x:v>
      </x:c>
      <x:c r="B20" s="12" t="s">
        <x:v>212</x:v>
      </x:c>
      <x:c r="C20" s="12" t="s">
        <x:v>94</x:v>
      </x:c>
      <x:c r="D20" s="13" t="s">
        <x:v>4376</x:v>
      </x:c>
      <x:c r="E20" s="12" t="s">
        <x:v>160</x:v>
      </x:c>
      <x:c r="F20" s="12" t="s">
        <x:v>201</x:v>
      </x:c>
      <x:c r="G20" s="13" t="s">
        <x:v>4373</x:v>
      </x:c>
      <x:c r="H20" s="12" t="s">
        <x:v>123</x:v>
      </x:c>
      <x:c r="I20" s="12" t="s">
        <x:v>139</x:v>
      </x:c>
      <x:c r="J20" s="14"/>
      <x:c r="K20" s="13" t="s">
        <x:v>4272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4377</x:v>
      </x:c>
      <x:c r="B21" s="12" t="s">
        <x:v>215</x:v>
      </x:c>
      <x:c r="C21" s="12" t="s">
        <x:v>94</x:v>
      </x:c>
      <x:c r="D21" s="13" t="s">
        <x:v>4378</x:v>
      </x:c>
      <x:c r="E21" s="12" t="s">
        <x:v>160</x:v>
      </x:c>
      <x:c r="F21" s="12" t="s">
        <x:v>217</x:v>
      </x:c>
      <x:c r="G21" s="13" t="s">
        <x:v>4379</x:v>
      </x:c>
      <x:c r="H21" s="12" t="s">
        <x:v>125</x:v>
      </x:c>
      <x:c r="I21" s="12" t="s">
        <x:v>140</x:v>
      </x:c>
      <x:c r="J21" s="14" t="n">
        <x:v>46257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4380</x:v>
      </x:c>
      <x:c r="B22" s="12" t="s">
        <x:v>220</x:v>
      </x:c>
      <x:c r="C22" s="12" t="s">
        <x:v>94</x:v>
      </x:c>
      <x:c r="D22" s="13" t="s">
        <x:v>4381</x:v>
      </x:c>
      <x:c r="E22" s="12" t="s">
        <x:v>160</x:v>
      </x:c>
      <x:c r="F22" s="12" t="s">
        <x:v>217</x:v>
      </x:c>
      <x:c r="G22" s="13" t="s">
        <x:v>4382</x:v>
      </x:c>
      <x:c r="H22" s="12" t="s">
        <x:v>125</x:v>
      </x:c>
      <x:c r="I22" s="12" t="s">
        <x:v>140</x:v>
      </x:c>
      <x:c r="J22" s="14" t="n">
        <x:v>46257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4383</x:v>
      </x:c>
      <x:c r="B23" s="12" t="s">
        <x:v>224</x:v>
      </x:c>
      <x:c r="C23" s="12" t="s">
        <x:v>94</x:v>
      </x:c>
      <x:c r="D23" s="13" t="s">
        <x:v>4384</x:v>
      </x:c>
      <x:c r="E23" s="12" t="s">
        <x:v>226</x:v>
      </x:c>
      <x:c r="F23" s="12" t="s">
        <x:v>226</x:v>
      </x:c>
      <x:c r="G23" s="13" t="s">
        <x:v>4237</x:v>
      </x:c>
      <x:c r="H23" s="12" t="s">
        <x:v>131</x:v>
      </x:c>
      <x:c r="I23" s="12" t="s">
        <x:v>140</x:v>
      </x:c>
      <x:c r="J23" s="14"/>
      <x:c r="K23" s="13" t="s">
        <x:v>4385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4386</x:v>
      </x:c>
      <x:c r="B24" s="12" t="s">
        <x:v>229</x:v>
      </x:c>
      <x:c r="C24" s="12" t="s">
        <x:v>94</x:v>
      </x:c>
      <x:c r="D24" s="13" t="s">
        <x:v>4387</x:v>
      </x:c>
      <x:c r="E24" s="12" t="s">
        <x:v>160</x:v>
      </x:c>
      <x:c r="F24" s="12" t="s">
        <x:v>160</x:v>
      </x:c>
      <x:c r="G24" s="13" t="s">
        <x:v>4340</x:v>
      </x:c>
      <x:c r="H24" s="12" t="s">
        <x:v>123</x:v>
      </x:c>
      <x:c r="I24" s="12" t="s">
        <x:v>139</x:v>
      </x:c>
      <x:c r="J24" s="14"/>
      <x:c r="K24" s="13" t="s">
        <x:v>849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/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4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4388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4389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143</x:v>
      </x:c>
      <x:c r="E4" s="7" t="n">
        <x:f aca="0">SUM(M9:M25)</x:f>
        <x:v>14</x:v>
      </x:c>
      <x:c r="G4" s="6" t="s">
        <x:v>13</x:v>
      </x:c>
      <x:c r="H4" s="8" t="n">
        <x:f aca="0">IF(B4=0,0,E4/B4)</x:f>
        <x:v>0.8235294117647058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4390</x:v>
      </x:c>
      <x:c r="B9" s="12" t="s">
        <x:v>157</x:v>
      </x:c>
      <x:c r="C9" s="12" t="s">
        <x:v>95</x:v>
      </x:c>
      <x:c r="D9" s="13" t="s">
        <x:v>4391</x:v>
      </x:c>
      <x:c r="E9" s="12" t="s">
        <x:v>160</x:v>
      </x:c>
      <x:c r="F9" s="12" t="s">
        <x:v>161</x:v>
      </x:c>
      <x:c r="G9" s="13" t="s">
        <x:v>4392</x:v>
      </x:c>
      <x:c r="H9" s="12" t="s">
        <x:v>125</x:v>
      </x:c>
      <x:c r="I9" s="12" t="s">
        <x:v>140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4393</x:v>
      </x:c>
      <x:c r="B10" s="12" t="s">
        <x:v>164</x:v>
      </x:c>
      <x:c r="C10" s="12" t="s">
        <x:v>95</x:v>
      </x:c>
      <x:c r="D10" s="13" t="s">
        <x:v>4394</x:v>
      </x:c>
      <x:c r="E10" s="12" t="s">
        <x:v>160</x:v>
      </x:c>
      <x:c r="F10" s="12" t="s">
        <x:v>160</x:v>
      </x:c>
      <x:c r="G10" s="13" t="s">
        <x:v>606</x:v>
      </x:c>
      <x:c r="H10" s="12" t="s">
        <x:v>125</x:v>
      </x:c>
      <x:c r="I10" s="12" t="s">
        <x:v>140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4395</x:v>
      </x:c>
      <x:c r="B11" s="12" t="s">
        <x:v>168</x:v>
      </x:c>
      <x:c r="C11" s="12" t="s">
        <x:v>2481</x:v>
      </x:c>
      <x:c r="D11" s="13" t="s">
        <x:v>4396</x:v>
      </x:c>
      <x:c r="E11" s="12" t="s">
        <x:v>160</x:v>
      </x:c>
      <x:c r="F11" s="12" t="s">
        <x:v>170</x:v>
      </x:c>
      <x:c r="G11" s="13" t="s">
        <x:v>4397</x:v>
      </x:c>
      <x:c r="H11" s="12" t="s">
        <x:v>125</x:v>
      </x:c>
      <x:c r="I11" s="12" t="s">
        <x:v>140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4398</x:v>
      </x:c>
      <x:c r="B12" s="12" t="s">
        <x:v>173</x:v>
      </x:c>
      <x:c r="C12" s="12" t="s">
        <x:v>4399</x:v>
      </x:c>
      <x:c r="D12" s="13" t="s">
        <x:v>4400</x:v>
      </x:c>
      <x:c r="E12" s="12" t="s">
        <x:v>160</x:v>
      </x:c>
      <x:c r="F12" s="12" t="s">
        <x:v>175</x:v>
      </x:c>
      <x:c r="G12" s="13" t="s">
        <x:v>4401</x:v>
      </x:c>
      <x:c r="H12" s="12" t="s">
        <x:v>125</x:v>
      </x:c>
      <x:c r="I12" s="12" t="s">
        <x:v>140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4402</x:v>
      </x:c>
      <x:c r="B13" s="12" t="s">
        <x:v>178</x:v>
      </x:c>
      <x:c r="C13" s="12" t="s">
        <x:v>95</x:v>
      </x:c>
      <x:c r="D13" s="13" t="s">
        <x:v>4403</x:v>
      </x:c>
      <x:c r="E13" s="12" t="s">
        <x:v>160</x:v>
      </x:c>
      <x:c r="F13" s="12" t="s">
        <x:v>180</x:v>
      </x:c>
      <x:c r="G13" s="13" t="s">
        <x:v>4404</x:v>
      </x:c>
      <x:c r="H13" s="12" t="s">
        <x:v>125</x:v>
      </x:c>
      <x:c r="I13" s="12" t="s">
        <x:v>140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4405</x:v>
      </x:c>
      <x:c r="B14" s="12" t="s">
        <x:v>183</x:v>
      </x:c>
      <x:c r="C14" s="12" t="s">
        <x:v>4406</x:v>
      </x:c>
      <x:c r="D14" s="13" t="s">
        <x:v>4407</x:v>
      </x:c>
      <x:c r="E14" s="12" t="s">
        <x:v>160</x:v>
      </x:c>
      <x:c r="F14" s="12" t="s">
        <x:v>185</x:v>
      </x:c>
      <x:c r="G14" s="13" t="s">
        <x:v>4408</x:v>
      </x:c>
      <x:c r="H14" s="12" t="s">
        <x:v>125</x:v>
      </x:c>
      <x:c r="I14" s="12" t="s">
        <x:v>140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4409</x:v>
      </x:c>
      <x:c r="B15" s="12" t="s">
        <x:v>199</x:v>
      </x:c>
      <x:c r="C15" s="12" t="s">
        <x:v>4399</x:v>
      </x:c>
      <x:c r="D15" s="13" t="s">
        <x:v>4410</x:v>
      </x:c>
      <x:c r="E15" s="12" t="s">
        <x:v>160</x:v>
      </x:c>
      <x:c r="F15" s="12" t="s">
        <x:v>185</x:v>
      </x:c>
      <x:c r="G15" s="13" t="s">
        <x:v>4408</x:v>
      </x:c>
      <x:c r="H15" s="12" t="s">
        <x:v>125</x:v>
      </x:c>
      <x:c r="I15" s="12" t="s">
        <x:v>140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4411</x:v>
      </x:c>
      <x:c r="B16" s="12" t="s">
        <x:v>4412</x:v>
      </x:c>
      <x:c r="C16" s="12" t="s">
        <x:v>95</x:v>
      </x:c>
      <x:c r="D16" s="13" t="s">
        <x:v>4413</x:v>
      </x:c>
      <x:c r="E16" s="12" t="s">
        <x:v>160</x:v>
      </x:c>
      <x:c r="F16" s="12" t="s">
        <x:v>185</x:v>
      </x:c>
      <x:c r="G16" s="13" t="s">
        <x:v>4408</x:v>
      </x:c>
      <x:c r="H16" s="12" t="s">
        <x:v>125</x:v>
      </x:c>
      <x:c r="I16" s="12" t="s">
        <x:v>140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4414</x:v>
      </x:c>
      <x:c r="B17" s="12" t="s">
        <x:v>208</x:v>
      </x:c>
      <x:c r="C17" s="12" t="s">
        <x:v>4415</x:v>
      </x:c>
      <x:c r="D17" s="13" t="s">
        <x:v>4416</x:v>
      </x:c>
      <x:c r="E17" s="12" t="s">
        <x:v>160</x:v>
      </x:c>
      <x:c r="F17" s="12" t="s">
        <x:v>185</x:v>
      </x:c>
      <x:c r="G17" s="13" t="s">
        <x:v>4417</x:v>
      </x:c>
      <x:c r="H17" s="12" t="s">
        <x:v>125</x:v>
      </x:c>
      <x:c r="I17" s="12" t="s">
        <x:v>140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4418</x:v>
      </x:c>
      <x:c r="B18" s="12" t="s">
        <x:v>188</x:v>
      </x:c>
      <x:c r="C18" s="12" t="s">
        <x:v>95</x:v>
      </x:c>
      <x:c r="D18" s="13" t="s">
        <x:v>4419</x:v>
      </x:c>
      <x:c r="E18" s="12" t="s">
        <x:v>160</x:v>
      </x:c>
      <x:c r="F18" s="12" t="s">
        <x:v>190</x:v>
      </x:c>
      <x:c r="G18" s="13" t="s">
        <x:v>4408</x:v>
      </x:c>
      <x:c r="H18" s="12" t="s">
        <x:v>125</x:v>
      </x:c>
      <x:c r="I18" s="12" t="s">
        <x:v>140</x:v>
      </x:c>
      <x:c r="J18" s="14" t="n">
        <x:v>46257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4420</x:v>
      </x:c>
      <x:c r="B19" s="12" t="s">
        <x:v>193</x:v>
      </x:c>
      <x:c r="C19" s="12" t="s">
        <x:v>4399</x:v>
      </x:c>
      <x:c r="D19" s="13" t="s">
        <x:v>4421</x:v>
      </x:c>
      <x:c r="E19" s="12" t="s">
        <x:v>160</x:v>
      </x:c>
      <x:c r="F19" s="12" t="s">
        <x:v>195</x:v>
      </x:c>
      <x:c r="G19" s="13" t="s">
        <x:v>4422</x:v>
      </x:c>
      <x:c r="H19" s="12" t="s">
        <x:v>123</x:v>
      </x:c>
      <x:c r="I19" s="12" t="s">
        <x:v>139</x:v>
      </x:c>
      <x:c r="J19" s="14"/>
      <x:c r="K19" s="13" t="s">
        <x:v>4319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4423</x:v>
      </x:c>
      <x:c r="B20" s="12" t="s">
        <x:v>212</x:v>
      </x:c>
      <x:c r="C20" s="12" t="s">
        <x:v>95</x:v>
      </x:c>
      <x:c r="D20" s="13" t="s">
        <x:v>4424</x:v>
      </x:c>
      <x:c r="E20" s="12" t="s">
        <x:v>160</x:v>
      </x:c>
      <x:c r="F20" s="12" t="s">
        <x:v>201</x:v>
      </x:c>
      <x:c r="G20" s="13" t="s">
        <x:v>4425</x:v>
      </x:c>
      <x:c r="H20" s="12" t="s">
        <x:v>123</x:v>
      </x:c>
      <x:c r="I20" s="12" t="s">
        <x:v>139</x:v>
      </x:c>
      <x:c r="J20" s="14"/>
      <x:c r="K20" s="13" t="s">
        <x:v>4272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4426</x:v>
      </x:c>
      <x:c r="B21" s="12" t="s">
        <x:v>215</x:v>
      </x:c>
      <x:c r="C21" s="12" t="s">
        <x:v>95</x:v>
      </x:c>
      <x:c r="D21" s="13" t="s">
        <x:v>4427</x:v>
      </x:c>
      <x:c r="E21" s="12" t="s">
        <x:v>160</x:v>
      </x:c>
      <x:c r="F21" s="12" t="s">
        <x:v>217</x:v>
      </x:c>
      <x:c r="G21" s="13" t="s">
        <x:v>4428</x:v>
      </x:c>
      <x:c r="H21" s="12" t="s">
        <x:v>125</x:v>
      </x:c>
      <x:c r="I21" s="12" t="s">
        <x:v>140</x:v>
      </x:c>
      <x:c r="J21" s="14" t="n">
        <x:v>46257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4429</x:v>
      </x:c>
      <x:c r="B22" s="12" t="s">
        <x:v>4232</x:v>
      </x:c>
      <x:c r="C22" s="12" t="s">
        <x:v>1991</x:v>
      </x:c>
      <x:c r="D22" s="13" t="s">
        <x:v>4430</x:v>
      </x:c>
      <x:c r="E22" s="12" t="s">
        <x:v>160</x:v>
      </x:c>
      <x:c r="F22" s="12" t="s">
        <x:v>2685</x:v>
      </x:c>
      <x:c r="G22" s="13" t="s">
        <x:v>4431</x:v>
      </x:c>
      <x:c r="H22" s="12" t="s">
        <x:v>125</x:v>
      </x:c>
      <x:c r="I22" s="12" t="s">
        <x:v>140</x:v>
      </x:c>
      <x:c r="J22" s="14" t="n">
        <x:v>46257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4432</x:v>
      </x:c>
      <x:c r="B23" s="12" t="s">
        <x:v>220</x:v>
      </x:c>
      <x:c r="C23" s="12" t="s">
        <x:v>95</x:v>
      </x:c>
      <x:c r="D23" s="13" t="s">
        <x:v>4433</x:v>
      </x:c>
      <x:c r="E23" s="12" t="s">
        <x:v>160</x:v>
      </x:c>
      <x:c r="F23" s="12" t="s">
        <x:v>217</x:v>
      </x:c>
      <x:c r="G23" s="13" t="s">
        <x:v>4434</x:v>
      </x:c>
      <x:c r="H23" s="12" t="s">
        <x:v>125</x:v>
      </x:c>
      <x:c r="I23" s="12" t="s">
        <x:v>140</x:v>
      </x:c>
      <x:c r="J23" s="14" t="n">
        <x:v>46257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4435</x:v>
      </x:c>
      <x:c r="B24" s="12" t="s">
        <x:v>224</x:v>
      </x:c>
      <x:c r="C24" s="12" t="s">
        <x:v>95</x:v>
      </x:c>
      <x:c r="D24" s="13" t="s">
        <x:v>4436</x:v>
      </x:c>
      <x:c r="E24" s="12" t="s">
        <x:v>226</x:v>
      </x:c>
      <x:c r="F24" s="12" t="s">
        <x:v>226</x:v>
      </x:c>
      <x:c r="G24" s="13" t="s">
        <x:v>4237</x:v>
      </x:c>
      <x:c r="H24" s="12" t="s">
        <x:v>131</x:v>
      </x:c>
      <x:c r="I24" s="12" t="s">
        <x:v>140</x:v>
      </x:c>
      <x:c r="J24" s="14"/>
      <x:c r="K24" s="13" t="s">
        <x:v>4437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4438</x:v>
      </x:c>
      <x:c r="B25" s="12" t="s">
        <x:v>229</x:v>
      </x:c>
      <x:c r="C25" s="12" t="s">
        <x:v>95</x:v>
      </x:c>
      <x:c r="D25" s="13" t="s">
        <x:v>4387</x:v>
      </x:c>
      <x:c r="E25" s="12" t="s">
        <x:v>160</x:v>
      </x:c>
      <x:c r="F25" s="12" t="s">
        <x:v>160</x:v>
      </x:c>
      <x:c r="G25" s="13" t="s">
        <x:v>4340</x:v>
      </x:c>
      <x:c r="H25" s="12" t="s">
        <x:v>123</x:v>
      </x:c>
      <x:c r="I25" s="12" t="s">
        <x:v>139</x:v>
      </x:c>
      <x:c r="J25" s="14"/>
      <x:c r="K25" s="13" t="s">
        <x:v>849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4439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4440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COUNTA(A9:A27)</x:f>
        <x:v>19</x:v>
      </x:c>
      <x:c r="D4" s="6" t="s">
        <x:v>143</x:v>
      </x:c>
      <x:c r="E4" s="7" t="n">
        <x:f aca="0">SUM(M9:M27)</x:f>
        <x:v>17</x:v>
      </x:c>
      <x:c r="G4" s="6" t="s">
        <x:v>13</x:v>
      </x:c>
      <x:c r="H4" s="8" t="n">
        <x:f aca="0">IF(B4=0,0,E4/B4)</x:f>
        <x:v>0.8947368421052632</x:v>
      </x:c>
      <x:c r="J4" s="6" t="s">
        <x:v>14</x:v>
      </x:c>
      <x:c r="K4" s="7" t="str">
        <x:f aca="0">IF(COUNTIFS(E9:E27,"package",M9:M27,0)&gt;0,"open","complete")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IF(COUNTIFS(I9:I27,"yes",M9:M27,0)&gt;0,"open","complete")</x:f>
        <x:v>open</x:v>
      </x:c>
      <x:c r="D5" s="6" t="s">
        <x:v>15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54" hidden="0" customHeight="1">
      <x:c r="A9" s="12" t="s">
        <x:v>4441</x:v>
      </x:c>
      <x:c r="B9" s="12" t="s">
        <x:v>117</x:v>
      </x:c>
      <x:c r="C9" s="12" t="s">
        <x:v>1265</x:v>
      </x:c>
      <x:c r="D9" s="13" t="s">
        <x:v>4442</x:v>
      </x:c>
      <x:c r="E9" s="12" t="s">
        <x:v>160</x:v>
      </x:c>
      <x:c r="F9" s="12" t="s">
        <x:v>161</x:v>
      </x:c>
      <x:c r="G9" s="13" t="s">
        <x:v>4443</x:v>
      </x:c>
      <x:c r="H9" s="12" t="s">
        <x:v>125</x:v>
      </x:c>
      <x:c r="I9" s="12" t="s">
        <x:v>140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4444</x:v>
      </x:c>
      <x:c r="B10" s="12" t="s">
        <x:v>1423</x:v>
      </x:c>
      <x:c r="C10" s="12" t="s">
        <x:v>1265</x:v>
      </x:c>
      <x:c r="D10" s="13" t="s">
        <x:v>4445</x:v>
      </x:c>
      <x:c r="E10" s="12" t="s">
        <x:v>160</x:v>
      </x:c>
      <x:c r="F10" s="12" t="s">
        <x:v>180</x:v>
      </x:c>
      <x:c r="G10" s="13" t="s">
        <x:v>4446</x:v>
      </x:c>
      <x:c r="H10" s="12" t="s">
        <x:v>125</x:v>
      </x:c>
      <x:c r="I10" s="12" t="s">
        <x:v>140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4447</x:v>
      </x:c>
      <x:c r="B11" s="12" t="s">
        <x:v>164</x:v>
      </x:c>
      <x:c r="C11" s="12" t="s">
        <x:v>1265</x:v>
      </x:c>
      <x:c r="D11" s="13" t="s">
        <x:v>4448</x:v>
      </x:c>
      <x:c r="E11" s="12" t="s">
        <x:v>160</x:v>
      </x:c>
      <x:c r="F11" s="12" t="s">
        <x:v>160</x:v>
      </x:c>
      <x:c r="G11" s="13" t="s">
        <x:v>166</x:v>
      </x:c>
      <x:c r="H11" s="12" t="s">
        <x:v>125</x:v>
      </x:c>
      <x:c r="I11" s="12" t="s">
        <x:v>140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4449</x:v>
      </x:c>
      <x:c r="B12" s="12" t="s">
        <x:v>168</x:v>
      </x:c>
      <x:c r="C12" s="12" t="s">
        <x:v>2481</x:v>
      </x:c>
      <x:c r="D12" s="13" t="s">
        <x:v>4450</x:v>
      </x:c>
      <x:c r="E12" s="12" t="s">
        <x:v>160</x:v>
      </x:c>
      <x:c r="F12" s="12" t="s">
        <x:v>170</x:v>
      </x:c>
      <x:c r="G12" s="13" t="s">
        <x:v>4451</x:v>
      </x:c>
      <x:c r="H12" s="12" t="s">
        <x:v>125</x:v>
      </x:c>
      <x:c r="I12" s="12" t="s">
        <x:v>140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4452</x:v>
      </x:c>
      <x:c r="B13" s="12" t="s">
        <x:v>173</x:v>
      </x:c>
      <x:c r="C13" s="12" t="s">
        <x:v>1265</x:v>
      </x:c>
      <x:c r="D13" s="13" t="s">
        <x:v>4453</x:v>
      </x:c>
      <x:c r="E13" s="12" t="s">
        <x:v>160</x:v>
      </x:c>
      <x:c r="F13" s="12" t="s">
        <x:v>175</x:v>
      </x:c>
      <x:c r="G13" s="13" t="s">
        <x:v>4454</x:v>
      </x:c>
      <x:c r="H13" s="12" t="s">
        <x:v>125</x:v>
      </x:c>
      <x:c r="I13" s="12" t="s">
        <x:v>140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4455</x:v>
      </x:c>
      <x:c r="B14" s="12" t="s">
        <x:v>178</x:v>
      </x:c>
      <x:c r="C14" s="12" t="s">
        <x:v>1265</x:v>
      </x:c>
      <x:c r="D14" s="13" t="s">
        <x:v>4456</x:v>
      </x:c>
      <x:c r="E14" s="12" t="s">
        <x:v>160</x:v>
      </x:c>
      <x:c r="F14" s="12" t="s">
        <x:v>180</x:v>
      </x:c>
      <x:c r="G14" s="13" t="s">
        <x:v>4446</x:v>
      </x:c>
      <x:c r="H14" s="12" t="s">
        <x:v>125</x:v>
      </x:c>
      <x:c r="I14" s="12" t="s">
        <x:v>140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4457</x:v>
      </x:c>
      <x:c r="B15" s="12" t="s">
        <x:v>4458</x:v>
      </x:c>
      <x:c r="C15" s="12" t="s">
        <x:v>4459</x:v>
      </x:c>
      <x:c r="D15" s="13" t="s">
        <x:v>4460</x:v>
      </x:c>
      <x:c r="E15" s="12" t="s">
        <x:v>160</x:v>
      </x:c>
      <x:c r="F15" s="12" t="s">
        <x:v>185</x:v>
      </x:c>
      <x:c r="G15" s="13" t="s">
        <x:v>4461</x:v>
      </x:c>
      <x:c r="H15" s="12" t="s">
        <x:v>125</x:v>
      </x:c>
      <x:c r="I15" s="12" t="s">
        <x:v>140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4462</x:v>
      </x:c>
      <x:c r="B16" s="12" t="s">
        <x:v>1656</x:v>
      </x:c>
      <x:c r="C16" s="12" t="s">
        <x:v>4463</x:v>
      </x:c>
      <x:c r="D16" s="13" t="s">
        <x:v>4464</x:v>
      </x:c>
      <x:c r="E16" s="12" t="s">
        <x:v>160</x:v>
      </x:c>
      <x:c r="F16" s="12" t="s">
        <x:v>185</x:v>
      </x:c>
      <x:c r="G16" s="13" t="s">
        <x:v>4461</x:v>
      </x:c>
      <x:c r="H16" s="12" t="s">
        <x:v>125</x:v>
      </x:c>
      <x:c r="I16" s="12" t="s">
        <x:v>140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4465</x:v>
      </x:c>
      <x:c r="B17" s="12" t="s">
        <x:v>4466</x:v>
      </x:c>
      <x:c r="C17" s="12" t="s">
        <x:v>4463</x:v>
      </x:c>
      <x:c r="D17" s="13" t="s">
        <x:v>4467</x:v>
      </x:c>
      <x:c r="E17" s="12" t="s">
        <x:v>160</x:v>
      </x:c>
      <x:c r="F17" s="12" t="s">
        <x:v>185</x:v>
      </x:c>
      <x:c r="G17" s="13" t="s">
        <x:v>4461</x:v>
      </x:c>
      <x:c r="H17" s="12" t="s">
        <x:v>125</x:v>
      </x:c>
      <x:c r="I17" s="12" t="s">
        <x:v>140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4468</x:v>
      </x:c>
      <x:c r="B18" s="12" t="s">
        <x:v>1374</x:v>
      </x:c>
      <x:c r="C18" s="12" t="s">
        <x:v>930</x:v>
      </x:c>
      <x:c r="D18" s="13" t="s">
        <x:v>4469</x:v>
      </x:c>
      <x:c r="E18" s="12" t="s">
        <x:v>160</x:v>
      </x:c>
      <x:c r="F18" s="12" t="s">
        <x:v>185</x:v>
      </x:c>
      <x:c r="G18" s="13" t="s">
        <x:v>4461</x:v>
      </x:c>
      <x:c r="H18" s="12" t="s">
        <x:v>125</x:v>
      </x:c>
      <x:c r="I18" s="12" t="s">
        <x:v>140</x:v>
      </x:c>
      <x:c r="J18" s="14" t="n">
        <x:v>46257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4470</x:v>
      </x:c>
      <x:c r="B19" s="12" t="s">
        <x:v>1310</x:v>
      </x:c>
      <x:c r="C19" s="12" t="s">
        <x:v>1633</x:v>
      </x:c>
      <x:c r="D19" s="13" t="s">
        <x:v>4471</x:v>
      </x:c>
      <x:c r="E19" s="12" t="s">
        <x:v>160</x:v>
      </x:c>
      <x:c r="F19" s="12" t="s">
        <x:v>185</x:v>
      </x:c>
      <x:c r="G19" s="13" t="s">
        <x:v>4461</x:v>
      </x:c>
      <x:c r="H19" s="12" t="s">
        <x:v>125</x:v>
      </x:c>
      <x:c r="I19" s="12" t="s">
        <x:v>140</x:v>
      </x:c>
      <x:c r="J19" s="14" t="n">
        <x:v>46257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4472</x:v>
      </x:c>
      <x:c r="B20" s="12" t="s">
        <x:v>188</x:v>
      </x:c>
      <x:c r="C20" s="12" t="s">
        <x:v>1265</x:v>
      </x:c>
      <x:c r="D20" s="13" t="s">
        <x:v>4473</x:v>
      </x:c>
      <x:c r="E20" s="12" t="s">
        <x:v>160</x:v>
      </x:c>
      <x:c r="F20" s="12" t="s">
        <x:v>190</x:v>
      </x:c>
      <x:c r="G20" s="13" t="s">
        <x:v>4461</x:v>
      </x:c>
      <x:c r="H20" s="12" t="s">
        <x:v>125</x:v>
      </x:c>
      <x:c r="I20" s="12" t="s">
        <x:v>140</x:v>
      </x:c>
      <x:c r="J20" s="14" t="n">
        <x:v>46257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4474</x:v>
      </x:c>
      <x:c r="B21" s="12" t="s">
        <x:v>193</x:v>
      </x:c>
      <x:c r="C21" s="12" t="s">
        <x:v>1265</x:v>
      </x:c>
      <x:c r="D21" s="13" t="s">
        <x:v>4475</x:v>
      </x:c>
      <x:c r="E21" s="12" t="s">
        <x:v>160</x:v>
      </x:c>
      <x:c r="F21" s="12" t="s">
        <x:v>195</x:v>
      </x:c>
      <x:c r="G21" s="13" t="s">
        <x:v>4476</x:v>
      </x:c>
      <x:c r="H21" s="12" t="s">
        <x:v>127</x:v>
      </x:c>
      <x:c r="I21" s="12" t="s">
        <x:v>139</x:v>
      </x:c>
      <x:c r="J21" s="14" t="n">
        <x:v>46257</x:v>
      </x:c>
      <x:c r="K21" s="13" t="s">
        <x:v>4477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4478</x:v>
      </x:c>
      <x:c r="B22" s="12" t="s">
        <x:v>212</x:v>
      </x:c>
      <x:c r="C22" s="12" t="s">
        <x:v>4479</x:v>
      </x:c>
      <x:c r="D22" s="13" t="s">
        <x:v>4480</x:v>
      </x:c>
      <x:c r="E22" s="12" t="s">
        <x:v>160</x:v>
      </x:c>
      <x:c r="F22" s="12" t="s">
        <x:v>201</x:v>
      </x:c>
      <x:c r="G22" s="13" t="s">
        <x:v>4481</x:v>
      </x:c>
      <x:c r="H22" s="12" t="s">
        <x:v>123</x:v>
      </x:c>
      <x:c r="I22" s="12" t="s">
        <x:v>139</x:v>
      </x:c>
      <x:c r="J22" s="14"/>
      <x:c r="K22" s="13" t="s">
        <x:v>4482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4483</x:v>
      </x:c>
      <x:c r="B23" s="12" t="s">
        <x:v>215</x:v>
      </x:c>
      <x:c r="C23" s="12" t="s">
        <x:v>96</x:v>
      </x:c>
      <x:c r="D23" s="13" t="s">
        <x:v>4484</x:v>
      </x:c>
      <x:c r="E23" s="12" t="s">
        <x:v>160</x:v>
      </x:c>
      <x:c r="F23" s="12" t="s">
        <x:v>217</x:v>
      </x:c>
      <x:c r="G23" s="13" t="s">
        <x:v>4485</x:v>
      </x:c>
      <x:c r="H23" s="12" t="s">
        <x:v>125</x:v>
      </x:c>
      <x:c r="I23" s="12" t="s">
        <x:v>140</x:v>
      </x:c>
      <x:c r="J23" s="14" t="n">
        <x:v>46257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4486</x:v>
      </x:c>
      <x:c r="B24" s="12" t="s">
        <x:v>4232</x:v>
      </x:c>
      <x:c r="C24" s="12" t="s">
        <x:v>1991</x:v>
      </x:c>
      <x:c r="D24" s="13" t="s">
        <x:v>4487</x:v>
      </x:c>
      <x:c r="E24" s="12" t="s">
        <x:v>160</x:v>
      </x:c>
      <x:c r="F24" s="12" t="s">
        <x:v>2685</x:v>
      </x:c>
      <x:c r="G24" s="13" t="s">
        <x:v>4488</x:v>
      </x:c>
      <x:c r="H24" s="12" t="s">
        <x:v>125</x:v>
      </x:c>
      <x:c r="I24" s="12" t="s">
        <x:v>140</x:v>
      </x:c>
      <x:c r="J24" s="14" t="n">
        <x:v>46257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4489</x:v>
      </x:c>
      <x:c r="B25" s="12" t="s">
        <x:v>220</x:v>
      </x:c>
      <x:c r="C25" s="12" t="s">
        <x:v>96</x:v>
      </x:c>
      <x:c r="D25" s="13" t="s">
        <x:v>4490</x:v>
      </x:c>
      <x:c r="E25" s="12" t="s">
        <x:v>160</x:v>
      </x:c>
      <x:c r="F25" s="12" t="s">
        <x:v>217</x:v>
      </x:c>
      <x:c r="G25" s="13" t="s">
        <x:v>4491</x:v>
      </x:c>
      <x:c r="H25" s="12" t="s">
        <x:v>125</x:v>
      </x:c>
      <x:c r="I25" s="12" t="s">
        <x:v>140</x:v>
      </x:c>
      <x:c r="J25" s="14" t="n">
        <x:v>46257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4492</x:v>
      </x:c>
      <x:c r="B26" s="12" t="s">
        <x:v>224</x:v>
      </x:c>
      <x:c r="C26" s="12" t="s">
        <x:v>208</x:v>
      </x:c>
      <x:c r="D26" s="13" t="s">
        <x:v>4493</x:v>
      </x:c>
      <x:c r="E26" s="12" t="s">
        <x:v>226</x:v>
      </x:c>
      <x:c r="F26" s="12" t="s">
        <x:v>226</x:v>
      </x:c>
      <x:c r="G26" s="13" t="s">
        <x:v>227</x:v>
      </x:c>
      <x:c r="H26" s="12" t="s">
        <x:v>125</x:v>
      </x:c>
      <x:c r="I26" s="12" t="s">
        <x:v>140</x:v>
      </x:c>
      <x:c r="J26" s="14" t="n">
        <x:v>46257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4494</x:v>
      </x:c>
      <x:c r="B27" s="12" t="s">
        <x:v>229</x:v>
      </x:c>
      <x:c r="C27" s="12" t="s">
        <x:v>96</x:v>
      </x:c>
      <x:c r="D27" s="13" t="s">
        <x:v>4495</x:v>
      </x:c>
      <x:c r="E27" s="12" t="s">
        <x:v>160</x:v>
      </x:c>
      <x:c r="F27" s="12" t="s">
        <x:v>160</x:v>
      </x:c>
      <x:c r="G27" s="13" t="s">
        <x:v>598</x:v>
      </x:c>
      <x:c r="H27" s="12" t="s">
        <x:v>123</x:v>
      </x:c>
      <x:c r="I27" s="12" t="s">
        <x:v>139</x:v>
      </x:c>
      <x:c r="J27" s="14"/>
      <x:c r="K27" s="13" t="s">
        <x:v>4496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</x:sheetData>
  <x:mergeCells>
    <x:mergeCell ref="A1:M1"/>
    <x:mergeCell ref="A2:M2"/>
  </x:mergeCells>
  <x:conditionalFormatting sqref="H9:H27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7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7">
      <x:formula1>"yes,no"</x:formula1>
      <x:formula2>0</x:formula2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4497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4498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143</x:v>
      </x:c>
      <x:c r="E4" s="7" t="n">
        <x:f aca="0">SUM(M9:M25)</x:f>
        <x:v>13</x:v>
      </x:c>
      <x:c r="G4" s="6" t="s">
        <x:v>13</x:v>
      </x:c>
      <x:c r="H4" s="33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tr">
        <x:v>CS-01</x:v>
      </x:c>
      <x:c r="B9" s="1" t="str">
        <x:v>Implementation</x:v>
      </x:c>
      <x:c r="C9" s="1" t="str">
        <x:v>Root / Mix</x:v>
      </x:c>
      <x:c r="D9" s="1" t="str">
        <x:v>Root and Mix render passive solid, alpha, and multi-color previews with decorative or named image semantics.</x:v>
      </x:c>
      <x:c r="E9" s="1" t="str">
        <x:v>package</x:v>
      </x:c>
      <x:c r="F9" s="1" t="str">
        <x:v>source</x:v>
      </x:c>
      <x:c r="G9" s="1" t="str">
        <x:v>../src/components/color-swatch</x:v>
      </x:c>
      <x:c r="H9" s="1" t="str">
        <x:v>tested</x:v>
      </x:c>
      <x:c r="I9" s="1" t="str">
        <x:v>no</x:v>
      </x:c>
      <x:c r="J9" s="34" t="n">
        <x:v>46265</x:v>
      </x:c>
      <x:c r="K9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tr">
        <x:v>CS-02</x:v>
      </x:c>
      <x:c r="B10" s="1" t="str">
        <x:v>Exports</x:v>
      </x:c>
      <x:c r="C10" s="1" t="str">
        <x:v>ColorSwatch</x:v>
      </x:c>
      <x:c r="D10" s="1" t="str">
        <x:v>Root and color-swatch subpath exports expose runtime, declarations, props, sizes, and ColorSwatchShape.</x:v>
      </x:c>
      <x:c r="E10" s="1" t="str">
        <x:v>package</x:v>
      </x:c>
      <x:c r="F10" s="1" t="str">
        <x:v>package</x:v>
      </x:c>
      <x:c r="G10" s="1" t="str">
        <x:v>../test/package/package.test.mjs</x:v>
      </x:c>
      <x:c r="H10" s="1" t="str">
        <x:v>tested</x:v>
      </x:c>
      <x:c r="I10" s="1" t="str">
        <x:v>no</x:v>
      </x:c>
      <x:c r="J10" s="34" t="n">
        <x:v>46265</x:v>
      </x:c>
      <x:c r="K10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tr">
        <x:v>CS-03</x:v>
      </x:c>
      <x:c r="B11" s="1" t="str">
        <x:v>Types</x:v>
      </x:c>
      <x:c r="C11" s="1" t="str">
        <x:v>Root / Mix</x:v>
      </x:c>
      <x:c r="D11" s="1" t="str">
        <x:v>Required values, Mix tuple, refs, sizes, sharp/rounded/circle shapes, and invalid cases type-check.</x:v>
      </x:c>
      <x:c r="E11" s="1" t="str">
        <x:v>package</x:v>
      </x:c>
      <x:c r="F11" s="1" t="str">
        <x:v>types</x:v>
      </x:c>
      <x:c r="G11" s="1" t="str">
        <x:v>../test/types/components/color-swatch.test.ts</x:v>
      </x:c>
      <x:c r="H11" s="1" t="str">
        <x:v>tested</x:v>
      </x:c>
      <x:c r="I11" s="1" t="str">
        <x:v>no</x:v>
      </x:c>
      <x:c r="J11" s="34" t="n">
        <x:v>46265</x:v>
      </x:c>
      <x:c r="K11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tr">
        <x:v>CS-04</x:v>
      </x:c>
      <x:c r="B12" s="1" t="str">
        <x:v>CSS</x:v>
      </x:c>
      <x:c r="C12" s="1" t="str">
        <x:v>Root / Mix</x:v>
      </x:c>
      <x:c r="D12" s="1" t="str">
        <x:v>Static CSS provides checker, paint, sizes, border, public radius, three closed shapes, and forced-color hooks.</x:v>
      </x:c>
      <x:c r="E12" s="1" t="str">
        <x:v>package</x:v>
      </x:c>
      <x:c r="F12" s="1" t="str">
        <x:v>css</x:v>
      </x:c>
      <x:c r="G12" s="1" t="str">
        <x:v>../src/components/color-swatch/color-swatch.css</x:v>
      </x:c>
      <x:c r="H12" s="1" t="str">
        <x:v>tested</x:v>
      </x:c>
      <x:c r="I12" s="1" t="str">
        <x:v>no</x:v>
      </x:c>
      <x:c r="J12" s="34" t="n">
        <x:v>46265</x:v>
      </x:c>
      <x:c r="K12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tr">
        <x:v>CS-05</x:v>
      </x:c>
      <x:c r="B13" s="1" t="str">
        <x:v>Unit</x:v>
      </x:c>
      <x:c r="C13" s="1" t="str">
        <x:v>Root / Mix</x:v>
      </x:c>
      <x:c r="D13" s="1" t="str">
        <x:v>DOM, refs, semantics, sizes, all shapes, and generated single/mixed value hooks pass focused tests.</x:v>
      </x:c>
      <x:c r="E13" s="1" t="str">
        <x:v>package</x:v>
      </x:c>
      <x:c r="F13" s="1" t="str">
        <x:v>component</x:v>
      </x:c>
      <x:c r="G13" s="1" t="str">
        <x:v>../test/components/color-swatch/color-swatch.test.tsx</x:v>
      </x:c>
      <x:c r="H13" s="1" t="str">
        <x:v>tested</x:v>
      </x:c>
      <x:c r="I13" s="1" t="str">
        <x:v>no</x:v>
      </x:c>
      <x:c r="J13" s="34" t="n">
        <x:v>46265</x:v>
      </x:c>
      <x:c r="K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tr">
        <x:v>CS-06</x:v>
      </x:c>
      <x:c r="B14" s="1" t="str">
        <x:v>Browser</x:v>
      </x:c>
      <x:c r="C14" s="1" t="str">
        <x:v>Root / Mix</x:v>
      </x:c>
      <x:c r="D14" s="1" t="str">
        <x:v>Real-browser solid, alpha, mix, semantics, size, and exact sharp/rounded/circle geometry checks pass.</x:v>
      </x:c>
      <x:c r="E14" s="1" t="str">
        <x:v>package</x:v>
      </x:c>
      <x:c r="F14" s="1" t="str">
        <x:v>browser</x:v>
      </x:c>
      <x:c r="G14" s="1" t="str">
        <x:v>tests/components/color-swatch/behavior.spec.ts</x:v>
      </x:c>
      <x:c r="H14" s="1" t="str">
        <x:v>tested</x:v>
      </x:c>
      <x:c r="I14" s="1" t="str">
        <x:v>no</x:v>
      </x:c>
      <x:c r="J14" s="34" t="n">
        <x:v>46265</x:v>
      </x:c>
      <x:c r="K14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tr">
        <x:v>CS-07</x:v>
      </x:c>
      <x:c r="B15" s="1" t="str">
        <x:v>Accessibility</x:v>
      </x:c>
      <x:c r="C15" s="1" t="str">
        <x:v>Root / Mix</x:v>
      </x:c>
      <x:c r="D15" s="1" t="str">
        <x:v>Axe passes and decorative versus labeled image semantics match the contract without color-only meaning.</x:v>
      </x:c>
      <x:c r="E15" s="1" t="str">
        <x:v>package</x:v>
      </x:c>
      <x:c r="F15" s="1" t="str">
        <x:v>axe</x:v>
      </x:c>
      <x:c r="G15" s="1" t="str">
        <x:v>tests/components/color-swatch/behavior.spec.ts</x:v>
      </x:c>
      <x:c r="H15" s="1" t="str">
        <x:v>tested</x:v>
      </x:c>
      <x:c r="I15" s="1" t="str">
        <x:v>no</x:v>
      </x:c>
      <x:c r="J15" s="34" t="n">
        <x:v>46265</x:v>
      </x:c>
      <x:c r="K15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tr">
        <x:v>CS-08</x:v>
      </x:c>
      <x:c r="B16" s="1" t="str">
        <x:v>Visual</x:v>
      </x:c>
      <x:c r="C16" s="1" t="str">
        <x:v>Root / Mix</x:v>
      </x:c>
      <x:c r="D16" s="1" t="str">
        <x:v>Risk-selected solid, alpha, mix, sizes, shapes, appearance, and forced-colors evidence is captured.</x:v>
      </x:c>
      <x:c r="E16" s="1" t="str">
        <x:v>package</x:v>
      </x:c>
      <x:c r="F16" s="1" t="str">
        <x:v>visual</x:v>
      </x:c>
      <x:c r="G16" s="1" t="str">
        <x:v>tests/components/color-swatch/visual.spec.ts</x:v>
      </x:c>
      <x:c r="H16" s="1" t="str">
        <x:v>tested</x:v>
      </x:c>
      <x:c r="I16" s="1" t="str">
        <x:v>yes</x:v>
      </x:c>
      <x:c r="J16" s="34" t="n">
        <x:v>46265</x:v>
      </x:c>
      <x:c r="K16" s="1" t="str">
        <x:v>Expanded shape baselines were generated and agent-inspected on August 31, 2026; owner review remains open.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0</x:v>
      </x:c>
    </x:row>
    <x:row r="17" s="4" customFormat="1" ht="42" hidden="0" customHeight="1">
      <x:c r="A17" s="1" t="str">
        <x:v>CS-09</x:v>
      </x:c>
      <x:c r="B17" s="1" t="str">
        <x:v>Responsive</x:v>
      </x:c>
      <x:c r="C17" s="1" t="str">
        <x:v>Root / Mix</x:v>
      </x:c>
      <x:c r="D17" s="1" t="str">
        <x:v>Narrow, zoom/reflow, content stress, and RTL stay aligned and contained in the owning layout.</x:v>
      </x:c>
      <x:c r="E17" s="1" t="str">
        <x:v>package</x:v>
      </x:c>
      <x:c r="F17" s="1" t="str">
        <x:v>manual</x:v>
      </x:c>
      <x:c r="G17" s="1" t="str">
        <x:v>manual-tests/color-swatch.md</x:v>
      </x:c>
      <x:c r="H17" s="1" t="str">
        <x:v>not started</x:v>
      </x:c>
      <x:c r="I17" s="1" t="str">
        <x:v>yes</x:v>
      </x:c>
      <x:c r="J17" s="35"/>
      <x:c r="K17" s="1" t="str">
        <x:v>Manual owner review remains open.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0</x:v>
      </x:c>
    </x:row>
    <x:row r="18" s="4" customFormat="1" ht="42" hidden="0" customHeight="1">
      <x:c r="A18" s="1" t="str">
        <x:v>CS-10</x:v>
      </x:c>
      <x:c r="B18" s="1" t="str">
        <x:v>Theme</x:v>
      </x:c>
      <x:c r="C18" s="1" t="str">
        <x:v>Root / Mix</x:v>
      </x:c>
      <x:c r="D18" s="1" t="str">
        <x:v>Light, dark, checker contrast, and forced-colors boundaries remain perceivable.</x:v>
      </x:c>
      <x:c r="E18" s="1" t="str">
        <x:v>package</x:v>
      </x:c>
      <x:c r="F18" s="1" t="str">
        <x:v>manual</x:v>
      </x:c>
      <x:c r="G18" s="1" t="str">
        <x:v>manual-tests/color-swatch.md; tests/components/color-swatch/visual.spec.ts</x:v>
      </x:c>
      <x:c r="H18" s="1" t="str">
        <x:v>tested</x:v>
      </x:c>
      <x:c r="I18" s="1" t="str">
        <x:v>yes</x:v>
      </x:c>
      <x:c r="J18" s="35" t="n">
        <x:v>46265</x:v>
      </x:c>
      <x:c r="K18" s="1" t="str">
        <x:v>Automated and visual evidence exists; owner manual review remains open.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2" hidden="0" customHeight="1">
      <x:c r="A19" s="1" t="str">
        <x:v>CS-11</x:v>
      </x:c>
      <x:c r="B19" s="1" t="str">
        <x:v>Composition</x:v>
      </x:c>
      <x:c r="C19" s="1" t="str">
        <x:v>Root / Mix</x:v>
      </x:c>
      <x:c r="D19" s="1" t="str">
        <x:v>Passive swatches compose inside Button and ColorPicker.SwatchTrigger while interaction remains on the semantic owner.</x:v>
      </x:c>
      <x:c r="E19" s="1" t="str">
        <x:v>package</x:v>
      </x:c>
      <x:c r="F19" s="1" t="str">
        <x:v>browser</x:v>
      </x:c>
      <x:c r="G19" s="1" t="str">
        <x:v>manual-tests/color-swatch.md; tests/components/color-swatch/behavior.spec.ts; ../apps/consumer/src/App.tsx</x:v>
      </x:c>
      <x:c r="H19" s="1" t="str">
        <x:v>tested</x:v>
      </x:c>
      <x:c r="I19" s="1" t="str">
        <x:v>no</x:v>
      </x:c>
      <x:c r="J19" s="34" t="n">
        <x:v>46265</x:v>
      </x:c>
      <x:c r="K19" s="1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tr">
        <x:v>CS-12</x:v>
      </x:c>
      <x:c r="B20" s="1" t="str">
        <x:v>Manual</x:v>
      </x:c>
      <x:c r="C20" s="1" t="str">
        <x:v>Root / Mix</x:v>
      </x:c>
      <x:c r="D20" s="1" t="str">
        <x:v>The numbered component-owned protocol covers every playground scenario and physical/assistive review.</x:v>
      </x:c>
      <x:c r="E20" s="1" t="str">
        <x:v>package</x:v>
      </x:c>
      <x:c r="F20" s="1" t="str">
        <x:v>manual</x:v>
      </x:c>
      <x:c r="G20" s="1" t="str">
        <x:v>manual-tests/color-swatch.md</x:v>
      </x:c>
      <x:c r="H20" s="1" t="str">
        <x:v>not started</x:v>
      </x:c>
      <x:c r="I20" s="1" t="str">
        <x:v>yes</x:v>
      </x:c>
      <x:c r="J20" s="35"/>
      <x:c r="K20" s="1" t="str">
        <x:v>No completed physical-device or assistive-technology run is recorded.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2" hidden="0" customHeight="1">
      <x:c r="A21" s="1" t="str">
        <x:v>CS-13</x:v>
      </x:c>
      <x:c r="B21" s="1" t="str">
        <x:v>Docs</x:v>
      </x:c>
      <x:c r="C21" s="1" t="str">
        <x:v>ColorSwatch</x:v>
      </x:c>
      <x:c r="D21" s="1" t="str">
        <x:v>Public usage, API Reference, data attributes, shapes, accessibility, customization, and evidence documentation passes.</x:v>
      </x:c>
      <x:c r="E21" s="1" t="str">
        <x:v>package</x:v>
      </x:c>
      <x:c r="F21" s="1" t="str">
        <x:v>docs</x:v>
      </x:c>
      <x:c r="G21" s="1" t="str">
        <x:v>../docs/components/color-swatch/README.md</x:v>
      </x:c>
      <x:c r="H21" s="1" t="str">
        <x:v>tested</x:v>
      </x:c>
      <x:c r="I21" s="1" t="str">
        <x:v>no</x:v>
      </x:c>
      <x:c r="J21" s="34" t="n">
        <x:v>46265</x:v>
      </x:c>
      <x:c r="K21"/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tr">
        <x:v>CS-14</x:v>
      </x:c>
      <x:c r="B22" s="1" t="str">
        <x:v>Agent Knowledge</x:v>
      </x:c>
      <x:c r="C22" s="1" t="str">
        <x:v>ColorSwatch</x:v>
      </x:c>
      <x:c r="D22" s="1" t="str">
        <x:v>Machine and Markdown guidance teach passive ownership, semantics, closed shapes, composition, exclusions, and validation.</x:v>
      </x:c>
      <x:c r="E22" s="1" t="str">
        <x:v>package</x:v>
      </x:c>
      <x:c r="F22" s="1" t="str">
        <x:v>agents</x:v>
      </x:c>
      <x:c r="G22" s="1" t="str">
        <x:v>../src/components/color-swatch/agent.json; ../agents/components/color-swatch/agent.json</x:v>
      </x:c>
      <x:c r="H22" s="1" t="str">
        <x:v>tested</x:v>
      </x:c>
      <x:c r="I22" s="1" t="str">
        <x:v>no</x:v>
      </x:c>
      <x:c r="J22" s="34" t="n">
        <x:v>46265</x:v>
      </x:c>
      <x:c r="K22"/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tr">
        <x:v>CS-15</x:v>
      </x:c>
      <x:c r="B23" s="1" t="str">
        <x:v>Changelog</x:v>
      </x:c>
      <x:c r="C23" s="1" t="str">
        <x:v>ColorSwatch</x:v>
      </x:c>
      <x:c r="D23" s="1" t="str">
        <x:v>Component and package changelogs record the shape expansion.</x:v>
      </x:c>
      <x:c r="E23" s="1" t="str">
        <x:v>package</x:v>
      </x:c>
      <x:c r="F23" s="1" t="str">
        <x:v>docs</x:v>
      </x:c>
      <x:c r="G23" s="1" t="str">
        <x:v>../docs/components/color-swatch/CHANGELOG.md; ../CHANGELOG.md</x:v>
      </x:c>
      <x:c r="H23" s="1" t="str">
        <x:v>tested</x:v>
      </x:c>
      <x:c r="I23" s="1" t="str">
        <x:v>no</x:v>
      </x:c>
      <x:c r="J23" s="34" t="n">
        <x:v>46265</x:v>
      </x:c>
      <x:c r="K23" s="1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tr">
        <x:v>CS-16</x:v>
      </x:c>
      <x:c r="B24" s="1" t="str">
        <x:v>Consumer</x:v>
      </x:c>
      <x:c r="C24" s="1" t="str">
        <x:v>ColorSwatch</x:v>
      </x:c>
      <x:c r="D24" s="1" t="str">
        <x:v>The standalone Consumer exercises sharp, circle, rounded mix, alpha, and named semantics through the public subpath.</x:v>
      </x:c>
      <x:c r="E24" s="1" t="str">
        <x:v>consumer</x:v>
      </x:c>
      <x:c r="F24" s="1" t="str">
        <x:v>consumer</x:v>
      </x:c>
      <x:c r="G24" s="1" t="str">
        <x:v>../apps/consumer/src/App.tsx; ../apps/consumer/tests/consumer.spec.ts</x:v>
      </x:c>
      <x:c r="H24" s="1" t="str">
        <x:v>tested</x:v>
      </x:c>
      <x:c r="I24" s="1" t="str">
        <x:v>no</x:v>
      </x:c>
      <x:c r="J24" s="34" t="n">
        <x:v>46265</x:v>
      </x:c>
      <x:c r="K24" s="1" t="str">
        <x:v>Desktop and mobile focused Consumer verification passed.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>
      <x:c r="A25" t="str">
        <x:v>CS-17</x:v>
      </x:c>
      <x:c r="B25" t="str">
        <x:v>Package</x:v>
      </x:c>
      <x:c r="C25" t="str">
        <x:v>ColorSwatch</x:v>
      </x:c>
      <x:c r="D25" t="str">
        <x:v>Build, exports, tarball, CSS, exact Atom dependency, and clean consumer boundaries pass.</x:v>
      </x:c>
      <x:c r="E25" t="str">
        <x:v>package</x:v>
      </x:c>
      <x:c r="F25" t="str">
        <x:v>package</x:v>
      </x:c>
      <x:c r="G25" t="str">
        <x:v>../scripts/verify-package.mjs; ../scripts/verify-consumers.mjs</x:v>
      </x:c>
      <x:c r="H25" t="str">
        <x:v>tested</x:v>
      </x:c>
      <x:c r="I25" t="str">
        <x:v>no</x:v>
      </x:c>
      <x:c r="J25" s="35" t="n">
        <x:v>46265</x:v>
      </x:c>
      <x:c r="K25" t="str">
        <x:v>Qualified against exact published Atom 0.26.0.</x:v>
      </x:c>
      <x:c r="L25" t="n">
        <x:v>1</x:v>
      </x:c>
      <x:c r="M25" t="n">
        <x:f>IF(OR(AND(I25="yes",H25="verified"),AND(I25="no",OR(H25="tested",H25="verified")),AND(H25="not applicable",K25&lt;&gt;"")),1,0)</x:f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4499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4500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143</x:v>
      </x:c>
      <x:c r="E4" s="7" t="n">
        <x:f aca="0">SUM(M9:M28)</x:f>
        <x:v>14</x:v>
      </x:c>
      <x:c r="G4" s="6" t="s">
        <x:v>13</x:v>
      </x:c>
      <x:c r="H4" s="8" t="n">
        <x:f aca="0">IF(B4=0,0,E4/B4)</x:f>
        <x:v>0.7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8" hidden="0" customHeight="1">
      <x:c r="A9" s="1" t="s">
        <x:v>4501</x:v>
      </x:c>
      <x:c r="B9" s="1" t="s">
        <x:v>157</x:v>
      </x:c>
      <x:c r="C9" s="13" t="s">
        <x:v>99</x:v>
      </x:c>
      <x:c r="D9" s="13" t="s">
        <x:v>4502</x:v>
      </x:c>
      <x:c r="E9" s="1" t="s">
        <x:v>160</x:v>
      </x:c>
      <x:c r="F9" s="1" t="s">
        <x:v>161</x:v>
      </x:c>
      <x:c r="G9" s="13" t="s">
        <x:v>4503</x:v>
      </x:c>
      <x:c r="H9" s="1" t="s">
        <x:v>125</x:v>
      </x:c>
      <x:c r="I9" s="1" t="s">
        <x:v>140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4504</x:v>
      </x:c>
      <x:c r="B10" s="1" t="s">
        <x:v>1423</x:v>
      </x:c>
      <x:c r="C10" s="13" t="s">
        <x:v>99</x:v>
      </x:c>
      <x:c r="D10" s="13" t="s">
        <x:v>4505</x:v>
      </x:c>
      <x:c r="E10" s="1" t="s">
        <x:v>160</x:v>
      </x:c>
      <x:c r="F10" s="1" t="s">
        <x:v>180</x:v>
      </x:c>
      <x:c r="G10" s="13" t="s">
        <x:v>4506</x:v>
      </x:c>
      <x:c r="H10" s="1" t="s">
        <x:v>125</x:v>
      </x:c>
      <x:c r="I10" s="1" t="s">
        <x:v>140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4507</x:v>
      </x:c>
      <x:c r="B11" s="1" t="s">
        <x:v>164</x:v>
      </x:c>
      <x:c r="C11" s="13" t="s">
        <x:v>99</x:v>
      </x:c>
      <x:c r="D11" s="13" t="s">
        <x:v>4508</x:v>
      </x:c>
      <x:c r="E11" s="1" t="s">
        <x:v>160</x:v>
      </x:c>
      <x:c r="F11" s="1" t="s">
        <x:v>160</x:v>
      </x:c>
      <x:c r="G11" s="13" t="s">
        <x:v>166</x:v>
      </x:c>
      <x:c r="H11" s="1" t="s">
        <x:v>125</x:v>
      </x:c>
      <x:c r="I11" s="1" t="s">
        <x:v>140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4509</x:v>
      </x:c>
      <x:c r="B12" s="1" t="s">
        <x:v>168</x:v>
      </x:c>
      <x:c r="C12" s="13" t="s">
        <x:v>99</x:v>
      </x:c>
      <x:c r="D12" s="13" t="s">
        <x:v>4510</x:v>
      </x:c>
      <x:c r="E12" s="1" t="s">
        <x:v>160</x:v>
      </x:c>
      <x:c r="F12" s="1" t="s">
        <x:v>170</x:v>
      </x:c>
      <x:c r="G12" s="13" t="s">
        <x:v>4511</x:v>
      </x:c>
      <x:c r="H12" s="1" t="s">
        <x:v>125</x:v>
      </x:c>
      <x:c r="I12" s="1" t="s">
        <x:v>140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4512</x:v>
      </x:c>
      <x:c r="B13" s="1" t="s">
        <x:v>173</x:v>
      </x:c>
      <x:c r="C13" s="13" t="s">
        <x:v>99</x:v>
      </x:c>
      <x:c r="D13" s="13" t="s">
        <x:v>4513</x:v>
      </x:c>
      <x:c r="E13" s="1" t="s">
        <x:v>160</x:v>
      </x:c>
      <x:c r="F13" s="1" t="s">
        <x:v>175</x:v>
      </x:c>
      <x:c r="G13" s="13" t="s">
        <x:v>4514</x:v>
      </x:c>
      <x:c r="H13" s="1" t="s">
        <x:v>125</x:v>
      </x:c>
      <x:c r="I13" s="1" t="s">
        <x:v>140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4515</x:v>
      </x:c>
      <x:c r="B14" s="1" t="s">
        <x:v>4516</x:v>
      </x:c>
      <x:c r="C14" s="13" t="s">
        <x:v>99</x:v>
      </x:c>
      <x:c r="D14" s="13" t="s">
        <x:v>4517</x:v>
      </x:c>
      <x:c r="E14" s="1" t="s">
        <x:v>160</x:v>
      </x:c>
      <x:c r="F14" s="1" t="s">
        <x:v>180</x:v>
      </x:c>
      <x:c r="G14" s="13" t="s">
        <x:v>4506</x:v>
      </x:c>
      <x:c r="H14" s="1" t="s">
        <x:v>125</x:v>
      </x:c>
      <x:c r="I14" s="1" t="s">
        <x:v>140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4518</x:v>
      </x:c>
      <x:c r="B15" s="1" t="s">
        <x:v>199</x:v>
      </x:c>
      <x:c r="C15" s="13" t="s">
        <x:v>99</x:v>
      </x:c>
      <x:c r="D15" s="13" t="s">
        <x:v>4519</x:v>
      </x:c>
      <x:c r="E15" s="1" t="s">
        <x:v>160</x:v>
      </x:c>
      <x:c r="F15" s="1" t="s">
        <x:v>185</x:v>
      </x:c>
      <x:c r="G15" s="13" t="s">
        <x:v>4520</x:v>
      </x:c>
      <x:c r="H15" s="1" t="s">
        <x:v>125</x:v>
      </x:c>
      <x:c r="I15" s="1" t="s">
        <x:v>140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4521</x:v>
      </x:c>
      <x:c r="B16" s="1" t="s">
        <x:v>208</x:v>
      </x:c>
      <x:c r="C16" s="13" t="s">
        <x:v>99</x:v>
      </x:c>
      <x:c r="D16" s="13" t="s">
        <x:v>4522</x:v>
      </x:c>
      <x:c r="E16" s="1" t="s">
        <x:v>160</x:v>
      </x:c>
      <x:c r="F16" s="1" t="s">
        <x:v>180</x:v>
      </x:c>
      <x:c r="G16" s="13" t="s">
        <x:v>4523</x:v>
      </x:c>
      <x:c r="H16" s="1" t="s">
        <x:v>125</x:v>
      </x:c>
      <x:c r="I16" s="1" t="s">
        <x:v>140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4524</x:v>
      </x:c>
      <x:c r="B17" s="1" t="s">
        <x:v>188</x:v>
      </x:c>
      <x:c r="C17" s="13" t="s">
        <x:v>99</x:v>
      </x:c>
      <x:c r="D17" s="13" t="s">
        <x:v>4525</x:v>
      </x:c>
      <x:c r="E17" s="1" t="s">
        <x:v>160</x:v>
      </x:c>
      <x:c r="F17" s="1" t="s">
        <x:v>190</x:v>
      </x:c>
      <x:c r="G17" s="13" t="s">
        <x:v>4520</x:v>
      </x:c>
      <x:c r="H17" s="1" t="s">
        <x:v>125</x:v>
      </x:c>
      <x:c r="I17" s="1" t="s">
        <x:v>140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4526</x:v>
      </x:c>
      <x:c r="B18" s="1" t="s">
        <x:v>193</x:v>
      </x:c>
      <x:c r="C18" s="13" t="s">
        <x:v>99</x:v>
      </x:c>
      <x:c r="D18" s="13" t="s">
        <x:v>4527</x:v>
      </x:c>
      <x:c r="E18" s="1" t="s">
        <x:v>160</x:v>
      </x:c>
      <x:c r="F18" s="1" t="s">
        <x:v>195</x:v>
      </x:c>
      <x:c r="G18" s="13" t="s">
        <x:v>4528</x:v>
      </x:c>
      <x:c r="H18" s="1" t="s">
        <x:v>121</x:v>
      </x:c>
      <x:c r="I18" s="1" t="s">
        <x:v>139</x:v>
      </x:c>
      <x:c r="J18" s="11" t="n">
        <x:v>46262</x:v>
      </x:c>
      <x:c r="K18" s="13" t="s">
        <x:v>4529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8" hidden="0" customHeight="1">
      <x:c r="A19" s="1" t="s">
        <x:v>4530</x:v>
      </x:c>
      <x:c r="B19" s="1" t="s">
        <x:v>4531</x:v>
      </x:c>
      <x:c r="C19" s="13" t="s">
        <x:v>99</x:v>
      </x:c>
      <x:c r="D19" s="13" t="s">
        <x:v>4532</x:v>
      </x:c>
      <x:c r="E19" s="1" t="s">
        <x:v>160</x:v>
      </x:c>
      <x:c r="F19" s="1" t="s">
        <x:v>201</x:v>
      </x:c>
      <x:c r="G19" s="13" t="s">
        <x:v>4533</x:v>
      </x:c>
      <x:c r="H19" s="1" t="s">
        <x:v>119</x:v>
      </x:c>
      <x:c r="I19" s="1" t="s">
        <x:v>139</x:v>
      </x:c>
      <x:c r="K19" s="13" t="s">
        <x:v>4534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0</x:v>
      </x:c>
    </x:row>
    <x:row r="20" s="4" customFormat="1" ht="48" hidden="0" customHeight="1">
      <x:c r="A20" s="1" t="s">
        <x:v>4535</x:v>
      </x:c>
      <x:c r="B20" s="1" t="s">
        <x:v>205</x:v>
      </x:c>
      <x:c r="C20" s="13" t="s">
        <x:v>99</x:v>
      </x:c>
      <x:c r="D20" s="13" t="s">
        <x:v>4536</x:v>
      </x:c>
      <x:c r="E20" s="1" t="s">
        <x:v>160</x:v>
      </x:c>
      <x:c r="F20" s="1" t="s">
        <x:v>201</x:v>
      </x:c>
      <x:c r="G20" s="13" t="s">
        <x:v>4533</x:v>
      </x:c>
      <x:c r="H20" s="1" t="s">
        <x:v>119</x:v>
      </x:c>
      <x:c r="I20" s="1" t="s">
        <x:v>139</x:v>
      </x:c>
      <x:c r="K20" s="13" t="s">
        <x:v>4537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4538</x:v>
      </x:c>
      <x:c r="B21" s="1" t="s">
        <x:v>212</x:v>
      </x:c>
      <x:c r="C21" s="13" t="s">
        <x:v>99</x:v>
      </x:c>
      <x:c r="D21" s="13" t="s">
        <x:v>4539</x:v>
      </x:c>
      <x:c r="E21" s="1" t="s">
        <x:v>160</x:v>
      </x:c>
      <x:c r="F21" s="1" t="s">
        <x:v>201</x:v>
      </x:c>
      <x:c r="G21" s="13" t="s">
        <x:v>4533</x:v>
      </x:c>
      <x:c r="H21" s="1" t="s">
        <x:v>119</x:v>
      </x:c>
      <x:c r="I21" s="1" t="s">
        <x:v>139</x:v>
      </x:c>
      <x:c r="K21" s="13" t="s">
        <x:v>4540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4541</x:v>
      </x:c>
      <x:c r="B22" s="1" t="s">
        <x:v>646</x:v>
      </x:c>
      <x:c r="C22" s="13" t="s">
        <x:v>99</x:v>
      </x:c>
      <x:c r="D22" s="13" t="s">
        <x:v>4542</x:v>
      </x:c>
      <x:c r="E22" s="1" t="s">
        <x:v>160</x:v>
      </x:c>
      <x:c r="F22" s="1" t="s">
        <x:v>648</x:v>
      </x:c>
      <x:c r="G22" s="13" t="s">
        <x:v>4543</x:v>
      </x:c>
      <x:c r="H22" s="1" t="s">
        <x:v>125</x:v>
      </x:c>
      <x:c r="I22" s="1" t="s">
        <x:v>140</x:v>
      </x:c>
      <x:c r="J22" s="11" t="n">
        <x:v>46262</x:v>
      </x:c>
      <x:c r="K22" s="13"/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8" hidden="0" customHeight="1">
      <x:c r="A23" s="1" t="s">
        <x:v>4544</x:v>
      </x:c>
      <x:c r="B23" s="1" t="s">
        <x:v>215</x:v>
      </x:c>
      <x:c r="C23" s="13" t="s">
        <x:v>99</x:v>
      </x:c>
      <x:c r="D23" s="13" t="s">
        <x:v>4545</x:v>
      </x:c>
      <x:c r="E23" s="1" t="s">
        <x:v>160</x:v>
      </x:c>
      <x:c r="F23" s="1" t="s">
        <x:v>217</x:v>
      </x:c>
      <x:c r="G23" s="13" t="s">
        <x:v>4546</x:v>
      </x:c>
      <x:c r="H23" s="1" t="s">
        <x:v>125</x:v>
      </x:c>
      <x:c r="I23" s="1" t="s">
        <x:v>140</x:v>
      </x:c>
      <x:c r="J23" s="11" t="n">
        <x:v>46262</x:v>
      </x:c>
      <x:c r="K23" s="13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8" hidden="0" customHeight="1">
      <x:c r="A24" s="1" t="s">
        <x:v>4547</x:v>
      </x:c>
      <x:c r="B24" s="1" t="s">
        <x:v>4232</x:v>
      </x:c>
      <x:c r="C24" s="13" t="s">
        <x:v>99</x:v>
      </x:c>
      <x:c r="D24" s="13" t="s">
        <x:v>4548</x:v>
      </x:c>
      <x:c r="E24" s="1" t="s">
        <x:v>160</x:v>
      </x:c>
      <x:c r="F24" s="1" t="s">
        <x:v>217</x:v>
      </x:c>
      <x:c r="G24" s="13" t="s">
        <x:v>4549</x:v>
      </x:c>
      <x:c r="H24" s="1" t="s">
        <x:v>125</x:v>
      </x:c>
      <x:c r="I24" s="1" t="s">
        <x:v>140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4550</x:v>
      </x:c>
      <x:c r="B25" s="1" t="s">
        <x:v>220</x:v>
      </x:c>
      <x:c r="C25" s="13" t="s">
        <x:v>99</x:v>
      </x:c>
      <x:c r="D25" s="13" t="s">
        <x:v>4551</x:v>
      </x:c>
      <x:c r="E25" s="1" t="s">
        <x:v>160</x:v>
      </x:c>
      <x:c r="F25" s="1" t="s">
        <x:v>217</x:v>
      </x:c>
      <x:c r="G25" s="13" t="s">
        <x:v>4552</x:v>
      </x:c>
      <x:c r="H25" s="1" t="s">
        <x:v>125</x:v>
      </x:c>
      <x:c r="I25" s="1" t="s">
        <x:v>140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4553</x:v>
      </x:c>
      <x:c r="B26" s="1" t="s">
        <x:v>224</x:v>
      </x:c>
      <x:c r="C26" s="13" t="s">
        <x:v>99</x:v>
      </x:c>
      <x:c r="D26" s="13" t="s">
        <x:v>4554</x:v>
      </x:c>
      <x:c r="E26" s="1" t="s">
        <x:v>226</x:v>
      </x:c>
      <x:c r="F26" s="1" t="s">
        <x:v>226</x:v>
      </x:c>
      <x:c r="G26" s="13" t="s">
        <x:v>227</x:v>
      </x:c>
      <x:c r="H26" s="1" t="s">
        <x:v>119</x:v>
      </x:c>
      <x:c r="I26" s="1" t="s">
        <x:v>140</x:v>
      </x:c>
      <x:c r="K26" s="13" t="s">
        <x:v>4555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0</x:v>
      </x:c>
    </x:row>
    <x:row r="27" s="4" customFormat="1" ht="48" hidden="0" customHeight="1">
      <x:c r="A27" s="1" t="s">
        <x:v>4556</x:v>
      </x:c>
      <x:c r="B27" s="1" t="s">
        <x:v>229</x:v>
      </x:c>
      <x:c r="C27" s="13" t="s">
        <x:v>99</x:v>
      </x:c>
      <x:c r="D27" s="13" t="s">
        <x:v>4557</x:v>
      </x:c>
      <x:c r="E27" s="1" t="s">
        <x:v>160</x:v>
      </x:c>
      <x:c r="F27" s="1" t="s">
        <x:v>160</x:v>
      </x:c>
      <x:c r="G27" s="13" t="s">
        <x:v>231</x:v>
      </x:c>
      <x:c r="H27" s="1" t="s">
        <x:v>129</x:v>
      </x:c>
      <x:c r="I27" s="1" t="s">
        <x:v>140</x:v>
      </x:c>
      <x:c r="J27" s="11" t="n">
        <x:v>46262</x:v>
      </x:c>
      <x:c r="K27" s="13" t="s">
        <x:v>4558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4559</x:v>
      </x:c>
      <x:c r="B28" s="1" t="s">
        <x:v>117</x:v>
      </x:c>
      <x:c r="C28" s="13" t="s">
        <x:v>99</x:v>
      </x:c>
      <x:c r="D28" s="13" t="s">
        <x:v>4560</x:v>
      </x:c>
      <x:c r="E28" s="1" t="s">
        <x:v>160</x:v>
      </x:c>
      <x:c r="F28" s="1" t="s">
        <x:v>217</x:v>
      </x:c>
      <x:c r="G28" s="13" t="s">
        <x:v>4561</x:v>
      </x:c>
      <x:c r="H28" s="1" t="s">
        <x:v>125</x:v>
      </x:c>
      <x:c r="I28" s="1" t="s">
        <x:v>140</x:v>
      </x:c>
      <x:c r="J28" s="11" t="n">
        <x:v>46262</x:v>
      </x:c>
      <x:c r="K28" s="13"/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4562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4563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143</x:v>
      </x:c>
      <x:c r="E4" s="7" t="n">
        <x:f aca="0">SUM(M9:M28)</x:f>
        <x:v>13</x:v>
      </x:c>
      <x:c r="G4" s="6" t="s">
        <x:v>13</x:v>
      </x:c>
      <x:c r="H4" s="8" t="n">
        <x:f aca="0">IF(B4=0,0,E4/B4)</x:f>
        <x:v>0.65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8" hidden="0" customHeight="1">
      <x:c r="A9" s="1" t="s">
        <x:v>4564</x:v>
      </x:c>
      <x:c r="B9" s="1" t="s">
        <x:v>157</x:v>
      </x:c>
      <x:c r="C9" s="13" t="s">
        <x:v>4565</x:v>
      </x:c>
      <x:c r="D9" s="13" t="s">
        <x:v>4566</x:v>
      </x:c>
      <x:c r="E9" s="1" t="s">
        <x:v>160</x:v>
      </x:c>
      <x:c r="F9" s="1" t="s">
        <x:v>161</x:v>
      </x:c>
      <x:c r="G9" s="13" t="s">
        <x:v>4567</x:v>
      </x:c>
      <x:c r="H9" s="1" t="s">
        <x:v>125</x:v>
      </x:c>
      <x:c r="I9" s="1" t="s">
        <x:v>140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4568</x:v>
      </x:c>
      <x:c r="B10" s="1" t="s">
        <x:v>1423</x:v>
      </x:c>
      <x:c r="C10" s="13" t="s">
        <x:v>4565</x:v>
      </x:c>
      <x:c r="D10" s="13" t="s">
        <x:v>4569</x:v>
      </x:c>
      <x:c r="E10" s="1" t="s">
        <x:v>160</x:v>
      </x:c>
      <x:c r="F10" s="1" t="s">
        <x:v>180</x:v>
      </x:c>
      <x:c r="G10" s="13" t="s">
        <x:v>4570</x:v>
      </x:c>
      <x:c r="H10" s="1" t="s">
        <x:v>125</x:v>
      </x:c>
      <x:c r="I10" s="1" t="s">
        <x:v>140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4571</x:v>
      </x:c>
      <x:c r="B11" s="1" t="s">
        <x:v>164</x:v>
      </x:c>
      <x:c r="C11" s="13" t="s">
        <x:v>4572</x:v>
      </x:c>
      <x:c r="D11" s="13" t="s">
        <x:v>4573</x:v>
      </x:c>
      <x:c r="E11" s="1" t="s">
        <x:v>160</x:v>
      </x:c>
      <x:c r="F11" s="1" t="s">
        <x:v>160</x:v>
      </x:c>
      <x:c r="G11" s="13" t="s">
        <x:v>166</x:v>
      </x:c>
      <x:c r="H11" s="1" t="s">
        <x:v>125</x:v>
      </x:c>
      <x:c r="I11" s="1" t="s">
        <x:v>140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4574</x:v>
      </x:c>
      <x:c r="B12" s="1" t="s">
        <x:v>168</x:v>
      </x:c>
      <x:c r="C12" s="13" t="s">
        <x:v>4565</x:v>
      </x:c>
      <x:c r="D12" s="13" t="s">
        <x:v>4575</x:v>
      </x:c>
      <x:c r="E12" s="1" t="s">
        <x:v>160</x:v>
      </x:c>
      <x:c r="F12" s="1" t="s">
        <x:v>170</x:v>
      </x:c>
      <x:c r="G12" s="13" t="s">
        <x:v>4576</x:v>
      </x:c>
      <x:c r="H12" s="1" t="s">
        <x:v>125</x:v>
      </x:c>
      <x:c r="I12" s="1" t="s">
        <x:v>140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4577</x:v>
      </x:c>
      <x:c r="B13" s="1" t="s">
        <x:v>173</x:v>
      </x:c>
      <x:c r="C13" s="13" t="s">
        <x:v>4565</x:v>
      </x:c>
      <x:c r="D13" s="13" t="s">
        <x:v>4578</x:v>
      </x:c>
      <x:c r="E13" s="1" t="s">
        <x:v>160</x:v>
      </x:c>
      <x:c r="F13" s="1" t="s">
        <x:v>175</x:v>
      </x:c>
      <x:c r="G13" s="13" t="s">
        <x:v>4579</x:v>
      </x:c>
      <x:c r="H13" s="1" t="s">
        <x:v>125</x:v>
      </x:c>
      <x:c r="I13" s="1" t="s">
        <x:v>140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4580</x:v>
      </x:c>
      <x:c r="B14" s="1" t="s">
        <x:v>1649</x:v>
      </x:c>
      <x:c r="C14" s="13" t="s">
        <x:v>827</x:v>
      </x:c>
      <x:c r="D14" s="13" t="s">
        <x:v>4581</x:v>
      </x:c>
      <x:c r="E14" s="1" t="s">
        <x:v>160</x:v>
      </x:c>
      <x:c r="F14" s="1" t="s">
        <x:v>180</x:v>
      </x:c>
      <x:c r="G14" s="13" t="s">
        <x:v>4570</x:v>
      </x:c>
      <x:c r="H14" s="1" t="s">
        <x:v>125</x:v>
      </x:c>
      <x:c r="I14" s="1" t="s">
        <x:v>140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4582</x:v>
      </x:c>
      <x:c r="B15" s="1" t="s">
        <x:v>1213</x:v>
      </x:c>
      <x:c r="C15" s="13" t="s">
        <x:v>918</x:v>
      </x:c>
      <x:c r="D15" s="13" t="s">
        <x:v>4583</x:v>
      </x:c>
      <x:c r="E15" s="1" t="s">
        <x:v>160</x:v>
      </x:c>
      <x:c r="F15" s="1" t="s">
        <x:v>180</x:v>
      </x:c>
      <x:c r="G15" s="13" t="s">
        <x:v>4570</x:v>
      </x:c>
      <x:c r="H15" s="1" t="s">
        <x:v>125</x:v>
      </x:c>
      <x:c r="I15" s="1" t="s">
        <x:v>140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4584</x:v>
      </x:c>
      <x:c r="B16" s="1" t="s">
        <x:v>199</x:v>
      </x:c>
      <x:c r="C16" s="13" t="s">
        <x:v>918</x:v>
      </x:c>
      <x:c r="D16" s="13" t="s">
        <x:v>4585</x:v>
      </x:c>
      <x:c r="E16" s="1" t="s">
        <x:v>160</x:v>
      </x:c>
      <x:c r="F16" s="1" t="s">
        <x:v>185</x:v>
      </x:c>
      <x:c r="G16" s="13" t="s">
        <x:v>4586</x:v>
      </x:c>
      <x:c r="H16" s="1" t="s">
        <x:v>125</x:v>
      </x:c>
      <x:c r="I16" s="1" t="s">
        <x:v>140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4587</x:v>
      </x:c>
      <x:c r="B17" s="1" t="s">
        <x:v>188</x:v>
      </x:c>
      <x:c r="C17" s="13" t="s">
        <x:v>4588</x:v>
      </x:c>
      <x:c r="D17" s="13" t="s">
        <x:v>4589</x:v>
      </x:c>
      <x:c r="E17" s="1" t="s">
        <x:v>160</x:v>
      </x:c>
      <x:c r="F17" s="1" t="s">
        <x:v>190</x:v>
      </x:c>
      <x:c r="G17" s="13" t="s">
        <x:v>4586</x:v>
      </x:c>
      <x:c r="H17" s="1" t="s">
        <x:v>125</x:v>
      </x:c>
      <x:c r="I17" s="1" t="s">
        <x:v>140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4590</x:v>
      </x:c>
      <x:c r="B18" s="1" t="s">
        <x:v>193</x:v>
      </x:c>
      <x:c r="C18" s="13" t="s">
        <x:v>4572</x:v>
      </x:c>
      <x:c r="D18" s="13" t="s">
        <x:v>4591</x:v>
      </x:c>
      <x:c r="E18" s="1" t="s">
        <x:v>160</x:v>
      </x:c>
      <x:c r="F18" s="1" t="s">
        <x:v>195</x:v>
      </x:c>
      <x:c r="G18" s="13" t="s">
        <x:v>4592</x:v>
      </x:c>
      <x:c r="H18" s="1" t="s">
        <x:v>121</x:v>
      </x:c>
      <x:c r="I18" s="1" t="s">
        <x:v>139</x:v>
      </x:c>
      <x:c r="J18" s="11" t="n">
        <x:v>46262</x:v>
      </x:c>
      <x:c r="K18" s="13" t="s">
        <x:v>4593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8" hidden="0" customHeight="1">
      <x:c r="A19" s="1" t="s">
        <x:v>4594</x:v>
      </x:c>
      <x:c r="B19" s="1" t="s">
        <x:v>4531</x:v>
      </x:c>
      <x:c r="C19" s="13" t="s">
        <x:v>918</x:v>
      </x:c>
      <x:c r="D19" s="13" t="s">
        <x:v>4595</x:v>
      </x:c>
      <x:c r="E19" s="1" t="s">
        <x:v>160</x:v>
      </x:c>
      <x:c r="F19" s="1" t="s">
        <x:v>201</x:v>
      </x:c>
      <x:c r="G19" s="13" t="s">
        <x:v>4596</x:v>
      </x:c>
      <x:c r="H19" s="1" t="s">
        <x:v>119</x:v>
      </x:c>
      <x:c r="I19" s="1" t="s">
        <x:v>139</x:v>
      </x:c>
      <x:c r="K19" s="13" t="s">
        <x:v>4597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0</x:v>
      </x:c>
    </x:row>
    <x:row r="20" s="4" customFormat="1" ht="48" hidden="0" customHeight="1">
      <x:c r="A20" s="1" t="s">
        <x:v>4598</x:v>
      </x:c>
      <x:c r="B20" s="1" t="s">
        <x:v>205</x:v>
      </x:c>
      <x:c r="C20" s="13" t="s">
        <x:v>4588</x:v>
      </x:c>
      <x:c r="D20" s="13" t="s">
        <x:v>4599</x:v>
      </x:c>
      <x:c r="E20" s="1" t="s">
        <x:v>160</x:v>
      </x:c>
      <x:c r="F20" s="1" t="s">
        <x:v>201</x:v>
      </x:c>
      <x:c r="G20" s="13" t="s">
        <x:v>4596</x:v>
      </x:c>
      <x:c r="H20" s="1" t="s">
        <x:v>119</x:v>
      </x:c>
      <x:c r="I20" s="1" t="s">
        <x:v>139</x:v>
      </x:c>
      <x:c r="K20" s="13" t="s">
        <x:v>4537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4600</x:v>
      </x:c>
      <x:c r="B21" s="1" t="s">
        <x:v>208</x:v>
      </x:c>
      <x:c r="C21" s="13" t="s">
        <x:v>4601</x:v>
      </x:c>
      <x:c r="D21" s="13" t="s">
        <x:v>4602</x:v>
      </x:c>
      <x:c r="E21" s="1" t="s">
        <x:v>160</x:v>
      </x:c>
      <x:c r="F21" s="1" t="s">
        <x:v>201</x:v>
      </x:c>
      <x:c r="G21" s="13" t="s">
        <x:v>4603</x:v>
      </x:c>
      <x:c r="H21" s="1" t="s">
        <x:v>123</x:v>
      </x:c>
      <x:c r="I21" s="1" t="s">
        <x:v>139</x:v>
      </x:c>
      <x:c r="J21" s="11" t="n">
        <x:v>46262</x:v>
      </x:c>
      <x:c r="K21" s="13" t="s">
        <x:v>4604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4605</x:v>
      </x:c>
      <x:c r="B22" s="1" t="s">
        <x:v>212</x:v>
      </x:c>
      <x:c r="C22" s="13" t="s">
        <x:v>4572</x:v>
      </x:c>
      <x:c r="D22" s="13" t="s">
        <x:v>4606</x:v>
      </x:c>
      <x:c r="E22" s="1" t="s">
        <x:v>160</x:v>
      </x:c>
      <x:c r="F22" s="1" t="s">
        <x:v>201</x:v>
      </x:c>
      <x:c r="G22" s="13" t="s">
        <x:v>4596</x:v>
      </x:c>
      <x:c r="H22" s="1" t="s">
        <x:v>119</x:v>
      </x:c>
      <x:c r="I22" s="1" t="s">
        <x:v>139</x:v>
      </x:c>
      <x:c r="K22" s="13" t="s">
        <x:v>4540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4607</x:v>
      </x:c>
      <x:c r="B23" s="1" t="s">
        <x:v>646</x:v>
      </x:c>
      <x:c r="C23" s="13" t="s">
        <x:v>4572</x:v>
      </x:c>
      <x:c r="D23" s="13" t="s">
        <x:v>4608</x:v>
      </x:c>
      <x:c r="E23" s="1" t="s">
        <x:v>160</x:v>
      </x:c>
      <x:c r="F23" s="1" t="s">
        <x:v>648</x:v>
      </x:c>
      <x:c r="G23" s="13" t="s">
        <x:v>4609</x:v>
      </x:c>
      <x:c r="H23" s="1" t="s">
        <x:v>125</x:v>
      </x:c>
      <x:c r="I23" s="1" t="s">
        <x:v>140</x:v>
      </x:c>
      <x:c r="J23" s="11" t="n">
        <x:v>46262</x:v>
      </x:c>
      <x:c r="K23" s="13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8" hidden="0" customHeight="1">
      <x:c r="A24" s="1" t="s">
        <x:v>4610</x:v>
      </x:c>
      <x:c r="B24" s="1" t="s">
        <x:v>215</x:v>
      </x:c>
      <x:c r="C24" s="13" t="s">
        <x:v>4572</x:v>
      </x:c>
      <x:c r="D24" s="13" t="s">
        <x:v>4611</x:v>
      </x:c>
      <x:c r="E24" s="1" t="s">
        <x:v>160</x:v>
      </x:c>
      <x:c r="F24" s="1" t="s">
        <x:v>217</x:v>
      </x:c>
      <x:c r="G24" s="13" t="s">
        <x:v>4612</x:v>
      </x:c>
      <x:c r="H24" s="1" t="s">
        <x:v>125</x:v>
      </x:c>
      <x:c r="I24" s="1" t="s">
        <x:v>140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4613</x:v>
      </x:c>
      <x:c r="B25" s="1" t="s">
        <x:v>4232</x:v>
      </x:c>
      <x:c r="C25" s="13" t="s">
        <x:v>4572</x:v>
      </x:c>
      <x:c r="D25" s="13" t="s">
        <x:v>4614</x:v>
      </x:c>
      <x:c r="E25" s="1" t="s">
        <x:v>160</x:v>
      </x:c>
      <x:c r="F25" s="1" t="s">
        <x:v>217</x:v>
      </x:c>
      <x:c r="G25" s="13" t="s">
        <x:v>4615</x:v>
      </x:c>
      <x:c r="H25" s="1" t="s">
        <x:v>125</x:v>
      </x:c>
      <x:c r="I25" s="1" t="s">
        <x:v>140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4616</x:v>
      </x:c>
      <x:c r="B26" s="1" t="s">
        <x:v>220</x:v>
      </x:c>
      <x:c r="C26" s="13" t="s">
        <x:v>4572</x:v>
      </x:c>
      <x:c r="D26" s="13" t="s">
        <x:v>4617</x:v>
      </x:c>
      <x:c r="E26" s="1" t="s">
        <x:v>160</x:v>
      </x:c>
      <x:c r="F26" s="1" t="s">
        <x:v>217</x:v>
      </x:c>
      <x:c r="G26" s="13" t="s">
        <x:v>4618</x:v>
      </x:c>
      <x:c r="H26" s="1" t="s">
        <x:v>125</x:v>
      </x:c>
      <x:c r="I26" s="1" t="s">
        <x:v>140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4619</x:v>
      </x:c>
      <x:c r="B27" s="1" t="s">
        <x:v>224</x:v>
      </x:c>
      <x:c r="C27" s="13" t="s">
        <x:v>4572</x:v>
      </x:c>
      <x:c r="D27" s="13" t="s">
        <x:v>4620</x:v>
      </x:c>
      <x:c r="E27" s="1" t="s">
        <x:v>226</x:v>
      </x:c>
      <x:c r="F27" s="1" t="s">
        <x:v>226</x:v>
      </x:c>
      <x:c r="G27" s="13" t="s">
        <x:v>227</x:v>
      </x:c>
      <x:c r="H27" s="1" t="s">
        <x:v>119</x:v>
      </x:c>
      <x:c r="I27" s="1" t="s">
        <x:v>140</x:v>
      </x:c>
      <x:c r="K27" s="13" t="s">
        <x:v>4621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4622</x:v>
      </x:c>
      <x:c r="B28" s="1" t="s">
        <x:v>229</x:v>
      </x:c>
      <x:c r="C28" s="13" t="s">
        <x:v>4572</x:v>
      </x:c>
      <x:c r="D28" s="13" t="s">
        <x:v>4557</x:v>
      </x:c>
      <x:c r="E28" s="1" t="s">
        <x:v>160</x:v>
      </x:c>
      <x:c r="F28" s="1" t="s">
        <x:v>160</x:v>
      </x:c>
      <x:c r="G28" s="13" t="s">
        <x:v>231</x:v>
      </x:c>
      <x:c r="H28" s="1" t="s">
        <x:v>129</x:v>
      </x:c>
      <x:c r="I28" s="1" t="s">
        <x:v>140</x:v>
      </x:c>
      <x:c r="J28" s="11" t="n">
        <x:v>46262</x:v>
      </x:c>
      <x:c r="K28" s="13" t="s">
        <x:v>4558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4623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4624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143</x:v>
      </x:c>
      <x:c r="E4" s="7" t="n">
        <x:f aca="0">SUM(M9:M28)</x:f>
        <x:v>17</x:v>
      </x:c>
      <x:c r="G4" s="6" t="s">
        <x:v>13</x:v>
      </x:c>
      <x:c r="H4" s="8" t="n">
        <x:f aca="0">IF(B4=0,0,E4/B4)</x:f>
        <x:v>0.85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8" hidden="0" customHeight="1">
      <x:c r="A9" s="1" t="s">
        <x:v>4625</x:v>
      </x:c>
      <x:c r="B9" s="1" t="s">
        <x:v>157</x:v>
      </x:c>
      <x:c r="C9" s="13" t="s">
        <x:v>4626</x:v>
      </x:c>
      <x:c r="D9" s="13" t="s">
        <x:v>4627</x:v>
      </x:c>
      <x:c r="E9" s="1" t="s">
        <x:v>160</x:v>
      </x:c>
      <x:c r="F9" s="1" t="s">
        <x:v>161</x:v>
      </x:c>
      <x:c r="G9" s="13" t="s">
        <x:v>4628</x:v>
      </x:c>
      <x:c r="H9" s="1" t="s">
        <x:v>125</x:v>
      </x:c>
      <x:c r="I9" s="1" t="s">
        <x:v>140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4629</x:v>
      </x:c>
      <x:c r="B10" s="1" t="s">
        <x:v>1423</x:v>
      </x:c>
      <x:c r="C10" s="13" t="s">
        <x:v>4626</x:v>
      </x:c>
      <x:c r="D10" s="13" t="s">
        <x:v>4630</x:v>
      </x:c>
      <x:c r="E10" s="1" t="s">
        <x:v>160</x:v>
      </x:c>
      <x:c r="F10" s="1" t="s">
        <x:v>180</x:v>
      </x:c>
      <x:c r="G10" s="13" t="s">
        <x:v>4631</x:v>
      </x:c>
      <x:c r="H10" s="1" t="s">
        <x:v>125</x:v>
      </x:c>
      <x:c r="I10" s="1" t="s">
        <x:v>140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4632</x:v>
      </x:c>
      <x:c r="B11" s="1" t="s">
        <x:v>164</x:v>
      </x:c>
      <x:c r="C11" s="13" t="s">
        <x:v>4633</x:v>
      </x:c>
      <x:c r="D11" s="13" t="s">
        <x:v>4634</x:v>
      </x:c>
      <x:c r="E11" s="1" t="s">
        <x:v>160</x:v>
      </x:c>
      <x:c r="F11" s="1" t="s">
        <x:v>160</x:v>
      </x:c>
      <x:c r="G11" s="13" t="s">
        <x:v>606</x:v>
      </x:c>
      <x:c r="H11" s="1" t="s">
        <x:v>125</x:v>
      </x:c>
      <x:c r="I11" s="1" t="s">
        <x:v>140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4635</x:v>
      </x:c>
      <x:c r="B12" s="1" t="s">
        <x:v>168</x:v>
      </x:c>
      <x:c r="C12" s="13" t="s">
        <x:v>4626</x:v>
      </x:c>
      <x:c r="D12" s="13" t="s">
        <x:v>4636</x:v>
      </x:c>
      <x:c r="E12" s="1" t="s">
        <x:v>160</x:v>
      </x:c>
      <x:c r="F12" s="1" t="s">
        <x:v>170</x:v>
      </x:c>
      <x:c r="G12" s="13" t="s">
        <x:v>4637</x:v>
      </x:c>
      <x:c r="H12" s="1" t="s">
        <x:v>125</x:v>
      </x:c>
      <x:c r="I12" s="1" t="s">
        <x:v>140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4638</x:v>
      </x:c>
      <x:c r="B13" s="1" t="s">
        <x:v>173</x:v>
      </x:c>
      <x:c r="C13" s="13" t="s">
        <x:v>4626</x:v>
      </x:c>
      <x:c r="D13" s="13" t="s">
        <x:v>4639</x:v>
      </x:c>
      <x:c r="E13" s="1" t="s">
        <x:v>160</x:v>
      </x:c>
      <x:c r="F13" s="1" t="s">
        <x:v>175</x:v>
      </x:c>
      <x:c r="G13" s="13" t="s">
        <x:v>4640</x:v>
      </x:c>
      <x:c r="H13" s="1" t="s">
        <x:v>125</x:v>
      </x:c>
      <x:c r="I13" s="1" t="s">
        <x:v>140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4641</x:v>
      </x:c>
      <x:c r="B14" s="1" t="s">
        <x:v>1649</x:v>
      </x:c>
      <x:c r="C14" s="13" t="s">
        <x:v>4642</x:v>
      </x:c>
      <x:c r="D14" s="13" t="s">
        <x:v>4643</x:v>
      </x:c>
      <x:c r="E14" s="1" t="s">
        <x:v>160</x:v>
      </x:c>
      <x:c r="F14" s="1" t="s">
        <x:v>180</x:v>
      </x:c>
      <x:c r="G14" s="13" t="s">
        <x:v>4631</x:v>
      </x:c>
      <x:c r="H14" s="1" t="s">
        <x:v>125</x:v>
      </x:c>
      <x:c r="I14" s="1" t="s">
        <x:v>140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4644</x:v>
      </x:c>
      <x:c r="B15" s="1" t="s">
        <x:v>4645</x:v>
      </x:c>
      <x:c r="C15" s="13" t="s">
        <x:v>4642</x:v>
      </x:c>
      <x:c r="D15" s="13" t="s">
        <x:v>4646</x:v>
      </x:c>
      <x:c r="E15" s="1" t="s">
        <x:v>160</x:v>
      </x:c>
      <x:c r="F15" s="1" t="s">
        <x:v>185</x:v>
      </x:c>
      <x:c r="G15" s="13" t="s">
        <x:v>4647</x:v>
      </x:c>
      <x:c r="H15" s="1" t="s">
        <x:v>125</x:v>
      </x:c>
      <x:c r="I15" s="1" t="s">
        <x:v>140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4648</x:v>
      </x:c>
      <x:c r="B16" s="1" t="s">
        <x:v>4649</x:v>
      </x:c>
      <x:c r="C16" s="13" t="s">
        <x:v>4650</x:v>
      </x:c>
      <x:c r="D16" s="13" t="s">
        <x:v>4651</x:v>
      </x:c>
      <x:c r="E16" s="1" t="s">
        <x:v>160</x:v>
      </x:c>
      <x:c r="F16" s="1" t="s">
        <x:v>185</x:v>
      </x:c>
      <x:c r="G16" s="13" t="s">
        <x:v>4652</x:v>
      </x:c>
      <x:c r="H16" s="1" t="s">
        <x:v>125</x:v>
      </x:c>
      <x:c r="I16" s="1" t="s">
        <x:v>140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4653</x:v>
      </x:c>
      <x:c r="B17" s="1" t="s">
        <x:v>208</x:v>
      </x:c>
      <x:c r="C17" s="13" t="s">
        <x:v>32</x:v>
      </x:c>
      <x:c r="D17" s="13" t="s">
        <x:v>4654</x:v>
      </x:c>
      <x:c r="E17" s="1" t="s">
        <x:v>160</x:v>
      </x:c>
      <x:c r="F17" s="1" t="s">
        <x:v>180</x:v>
      </x:c>
      <x:c r="G17" s="13" t="s">
        <x:v>4631</x:v>
      </x:c>
      <x:c r="H17" s="1" t="s">
        <x:v>125</x:v>
      </x:c>
      <x:c r="I17" s="1" t="s">
        <x:v>140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4655</x:v>
      </x:c>
      <x:c r="B18" s="1" t="s">
        <x:v>188</x:v>
      </x:c>
      <x:c r="C18" s="13" t="s">
        <x:v>4626</x:v>
      </x:c>
      <x:c r="D18" s="13" t="s">
        <x:v>4656</x:v>
      </x:c>
      <x:c r="E18" s="1" t="s">
        <x:v>160</x:v>
      </x:c>
      <x:c r="F18" s="1" t="s">
        <x:v>190</x:v>
      </x:c>
      <x:c r="G18" s="13" t="s">
        <x:v>4647</x:v>
      </x:c>
      <x:c r="H18" s="1" t="s">
        <x:v>125</x:v>
      </x:c>
      <x:c r="I18" s="1" t="s">
        <x:v>140</x:v>
      </x:c>
      <x:c r="J18" s="11" t="n">
        <x:v>46262</x:v>
      </x:c>
      <x:c r="K18" s="13"/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8" hidden="0" customHeight="1">
      <x:c r="A19" s="1" t="s">
        <x:v>4657</x:v>
      </x:c>
      <x:c r="B19" s="1" t="s">
        <x:v>193</x:v>
      </x:c>
      <x:c r="C19" s="13" t="s">
        <x:v>4633</x:v>
      </x:c>
      <x:c r="D19" s="13" t="s">
        <x:v>4658</x:v>
      </x:c>
      <x:c r="E19" s="1" t="s">
        <x:v>160</x:v>
      </x:c>
      <x:c r="F19" s="1" t="s">
        <x:v>195</x:v>
      </x:c>
      <x:c r="G19" s="13" t="s">
        <x:v>4659</x:v>
      </x:c>
      <x:c r="H19" s="1" t="s">
        <x:v>127</x:v>
      </x:c>
      <x:c r="I19" s="1" t="s">
        <x:v>139</x:v>
      </x:c>
      <x:c r="J19" s="11" t="n">
        <x:v>46264</x:v>
      </x:c>
      <x:c r="K19" s="13" t="s">
        <x:v>1125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8" hidden="0" customHeight="1">
      <x:c r="A20" s="1" t="s">
        <x:v>4660</x:v>
      </x:c>
      <x:c r="B20" s="1" t="s">
        <x:v>4531</x:v>
      </x:c>
      <x:c r="C20" s="13" t="s">
        <x:v>4633</x:v>
      </x:c>
      <x:c r="D20" s="13" t="s">
        <x:v>4661</x:v>
      </x:c>
      <x:c r="E20" s="1" t="s">
        <x:v>160</x:v>
      </x:c>
      <x:c r="F20" s="1" t="s">
        <x:v>201</x:v>
      </x:c>
      <x:c r="G20" s="13" t="s">
        <x:v>4662</x:v>
      </x:c>
      <x:c r="H20" s="1" t="s">
        <x:v>123</x:v>
      </x:c>
      <x:c r="I20" s="1" t="s">
        <x:v>139</x:v>
      </x:c>
      <x:c r="J20" s="28"/>
      <x:c r="K20" s="13" t="s">
        <x:v>203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4663</x:v>
      </x:c>
      <x:c r="B21" s="1" t="s">
        <x:v>4664</x:v>
      </x:c>
      <x:c r="C21" s="13" t="s">
        <x:v>32</x:v>
      </x:c>
      <x:c r="D21" s="13" t="s">
        <x:v>4665</x:v>
      </x:c>
      <x:c r="E21" s="1" t="s">
        <x:v>160</x:v>
      </x:c>
      <x:c r="F21" s="1" t="s">
        <x:v>201</x:v>
      </x:c>
      <x:c r="G21" s="13" t="s">
        <x:v>4662</x:v>
      </x:c>
      <x:c r="H21" s="1" t="s">
        <x:v>119</x:v>
      </x:c>
      <x:c r="I21" s="1" t="s">
        <x:v>139</x:v>
      </x:c>
      <x:c r="K21" s="13" t="s">
        <x:v>4666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4667</x:v>
      </x:c>
      <x:c r="B22" s="1" t="s">
        <x:v>212</x:v>
      </x:c>
      <x:c r="C22" s="13" t="s">
        <x:v>4633</x:v>
      </x:c>
      <x:c r="D22" s="13" t="s">
        <x:v>4668</x:v>
      </x:c>
      <x:c r="E22" s="1" t="s">
        <x:v>160</x:v>
      </x:c>
      <x:c r="F22" s="1" t="s">
        <x:v>201</x:v>
      </x:c>
      <x:c r="G22" s="13" t="s">
        <x:v>4662</x:v>
      </x:c>
      <x:c r="H22" s="1" t="s">
        <x:v>119</x:v>
      </x:c>
      <x:c r="I22" s="1" t="s">
        <x:v>139</x:v>
      </x:c>
      <x:c r="K22" s="13" t="s">
        <x:v>4540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4669</x:v>
      </x:c>
      <x:c r="B23" s="1" t="s">
        <x:v>646</x:v>
      </x:c>
      <x:c r="C23" s="13" t="s">
        <x:v>4633</x:v>
      </x:c>
      <x:c r="D23" s="13" t="s">
        <x:v>4670</x:v>
      </x:c>
      <x:c r="E23" s="1" t="s">
        <x:v>160</x:v>
      </x:c>
      <x:c r="F23" s="1" t="s">
        <x:v>648</x:v>
      </x:c>
      <x:c r="G23" s="13" t="s">
        <x:v>4671</x:v>
      </x:c>
      <x:c r="H23" s="1" t="s">
        <x:v>125</x:v>
      </x:c>
      <x:c r="I23" s="1" t="s">
        <x:v>140</x:v>
      </x:c>
      <x:c r="J23" s="11" t="n">
        <x:v>46262</x:v>
      </x:c>
      <x:c r="K23" s="13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8" hidden="0" customHeight="1">
      <x:c r="A24" s="1" t="s">
        <x:v>4672</x:v>
      </x:c>
      <x:c r="B24" s="1" t="s">
        <x:v>215</x:v>
      </x:c>
      <x:c r="C24" s="13" t="s">
        <x:v>4633</x:v>
      </x:c>
      <x:c r="D24" s="13" t="s">
        <x:v>4673</x:v>
      </x:c>
      <x:c r="E24" s="1" t="s">
        <x:v>160</x:v>
      </x:c>
      <x:c r="F24" s="1" t="s">
        <x:v>217</x:v>
      </x:c>
      <x:c r="G24" s="13" t="s">
        <x:v>4674</x:v>
      </x:c>
      <x:c r="H24" s="1" t="s">
        <x:v>125</x:v>
      </x:c>
      <x:c r="I24" s="1" t="s">
        <x:v>140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4675</x:v>
      </x:c>
      <x:c r="B25" s="1" t="s">
        <x:v>4232</x:v>
      </x:c>
      <x:c r="C25" s="13" t="s">
        <x:v>4633</x:v>
      </x:c>
      <x:c r="D25" s="13" t="s">
        <x:v>4676</x:v>
      </x:c>
      <x:c r="E25" s="1" t="s">
        <x:v>160</x:v>
      </x:c>
      <x:c r="F25" s="1" t="s">
        <x:v>217</x:v>
      </x:c>
      <x:c r="G25" s="13" t="s">
        <x:v>4677</x:v>
      </x:c>
      <x:c r="H25" s="1" t="s">
        <x:v>125</x:v>
      </x:c>
      <x:c r="I25" s="1" t="s">
        <x:v>140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4678</x:v>
      </x:c>
      <x:c r="B26" s="1" t="s">
        <x:v>220</x:v>
      </x:c>
      <x:c r="C26" s="13" t="s">
        <x:v>4633</x:v>
      </x:c>
      <x:c r="D26" s="13" t="s">
        <x:v>4679</x:v>
      </x:c>
      <x:c r="E26" s="1" t="s">
        <x:v>160</x:v>
      </x:c>
      <x:c r="F26" s="1" t="s">
        <x:v>217</x:v>
      </x:c>
      <x:c r="G26" s="13" t="s">
        <x:v>4680</x:v>
      </x:c>
      <x:c r="H26" s="1" t="s">
        <x:v>125</x:v>
      </x:c>
      <x:c r="I26" s="1" t="s">
        <x:v>140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4681</x:v>
      </x:c>
      <x:c r="B27" s="1" t="s">
        <x:v>224</x:v>
      </x:c>
      <x:c r="C27" s="13" t="s">
        <x:v>4633</x:v>
      </x:c>
      <x:c r="D27" s="13" t="s">
        <x:v>4682</x:v>
      </x:c>
      <x:c r="E27" s="1" t="s">
        <x:v>226</x:v>
      </x:c>
      <x:c r="F27" s="1" t="s">
        <x:v>226</x:v>
      </x:c>
      <x:c r="G27" s="13" t="s">
        <x:v>227</x:v>
      </x:c>
      <x:c r="H27" s="1" t="s">
        <x:v>125</x:v>
      </x:c>
      <x:c r="I27" s="1" t="s">
        <x:v>140</x:v>
      </x:c>
      <x:c r="J27" s="28" t="n">
        <x:v>46264</x:v>
      </x:c>
      <x:c r="K27" s="13" t="s">
        <x:v>4683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48" hidden="0" customHeight="1">
      <x:c r="A28" s="1" t="s">
        <x:v>4684</x:v>
      </x:c>
      <x:c r="B28" s="1" t="s">
        <x:v>229</x:v>
      </x:c>
      <x:c r="C28" s="13" t="s">
        <x:v>4633</x:v>
      </x:c>
      <x:c r="D28" s="13" t="s">
        <x:v>4685</x:v>
      </x:c>
      <x:c r="E28" s="1" t="s">
        <x:v>160</x:v>
      </x:c>
      <x:c r="F28" s="1" t="s">
        <x:v>160</x:v>
      </x:c>
      <x:c r="G28" s="13" t="s">
        <x:v>231</x:v>
      </x:c>
      <x:c r="H28" s="1" t="s">
        <x:v>125</x:v>
      </x:c>
      <x:c r="I28" s="1" t="s">
        <x:v>140</x:v>
      </x:c>
      <x:c r="J28" s="11" t="n">
        <x:v>46264</x:v>
      </x:c>
      <x:c r="K28" s="13" t="s">
        <x:v>653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4686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4687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143</x:v>
      </x:c>
      <x:c r="E4" s="7" t="n">
        <x:f aca="0">SUM(M9:M28)</x:f>
        <x:v>13</x:v>
      </x:c>
      <x:c r="G4" s="6" t="s">
        <x:v>13</x:v>
      </x:c>
      <x:c r="H4" s="8" t="n">
        <x:f aca="0">IF(B4=0,0,E4/B4)</x:f>
        <x:v>0.65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8" hidden="0" customHeight="1">
      <x:c r="A9" s="1" t="s">
        <x:v>4688</x:v>
      </x:c>
      <x:c r="B9" s="1" t="s">
        <x:v>157</x:v>
      </x:c>
      <x:c r="C9" s="13" t="s">
        <x:v>918</x:v>
      </x:c>
      <x:c r="D9" s="13" t="s">
        <x:v>4689</x:v>
      </x:c>
      <x:c r="E9" s="1" t="s">
        <x:v>160</x:v>
      </x:c>
      <x:c r="F9" s="1" t="s">
        <x:v>161</x:v>
      </x:c>
      <x:c r="G9" s="13" t="s">
        <x:v>4690</x:v>
      </x:c>
      <x:c r="H9" s="1" t="s">
        <x:v>125</x:v>
      </x:c>
      <x:c r="I9" s="1" t="s">
        <x:v>140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4691</x:v>
      </x:c>
      <x:c r="B10" s="1" t="s">
        <x:v>1423</x:v>
      </x:c>
      <x:c r="C10" s="13" t="s">
        <x:v>4692</x:v>
      </x:c>
      <x:c r="D10" s="13" t="s">
        <x:v>4693</x:v>
      </x:c>
      <x:c r="E10" s="1" t="s">
        <x:v>160</x:v>
      </x:c>
      <x:c r="F10" s="1" t="s">
        <x:v>180</x:v>
      </x:c>
      <x:c r="G10" s="13" t="s">
        <x:v>4694</x:v>
      </x:c>
      <x:c r="H10" s="1" t="s">
        <x:v>125</x:v>
      </x:c>
      <x:c r="I10" s="1" t="s">
        <x:v>140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4695</x:v>
      </x:c>
      <x:c r="B11" s="1" t="s">
        <x:v>164</x:v>
      </x:c>
      <x:c r="C11" s="13" t="s">
        <x:v>4696</x:v>
      </x:c>
      <x:c r="D11" s="13" t="s">
        <x:v>4697</x:v>
      </x:c>
      <x:c r="E11" s="1" t="s">
        <x:v>160</x:v>
      </x:c>
      <x:c r="F11" s="1" t="s">
        <x:v>160</x:v>
      </x:c>
      <x:c r="G11" s="13" t="s">
        <x:v>166</x:v>
      </x:c>
      <x:c r="H11" s="1" t="s">
        <x:v>125</x:v>
      </x:c>
      <x:c r="I11" s="1" t="s">
        <x:v>140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4698</x:v>
      </x:c>
      <x:c r="B12" s="1" t="s">
        <x:v>168</x:v>
      </x:c>
      <x:c r="C12" s="13" t="s">
        <x:v>4699</x:v>
      </x:c>
      <x:c r="D12" s="13" t="s">
        <x:v>4700</x:v>
      </x:c>
      <x:c r="E12" s="1" t="s">
        <x:v>160</x:v>
      </x:c>
      <x:c r="F12" s="1" t="s">
        <x:v>170</x:v>
      </x:c>
      <x:c r="G12" s="13" t="s">
        <x:v>4701</x:v>
      </x:c>
      <x:c r="H12" s="1" t="s">
        <x:v>125</x:v>
      </x:c>
      <x:c r="I12" s="1" t="s">
        <x:v>140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4702</x:v>
      </x:c>
      <x:c r="B13" s="1" t="s">
        <x:v>173</x:v>
      </x:c>
      <x:c r="C13" s="13" t="s">
        <x:v>4699</x:v>
      </x:c>
      <x:c r="D13" s="13" t="s">
        <x:v>4703</x:v>
      </x:c>
      <x:c r="E13" s="1" t="s">
        <x:v>160</x:v>
      </x:c>
      <x:c r="F13" s="1" t="s">
        <x:v>175</x:v>
      </x:c>
      <x:c r="G13" s="13" t="s">
        <x:v>4704</x:v>
      </x:c>
      <x:c r="H13" s="1" t="s">
        <x:v>125</x:v>
      </x:c>
      <x:c r="I13" s="1" t="s">
        <x:v>140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4705</x:v>
      </x:c>
      <x:c r="B14" s="1" t="s">
        <x:v>1649</x:v>
      </x:c>
      <x:c r="C14" s="13" t="s">
        <x:v>918</x:v>
      </x:c>
      <x:c r="D14" s="13" t="s">
        <x:v>4706</x:v>
      </x:c>
      <x:c r="E14" s="1" t="s">
        <x:v>160</x:v>
      </x:c>
      <x:c r="F14" s="1" t="s">
        <x:v>180</x:v>
      </x:c>
      <x:c r="G14" s="13" t="s">
        <x:v>4694</x:v>
      </x:c>
      <x:c r="H14" s="1" t="s">
        <x:v>125</x:v>
      </x:c>
      <x:c r="I14" s="1" t="s">
        <x:v>140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4707</x:v>
      </x:c>
      <x:c r="B15" s="1" t="s">
        <x:v>1213</x:v>
      </x:c>
      <x:c r="C15" s="13" t="s">
        <x:v>918</x:v>
      </x:c>
      <x:c r="D15" s="13" t="s">
        <x:v>4708</x:v>
      </x:c>
      <x:c r="E15" s="1" t="s">
        <x:v>160</x:v>
      </x:c>
      <x:c r="F15" s="1" t="s">
        <x:v>180</x:v>
      </x:c>
      <x:c r="G15" s="13" t="s">
        <x:v>4694</x:v>
      </x:c>
      <x:c r="H15" s="1" t="s">
        <x:v>125</x:v>
      </x:c>
      <x:c r="I15" s="1" t="s">
        <x:v>140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4709</x:v>
      </x:c>
      <x:c r="B16" s="1" t="s">
        <x:v>1991</x:v>
      </x:c>
      <x:c r="C16" s="13" t="s">
        <x:v>918</x:v>
      </x:c>
      <x:c r="D16" s="13" t="s">
        <x:v>4710</x:v>
      </x:c>
      <x:c r="E16" s="1" t="s">
        <x:v>160</x:v>
      </x:c>
      <x:c r="F16" s="1" t="s">
        <x:v>185</x:v>
      </x:c>
      <x:c r="G16" s="13" t="s">
        <x:v>4711</x:v>
      </x:c>
      <x:c r="H16" s="1" t="s">
        <x:v>125</x:v>
      </x:c>
      <x:c r="I16" s="1" t="s">
        <x:v>140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4712</x:v>
      </x:c>
      <x:c r="B17" s="1" t="s">
        <x:v>1864</x:v>
      </x:c>
      <x:c r="C17" s="13" t="s">
        <x:v>1864</x:v>
      </x:c>
      <x:c r="D17" s="13" t="s">
        <x:v>4713</x:v>
      </x:c>
      <x:c r="E17" s="1" t="s">
        <x:v>160</x:v>
      </x:c>
      <x:c r="F17" s="1" t="s">
        <x:v>185</x:v>
      </x:c>
      <x:c r="G17" s="13" t="s">
        <x:v>4714</x:v>
      </x:c>
      <x:c r="H17" s="1" t="s">
        <x:v>125</x:v>
      </x:c>
      <x:c r="I17" s="1" t="s">
        <x:v>140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4715</x:v>
      </x:c>
      <x:c r="B18" s="1" t="s">
        <x:v>4716</x:v>
      </x:c>
      <x:c r="C18" s="13" t="s">
        <x:v>930</x:v>
      </x:c>
      <x:c r="D18" s="13" t="s">
        <x:v>4717</x:v>
      </x:c>
      <x:c r="E18" s="1" t="s">
        <x:v>160</x:v>
      </x:c>
      <x:c r="F18" s="1" t="s">
        <x:v>185</x:v>
      </x:c>
      <x:c r="G18" s="13" t="s">
        <x:v>4714</x:v>
      </x:c>
      <x:c r="H18" s="1" t="s">
        <x:v>125</x:v>
      </x:c>
      <x:c r="I18" s="1" t="s">
        <x:v>140</x:v>
      </x:c>
      <x:c r="J18" s="11" t="n">
        <x:v>46262</x:v>
      </x:c>
      <x:c r="K18" s="13"/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8" hidden="0" customHeight="1">
      <x:c r="A19" s="1" t="s">
        <x:v>4718</x:v>
      </x:c>
      <x:c r="B19" s="1" t="s">
        <x:v>188</x:v>
      </x:c>
      <x:c r="C19" s="13" t="s">
        <x:v>4699</x:v>
      </x:c>
      <x:c r="D19" s="13" t="s">
        <x:v>4719</x:v>
      </x:c>
      <x:c r="E19" s="1" t="s">
        <x:v>160</x:v>
      </x:c>
      <x:c r="F19" s="1" t="s">
        <x:v>190</x:v>
      </x:c>
      <x:c r="G19" s="13" t="s">
        <x:v>4714</x:v>
      </x:c>
      <x:c r="H19" s="1" t="s">
        <x:v>125</x:v>
      </x:c>
      <x:c r="I19" s="1" t="s">
        <x:v>140</x:v>
      </x:c>
      <x:c r="J19" s="11" t="n">
        <x:v>46262</x:v>
      </x:c>
      <x:c r="K19" s="13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8" hidden="0" customHeight="1">
      <x:c r="A20" s="1" t="s">
        <x:v>4720</x:v>
      </x:c>
      <x:c r="B20" s="1" t="s">
        <x:v>193</x:v>
      </x:c>
      <x:c r="C20" s="13" t="s">
        <x:v>4696</x:v>
      </x:c>
      <x:c r="D20" s="13" t="s">
        <x:v>4721</x:v>
      </x:c>
      <x:c r="E20" s="1" t="s">
        <x:v>160</x:v>
      </x:c>
      <x:c r="F20" s="1" t="s">
        <x:v>195</x:v>
      </x:c>
      <x:c r="G20" s="13" t="s">
        <x:v>4722</x:v>
      </x:c>
      <x:c r="H20" s="1" t="s">
        <x:v>125</x:v>
      </x:c>
      <x:c r="I20" s="1" t="s">
        <x:v>139</x:v>
      </x:c>
      <x:c r="J20" s="11" t="n">
        <x:v>46262</x:v>
      </x:c>
      <x:c r="K20" s="13" t="s">
        <x:v>1676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4723</x:v>
      </x:c>
      <x:c r="B21" s="1" t="s">
        <x:v>1662</x:v>
      </x:c>
      <x:c r="C21" s="13" t="s">
        <x:v>918</x:v>
      </x:c>
      <x:c r="D21" s="13" t="s">
        <x:v>4724</x:v>
      </x:c>
      <x:c r="E21" s="1" t="s">
        <x:v>160</x:v>
      </x:c>
      <x:c r="F21" s="1" t="s">
        <x:v>201</x:v>
      </x:c>
      <x:c r="G21" s="13" t="s">
        <x:v>4725</x:v>
      </x:c>
      <x:c r="H21" s="1" t="s">
        <x:v>119</x:v>
      </x:c>
      <x:c r="I21" s="1" t="s">
        <x:v>139</x:v>
      </x:c>
      <x:c r="K21" s="13" t="s">
        <x:v>4726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4727</x:v>
      </x:c>
      <x:c r="B22" s="1" t="s">
        <x:v>4531</x:v>
      </x:c>
      <x:c r="C22" s="13" t="s">
        <x:v>4699</x:v>
      </x:c>
      <x:c r="D22" s="13" t="s">
        <x:v>4728</x:v>
      </x:c>
      <x:c r="E22" s="1" t="s">
        <x:v>160</x:v>
      </x:c>
      <x:c r="F22" s="1" t="s">
        <x:v>201</x:v>
      </x:c>
      <x:c r="G22" s="13" t="s">
        <x:v>4725</x:v>
      </x:c>
      <x:c r="H22" s="1" t="s">
        <x:v>119</x:v>
      </x:c>
      <x:c r="I22" s="1" t="s">
        <x:v>139</x:v>
      </x:c>
      <x:c r="K22" s="13" t="s">
        <x:v>4597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4729</x:v>
      </x:c>
      <x:c r="B23" s="1" t="s">
        <x:v>4730</x:v>
      </x:c>
      <x:c r="C23" s="13" t="s">
        <x:v>4699</x:v>
      </x:c>
      <x:c r="D23" s="13" t="s">
        <x:v>4731</x:v>
      </x:c>
      <x:c r="E23" s="1" t="s">
        <x:v>160</x:v>
      </x:c>
      <x:c r="F23" s="1" t="s">
        <x:v>201</x:v>
      </x:c>
      <x:c r="G23" s="13" t="s">
        <x:v>4725</x:v>
      </x:c>
      <x:c r="H23" s="1" t="s">
        <x:v>119</x:v>
      </x:c>
      <x:c r="I23" s="1" t="s">
        <x:v>139</x:v>
      </x:c>
      <x:c r="K23" s="13" t="s">
        <x:v>4732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8" hidden="0" customHeight="1">
      <x:c r="A24" s="1" t="s">
        <x:v>4733</x:v>
      </x:c>
      <x:c r="B24" s="1" t="s">
        <x:v>212</x:v>
      </x:c>
      <x:c r="C24" s="13" t="s">
        <x:v>4696</x:v>
      </x:c>
      <x:c r="D24" s="13" t="s">
        <x:v>4734</x:v>
      </x:c>
      <x:c r="E24" s="1" t="s">
        <x:v>160</x:v>
      </x:c>
      <x:c r="F24" s="1" t="s">
        <x:v>201</x:v>
      </x:c>
      <x:c r="G24" s="13" t="s">
        <x:v>4725</x:v>
      </x:c>
      <x:c r="H24" s="1" t="s">
        <x:v>119</x:v>
      </x:c>
      <x:c r="I24" s="1" t="s">
        <x:v>139</x:v>
      </x:c>
      <x:c r="K24" s="13" t="s">
        <x:v>4540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0</x:v>
      </x:c>
    </x:row>
    <x:row r="25" s="4" customFormat="1" ht="48" hidden="0" customHeight="1">
      <x:c r="A25" s="1" t="s">
        <x:v>4735</x:v>
      </x:c>
      <x:c r="B25" s="1" t="s">
        <x:v>215</x:v>
      </x:c>
      <x:c r="C25" s="13" t="s">
        <x:v>4696</x:v>
      </x:c>
      <x:c r="D25" s="13" t="s">
        <x:v>4736</x:v>
      </x:c>
      <x:c r="E25" s="1" t="s">
        <x:v>160</x:v>
      </x:c>
      <x:c r="F25" s="1" t="s">
        <x:v>217</x:v>
      </x:c>
      <x:c r="G25" s="13" t="s">
        <x:v>4737</x:v>
      </x:c>
      <x:c r="H25" s="1" t="s">
        <x:v>125</x:v>
      </x:c>
      <x:c r="I25" s="1" t="s">
        <x:v>140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4738</x:v>
      </x:c>
      <x:c r="B26" s="1" t="s">
        <x:v>4232</x:v>
      </x:c>
      <x:c r="C26" s="13" t="s">
        <x:v>4696</x:v>
      </x:c>
      <x:c r="D26" s="13" t="s">
        <x:v>4739</x:v>
      </x:c>
      <x:c r="E26" s="1" t="s">
        <x:v>160</x:v>
      </x:c>
      <x:c r="F26" s="1" t="s">
        <x:v>217</x:v>
      </x:c>
      <x:c r="G26" s="13" t="s">
        <x:v>4740</x:v>
      </x:c>
      <x:c r="H26" s="1" t="s">
        <x:v>125</x:v>
      </x:c>
      <x:c r="I26" s="1" t="s">
        <x:v>140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4741</x:v>
      </x:c>
      <x:c r="B27" s="1" t="s">
        <x:v>224</x:v>
      </x:c>
      <x:c r="C27" s="13" t="s">
        <x:v>4696</x:v>
      </x:c>
      <x:c r="D27" s="13" t="s">
        <x:v>4742</x:v>
      </x:c>
      <x:c r="E27" s="1" t="s">
        <x:v>226</x:v>
      </x:c>
      <x:c r="F27" s="1" t="s">
        <x:v>226</x:v>
      </x:c>
      <x:c r="G27" s="13" t="s">
        <x:v>227</x:v>
      </x:c>
      <x:c r="H27" s="1" t="s">
        <x:v>119</x:v>
      </x:c>
      <x:c r="I27" s="1" t="s">
        <x:v>140</x:v>
      </x:c>
      <x:c r="K27" s="13" t="s">
        <x:v>4743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4744</x:v>
      </x:c>
      <x:c r="B28" s="1" t="s">
        <x:v>229</x:v>
      </x:c>
      <x:c r="C28" s="13" t="s">
        <x:v>4696</x:v>
      </x:c>
      <x:c r="D28" s="13" t="s">
        <x:v>4557</x:v>
      </x:c>
      <x:c r="E28" s="1" t="s">
        <x:v>160</x:v>
      </x:c>
      <x:c r="F28" s="1" t="s">
        <x:v>160</x:v>
      </x:c>
      <x:c r="G28" s="13" t="s">
        <x:v>231</x:v>
      </x:c>
      <x:c r="H28" s="1" t="s">
        <x:v>129</x:v>
      </x:c>
      <x:c r="I28" s="1" t="s">
        <x:v>140</x:v>
      </x:c>
      <x:c r="J28" s="11" t="n">
        <x:v>46262</x:v>
      </x:c>
      <x:c r="K28" s="13" t="s">
        <x:v>4558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4745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4746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143</x:v>
      </x:c>
      <x:c r="E4" s="7" t="n">
        <x:f aca="0">SUM(M9:M28)</x:f>
        <x:v>13</x:v>
      </x:c>
      <x:c r="G4" s="6" t="s">
        <x:v>13</x:v>
      </x:c>
      <x:c r="H4" s="8" t="n">
        <x:f aca="0">IF(B4=0,0,E4/B4)</x:f>
        <x:v>0.65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8" hidden="0" customHeight="1">
      <x:c r="A9" s="1" t="s">
        <x:v>4747</x:v>
      </x:c>
      <x:c r="B9" s="1" t="s">
        <x:v>157</x:v>
      </x:c>
      <x:c r="C9" s="13" t="s">
        <x:v>4748</x:v>
      </x:c>
      <x:c r="D9" s="13" t="s">
        <x:v>4749</x:v>
      </x:c>
      <x:c r="E9" s="1" t="s">
        <x:v>160</x:v>
      </x:c>
      <x:c r="F9" s="1" t="s">
        <x:v>161</x:v>
      </x:c>
      <x:c r="G9" s="13" t="s">
        <x:v>4750</x:v>
      </x:c>
      <x:c r="H9" s="1" t="s">
        <x:v>125</x:v>
      </x:c>
      <x:c r="I9" s="1" t="s">
        <x:v>140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4751</x:v>
      </x:c>
      <x:c r="B10" s="1" t="s">
        <x:v>1423</x:v>
      </x:c>
      <x:c r="C10" s="13" t="s">
        <x:v>4748</x:v>
      </x:c>
      <x:c r="D10" s="13" t="s">
        <x:v>4752</x:v>
      </x:c>
      <x:c r="E10" s="1" t="s">
        <x:v>160</x:v>
      </x:c>
      <x:c r="F10" s="1" t="s">
        <x:v>180</x:v>
      </x:c>
      <x:c r="G10" s="13" t="s">
        <x:v>4753</x:v>
      </x:c>
      <x:c r="H10" s="1" t="s">
        <x:v>125</x:v>
      </x:c>
      <x:c r="I10" s="1" t="s">
        <x:v>140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4754</x:v>
      </x:c>
      <x:c r="B11" s="1" t="s">
        <x:v>164</x:v>
      </x:c>
      <x:c r="C11" s="13" t="s">
        <x:v>103</x:v>
      </x:c>
      <x:c r="D11" s="13" t="s">
        <x:v>4755</x:v>
      </x:c>
      <x:c r="E11" s="1" t="s">
        <x:v>160</x:v>
      </x:c>
      <x:c r="F11" s="1" t="s">
        <x:v>160</x:v>
      </x:c>
      <x:c r="G11" s="13" t="s">
        <x:v>166</x:v>
      </x:c>
      <x:c r="H11" s="1" t="s">
        <x:v>125</x:v>
      </x:c>
      <x:c r="I11" s="1" t="s">
        <x:v>140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4756</x:v>
      </x:c>
      <x:c r="B12" s="1" t="s">
        <x:v>168</x:v>
      </x:c>
      <x:c r="C12" s="13" t="s">
        <x:v>4748</x:v>
      </x:c>
      <x:c r="D12" s="13" t="s">
        <x:v>4757</x:v>
      </x:c>
      <x:c r="E12" s="1" t="s">
        <x:v>160</x:v>
      </x:c>
      <x:c r="F12" s="1" t="s">
        <x:v>170</x:v>
      </x:c>
      <x:c r="G12" s="13" t="s">
        <x:v>4758</x:v>
      </x:c>
      <x:c r="H12" s="1" t="s">
        <x:v>125</x:v>
      </x:c>
      <x:c r="I12" s="1" t="s">
        <x:v>140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4759</x:v>
      </x:c>
      <x:c r="B13" s="1" t="s">
        <x:v>173</x:v>
      </x:c>
      <x:c r="C13" s="13" t="s">
        <x:v>4748</x:v>
      </x:c>
      <x:c r="D13" s="13" t="s">
        <x:v>4760</x:v>
      </x:c>
      <x:c r="E13" s="1" t="s">
        <x:v>160</x:v>
      </x:c>
      <x:c r="F13" s="1" t="s">
        <x:v>175</x:v>
      </x:c>
      <x:c r="G13" s="13" t="s">
        <x:v>4761</x:v>
      </x:c>
      <x:c r="H13" s="1" t="s">
        <x:v>125</x:v>
      </x:c>
      <x:c r="I13" s="1" t="s">
        <x:v>140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4762</x:v>
      </x:c>
      <x:c r="B14" s="1" t="s">
        <x:v>1649</x:v>
      </x:c>
      <x:c r="C14" s="13" t="s">
        <x:v>827</x:v>
      </x:c>
      <x:c r="D14" s="13" t="s">
        <x:v>4763</x:v>
      </x:c>
      <x:c r="E14" s="1" t="s">
        <x:v>160</x:v>
      </x:c>
      <x:c r="F14" s="1" t="s">
        <x:v>180</x:v>
      </x:c>
      <x:c r="G14" s="13" t="s">
        <x:v>4753</x:v>
      </x:c>
      <x:c r="H14" s="1" t="s">
        <x:v>125</x:v>
      </x:c>
      <x:c r="I14" s="1" t="s">
        <x:v>140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4764</x:v>
      </x:c>
      <x:c r="B15" s="1" t="s">
        <x:v>1213</x:v>
      </x:c>
      <x:c r="C15" s="13" t="s">
        <x:v>4050</x:v>
      </x:c>
      <x:c r="D15" s="13" t="s">
        <x:v>4765</x:v>
      </x:c>
      <x:c r="E15" s="1" t="s">
        <x:v>160</x:v>
      </x:c>
      <x:c r="F15" s="1" t="s">
        <x:v>180</x:v>
      </x:c>
      <x:c r="G15" s="13" t="s">
        <x:v>4753</x:v>
      </x:c>
      <x:c r="H15" s="1" t="s">
        <x:v>125</x:v>
      </x:c>
      <x:c r="I15" s="1" t="s">
        <x:v>140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4766</x:v>
      </x:c>
      <x:c r="B16" s="1" t="s">
        <x:v>687</x:v>
      </x:c>
      <x:c r="C16" s="13" t="s">
        <x:v>4767</x:v>
      </x:c>
      <x:c r="D16" s="13" t="s">
        <x:v>4768</x:v>
      </x:c>
      <x:c r="E16" s="1" t="s">
        <x:v>160</x:v>
      </x:c>
      <x:c r="F16" s="1" t="s">
        <x:v>185</x:v>
      </x:c>
      <x:c r="G16" s="13" t="s">
        <x:v>4769</x:v>
      </x:c>
      <x:c r="H16" s="1" t="s">
        <x:v>125</x:v>
      </x:c>
      <x:c r="I16" s="1" t="s">
        <x:v>140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4770</x:v>
      </x:c>
      <x:c r="B17" s="1" t="s">
        <x:v>188</x:v>
      </x:c>
      <x:c r="C17" s="13" t="s">
        <x:v>4748</x:v>
      </x:c>
      <x:c r="D17" s="13" t="s">
        <x:v>4771</x:v>
      </x:c>
      <x:c r="E17" s="1" t="s">
        <x:v>160</x:v>
      </x:c>
      <x:c r="F17" s="1" t="s">
        <x:v>190</x:v>
      </x:c>
      <x:c r="G17" s="13" t="s">
        <x:v>4772</x:v>
      </x:c>
      <x:c r="H17" s="1" t="s">
        <x:v>125</x:v>
      </x:c>
      <x:c r="I17" s="1" t="s">
        <x:v>140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4773</x:v>
      </x:c>
      <x:c r="B18" s="1" t="s">
        <x:v>193</x:v>
      </x:c>
      <x:c r="C18" s="13" t="s">
        <x:v>103</x:v>
      </x:c>
      <x:c r="D18" s="13" t="s">
        <x:v>4591</x:v>
      </x:c>
      <x:c r="E18" s="1" t="s">
        <x:v>160</x:v>
      </x:c>
      <x:c r="F18" s="1" t="s">
        <x:v>195</x:v>
      </x:c>
      <x:c r="G18" s="13" t="s">
        <x:v>4774</x:v>
      </x:c>
      <x:c r="H18" s="1" t="s">
        <x:v>121</x:v>
      </x:c>
      <x:c r="I18" s="1" t="s">
        <x:v>139</x:v>
      </x:c>
      <x:c r="J18" s="11" t="n">
        <x:v>46262</x:v>
      </x:c>
      <x:c r="K18" s="13" t="s">
        <x:v>4775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8" hidden="0" customHeight="1">
      <x:c r="A19" s="1" t="s">
        <x:v>4776</x:v>
      </x:c>
      <x:c r="B19" s="1" t="s">
        <x:v>4777</x:v>
      </x:c>
      <x:c r="C19" s="13" t="s">
        <x:v>4050</x:v>
      </x:c>
      <x:c r="D19" s="13" t="s">
        <x:v>4778</x:v>
      </x:c>
      <x:c r="E19" s="1" t="s">
        <x:v>160</x:v>
      </x:c>
      <x:c r="F19" s="1" t="s">
        <x:v>180</x:v>
      </x:c>
      <x:c r="G19" s="13" t="s">
        <x:v>4753</x:v>
      </x:c>
      <x:c r="H19" s="1" t="s">
        <x:v>125</x:v>
      </x:c>
      <x:c r="I19" s="1" t="s">
        <x:v>140</x:v>
      </x:c>
      <x:c r="J19" s="11" t="n">
        <x:v>46262</x:v>
      </x:c>
      <x:c r="K19" s="13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8" hidden="0" customHeight="1">
      <x:c r="A20" s="1" t="s">
        <x:v>4779</x:v>
      </x:c>
      <x:c r="B20" s="1" t="s">
        <x:v>4531</x:v>
      </x:c>
      <x:c r="C20" s="13" t="s">
        <x:v>3236</x:v>
      </x:c>
      <x:c r="D20" s="13" t="s">
        <x:v>4780</x:v>
      </x:c>
      <x:c r="E20" s="1" t="s">
        <x:v>160</x:v>
      </x:c>
      <x:c r="F20" s="1" t="s">
        <x:v>201</x:v>
      </x:c>
      <x:c r="G20" s="13" t="s">
        <x:v>4781</x:v>
      </x:c>
      <x:c r="H20" s="1" t="s">
        <x:v>119</x:v>
      </x:c>
      <x:c r="I20" s="1" t="s">
        <x:v>139</x:v>
      </x:c>
      <x:c r="K20" s="13" t="s">
        <x:v>4597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4782</x:v>
      </x:c>
      <x:c r="B21" s="1" t="s">
        <x:v>205</x:v>
      </x:c>
      <x:c r="C21" s="13" t="s">
        <x:v>4748</x:v>
      </x:c>
      <x:c r="D21" s="13" t="s">
        <x:v>4783</x:v>
      </x:c>
      <x:c r="E21" s="1" t="s">
        <x:v>160</x:v>
      </x:c>
      <x:c r="F21" s="1" t="s">
        <x:v>201</x:v>
      </x:c>
      <x:c r="G21" s="13" t="s">
        <x:v>4781</x:v>
      </x:c>
      <x:c r="H21" s="1" t="s">
        <x:v>119</x:v>
      </x:c>
      <x:c r="I21" s="1" t="s">
        <x:v>139</x:v>
      </x:c>
      <x:c r="K21" s="13" t="s">
        <x:v>4537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4784</x:v>
      </x:c>
      <x:c r="B22" s="1" t="s">
        <x:v>4785</x:v>
      </x:c>
      <x:c r="C22" s="13" t="s">
        <x:v>827</x:v>
      </x:c>
      <x:c r="D22" s="13" t="s">
        <x:v>4786</x:v>
      </x:c>
      <x:c r="E22" s="1" t="s">
        <x:v>160</x:v>
      </x:c>
      <x:c r="F22" s="1" t="s">
        <x:v>201</x:v>
      </x:c>
      <x:c r="G22" s="13" t="s">
        <x:v>4787</x:v>
      </x:c>
      <x:c r="H22" s="1" t="s">
        <x:v>123</x:v>
      </x:c>
      <x:c r="I22" s="1" t="s">
        <x:v>139</x:v>
      </x:c>
      <x:c r="J22" s="11" t="n">
        <x:v>46262</x:v>
      </x:c>
      <x:c r="K22" s="13" t="s">
        <x:v>4788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4789</x:v>
      </x:c>
      <x:c r="B23" s="1" t="s">
        <x:v>212</x:v>
      </x:c>
      <x:c r="C23" s="13" t="s">
        <x:v>103</x:v>
      </x:c>
      <x:c r="D23" s="13" t="s">
        <x:v>4790</x:v>
      </x:c>
      <x:c r="E23" s="1" t="s">
        <x:v>160</x:v>
      </x:c>
      <x:c r="F23" s="1" t="s">
        <x:v>201</x:v>
      </x:c>
      <x:c r="G23" s="13" t="s">
        <x:v>4781</x:v>
      </x:c>
      <x:c r="H23" s="1" t="s">
        <x:v>119</x:v>
      </x:c>
      <x:c r="I23" s="1" t="s">
        <x:v>139</x:v>
      </x:c>
      <x:c r="K23" s="13" t="s">
        <x:v>4540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8" hidden="0" customHeight="1">
      <x:c r="A24" s="1" t="s">
        <x:v>4791</x:v>
      </x:c>
      <x:c r="B24" s="1" t="s">
        <x:v>646</x:v>
      </x:c>
      <x:c r="C24" s="13" t="s">
        <x:v>103</x:v>
      </x:c>
      <x:c r="D24" s="13" t="s">
        <x:v>4792</x:v>
      </x:c>
      <x:c r="E24" s="1" t="s">
        <x:v>160</x:v>
      </x:c>
      <x:c r="F24" s="1" t="s">
        <x:v>648</x:v>
      </x:c>
      <x:c r="G24" s="13" t="s">
        <x:v>4793</x:v>
      </x:c>
      <x:c r="H24" s="1" t="s">
        <x:v>125</x:v>
      </x:c>
      <x:c r="I24" s="1" t="s">
        <x:v>140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4794</x:v>
      </x:c>
      <x:c r="B25" s="1" t="s">
        <x:v>215</x:v>
      </x:c>
      <x:c r="C25" s="13" t="s">
        <x:v>103</x:v>
      </x:c>
      <x:c r="D25" s="13" t="s">
        <x:v>4795</x:v>
      </x:c>
      <x:c r="E25" s="1" t="s">
        <x:v>160</x:v>
      </x:c>
      <x:c r="F25" s="1" t="s">
        <x:v>217</x:v>
      </x:c>
      <x:c r="G25" s="13" t="s">
        <x:v>4796</x:v>
      </x:c>
      <x:c r="H25" s="1" t="s">
        <x:v>125</x:v>
      </x:c>
      <x:c r="I25" s="1" t="s">
        <x:v>140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4797</x:v>
      </x:c>
      <x:c r="B26" s="1" t="s">
        <x:v>4232</x:v>
      </x:c>
      <x:c r="C26" s="13" t="s">
        <x:v>103</x:v>
      </x:c>
      <x:c r="D26" s="13" t="s">
        <x:v>4798</x:v>
      </x:c>
      <x:c r="E26" s="1" t="s">
        <x:v>160</x:v>
      </x:c>
      <x:c r="F26" s="1" t="s">
        <x:v>217</x:v>
      </x:c>
      <x:c r="G26" s="13" t="s">
        <x:v>4799</x:v>
      </x:c>
      <x:c r="H26" s="1" t="s">
        <x:v>125</x:v>
      </x:c>
      <x:c r="I26" s="1" t="s">
        <x:v>140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4800</x:v>
      </x:c>
      <x:c r="B27" s="1" t="s">
        <x:v>224</x:v>
      </x:c>
      <x:c r="C27" s="13" t="s">
        <x:v>103</x:v>
      </x:c>
      <x:c r="D27" s="13" t="s">
        <x:v>4801</x:v>
      </x:c>
      <x:c r="E27" s="1" t="s">
        <x:v>226</x:v>
      </x:c>
      <x:c r="F27" s="1" t="s">
        <x:v>226</x:v>
      </x:c>
      <x:c r="G27" s="13" t="s">
        <x:v>227</x:v>
      </x:c>
      <x:c r="H27" s="1" t="s">
        <x:v>119</x:v>
      </x:c>
      <x:c r="I27" s="1" t="s">
        <x:v>140</x:v>
      </x:c>
      <x:c r="K27" s="13" t="s">
        <x:v>4802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4803</x:v>
      </x:c>
      <x:c r="B28" s="1" t="s">
        <x:v>229</x:v>
      </x:c>
      <x:c r="C28" s="13" t="s">
        <x:v>103</x:v>
      </x:c>
      <x:c r="D28" s="13" t="s">
        <x:v>4557</x:v>
      </x:c>
      <x:c r="E28" s="1" t="s">
        <x:v>160</x:v>
      </x:c>
      <x:c r="F28" s="1" t="s">
        <x:v>160</x:v>
      </x:c>
      <x:c r="G28" s="13" t="s">
        <x:v>231</x:v>
      </x:c>
      <x:c r="H28" s="1" t="s">
        <x:v>129</x:v>
      </x:c>
      <x:c r="I28" s="1" t="s">
        <x:v>140</x:v>
      </x:c>
      <x:c r="J28" s="11" t="n">
        <x:v>46262</x:v>
      </x:c>
      <x:c r="K28" s="13" t="s">
        <x:v>4558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4804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4805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COUNTA(A9:A29)</x:f>
        <x:v>21</x:v>
      </x:c>
      <x:c r="D4" s="6" t="s">
        <x:v>143</x:v>
      </x:c>
      <x:c r="E4" s="7" t="n">
        <x:f aca="0">SUM(M9:M29)</x:f>
        <x:v>19</x:v>
      </x:c>
      <x:c r="G4" s="6" t="s">
        <x:v>13</x:v>
      </x:c>
      <x:c r="H4" s="33" t="n">
        <x:f aca="0">IF(B4=0,0,E4/B4)</x:f>
        <x:v>0.9047619047619048</x:v>
      </x:c>
      <x:c r="J4" s="6" t="s">
        <x:v>14</x:v>
      </x:c>
      <x:c r="K4" s="7" t="str">
        <x:f aca="0">IF(COUNTIFS(E9:E29,"package",M9:M29,0)&gt;0,"open","complete")</x:f>
        <x:v>open</x:v>
      </x:c>
    </x:row>
    <x:row r="5" s="4" customFormat="1" ht="17.25" hidden="0" customHeight="1">
      <x:c r="A5" s="6" t="s">
        <x:v>144</x:v>
      </x:c>
      <x:c r="B5" s="7" t="str">
        <x:f aca="0">IF(COUNTIFS(I9:I29,"yes",M9:M29,0)&gt;0,"open","complete")</x:f>
        <x:v>open</x:v>
      </x:c>
      <x:c r="D5" s="6" t="s">
        <x:v>15</x:v>
      </x:c>
      <x:c r="E5" s="7" t="str">
        <x:f aca="0">IF(COUNTIFS(E9:E29,"consumer",M9:M29,0)&gt;0,"open","complete")</x:f>
        <x:v>complete</x:v>
      </x:c>
    </x:row>
    <x:row r="8" s="4" customFormat="1" ht="15" hidden="0" customHeight="1">
      <x:c r="A8" s="1" t="s">
        <x:v>145</x:v>
      </x:c>
      <x:c r="B8" s="1" t="s">
        <x:v>146</x:v>
      </x:c>
      <x:c r="C8" s="1" t="s">
        <x:v>147</x:v>
      </x:c>
      <x:c r="D8" s="1" t="s">
        <x:v>148</x:v>
      </x:c>
      <x:c r="E8" s="1" t="s">
        <x:v>149</x:v>
      </x:c>
      <x:c r="F8" s="1" t="s">
        <x:v>150</x:v>
      </x:c>
      <x:c r="G8" s="1" t="s">
        <x:v>151</x:v>
      </x:c>
      <x:c r="H8" s="1" t="s">
        <x:v>103</x:v>
      </x:c>
      <x:c r="I8" s="1" t="s">
        <x:v>152</x:v>
      </x:c>
      <x:c r="J8" s="11" t="s">
        <x:v>153</x:v>
      </x:c>
      <x:c r="K8" s="1" t="s">
        <x:v>154</x:v>
      </x:c>
      <x:c r="L8" s="1" t="s">
        <x:v>155</x:v>
      </x:c>
      <x:c r="M8" s="1" t="s">
        <x:v>143</x:v>
      </x:c>
    </x:row>
    <x:row r="9" s="4" customFormat="1" ht="42" hidden="0" customHeight="1">
      <x:c r="A9" s="1" t="str">
        <x:v>CP-01</x:v>
      </x:c>
      <x:c r="B9" s="1" t="str">
        <x:v>Implementation</x:v>
      </x:c>
      <x:c r="C9" s="1" t="str">
        <x:v>All parts</x:v>
      </x:c>
      <x:c r="D9" s="1" t="str">
        <x:v>Every released Brick part directly adapts the matching public Atom 0.26.0 Color Picker part; Atom remains the only behavior owner.</x:v>
      </x:c>
      <x:c r="E9" s="1" t="str">
        <x:v>package</x:v>
      </x:c>
      <x:c r="F9" s="1" t="str">
        <x:v>source</x:v>
      </x:c>
      <x:c r="G9" s="1" t="str">
        <x:v>../src/components/color-picker</x:v>
      </x:c>
      <x:c r="H9" s="1" t="str">
        <x:v>tested</x:v>
      </x:c>
      <x:c r="I9" s="1" t="str">
        <x:v>no</x:v>
      </x:c>
      <x:c r="J9" s="34" t="n">
        <x:v>46265</x:v>
      </x:c>
      <x:c r="K9" s="1" t="str">
        <x:v>Exact published Atom 0.26.0 is the behavior owner.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tr">
        <x:v>CP-02</x:v>
      </x:c>
      <x:c r="B10" s="1" t="str">
        <x:v>Anatomy</x:v>
      </x:c>
      <x:c r="C10" s="1" t="str">
        <x:v>All parts</x:v>
      </x:c>
      <x:c r="D10" s="1" t="str">
        <x:v>Root, Context, Label, Control, inputs, popup, area, sliders, swatches, format controls, views, and platform triggers preserve Atom elements, refs, slots, state, and native props.</x:v>
      </x:c>
      <x:c r="E10" s="1" t="str">
        <x:v>package</x:v>
      </x:c>
      <x:c r="F10" s="1" t="str">
        <x:v>component</x:v>
      </x:c>
      <x:c r="G10" s="1" t="str">
        <x:v>../test/components/color-picker/color-picker.test.tsx</x:v>
      </x:c>
      <x:c r="H10" s="1" t="str">
        <x:v>tested</x:v>
      </x:c>
      <x:c r="I10" s="1" t="str">
        <x:v>no</x:v>
      </x:c>
      <x:c r="J10" s="34" t="n">
        <x:v>46265</x:v>
      </x:c>
      <x:c r="K10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tr">
        <x:v>CP-03</x:v>
      </x:c>
      <x:c r="B11" s="1" t="str">
        <x:v>Exports</x:v>
      </x:c>
      <x:c r="C11" s="1" t="str">
        <x:v>ColorPicker</x:v>
      </x:c>
      <x:c r="D11" s="1" t="str">
        <x:v>Root and color-picker subpath exports expose the namespace, every styled part, public props, and closed recipe types.</x:v>
      </x:c>
      <x:c r="E11" s="1" t="str">
        <x:v>package</x:v>
      </x:c>
      <x:c r="F11" s="1" t="str">
        <x:v>package</x:v>
      </x:c>
      <x:c r="G11" s="1" t="str">
        <x:v>../test/package/package.test.mjs; ../test/package/ssr.test.mjs</x:v>
      </x:c>
      <x:c r="H11" s="1" t="str">
        <x:v>tested</x:v>
      </x:c>
      <x:c r="I11" s="1" t="str">
        <x:v>no</x:v>
      </x:c>
      <x:c r="J11" s="34" t="n">
        <x:v>46265</x:v>
      </x:c>
      <x:c r="K11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tr">
        <x:v>CP-04</x:v>
      </x:c>
      <x:c r="B12" s="1" t="str">
        <x:v>Types</x:v>
      </x:c>
      <x:c r="C12" s="1" t="str">
        <x:v>Root / parts</x:v>
      </x:c>
      <x:c r="D12" s="1" t="str">
        <x:v>Popup positioning, formats, channels, values, callbacks, refs, sizes, variants, and invalid cases type-check.</x:v>
      </x:c>
      <x:c r="E12" s="1" t="str">
        <x:v>package</x:v>
      </x:c>
      <x:c r="F12" s="1" t="str">
        <x:v>types</x:v>
      </x:c>
      <x:c r="G12" s="1" t="str">
        <x:v>../test/types/components/color-picker.test.ts</x:v>
      </x:c>
      <x:c r="H12" s="1" t="str">
        <x:v>tested</x:v>
      </x:c>
      <x:c r="I12" s="1" t="str">
        <x:v>no</x:v>
      </x:c>
      <x:c r="J12" s="34" t="n">
        <x:v>46265</x:v>
      </x:c>
      <x:c r="K12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tr">
        <x:v>CP-05</x:v>
      </x:c>
      <x:c r="B13" s="1" t="str">
        <x:v>CSS</x:v>
      </x:c>
      <x:c r="C13" s="1" t="str">
        <x:v>All styled parts</x:v>
      </x:c>
      <x:c r="D13" s="1" t="str">
        <x:v>Finished CSS ships control, popup, area-gradient, channel, alpha, format, preset, focus, state, forced-color, reduced-motion, and narrow containment recipes.</x:v>
      </x:c>
      <x:c r="E13" s="1" t="str">
        <x:v>package</x:v>
      </x:c>
      <x:c r="F13" s="1" t="str">
        <x:v>css</x:v>
      </x:c>
      <x:c r="G13" s="1" t="str">
        <x:v>../src/components/color-picker/color-picker.css</x:v>
      </x:c>
      <x:c r="H13" s="1" t="str">
        <x:v>tested</x:v>
      </x:c>
      <x:c r="I13" s="1" t="str">
        <x:v>no</x:v>
      </x:c>
      <x:c r="J13" s="34" t="n">
        <x:v>46265</x:v>
      </x:c>
      <x:c r="K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tr">
        <x:v>CP-06</x:v>
      </x:c>
      <x:c r="B14" s="1" t="str">
        <x:v>Value</x:v>
      </x:c>
      <x:c r="C14" s="1" t="str">
        <x:v>Inputs / value parts</x:v>
      </x:c>
      <x:c r="D14" s="1" t="str">
        <x:v>Text, channel inputs, ValueText, ValueSwatch, native chooser, and presets synchronize one Atom color value including alpha and normalized formats.</x:v>
      </x:c>
      <x:c r="E14" s="1" t="str">
        <x:v>package</x:v>
      </x:c>
      <x:c r="F14" s="1" t="str">
        <x:v>browser</x:v>
      </x:c>
      <x:c r="G14" s="1" t="str">
        <x:v>tests/components/color-picker/behavior.spec.ts</x:v>
      </x:c>
      <x:c r="H14" s="1" t="str">
        <x:v>tested</x:v>
      </x:c>
      <x:c r="I14" s="1" t="str">
        <x:v>no</x:v>
      </x:c>
      <x:c r="J14" s="34" t="n">
        <x:v>46265</x:v>
      </x:c>
      <x:c r="K14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tr">
        <x:v>CP-07</x:v>
      </x:c>
      <x:c r="B15" s="1" t="str">
        <x:v>Editor</x:v>
      </x:c>
      <x:c r="C15" s="1" t="str">
        <x:v>Area / sliders</x:v>
      </x:c>
      <x:c r="D15" s="1" t="str">
        <x:v>Two-dimensional area selection plus hue and alpha sliders expose pointer, touch, keyboard, labels, values, and visible thumbs without Brick-owned math.</x:v>
      </x:c>
      <x:c r="E15" s="1" t="str">
        <x:v>package</x:v>
      </x:c>
      <x:c r="F15" s="1" t="str">
        <x:v>browser</x:v>
      </x:c>
      <x:c r="G15" s="1" t="str">
        <x:v>tests/components/color-picker/behavior.spec.ts; tests/components/color-picker/visual.spec.ts</x:v>
      </x:c>
      <x:c r="H15" s="1" t="str">
        <x:v>tested</x:v>
      </x:c>
      <x:c r="I15" s="1" t="str">
        <x:v>no</x:v>
      </x:c>
      <x:c r="J15" s="34" t="n">
        <x:v>46265</x:v>
      </x:c>
      <x:c r="K15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tr">
        <x:v>CP-08</x:v>
      </x:c>
      <x:c r="B16" s="1" t="str">
        <x:v>Formats</x:v>
      </x:c>
      <x:c r="C16" s="1" t="str">
        <x:v>Format / View / channels</x:v>
      </x:c>
      <x:c r="D16" s="1" t="str">
        <x:v>RGBA, HSLA, and HSBA views expose correct channels while preserving the represented color.</x:v>
      </x:c>
      <x:c r="E16" s="1" t="str">
        <x:v>package</x:v>
      </x:c>
      <x:c r="F16" s="1" t="str">
        <x:v>browser</x:v>
      </x:c>
      <x:c r="G16" s="1" t="str">
        <x:v>tests/components/color-picker/behavior.spec.ts</x:v>
      </x:c>
      <x:c r="H16" s="1" t="str">
        <x:v>tested</x:v>
      </x:c>
      <x:c r="I16" s="1" t="str">
        <x:v>no</x:v>
      </x:c>
      <x:c r="J16" s="34" t="n">
        <x:v>46265</x:v>
      </x:c>
      <x:c r="K16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tr">
        <x:v>CP-09</x:v>
      </x:c>
      <x:c r="B17" s="1" t="str">
        <x:v>Popover</x:v>
      </x:c>
      <x:c r="C17" s="1" t="str">
        <x:v>Trigger / Positioner / Content</x:v>
      </x:c>
      <x:c r="D17" s="1" t="str">
        <x:v>Popup content opens through Positioner, dismisses with Escape, restores trigger focus, and stays viewport-contained.</x:v>
      </x:c>
      <x:c r="E17" s="1" t="str">
        <x:v>package</x:v>
      </x:c>
      <x:c r="F17" s="1" t="str">
        <x:v>browser</x:v>
      </x:c>
      <x:c r="G17" s="1" t="str">
        <x:v>tests/components/color-picker/behavior.spec.ts</x:v>
      </x:c>
      <x:c r="H17" s="1" t="str">
        <x:v>tested</x:v>
      </x:c>
      <x:c r="I17" s="1" t="str">
        <x:v>no</x:v>
      </x:c>
      <x:c r="J17" s="34" t="n">
        <x:v>46265</x:v>
      </x:c>
      <x:c r="K17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tr">
        <x:v>CP-10</x:v>
      </x:c>
      <x:c r="B18" s="1" t="str">
        <x:v>Presets</x:v>
      </x:c>
      <x:c r="C18" s="1" t="str">
        <x:v>Swatch parts</x:v>
      </x:c>
      <x:c r="D18" s="1" t="str">
        <x:v>Named presets expose checked state and a visible SwatchIndicator so selection never relies on color alone.</x:v>
      </x:c>
      <x:c r="E18" s="1" t="str">
        <x:v>package</x:v>
      </x:c>
      <x:c r="F18" s="1" t="str">
        <x:v>browser</x:v>
      </x:c>
      <x:c r="G18" s="1" t="str">
        <x:v>tests/components/color-picker/behavior.spec.ts</x:v>
      </x:c>
      <x:c r="H18" s="1" t="str">
        <x:v>tested</x:v>
      </x:c>
      <x:c r="I18" s="1" t="str">
        <x:v>no</x:v>
      </x:c>
      <x:c r="J18" s="34" t="n">
        <x:v>46265</x:v>
      </x:c>
      <x:c r="K18"/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tr">
        <x:v>CP-11</x:v>
      </x:c>
      <x:c r="B19" s="1" t="str">
        <x:v>Platform</x:v>
      </x:c>
      <x:c r="C19" s="1" t="str">
        <x:v>Native / EyeDropper</x:v>
      </x:c>
      <x:c r="D19" s="1" t="str">
        <x:v>NativeInput synchronizes with the editor and EyeDropper remains a named progressive enhancement rather than the only editing path.</x:v>
      </x:c>
      <x:c r="E19" s="1" t="str">
        <x:v>package</x:v>
      </x:c>
      <x:c r="F19" s="1" t="str">
        <x:v>browser</x:v>
      </x:c>
      <x:c r="G19" s="1" t="str">
        <x:v>tests/components/color-picker/behavior.spec.ts; manual-tests/color-picker.md</x:v>
      </x:c>
      <x:c r="H19" s="1" t="str">
        <x:v>tested</x:v>
      </x:c>
      <x:c r="I19" s="1" t="str">
        <x:v>no</x:v>
      </x:c>
      <x:c r="J19" s="34" t="n">
        <x:v>46265</x:v>
      </x:c>
      <x:c r="K19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tr">
        <x:v>CP-12</x:v>
      </x:c>
      <x:c r="B20" s="1" t="str">
        <x:v>Forms / states</x:v>
      </x:c>
      <x:c r="C20" s="1" t="str">
        <x:v>Root / HiddenInput</x:v>
      </x:c>
      <x:c r="D20" s="1" t="str">
        <x:v>One hidden successful control submits/resets; disabled and read-only block mutation; invalid and required remain exposed.</x:v>
      </x:c>
      <x:c r="E20" s="1" t="str">
        <x:v>package</x:v>
      </x:c>
      <x:c r="F20" s="1" t="str">
        <x:v>browser</x:v>
      </x:c>
      <x:c r="G20" s="1" t="str">
        <x:v>tests/components/color-picker/behavior.spec.ts; ../test/components/color-picker/color-picker.test.tsx</x:v>
      </x:c>
      <x:c r="H20" s="1" t="str">
        <x:v>tested</x:v>
      </x:c>
      <x:c r="I20" s="1" t="str">
        <x:v>no</x:v>
      </x:c>
      <x:c r="J20" s="34" t="n">
        <x:v>46265</x:v>
      </x:c>
      <x:c r="K20" s="1"/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tr">
        <x:v>CP-13</x:v>
      </x:c>
      <x:c r="B21" s="1" t="str">
        <x:v>Accessibility</x:v>
      </x:c>
      <x:c r="C21" s="1" t="str">
        <x:v>All parts</x:v>
      </x:c>
      <x:c r="D21" s="1" t="str">
        <x:v>Named controls, native semantics, focus restoration, non-color selection, and the focused route pass automated accessibility checks.</x:v>
      </x:c>
      <x:c r="E21" s="1" t="str">
        <x:v>package</x:v>
      </x:c>
      <x:c r="F21" s="1" t="str">
        <x:v>axe</x:v>
      </x:c>
      <x:c r="G21" s="1" t="str">
        <x:v>tests/components/color-picker/behavior.spec.ts</x:v>
      </x:c>
      <x:c r="H21" s="1" t="str">
        <x:v>tested</x:v>
      </x:c>
      <x:c r="I21" s="1" t="str">
        <x:v>no</x:v>
      </x:c>
      <x:c r="J21" s="34" t="n">
        <x:v>46265</x:v>
      </x:c>
      <x:c r="K21" s="1"/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tr">
        <x:v>CP-14</x:v>
      </x:c>
      <x:c r="B22" s="1" t="str">
        <x:v>Responsive</x:v>
      </x:c>
      <x:c r="C22" s="1" t="str">
        <x:v>Root / Content</x:v>
      </x:c>
      <x:c r="D22" s="1" t="str">
        <x:v>Inline and popup compositions remain contained at 320 px and logical in RTL with every control reachable.</x:v>
      </x:c>
      <x:c r="E22" s="1" t="str">
        <x:v>package</x:v>
      </x:c>
      <x:c r="F22" s="1" t="str">
        <x:v>browser</x:v>
      </x:c>
      <x:c r="G22" s="1" t="str">
        <x:v>tests/components/color-picker/behavior.spec.ts; tests/components/color-picker/visual.spec.ts</x:v>
      </x:c>
      <x:c r="H22" s="1" t="str">
        <x:v>tested</x:v>
      </x:c>
      <x:c r="I22" s="1" t="str">
        <x:v>no</x:v>
      </x:c>
      <x:c r="J22" s="34" t="n">
        <x:v>46265</x:v>
      </x:c>
      <x:c r="K22"/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tr">
        <x:v>CP-15</x:v>
      </x:c>
      <x:c r="B23" s="1" t="str">
        <x:v>Appearance</x:v>
      </x:c>
      <x:c r="C23" s="1" t="str">
        <x:v>All styled parts</x:v>
      </x:c>
      <x:c r="D23" s="1" t="str">
        <x:v>Light, dark, forced-color, area gradient, tracks, thumb, popup, selected, invalid, and focus paint remain distinguishable.</x:v>
      </x:c>
      <x:c r="E23" s="1" t="str">
        <x:v>package</x:v>
      </x:c>
      <x:c r="F23" s="1" t="str">
        <x:v>visual</x:v>
      </x:c>
      <x:c r="G23" s="1" t="str">
        <x:v>tests/components/color-picker/visual.spec.ts</x:v>
      </x:c>
      <x:c r="H23" s="1" t="str">
        <x:v>tested</x:v>
      </x:c>
      <x:c r="I23" s="1" t="str">
        <x:v>yes</x:v>
      </x:c>
      <x:c r="J23" s="34" t="n">
        <x:v>46265</x:v>
      </x:c>
      <x:c r="K23" t="str">
        <x:v>New Atom 0.26.0 baselines were generated and agent-inspected on August 31, 2026; owner review remains open.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2" hidden="0" customHeight="1">
      <x:c r="A24" s="1" t="str">
        <x:v>CP-16</x:v>
      </x:c>
      <x:c r="B24" s="1" t="str">
        <x:v>Customization</x:v>
      </x:c>
      <x:c r="C24" s="1" t="str">
        <x:v>Root / parts</x:v>
      </x:c>
      <x:c r="D24" s="1" t="str">
        <x:v>Documented recipes, classes, slots, attributes, and public properties customize the complete editor without changing Atom behavior.</x:v>
      </x:c>
      <x:c r="E24" s="1" t="str">
        <x:v>package</x:v>
      </x:c>
      <x:c r="F24" s="1" t="str">
        <x:v>docs</x:v>
      </x:c>
      <x:c r="G24" s="1" t="str">
        <x:v>../docs/components/color-picker/README.md; ../scripts/component-documentation-contracts.mjs</x:v>
      </x:c>
      <x:c r="H24" s="1" t="str">
        <x:v>tested</x:v>
      </x:c>
      <x:c r="I24" s="1" t="str">
        <x:v>no</x:v>
      </x:c>
      <x:c r="J24" s="34" t="n">
        <x:v>46265</x:v>
      </x:c>
      <x:c r="K24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tr">
        <x:v>CP-17</x:v>
      </x:c>
      <x:c r="B25" s="1" t="str">
        <x:v>Agent Knowledge</x:v>
      </x:c>
      <x:c r="C25" s="1" t="str">
        <x:v>ColorPicker</x:v>
      </x:c>
      <x:c r="D25" s="1" t="str">
        <x:v>Machine and Markdown guidance teach exact ownership, complete anatomy, popup/inline composition, forms, formats, accessibility, exclusions, and validation.</x:v>
      </x:c>
      <x:c r="E25" s="1" t="str">
        <x:v>package</x:v>
      </x:c>
      <x:c r="F25" s="1" t="str">
        <x:v>agents</x:v>
      </x:c>
      <x:c r="G25" s="1" t="str">
        <x:v>../src/components/color-picker/agent.json; ../agents/components/color-picker/agent.json</x:v>
      </x:c>
      <x:c r="H25" s="1" t="str">
        <x:v>tested</x:v>
      </x:c>
      <x:c r="I25" s="1" t="str">
        <x:v>no</x:v>
      </x:c>
      <x:c r="J25" s="34" t="n">
        <x:v>46265</x:v>
      </x:c>
      <x:c r="K25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tr">
        <x:v>CP-18</x:v>
      </x:c>
      <x:c r="B26" s="1" t="str">
        <x:v>Documentation</x:v>
      </x:c>
      <x:c r="C26" s="1" t="str">
        <x:v>ColorPicker</x:v>
      </x:c>
      <x:c r="D26" s="1" t="str">
        <x:v>Public purpose, API Reference, data attributes, anatomy, recipes, accessibility, exclusions, evidence, and Atom boundary pass documentation gates.</x:v>
      </x:c>
      <x:c r="E26" s="1" t="str">
        <x:v>package</x:v>
      </x:c>
      <x:c r="F26" s="1" t="str">
        <x:v>docs</x:v>
      </x:c>
      <x:c r="G26" s="1" t="str">
        <x:v>../docs/components/color-picker/README.md</x:v>
      </x:c>
      <x:c r="H26" s="1" t="str">
        <x:v>tested</x:v>
      </x:c>
      <x:c r="I26" s="1" t="str">
        <x:v>no</x:v>
      </x:c>
      <x:c r="J26" s="34" t="n">
        <x:v>46265</x:v>
      </x:c>
      <x:c r="K26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tr">
        <x:v>CP-19</x:v>
      </x:c>
      <x:c r="B27" s="1" t="str">
        <x:v>Changelog</x:v>
      </x:c>
      <x:c r="C27" s="1" t="str">
        <x:v>ColorPicker</x:v>
      </x:c>
      <x:c r="D27" s="1" t="str">
        <x:v>Component and package changelogs record the full release-facing expansion.</x:v>
      </x:c>
      <x:c r="E27" s="1" t="str">
        <x:v>package</x:v>
      </x:c>
      <x:c r="F27" s="1" t="str">
        <x:v>docs</x:v>
      </x:c>
      <x:c r="G27" s="1" t="str">
        <x:v>../docs/components/color-picker/CHANGELOG.md; ../CHANGELOG.md</x:v>
      </x:c>
      <x:c r="H27" s="1" t="str">
        <x:v>tested</x:v>
      </x:c>
      <x:c r="I27" s="1" t="str">
        <x:v>no</x:v>
      </x:c>
      <x:c r="J27" s="34" t="n">
        <x:v>46265</x:v>
      </x:c>
      <x:c r="K27" s="1"/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42" hidden="0" customHeight="1">
      <x:c r="A28" s="1" t="str">
        <x:v>CP-20</x:v>
      </x:c>
      <x:c r="B28" s="1" t="str">
        <x:v>Consumer / package</x:v>
      </x:c>
      <x:c r="C28" s="1" t="str">
        <x:v>ColorPicker</x:v>
      </x:c>
      <x:c r="D28" s="1" t="str">
        <x:v>The realistic Consumer and exact packed consumers install public exports, exercise the full editor, and verify exact Atom 0.26.0 boundaries.</x:v>
      </x:c>
      <x:c r="E28" s="1" t="str">
        <x:v>consumer</x:v>
      </x:c>
      <x:c r="F28" s="1" t="str">
        <x:v>consumer</x:v>
      </x:c>
      <x:c r="G28" s="1" t="str">
        <x:v>../apps/consumer/src/App.tsx; ../apps/consumer/tests/consumer.spec.ts; ../scripts/verify-consumers.mjs</x:v>
      </x:c>
      <x:c r="H28" s="1" t="str">
        <x:v>tested</x:v>
      </x:c>
      <x:c r="I28" s="1" t="str">
        <x:v>no</x:v>
      </x:c>
      <x:c r="J28" s="35" t="n">
        <x:v>46265</x:v>
      </x:c>
      <x:c r="K28" s="1" t="str">
        <x:v>Desktop and mobile focused Consumer verification passed before release qualification.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>
      <x:c r="A29" t="str">
        <x:v>CP-21</x:v>
      </x:c>
      <x:c r="B29" t="str">
        <x:v>Manual</x:v>
      </x:c>
      <x:c r="C29" t="str">
        <x:v>All parts</x:v>
      </x:c>
      <x:c r="D29" t="str">
        <x:v>The numbered protocol covers visual finish, keyboard, touch, assistive technology, preferences, zoom, RTL, platform tools, forms, formats, and popup review.</x:v>
      </x:c>
      <x:c r="E29" t="str">
        <x:v>package</x:v>
      </x:c>
      <x:c r="F29" t="str">
        <x:v>manual</x:v>
      </x:c>
      <x:c r="G29" t="str">
        <x:v>manual-tests/color-picker.md</x:v>
      </x:c>
      <x:c r="H29" t="str">
        <x:v>not started</x:v>
      </x:c>
      <x:c r="I29" t="str">
        <x:v>yes</x:v>
      </x:c>
      <x:c r="J29" s="35"/>
      <x:c r="K29" t="str">
        <x:v>No completed physical-device or assistive-technology run is recorded.</x:v>
      </x:c>
      <x:c r="L29" t="n">
        <x:v>1</x:v>
      </x:c>
      <x:c r="M29" t="n">
        <x:f>IF(OR(AND(I29="yes",H29="verified"),AND(I29="no",OR(H29="tested",H29="verified")),AND(H29="not applicable",K29&lt;&gt;"")),1,0)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4806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4807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143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144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145</x:v>
      </x:c>
      <x:c r="B8" s="21" t="s">
        <x:v>146</x:v>
      </x:c>
      <x:c r="C8" s="21" t="s">
        <x:v>147</x:v>
      </x:c>
      <x:c r="D8" s="21" t="s">
        <x:v>148</x:v>
      </x:c>
      <x:c r="E8" s="21" t="s">
        <x:v>149</x:v>
      </x:c>
      <x:c r="F8" s="21" t="s">
        <x:v>150</x:v>
      </x:c>
      <x:c r="G8" s="21" t="s">
        <x:v>151</x:v>
      </x:c>
      <x:c r="H8" s="21" t="s">
        <x:v>103</x:v>
      </x:c>
      <x:c r="I8" s="21" t="s">
        <x:v>152</x:v>
      </x:c>
      <x:c r="J8" s="21" t="s">
        <x:v>153</x:v>
      </x:c>
      <x:c r="K8" s="21" t="s">
        <x:v>154</x:v>
      </x:c>
      <x:c r="L8" s="21" t="s">
        <x:v>155</x:v>
      </x:c>
      <x:c r="M8" s="21" t="s">
        <x:v>143</x:v>
      </x:c>
    </x:row>
    <x:row r="9" s="4" customFormat="1" ht="54" hidden="0" customHeight="1">
      <x:c r="A9" s="23" t="s">
        <x:v>4808</x:v>
      </x:c>
      <x:c r="B9" s="23" t="s">
        <x:v>157</x:v>
      </x:c>
      <x:c r="C9" s="23" t="s">
        <x:v>105</x:v>
      </x:c>
      <x:c r="D9" s="23" t="s">
        <x:v>4809</x:v>
      </x:c>
      <x:c r="E9" s="23" t="s">
        <x:v>160</x:v>
      </x:c>
      <x:c r="F9" s="23" t="s">
        <x:v>161</x:v>
      </x:c>
      <x:c r="G9" s="23" t="s">
        <x:v>4810</x:v>
      </x:c>
      <x:c r="H9" s="24" t="s">
        <x:v>125</x:v>
      </x:c>
      <x:c r="I9" s="23" t="s">
        <x:v>140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4811</x:v>
      </x:c>
      <x:c r="B10" s="23" t="s">
        <x:v>117</x:v>
      </x:c>
      <x:c r="C10" s="23" t="s">
        <x:v>105</x:v>
      </x:c>
      <x:c r="D10" s="23" t="s">
        <x:v>4812</x:v>
      </x:c>
      <x:c r="E10" s="23" t="s">
        <x:v>160</x:v>
      </x:c>
      <x:c r="F10" s="23" t="s">
        <x:v>180</x:v>
      </x:c>
      <x:c r="G10" s="23" t="s">
        <x:v>4813</x:v>
      </x:c>
      <x:c r="H10" s="24" t="s">
        <x:v>125</x:v>
      </x:c>
      <x:c r="I10" s="23" t="s">
        <x:v>140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4814</x:v>
      </x:c>
      <x:c r="B11" s="23" t="s">
        <x:v>164</x:v>
      </x:c>
      <x:c r="C11" s="23" t="s">
        <x:v>105</x:v>
      </x:c>
      <x:c r="D11" s="23" t="s">
        <x:v>4815</x:v>
      </x:c>
      <x:c r="E11" s="23" t="s">
        <x:v>160</x:v>
      </x:c>
      <x:c r="F11" s="23" t="s">
        <x:v>160</x:v>
      </x:c>
      <x:c r="G11" s="23" t="s">
        <x:v>606</x:v>
      </x:c>
      <x:c r="H11" s="24" t="s">
        <x:v>125</x:v>
      </x:c>
      <x:c r="I11" s="23" t="s">
        <x:v>140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4816</x:v>
      </x:c>
      <x:c r="B12" s="23" t="s">
        <x:v>168</x:v>
      </x:c>
      <x:c r="C12" s="23" t="s">
        <x:v>105</x:v>
      </x:c>
      <x:c r="D12" s="23" t="s">
        <x:v>4817</x:v>
      </x:c>
      <x:c r="E12" s="23" t="s">
        <x:v>160</x:v>
      </x:c>
      <x:c r="F12" s="23" t="s">
        <x:v>170</x:v>
      </x:c>
      <x:c r="G12" s="23" t="s">
        <x:v>4818</x:v>
      </x:c>
      <x:c r="H12" s="24" t="s">
        <x:v>125</x:v>
      </x:c>
      <x:c r="I12" s="23" t="s">
        <x:v>140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4819</x:v>
      </x:c>
      <x:c r="B13" s="23" t="s">
        <x:v>173</x:v>
      </x:c>
      <x:c r="C13" s="23" t="s">
        <x:v>105</x:v>
      </x:c>
      <x:c r="D13" s="23" t="s">
        <x:v>4820</x:v>
      </x:c>
      <x:c r="E13" s="23" t="s">
        <x:v>160</x:v>
      </x:c>
      <x:c r="F13" s="23" t="s">
        <x:v>175</x:v>
      </x:c>
      <x:c r="G13" s="23" t="s">
        <x:v>4821</x:v>
      </x:c>
      <x:c r="H13" s="24" t="s">
        <x:v>125</x:v>
      </x:c>
      <x:c r="I13" s="23" t="s">
        <x:v>140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4822</x:v>
      </x:c>
      <x:c r="B14" s="23" t="s">
        <x:v>178</x:v>
      </x:c>
      <x:c r="C14" s="23" t="s">
        <x:v>105</x:v>
      </x:c>
      <x:c r="D14" s="23" t="s">
        <x:v>4823</x:v>
      </x:c>
      <x:c r="E14" s="23" t="s">
        <x:v>160</x:v>
      </x:c>
      <x:c r="F14" s="23" t="s">
        <x:v>180</x:v>
      </x:c>
      <x:c r="G14" s="23" t="s">
        <x:v>4824</x:v>
      </x:c>
      <x:c r="H14" s="24" t="s">
        <x:v>125</x:v>
      </x:c>
      <x:c r="I14" s="23" t="s">
        <x:v>140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4825</x:v>
      </x:c>
      <x:c r="B15" s="23" t="s">
        <x:v>183</x:v>
      </x:c>
      <x:c r="C15" s="23" t="s">
        <x:v>105</x:v>
      </x:c>
      <x:c r="D15" s="23" t="s">
        <x:v>4826</x:v>
      </x:c>
      <x:c r="E15" s="23" t="s">
        <x:v>160</x:v>
      </x:c>
      <x:c r="F15" s="23" t="s">
        <x:v>185</x:v>
      </x:c>
      <x:c r="G15" s="23" t="s">
        <x:v>4827</x:v>
      </x:c>
      <x:c r="H15" s="24" t="s">
        <x:v>125</x:v>
      </x:c>
      <x:c r="I15" s="23" t="s">
        <x:v>140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4828</x:v>
      </x:c>
      <x:c r="B16" s="23" t="s">
        <x:v>188</x:v>
      </x:c>
      <x:c r="C16" s="23" t="s">
        <x:v>105</x:v>
      </x:c>
      <x:c r="D16" s="23" t="s">
        <x:v>4829</x:v>
      </x:c>
      <x:c r="E16" s="23" t="s">
        <x:v>160</x:v>
      </x:c>
      <x:c r="F16" s="23" t="s">
        <x:v>190</x:v>
      </x:c>
      <x:c r="G16" s="23" t="s">
        <x:v>4827</x:v>
      </x:c>
      <x:c r="H16" s="24" t="s">
        <x:v>125</x:v>
      </x:c>
      <x:c r="I16" s="23" t="s">
        <x:v>140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4830</x:v>
      </x:c>
      <x:c r="B17" s="23" t="s">
        <x:v>193</x:v>
      </x:c>
      <x:c r="C17" s="23" t="s">
        <x:v>105</x:v>
      </x:c>
      <x:c r="D17" s="23" t="s">
        <x:v>4831</x:v>
      </x:c>
      <x:c r="E17" s="23" t="s">
        <x:v>160</x:v>
      </x:c>
      <x:c r="F17" s="23" t="s">
        <x:v>195</x:v>
      </x:c>
      <x:c r="G17" s="23" t="s">
        <x:v>4832</x:v>
      </x:c>
      <x:c r="H17" s="27" t="s">
        <x:v>127</x:v>
      </x:c>
      <x:c r="I17" s="23" t="s">
        <x:v>139</x:v>
      </x:c>
      <x:c r="J17" s="25" t="n">
        <x:v>46264</x:v>
      </x:c>
      <x:c r="K17" s="23" t="s">
        <x:v>1125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4833</x:v>
      </x:c>
      <x:c r="B18" s="23" t="s">
        <x:v>199</x:v>
      </x:c>
      <x:c r="C18" s="23" t="s">
        <x:v>105</x:v>
      </x:c>
      <x:c r="D18" s="23" t="s">
        <x:v>4834</x:v>
      </x:c>
      <x:c r="E18" s="23" t="s">
        <x:v>160</x:v>
      </x:c>
      <x:c r="F18" s="23" t="s">
        <x:v>201</x:v>
      </x:c>
      <x:c r="G18" s="23" t="s">
        <x:v>4835</x:v>
      </x:c>
      <x:c r="H18" s="27" t="s">
        <x:v>123</x:v>
      </x:c>
      <x:c r="I18" s="23" t="s">
        <x:v>139</x:v>
      </x:c>
      <x:c r="J18" s="25"/>
      <x:c r="K18" s="23" t="s">
        <x:v>203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4836</x:v>
      </x:c>
      <x:c r="B19" s="23" t="s">
        <x:v>205</x:v>
      </x:c>
      <x:c r="C19" s="23" t="s">
        <x:v>105</x:v>
      </x:c>
      <x:c r="D19" s="23" t="s">
        <x:v>4837</x:v>
      </x:c>
      <x:c r="E19" s="23" t="s">
        <x:v>160</x:v>
      </x:c>
      <x:c r="F19" s="23" t="s">
        <x:v>201</x:v>
      </x:c>
      <x:c r="G19" s="23" t="s">
        <x:v>4838</x:v>
      </x:c>
      <x:c r="H19" s="27" t="s">
        <x:v>123</x:v>
      </x:c>
      <x:c r="I19" s="23" t="s">
        <x:v>139</x:v>
      </x:c>
      <x:c r="J19" s="25"/>
      <x:c r="K19" s="23" t="s">
        <x:v>203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4839</x:v>
      </x:c>
      <x:c r="B20" s="23" t="s">
        <x:v>687</x:v>
      </x:c>
      <x:c r="C20" s="23" t="s">
        <x:v>105</x:v>
      </x:c>
      <x:c r="D20" s="23" t="s">
        <x:v>4840</x:v>
      </x:c>
      <x:c r="E20" s="23" t="s">
        <x:v>160</x:v>
      </x:c>
      <x:c r="F20" s="23" t="s">
        <x:v>185</x:v>
      </x:c>
      <x:c r="G20" s="23" t="s">
        <x:v>4827</x:v>
      </x:c>
      <x:c r="H20" s="24" t="s">
        <x:v>125</x:v>
      </x:c>
      <x:c r="I20" s="23" t="s">
        <x:v>140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4841</x:v>
      </x:c>
      <x:c r="B21" s="23" t="s">
        <x:v>212</x:v>
      </x:c>
      <x:c r="C21" s="23" t="s">
        <x:v>105</x:v>
      </x:c>
      <x:c r="D21" s="23" t="s">
        <x:v>4842</x:v>
      </x:c>
      <x:c r="E21" s="23" t="s">
        <x:v>160</x:v>
      </x:c>
      <x:c r="F21" s="23" t="s">
        <x:v>201</x:v>
      </x:c>
      <x:c r="G21" s="23" t="s">
        <x:v>4835</x:v>
      </x:c>
      <x:c r="H21" s="27" t="s">
        <x:v>123</x:v>
      </x:c>
      <x:c r="I21" s="23" t="s">
        <x:v>139</x:v>
      </x:c>
      <x:c r="J21" s="25"/>
      <x:c r="K21" s="23" t="s">
        <x:v>203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4843</x:v>
      </x:c>
      <x:c r="B22" s="23" t="s">
        <x:v>215</x:v>
      </x:c>
      <x:c r="C22" s="23" t="s">
        <x:v>105</x:v>
      </x:c>
      <x:c r="D22" s="23" t="s">
        <x:v>4844</x:v>
      </x:c>
      <x:c r="E22" s="23" t="s">
        <x:v>160</x:v>
      </x:c>
      <x:c r="F22" s="23" t="s">
        <x:v>217</x:v>
      </x:c>
      <x:c r="G22" s="23" t="s">
        <x:v>4845</x:v>
      </x:c>
      <x:c r="H22" s="24" t="s">
        <x:v>125</x:v>
      </x:c>
      <x:c r="I22" s="23" t="s">
        <x:v>140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4846</x:v>
      </x:c>
      <x:c r="B23" s="23" t="s">
        <x:v>220</x:v>
      </x:c>
      <x:c r="C23" s="23" t="s">
        <x:v>105</x:v>
      </x:c>
      <x:c r="D23" s="23" t="s">
        <x:v>4847</x:v>
      </x:c>
      <x:c r="E23" s="23" t="s">
        <x:v>160</x:v>
      </x:c>
      <x:c r="F23" s="23" t="s">
        <x:v>217</x:v>
      </x:c>
      <x:c r="G23" s="23" t="s">
        <x:v>4848</x:v>
      </x:c>
      <x:c r="H23" s="24" t="s">
        <x:v>125</x:v>
      </x:c>
      <x:c r="I23" s="23" t="s">
        <x:v>140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4849</x:v>
      </x:c>
      <x:c r="B24" s="23" t="s">
        <x:v>224</x:v>
      </x:c>
      <x:c r="C24" s="23" t="s">
        <x:v>105</x:v>
      </x:c>
      <x:c r="D24" s="23" t="s">
        <x:v>4850</x:v>
      </x:c>
      <x:c r="E24" s="23" t="s">
        <x:v>226</x:v>
      </x:c>
      <x:c r="F24" s="23" t="s">
        <x:v>226</x:v>
      </x:c>
      <x:c r="G24" s="23" t="s">
        <x:v>227</x:v>
      </x:c>
      <x:c r="H24" s="24" t="s">
        <x:v>125</x:v>
      </x:c>
      <x:c r="I24" s="23" t="s">
        <x:v>140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4851</x:v>
      </x:c>
      <x:c r="B25" s="23" t="s">
        <x:v>229</x:v>
      </x:c>
      <x:c r="C25" s="23" t="s">
        <x:v>105</x:v>
      </x:c>
      <x:c r="D25" s="23" t="s">
        <x:v>4852</x:v>
      </x:c>
      <x:c r="E25" s="23" t="s">
        <x:v>160</x:v>
      </x:c>
      <x:c r="F25" s="23" t="s">
        <x:v>160</x:v>
      </x:c>
      <x:c r="G25" s="23" t="s">
        <x:v>598</x:v>
      </x:c>
      <x:c r="H25" s="27" t="s">
        <x:v>127</x:v>
      </x:c>
      <x:c r="I25" s="23" t="s">
        <x:v>139</x:v>
      </x:c>
      <x:c r="J25" s="25" t="n">
        <x:v>46264</x:v>
      </x:c>
      <x:c r="K25" s="23" t="s">
        <x:v>653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4853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4854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143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144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145</x:v>
      </x:c>
      <x:c r="B8" s="21" t="s">
        <x:v>146</x:v>
      </x:c>
      <x:c r="C8" s="21" t="s">
        <x:v>147</x:v>
      </x:c>
      <x:c r="D8" s="21" t="s">
        <x:v>148</x:v>
      </x:c>
      <x:c r="E8" s="21" t="s">
        <x:v>149</x:v>
      </x:c>
      <x:c r="F8" s="21" t="s">
        <x:v>150</x:v>
      </x:c>
      <x:c r="G8" s="21" t="s">
        <x:v>151</x:v>
      </x:c>
      <x:c r="H8" s="21" t="s">
        <x:v>103</x:v>
      </x:c>
      <x:c r="I8" s="21" t="s">
        <x:v>152</x:v>
      </x:c>
      <x:c r="J8" s="21" t="s">
        <x:v>153</x:v>
      </x:c>
      <x:c r="K8" s="21" t="s">
        <x:v>154</x:v>
      </x:c>
      <x:c r="L8" s="21" t="s">
        <x:v>155</x:v>
      </x:c>
      <x:c r="M8" s="21" t="s">
        <x:v>143</x:v>
      </x:c>
    </x:row>
    <x:row r="9" s="4" customFormat="1" ht="54" hidden="0" customHeight="1">
      <x:c r="A9" s="23" t="s">
        <x:v>4855</x:v>
      </x:c>
      <x:c r="B9" s="23" t="s">
        <x:v>157</x:v>
      </x:c>
      <x:c r="C9" s="23" t="s">
        <x:v>106</x:v>
      </x:c>
      <x:c r="D9" s="23" t="s">
        <x:v>4856</x:v>
      </x:c>
      <x:c r="E9" s="23" t="s">
        <x:v>160</x:v>
      </x:c>
      <x:c r="F9" s="23" t="s">
        <x:v>161</x:v>
      </x:c>
      <x:c r="G9" s="23" t="s">
        <x:v>4857</x:v>
      </x:c>
      <x:c r="H9" s="24" t="s">
        <x:v>125</x:v>
      </x:c>
      <x:c r="I9" s="23" t="s">
        <x:v>140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4858</x:v>
      </x:c>
      <x:c r="B10" s="23" t="s">
        <x:v>117</x:v>
      </x:c>
      <x:c r="C10" s="23" t="s">
        <x:v>106</x:v>
      </x:c>
      <x:c r="D10" s="23" t="s">
        <x:v>4859</x:v>
      </x:c>
      <x:c r="E10" s="23" t="s">
        <x:v>160</x:v>
      </x:c>
      <x:c r="F10" s="23" t="s">
        <x:v>180</x:v>
      </x:c>
      <x:c r="G10" s="23" t="s">
        <x:v>4860</x:v>
      </x:c>
      <x:c r="H10" s="24" t="s">
        <x:v>125</x:v>
      </x:c>
      <x:c r="I10" s="23" t="s">
        <x:v>140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4861</x:v>
      </x:c>
      <x:c r="B11" s="23" t="s">
        <x:v>164</x:v>
      </x:c>
      <x:c r="C11" s="23" t="s">
        <x:v>106</x:v>
      </x:c>
      <x:c r="D11" s="23" t="s">
        <x:v>4862</x:v>
      </x:c>
      <x:c r="E11" s="23" t="s">
        <x:v>160</x:v>
      </x:c>
      <x:c r="F11" s="23" t="s">
        <x:v>160</x:v>
      </x:c>
      <x:c r="G11" s="23" t="s">
        <x:v>606</x:v>
      </x:c>
      <x:c r="H11" s="24" t="s">
        <x:v>125</x:v>
      </x:c>
      <x:c r="I11" s="23" t="s">
        <x:v>140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4863</x:v>
      </x:c>
      <x:c r="B12" s="23" t="s">
        <x:v>168</x:v>
      </x:c>
      <x:c r="C12" s="23" t="s">
        <x:v>106</x:v>
      </x:c>
      <x:c r="D12" s="23" t="s">
        <x:v>4817</x:v>
      </x:c>
      <x:c r="E12" s="23" t="s">
        <x:v>160</x:v>
      </x:c>
      <x:c r="F12" s="23" t="s">
        <x:v>170</x:v>
      </x:c>
      <x:c r="G12" s="23" t="s">
        <x:v>4864</x:v>
      </x:c>
      <x:c r="H12" s="24" t="s">
        <x:v>125</x:v>
      </x:c>
      <x:c r="I12" s="23" t="s">
        <x:v>140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4865</x:v>
      </x:c>
      <x:c r="B13" s="23" t="s">
        <x:v>173</x:v>
      </x:c>
      <x:c r="C13" s="23" t="s">
        <x:v>106</x:v>
      </x:c>
      <x:c r="D13" s="23" t="s">
        <x:v>4820</x:v>
      </x:c>
      <x:c r="E13" s="23" t="s">
        <x:v>160</x:v>
      </x:c>
      <x:c r="F13" s="23" t="s">
        <x:v>175</x:v>
      </x:c>
      <x:c r="G13" s="23" t="s">
        <x:v>4866</x:v>
      </x:c>
      <x:c r="H13" s="24" t="s">
        <x:v>125</x:v>
      </x:c>
      <x:c r="I13" s="23" t="s">
        <x:v>140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4867</x:v>
      </x:c>
      <x:c r="B14" s="23" t="s">
        <x:v>178</x:v>
      </x:c>
      <x:c r="C14" s="23" t="s">
        <x:v>106</x:v>
      </x:c>
      <x:c r="D14" s="23" t="s">
        <x:v>4868</x:v>
      </x:c>
      <x:c r="E14" s="23" t="s">
        <x:v>160</x:v>
      </x:c>
      <x:c r="F14" s="23" t="s">
        <x:v>180</x:v>
      </x:c>
      <x:c r="G14" s="23" t="s">
        <x:v>4869</x:v>
      </x:c>
      <x:c r="H14" s="24" t="s">
        <x:v>125</x:v>
      </x:c>
      <x:c r="I14" s="23" t="s">
        <x:v>140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4870</x:v>
      </x:c>
      <x:c r="B15" s="23" t="s">
        <x:v>183</x:v>
      </x:c>
      <x:c r="C15" s="23" t="s">
        <x:v>106</x:v>
      </x:c>
      <x:c r="D15" s="23" t="s">
        <x:v>4871</x:v>
      </x:c>
      <x:c r="E15" s="23" t="s">
        <x:v>160</x:v>
      </x:c>
      <x:c r="F15" s="23" t="s">
        <x:v>185</x:v>
      </x:c>
      <x:c r="G15" s="23" t="s">
        <x:v>4872</x:v>
      </x:c>
      <x:c r="H15" s="24" t="s">
        <x:v>125</x:v>
      </x:c>
      <x:c r="I15" s="23" t="s">
        <x:v>140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4873</x:v>
      </x:c>
      <x:c r="B16" s="23" t="s">
        <x:v>188</x:v>
      </x:c>
      <x:c r="C16" s="23" t="s">
        <x:v>106</x:v>
      </x:c>
      <x:c r="D16" s="23" t="s">
        <x:v>4874</x:v>
      </x:c>
      <x:c r="E16" s="23" t="s">
        <x:v>160</x:v>
      </x:c>
      <x:c r="F16" s="23" t="s">
        <x:v>190</x:v>
      </x:c>
      <x:c r="G16" s="23" t="s">
        <x:v>4872</x:v>
      </x:c>
      <x:c r="H16" s="24" t="s">
        <x:v>125</x:v>
      </x:c>
      <x:c r="I16" s="23" t="s">
        <x:v>140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4875</x:v>
      </x:c>
      <x:c r="B17" s="23" t="s">
        <x:v>193</x:v>
      </x:c>
      <x:c r="C17" s="23" t="s">
        <x:v>106</x:v>
      </x:c>
      <x:c r="D17" s="23" t="s">
        <x:v>4876</x:v>
      </x:c>
      <x:c r="E17" s="23" t="s">
        <x:v>160</x:v>
      </x:c>
      <x:c r="F17" s="23" t="s">
        <x:v>195</x:v>
      </x:c>
      <x:c r="G17" s="23" t="s">
        <x:v>4877</x:v>
      </x:c>
      <x:c r="H17" s="27" t="s">
        <x:v>127</x:v>
      </x:c>
      <x:c r="I17" s="23" t="s">
        <x:v>139</x:v>
      </x:c>
      <x:c r="J17" s="25" t="n">
        <x:v>46264</x:v>
      </x:c>
      <x:c r="K17" s="23" t="s">
        <x:v>1125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4878</x:v>
      </x:c>
      <x:c r="B18" s="23" t="s">
        <x:v>199</x:v>
      </x:c>
      <x:c r="C18" s="23" t="s">
        <x:v>106</x:v>
      </x:c>
      <x:c r="D18" s="23" t="s">
        <x:v>4879</x:v>
      </x:c>
      <x:c r="E18" s="23" t="s">
        <x:v>160</x:v>
      </x:c>
      <x:c r="F18" s="23" t="s">
        <x:v>201</x:v>
      </x:c>
      <x:c r="G18" s="23" t="s">
        <x:v>4880</x:v>
      </x:c>
      <x:c r="H18" s="27" t="s">
        <x:v>123</x:v>
      </x:c>
      <x:c r="I18" s="23" t="s">
        <x:v>139</x:v>
      </x:c>
      <x:c r="J18" s="25"/>
      <x:c r="K18" s="23" t="s">
        <x:v>203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4881</x:v>
      </x:c>
      <x:c r="B19" s="23" t="s">
        <x:v>205</x:v>
      </x:c>
      <x:c r="C19" s="23" t="s">
        <x:v>106</x:v>
      </x:c>
      <x:c r="D19" s="23" t="s">
        <x:v>4882</x:v>
      </x:c>
      <x:c r="E19" s="23" t="s">
        <x:v>160</x:v>
      </x:c>
      <x:c r="F19" s="23" t="s">
        <x:v>201</x:v>
      </x:c>
      <x:c r="G19" s="23" t="s">
        <x:v>4883</x:v>
      </x:c>
      <x:c r="H19" s="27" t="s">
        <x:v>123</x:v>
      </x:c>
      <x:c r="I19" s="23" t="s">
        <x:v>139</x:v>
      </x:c>
      <x:c r="J19" s="25"/>
      <x:c r="K19" s="23" t="s">
        <x:v>203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4884</x:v>
      </x:c>
      <x:c r="B20" s="23" t="s">
        <x:v>687</x:v>
      </x:c>
      <x:c r="C20" s="23" t="s">
        <x:v>106</x:v>
      </x:c>
      <x:c r="D20" s="23" t="s">
        <x:v>4885</x:v>
      </x:c>
      <x:c r="E20" s="23" t="s">
        <x:v>160</x:v>
      </x:c>
      <x:c r="F20" s="23" t="s">
        <x:v>185</x:v>
      </x:c>
      <x:c r="G20" s="23" t="s">
        <x:v>4872</x:v>
      </x:c>
      <x:c r="H20" s="24" t="s">
        <x:v>125</x:v>
      </x:c>
      <x:c r="I20" s="23" t="s">
        <x:v>140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4886</x:v>
      </x:c>
      <x:c r="B21" s="23" t="s">
        <x:v>212</x:v>
      </x:c>
      <x:c r="C21" s="23" t="s">
        <x:v>106</x:v>
      </x:c>
      <x:c r="D21" s="23" t="s">
        <x:v>4887</x:v>
      </x:c>
      <x:c r="E21" s="23" t="s">
        <x:v>160</x:v>
      </x:c>
      <x:c r="F21" s="23" t="s">
        <x:v>201</x:v>
      </x:c>
      <x:c r="G21" s="23" t="s">
        <x:v>4880</x:v>
      </x:c>
      <x:c r="H21" s="27" t="s">
        <x:v>123</x:v>
      </x:c>
      <x:c r="I21" s="23" t="s">
        <x:v>139</x:v>
      </x:c>
      <x:c r="J21" s="25"/>
      <x:c r="K21" s="23" t="s">
        <x:v>203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4888</x:v>
      </x:c>
      <x:c r="B22" s="23" t="s">
        <x:v>215</x:v>
      </x:c>
      <x:c r="C22" s="23" t="s">
        <x:v>106</x:v>
      </x:c>
      <x:c r="D22" s="23" t="s">
        <x:v>4844</x:v>
      </x:c>
      <x:c r="E22" s="23" t="s">
        <x:v>160</x:v>
      </x:c>
      <x:c r="F22" s="23" t="s">
        <x:v>217</x:v>
      </x:c>
      <x:c r="G22" s="23" t="s">
        <x:v>4889</x:v>
      </x:c>
      <x:c r="H22" s="24" t="s">
        <x:v>125</x:v>
      </x:c>
      <x:c r="I22" s="23" t="s">
        <x:v>140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4890</x:v>
      </x:c>
      <x:c r="B23" s="23" t="s">
        <x:v>220</x:v>
      </x:c>
      <x:c r="C23" s="23" t="s">
        <x:v>106</x:v>
      </x:c>
      <x:c r="D23" s="23" t="s">
        <x:v>4891</x:v>
      </x:c>
      <x:c r="E23" s="23" t="s">
        <x:v>160</x:v>
      </x:c>
      <x:c r="F23" s="23" t="s">
        <x:v>217</x:v>
      </x:c>
      <x:c r="G23" s="23" t="s">
        <x:v>4892</x:v>
      </x:c>
      <x:c r="H23" s="24" t="s">
        <x:v>125</x:v>
      </x:c>
      <x:c r="I23" s="23" t="s">
        <x:v>140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4893</x:v>
      </x:c>
      <x:c r="B24" s="23" t="s">
        <x:v>224</x:v>
      </x:c>
      <x:c r="C24" s="23" t="s">
        <x:v>106</x:v>
      </x:c>
      <x:c r="D24" s="23" t="s">
        <x:v>4894</x:v>
      </x:c>
      <x:c r="E24" s="23" t="s">
        <x:v>226</x:v>
      </x:c>
      <x:c r="F24" s="23" t="s">
        <x:v>226</x:v>
      </x:c>
      <x:c r="G24" s="23" t="s">
        <x:v>227</x:v>
      </x:c>
      <x:c r="H24" s="24" t="s">
        <x:v>125</x:v>
      </x:c>
      <x:c r="I24" s="23" t="s">
        <x:v>140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4895</x:v>
      </x:c>
      <x:c r="B25" s="23" t="s">
        <x:v>229</x:v>
      </x:c>
      <x:c r="C25" s="23" t="s">
        <x:v>106</x:v>
      </x:c>
      <x:c r="D25" s="23" t="s">
        <x:v>4852</x:v>
      </x:c>
      <x:c r="E25" s="23" t="s">
        <x:v>160</x:v>
      </x:c>
      <x:c r="F25" s="23" t="s">
        <x:v>160</x:v>
      </x:c>
      <x:c r="G25" s="23" t="s">
        <x:v>598</x:v>
      </x:c>
      <x:c r="H25" s="27" t="s">
        <x:v>127</x:v>
      </x:c>
      <x:c r="I25" s="23" t="s">
        <x:v>139</x:v>
      </x:c>
      <x:c r="J25" s="25" t="n">
        <x:v>46264</x:v>
      </x:c>
      <x:c r="K25" s="23" t="s">
        <x:v>653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4896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4897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143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144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145</x:v>
      </x:c>
      <x:c r="B8" s="21" t="s">
        <x:v>146</x:v>
      </x:c>
      <x:c r="C8" s="21" t="s">
        <x:v>147</x:v>
      </x:c>
      <x:c r="D8" s="21" t="s">
        <x:v>148</x:v>
      </x:c>
      <x:c r="E8" s="21" t="s">
        <x:v>149</x:v>
      </x:c>
      <x:c r="F8" s="21" t="s">
        <x:v>150</x:v>
      </x:c>
      <x:c r="G8" s="21" t="s">
        <x:v>151</x:v>
      </x:c>
      <x:c r="H8" s="21" t="s">
        <x:v>103</x:v>
      </x:c>
      <x:c r="I8" s="21" t="s">
        <x:v>152</x:v>
      </x:c>
      <x:c r="J8" s="21" t="s">
        <x:v>153</x:v>
      </x:c>
      <x:c r="K8" s="21" t="s">
        <x:v>154</x:v>
      </x:c>
      <x:c r="L8" s="21" t="s">
        <x:v>155</x:v>
      </x:c>
      <x:c r="M8" s="21" t="s">
        <x:v>143</x:v>
      </x:c>
    </x:row>
    <x:row r="9" s="4" customFormat="1" ht="54" hidden="0" customHeight="1">
      <x:c r="A9" s="23" t="s">
        <x:v>4898</x:v>
      </x:c>
      <x:c r="B9" s="23" t="s">
        <x:v>157</x:v>
      </x:c>
      <x:c r="C9" s="23" t="s">
        <x:v>107</x:v>
      </x:c>
      <x:c r="D9" s="23" t="s">
        <x:v>4899</x:v>
      </x:c>
      <x:c r="E9" s="23" t="s">
        <x:v>160</x:v>
      </x:c>
      <x:c r="F9" s="23" t="s">
        <x:v>161</x:v>
      </x:c>
      <x:c r="G9" s="23" t="s">
        <x:v>4900</x:v>
      </x:c>
      <x:c r="H9" s="24" t="s">
        <x:v>125</x:v>
      </x:c>
      <x:c r="I9" s="23" t="s">
        <x:v>140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4901</x:v>
      </x:c>
      <x:c r="B10" s="23" t="s">
        <x:v>117</x:v>
      </x:c>
      <x:c r="C10" s="23" t="s">
        <x:v>107</x:v>
      </x:c>
      <x:c r="D10" s="23" t="s">
        <x:v>4902</x:v>
      </x:c>
      <x:c r="E10" s="23" t="s">
        <x:v>160</x:v>
      </x:c>
      <x:c r="F10" s="23" t="s">
        <x:v>180</x:v>
      </x:c>
      <x:c r="G10" s="23" t="s">
        <x:v>4903</x:v>
      </x:c>
      <x:c r="H10" s="24" t="s">
        <x:v>125</x:v>
      </x:c>
      <x:c r="I10" s="23" t="s">
        <x:v>140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4904</x:v>
      </x:c>
      <x:c r="B11" s="23" t="s">
        <x:v>164</x:v>
      </x:c>
      <x:c r="C11" s="23" t="s">
        <x:v>107</x:v>
      </x:c>
      <x:c r="D11" s="23" t="s">
        <x:v>4905</x:v>
      </x:c>
      <x:c r="E11" s="23" t="s">
        <x:v>160</x:v>
      </x:c>
      <x:c r="F11" s="23" t="s">
        <x:v>160</x:v>
      </x:c>
      <x:c r="G11" s="23" t="s">
        <x:v>606</x:v>
      </x:c>
      <x:c r="H11" s="24" t="s">
        <x:v>125</x:v>
      </x:c>
      <x:c r="I11" s="23" t="s">
        <x:v>140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4906</x:v>
      </x:c>
      <x:c r="B12" s="23" t="s">
        <x:v>168</x:v>
      </x:c>
      <x:c r="C12" s="23" t="s">
        <x:v>107</x:v>
      </x:c>
      <x:c r="D12" s="23" t="s">
        <x:v>4817</x:v>
      </x:c>
      <x:c r="E12" s="23" t="s">
        <x:v>160</x:v>
      </x:c>
      <x:c r="F12" s="23" t="s">
        <x:v>170</x:v>
      </x:c>
      <x:c r="G12" s="23" t="s">
        <x:v>4907</x:v>
      </x:c>
      <x:c r="H12" s="24" t="s">
        <x:v>125</x:v>
      </x:c>
      <x:c r="I12" s="23" t="s">
        <x:v>140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4908</x:v>
      </x:c>
      <x:c r="B13" s="23" t="s">
        <x:v>173</x:v>
      </x:c>
      <x:c r="C13" s="23" t="s">
        <x:v>107</x:v>
      </x:c>
      <x:c r="D13" s="23" t="s">
        <x:v>4820</x:v>
      </x:c>
      <x:c r="E13" s="23" t="s">
        <x:v>160</x:v>
      </x:c>
      <x:c r="F13" s="23" t="s">
        <x:v>175</x:v>
      </x:c>
      <x:c r="G13" s="23" t="s">
        <x:v>4909</x:v>
      </x:c>
      <x:c r="H13" s="24" t="s">
        <x:v>125</x:v>
      </x:c>
      <x:c r="I13" s="23" t="s">
        <x:v>140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4910</x:v>
      </x:c>
      <x:c r="B14" s="23" t="s">
        <x:v>178</x:v>
      </x:c>
      <x:c r="C14" s="23" t="s">
        <x:v>107</x:v>
      </x:c>
      <x:c r="D14" s="23" t="s">
        <x:v>4911</x:v>
      </x:c>
      <x:c r="E14" s="23" t="s">
        <x:v>160</x:v>
      </x:c>
      <x:c r="F14" s="23" t="s">
        <x:v>180</x:v>
      </x:c>
      <x:c r="G14" s="23" t="s">
        <x:v>4912</x:v>
      </x:c>
      <x:c r="H14" s="24" t="s">
        <x:v>125</x:v>
      </x:c>
      <x:c r="I14" s="23" t="s">
        <x:v>140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4913</x:v>
      </x:c>
      <x:c r="B15" s="23" t="s">
        <x:v>183</x:v>
      </x:c>
      <x:c r="C15" s="23" t="s">
        <x:v>107</x:v>
      </x:c>
      <x:c r="D15" s="23" t="s">
        <x:v>4914</x:v>
      </x:c>
      <x:c r="E15" s="23" t="s">
        <x:v>160</x:v>
      </x:c>
      <x:c r="F15" s="23" t="s">
        <x:v>185</x:v>
      </x:c>
      <x:c r="G15" s="23" t="s">
        <x:v>4915</x:v>
      </x:c>
      <x:c r="H15" s="24" t="s">
        <x:v>125</x:v>
      </x:c>
      <x:c r="I15" s="23" t="s">
        <x:v>140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4916</x:v>
      </x:c>
      <x:c r="B16" s="23" t="s">
        <x:v>188</x:v>
      </x:c>
      <x:c r="C16" s="23" t="s">
        <x:v>107</x:v>
      </x:c>
      <x:c r="D16" s="23" t="s">
        <x:v>4917</x:v>
      </x:c>
      <x:c r="E16" s="23" t="s">
        <x:v>160</x:v>
      </x:c>
      <x:c r="F16" s="23" t="s">
        <x:v>190</x:v>
      </x:c>
      <x:c r="G16" s="23" t="s">
        <x:v>4915</x:v>
      </x:c>
      <x:c r="H16" s="24" t="s">
        <x:v>125</x:v>
      </x:c>
      <x:c r="I16" s="23" t="s">
        <x:v>140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4918</x:v>
      </x:c>
      <x:c r="B17" s="23" t="s">
        <x:v>193</x:v>
      </x:c>
      <x:c r="C17" s="23" t="s">
        <x:v>107</x:v>
      </x:c>
      <x:c r="D17" s="23" t="s">
        <x:v>4919</x:v>
      </x:c>
      <x:c r="E17" s="23" t="s">
        <x:v>160</x:v>
      </x:c>
      <x:c r="F17" s="23" t="s">
        <x:v>195</x:v>
      </x:c>
      <x:c r="G17" s="23" t="s">
        <x:v>4920</x:v>
      </x:c>
      <x:c r="H17" s="27" t="s">
        <x:v>127</x:v>
      </x:c>
      <x:c r="I17" s="23" t="s">
        <x:v>139</x:v>
      </x:c>
      <x:c r="J17" s="25" t="n">
        <x:v>46264</x:v>
      </x:c>
      <x:c r="K17" s="23" t="s">
        <x:v>1125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4921</x:v>
      </x:c>
      <x:c r="B18" s="23" t="s">
        <x:v>199</x:v>
      </x:c>
      <x:c r="C18" s="23" t="s">
        <x:v>107</x:v>
      </x:c>
      <x:c r="D18" s="23" t="s">
        <x:v>4922</x:v>
      </x:c>
      <x:c r="E18" s="23" t="s">
        <x:v>160</x:v>
      </x:c>
      <x:c r="F18" s="23" t="s">
        <x:v>201</x:v>
      </x:c>
      <x:c r="G18" s="23" t="s">
        <x:v>4923</x:v>
      </x:c>
      <x:c r="H18" s="27" t="s">
        <x:v>123</x:v>
      </x:c>
      <x:c r="I18" s="23" t="s">
        <x:v>139</x:v>
      </x:c>
      <x:c r="J18" s="25"/>
      <x:c r="K18" s="23" t="s">
        <x:v>203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4924</x:v>
      </x:c>
      <x:c r="B19" s="23" t="s">
        <x:v>205</x:v>
      </x:c>
      <x:c r="C19" s="23" t="s">
        <x:v>107</x:v>
      </x:c>
      <x:c r="D19" s="23" t="s">
        <x:v>4925</x:v>
      </x:c>
      <x:c r="E19" s="23" t="s">
        <x:v>160</x:v>
      </x:c>
      <x:c r="F19" s="23" t="s">
        <x:v>201</x:v>
      </x:c>
      <x:c r="G19" s="23" t="s">
        <x:v>4926</x:v>
      </x:c>
      <x:c r="H19" s="27" t="s">
        <x:v>123</x:v>
      </x:c>
      <x:c r="I19" s="23" t="s">
        <x:v>139</x:v>
      </x:c>
      <x:c r="J19" s="25"/>
      <x:c r="K19" s="23" t="s">
        <x:v>203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4927</x:v>
      </x:c>
      <x:c r="B20" s="23" t="s">
        <x:v>687</x:v>
      </x:c>
      <x:c r="C20" s="23" t="s">
        <x:v>107</x:v>
      </x:c>
      <x:c r="D20" s="23" t="s">
        <x:v>4928</x:v>
      </x:c>
      <x:c r="E20" s="23" t="s">
        <x:v>160</x:v>
      </x:c>
      <x:c r="F20" s="23" t="s">
        <x:v>185</x:v>
      </x:c>
      <x:c r="G20" s="23" t="s">
        <x:v>4915</x:v>
      </x:c>
      <x:c r="H20" s="24" t="s">
        <x:v>125</x:v>
      </x:c>
      <x:c r="I20" s="23" t="s">
        <x:v>140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4929</x:v>
      </x:c>
      <x:c r="B21" s="23" t="s">
        <x:v>212</x:v>
      </x:c>
      <x:c r="C21" s="23" t="s">
        <x:v>107</x:v>
      </x:c>
      <x:c r="D21" s="23" t="s">
        <x:v>4930</x:v>
      </x:c>
      <x:c r="E21" s="23" t="s">
        <x:v>160</x:v>
      </x:c>
      <x:c r="F21" s="23" t="s">
        <x:v>201</x:v>
      </x:c>
      <x:c r="G21" s="23" t="s">
        <x:v>4923</x:v>
      </x:c>
      <x:c r="H21" s="27" t="s">
        <x:v>123</x:v>
      </x:c>
      <x:c r="I21" s="23" t="s">
        <x:v>139</x:v>
      </x:c>
      <x:c r="J21" s="25"/>
      <x:c r="K21" s="23" t="s">
        <x:v>203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4931</x:v>
      </x:c>
      <x:c r="B22" s="23" t="s">
        <x:v>215</x:v>
      </x:c>
      <x:c r="C22" s="23" t="s">
        <x:v>107</x:v>
      </x:c>
      <x:c r="D22" s="23" t="s">
        <x:v>4844</x:v>
      </x:c>
      <x:c r="E22" s="23" t="s">
        <x:v>160</x:v>
      </x:c>
      <x:c r="F22" s="23" t="s">
        <x:v>217</x:v>
      </x:c>
      <x:c r="G22" s="23" t="s">
        <x:v>4932</x:v>
      </x:c>
      <x:c r="H22" s="24" t="s">
        <x:v>125</x:v>
      </x:c>
      <x:c r="I22" s="23" t="s">
        <x:v>140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4933</x:v>
      </x:c>
      <x:c r="B23" s="23" t="s">
        <x:v>220</x:v>
      </x:c>
      <x:c r="C23" s="23" t="s">
        <x:v>107</x:v>
      </x:c>
      <x:c r="D23" s="23" t="s">
        <x:v>4934</x:v>
      </x:c>
      <x:c r="E23" s="23" t="s">
        <x:v>160</x:v>
      </x:c>
      <x:c r="F23" s="23" t="s">
        <x:v>217</x:v>
      </x:c>
      <x:c r="G23" s="23" t="s">
        <x:v>4935</x:v>
      </x:c>
      <x:c r="H23" s="24" t="s">
        <x:v>125</x:v>
      </x:c>
      <x:c r="I23" s="23" t="s">
        <x:v>140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4936</x:v>
      </x:c>
      <x:c r="B24" s="23" t="s">
        <x:v>224</x:v>
      </x:c>
      <x:c r="C24" s="23" t="s">
        <x:v>107</x:v>
      </x:c>
      <x:c r="D24" s="23" t="s">
        <x:v>4937</x:v>
      </x:c>
      <x:c r="E24" s="23" t="s">
        <x:v>226</x:v>
      </x:c>
      <x:c r="F24" s="23" t="s">
        <x:v>226</x:v>
      </x:c>
      <x:c r="G24" s="23" t="s">
        <x:v>227</x:v>
      </x:c>
      <x:c r="H24" s="24" t="s">
        <x:v>125</x:v>
      </x:c>
      <x:c r="I24" s="23" t="s">
        <x:v>140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4938</x:v>
      </x:c>
      <x:c r="B25" s="23" t="s">
        <x:v>229</x:v>
      </x:c>
      <x:c r="C25" s="23" t="s">
        <x:v>107</x:v>
      </x:c>
      <x:c r="D25" s="23" t="s">
        <x:v>4852</x:v>
      </x:c>
      <x:c r="E25" s="23" t="s">
        <x:v>160</x:v>
      </x:c>
      <x:c r="F25" s="23" t="s">
        <x:v>160</x:v>
      </x:c>
      <x:c r="G25" s="23" t="s">
        <x:v>598</x:v>
      </x:c>
      <x:c r="H25" s="27" t="s">
        <x:v>127</x:v>
      </x:c>
      <x:c r="I25" s="23" t="s">
        <x:v>139</x:v>
      </x:c>
      <x:c r="J25" s="25" t="n">
        <x:v>46264</x:v>
      </x:c>
      <x:c r="K25" s="23" t="s">
        <x:v>653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4939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4940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143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144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145</x:v>
      </x:c>
      <x:c r="B8" s="21" t="s">
        <x:v>146</x:v>
      </x:c>
      <x:c r="C8" s="21" t="s">
        <x:v>147</x:v>
      </x:c>
      <x:c r="D8" s="21" t="s">
        <x:v>148</x:v>
      </x:c>
      <x:c r="E8" s="21" t="s">
        <x:v>149</x:v>
      </x:c>
      <x:c r="F8" s="21" t="s">
        <x:v>150</x:v>
      </x:c>
      <x:c r="G8" s="21" t="s">
        <x:v>151</x:v>
      </x:c>
      <x:c r="H8" s="21" t="s">
        <x:v>103</x:v>
      </x:c>
      <x:c r="I8" s="21" t="s">
        <x:v>152</x:v>
      </x:c>
      <x:c r="J8" s="21" t="s">
        <x:v>153</x:v>
      </x:c>
      <x:c r="K8" s="21" t="s">
        <x:v>154</x:v>
      </x:c>
      <x:c r="L8" s="21" t="s">
        <x:v>155</x:v>
      </x:c>
      <x:c r="M8" s="21" t="s">
        <x:v>143</x:v>
      </x:c>
    </x:row>
    <x:row r="9" s="4" customFormat="1" ht="54" hidden="0" customHeight="1">
      <x:c r="A9" s="23" t="s">
        <x:v>4941</x:v>
      </x:c>
      <x:c r="B9" s="23" t="s">
        <x:v>157</x:v>
      </x:c>
      <x:c r="C9" s="23" t="s">
        <x:v>108</x:v>
      </x:c>
      <x:c r="D9" s="23" t="s">
        <x:v>4942</x:v>
      </x:c>
      <x:c r="E9" s="23" t="s">
        <x:v>160</x:v>
      </x:c>
      <x:c r="F9" s="23" t="s">
        <x:v>161</x:v>
      </x:c>
      <x:c r="G9" s="23" t="s">
        <x:v>4943</x:v>
      </x:c>
      <x:c r="H9" s="24" t="s">
        <x:v>125</x:v>
      </x:c>
      <x:c r="I9" s="23" t="s">
        <x:v>140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4944</x:v>
      </x:c>
      <x:c r="B10" s="23" t="s">
        <x:v>117</x:v>
      </x:c>
      <x:c r="C10" s="23" t="s">
        <x:v>108</x:v>
      </x:c>
      <x:c r="D10" s="23" t="s">
        <x:v>4945</x:v>
      </x:c>
      <x:c r="E10" s="23" t="s">
        <x:v>160</x:v>
      </x:c>
      <x:c r="F10" s="23" t="s">
        <x:v>180</x:v>
      </x:c>
      <x:c r="G10" s="23" t="s">
        <x:v>4946</x:v>
      </x:c>
      <x:c r="H10" s="24" t="s">
        <x:v>125</x:v>
      </x:c>
      <x:c r="I10" s="23" t="s">
        <x:v>140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4947</x:v>
      </x:c>
      <x:c r="B11" s="23" t="s">
        <x:v>164</x:v>
      </x:c>
      <x:c r="C11" s="23" t="s">
        <x:v>108</x:v>
      </x:c>
      <x:c r="D11" s="23" t="s">
        <x:v>4948</x:v>
      </x:c>
      <x:c r="E11" s="23" t="s">
        <x:v>160</x:v>
      </x:c>
      <x:c r="F11" s="23" t="s">
        <x:v>160</x:v>
      </x:c>
      <x:c r="G11" s="23" t="s">
        <x:v>606</x:v>
      </x:c>
      <x:c r="H11" s="24" t="s">
        <x:v>125</x:v>
      </x:c>
      <x:c r="I11" s="23" t="s">
        <x:v>140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4949</x:v>
      </x:c>
      <x:c r="B12" s="23" t="s">
        <x:v>168</x:v>
      </x:c>
      <x:c r="C12" s="23" t="s">
        <x:v>108</x:v>
      </x:c>
      <x:c r="D12" s="23" t="s">
        <x:v>4817</x:v>
      </x:c>
      <x:c r="E12" s="23" t="s">
        <x:v>160</x:v>
      </x:c>
      <x:c r="F12" s="23" t="s">
        <x:v>170</x:v>
      </x:c>
      <x:c r="G12" s="23" t="s">
        <x:v>4950</x:v>
      </x:c>
      <x:c r="H12" s="24" t="s">
        <x:v>125</x:v>
      </x:c>
      <x:c r="I12" s="23" t="s">
        <x:v>140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4951</x:v>
      </x:c>
      <x:c r="B13" s="23" t="s">
        <x:v>173</x:v>
      </x:c>
      <x:c r="C13" s="23" t="s">
        <x:v>108</x:v>
      </x:c>
      <x:c r="D13" s="23" t="s">
        <x:v>4820</x:v>
      </x:c>
      <x:c r="E13" s="23" t="s">
        <x:v>160</x:v>
      </x:c>
      <x:c r="F13" s="23" t="s">
        <x:v>175</x:v>
      </x:c>
      <x:c r="G13" s="23" t="s">
        <x:v>4952</x:v>
      </x:c>
      <x:c r="H13" s="24" t="s">
        <x:v>125</x:v>
      </x:c>
      <x:c r="I13" s="23" t="s">
        <x:v>140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4953</x:v>
      </x:c>
      <x:c r="B14" s="23" t="s">
        <x:v>178</x:v>
      </x:c>
      <x:c r="C14" s="23" t="s">
        <x:v>108</x:v>
      </x:c>
      <x:c r="D14" s="23" t="s">
        <x:v>4954</x:v>
      </x:c>
      <x:c r="E14" s="23" t="s">
        <x:v>160</x:v>
      </x:c>
      <x:c r="F14" s="23" t="s">
        <x:v>180</x:v>
      </x:c>
      <x:c r="G14" s="23" t="s">
        <x:v>4955</x:v>
      </x:c>
      <x:c r="H14" s="24" t="s">
        <x:v>125</x:v>
      </x:c>
      <x:c r="I14" s="23" t="s">
        <x:v>140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4956</x:v>
      </x:c>
      <x:c r="B15" s="23" t="s">
        <x:v>183</x:v>
      </x:c>
      <x:c r="C15" s="23" t="s">
        <x:v>108</x:v>
      </x:c>
      <x:c r="D15" s="23" t="s">
        <x:v>4957</x:v>
      </x:c>
      <x:c r="E15" s="23" t="s">
        <x:v>160</x:v>
      </x:c>
      <x:c r="F15" s="23" t="s">
        <x:v>185</x:v>
      </x:c>
      <x:c r="G15" s="23" t="s">
        <x:v>4958</x:v>
      </x:c>
      <x:c r="H15" s="24" t="s">
        <x:v>125</x:v>
      </x:c>
      <x:c r="I15" s="23" t="s">
        <x:v>140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4959</x:v>
      </x:c>
      <x:c r="B16" s="23" t="s">
        <x:v>188</x:v>
      </x:c>
      <x:c r="C16" s="23" t="s">
        <x:v>108</x:v>
      </x:c>
      <x:c r="D16" s="23" t="s">
        <x:v>4960</x:v>
      </x:c>
      <x:c r="E16" s="23" t="s">
        <x:v>160</x:v>
      </x:c>
      <x:c r="F16" s="23" t="s">
        <x:v>190</x:v>
      </x:c>
      <x:c r="G16" s="23" t="s">
        <x:v>4958</x:v>
      </x:c>
      <x:c r="H16" s="24" t="s">
        <x:v>125</x:v>
      </x:c>
      <x:c r="I16" s="23" t="s">
        <x:v>140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4961</x:v>
      </x:c>
      <x:c r="B17" s="23" t="s">
        <x:v>193</x:v>
      </x:c>
      <x:c r="C17" s="23" t="s">
        <x:v>108</x:v>
      </x:c>
      <x:c r="D17" s="23" t="s">
        <x:v>4962</x:v>
      </x:c>
      <x:c r="E17" s="23" t="s">
        <x:v>160</x:v>
      </x:c>
      <x:c r="F17" s="23" t="s">
        <x:v>195</x:v>
      </x:c>
      <x:c r="G17" s="23" t="s">
        <x:v>4963</x:v>
      </x:c>
      <x:c r="H17" s="27" t="s">
        <x:v>127</x:v>
      </x:c>
      <x:c r="I17" s="23" t="s">
        <x:v>139</x:v>
      </x:c>
      <x:c r="J17" s="25" t="n">
        <x:v>46264</x:v>
      </x:c>
      <x:c r="K17" s="23" t="s">
        <x:v>1125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4964</x:v>
      </x:c>
      <x:c r="B18" s="23" t="s">
        <x:v>199</x:v>
      </x:c>
      <x:c r="C18" s="23" t="s">
        <x:v>108</x:v>
      </x:c>
      <x:c r="D18" s="23" t="s">
        <x:v>4965</x:v>
      </x:c>
      <x:c r="E18" s="23" t="s">
        <x:v>160</x:v>
      </x:c>
      <x:c r="F18" s="23" t="s">
        <x:v>201</x:v>
      </x:c>
      <x:c r="G18" s="23" t="s">
        <x:v>4966</x:v>
      </x:c>
      <x:c r="H18" s="27" t="s">
        <x:v>123</x:v>
      </x:c>
      <x:c r="I18" s="23" t="s">
        <x:v>139</x:v>
      </x:c>
      <x:c r="J18" s="25"/>
      <x:c r="K18" s="23" t="s">
        <x:v>203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4967</x:v>
      </x:c>
      <x:c r="B19" s="23" t="s">
        <x:v>205</x:v>
      </x:c>
      <x:c r="C19" s="23" t="s">
        <x:v>108</x:v>
      </x:c>
      <x:c r="D19" s="23" t="s">
        <x:v>4968</x:v>
      </x:c>
      <x:c r="E19" s="23" t="s">
        <x:v>160</x:v>
      </x:c>
      <x:c r="F19" s="23" t="s">
        <x:v>201</x:v>
      </x:c>
      <x:c r="G19" s="23" t="s">
        <x:v>4969</x:v>
      </x:c>
      <x:c r="H19" s="27" t="s">
        <x:v>123</x:v>
      </x:c>
      <x:c r="I19" s="23" t="s">
        <x:v>139</x:v>
      </x:c>
      <x:c r="J19" s="25"/>
      <x:c r="K19" s="23" t="s">
        <x:v>203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4970</x:v>
      </x:c>
      <x:c r="B20" s="23" t="s">
        <x:v>687</x:v>
      </x:c>
      <x:c r="C20" s="23" t="s">
        <x:v>108</x:v>
      </x:c>
      <x:c r="D20" s="23" t="s">
        <x:v>4971</x:v>
      </x:c>
      <x:c r="E20" s="23" t="s">
        <x:v>160</x:v>
      </x:c>
      <x:c r="F20" s="23" t="s">
        <x:v>185</x:v>
      </x:c>
      <x:c r="G20" s="23" t="s">
        <x:v>4958</x:v>
      </x:c>
      <x:c r="H20" s="24" t="s">
        <x:v>125</x:v>
      </x:c>
      <x:c r="I20" s="23" t="s">
        <x:v>140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4972</x:v>
      </x:c>
      <x:c r="B21" s="23" t="s">
        <x:v>212</x:v>
      </x:c>
      <x:c r="C21" s="23" t="s">
        <x:v>108</x:v>
      </x:c>
      <x:c r="D21" s="23" t="s">
        <x:v>4973</x:v>
      </x:c>
      <x:c r="E21" s="23" t="s">
        <x:v>160</x:v>
      </x:c>
      <x:c r="F21" s="23" t="s">
        <x:v>201</x:v>
      </x:c>
      <x:c r="G21" s="23" t="s">
        <x:v>4966</x:v>
      </x:c>
      <x:c r="H21" s="27" t="s">
        <x:v>123</x:v>
      </x:c>
      <x:c r="I21" s="23" t="s">
        <x:v>139</x:v>
      </x:c>
      <x:c r="J21" s="25"/>
      <x:c r="K21" s="23" t="s">
        <x:v>203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4974</x:v>
      </x:c>
      <x:c r="B22" s="23" t="s">
        <x:v>215</x:v>
      </x:c>
      <x:c r="C22" s="23" t="s">
        <x:v>108</x:v>
      </x:c>
      <x:c r="D22" s="23" t="s">
        <x:v>4844</x:v>
      </x:c>
      <x:c r="E22" s="23" t="s">
        <x:v>160</x:v>
      </x:c>
      <x:c r="F22" s="23" t="s">
        <x:v>217</x:v>
      </x:c>
      <x:c r="G22" s="23" t="s">
        <x:v>4975</x:v>
      </x:c>
      <x:c r="H22" s="24" t="s">
        <x:v>125</x:v>
      </x:c>
      <x:c r="I22" s="23" t="s">
        <x:v>140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4976</x:v>
      </x:c>
      <x:c r="B23" s="23" t="s">
        <x:v>220</x:v>
      </x:c>
      <x:c r="C23" s="23" t="s">
        <x:v>108</x:v>
      </x:c>
      <x:c r="D23" s="23" t="s">
        <x:v>4977</x:v>
      </x:c>
      <x:c r="E23" s="23" t="s">
        <x:v>160</x:v>
      </x:c>
      <x:c r="F23" s="23" t="s">
        <x:v>217</x:v>
      </x:c>
      <x:c r="G23" s="23" t="s">
        <x:v>4978</x:v>
      </x:c>
      <x:c r="H23" s="24" t="s">
        <x:v>125</x:v>
      </x:c>
      <x:c r="I23" s="23" t="s">
        <x:v>140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4979</x:v>
      </x:c>
      <x:c r="B24" s="23" t="s">
        <x:v>224</x:v>
      </x:c>
      <x:c r="C24" s="23" t="s">
        <x:v>108</x:v>
      </x:c>
      <x:c r="D24" s="23" t="s">
        <x:v>4980</x:v>
      </x:c>
      <x:c r="E24" s="23" t="s">
        <x:v>226</x:v>
      </x:c>
      <x:c r="F24" s="23" t="s">
        <x:v>226</x:v>
      </x:c>
      <x:c r="G24" s="23" t="s">
        <x:v>227</x:v>
      </x:c>
      <x:c r="H24" s="24" t="s">
        <x:v>125</x:v>
      </x:c>
      <x:c r="I24" s="23" t="s">
        <x:v>140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4981</x:v>
      </x:c>
      <x:c r="B25" s="23" t="s">
        <x:v>229</x:v>
      </x:c>
      <x:c r="C25" s="23" t="s">
        <x:v>108</x:v>
      </x:c>
      <x:c r="D25" s="23" t="s">
        <x:v>4852</x:v>
      </x:c>
      <x:c r="E25" s="23" t="s">
        <x:v>160</x:v>
      </x:c>
      <x:c r="F25" s="23" t="s">
        <x:v>160</x:v>
      </x:c>
      <x:c r="G25" s="23" t="s">
        <x:v>598</x:v>
      </x:c>
      <x:c r="H25" s="27" t="s">
        <x:v>127</x:v>
      </x:c>
      <x:c r="I25" s="23" t="s">
        <x:v>139</x:v>
      </x:c>
      <x:c r="J25" s="25" t="n">
        <x:v>46264</x:v>
      </x:c>
      <x:c r="K25" s="23" t="s">
        <x:v>653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4982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4983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143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144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145</x:v>
      </x:c>
      <x:c r="B8" s="21" t="s">
        <x:v>146</x:v>
      </x:c>
      <x:c r="C8" s="21" t="s">
        <x:v>147</x:v>
      </x:c>
      <x:c r="D8" s="21" t="s">
        <x:v>148</x:v>
      </x:c>
      <x:c r="E8" s="21" t="s">
        <x:v>149</x:v>
      </x:c>
      <x:c r="F8" s="21" t="s">
        <x:v>150</x:v>
      </x:c>
      <x:c r="G8" s="21" t="s">
        <x:v>151</x:v>
      </x:c>
      <x:c r="H8" s="21" t="s">
        <x:v>103</x:v>
      </x:c>
      <x:c r="I8" s="21" t="s">
        <x:v>152</x:v>
      </x:c>
      <x:c r="J8" s="21" t="s">
        <x:v>153</x:v>
      </x:c>
      <x:c r="K8" s="21" t="s">
        <x:v>154</x:v>
      </x:c>
      <x:c r="L8" s="21" t="s">
        <x:v>155</x:v>
      </x:c>
      <x:c r="M8" s="21" t="s">
        <x:v>143</x:v>
      </x:c>
    </x:row>
    <x:row r="9" s="4" customFormat="1" ht="54" hidden="0" customHeight="1">
      <x:c r="A9" s="23" t="s">
        <x:v>4984</x:v>
      </x:c>
      <x:c r="B9" s="23" t="s">
        <x:v>157</x:v>
      </x:c>
      <x:c r="C9" s="23" t="s">
        <x:v>109</x:v>
      </x:c>
      <x:c r="D9" s="23" t="s">
        <x:v>4985</x:v>
      </x:c>
      <x:c r="E9" s="23" t="s">
        <x:v>160</x:v>
      </x:c>
      <x:c r="F9" s="23" t="s">
        <x:v>161</x:v>
      </x:c>
      <x:c r="G9" s="23" t="s">
        <x:v>4986</x:v>
      </x:c>
      <x:c r="H9" s="24" t="s">
        <x:v>125</x:v>
      </x:c>
      <x:c r="I9" s="23" t="s">
        <x:v>140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4987</x:v>
      </x:c>
      <x:c r="B10" s="23" t="s">
        <x:v>117</x:v>
      </x:c>
      <x:c r="C10" s="23" t="s">
        <x:v>109</x:v>
      </x:c>
      <x:c r="D10" s="23" t="s">
        <x:v>4988</x:v>
      </x:c>
      <x:c r="E10" s="23" t="s">
        <x:v>160</x:v>
      </x:c>
      <x:c r="F10" s="23" t="s">
        <x:v>180</x:v>
      </x:c>
      <x:c r="G10" s="23" t="s">
        <x:v>4989</x:v>
      </x:c>
      <x:c r="H10" s="24" t="s">
        <x:v>125</x:v>
      </x:c>
      <x:c r="I10" s="23" t="s">
        <x:v>140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4990</x:v>
      </x:c>
      <x:c r="B11" s="23" t="s">
        <x:v>164</x:v>
      </x:c>
      <x:c r="C11" s="23" t="s">
        <x:v>109</x:v>
      </x:c>
      <x:c r="D11" s="23" t="s">
        <x:v>4991</x:v>
      </x:c>
      <x:c r="E11" s="23" t="s">
        <x:v>160</x:v>
      </x:c>
      <x:c r="F11" s="23" t="s">
        <x:v>160</x:v>
      </x:c>
      <x:c r="G11" s="23" t="s">
        <x:v>606</x:v>
      </x:c>
      <x:c r="H11" s="24" t="s">
        <x:v>125</x:v>
      </x:c>
      <x:c r="I11" s="23" t="s">
        <x:v>140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4992</x:v>
      </x:c>
      <x:c r="B12" s="23" t="s">
        <x:v>168</x:v>
      </x:c>
      <x:c r="C12" s="23" t="s">
        <x:v>109</x:v>
      </x:c>
      <x:c r="D12" s="23" t="s">
        <x:v>4817</x:v>
      </x:c>
      <x:c r="E12" s="23" t="s">
        <x:v>160</x:v>
      </x:c>
      <x:c r="F12" s="23" t="s">
        <x:v>170</x:v>
      </x:c>
      <x:c r="G12" s="23" t="s">
        <x:v>4993</x:v>
      </x:c>
      <x:c r="H12" s="24" t="s">
        <x:v>125</x:v>
      </x:c>
      <x:c r="I12" s="23" t="s">
        <x:v>140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4994</x:v>
      </x:c>
      <x:c r="B13" s="23" t="s">
        <x:v>173</x:v>
      </x:c>
      <x:c r="C13" s="23" t="s">
        <x:v>109</x:v>
      </x:c>
      <x:c r="D13" s="23" t="s">
        <x:v>4820</x:v>
      </x:c>
      <x:c r="E13" s="23" t="s">
        <x:v>160</x:v>
      </x:c>
      <x:c r="F13" s="23" t="s">
        <x:v>175</x:v>
      </x:c>
      <x:c r="G13" s="23" t="s">
        <x:v>4995</x:v>
      </x:c>
      <x:c r="H13" s="24" t="s">
        <x:v>125</x:v>
      </x:c>
      <x:c r="I13" s="23" t="s">
        <x:v>140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4996</x:v>
      </x:c>
      <x:c r="B14" s="23" t="s">
        <x:v>178</x:v>
      </x:c>
      <x:c r="C14" s="23" t="s">
        <x:v>109</x:v>
      </x:c>
      <x:c r="D14" s="23" t="s">
        <x:v>4997</x:v>
      </x:c>
      <x:c r="E14" s="23" t="s">
        <x:v>160</x:v>
      </x:c>
      <x:c r="F14" s="23" t="s">
        <x:v>180</x:v>
      </x:c>
      <x:c r="G14" s="23" t="s">
        <x:v>4998</x:v>
      </x:c>
      <x:c r="H14" s="24" t="s">
        <x:v>125</x:v>
      </x:c>
      <x:c r="I14" s="23" t="s">
        <x:v>140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4999</x:v>
      </x:c>
      <x:c r="B15" s="23" t="s">
        <x:v>183</x:v>
      </x:c>
      <x:c r="C15" s="23" t="s">
        <x:v>109</x:v>
      </x:c>
      <x:c r="D15" s="23" t="s">
        <x:v>5000</x:v>
      </x:c>
      <x:c r="E15" s="23" t="s">
        <x:v>160</x:v>
      </x:c>
      <x:c r="F15" s="23" t="s">
        <x:v>185</x:v>
      </x:c>
      <x:c r="G15" s="23" t="s">
        <x:v>5001</x:v>
      </x:c>
      <x:c r="H15" s="24" t="s">
        <x:v>125</x:v>
      </x:c>
      <x:c r="I15" s="23" t="s">
        <x:v>140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5002</x:v>
      </x:c>
      <x:c r="B16" s="23" t="s">
        <x:v>188</x:v>
      </x:c>
      <x:c r="C16" s="23" t="s">
        <x:v>109</x:v>
      </x:c>
      <x:c r="D16" s="23" t="s">
        <x:v>5003</x:v>
      </x:c>
      <x:c r="E16" s="23" t="s">
        <x:v>160</x:v>
      </x:c>
      <x:c r="F16" s="23" t="s">
        <x:v>190</x:v>
      </x:c>
      <x:c r="G16" s="23" t="s">
        <x:v>5001</x:v>
      </x:c>
      <x:c r="H16" s="24" t="s">
        <x:v>125</x:v>
      </x:c>
      <x:c r="I16" s="23" t="s">
        <x:v>140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5004</x:v>
      </x:c>
      <x:c r="B17" s="23" t="s">
        <x:v>193</x:v>
      </x:c>
      <x:c r="C17" s="23" t="s">
        <x:v>109</x:v>
      </x:c>
      <x:c r="D17" s="23" t="s">
        <x:v>5005</x:v>
      </x:c>
      <x:c r="E17" s="23" t="s">
        <x:v>160</x:v>
      </x:c>
      <x:c r="F17" s="23" t="s">
        <x:v>195</x:v>
      </x:c>
      <x:c r="G17" s="23" t="s">
        <x:v>5006</x:v>
      </x:c>
      <x:c r="H17" s="27" t="s">
        <x:v>127</x:v>
      </x:c>
      <x:c r="I17" s="23" t="s">
        <x:v>139</x:v>
      </x:c>
      <x:c r="J17" s="25" t="n">
        <x:v>46264</x:v>
      </x:c>
      <x:c r="K17" s="23" t="s">
        <x:v>1125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5007</x:v>
      </x:c>
      <x:c r="B18" s="23" t="s">
        <x:v>199</x:v>
      </x:c>
      <x:c r="C18" s="23" t="s">
        <x:v>109</x:v>
      </x:c>
      <x:c r="D18" s="23" t="s">
        <x:v>5008</x:v>
      </x:c>
      <x:c r="E18" s="23" t="s">
        <x:v>160</x:v>
      </x:c>
      <x:c r="F18" s="23" t="s">
        <x:v>201</x:v>
      </x:c>
      <x:c r="G18" s="23" t="s">
        <x:v>5009</x:v>
      </x:c>
      <x:c r="H18" s="27" t="s">
        <x:v>123</x:v>
      </x:c>
      <x:c r="I18" s="23" t="s">
        <x:v>139</x:v>
      </x:c>
      <x:c r="J18" s="25"/>
      <x:c r="K18" s="23" t="s">
        <x:v>203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5010</x:v>
      </x:c>
      <x:c r="B19" s="23" t="s">
        <x:v>205</x:v>
      </x:c>
      <x:c r="C19" s="23" t="s">
        <x:v>109</x:v>
      </x:c>
      <x:c r="D19" s="23" t="s">
        <x:v>5011</x:v>
      </x:c>
      <x:c r="E19" s="23" t="s">
        <x:v>160</x:v>
      </x:c>
      <x:c r="F19" s="23" t="s">
        <x:v>201</x:v>
      </x:c>
      <x:c r="G19" s="23" t="s">
        <x:v>5012</x:v>
      </x:c>
      <x:c r="H19" s="27" t="s">
        <x:v>123</x:v>
      </x:c>
      <x:c r="I19" s="23" t="s">
        <x:v>139</x:v>
      </x:c>
      <x:c r="J19" s="25"/>
      <x:c r="K19" s="23" t="s">
        <x:v>203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5013</x:v>
      </x:c>
      <x:c r="B20" s="23" t="s">
        <x:v>687</x:v>
      </x:c>
      <x:c r="C20" s="23" t="s">
        <x:v>109</x:v>
      </x:c>
      <x:c r="D20" s="23" t="s">
        <x:v>5014</x:v>
      </x:c>
      <x:c r="E20" s="23" t="s">
        <x:v>160</x:v>
      </x:c>
      <x:c r="F20" s="23" t="s">
        <x:v>185</x:v>
      </x:c>
      <x:c r="G20" s="23" t="s">
        <x:v>5001</x:v>
      </x:c>
      <x:c r="H20" s="24" t="s">
        <x:v>125</x:v>
      </x:c>
      <x:c r="I20" s="23" t="s">
        <x:v>140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5015</x:v>
      </x:c>
      <x:c r="B21" s="23" t="s">
        <x:v>212</x:v>
      </x:c>
      <x:c r="C21" s="23" t="s">
        <x:v>109</x:v>
      </x:c>
      <x:c r="D21" s="23" t="s">
        <x:v>5016</x:v>
      </x:c>
      <x:c r="E21" s="23" t="s">
        <x:v>160</x:v>
      </x:c>
      <x:c r="F21" s="23" t="s">
        <x:v>201</x:v>
      </x:c>
      <x:c r="G21" s="23" t="s">
        <x:v>5009</x:v>
      </x:c>
      <x:c r="H21" s="27" t="s">
        <x:v>123</x:v>
      </x:c>
      <x:c r="I21" s="23" t="s">
        <x:v>139</x:v>
      </x:c>
      <x:c r="J21" s="25"/>
      <x:c r="K21" s="23" t="s">
        <x:v>203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5017</x:v>
      </x:c>
      <x:c r="B22" s="23" t="s">
        <x:v>215</x:v>
      </x:c>
      <x:c r="C22" s="23" t="s">
        <x:v>109</x:v>
      </x:c>
      <x:c r="D22" s="23" t="s">
        <x:v>4844</x:v>
      </x:c>
      <x:c r="E22" s="23" t="s">
        <x:v>160</x:v>
      </x:c>
      <x:c r="F22" s="23" t="s">
        <x:v>217</x:v>
      </x:c>
      <x:c r="G22" s="23" t="s">
        <x:v>5018</x:v>
      </x:c>
      <x:c r="H22" s="24" t="s">
        <x:v>125</x:v>
      </x:c>
      <x:c r="I22" s="23" t="s">
        <x:v>140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5019</x:v>
      </x:c>
      <x:c r="B23" s="23" t="s">
        <x:v>220</x:v>
      </x:c>
      <x:c r="C23" s="23" t="s">
        <x:v>109</x:v>
      </x:c>
      <x:c r="D23" s="23" t="s">
        <x:v>5020</x:v>
      </x:c>
      <x:c r="E23" s="23" t="s">
        <x:v>160</x:v>
      </x:c>
      <x:c r="F23" s="23" t="s">
        <x:v>217</x:v>
      </x:c>
      <x:c r="G23" s="23" t="s">
        <x:v>5021</x:v>
      </x:c>
      <x:c r="H23" s="24" t="s">
        <x:v>125</x:v>
      </x:c>
      <x:c r="I23" s="23" t="s">
        <x:v>140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5022</x:v>
      </x:c>
      <x:c r="B24" s="23" t="s">
        <x:v>224</x:v>
      </x:c>
      <x:c r="C24" s="23" t="s">
        <x:v>109</x:v>
      </x:c>
      <x:c r="D24" s="23" t="s">
        <x:v>5023</x:v>
      </x:c>
      <x:c r="E24" s="23" t="s">
        <x:v>226</x:v>
      </x:c>
      <x:c r="F24" s="23" t="s">
        <x:v>226</x:v>
      </x:c>
      <x:c r="G24" s="23" t="s">
        <x:v>227</x:v>
      </x:c>
      <x:c r="H24" s="24" t="s">
        <x:v>125</x:v>
      </x:c>
      <x:c r="I24" s="23" t="s">
        <x:v>140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5024</x:v>
      </x:c>
      <x:c r="B25" s="23" t="s">
        <x:v>229</x:v>
      </x:c>
      <x:c r="C25" s="23" t="s">
        <x:v>109</x:v>
      </x:c>
      <x:c r="D25" s="23" t="s">
        <x:v>4852</x:v>
      </x:c>
      <x:c r="E25" s="23" t="s">
        <x:v>160</x:v>
      </x:c>
      <x:c r="F25" s="23" t="s">
        <x:v>160</x:v>
      </x:c>
      <x:c r="G25" s="23" t="s">
        <x:v>598</x:v>
      </x:c>
      <x:c r="H25" s="27" t="s">
        <x:v>127</x:v>
      </x:c>
      <x:c r="I25" s="23" t="s">
        <x:v>139</x:v>
      </x:c>
      <x:c r="J25" s="25" t="n">
        <x:v>46264</x:v>
      </x:c>
      <x:c r="K25" s="23" t="s">
        <x:v>653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5025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5026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143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144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145</x:v>
      </x:c>
      <x:c r="B8" s="21" t="s">
        <x:v>146</x:v>
      </x:c>
      <x:c r="C8" s="21" t="s">
        <x:v>147</x:v>
      </x:c>
      <x:c r="D8" s="21" t="s">
        <x:v>148</x:v>
      </x:c>
      <x:c r="E8" s="21" t="s">
        <x:v>149</x:v>
      </x:c>
      <x:c r="F8" s="21" t="s">
        <x:v>150</x:v>
      </x:c>
      <x:c r="G8" s="21" t="s">
        <x:v>151</x:v>
      </x:c>
      <x:c r="H8" s="21" t="s">
        <x:v>103</x:v>
      </x:c>
      <x:c r="I8" s="21" t="s">
        <x:v>152</x:v>
      </x:c>
      <x:c r="J8" s="21" t="s">
        <x:v>153</x:v>
      </x:c>
      <x:c r="K8" s="21" t="s">
        <x:v>154</x:v>
      </x:c>
      <x:c r="L8" s="21" t="s">
        <x:v>155</x:v>
      </x:c>
      <x:c r="M8" s="21" t="s">
        <x:v>143</x:v>
      </x:c>
    </x:row>
    <x:row r="9" s="4" customFormat="1" ht="54" hidden="0" customHeight="1">
      <x:c r="A9" s="23" t="s">
        <x:v>4025</x:v>
      </x:c>
      <x:c r="B9" s="23" t="s">
        <x:v>157</x:v>
      </x:c>
      <x:c r="C9" s="23" t="s">
        <x:v>110</x:v>
      </x:c>
      <x:c r="D9" s="23" t="s">
        <x:v>5027</x:v>
      </x:c>
      <x:c r="E9" s="23" t="s">
        <x:v>160</x:v>
      </x:c>
      <x:c r="F9" s="23" t="s">
        <x:v>161</x:v>
      </x:c>
      <x:c r="G9" s="23" t="s">
        <x:v>5028</x:v>
      </x:c>
      <x:c r="H9" s="24" t="s">
        <x:v>125</x:v>
      </x:c>
      <x:c r="I9" s="23" t="s">
        <x:v>140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4029</x:v>
      </x:c>
      <x:c r="B10" s="23" t="s">
        <x:v>117</x:v>
      </x:c>
      <x:c r="C10" s="23" t="s">
        <x:v>110</x:v>
      </x:c>
      <x:c r="D10" s="23" t="s">
        <x:v>5029</x:v>
      </x:c>
      <x:c r="E10" s="23" t="s">
        <x:v>160</x:v>
      </x:c>
      <x:c r="F10" s="23" t="s">
        <x:v>180</x:v>
      </x:c>
      <x:c r="G10" s="23" t="s">
        <x:v>5030</x:v>
      </x:c>
      <x:c r="H10" s="24" t="s">
        <x:v>125</x:v>
      </x:c>
      <x:c r="I10" s="23" t="s">
        <x:v>140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4033</x:v>
      </x:c>
      <x:c r="B11" s="23" t="s">
        <x:v>164</x:v>
      </x:c>
      <x:c r="C11" s="23" t="s">
        <x:v>110</x:v>
      </x:c>
      <x:c r="D11" s="23" t="s">
        <x:v>5031</x:v>
      </x:c>
      <x:c r="E11" s="23" t="s">
        <x:v>160</x:v>
      </x:c>
      <x:c r="F11" s="23" t="s">
        <x:v>160</x:v>
      </x:c>
      <x:c r="G11" s="23" t="s">
        <x:v>606</x:v>
      </x:c>
      <x:c r="H11" s="24" t="s">
        <x:v>125</x:v>
      </x:c>
      <x:c r="I11" s="23" t="s">
        <x:v>140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4036</x:v>
      </x:c>
      <x:c r="B12" s="23" t="s">
        <x:v>168</x:v>
      </x:c>
      <x:c r="C12" s="23" t="s">
        <x:v>110</x:v>
      </x:c>
      <x:c r="D12" s="23" t="s">
        <x:v>4817</x:v>
      </x:c>
      <x:c r="E12" s="23" t="s">
        <x:v>160</x:v>
      </x:c>
      <x:c r="F12" s="23" t="s">
        <x:v>170</x:v>
      </x:c>
      <x:c r="G12" s="23" t="s">
        <x:v>5032</x:v>
      </x:c>
      <x:c r="H12" s="24" t="s">
        <x:v>125</x:v>
      </x:c>
      <x:c r="I12" s="23" t="s">
        <x:v>140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4040</x:v>
      </x:c>
      <x:c r="B13" s="23" t="s">
        <x:v>173</x:v>
      </x:c>
      <x:c r="C13" s="23" t="s">
        <x:v>110</x:v>
      </x:c>
      <x:c r="D13" s="23" t="s">
        <x:v>4820</x:v>
      </x:c>
      <x:c r="E13" s="23" t="s">
        <x:v>160</x:v>
      </x:c>
      <x:c r="F13" s="23" t="s">
        <x:v>175</x:v>
      </x:c>
      <x:c r="G13" s="23" t="s">
        <x:v>5033</x:v>
      </x:c>
      <x:c r="H13" s="24" t="s">
        <x:v>125</x:v>
      </x:c>
      <x:c r="I13" s="23" t="s">
        <x:v>140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4043</x:v>
      </x:c>
      <x:c r="B14" s="23" t="s">
        <x:v>178</x:v>
      </x:c>
      <x:c r="C14" s="23" t="s">
        <x:v>110</x:v>
      </x:c>
      <x:c r="D14" s="23" t="s">
        <x:v>5034</x:v>
      </x:c>
      <x:c r="E14" s="23" t="s">
        <x:v>160</x:v>
      </x:c>
      <x:c r="F14" s="23" t="s">
        <x:v>180</x:v>
      </x:c>
      <x:c r="G14" s="23" t="s">
        <x:v>5035</x:v>
      </x:c>
      <x:c r="H14" s="24" t="s">
        <x:v>125</x:v>
      </x:c>
      <x:c r="I14" s="23" t="s">
        <x:v>140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4046</x:v>
      </x:c>
      <x:c r="B15" s="23" t="s">
        <x:v>183</x:v>
      </x:c>
      <x:c r="C15" s="23" t="s">
        <x:v>110</x:v>
      </x:c>
      <x:c r="D15" s="23" t="s">
        <x:v>5036</x:v>
      </x:c>
      <x:c r="E15" s="23" t="s">
        <x:v>160</x:v>
      </x:c>
      <x:c r="F15" s="23" t="s">
        <x:v>185</x:v>
      </x:c>
      <x:c r="G15" s="23" t="s">
        <x:v>5037</x:v>
      </x:c>
      <x:c r="H15" s="24" t="s">
        <x:v>125</x:v>
      </x:c>
      <x:c r="I15" s="23" t="s">
        <x:v>140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4049</x:v>
      </x:c>
      <x:c r="B16" s="23" t="s">
        <x:v>188</x:v>
      </x:c>
      <x:c r="C16" s="23" t="s">
        <x:v>110</x:v>
      </x:c>
      <x:c r="D16" s="23" t="s">
        <x:v>5038</x:v>
      </x:c>
      <x:c r="E16" s="23" t="s">
        <x:v>160</x:v>
      </x:c>
      <x:c r="F16" s="23" t="s">
        <x:v>190</x:v>
      </x:c>
      <x:c r="G16" s="23" t="s">
        <x:v>5037</x:v>
      </x:c>
      <x:c r="H16" s="24" t="s">
        <x:v>125</x:v>
      </x:c>
      <x:c r="I16" s="23" t="s">
        <x:v>140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4054</x:v>
      </x:c>
      <x:c r="B17" s="23" t="s">
        <x:v>193</x:v>
      </x:c>
      <x:c r="C17" s="23" t="s">
        <x:v>110</x:v>
      </x:c>
      <x:c r="D17" s="23" t="s">
        <x:v>5039</x:v>
      </x:c>
      <x:c r="E17" s="23" t="s">
        <x:v>160</x:v>
      </x:c>
      <x:c r="F17" s="23" t="s">
        <x:v>195</x:v>
      </x:c>
      <x:c r="G17" s="23" t="s">
        <x:v>5040</x:v>
      </x:c>
      <x:c r="H17" s="27" t="s">
        <x:v>127</x:v>
      </x:c>
      <x:c r="I17" s="23" t="s">
        <x:v>139</x:v>
      </x:c>
      <x:c r="J17" s="25" t="n">
        <x:v>46264</x:v>
      </x:c>
      <x:c r="K17" s="23" t="s">
        <x:v>1125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4058</x:v>
      </x:c>
      <x:c r="B18" s="23" t="s">
        <x:v>199</x:v>
      </x:c>
      <x:c r="C18" s="23" t="s">
        <x:v>110</x:v>
      </x:c>
      <x:c r="D18" s="23" t="s">
        <x:v>5041</x:v>
      </x:c>
      <x:c r="E18" s="23" t="s">
        <x:v>160</x:v>
      </x:c>
      <x:c r="F18" s="23" t="s">
        <x:v>201</x:v>
      </x:c>
      <x:c r="G18" s="23" t="s">
        <x:v>5042</x:v>
      </x:c>
      <x:c r="H18" s="27" t="s">
        <x:v>123</x:v>
      </x:c>
      <x:c r="I18" s="23" t="s">
        <x:v>139</x:v>
      </x:c>
      <x:c r="J18" s="25"/>
      <x:c r="K18" s="23" t="s">
        <x:v>203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4061</x:v>
      </x:c>
      <x:c r="B19" s="23" t="s">
        <x:v>205</x:v>
      </x:c>
      <x:c r="C19" s="23" t="s">
        <x:v>110</x:v>
      </x:c>
      <x:c r="D19" s="23" t="s">
        <x:v>5043</x:v>
      </x:c>
      <x:c r="E19" s="23" t="s">
        <x:v>160</x:v>
      </x:c>
      <x:c r="F19" s="23" t="s">
        <x:v>201</x:v>
      </x:c>
      <x:c r="G19" s="23" t="s">
        <x:v>5044</x:v>
      </x:c>
      <x:c r="H19" s="27" t="s">
        <x:v>123</x:v>
      </x:c>
      <x:c r="I19" s="23" t="s">
        <x:v>139</x:v>
      </x:c>
      <x:c r="J19" s="25"/>
      <x:c r="K19" s="23" t="s">
        <x:v>203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4065</x:v>
      </x:c>
      <x:c r="B20" s="23" t="s">
        <x:v>687</x:v>
      </x:c>
      <x:c r="C20" s="23" t="s">
        <x:v>110</x:v>
      </x:c>
      <x:c r="D20" s="23" t="s">
        <x:v>5045</x:v>
      </x:c>
      <x:c r="E20" s="23" t="s">
        <x:v>160</x:v>
      </x:c>
      <x:c r="F20" s="23" t="s">
        <x:v>185</x:v>
      </x:c>
      <x:c r="G20" s="23" t="s">
        <x:v>5037</x:v>
      </x:c>
      <x:c r="H20" s="24" t="s">
        <x:v>125</x:v>
      </x:c>
      <x:c r="I20" s="23" t="s">
        <x:v>140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4070</x:v>
      </x:c>
      <x:c r="B21" s="23" t="s">
        <x:v>212</x:v>
      </x:c>
      <x:c r="C21" s="23" t="s">
        <x:v>110</x:v>
      </x:c>
      <x:c r="D21" s="23" t="s">
        <x:v>5046</x:v>
      </x:c>
      <x:c r="E21" s="23" t="s">
        <x:v>160</x:v>
      </x:c>
      <x:c r="F21" s="23" t="s">
        <x:v>201</x:v>
      </x:c>
      <x:c r="G21" s="23" t="s">
        <x:v>5042</x:v>
      </x:c>
      <x:c r="H21" s="27" t="s">
        <x:v>123</x:v>
      </x:c>
      <x:c r="I21" s="23" t="s">
        <x:v>139</x:v>
      </x:c>
      <x:c r="J21" s="25"/>
      <x:c r="K21" s="23" t="s">
        <x:v>203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4075</x:v>
      </x:c>
      <x:c r="B22" s="23" t="s">
        <x:v>215</x:v>
      </x:c>
      <x:c r="C22" s="23" t="s">
        <x:v>110</x:v>
      </x:c>
      <x:c r="D22" s="23" t="s">
        <x:v>4844</x:v>
      </x:c>
      <x:c r="E22" s="23" t="s">
        <x:v>160</x:v>
      </x:c>
      <x:c r="F22" s="23" t="s">
        <x:v>217</x:v>
      </x:c>
      <x:c r="G22" s="23" t="s">
        <x:v>5047</x:v>
      </x:c>
      <x:c r="H22" s="24" t="s">
        <x:v>125</x:v>
      </x:c>
      <x:c r="I22" s="23" t="s">
        <x:v>140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4078</x:v>
      </x:c>
      <x:c r="B23" s="23" t="s">
        <x:v>220</x:v>
      </x:c>
      <x:c r="C23" s="23" t="s">
        <x:v>110</x:v>
      </x:c>
      <x:c r="D23" s="23" t="s">
        <x:v>5048</x:v>
      </x:c>
      <x:c r="E23" s="23" t="s">
        <x:v>160</x:v>
      </x:c>
      <x:c r="F23" s="23" t="s">
        <x:v>217</x:v>
      </x:c>
      <x:c r="G23" s="23" t="s">
        <x:v>5049</x:v>
      </x:c>
      <x:c r="H23" s="24" t="s">
        <x:v>125</x:v>
      </x:c>
      <x:c r="I23" s="23" t="s">
        <x:v>140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4082</x:v>
      </x:c>
      <x:c r="B24" s="23" t="s">
        <x:v>224</x:v>
      </x:c>
      <x:c r="C24" s="23" t="s">
        <x:v>110</x:v>
      </x:c>
      <x:c r="D24" s="23" t="s">
        <x:v>5050</x:v>
      </x:c>
      <x:c r="E24" s="23" t="s">
        <x:v>226</x:v>
      </x:c>
      <x:c r="F24" s="23" t="s">
        <x:v>226</x:v>
      </x:c>
      <x:c r="G24" s="23" t="s">
        <x:v>227</x:v>
      </x:c>
      <x:c r="H24" s="24" t="s">
        <x:v>125</x:v>
      </x:c>
      <x:c r="I24" s="23" t="s">
        <x:v>140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4085</x:v>
      </x:c>
      <x:c r="B25" s="23" t="s">
        <x:v>229</x:v>
      </x:c>
      <x:c r="C25" s="23" t="s">
        <x:v>110</x:v>
      </x:c>
      <x:c r="D25" s="23" t="s">
        <x:v>4852</x:v>
      </x:c>
      <x:c r="E25" s="23" t="s">
        <x:v>160</x:v>
      </x:c>
      <x:c r="F25" s="23" t="s">
        <x:v>160</x:v>
      </x:c>
      <x:c r="G25" s="23" t="s">
        <x:v>598</x:v>
      </x:c>
      <x:c r="H25" s="27" t="s">
        <x:v>127</x:v>
      </x:c>
      <x:c r="I25" s="23" t="s">
        <x:v>139</x:v>
      </x:c>
      <x:c r="J25" s="25" t="n">
        <x:v>46264</x:v>
      </x:c>
      <x:c r="K25" s="23" t="s">
        <x:v>653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10000038146973" hidden="0" customWidth="1"/>
    <x:col min="2" max="2" width="15.710000038146973" hidden="0" customWidth="1"/>
    <x:col min="3" max="3" width="18.709999084472656" hidden="0" customWidth="1"/>
    <x:col min="4" max="4" width="58.709999084472656" hidden="0" customWidth="1"/>
    <x:col min="5" max="5" width="14.710000038146973" hidden="0" customWidth="1"/>
    <x:col min="6" max="6" width="14.710000038146973" hidden="0" customWidth="1"/>
    <x:col min="7" max="7" width="50.709999084472656" hidden="0" customWidth="1"/>
    <x:col min="8" max="8" width="17.709999084472656" hidden="0" customWidth="1"/>
    <x:col min="9" max="9" width="14.710000038146973" hidden="0" customWidth="1"/>
    <x:col min="10" max="10" width="14.710000038146973" hidden="0" customWidth="1"/>
    <x:col min="11" max="11" width="42.709999084472656" hidden="0" customWidth="1"/>
    <x:col min="12" max="12" width="10.710000038146973" hidden="0" customWidth="1"/>
    <x:col min="13" max="13" width="10.710000038146973" hidden="0" customWidth="1"/>
  </x:cols>
  <x:sheetData>
    <x:row r="1" ht="37.5" customHeight="1">
      <x:c r="A1" s="69" t="str">
        <x:v>AvatarGroup Evidence</x:v>
      </x:c>
      <x:c r="B1" s="69"/>
      <x:c r="C1" s="69"/>
      <x:c r="D1" s="69"/>
      <x:c r="E1" s="69"/>
      <x:c r="F1" s="69"/>
      <x:c r="G1" s="69"/>
      <x:c r="H1" s="69"/>
      <x:c r="I1" s="69"/>
      <x:c r="J1" s="69"/>
      <x:c r="K1" s="69"/>
      <x:c r="L1" s="69"/>
      <x:c r="M1" s="69"/>
    </x:row>
    <x:row r="2" ht="27.75" customHeight="1">
      <x:c r="A2" s="42" t="str">
        <x:v>Assertion-level package, browser, human-review, documentation, and consumer evidence.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17.25" customHeight="1">
      <x:c r="A4" s="45" t="s">
        <x:v>6</x:v>
      </x:c>
      <x:c r="B4" s="46" t="n">
        <x:f>COUNTA(A9:A24)</x:f>
        <x:v>16</x:v>
      </x:c>
      <x:c r="C4" s="44"/>
      <x:c r="D4" s="45" t="s">
        <x:v>143</x:v>
      </x:c>
      <x:c r="E4" s="46" t="n">
        <x:f>SUM(M9:M24)</x:f>
        <x:v>15</x:v>
      </x:c>
      <x:c r="F4" s="44"/>
      <x:c r="G4" s="45" t="s">
        <x:v>13</x:v>
      </x:c>
      <x:c r="H4" s="47" t="n">
        <x:f>IF(B4=0,0,E4/B4)</x:f>
        <x:v>0.9375</x:v>
      </x:c>
      <x:c r="I4" s="44"/>
      <x:c r="J4" s="45" t="s">
        <x:v>14</x:v>
      </x:c>
      <x:c r="K4" s="46" t="str">
        <x:f>IF(COUNTIFS(E9:E24,"package",M9:M24,0)&gt;0,"open","complete")</x:f>
        <x:v>open</x:v>
      </x:c>
      <x:c r="L4" s="44"/>
      <x:c r="M4" s="44"/>
    </x:row>
    <x:row r="5" ht="17.25" customHeight="1">
      <x:c r="A5" s="45" t="s">
        <x:v>144</x:v>
      </x:c>
      <x:c r="B5" s="46" t="str">
        <x:f>IF(COUNTIFS(I9:I24,"yes",M9:M24,0)&gt;0,"open","complete")</x:f>
        <x:v>open</x:v>
      </x:c>
      <x:c r="C5" s="44"/>
      <x:c r="D5" s="45" t="s">
        <x:v>15</x:v>
      </x:c>
      <x:c r="E5" s="46" t="str">
        <x:f>IF(COUNTIFS(E9:E24,"consumer",M9:M24,0)&gt;0,"open","complete")</x:f>
        <x:v>complete</x:v>
      </x:c>
      <x:c r="F5" s="44"/>
      <x:c r="G5" s="44"/>
      <x:c r="H5" s="44"/>
      <x:c r="I5" s="44"/>
      <x:c r="J5" s="44"/>
      <x:c r="K5" s="44"/>
      <x:c r="L5" s="44"/>
      <x:c r="M5" s="44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15" customHeight="1">
      <x:c r="A8" s="72" t="s">
        <x:v>145</x:v>
      </x:c>
      <x:c r="B8" s="72" t="s">
        <x:v>146</x:v>
      </x:c>
      <x:c r="C8" s="72" t="s">
        <x:v>147</x:v>
      </x:c>
      <x:c r="D8" s="72" t="s">
        <x:v>148</x:v>
      </x:c>
      <x:c r="E8" s="72" t="s">
        <x:v>149</x:v>
      </x:c>
      <x:c r="F8" s="72" t="s">
        <x:v>150</x:v>
      </x:c>
      <x:c r="G8" s="72" t="s">
        <x:v>151</x:v>
      </x:c>
      <x:c r="H8" s="72" t="s">
        <x:v>103</x:v>
      </x:c>
      <x:c r="I8" s="72" t="s">
        <x:v>152</x:v>
      </x:c>
      <x:c r="J8" s="72" t="s">
        <x:v>153</x:v>
      </x:c>
      <x:c r="K8" s="72" t="s">
        <x:v>154</x:v>
      </x:c>
      <x:c r="L8" s="72" t="s">
        <x:v>155</x:v>
      </x:c>
      <x:c r="M8" s="72" t="s">
        <x:v>143</x:v>
      </x:c>
    </x:row>
    <x:row r="9" ht="54" customHeight="1">
      <x:c r="A9" s="54" t="str">
        <x:v>AG-01</x:v>
      </x:c>
      <x:c r="B9" s="54" t="str">
        <x:v>Implementation</x:v>
      </x:c>
      <x:c r="C9" s="54" t="str">
        <x:v>AvatarGroup</x:v>
      </x:c>
      <x:c r="D9" s="57" t="str">
        <x:v>Public presentation owner and Avatar context adapter implement one reusable identity stack.</x:v>
      </x:c>
      <x:c r="E9" s="54" t="str">
        <x:v>package</x:v>
      </x:c>
      <x:c r="F9" s="54" t="str">
        <x:v>source</x:v>
      </x:c>
      <x:c r="G9" s="57" t="str">
        <x:v>../src/components/avatar-group/AvatarGroup.tsx; ../src/components/avatar-group/AvatarGroupContext.ts</x:v>
      </x:c>
      <x:c r="H9" s="76" t="str">
        <x:v>tested</x:v>
      </x:c>
      <x:c r="I9" s="54" t="str">
        <x:v>no</x:v>
      </x:c>
      <x:c r="J9" s="54" t="str">
        <x:v>2026-09-01</x:v>
      </x:c>
      <x:c r="K9" s="57" t="str"/>
      <x:c r="L9" s="60" t="n">
        <x:v>1</x:v>
      </x:c>
      <x:c r="M9" s="60" t="n">
        <x:f>IF(OR(AND(I9="yes",H9="verified"),AND(I9="no",OR(H9="tested",H9="verified")),AND(H9="not applicable",K9&lt;&gt;"")),1,0)</x:f>
        <x:v>1</x:v>
      </x:c>
    </x:row>
    <x:row r="10" ht="54" customHeight="1">
      <x:c r="A10" s="55" t="str">
        <x:v>AG-02</x:v>
      </x:c>
      <x:c r="B10" s="55" t="str">
        <x:v>Exports</x:v>
      </x:c>
      <x:c r="C10" s="55" t="str">
        <x:v>AvatarGroup</x:v>
      </x:c>
      <x:c r="D10" s="58" t="str">
        <x:v>Root and public avatar-group subpath exports expose runtime and public types.</x:v>
      </x:c>
      <x:c r="E10" s="55" t="str">
        <x:v>package</x:v>
      </x:c>
      <x:c r="F10" s="55" t="str">
        <x:v>package</x:v>
      </x:c>
      <x:c r="G10" s="58" t="str">
        <x:v>../src/avatar-group.ts; ../src/index.ts; ../package.json</x:v>
      </x:c>
      <x:c r="H10" s="77" t="str">
        <x:v>tested</x:v>
      </x:c>
      <x:c r="I10" s="55" t="str">
        <x:v>no</x:v>
      </x:c>
      <x:c r="J10" s="55" t="str">
        <x:v>2026-09-01</x:v>
      </x:c>
      <x:c r="K10" s="58" t="str"/>
      <x:c r="L10" s="61" t="n">
        <x:v>1</x:v>
      </x:c>
      <x:c r="M10" s="61" t="n">
        <x:f>IF(OR(AND(I10="yes",H10="verified"),AND(I10="no",OR(H10="tested",H10="verified")),AND(H10="not applicable",K10&lt;&gt;"")),1,0)</x:f>
        <x:v>1</x:v>
      </x:c>
    </x:row>
    <x:row r="11" ht="54" customHeight="1">
      <x:c r="A11" s="55" t="str">
        <x:v>AG-03</x:v>
      </x:c>
      <x:c r="B11" s="55" t="str">
        <x:v>Types</x:v>
      </x:c>
      <x:c r="C11" s="55" t="str">
        <x:v>AvatarGroup</x:v>
      </x:c>
      <x:c r="D11" s="58" t="str">
        <x:v>Closed recipes, overflow branches, hosts, native props, refs, and invalid combinations type-check.</x:v>
      </x:c>
      <x:c r="E11" s="55" t="str">
        <x:v>package</x:v>
      </x:c>
      <x:c r="F11" s="55" t="str">
        <x:v>types</x:v>
      </x:c>
      <x:c r="G11" s="58" t="str">
        <x:v>../test/types/components/avatar-group.test.ts</x:v>
      </x:c>
      <x:c r="H11" s="77" t="str">
        <x:v>tested</x:v>
      </x:c>
      <x:c r="I11" s="55" t="str">
        <x:v>no</x:v>
      </x:c>
      <x:c r="J11" s="55" t="str">
        <x:v>2026-09-01</x:v>
      </x:c>
      <x:c r="K11" s="58" t="str"/>
      <x:c r="L11" s="61" t="n">
        <x:v>1</x:v>
      </x:c>
      <x:c r="M11" s="61" t="n">
        <x:f>IF(OR(AND(I11="yes",H11="verified"),AND(I11="no",OR(H11="tested",H11="verified")),AND(H11="not applicable",K11&lt;&gt;"")),1,0)</x:f>
        <x:v>1</x:v>
      </x:c>
    </x:row>
    <x:row r="12" ht="54" customHeight="1">
      <x:c r="A12" s="55" t="str">
        <x:v>AG-04</x:v>
      </x:c>
      <x:c r="B12" s="55" t="str">
        <x:v>CSS</x:v>
      </x:c>
      <x:c r="C12" s="55" t="str">
        <x:v>AvatarGroup and Avatar</x:v>
      </x:c>
      <x:c r="D12" s="58" t="str">
        <x:v>Static CSS ships logical overlap, paint order, size geometry, outline integration, and forced-colors treatment.</x:v>
      </x:c>
      <x:c r="E12" s="55" t="str">
        <x:v>package</x:v>
      </x:c>
      <x:c r="F12" s="55" t="str">
        <x:v>css</x:v>
      </x:c>
      <x:c r="G12" s="58" t="str">
        <x:v>../src/components/avatar-group/avatar-group.css; ../scripts/css-entrypoints.mjs</x:v>
      </x:c>
      <x:c r="H12" s="77" t="str">
        <x:v>tested</x:v>
      </x:c>
      <x:c r="I12" s="55" t="str">
        <x:v>no</x:v>
      </x:c>
      <x:c r="J12" s="55" t="str">
        <x:v>2026-09-01</x:v>
      </x:c>
      <x:c r="K12" s="58" t="str"/>
      <x:c r="L12" s="61" t="n">
        <x:v>1</x:v>
      </x:c>
      <x:c r="M12" s="61" t="n">
        <x:f>IF(OR(AND(I12="yes",H12="verified"),AND(I12="no",OR(H12="tested",H12="verified")),AND(H12="not applicable",K12&lt;&gt;"")),1,0)</x:f>
        <x:v>1</x:v>
      </x:c>
    </x:row>
    <x:row r="13" ht="54" customHeight="1">
      <x:c r="A13" s="55" t="str">
        <x:v>AG-05</x:v>
      </x:c>
      <x:c r="B13" s="55" t="str">
        <x:v>Unit</x:v>
      </x:c>
      <x:c r="C13" s="55" t="str">
        <x:v>AvatarGroup</x:v>
      </x:c>
      <x:c r="D13" s="58" t="str">
        <x:v>Defaults, context, overlap, stacking, localized/custom overflow, native props, events, and refs pass focused tests.</x:v>
      </x:c>
      <x:c r="E13" s="55" t="str">
        <x:v>package</x:v>
      </x:c>
      <x:c r="F13" s="55" t="str">
        <x:v>component</x:v>
      </x:c>
      <x:c r="G13" s="58" t="str">
        <x:v>../test/components/avatar-group/avatar-group.test.tsx</x:v>
      </x:c>
      <x:c r="H13" s="77" t="str">
        <x:v>tested</x:v>
      </x:c>
      <x:c r="I13" s="55" t="str">
        <x:v>no</x:v>
      </x:c>
      <x:c r="J13" s="55" t="str">
        <x:v>2026-09-01</x:v>
      </x:c>
      <x:c r="K13" s="58" t="str"/>
      <x:c r="L13" s="61" t="n">
        <x:v>1</x:v>
      </x:c>
      <x:c r="M13" s="61" t="n">
        <x:f>IF(OR(AND(I13="yes",H13="verified"),AND(I13="no",OR(H13="tested",H13="verified")),AND(H13="not applicable",K13&lt;&gt;"")),1,0)</x:f>
        <x:v>1</x:v>
      </x:c>
    </x:row>
    <x:row r="14" ht="54" customHeight="1">
      <x:c r="A14" s="55" t="str">
        <x:v>AG-06</x:v>
      </x:c>
      <x:c r="B14" s="55" t="str">
        <x:v>Browser</x:v>
      </x:c>
      <x:c r="C14" s="55" t="str">
        <x:v>AvatarGroup</x:v>
      </x:c>
      <x:c r="D14" s="58" t="str">
        <x:v>Real-browser geometry, paint order, max/total, custom overflow focus, RTL, zoom, and narrow containment pass.</x:v>
      </x:c>
      <x:c r="E14" s="55" t="str">
        <x:v>package</x:v>
      </x:c>
      <x:c r="F14" s="55" t="str">
        <x:v>browser</x:v>
      </x:c>
      <x:c r="G14" s="58" t="str">
        <x:v>tests/components/avatar-group/behavior.spec.ts</x:v>
      </x:c>
      <x:c r="H14" s="77" t="str">
        <x:v>tested</x:v>
      </x:c>
      <x:c r="I14" s="55" t="str">
        <x:v>no</x:v>
      </x:c>
      <x:c r="J14" s="55" t="str">
        <x:v>2026-09-01</x:v>
      </x:c>
      <x:c r="K14" s="58" t="str"/>
      <x:c r="L14" s="61" t="n">
        <x:v>1</x:v>
      </x:c>
      <x:c r="M14" s="61" t="n">
        <x:f>IF(OR(AND(I14="yes",H14="verified"),AND(I14="no",OR(H14="tested",H14="verified")),AND(H14="not applicable",K14&lt;&gt;"")),1,0)</x:f>
        <x:v>1</x:v>
      </x:c>
    </x:row>
    <x:row r="15" ht="54" customHeight="1">
      <x:c r="A15" s="55" t="str">
        <x:v>AG-07</x:v>
      </x:c>
      <x:c r="B15" s="55" t="str">
        <x:v>Accessibility</x:v>
      </x:c>
      <x:c r="C15" s="55" t="str">
        <x:v>AvatarGroup</x:v>
      </x:c>
      <x:c r="D15" s="58" t="str">
        <x:v>Neutral default semantics, localized overflow naming, focus behavior, source order, and axe checks pass.</x:v>
      </x:c>
      <x:c r="E15" s="55" t="str">
        <x:v>package</x:v>
      </x:c>
      <x:c r="F15" s="55" t="str">
        <x:v>axe</x:v>
      </x:c>
      <x:c r="G15" s="58" t="str">
        <x:v>tests/components/avatar-group/behavior.spec.ts</x:v>
      </x:c>
      <x:c r="H15" s="77" t="str">
        <x:v>tested</x:v>
      </x:c>
      <x:c r="I15" s="55" t="str">
        <x:v>no</x:v>
      </x:c>
      <x:c r="J15" s="55" t="str">
        <x:v>2026-09-01</x:v>
      </x:c>
      <x:c r="K15" s="58" t="str"/>
      <x:c r="L15" s="61" t="n">
        <x:v>1</x:v>
      </x:c>
      <x:c r="M15" s="61" t="n">
        <x:f>IF(OR(AND(I15="yes",H15="verified"),AND(I15="no",OR(H15="tested",H15="verified")),AND(H15="not applicable",K15&lt;&gt;"")),1,0)</x:f>
        <x:v>1</x:v>
      </x:c>
    </x:row>
    <x:row r="16" ht="54" customHeight="1">
      <x:c r="A16" s="55" t="str">
        <x:v>AG-08</x:v>
      </x:c>
      <x:c r="B16" s="55" t="str">
        <x:v>Visual</x:v>
      </x:c>
      <x:c r="C16" s="55" t="str">
        <x:v>AvatarGroup</x:v>
      </x:c>
      <x:c r="D16" s="58" t="str">
        <x:v>Reviewed baselines cover defaults, sizes, shapes, overlap, stacking, overflow, dark, mobile, and forced colors.</x:v>
      </x:c>
      <x:c r="E16" s="55" t="str">
        <x:v>package</x:v>
      </x:c>
      <x:c r="F16" s="55" t="str">
        <x:v>visual</x:v>
      </x:c>
      <x:c r="G16" s="58" t="str">
        <x:v>tests/components/avatar-group/visual.spec.ts</x:v>
      </x:c>
      <x:c r="H16" s="78" t="str">
        <x:v>verified</x:v>
      </x:c>
      <x:c r="I16" s="55" t="str">
        <x:v>yes</x:v>
      </x:c>
      <x:c r="J16" s="55" t="str">
        <x:v>2026-09-01</x:v>
      </x:c>
      <x:c r="K16" s="58" t="str">
        <x:v>Owner reviewed all seven current AvatarGroup baselines.</x:v>
      </x:c>
      <x:c r="L16" s="61" t="n">
        <x:v>1</x:v>
      </x:c>
      <x:c r="M16" s="61" t="n">
        <x:f>IF(OR(AND(I16="yes",H16="verified"),AND(I16="no",OR(H16="tested",H16="verified")),AND(H16="not applicable",K16&lt;&gt;"")),1,0)</x:f>
        <x:v>1</x:v>
      </x:c>
    </x:row>
    <x:row r="17" ht="54" customHeight="1">
      <x:c r="A17" s="55" t="str">
        <x:v>AG-09</x:v>
      </x:c>
      <x:c r="B17" s="55" t="str">
        <x:v>Responsive</x:v>
      </x:c>
      <x:c r="C17" s="55" t="str">
        <x:v>AvatarGroup</x:v>
      </x:c>
      <x:c r="D17" s="58" t="str">
        <x:v>320px, 200% zoom, localized content stress, and RTL remain visible, ordered, and contained.</x:v>
      </x:c>
      <x:c r="E17" s="55" t="str">
        <x:v>package</x:v>
      </x:c>
      <x:c r="F17" s="55" t="str">
        <x:v>browser</x:v>
      </x:c>
      <x:c r="G17" s="58" t="str">
        <x:v>tests/components/avatar-group/behavior.spec.ts; tests/components/avatar-group/visual.spec.ts</x:v>
      </x:c>
      <x:c r="H17" s="78" t="str">
        <x:v>verified</x:v>
      </x:c>
      <x:c r="I17" s="55" t="str">
        <x:v>yes</x:v>
      </x:c>
      <x:c r="J17" s="55" t="str">
        <x:v>2026-09-01</x:v>
      </x:c>
      <x:c r="K17" s="58" t="str">
        <x:v>Automated geometry and reviewed stress baseline pass.</x:v>
      </x:c>
      <x:c r="L17" s="61" t="n">
        <x:v>1</x:v>
      </x:c>
      <x:c r="M17" s="61" t="n">
        <x:f>IF(OR(AND(I17="yes",H17="verified"),AND(I17="no",OR(H17="tested",H17="verified")),AND(H17="not applicable",K17&lt;&gt;"")),1,0)</x:f>
        <x:v>1</x:v>
      </x:c>
    </x:row>
    <x:row r="18" ht="54" customHeight="1">
      <x:c r="A18" s="55" t="str">
        <x:v>AG-10</x:v>
      </x:c>
      <x:c r="B18" s="55" t="str">
        <x:v>Theme</x:v>
      </x:c>
      <x:c r="C18" s="55" t="str">
        <x:v>AvatarGroup and Avatar</x:v>
      </x:c>
      <x:c r="D18" s="58" t="str">
        <x:v>Light, dark, outline separation, focus stacking, and forced-colors treatment remain legible.</x:v>
      </x:c>
      <x:c r="E18" s="55" t="str">
        <x:v>package</x:v>
      </x:c>
      <x:c r="F18" s="55" t="str">
        <x:v>visual</x:v>
      </x:c>
      <x:c r="G18" s="58" t="str">
        <x:v>tests/components/avatar-group/visual.spec.ts</x:v>
      </x:c>
      <x:c r="H18" s="78" t="str">
        <x:v>verified</x:v>
      </x:c>
      <x:c r="I18" s="55" t="str">
        <x:v>yes</x:v>
      </x:c>
      <x:c r="J18" s="55" t="str">
        <x:v>2026-09-01</x:v>
      </x:c>
      <x:c r="K18" s="58" t="str">
        <x:v>Reviewed light, dark, and forced-colors baselines pass.</x:v>
      </x:c>
      <x:c r="L18" s="61" t="n">
        <x:v>1</x:v>
      </x:c>
      <x:c r="M18" s="61" t="n">
        <x:f>IF(OR(AND(I18="yes",H18="verified"),AND(I18="no",OR(H18="tested",H18="verified")),AND(H18="not applicable",K18&lt;&gt;"")),1,0)</x:f>
        <x:v>1</x:v>
      </x:c>
    </x:row>
    <x:row r="19" ht="54" customHeight="1">
      <x:c r="A19" s="55" t="str">
        <x:v>AG-11</x:v>
      </x:c>
      <x:c r="B19" s="55" t="str">
        <x:v>Semantics</x:v>
      </x:c>
      <x:c r="C19" s="55" t="str">
        <x:v>AvatarGroup</x:v>
      </x:c>
      <x:c r="D19" s="58" t="str">
        <x:v>DOM order remains authored, paint order changes only z-index, and no implicit group role is added.</x:v>
      </x:c>
      <x:c r="E19" s="55" t="str">
        <x:v>package</x:v>
      </x:c>
      <x:c r="F19" s="55" t="str">
        <x:v>browser</x:v>
      </x:c>
      <x:c r="G19" s="58" t="str">
        <x:v>../test/components/avatar-group/avatar-group.test.tsx; tests/components/avatar-group/behavior.spec.ts</x:v>
      </x:c>
      <x:c r="H19" s="77" t="str">
        <x:v>tested</x:v>
      </x:c>
      <x:c r="I19" s="55" t="str">
        <x:v>no</x:v>
      </x:c>
      <x:c r="J19" s="55" t="str">
        <x:v>2026-09-01</x:v>
      </x:c>
      <x:c r="K19" s="58" t="str"/>
      <x:c r="L19" s="61" t="n">
        <x:v>1</x:v>
      </x:c>
      <x:c r="M19" s="61" t="n">
        <x:f>IF(OR(AND(I19="yes",H19="verified"),AND(I19="no",OR(H19="tested",H19="verified")),AND(H19="not applicable",K19&lt;&gt;"")),1,0)</x:f>
        <x:v>1</x:v>
      </x:c>
    </x:row>
    <x:row r="20" ht="54" customHeight="1">
      <x:c r="A20" s="55" t="str">
        <x:v>AG-12</x:v>
      </x:c>
      <x:c r="B20" s="55" t="str">
        <x:v>Manual</x:v>
      </x:c>
      <x:c r="C20" s="55" t="str">
        <x:v>AvatarGroup</x:v>
      </x:c>
      <x:c r="D20" s="58" t="str">
        <x:v>The component-owned manual protocol passes every AvatarGroup scenario on physical and assistive-technology paths.</x:v>
      </x:c>
      <x:c r="E20" s="55" t="str">
        <x:v>package</x:v>
      </x:c>
      <x:c r="F20" s="55" t="str">
        <x:v>manual</x:v>
      </x:c>
      <x:c r="G20" s="58" t="str">
        <x:v>manual-tests/avatar-group.md</x:v>
      </x:c>
      <x:c r="H20" s="79" t="str">
        <x:v>implemented</x:v>
      </x:c>
      <x:c r="I20" s="55" t="str">
        <x:v>yes</x:v>
      </x:c>
      <x:c r="J20" s="55" t="str"/>
      <x:c r="K20" s="58" t="str">
        <x:v>Protocol exists; physical device and assistive-technology review remains pending.</x:v>
      </x:c>
      <x:c r="L20" s="61" t="n">
        <x:v>1</x:v>
      </x:c>
      <x:c r="M20" s="61" t="n">
        <x:f>IF(OR(AND(I20="yes",H20="verified"),AND(I20="no",OR(H20="tested",H20="verified")),AND(H20="not applicable",K20&lt;&gt;"")),1,0)</x:f>
        <x:v>0</x:v>
      </x:c>
    </x:row>
    <x:row r="21" ht="54" customHeight="1">
      <x:c r="A21" s="55" t="str">
        <x:v>AG-13</x:v>
      </x:c>
      <x:c r="B21" s="55" t="str">
        <x:v>Docs</x:v>
      </x:c>
      <x:c r="C21" s="55" t="str">
        <x:v>AvatarGroup</x:v>
      </x:c>
      <x:c r="D21" s="58" t="str">
        <x:v>Public usage, boundaries, accessibility, CSS, API, and Agent Knowledge pass component checks.</x:v>
      </x:c>
      <x:c r="E21" s="55" t="str">
        <x:v>package</x:v>
      </x:c>
      <x:c r="F21" s="55" t="str">
        <x:v>docs</x:v>
      </x:c>
      <x:c r="G21" s="58" t="str">
        <x:v>../docs/components/avatar-group/README.md; ../src/components/avatar-group/agent.md</x:v>
      </x:c>
      <x:c r="H21" s="77" t="str">
        <x:v>tested</x:v>
      </x:c>
      <x:c r="I21" s="55" t="str">
        <x:v>no</x:v>
      </x:c>
      <x:c r="J21" s="55" t="str">
        <x:v>2026-09-01</x:v>
      </x:c>
      <x:c r="K21" s="58" t="str"/>
      <x:c r="L21" s="61" t="n">
        <x:v>1</x:v>
      </x:c>
      <x:c r="M21" s="61" t="n">
        <x:f>IF(OR(AND(I21="yes",H21="verified"),AND(I21="no",OR(H21="tested",H21="verified")),AND(H21="not applicable",K21&lt;&gt;"")),1,0)</x:f>
        <x:v>1</x:v>
      </x:c>
    </x:row>
    <x:row r="22" ht="54" customHeight="1">
      <x:c r="A22" s="55" t="str">
        <x:v>AG-14</x:v>
      </x:c>
      <x:c r="B22" s="55" t="str">
        <x:v>Changelog</x:v>
      </x:c>
      <x:c r="C22" s="55" t="str">
        <x:v>AvatarGroup</x:v>
      </x:c>
      <x:c r="D22" s="58" t="str">
        <x:v>AvatarGroup owns a public changelog and the package changelog records the addition.</x:v>
      </x:c>
      <x:c r="E22" s="55" t="str">
        <x:v>package</x:v>
      </x:c>
      <x:c r="F22" s="55" t="str">
        <x:v>docs</x:v>
      </x:c>
      <x:c r="G22" s="58" t="str">
        <x:v>../docs/components/avatar-group/CHANGELOG.md; ../CHANGELOG.md</x:v>
      </x:c>
      <x:c r="H22" s="77" t="str">
        <x:v>tested</x:v>
      </x:c>
      <x:c r="I22" s="55" t="str">
        <x:v>no</x:v>
      </x:c>
      <x:c r="J22" s="55" t="str">
        <x:v>2026-09-01</x:v>
      </x:c>
      <x:c r="K22" s="58" t="str"/>
      <x:c r="L22" s="61" t="n">
        <x:v>1</x:v>
      </x:c>
      <x:c r="M22" s="61" t="n">
        <x:f>IF(OR(AND(I22="yes",H22="verified"),AND(I22="no",OR(H22="tested",H22="verified")),AND(H22="not applicable",K22&lt;&gt;"")),1,0)</x:f>
        <x:v>1</x:v>
      </x:c>
    </x:row>
    <x:row r="23" ht="54" customHeight="1">
      <x:c r="A23" s="55" t="str">
        <x:v>AG-15</x:v>
      </x:c>
      <x:c r="B23" s="55" t="str">
        <x:v>Consumer</x:v>
      </x:c>
      <x:c r="C23" s="55" t="str">
        <x:v>AvatarGroup</x:v>
      </x:c>
      <x:c r="D23" s="58" t="str">
        <x:v>Packed React 18 and 19 consumers import, type-check, SSR-render, and exercise the public subpath.</x:v>
      </x:c>
      <x:c r="E23" s="55" t="str">
        <x:v>consumer</x:v>
      </x:c>
      <x:c r="F23" s="55" t="str">
        <x:v>consumer</x:v>
      </x:c>
      <x:c r="G23" s="58" t="str">
        <x:v>../scripts/verify-consumers.mjs; ../apps/consumer/src/App.tsx</x:v>
      </x:c>
      <x:c r="H23" s="77" t="str">
        <x:v>tested</x:v>
      </x:c>
      <x:c r="I23" s="55" t="str">
        <x:v>no</x:v>
      </x:c>
      <x:c r="J23" s="55" t="str">
        <x:v>2026-09-01</x:v>
      </x:c>
      <x:c r="K23" s="58" t="str"/>
      <x:c r="L23" s="61" t="n">
        <x:v>1</x:v>
      </x:c>
      <x:c r="M23" s="61" t="n">
        <x:f>IF(OR(AND(I23="yes",H23="verified"),AND(I23="no",OR(H23="tested",H23="verified")),AND(H23="not applicable",K23&lt;&gt;"")),1,0)</x:f>
        <x:v>1</x:v>
      </x:c>
    </x:row>
    <x:row r="24" ht="54" customHeight="1">
      <x:c r="A24" s="55" t="str">
        <x:v>AG-16</x:v>
      </x:c>
      <x:c r="B24" s="55" t="str">
        <x:v>Package</x:v>
      </x:c>
      <x:c r="C24" s="55" t="str">
        <x:v>AvatarGroup</x:v>
      </x:c>
      <x:c r="D24" s="58" t="str">
        <x:v>Build, SSR, exports, CSS, Agent Knowledge, package tests, and clean packed consumers pass.</x:v>
      </x:c>
      <x:c r="E24" s="55" t="str">
        <x:v>package</x:v>
      </x:c>
      <x:c r="F24" s="55" t="str">
        <x:v>package</x:v>
      </x:c>
      <x:c r="G24" s="58" t="str">
        <x:v>../test/package; ../scripts/verify-package.mjs; ../scripts/verify-consumers.mjs</x:v>
      </x:c>
      <x:c r="H24" s="77" t="str">
        <x:v>tested</x:v>
      </x:c>
      <x:c r="I24" s="55" t="str">
        <x:v>no</x:v>
      </x:c>
      <x:c r="J24" s="55" t="str">
        <x:v>2026-09-01</x:v>
      </x:c>
      <x:c r="K24" s="58" t="str"/>
      <x:c r="L24" s="61" t="n">
        <x:v>1</x:v>
      </x:c>
      <x:c r="M24" s="61" t="n">
        <x:f>IF(OR(AND(I24="yes",H24="verified"),AND(I24="no",OR(H24="tested",H24="verified")),AND(H24="not applicable",K24&lt;&gt;"")),1,0)</x:f>
        <x:v>1</x:v>
      </x:c>
    </x:row>
  </x:sheetData>
  <x:mergeCells>
    <x:mergeCell ref="A1:M1"/>
    <x:mergeCell ref="A2:M2"/>
  </x:mergeCells>
  <x:dataValidations count="3">
    <x:dataValidation type="list" sqref="H9:H24">
      <x:formula1>"not started,partial,implemented,tested,verified,blocked,not applicable"</x:formula1>
    </x:dataValidation>
    <x:dataValidation type="list" sqref="I9:I24">
      <x:formula1>"yes,no"</x:formula1>
    </x:dataValidation>
    <x:dataValidation type="list" sqref="E9:E24">
      <x:formula1>"package,consumer"</x:formula1>
    </x:dataValidation>
  </x:dataValidations>
  <x:pageMargins left="0.7" right="0.7" top="0.75" bottom="0.75" header="0.3" footer="0.3"/>
</x:worksheet>
</file>

<file path=xl/worksheets/sheet10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4.5" hidden="0" customWidth="1"/>
    <x:col min="3" max="3" width="14" hidden="0" customWidth="1"/>
    <x:col min="4" max="4" width="49.5" hidden="0" customWidth="1"/>
    <x:col min="5" max="5" width="12" hidden="0" customWidth="1"/>
    <x:col min="6" max="6" width="13" hidden="0" customWidth="1"/>
    <x:col min="7" max="7" width="43.75" hidden="0" customWidth="1"/>
    <x:col min="8" max="8" width="15.75" hidden="0" customWidth="1"/>
    <x:col min="9" max="9" width="14.75" hidden="0" customWidth="1"/>
    <x:col min="10" max="10" width="13.5" hidden="0" customWidth="1"/>
    <x:col min="11" max="11" width="45" hidden="0" customWidth="1"/>
    <x:col min="12" max="12" width="9.5" hidden="0" customWidth="1"/>
    <x:col min="13" max="13" width="10.25" hidden="0" customWidth="1"/>
  </x:cols>
  <x:sheetData>
    <x:row r="1" ht="33" customHeight="1">
      <x:c r="A1" s="81" t="str">
        <x:v>Center Evidence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</x:row>
    <x:row r="2" ht="24" customHeight="1">
      <x:c r="A2" s="83" t="str">
        <x:v>Assertion-level centered-layout, composition, geometry, browser, documentation, and package evidence.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21" customHeight="1">
      <x:c r="A4" s="85" t="s">
        <x:v>6</x:v>
      </x:c>
      <x:c r="B4" s="86" t="n">
        <x:f>COUNTA(A9:A24)</x:f>
        <x:v>16</x:v>
      </x:c>
      <x:c r="C4" s="84"/>
      <x:c r="D4" s="85" t="s">
        <x:v>143</x:v>
      </x:c>
      <x:c r="E4" s="86" t="n">
        <x:f>SUM(M9:M24)</x:f>
        <x:v>12</x:v>
      </x:c>
      <x:c r="F4" s="84"/>
      <x:c r="G4" s="85" t="s">
        <x:v>13</x:v>
      </x:c>
      <x:c r="H4" s="102" t="n">
        <x:f>IF(B4=0,0,E4/B4)</x:f>
        <x:v>0.75</x:v>
      </x:c>
      <x:c r="I4" s="84"/>
      <x:c r="J4" s="85" t="s">
        <x:v>14</x:v>
      </x:c>
      <x:c r="K4" s="86" t="str">
        <x:f>IF(COUNTIFS(E9:E24,"package",M9:M24,0)&gt;0,"open","complete")</x:f>
        <x:v>open</x:v>
      </x:c>
      <x:c r="L4" s="84"/>
      <x:c r="M4" s="84"/>
    </x:row>
    <x:row r="5" ht="21" customHeight="1">
      <x:c r="A5" s="85" t="s">
        <x:v>144</x:v>
      </x:c>
      <x:c r="B5" s="86" t="str">
        <x:f>IF(COUNTIFS(I9:I24,"yes",M9:M24,0)&gt;0,"open","complete")</x:f>
        <x:v>open</x:v>
      </x:c>
      <x:c r="C5" s="84"/>
      <x:c r="D5" s="85" t="s">
        <x:v>15</x:v>
      </x:c>
      <x:c r="E5" s="86" t="str">
        <x:f>IF(COUNTIFS(E9:E24,"consumer",M9:M24,0)&gt;0,"open","complete")</x:f>
        <x:v>complete</x:v>
      </x:c>
      <x:c r="F5" s="84"/>
      <x:c r="G5" s="85"/>
      <x:c r="H5" s="86"/>
      <x:c r="I5" s="84"/>
      <x:c r="J5" s="85"/>
      <x:c r="K5" s="86"/>
      <x:c r="L5" s="84"/>
      <x:c r="M5" s="84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21" customHeight="1">
      <x:c r="A8" s="89" t="s">
        <x:v>145</x:v>
      </x:c>
      <x:c r="B8" s="89" t="s">
        <x:v>146</x:v>
      </x:c>
      <x:c r="C8" s="89" t="s">
        <x:v>147</x:v>
      </x:c>
      <x:c r="D8" s="89" t="s">
        <x:v>148</x:v>
      </x:c>
      <x:c r="E8" s="89" t="s">
        <x:v>149</x:v>
      </x:c>
      <x:c r="F8" s="89" t="s">
        <x:v>150</x:v>
      </x:c>
      <x:c r="G8" s="89" t="s">
        <x:v>151</x:v>
      </x:c>
      <x:c r="H8" s="89" t="s">
        <x:v>103</x:v>
      </x:c>
      <x:c r="I8" s="89" t="s">
        <x:v>152</x:v>
      </x:c>
      <x:c r="J8" s="89" t="s">
        <x:v>153</x:v>
      </x:c>
      <x:c r="K8" s="89" t="s">
        <x:v>154</x:v>
      </x:c>
      <x:c r="L8" s="89" t="s">
        <x:v>155</x:v>
      </x:c>
      <x:c r="M8" s="89" t="s">
        <x:v>143</x:v>
      </x:c>
    </x:row>
    <x:row r="9" ht="39" customHeight="1">
      <x:c r="A9" s="95" t="str">
        <x:v>CE-01</x:v>
      </x:c>
      <x:c r="B9" s="95" t="str">
        <x:v>Implementation</x:v>
      </x:c>
      <x:c r="C9" s="95" t="str">
        <x:v>Center</x:v>
      </x:c>
      <x:c r="D9" s="96" t="str">
        <x:v>Center renders one approved semantic host and centers one child on both axes without owning dimensions or paint.</x:v>
      </x:c>
      <x:c r="E9" s="95" t="str">
        <x:v>package</x:v>
      </x:c>
      <x:c r="F9" s="95" t="str">
        <x:v>source</x:v>
      </x:c>
      <x:c r="G9" s="96" t="str">
        <x:v>../src/components/center</x:v>
      </x:c>
      <x:c r="H9" s="98" t="str">
        <x:v>tested</x:v>
      </x:c>
      <x:c r="I9" s="99" t="str">
        <x:v>no</x:v>
      </x:c>
      <x:c r="J9" s="100" t="n">
        <x:v>46268</x:v>
      </x:c>
      <x:c r="K9" s="96"/>
      <x:c r="L9" s="101" t="n">
        <x:v>1</x:v>
      </x:c>
      <x:c r="M9" s="101" t="n">
        <x:f>IF(OR(AND(I9="yes",H9="verified"),AND(I9="no",OR(H9="tested",H9="verified")),AND(H9="not applicable",K9&lt;&gt;"")),1,0)</x:f>
        <x:v>1</x:v>
      </x:c>
    </x:row>
    <x:row r="10" ht="39" customHeight="1">
      <x:c r="A10" s="95" t="str">
        <x:v>CE-02</x:v>
      </x:c>
      <x:c r="B10" s="95" t="str">
        <x:v>Exports</x:v>
      </x:c>
      <x:c r="C10" s="95" t="str">
        <x:v>Center</x:v>
      </x:c>
      <x:c r="D10" s="96" t="str">
        <x:v>Root and center subpath exports expose Center and every public Center type with identical runtime identity.</x:v>
      </x:c>
      <x:c r="E10" s="95" t="str">
        <x:v>package</x:v>
      </x:c>
      <x:c r="F10" s="95" t="str">
        <x:v>package</x:v>
      </x:c>
      <x:c r="G10" s="96" t="str">
        <x:v>../test/package/package.test.mjs; ../test/package/ssr.test.mjs</x:v>
      </x:c>
      <x:c r="H10" s="98" t="str">
        <x:v>tested</x:v>
      </x:c>
      <x:c r="I10" s="99" t="str">
        <x:v>no</x:v>
      </x:c>
      <x:c r="J10" s="100" t="n">
        <x:v>46268</x:v>
      </x:c>
      <x:c r="K10" s="96"/>
      <x:c r="L10" s="101" t="n">
        <x:v>1</x:v>
      </x:c>
      <x:c r="M10" s="101" t="n">
        <x:f>IF(OR(AND(I10="yes",H10="verified"),AND(I10="no",OR(H10="tested",H10="verified")),AND(H10="not applicable",K10&lt;&gt;"")),1,0)</x:f>
        <x:v>1</x:v>
      </x:c>
    </x:row>
    <x:row r="11" ht="39" customHeight="1">
      <x:c r="A11" s="95" t="str">
        <x:v>CE-03</x:v>
      </x:c>
      <x:c r="B11" s="95" t="str">
        <x:v>Types</x:v>
      </x:c>
      <x:c r="C11" s="95" t="str">
        <x:v>Public surface</x:v>
      </x:c>
      <x:c r="D11" s="96" t="str">
        <x:v>Closed hosts, inline mode, asChild, native props, event handlers, styles, and refs type-check while invalid props are rejected.</x:v>
      </x:c>
      <x:c r="E11" s="95" t="str">
        <x:v>package</x:v>
      </x:c>
      <x:c r="F11" s="95" t="str">
        <x:v>types</x:v>
      </x:c>
      <x:c r="G11" s="96" t="str">
        <x:v>../test/types/components/center.test.ts</x:v>
      </x:c>
      <x:c r="H11" s="98" t="str">
        <x:v>tested</x:v>
      </x:c>
      <x:c r="I11" s="99" t="str">
        <x:v>no</x:v>
      </x:c>
      <x:c r="J11" s="100" t="n">
        <x:v>46268</x:v>
      </x:c>
      <x:c r="K11" s="96"/>
      <x:c r="L11" s="101" t="n">
        <x:v>1</x:v>
      </x:c>
      <x:c r="M11" s="101" t="n">
        <x:f>IF(OR(AND(I11="yes",H11="verified"),AND(I11="no",OR(H11="tested",H11="verified")),AND(H11="not applicable",K11&lt;&gt;"")),1,0)</x:f>
        <x:v>1</x:v>
      </x:c>
    </x:row>
    <x:row r="12" ht="39" customHeight="1">
      <x:c r="A12" s="95" t="str">
        <x:v>CE-04</x:v>
      </x:c>
      <x:c r="B12" s="95" t="str">
        <x:v>CSS</x:v>
      </x:c>
      <x:c r="C12" s="95" t="str">
        <x:v>Center</x:v>
      </x:c>
      <x:c r="D12" s="96" t="str">
        <x:v>Static CSS owns centering and fixed flex participation without taking over paint, spacing, or positioning.</x:v>
      </x:c>
      <x:c r="E12" s="95" t="str">
        <x:v>package</x:v>
      </x:c>
      <x:c r="F12" s="95" t="str">
        <x:v>css</x:v>
      </x:c>
      <x:c r="G12" s="96" t="str">
        <x:v>../src/components/center/center.css</x:v>
      </x:c>
      <x:c r="H12" s="98" t="str">
        <x:v>tested</x:v>
      </x:c>
      <x:c r="I12" s="99" t="str">
        <x:v>no</x:v>
      </x:c>
      <x:c r="J12" s="100" t="n">
        <x:v>46268</x:v>
      </x:c>
      <x:c r="K12" s="96"/>
      <x:c r="L12" s="101" t="n">
        <x:v>1</x:v>
      </x:c>
      <x:c r="M12" s="101" t="n">
        <x:f>IF(OR(AND(I12="yes",H12="verified"),AND(I12="no",OR(H12="tested",H12="verified")),AND(H12="not applicable",K12&lt;&gt;"")),1,0)</x:f>
        <x:v>1</x:v>
      </x:c>
    </x:row>
    <x:row r="13" ht="39" customHeight="1">
      <x:c r="A13" s="95" t="str">
        <x:v>CE-05</x:v>
      </x:c>
      <x:c r="B13" s="95" t="str">
        <x:v>Unit</x:v>
      </x:c>
      <x:c r="C13" s="95" t="str">
        <x:v>Center</x:v>
      </x:c>
      <x:c r="D13" s="96" t="str">
        <x:v>Default, inline, semantic-host, asChild, native-prop, event, style, slot, and ref behavior pass.</x:v>
      </x:c>
      <x:c r="E13" s="95" t="str">
        <x:v>package</x:v>
      </x:c>
      <x:c r="F13" s="95" t="str">
        <x:v>component</x:v>
      </x:c>
      <x:c r="G13" s="96" t="str">
        <x:v>../test/components/center/center.test.tsx</x:v>
      </x:c>
      <x:c r="H13" s="98" t="str">
        <x:v>tested</x:v>
      </x:c>
      <x:c r="I13" s="99" t="str">
        <x:v>no</x:v>
      </x:c>
      <x:c r="J13" s="100" t="n">
        <x:v>46268</x:v>
      </x:c>
      <x:c r="K13" s="96"/>
      <x:c r="L13" s="101" t="n">
        <x:v>1</x:v>
      </x:c>
      <x:c r="M13" s="101" t="n">
        <x:f>IF(OR(AND(I13="yes",H13="verified"),AND(I13="no",OR(H13="tested",H13="verified")),AND(H13="not applicable",K13&lt;&gt;"")),1,0)</x:f>
        <x:v>1</x:v>
      </x:c>
    </x:row>
    <x:row r="14" ht="39" customHeight="1">
      <x:c r="A14" s="95" t="str">
        <x:v>CE-06</x:v>
      </x:c>
      <x:c r="B14" s="95" t="str">
        <x:v>Browser</x:v>
      </x:c>
      <x:c r="C14" s="95" t="str">
        <x:v>Center</x:v>
      </x:c>
      <x:c r="D14" s="96" t="str">
        <x:v>Block and inline centering, intrinsic content, flex pressure, and public hooks resolve correctly in real browsers.</x:v>
      </x:c>
      <x:c r="E14" s="95" t="str">
        <x:v>package</x:v>
      </x:c>
      <x:c r="F14" s="95" t="str">
        <x:v>browser</x:v>
      </x:c>
      <x:c r="G14" s="96" t="str">
        <x:v>tests/components/center/behavior.spec.ts</x:v>
      </x:c>
      <x:c r="H14" s="98" t="str">
        <x:v>tested</x:v>
      </x:c>
      <x:c r="I14" s="99" t="str">
        <x:v>no</x:v>
      </x:c>
      <x:c r="J14" s="100" t="n">
        <x:v>46268</x:v>
      </x:c>
      <x:c r="K14" s="96"/>
      <x:c r="L14" s="101" t="n">
        <x:v>1</x:v>
      </x:c>
      <x:c r="M14" s="101" t="n">
        <x:f>IF(OR(AND(I14="yes",H14="verified"),AND(I14="no",OR(H14="tested",H14="verified")),AND(H14="not applicable",K14&lt;&gt;"")),1,0)</x:f>
        <x:v>1</x:v>
      </x:c>
    </x:row>
    <x:row r="15" ht="39" customHeight="1">
      <x:c r="A15" s="95" t="str">
        <x:v>CE-07</x:v>
      </x:c>
      <x:c r="B15" s="95" t="str">
        <x:v>Composition</x:v>
      </x:c>
      <x:c r="C15" s="95" t="str">
        <x:v>asChild</x:v>
      </x:c>
      <x:c r="D15" s="96" t="str">
        <x:v>Center enhances one semantic or painted child while preserving one host, child props, merged handlers, styles, slot, and ref.</x:v>
      </x:c>
      <x:c r="E15" s="95" t="str">
        <x:v>package</x:v>
      </x:c>
      <x:c r="F15" s="95" t="str">
        <x:v>browser</x:v>
      </x:c>
      <x:c r="G15" s="96" t="str">
        <x:v>tests/components/center/behavior.spec.ts</x:v>
      </x:c>
      <x:c r="H15" s="98" t="str">
        <x:v>tested</x:v>
      </x:c>
      <x:c r="I15" s="99" t="str">
        <x:v>no</x:v>
      </x:c>
      <x:c r="J15" s="100" t="n">
        <x:v>46268</x:v>
      </x:c>
      <x:c r="K15" s="96"/>
      <x:c r="L15" s="101" t="n">
        <x:v>1</x:v>
      </x:c>
      <x:c r="M15" s="101" t="n">
        <x:f>IF(OR(AND(I15="yes",H15="verified"),AND(I15="no",OR(H15="tested",H15="verified")),AND(H15="not applicable",K15&lt;&gt;"")),1,0)</x:f>
        <x:v>1</x:v>
      </x:c>
    </x:row>
    <x:row r="16" ht="39" customHeight="1">
      <x:c r="A16" s="95" t="str">
        <x:v>CE-08</x:v>
      </x:c>
      <x:c r="B16" s="95" t="str">
        <x:v>Geometry</x:v>
      </x:c>
      <x:c r="C16" s="95" t="str">
        <x:v>Center</x:v>
      </x:c>
      <x:c r="D16" s="96" t="str">
        <x:v>Center keeps centered content stable without imposing width or height and does not shrink under flex pressure.</x:v>
      </x:c>
      <x:c r="E16" s="95" t="str">
        <x:v>package</x:v>
      </x:c>
      <x:c r="F16" s="95" t="str">
        <x:v>browser</x:v>
      </x:c>
      <x:c r="G16" s="96" t="str">
        <x:v>tests/components/center/behavior.spec.ts</x:v>
      </x:c>
      <x:c r="H16" s="98" t="str">
        <x:v>tested</x:v>
      </x:c>
      <x:c r="I16" s="99" t="str">
        <x:v>no</x:v>
      </x:c>
      <x:c r="J16" s="100" t="n">
        <x:v>46268</x:v>
      </x:c>
      <x:c r="K16" s="96"/>
      <x:c r="L16" s="101" t="n">
        <x:v>1</x:v>
      </x:c>
      <x:c r="M16" s="101" t="n">
        <x:f>IF(OR(AND(I16="yes",H16="verified"),AND(I16="no",OR(H16="tested",H16="verified")),AND(H16="not applicable",K16&lt;&gt;"")),1,0)</x:f>
        <x:v>1</x:v>
      </x:c>
    </x:row>
    <x:row r="17" ht="39" customHeight="1">
      <x:c r="A17" s="95" t="str">
        <x:v>CE-09</x:v>
      </x:c>
      <x:c r="B17" s="95" t="str">
        <x:v>Accessibility</x:v>
      </x:c>
      <x:c r="C17" s="95" t="str">
        <x:v>Center</x:v>
      </x:c>
      <x:c r="D17" s="96" t="str">
        <x:v>Center adds no landmark or behavior and preserves source order, focus visibility, axe, RTL, and writing modes.</x:v>
      </x:c>
      <x:c r="E17" s="95" t="str">
        <x:v>package</x:v>
      </x:c>
      <x:c r="F17" s="95" t="str">
        <x:v>axe</x:v>
      </x:c>
      <x:c r="G17" s="96" t="str">
        <x:v>tests/components/center/behavior.spec.ts</x:v>
      </x:c>
      <x:c r="H17" s="98" t="str">
        <x:v>tested</x:v>
      </x:c>
      <x:c r="I17" s="99" t="str">
        <x:v>no</x:v>
      </x:c>
      <x:c r="J17" s="100" t="n">
        <x:v>46268</x:v>
      </x:c>
      <x:c r="K17" s="96"/>
      <x:c r="L17" s="101" t="n">
        <x:v>1</x:v>
      </x:c>
      <x:c r="M17" s="101" t="n">
        <x:f>IF(OR(AND(I17="yes",H17="verified"),AND(I17="no",OR(H17="tested",H17="verified")),AND(H17="not applicable",K17&lt;&gt;"")),1,0)</x:f>
        <x:v>1</x:v>
      </x:c>
    </x:row>
    <x:row r="18" ht="39" customHeight="1">
      <x:c r="A18" s="95" t="str">
        <x:v>CE-10</x:v>
      </x:c>
      <x:c r="B18" s="95" t="str">
        <x:v>Visual</x:v>
      </x:c>
      <x:c r="C18" s="95" t="str">
        <x:v>Center</x:v>
      </x:c>
      <x:c r="D18" s="96" t="str">
        <x:v>Baselines cover block, inline, asChild, painted composition, and flex-pressure scenarios across themes.</x:v>
      </x:c>
      <x:c r="E18" s="95" t="str">
        <x:v>package</x:v>
      </x:c>
      <x:c r="F18" s="95" t="str">
        <x:v>visual</x:v>
      </x:c>
      <x:c r="G18" s="96" t="str">
        <x:v>tests/components/center/visual.spec.ts</x:v>
      </x:c>
      <x:c r="H18" s="98" t="str">
        <x:v>implemented</x:v>
      </x:c>
      <x:c r="I18" s="99" t="str">
        <x:v>yes</x:v>
      </x:c>
      <x:c r="J18" s="100"/>
      <x:c r="K18" s="96" t="str">
        <x:v>Automated baselines exist; complete owner visual review is intentionally unclaimed.</x:v>
      </x:c>
      <x:c r="L18" s="101" t="n">
        <x:v>1</x:v>
      </x:c>
      <x:c r="M18" s="101" t="n">
        <x:f>IF(OR(AND(I18="yes",H18="verified"),AND(I18="no",OR(H18="tested",H18="verified")),AND(H18="not applicable",K18&lt;&gt;"")),1,0)</x:f>
        <x:v>0</x:v>
      </x:c>
    </x:row>
    <x:row r="19" ht="39" customHeight="1">
      <x:c r="A19" s="95" t="str">
        <x:v>CE-11</x:v>
      </x:c>
      <x:c r="B19" s="95" t="str">
        <x:v>Responsive</x:v>
      </x:c>
      <x:c r="C19" s="95" t="str">
        <x:v>Center</x:v>
      </x:c>
      <x:c r="D19" s="96" t="str">
        <x:v>Mobile, zoom, long content, RTL, and writing-mode scenarios remain centered and usable.</x:v>
      </x:c>
      <x:c r="E19" s="95" t="str">
        <x:v>package</x:v>
      </x:c>
      <x:c r="F19" s="95" t="str">
        <x:v>manual</x:v>
      </x:c>
      <x:c r="G19" s="96" t="str">
        <x:v>manual-tests/center.md</x:v>
      </x:c>
      <x:c r="H19" s="98" t="str">
        <x:v>implemented</x:v>
      </x:c>
      <x:c r="I19" s="99" t="str">
        <x:v>yes</x:v>
      </x:c>
      <x:c r="J19" s="100"/>
      <x:c r="K19" s="96" t="str">
        <x:v>Automated responsive evidence passes; the complete human run remains pending.</x:v>
      </x:c>
      <x:c r="L19" s="101" t="n">
        <x:v>1</x:v>
      </x:c>
      <x:c r="M19" s="101" t="n">
        <x:f>IF(OR(AND(I19="yes",H19="verified"),AND(I19="no",OR(H19="tested",H19="verified")),AND(H19="not applicable",K19&lt;&gt;"")),1,0)</x:f>
        <x:v>0</x:v>
      </x:c>
    </x:row>
    <x:row r="20" ht="39" customHeight="1">
      <x:c r="A20" s="95" t="str">
        <x:v>CE-12</x:v>
      </x:c>
      <x:c r="B20" s="95" t="str">
        <x:v>Manual</x:v>
      </x:c>
      <x:c r="C20" s="95" t="str">
        <x:v>Center</x:v>
      </x:c>
      <x:c r="D20" s="96" t="str">
        <x:v>A tester completes the centering, intrinsic sizing, flex-pressure, composition, focus, theme, and writing-mode protocol.</x:v>
      </x:c>
      <x:c r="E20" s="95" t="str">
        <x:v>package</x:v>
      </x:c>
      <x:c r="F20" s="95" t="str">
        <x:v>manual</x:v>
      </x:c>
      <x:c r="G20" s="96" t="str">
        <x:v>manual-tests/center.md</x:v>
      </x:c>
      <x:c r="H20" s="98" t="str">
        <x:v>implemented</x:v>
      </x:c>
      <x:c r="I20" s="99" t="str">
        <x:v>yes</x:v>
      </x:c>
      <x:c r="J20" s="100"/>
      <x:c r="K20" s="96" t="str">
        <x:v>Protocol exists; owner human review remains intentionally unclaimed.</x:v>
      </x:c>
      <x:c r="L20" s="101" t="n">
        <x:v>1</x:v>
      </x:c>
      <x:c r="M20" s="101" t="n">
        <x:f>IF(OR(AND(I20="yes",H20="verified"),AND(I20="no",OR(H20="tested",H20="verified")),AND(H20="not applicable",K20&lt;&gt;"")),1,0)</x:f>
        <x:v>0</x:v>
      </x:c>
    </x:row>
    <x:row r="21" ht="39" customHeight="1">
      <x:c r="A21" s="95" t="str">
        <x:v>CE-13</x:v>
      </x:c>
      <x:c r="B21" s="95" t="str">
        <x:v>Docs</x:v>
      </x:c>
      <x:c r="C21" s="95" t="str">
        <x:v>Center</x:v>
      </x:c>
      <x:c r="D21" s="96" t="str">
        <x:v>Public and Agent Knowledge guidance covers selection, ownership boundaries, composition, accessibility, CSS, and API details.</x:v>
      </x:c>
      <x:c r="E21" s="95" t="str">
        <x:v>package</x:v>
      </x:c>
      <x:c r="F21" s="95" t="str">
        <x:v>docs</x:v>
      </x:c>
      <x:c r="G21" s="96" t="str">
        <x:v>../docs/components/center/README.md; ../src/components/center/agent.json; ../src/components/center/agent.md</x:v>
      </x:c>
      <x:c r="H21" s="98" t="str">
        <x:v>tested</x:v>
      </x:c>
      <x:c r="I21" s="99" t="str">
        <x:v>no</x:v>
      </x:c>
      <x:c r="J21" s="100" t="n">
        <x:v>46268</x:v>
      </x:c>
      <x:c r="K21" s="96"/>
      <x:c r="L21" s="101" t="n">
        <x:v>1</x:v>
      </x:c>
      <x:c r="M21" s="101" t="n">
        <x:f>IF(OR(AND(I21="yes",H21="verified"),AND(I21="no",OR(H21="tested",H21="verified")),AND(H21="not applicable",K21&lt;&gt;"")),1,0)</x:f>
        <x:v>1</x:v>
      </x:c>
    </x:row>
    <x:row r="22" ht="39" customHeight="1">
      <x:c r="A22" s="95" t="str">
        <x:v>CE-14</x:v>
      </x:c>
      <x:c r="B22" s="95" t="str">
        <x:v>Changelog</x:v>
      </x:c>
      <x:c r="C22" s="95" t="str">
        <x:v>Center</x:v>
      </x:c>
      <x:c r="D22" s="96" t="str">
        <x:v>Component and package history record the new public primitive and its qualified contract.</x:v>
      </x:c>
      <x:c r="E22" s="95" t="str">
        <x:v>package</x:v>
      </x:c>
      <x:c r="F22" s="95" t="str">
        <x:v>docs</x:v>
      </x:c>
      <x:c r="G22" s="96" t="str">
        <x:v>../docs/components/center/CHANGELOG.md; ../CHANGELOG.md</x:v>
      </x:c>
      <x:c r="H22" s="98" t="str">
        <x:v>tested</x:v>
      </x:c>
      <x:c r="I22" s="99" t="str">
        <x:v>no</x:v>
      </x:c>
      <x:c r="J22" s="100" t="n">
        <x:v>46268</x:v>
      </x:c>
      <x:c r="K22" s="96"/>
      <x:c r="L22" s="101" t="n">
        <x:v>1</x:v>
      </x:c>
      <x:c r="M22" s="101" t="n">
        <x:f>IF(OR(AND(I22="yes",H22="verified"),AND(I22="no",OR(H22="tested",H22="verified")),AND(H22="not applicable",K22&lt;&gt;"")),1,0)</x:f>
        <x:v>1</x:v>
      </x:c>
    </x:row>
    <x:row r="23" ht="39" customHeight="1">
      <x:c r="A23" s="95" t="str">
        <x:v>CE-15</x:v>
      </x:c>
      <x:c r="B23" s="95" t="str">
        <x:v>Consumer</x:v>
      </x:c>
      <x:c r="C23" s="95" t="str">
        <x:v>Center</x:v>
      </x:c>
      <x:c r="D23" s="96" t="str">
        <x:v>A packed consumer directly imports Center for a realistic icon-well composition.</x:v>
      </x:c>
      <x:c r="E23" s="95" t="str">
        <x:v>consumer</x:v>
      </x:c>
      <x:c r="F23" s="95" t="str">
        <x:v>consumer</x:v>
      </x:c>
      <x:c r="G23" s="96" t="str">
        <x:v>../apps/consumer/src/App.tsx; ../apps/consumer/tests/consumer.spec.ts</x:v>
      </x:c>
      <x:c r="H23" s="98" t="str">
        <x:v>tested</x:v>
      </x:c>
      <x:c r="I23" s="99" t="str">
        <x:v>no</x:v>
      </x:c>
      <x:c r="J23" s="100" t="n">
        <x:v>46268</x:v>
      </x:c>
      <x:c r="K23" s="96"/>
      <x:c r="L23" s="101" t="n">
        <x:v>1</x:v>
      </x:c>
      <x:c r="M23" s="101" t="n">
        <x:f>IF(OR(AND(I23="yes",H23="verified"),AND(I23="no",OR(H23="tested",H23="verified")),AND(H23="not applicable",K23&lt;&gt;"")),1,0)</x:f>
        <x:v>1</x:v>
      </x:c>
    </x:row>
    <x:row r="24" ht="39" customHeight="1">
      <x:c r="A24" s="95" t="str">
        <x:v>CE-16</x:v>
      </x:c>
      <x:c r="B24" s="95" t="str">
        <x:v>Package</x:v>
      </x:c>
      <x:c r="C24" s="95" t="str">
        <x:v>Center</x:v>
      </x:c>
      <x:c r="D24" s="96" t="str">
        <x:v>Build, SSR, exports, CSS, tarball, React 18/19, documentation, browser, axe, visual, and packed Consumer gates pass.</x:v>
      </x:c>
      <x:c r="E24" s="95" t="str">
        <x:v>package</x:v>
      </x:c>
      <x:c r="F24" s="95" t="str">
        <x:v>package</x:v>
      </x:c>
      <x:c r="G24" s="96" t="str">
        <x:v>../test/package; ../scripts/verify-package.mjs; ../scripts/verify-app-consumer.mjs</x:v>
      </x:c>
      <x:c r="H24" s="98" t="str">
        <x:v>implemented</x:v>
      </x:c>
      <x:c r="I24" s="99" t="str">
        <x:v>yes</x:v>
      </x:c>
      <x:c r="J24" s="100"/>
      <x:c r="K24" s="96" t="str">
        <x:v>Automated package gates pass; complete status waits for the component-owned human manual run and a future authorized release.</x:v>
      </x:c>
      <x:c r="L24" s="101" t="n">
        <x:v>1</x:v>
      </x:c>
      <x:c r="M24" s="101" t="n">
        <x:f>IF(OR(AND(I24="yes",H24="verified"),AND(I24="no",OR(H24="tested",H24="verified")),AND(H24="not applicable",K24&lt;&gt;"")),1,0)</x:f>
        <x:v>0</x:v>
      </x:c>
    </x:row>
  </x:sheetData>
  <x:conditionalFormatting sqref="H9:H24">
    <x:cfRule type="containsText" dxfId="13" priority="1" operator="containsText" text="implemented"/>
    <x:cfRule type="containsText" dxfId="14" priority="2" operator="containsText" text="tested"/>
  </x:conditionalFormatting>
  <x:dataValidations count="2">
    <x:dataValidation type="list" sqref="H9:H24">
      <x:formula1>"not started,partial,implemented,tested,verified,blocked,not applicable"</x:formula1>
    </x:dataValidation>
    <x:dataValidation type="list" sqref="I9:I24">
      <x:formula1>"yes,no"</x:formula1>
    </x:dataValidation>
  </x:dataValidations>
  <x:pageMargins left="0.7" right="0.7" top="0.75" bottom="0.75" header="0.3" footer="0.3"/>
</x:worksheet>
</file>

<file path=xl/worksheets/sheet10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4.5" hidden="0" customWidth="1"/>
    <x:col min="3" max="3" width="14" hidden="0" customWidth="1"/>
    <x:col min="4" max="4" width="49.5" hidden="0" customWidth="1"/>
    <x:col min="5" max="5" width="12" hidden="0" customWidth="1"/>
    <x:col min="6" max="6" width="13" hidden="0" customWidth="1"/>
    <x:col min="7" max="7" width="43.75" hidden="0" customWidth="1"/>
    <x:col min="8" max="8" width="15.75" hidden="0" customWidth="1"/>
    <x:col min="9" max="9" width="14.75" hidden="0" customWidth="1"/>
    <x:col min="10" max="10" width="13.5" hidden="0" customWidth="1"/>
    <x:col min="11" max="11" width="45" hidden="0" customWidth="1"/>
    <x:col min="12" max="12" width="9.5" hidden="0" customWidth="1"/>
    <x:col min="13" max="13" width="10.25" hidden="0" customWidth="1"/>
  </x:cols>
  <x:sheetData>
    <x:row r="1" ht="33" customHeight="1">
      <x:c r="A1" s="81" t="str">
        <x:v>Square Evidence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</x:row>
    <x:row r="2" ht="24" customHeight="1">
      <x:c r="A2" s="83" t="str">
        <x:v>Assertion-level equal-size, responsive, composition, flex-pressure, browser, documentation, and package evidence.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21" customHeight="1">
      <x:c r="A4" s="85" t="s">
        <x:v>6</x:v>
      </x:c>
      <x:c r="B4" s="86" t="n">
        <x:f>COUNTA(A9:A24)</x:f>
        <x:v>16</x:v>
      </x:c>
      <x:c r="C4" s="84"/>
      <x:c r="D4" s="85" t="s">
        <x:v>143</x:v>
      </x:c>
      <x:c r="E4" s="86" t="n">
        <x:f>SUM(M9:M24)</x:f>
        <x:v>12</x:v>
      </x:c>
      <x:c r="F4" s="84"/>
      <x:c r="G4" s="85" t="s">
        <x:v>13</x:v>
      </x:c>
      <x:c r="H4" s="102" t="n">
        <x:f>IF(B4=0,0,E4/B4)</x:f>
        <x:v>0.75</x:v>
      </x:c>
      <x:c r="I4" s="84"/>
      <x:c r="J4" s="85" t="s">
        <x:v>14</x:v>
      </x:c>
      <x:c r="K4" s="86" t="str">
        <x:f>IF(COUNTIFS(E9:E24,"package",M9:M24,0)&gt;0,"open","complete")</x:f>
        <x:v>open</x:v>
      </x:c>
      <x:c r="L4" s="84"/>
      <x:c r="M4" s="84"/>
    </x:row>
    <x:row r="5" ht="21" customHeight="1">
      <x:c r="A5" s="85" t="s">
        <x:v>144</x:v>
      </x:c>
      <x:c r="B5" s="86" t="str">
        <x:f>IF(COUNTIFS(I9:I24,"yes",M9:M24,0)&gt;0,"open","complete")</x:f>
        <x:v>open</x:v>
      </x:c>
      <x:c r="C5" s="84"/>
      <x:c r="D5" s="85" t="s">
        <x:v>15</x:v>
      </x:c>
      <x:c r="E5" s="86" t="str">
        <x:f>IF(COUNTIFS(E9:E24,"consumer",M9:M24,0)&gt;0,"open","complete")</x:f>
        <x:v>complete</x:v>
      </x:c>
      <x:c r="F5" s="84"/>
      <x:c r="G5" s="85"/>
      <x:c r="H5" s="86"/>
      <x:c r="I5" s="84"/>
      <x:c r="J5" s="85"/>
      <x:c r="K5" s="86"/>
      <x:c r="L5" s="84"/>
      <x:c r="M5" s="84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21" customHeight="1">
      <x:c r="A8" s="89" t="s">
        <x:v>145</x:v>
      </x:c>
      <x:c r="B8" s="89" t="s">
        <x:v>146</x:v>
      </x:c>
      <x:c r="C8" s="89" t="s">
        <x:v>147</x:v>
      </x:c>
      <x:c r="D8" s="89" t="s">
        <x:v>148</x:v>
      </x:c>
      <x:c r="E8" s="89" t="s">
        <x:v>149</x:v>
      </x:c>
      <x:c r="F8" s="89" t="s">
        <x:v>150</x:v>
      </x:c>
      <x:c r="G8" s="89" t="s">
        <x:v>151</x:v>
      </x:c>
      <x:c r="H8" s="89" t="s">
        <x:v>103</x:v>
      </x:c>
      <x:c r="I8" s="89" t="s">
        <x:v>152</x:v>
      </x:c>
      <x:c r="J8" s="89" t="s">
        <x:v>153</x:v>
      </x:c>
      <x:c r="K8" s="89" t="s">
        <x:v>154</x:v>
      </x:c>
      <x:c r="L8" s="89" t="s">
        <x:v>155</x:v>
      </x:c>
      <x:c r="M8" s="89" t="s">
        <x:v>143</x:v>
      </x:c>
    </x:row>
    <x:row r="9" ht="39" customHeight="1">
      <x:c r="A9" s="95" t="str">
        <x:v>SQ-01</x:v>
      </x:c>
      <x:c r="B9" s="95" t="str">
        <x:v>Implementation</x:v>
      </x:c>
      <x:c r="C9" s="95" t="str">
        <x:v>Square</x:v>
      </x:c>
      <x:c r="D9" s="96" t="str">
        <x:v>Square renders one approved semantic host with required equal logical dimensions and centered content.</x:v>
      </x:c>
      <x:c r="E9" s="95" t="str">
        <x:v>package</x:v>
      </x:c>
      <x:c r="F9" s="95" t="str">
        <x:v>source</x:v>
      </x:c>
      <x:c r="G9" s="96" t="str">
        <x:v>../src/components/center</x:v>
      </x:c>
      <x:c r="H9" s="98" t="str">
        <x:v>tested</x:v>
      </x:c>
      <x:c r="I9" s="99" t="str">
        <x:v>no</x:v>
      </x:c>
      <x:c r="J9" s="100" t="n">
        <x:v>46268</x:v>
      </x:c>
      <x:c r="K9" s="96"/>
      <x:c r="L9" s="101" t="n">
        <x:v>1</x:v>
      </x:c>
      <x:c r="M9" s="101" t="n">
        <x:f>IF(OR(AND(I9="yes",H9="verified"),AND(I9="no",OR(H9="tested",H9="verified")),AND(H9="not applicable",K9&lt;&gt;"")),1,0)</x:f>
        <x:v>1</x:v>
      </x:c>
    </x:row>
    <x:row r="10" ht="39" customHeight="1">
      <x:c r="A10" s="95" t="str">
        <x:v>SQ-02</x:v>
      </x:c>
      <x:c r="B10" s="95" t="str">
        <x:v>Exports</x:v>
      </x:c>
      <x:c r="C10" s="95" t="str">
        <x:v>Square</x:v>
      </x:c>
      <x:c r="D10" s="96" t="str">
        <x:v>Root and center subpath exports expose Square and every public Square type with identical runtime identity.</x:v>
      </x:c>
      <x:c r="E10" s="95" t="str">
        <x:v>package</x:v>
      </x:c>
      <x:c r="F10" s="95" t="str">
        <x:v>package</x:v>
      </x:c>
      <x:c r="G10" s="96" t="str">
        <x:v>../test/package/package.test.mjs; ../test/package/ssr.test.mjs</x:v>
      </x:c>
      <x:c r="H10" s="98" t="str">
        <x:v>tested</x:v>
      </x:c>
      <x:c r="I10" s="99" t="str">
        <x:v>no</x:v>
      </x:c>
      <x:c r="J10" s="100" t="n">
        <x:v>46268</x:v>
      </x:c>
      <x:c r="K10" s="96"/>
      <x:c r="L10" s="101" t="n">
        <x:v>1</x:v>
      </x:c>
      <x:c r="M10" s="101" t="n">
        <x:f>IF(OR(AND(I10="yes",H10="verified"),AND(I10="no",OR(H10="tested",H10="verified")),AND(H10="not applicable",K10&lt;&gt;"")),1,0)</x:f>
        <x:v>1</x:v>
      </x:c>
    </x:row>
    <x:row r="11" ht="39" customHeight="1">
      <x:c r="A11" s="95" t="str">
        <x:v>SQ-03</x:v>
      </x:c>
      <x:c r="B11" s="95" t="str">
        <x:v>Types</x:v>
      </x:c>
      <x:c r="C11" s="95" t="str">
        <x:v>Public surface</x:v>
      </x:c>
      <x:c r="D11" s="96" t="str">
        <x:v>Required scalar or responsive size, closed hosts, asChild, native props, event handlers, styles, and refs type-check.</x:v>
      </x:c>
      <x:c r="E11" s="95" t="str">
        <x:v>package</x:v>
      </x:c>
      <x:c r="F11" s="95" t="str">
        <x:v>types</x:v>
      </x:c>
      <x:c r="G11" s="96" t="str">
        <x:v>../test/types/components/center.test.ts</x:v>
      </x:c>
      <x:c r="H11" s="98" t="str">
        <x:v>tested</x:v>
      </x:c>
      <x:c r="I11" s="99" t="str">
        <x:v>no</x:v>
      </x:c>
      <x:c r="J11" s="100" t="n">
        <x:v>46268</x:v>
      </x:c>
      <x:c r="K11" s="96"/>
      <x:c r="L11" s="101" t="n">
        <x:v>1</x:v>
      </x:c>
      <x:c r="M11" s="101" t="n">
        <x:f>IF(OR(AND(I11="yes",H11="verified"),AND(I11="no",OR(H11="tested",H11="verified")),AND(H11="not applicable",K11&lt;&gt;"")),1,0)</x:f>
        <x:v>1</x:v>
      </x:c>
    </x:row>
    <x:row r="12" ht="39" customHeight="1">
      <x:c r="A12" s="95" t="str">
        <x:v>SQ-04</x:v>
      </x:c>
      <x:c r="B12" s="95" t="str">
        <x:v>CSS</x:v>
      </x:c>
      <x:c r="C12" s="95" t="str">
        <x:v>Square</x:v>
      </x:c>
      <x:c r="D12" s="96" t="str">
        <x:v>Static CSS maps required base and breakpoint size variables to equal logical dimensions with fixed flex participation.</x:v>
      </x:c>
      <x:c r="E12" s="95" t="str">
        <x:v>package</x:v>
      </x:c>
      <x:c r="F12" s="95" t="str">
        <x:v>css</x:v>
      </x:c>
      <x:c r="G12" s="96" t="str">
        <x:v>../src/components/center/center.css</x:v>
      </x:c>
      <x:c r="H12" s="98" t="str">
        <x:v>tested</x:v>
      </x:c>
      <x:c r="I12" s="99" t="str">
        <x:v>no</x:v>
      </x:c>
      <x:c r="J12" s="100" t="n">
        <x:v>46268</x:v>
      </x:c>
      <x:c r="K12" s="96"/>
      <x:c r="L12" s="101" t="n">
        <x:v>1</x:v>
      </x:c>
      <x:c r="M12" s="101" t="n">
        <x:f>IF(OR(AND(I12="yes",H12="verified"),AND(I12="no",OR(H12="tested",H12="verified")),AND(H12="not applicable",K12&lt;&gt;"")),1,0)</x:f>
        <x:v>1</x:v>
      </x:c>
    </x:row>
    <x:row r="13" ht="39" customHeight="1">
      <x:c r="A13" s="95" t="str">
        <x:v>SQ-05</x:v>
      </x:c>
      <x:c r="B13" s="95" t="str">
        <x:v>Unit</x:v>
      </x:c>
      <x:c r="C13" s="95" t="str">
        <x:v>Square</x:v>
      </x:c>
      <x:c r="D13" s="96" t="str">
        <x:v>Required size, responsive serialization, semantic-host, asChild, native-prop, event, style, slot, ref, and filtering behavior pass.</x:v>
      </x:c>
      <x:c r="E13" s="95" t="str">
        <x:v>package</x:v>
      </x:c>
      <x:c r="F13" s="95" t="str">
        <x:v>component</x:v>
      </x:c>
      <x:c r="G13" s="96" t="str">
        <x:v>../test/components/center/center.test.tsx</x:v>
      </x:c>
      <x:c r="H13" s="98" t="str">
        <x:v>tested</x:v>
      </x:c>
      <x:c r="I13" s="99" t="str">
        <x:v>no</x:v>
      </x:c>
      <x:c r="J13" s="100" t="n">
        <x:v>46268</x:v>
      </x:c>
      <x:c r="K13" s="96"/>
      <x:c r="L13" s="101" t="n">
        <x:v>1</x:v>
      </x:c>
      <x:c r="M13" s="101" t="n">
        <x:f>IF(OR(AND(I13="yes",H13="verified"),AND(I13="no",OR(H13="tested",H13="verified")),AND(H13="not applicable",K13&lt;&gt;"")),1,0)</x:f>
        <x:v>1</x:v>
      </x:c>
    </x:row>
    <x:row r="14" ht="39" customHeight="1">
      <x:c r="A14" s="95" t="str">
        <x:v>SQ-06</x:v>
      </x:c>
      <x:c r="B14" s="95" t="str">
        <x:v>Browser</x:v>
      </x:c>
      <x:c r="C14" s="95" t="str">
        <x:v>Square</x:v>
      </x:c>
      <x:c r="D14" s="96" t="str">
        <x:v>Equal dimensions, responsive carry-forward, painted asChild composition, and flex pressure resolve correctly in real browsers.</x:v>
      </x:c>
      <x:c r="E14" s="95" t="str">
        <x:v>package</x:v>
      </x:c>
      <x:c r="F14" s="95" t="str">
        <x:v>browser</x:v>
      </x:c>
      <x:c r="G14" s="96" t="str">
        <x:v>tests/components/center/behavior.spec.ts</x:v>
      </x:c>
      <x:c r="H14" s="98" t="str">
        <x:v>tested</x:v>
      </x:c>
      <x:c r="I14" s="99" t="str">
        <x:v>no</x:v>
      </x:c>
      <x:c r="J14" s="100" t="n">
        <x:v>46268</x:v>
      </x:c>
      <x:c r="K14" s="96"/>
      <x:c r="L14" s="101" t="n">
        <x:v>1</x:v>
      </x:c>
      <x:c r="M14" s="101" t="n">
        <x:f>IF(OR(AND(I14="yes",H14="verified"),AND(I14="no",OR(H14="tested",H14="verified")),AND(H14="not applicable",K14&lt;&gt;"")),1,0)</x:f>
        <x:v>1</x:v>
      </x:c>
    </x:row>
    <x:row r="15" ht="39" customHeight="1">
      <x:c r="A15" s="95" t="str">
        <x:v>SQ-07</x:v>
      </x:c>
      <x:c r="B15" s="95" t="str">
        <x:v>Composition</x:v>
      </x:c>
      <x:c r="C15" s="95" t="str">
        <x:v>asChild</x:v>
      </x:c>
      <x:c r="D15" s="96" t="str">
        <x:v>Square enhances one semantic or painted child while preserving one host, child props, merged handlers, styles, slot, and ref.</x:v>
      </x:c>
      <x:c r="E15" s="95" t="str">
        <x:v>package</x:v>
      </x:c>
      <x:c r="F15" s="95" t="str">
        <x:v>browser</x:v>
      </x:c>
      <x:c r="G15" s="96" t="str">
        <x:v>tests/components/center/behavior.spec.ts</x:v>
      </x:c>
      <x:c r="H15" s="98" t="str">
        <x:v>tested</x:v>
      </x:c>
      <x:c r="I15" s="99" t="str">
        <x:v>no</x:v>
      </x:c>
      <x:c r="J15" s="100" t="n">
        <x:v>46268</x:v>
      </x:c>
      <x:c r="K15" s="96"/>
      <x:c r="L15" s="101" t="n">
        <x:v>1</x:v>
      </x:c>
      <x:c r="M15" s="101" t="n">
        <x:f>IF(OR(AND(I15="yes",H15="verified"),AND(I15="no",OR(H15="tested",H15="verified")),AND(H15="not applicable",K15&lt;&gt;"")),1,0)</x:f>
        <x:v>1</x:v>
      </x:c>
    </x:row>
    <x:row r="16" ht="39" customHeight="1">
      <x:c r="A16" s="95" t="str">
        <x:v>SQ-08</x:v>
      </x:c>
      <x:c r="B16" s="95" t="str">
        <x:v>Geometry</x:v>
      </x:c>
      <x:c r="C16" s="95" t="str">
        <x:v>Square</x:v>
      </x:c>
      <x:c r="D16" s="96" t="str">
        <x:v>Square remains perfectly equal-sized and non-shrinking in constrained feature rows and other flex compositions.</x:v>
      </x:c>
      <x:c r="E16" s="95" t="str">
        <x:v>package</x:v>
      </x:c>
      <x:c r="F16" s="95" t="str">
        <x:v>browser</x:v>
      </x:c>
      <x:c r="G16" s="96" t="str">
        <x:v>tests/components/center/behavior.spec.ts</x:v>
      </x:c>
      <x:c r="H16" s="98" t="str">
        <x:v>tested</x:v>
      </x:c>
      <x:c r="I16" s="99" t="str">
        <x:v>no</x:v>
      </x:c>
      <x:c r="J16" s="100" t="n">
        <x:v>46268</x:v>
      </x:c>
      <x:c r="K16" s="96"/>
      <x:c r="L16" s="101" t="n">
        <x:v>1</x:v>
      </x:c>
      <x:c r="M16" s="101" t="n">
        <x:f>IF(OR(AND(I16="yes",H16="verified"),AND(I16="no",OR(H16="tested",H16="verified")),AND(H16="not applicable",K16&lt;&gt;"")),1,0)</x:f>
        <x:v>1</x:v>
      </x:c>
    </x:row>
    <x:row r="17" ht="39" customHeight="1">
      <x:c r="A17" s="95" t="str">
        <x:v>SQ-09</x:v>
      </x:c>
      <x:c r="B17" s="95" t="str">
        <x:v>Accessibility</x:v>
      </x:c>
      <x:c r="C17" s="95" t="str">
        <x:v>Square</x:v>
      </x:c>
      <x:c r="D17" s="96" t="str">
        <x:v>Square adds no landmark or behavior and preserves source order, focus visibility, axe, RTL, and writing modes.</x:v>
      </x:c>
      <x:c r="E17" s="95" t="str">
        <x:v>package</x:v>
      </x:c>
      <x:c r="F17" s="95" t="str">
        <x:v>axe</x:v>
      </x:c>
      <x:c r="G17" s="96" t="str">
        <x:v>tests/components/center/behavior.spec.ts</x:v>
      </x:c>
      <x:c r="H17" s="98" t="str">
        <x:v>tested</x:v>
      </x:c>
      <x:c r="I17" s="99" t="str">
        <x:v>no</x:v>
      </x:c>
      <x:c r="J17" s="100" t="n">
        <x:v>46268</x:v>
      </x:c>
      <x:c r="K17" s="96"/>
      <x:c r="L17" s="101" t="n">
        <x:v>1</x:v>
      </x:c>
      <x:c r="M17" s="101" t="n">
        <x:f>IF(OR(AND(I17="yes",H17="verified"),AND(I17="no",OR(H17="tested",H17="verified")),AND(H17="not applicable",K17&lt;&gt;"")),1,0)</x:f>
        <x:v>1</x:v>
      </x:c>
    </x:row>
    <x:row r="18" ht="39" customHeight="1">
      <x:c r="A18" s="95" t="str">
        <x:v>SQ-10</x:v>
      </x:c>
      <x:c r="B18" s="95" t="str">
        <x:v>Visual</x:v>
      </x:c>
      <x:c r="C18" s="95" t="str">
        <x:v>Square</x:v>
      </x:c>
      <x:c r="D18" s="96" t="str">
        <x:v>Baselines cover exact square geometry, centered icons, responsive sizes, painted composition, and flex pressure.</x:v>
      </x:c>
      <x:c r="E18" s="95" t="str">
        <x:v>package</x:v>
      </x:c>
      <x:c r="F18" s="95" t="str">
        <x:v>visual</x:v>
      </x:c>
      <x:c r="G18" s="96" t="str">
        <x:v>tests/components/center/visual.spec.ts</x:v>
      </x:c>
      <x:c r="H18" s="98" t="str">
        <x:v>implemented</x:v>
      </x:c>
      <x:c r="I18" s="99" t="str">
        <x:v>yes</x:v>
      </x:c>
      <x:c r="J18" s="100"/>
      <x:c r="K18" s="96" t="str">
        <x:v>Automated baselines exist; complete owner visual review is intentionally unclaimed.</x:v>
      </x:c>
      <x:c r="L18" s="101" t="n">
        <x:v>1</x:v>
      </x:c>
      <x:c r="M18" s="101" t="n">
        <x:f>IF(OR(AND(I18="yes",H18="verified"),AND(I18="no",OR(H18="tested",H18="verified")),AND(H18="not applicable",K18&lt;&gt;"")),1,0)</x:f>
        <x:v>0</x:v>
      </x:c>
    </x:row>
    <x:row r="19" ht="39" customHeight="1">
      <x:c r="A19" s="95" t="str">
        <x:v>SQ-11</x:v>
      </x:c>
      <x:c r="B19" s="95" t="str">
        <x:v>Responsive</x:v>
      </x:c>
      <x:c r="C19" s="95" t="str">
        <x:v>Square</x:v>
      </x:c>
      <x:c r="D19" s="96" t="str">
        <x:v>Mobile, zoom, long adjacent content, RTL, and writing-mode scenarios preserve equal logical dimensions.</x:v>
      </x:c>
      <x:c r="E19" s="95" t="str">
        <x:v>package</x:v>
      </x:c>
      <x:c r="F19" s="95" t="str">
        <x:v>manual</x:v>
      </x:c>
      <x:c r="G19" s="96" t="str">
        <x:v>manual-tests/center.md</x:v>
      </x:c>
      <x:c r="H19" s="98" t="str">
        <x:v>implemented</x:v>
      </x:c>
      <x:c r="I19" s="99" t="str">
        <x:v>yes</x:v>
      </x:c>
      <x:c r="J19" s="100"/>
      <x:c r="K19" s="96" t="str">
        <x:v>Automated responsive evidence passes; the complete human run remains pending.</x:v>
      </x:c>
      <x:c r="L19" s="101" t="n">
        <x:v>1</x:v>
      </x:c>
      <x:c r="M19" s="101" t="n">
        <x:f>IF(OR(AND(I19="yes",H19="verified"),AND(I19="no",OR(H19="tested",H19="verified")),AND(H19="not applicable",K19&lt;&gt;"")),1,0)</x:f>
        <x:v>0</x:v>
      </x:c>
    </x:row>
    <x:row r="20" ht="39" customHeight="1">
      <x:c r="A20" s="95" t="str">
        <x:v>SQ-12</x:v>
      </x:c>
      <x:c r="B20" s="95" t="str">
        <x:v>Manual</x:v>
      </x:c>
      <x:c r="C20" s="95" t="str">
        <x:v>Square</x:v>
      </x:c>
      <x:c r="D20" s="96" t="str">
        <x:v>A tester completes the equal-size, responsive, flex-pressure, composition, focus, theme, and writing-mode protocol.</x:v>
      </x:c>
      <x:c r="E20" s="95" t="str">
        <x:v>package</x:v>
      </x:c>
      <x:c r="F20" s="95" t="str">
        <x:v>manual</x:v>
      </x:c>
      <x:c r="G20" s="96" t="str">
        <x:v>manual-tests/center.md</x:v>
      </x:c>
      <x:c r="H20" s="98" t="str">
        <x:v>implemented</x:v>
      </x:c>
      <x:c r="I20" s="99" t="str">
        <x:v>yes</x:v>
      </x:c>
      <x:c r="J20" s="100"/>
      <x:c r="K20" s="96" t="str">
        <x:v>Protocol exists; owner human review remains intentionally unclaimed.</x:v>
      </x:c>
      <x:c r="L20" s="101" t="n">
        <x:v>1</x:v>
      </x:c>
      <x:c r="M20" s="101" t="n">
        <x:f>IF(OR(AND(I20="yes",H20="verified"),AND(I20="no",OR(H20="tested",H20="verified")),AND(H20="not applicable",K20&lt;&gt;"")),1,0)</x:f>
        <x:v>0</x:v>
      </x:c>
    </x:row>
    <x:row r="21" ht="39" customHeight="1">
      <x:c r="A21" s="95" t="str">
        <x:v>SQ-13</x:v>
      </x:c>
      <x:c r="B21" s="95" t="str">
        <x:v>Docs</x:v>
      </x:c>
      <x:c r="C21" s="95" t="str">
        <x:v>Square</x:v>
      </x:c>
      <x:c r="D21" s="96" t="str">
        <x:v>Public and Agent Knowledge guidance covers required size, responsive geometry, composition, selection, and ownership boundaries.</x:v>
      </x:c>
      <x:c r="E21" s="95" t="str">
        <x:v>package</x:v>
      </x:c>
      <x:c r="F21" s="95" t="str">
        <x:v>docs</x:v>
      </x:c>
      <x:c r="G21" s="96" t="str">
        <x:v>../docs/components/center/README.md; ../src/components/center/agent.json; ../src/components/center/agent.md</x:v>
      </x:c>
      <x:c r="H21" s="98" t="str">
        <x:v>tested</x:v>
      </x:c>
      <x:c r="I21" s="99" t="str">
        <x:v>no</x:v>
      </x:c>
      <x:c r="J21" s="100" t="n">
        <x:v>46268</x:v>
      </x:c>
      <x:c r="K21" s="96"/>
      <x:c r="L21" s="101" t="n">
        <x:v>1</x:v>
      </x:c>
      <x:c r="M21" s="101" t="n">
        <x:f>IF(OR(AND(I21="yes",H21="verified"),AND(I21="no",OR(H21="tested",H21="verified")),AND(H21="not applicable",K21&lt;&gt;"")),1,0)</x:f>
        <x:v>1</x:v>
      </x:c>
    </x:row>
    <x:row r="22" ht="39" customHeight="1">
      <x:c r="A22" s="95" t="str">
        <x:v>SQ-14</x:v>
      </x:c>
      <x:c r="B22" s="95" t="str">
        <x:v>Changelog</x:v>
      </x:c>
      <x:c r="C22" s="95" t="str">
        <x:v>Square</x:v>
      </x:c>
      <x:c r="D22" s="96" t="str">
        <x:v>Component and package history record the new public primitive and its qualified contract.</x:v>
      </x:c>
      <x:c r="E22" s="95" t="str">
        <x:v>package</x:v>
      </x:c>
      <x:c r="F22" s="95" t="str">
        <x:v>docs</x:v>
      </x:c>
      <x:c r="G22" s="96" t="str">
        <x:v>../docs/components/center/CHANGELOG.md; ../CHANGELOG.md</x:v>
      </x:c>
      <x:c r="H22" s="98" t="str">
        <x:v>tested</x:v>
      </x:c>
      <x:c r="I22" s="99" t="str">
        <x:v>no</x:v>
      </x:c>
      <x:c r="J22" s="100" t="n">
        <x:v>46268</x:v>
      </x:c>
      <x:c r="K22" s="96"/>
      <x:c r="L22" s="101" t="n">
        <x:v>1</x:v>
      </x:c>
      <x:c r="M22" s="101" t="n">
        <x:f>IF(OR(AND(I22="yes",H22="verified"),AND(I22="no",OR(H22="tested",H22="verified")),AND(H22="not applicable",K22&lt;&gt;"")),1,0)</x:f>
        <x:v>1</x:v>
      </x:c>
    </x:row>
    <x:row r="23" ht="39" customHeight="1">
      <x:c r="A23" s="95" t="str">
        <x:v>SQ-15</x:v>
      </x:c>
      <x:c r="B23" s="95" t="str">
        <x:v>Consumer</x:v>
      </x:c>
      <x:c r="C23" s="95" t="str">
        <x:v>Square</x:v>
      </x:c>
      <x:c r="D23" s="96" t="str">
        <x:v>A packed consumer directly imports Square for a realistic 32-pixel painted icon well.</x:v>
      </x:c>
      <x:c r="E23" s="95" t="str">
        <x:v>consumer</x:v>
      </x:c>
      <x:c r="F23" s="95" t="str">
        <x:v>consumer</x:v>
      </x:c>
      <x:c r="G23" s="96" t="str">
        <x:v>../apps/consumer/src/App.tsx; ../apps/consumer/tests/consumer.spec.ts</x:v>
      </x:c>
      <x:c r="H23" s="98" t="str">
        <x:v>tested</x:v>
      </x:c>
      <x:c r="I23" s="99" t="str">
        <x:v>no</x:v>
      </x:c>
      <x:c r="J23" s="100" t="n">
        <x:v>46268</x:v>
      </x:c>
      <x:c r="K23" s="96"/>
      <x:c r="L23" s="101" t="n">
        <x:v>1</x:v>
      </x:c>
      <x:c r="M23" s="101" t="n">
        <x:f>IF(OR(AND(I23="yes",H23="verified"),AND(I23="no",OR(H23="tested",H23="verified")),AND(H23="not applicable",K23&lt;&gt;"")),1,0)</x:f>
        <x:v>1</x:v>
      </x:c>
    </x:row>
    <x:row r="24" ht="39" customHeight="1">
      <x:c r="A24" s="95" t="str">
        <x:v>SQ-16</x:v>
      </x:c>
      <x:c r="B24" s="95" t="str">
        <x:v>Package</x:v>
      </x:c>
      <x:c r="C24" s="95" t="str">
        <x:v>Square</x:v>
      </x:c>
      <x:c r="D24" s="96" t="str">
        <x:v>Build, SSR, exports, CSS, tarball, React 18/19, documentation, browser, axe, visual, and packed Consumer gates pass.</x:v>
      </x:c>
      <x:c r="E24" s="95" t="str">
        <x:v>package</x:v>
      </x:c>
      <x:c r="F24" s="95" t="str">
        <x:v>package</x:v>
      </x:c>
      <x:c r="G24" s="96" t="str">
        <x:v>../test/package; ../scripts/verify-package.mjs; ../scripts/verify-app-consumer.mjs</x:v>
      </x:c>
      <x:c r="H24" s="98" t="str">
        <x:v>implemented</x:v>
      </x:c>
      <x:c r="I24" s="99" t="str">
        <x:v>yes</x:v>
      </x:c>
      <x:c r="J24" s="100"/>
      <x:c r="K24" s="96" t="str">
        <x:v>Automated package gates pass; complete status waits for the component-owned human manual run and a future authorized release.</x:v>
      </x:c>
      <x:c r="L24" s="101" t="n">
        <x:v>1</x:v>
      </x:c>
      <x:c r="M24" s="101" t="n">
        <x:f>IF(OR(AND(I24="yes",H24="verified"),AND(I24="no",OR(H24="tested",H24="verified")),AND(H24="not applicable",K24&lt;&gt;"")),1,0)</x:f>
        <x:v>0</x:v>
      </x:c>
    </x:row>
  </x:sheetData>
  <x:conditionalFormatting sqref="H9:H24">
    <x:cfRule type="containsText" dxfId="15" priority="1" operator="containsText" text="implemented"/>
    <x:cfRule type="containsText" dxfId="16" priority="2" operator="containsText" text="tested"/>
  </x:conditionalFormatting>
  <x:dataValidations count="2">
    <x:dataValidation type="list" sqref="H9:H24">
      <x:formula1>"not started,partial,implemented,tested,verified,blocked,not applicable"</x:formula1>
    </x:dataValidation>
    <x:dataValidation type="list" sqref="I9:I24">
      <x:formula1>"yes,no"</x:formula1>
    </x:dataValidation>
  </x:dataValidations>
  <x:pageMargins left="0.7" right="0.7" top="0.75" bottom="0.75" header="0.3" footer="0.3"/>
</x:worksheet>
</file>

<file path=xl/worksheets/sheet10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4.5" hidden="0" customWidth="1"/>
    <x:col min="3" max="3" width="14" hidden="0" customWidth="1"/>
    <x:col min="4" max="4" width="49.5" hidden="0" customWidth="1"/>
    <x:col min="5" max="5" width="12" hidden="0" customWidth="1"/>
    <x:col min="6" max="6" width="13" hidden="0" customWidth="1"/>
    <x:col min="7" max="7" width="43.75" hidden="0" customWidth="1"/>
    <x:col min="8" max="8" width="15.75" hidden="0" customWidth="1"/>
    <x:col min="9" max="9" width="14.75" hidden="0" customWidth="1"/>
    <x:col min="10" max="10" width="13.5" hidden="0" customWidth="1"/>
    <x:col min="11" max="11" width="45" hidden="0" customWidth="1"/>
    <x:col min="12" max="12" width="9.5" hidden="0" customWidth="1"/>
    <x:col min="13" max="13" width="10.25" hidden="0" customWidth="1"/>
  </x:cols>
  <x:sheetData>
    <x:row r="1" ht="33" customHeight="1">
      <x:c r="A1" s="81" t="str">
        <x:v>Circle Evidence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</x:row>
    <x:row r="2" ht="24" customHeight="1">
      <x:c r="A2" s="83" t="str">
        <x:v>Assertion-level equal-size, full-radius, responsive, composition, browser, documentation, and package evidence.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21" customHeight="1">
      <x:c r="A4" s="85" t="s">
        <x:v>6</x:v>
      </x:c>
      <x:c r="B4" s="86" t="n">
        <x:f>COUNTA(A9:A24)</x:f>
        <x:v>16</x:v>
      </x:c>
      <x:c r="C4" s="84"/>
      <x:c r="D4" s="85" t="s">
        <x:v>143</x:v>
      </x:c>
      <x:c r="E4" s="86" t="n">
        <x:f>SUM(M9:M24)</x:f>
        <x:v>12</x:v>
      </x:c>
      <x:c r="F4" s="84"/>
      <x:c r="G4" s="85" t="s">
        <x:v>13</x:v>
      </x:c>
      <x:c r="H4" s="102" t="n">
        <x:f>IF(B4=0,0,E4/B4)</x:f>
        <x:v>0.75</x:v>
      </x:c>
      <x:c r="I4" s="84"/>
      <x:c r="J4" s="85" t="s">
        <x:v>14</x:v>
      </x:c>
      <x:c r="K4" s="86" t="str">
        <x:f>IF(COUNTIFS(E9:E24,"package",M9:M24,0)&gt;0,"open","complete")</x:f>
        <x:v>open</x:v>
      </x:c>
      <x:c r="L4" s="84"/>
      <x:c r="M4" s="84"/>
    </x:row>
    <x:row r="5" ht="21" customHeight="1">
      <x:c r="A5" s="85" t="s">
        <x:v>144</x:v>
      </x:c>
      <x:c r="B5" s="86" t="str">
        <x:f>IF(COUNTIFS(I9:I24,"yes",M9:M24,0)&gt;0,"open","complete")</x:f>
        <x:v>open</x:v>
      </x:c>
      <x:c r="C5" s="84"/>
      <x:c r="D5" s="85" t="s">
        <x:v>15</x:v>
      </x:c>
      <x:c r="E5" s="86" t="str">
        <x:f>IF(COUNTIFS(E9:E24,"consumer",M9:M24,0)&gt;0,"open","complete")</x:f>
        <x:v>complete</x:v>
      </x:c>
      <x:c r="F5" s="84"/>
      <x:c r="G5" s="85"/>
      <x:c r="H5" s="86"/>
      <x:c r="I5" s="84"/>
      <x:c r="J5" s="85"/>
      <x:c r="K5" s="86"/>
      <x:c r="L5" s="84"/>
      <x:c r="M5" s="84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21" customHeight="1">
      <x:c r="A8" s="89" t="s">
        <x:v>145</x:v>
      </x:c>
      <x:c r="B8" s="89" t="s">
        <x:v>146</x:v>
      </x:c>
      <x:c r="C8" s="89" t="s">
        <x:v>147</x:v>
      </x:c>
      <x:c r="D8" s="89" t="s">
        <x:v>148</x:v>
      </x:c>
      <x:c r="E8" s="89" t="s">
        <x:v>149</x:v>
      </x:c>
      <x:c r="F8" s="89" t="s">
        <x:v>150</x:v>
      </x:c>
      <x:c r="G8" s="89" t="s">
        <x:v>151</x:v>
      </x:c>
      <x:c r="H8" s="89" t="s">
        <x:v>103</x:v>
      </x:c>
      <x:c r="I8" s="89" t="s">
        <x:v>152</x:v>
      </x:c>
      <x:c r="J8" s="89" t="s">
        <x:v>153</x:v>
      </x:c>
      <x:c r="K8" s="89" t="s">
        <x:v>154</x:v>
      </x:c>
      <x:c r="L8" s="89" t="s">
        <x:v>155</x:v>
      </x:c>
      <x:c r="M8" s="89" t="s">
        <x:v>143</x:v>
      </x:c>
    </x:row>
    <x:row r="9" ht="39" customHeight="1">
      <x:c r="A9" s="95" t="str">
        <x:v>CI-01</x:v>
      </x:c>
      <x:c r="B9" s="95" t="str">
        <x:v>Implementation</x:v>
      </x:c>
      <x:c r="C9" s="95" t="str">
        <x:v>Circle</x:v>
      </x:c>
      <x:c r="D9" s="96" t="str">
        <x:v>Circle renders one approved semantic host with required equal logical dimensions, full radius, and centered content.</x:v>
      </x:c>
      <x:c r="E9" s="95" t="str">
        <x:v>package</x:v>
      </x:c>
      <x:c r="F9" s="95" t="str">
        <x:v>source</x:v>
      </x:c>
      <x:c r="G9" s="96" t="str">
        <x:v>../src/components/center</x:v>
      </x:c>
      <x:c r="H9" s="98" t="str">
        <x:v>tested</x:v>
      </x:c>
      <x:c r="I9" s="99" t="str">
        <x:v>no</x:v>
      </x:c>
      <x:c r="J9" s="100" t="n">
        <x:v>46268</x:v>
      </x:c>
      <x:c r="K9" s="96"/>
      <x:c r="L9" s="101" t="n">
        <x:v>1</x:v>
      </x:c>
      <x:c r="M9" s="101" t="n">
        <x:f>IF(OR(AND(I9="yes",H9="verified"),AND(I9="no",OR(H9="tested",H9="verified")),AND(H9="not applicable",K9&lt;&gt;"")),1,0)</x:f>
        <x:v>1</x:v>
      </x:c>
    </x:row>
    <x:row r="10" ht="39" customHeight="1">
      <x:c r="A10" s="95" t="str">
        <x:v>CI-02</x:v>
      </x:c>
      <x:c r="B10" s="95" t="str">
        <x:v>Exports</x:v>
      </x:c>
      <x:c r="C10" s="95" t="str">
        <x:v>Circle</x:v>
      </x:c>
      <x:c r="D10" s="96" t="str">
        <x:v>Root and center subpath exports expose Circle and every public Circle type with identical runtime identity.</x:v>
      </x:c>
      <x:c r="E10" s="95" t="str">
        <x:v>package</x:v>
      </x:c>
      <x:c r="F10" s="95" t="str">
        <x:v>package</x:v>
      </x:c>
      <x:c r="G10" s="96" t="str">
        <x:v>../test/package/package.test.mjs; ../test/package/ssr.test.mjs</x:v>
      </x:c>
      <x:c r="H10" s="98" t="str">
        <x:v>tested</x:v>
      </x:c>
      <x:c r="I10" s="99" t="str">
        <x:v>no</x:v>
      </x:c>
      <x:c r="J10" s="100" t="n">
        <x:v>46268</x:v>
      </x:c>
      <x:c r="K10" s="96"/>
      <x:c r="L10" s="101" t="n">
        <x:v>1</x:v>
      </x:c>
      <x:c r="M10" s="101" t="n">
        <x:f>IF(OR(AND(I10="yes",H10="verified"),AND(I10="no",OR(H10="tested",H10="verified")),AND(H10="not applicable",K10&lt;&gt;"")),1,0)</x:f>
        <x:v>1</x:v>
      </x:c>
    </x:row>
    <x:row r="11" ht="39" customHeight="1">
      <x:c r="A11" s="95" t="str">
        <x:v>CI-03</x:v>
      </x:c>
      <x:c r="B11" s="95" t="str">
        <x:v>Types</x:v>
      </x:c>
      <x:c r="C11" s="95" t="str">
        <x:v>Public surface</x:v>
      </x:c>
      <x:c r="D11" s="96" t="str">
        <x:v>Required scalar or responsive size, closed hosts, asChild, native props, event handlers, styles, and refs type-check.</x:v>
      </x:c>
      <x:c r="E11" s="95" t="str">
        <x:v>package</x:v>
      </x:c>
      <x:c r="F11" s="95" t="str">
        <x:v>types</x:v>
      </x:c>
      <x:c r="G11" s="96" t="str">
        <x:v>../test/types/components/center.test.ts</x:v>
      </x:c>
      <x:c r="H11" s="98" t="str">
        <x:v>tested</x:v>
      </x:c>
      <x:c r="I11" s="99" t="str">
        <x:v>no</x:v>
      </x:c>
      <x:c r="J11" s="100" t="n">
        <x:v>46268</x:v>
      </x:c>
      <x:c r="K11" s="96"/>
      <x:c r="L11" s="101" t="n">
        <x:v>1</x:v>
      </x:c>
      <x:c r="M11" s="101" t="n">
        <x:f>IF(OR(AND(I11="yes",H11="verified"),AND(I11="no",OR(H11="tested",H11="verified")),AND(H11="not applicable",K11&lt;&gt;"")),1,0)</x:f>
        <x:v>1</x:v>
      </x:c>
    </x:row>
    <x:row r="12" ht="39" customHeight="1">
      <x:c r="A12" s="95" t="str">
        <x:v>CI-04</x:v>
      </x:c>
      <x:c r="B12" s="95" t="str">
        <x:v>CSS</x:v>
      </x:c>
      <x:c r="C12" s="95" t="str">
        <x:v>Circle</x:v>
      </x:c>
      <x:c r="D12" s="96" t="str">
        <x:v>Static CSS maps required size variables to equal logical dimensions, fixed flex participation, and a full radius.</x:v>
      </x:c>
      <x:c r="E12" s="95" t="str">
        <x:v>package</x:v>
      </x:c>
      <x:c r="F12" s="95" t="str">
        <x:v>css</x:v>
      </x:c>
      <x:c r="G12" s="96" t="str">
        <x:v>../src/components/center/center.css</x:v>
      </x:c>
      <x:c r="H12" s="98" t="str">
        <x:v>tested</x:v>
      </x:c>
      <x:c r="I12" s="99" t="str">
        <x:v>no</x:v>
      </x:c>
      <x:c r="J12" s="100" t="n">
        <x:v>46268</x:v>
      </x:c>
      <x:c r="K12" s="96"/>
      <x:c r="L12" s="101" t="n">
        <x:v>1</x:v>
      </x:c>
      <x:c r="M12" s="101" t="n">
        <x:f>IF(OR(AND(I12="yes",H12="verified"),AND(I12="no",OR(H12="tested",H12="verified")),AND(H12="not applicable",K12&lt;&gt;"")),1,0)</x:f>
        <x:v>1</x:v>
      </x:c>
    </x:row>
    <x:row r="13" ht="39" customHeight="1">
      <x:c r="A13" s="95" t="str">
        <x:v>CI-05</x:v>
      </x:c>
      <x:c r="B13" s="95" t="str">
        <x:v>Unit</x:v>
      </x:c>
      <x:c r="C13" s="95" t="str">
        <x:v>Circle</x:v>
      </x:c>
      <x:c r="D13" s="96" t="str">
        <x:v>Required size, full-radius hook, responsive serialization, semantic-host, asChild, native-prop, slot, and ref behavior pass.</x:v>
      </x:c>
      <x:c r="E13" s="95" t="str">
        <x:v>package</x:v>
      </x:c>
      <x:c r="F13" s="95" t="str">
        <x:v>component</x:v>
      </x:c>
      <x:c r="G13" s="96" t="str">
        <x:v>../test/components/center/center.test.tsx</x:v>
      </x:c>
      <x:c r="H13" s="98" t="str">
        <x:v>tested</x:v>
      </x:c>
      <x:c r="I13" s="99" t="str">
        <x:v>no</x:v>
      </x:c>
      <x:c r="J13" s="100" t="n">
        <x:v>46268</x:v>
      </x:c>
      <x:c r="K13" s="96"/>
      <x:c r="L13" s="101" t="n">
        <x:v>1</x:v>
      </x:c>
      <x:c r="M13" s="101" t="n">
        <x:f>IF(OR(AND(I13="yes",H13="verified"),AND(I13="no",OR(H13="tested",H13="verified")),AND(H13="not applicable",K13&lt;&gt;"")),1,0)</x:f>
        <x:v>1</x:v>
      </x:c>
    </x:row>
    <x:row r="14" ht="39" customHeight="1">
      <x:c r="A14" s="95" t="str">
        <x:v>CI-06</x:v>
      </x:c>
      <x:c r="B14" s="95" t="str">
        <x:v>Browser</x:v>
      </x:c>
      <x:c r="C14" s="95" t="str">
        <x:v>Circle</x:v>
      </x:c>
      <x:c r="D14" s="96" t="str">
        <x:v>Equal dimensions, full radius, responsive carry-forward, painted asChild composition, and flex pressure resolve correctly.</x:v>
      </x:c>
      <x:c r="E14" s="95" t="str">
        <x:v>package</x:v>
      </x:c>
      <x:c r="F14" s="95" t="str">
        <x:v>browser</x:v>
      </x:c>
      <x:c r="G14" s="96" t="str">
        <x:v>tests/components/center/behavior.spec.ts</x:v>
      </x:c>
      <x:c r="H14" s="98" t="str">
        <x:v>tested</x:v>
      </x:c>
      <x:c r="I14" s="99" t="str">
        <x:v>no</x:v>
      </x:c>
      <x:c r="J14" s="100" t="n">
        <x:v>46268</x:v>
      </x:c>
      <x:c r="K14" s="96"/>
      <x:c r="L14" s="101" t="n">
        <x:v>1</x:v>
      </x:c>
      <x:c r="M14" s="101" t="n">
        <x:f>IF(OR(AND(I14="yes",H14="verified"),AND(I14="no",OR(H14="tested",H14="verified")),AND(H14="not applicable",K14&lt;&gt;"")),1,0)</x:f>
        <x:v>1</x:v>
      </x:c>
    </x:row>
    <x:row r="15" ht="39" customHeight="1">
      <x:c r="A15" s="95" t="str">
        <x:v>CI-07</x:v>
      </x:c>
      <x:c r="B15" s="95" t="str">
        <x:v>Composition</x:v>
      </x:c>
      <x:c r="C15" s="95" t="str">
        <x:v>asChild</x:v>
      </x:c>
      <x:c r="D15" s="96" t="str">
        <x:v>Circle enhances one semantic or painted child while preserving one host, child props, merged handlers, styles, slot, and ref.</x:v>
      </x:c>
      <x:c r="E15" s="95" t="str">
        <x:v>package</x:v>
      </x:c>
      <x:c r="F15" s="95" t="str">
        <x:v>browser</x:v>
      </x:c>
      <x:c r="G15" s="96" t="str">
        <x:v>tests/components/center/behavior.spec.ts</x:v>
      </x:c>
      <x:c r="H15" s="98" t="str">
        <x:v>tested</x:v>
      </x:c>
      <x:c r="I15" s="99" t="str">
        <x:v>no</x:v>
      </x:c>
      <x:c r="J15" s="100" t="n">
        <x:v>46268</x:v>
      </x:c>
      <x:c r="K15" s="96"/>
      <x:c r="L15" s="101" t="n">
        <x:v>1</x:v>
      </x:c>
      <x:c r="M15" s="101" t="n">
        <x:f>IF(OR(AND(I15="yes",H15="verified"),AND(I15="no",OR(H15="tested",H15="verified")),AND(H15="not applicable",K15&lt;&gt;"")),1,0)</x:f>
        <x:v>1</x:v>
      </x:c>
    </x:row>
    <x:row r="16" ht="39" customHeight="1">
      <x:c r="A16" s="95" t="str">
        <x:v>CI-08</x:v>
      </x:c>
      <x:c r="B16" s="95" t="str">
        <x:v>Geometry</x:v>
      </x:c>
      <x:c r="C16" s="95" t="str">
        <x:v>Circle</x:v>
      </x:c>
      <x:c r="D16" s="96" t="str">
        <x:v>Circle remains round, equal-sized, centered, and non-shrinking in constrained flex compositions.</x:v>
      </x:c>
      <x:c r="E16" s="95" t="str">
        <x:v>package</x:v>
      </x:c>
      <x:c r="F16" s="95" t="str">
        <x:v>browser</x:v>
      </x:c>
      <x:c r="G16" s="96" t="str">
        <x:v>tests/components/center/behavior.spec.ts</x:v>
      </x:c>
      <x:c r="H16" s="98" t="str">
        <x:v>tested</x:v>
      </x:c>
      <x:c r="I16" s="99" t="str">
        <x:v>no</x:v>
      </x:c>
      <x:c r="J16" s="100" t="n">
        <x:v>46268</x:v>
      </x:c>
      <x:c r="K16" s="96"/>
      <x:c r="L16" s="101" t="n">
        <x:v>1</x:v>
      </x:c>
      <x:c r="M16" s="101" t="n">
        <x:f>IF(OR(AND(I16="yes",H16="verified"),AND(I16="no",OR(H16="tested",H16="verified")),AND(H16="not applicable",K16&lt;&gt;"")),1,0)</x:f>
        <x:v>1</x:v>
      </x:c>
    </x:row>
    <x:row r="17" ht="39" customHeight="1">
      <x:c r="A17" s="95" t="str">
        <x:v>CI-09</x:v>
      </x:c>
      <x:c r="B17" s="95" t="str">
        <x:v>Accessibility</x:v>
      </x:c>
      <x:c r="C17" s="95" t="str">
        <x:v>Circle</x:v>
      </x:c>
      <x:c r="D17" s="96" t="str">
        <x:v>Circle adds no landmark or behavior and preserves source order, focus visibility, axe, RTL, and writing modes.</x:v>
      </x:c>
      <x:c r="E17" s="95" t="str">
        <x:v>package</x:v>
      </x:c>
      <x:c r="F17" s="95" t="str">
        <x:v>axe</x:v>
      </x:c>
      <x:c r="G17" s="96" t="str">
        <x:v>tests/components/center/behavior.spec.ts</x:v>
      </x:c>
      <x:c r="H17" s="98" t="str">
        <x:v>tested</x:v>
      </x:c>
      <x:c r="I17" s="99" t="str">
        <x:v>no</x:v>
      </x:c>
      <x:c r="J17" s="100" t="n">
        <x:v>46268</x:v>
      </x:c>
      <x:c r="K17" s="96"/>
      <x:c r="L17" s="101" t="n">
        <x:v>1</x:v>
      </x:c>
      <x:c r="M17" s="101" t="n">
        <x:f>IF(OR(AND(I17="yes",H17="verified"),AND(I17="no",OR(H17="tested",H17="verified")),AND(H17="not applicable",K17&lt;&gt;"")),1,0)</x:f>
        <x:v>1</x:v>
      </x:c>
    </x:row>
    <x:row r="18" ht="39" customHeight="1">
      <x:c r="A18" s="95" t="str">
        <x:v>CI-10</x:v>
      </x:c>
      <x:c r="B18" s="95" t="str">
        <x:v>Visual</x:v>
      </x:c>
      <x:c r="C18" s="95" t="str">
        <x:v>Circle</x:v>
      </x:c>
      <x:c r="D18" s="96" t="str">
        <x:v>Baselines cover exact circular geometry, centered icons, responsive sizes, painted composition, and flex pressure.</x:v>
      </x:c>
      <x:c r="E18" s="95" t="str">
        <x:v>package</x:v>
      </x:c>
      <x:c r="F18" s="95" t="str">
        <x:v>visual</x:v>
      </x:c>
      <x:c r="G18" s="96" t="str">
        <x:v>tests/components/center/visual.spec.ts</x:v>
      </x:c>
      <x:c r="H18" s="98" t="str">
        <x:v>implemented</x:v>
      </x:c>
      <x:c r="I18" s="99" t="str">
        <x:v>yes</x:v>
      </x:c>
      <x:c r="J18" s="100"/>
      <x:c r="K18" s="96" t="str">
        <x:v>Automated baselines exist; complete owner visual review is intentionally unclaimed.</x:v>
      </x:c>
      <x:c r="L18" s="101" t="n">
        <x:v>1</x:v>
      </x:c>
      <x:c r="M18" s="101" t="n">
        <x:f>IF(OR(AND(I18="yes",H18="verified"),AND(I18="no",OR(H18="tested",H18="verified")),AND(H18="not applicable",K18&lt;&gt;"")),1,0)</x:f>
        <x:v>0</x:v>
      </x:c>
    </x:row>
    <x:row r="19" ht="39" customHeight="1">
      <x:c r="A19" s="95" t="str">
        <x:v>CI-11</x:v>
      </x:c>
      <x:c r="B19" s="95" t="str">
        <x:v>Responsive</x:v>
      </x:c>
      <x:c r="C19" s="95" t="str">
        <x:v>Circle</x:v>
      </x:c>
      <x:c r="D19" s="96" t="str">
        <x:v>Mobile, zoom, long adjacent content, RTL, and writing-mode scenarios preserve equal logical dimensions and full radius.</x:v>
      </x:c>
      <x:c r="E19" s="95" t="str">
        <x:v>package</x:v>
      </x:c>
      <x:c r="F19" s="95" t="str">
        <x:v>manual</x:v>
      </x:c>
      <x:c r="G19" s="96" t="str">
        <x:v>manual-tests/center.md</x:v>
      </x:c>
      <x:c r="H19" s="98" t="str">
        <x:v>implemented</x:v>
      </x:c>
      <x:c r="I19" s="99" t="str">
        <x:v>yes</x:v>
      </x:c>
      <x:c r="J19" s="100"/>
      <x:c r="K19" s="96" t="str">
        <x:v>Automated responsive evidence passes; the complete human run remains pending.</x:v>
      </x:c>
      <x:c r="L19" s="101" t="n">
        <x:v>1</x:v>
      </x:c>
      <x:c r="M19" s="101" t="n">
        <x:f>IF(OR(AND(I19="yes",H19="verified"),AND(I19="no",OR(H19="tested",H19="verified")),AND(H19="not applicable",K19&lt;&gt;"")),1,0)</x:f>
        <x:v>0</x:v>
      </x:c>
    </x:row>
    <x:row r="20" ht="39" customHeight="1">
      <x:c r="A20" s="95" t="str">
        <x:v>CI-12</x:v>
      </x:c>
      <x:c r="B20" s="95" t="str">
        <x:v>Manual</x:v>
      </x:c>
      <x:c r="C20" s="95" t="str">
        <x:v>Circle</x:v>
      </x:c>
      <x:c r="D20" s="96" t="str">
        <x:v>A tester completes the circular geometry, responsive, flex-pressure, composition, focus, theme, and writing-mode protocol.</x:v>
      </x:c>
      <x:c r="E20" s="95" t="str">
        <x:v>package</x:v>
      </x:c>
      <x:c r="F20" s="95" t="str">
        <x:v>manual</x:v>
      </x:c>
      <x:c r="G20" s="96" t="str">
        <x:v>manual-tests/center.md</x:v>
      </x:c>
      <x:c r="H20" s="98" t="str">
        <x:v>implemented</x:v>
      </x:c>
      <x:c r="I20" s="99" t="str">
        <x:v>yes</x:v>
      </x:c>
      <x:c r="J20" s="100"/>
      <x:c r="K20" s="96" t="str">
        <x:v>Protocol exists; owner human review remains intentionally unclaimed.</x:v>
      </x:c>
      <x:c r="L20" s="101" t="n">
        <x:v>1</x:v>
      </x:c>
      <x:c r="M20" s="101" t="n">
        <x:f>IF(OR(AND(I20="yes",H20="verified"),AND(I20="no",OR(H20="tested",H20="verified")),AND(H20="not applicable",K20&lt;&gt;"")),1,0)</x:f>
        <x:v>0</x:v>
      </x:c>
    </x:row>
    <x:row r="21" ht="39" customHeight="1">
      <x:c r="A21" s="95" t="str">
        <x:v>CI-13</x:v>
      </x:c>
      <x:c r="B21" s="95" t="str">
        <x:v>Docs</x:v>
      </x:c>
      <x:c r="C21" s="95" t="str">
        <x:v>Circle</x:v>
      </x:c>
      <x:c r="D21" s="96" t="str">
        <x:v>Public and Agent Knowledge guidance covers required size, full-radius geometry, composition, selection, and ownership boundaries.</x:v>
      </x:c>
      <x:c r="E21" s="95" t="str">
        <x:v>package</x:v>
      </x:c>
      <x:c r="F21" s="95" t="str">
        <x:v>docs</x:v>
      </x:c>
      <x:c r="G21" s="96" t="str">
        <x:v>../docs/components/center/README.md; ../src/components/center/agent.json; ../src/components/center/agent.md</x:v>
      </x:c>
      <x:c r="H21" s="98" t="str">
        <x:v>tested</x:v>
      </x:c>
      <x:c r="I21" s="99" t="str">
        <x:v>no</x:v>
      </x:c>
      <x:c r="J21" s="100" t="n">
        <x:v>46268</x:v>
      </x:c>
      <x:c r="K21" s="96"/>
      <x:c r="L21" s="101" t="n">
        <x:v>1</x:v>
      </x:c>
      <x:c r="M21" s="101" t="n">
        <x:f>IF(OR(AND(I21="yes",H21="verified"),AND(I21="no",OR(H21="tested",H21="verified")),AND(H21="not applicable",K21&lt;&gt;"")),1,0)</x:f>
        <x:v>1</x:v>
      </x:c>
    </x:row>
    <x:row r="22" ht="39" customHeight="1">
      <x:c r="A22" s="95" t="str">
        <x:v>CI-14</x:v>
      </x:c>
      <x:c r="B22" s="95" t="str">
        <x:v>Changelog</x:v>
      </x:c>
      <x:c r="C22" s="95" t="str">
        <x:v>Circle</x:v>
      </x:c>
      <x:c r="D22" s="96" t="str">
        <x:v>Component and package history record the new public primitive and its qualified contract.</x:v>
      </x:c>
      <x:c r="E22" s="95" t="str">
        <x:v>package</x:v>
      </x:c>
      <x:c r="F22" s="95" t="str">
        <x:v>docs</x:v>
      </x:c>
      <x:c r="G22" s="96" t="str">
        <x:v>../docs/components/center/CHANGELOG.md; ../CHANGELOG.md</x:v>
      </x:c>
      <x:c r="H22" s="98" t="str">
        <x:v>tested</x:v>
      </x:c>
      <x:c r="I22" s="99" t="str">
        <x:v>no</x:v>
      </x:c>
      <x:c r="J22" s="100" t="n">
        <x:v>46268</x:v>
      </x:c>
      <x:c r="K22" s="96"/>
      <x:c r="L22" s="101" t="n">
        <x:v>1</x:v>
      </x:c>
      <x:c r="M22" s="101" t="n">
        <x:f>IF(OR(AND(I22="yes",H22="verified"),AND(I22="no",OR(H22="tested",H22="verified")),AND(H22="not applicable",K22&lt;&gt;"")),1,0)</x:f>
        <x:v>1</x:v>
      </x:c>
    </x:row>
    <x:row r="23" ht="39" customHeight="1">
      <x:c r="A23" s="95" t="str">
        <x:v>CI-15</x:v>
      </x:c>
      <x:c r="B23" s="95" t="str">
        <x:v>Consumer</x:v>
      </x:c>
      <x:c r="C23" s="95" t="str">
        <x:v>Circle</x:v>
      </x:c>
      <x:c r="D23" s="96" t="str">
        <x:v>A packed consumer directly imports Circle for a realistic painted status marker.</x:v>
      </x:c>
      <x:c r="E23" s="95" t="str">
        <x:v>consumer</x:v>
      </x:c>
      <x:c r="F23" s="95" t="str">
        <x:v>consumer</x:v>
      </x:c>
      <x:c r="G23" s="96" t="str">
        <x:v>../apps/consumer/src/App.tsx; ../apps/consumer/tests/consumer.spec.ts</x:v>
      </x:c>
      <x:c r="H23" s="98" t="str">
        <x:v>tested</x:v>
      </x:c>
      <x:c r="I23" s="99" t="str">
        <x:v>no</x:v>
      </x:c>
      <x:c r="J23" s="100" t="n">
        <x:v>46268</x:v>
      </x:c>
      <x:c r="K23" s="96"/>
      <x:c r="L23" s="101" t="n">
        <x:v>1</x:v>
      </x:c>
      <x:c r="M23" s="101" t="n">
        <x:f>IF(OR(AND(I23="yes",H23="verified"),AND(I23="no",OR(H23="tested",H23="verified")),AND(H23="not applicable",K23&lt;&gt;"")),1,0)</x:f>
        <x:v>1</x:v>
      </x:c>
    </x:row>
    <x:row r="24" ht="39" customHeight="1">
      <x:c r="A24" s="95" t="str">
        <x:v>CI-16</x:v>
      </x:c>
      <x:c r="B24" s="95" t="str">
        <x:v>Package</x:v>
      </x:c>
      <x:c r="C24" s="95" t="str">
        <x:v>Circle</x:v>
      </x:c>
      <x:c r="D24" s="96" t="str">
        <x:v>Build, SSR, exports, CSS, tarball, React 18/19, documentation, browser, axe, visual, and packed Consumer gates pass.</x:v>
      </x:c>
      <x:c r="E24" s="95" t="str">
        <x:v>package</x:v>
      </x:c>
      <x:c r="F24" s="95" t="str">
        <x:v>package</x:v>
      </x:c>
      <x:c r="G24" s="96" t="str">
        <x:v>../test/package; ../scripts/verify-package.mjs; ../scripts/verify-app-consumer.mjs</x:v>
      </x:c>
      <x:c r="H24" s="98" t="str">
        <x:v>implemented</x:v>
      </x:c>
      <x:c r="I24" s="99" t="str">
        <x:v>yes</x:v>
      </x:c>
      <x:c r="J24" s="100"/>
      <x:c r="K24" s="96" t="str">
        <x:v>Automated package gates pass; complete status waits for the component-owned human manual run and a future authorized release.</x:v>
      </x:c>
      <x:c r="L24" s="101" t="n">
        <x:v>1</x:v>
      </x:c>
      <x:c r="M24" s="101" t="n">
        <x:f>IF(OR(AND(I24="yes",H24="verified"),AND(I24="no",OR(H24="tested",H24="verified")),AND(H24="not applicable",K24&lt;&gt;"")),1,0)</x:f>
        <x:v>0</x:v>
      </x:c>
    </x:row>
  </x:sheetData>
  <x:conditionalFormatting sqref="H9:H24">
    <x:cfRule type="containsText" dxfId="17" priority="1" operator="containsText" text="implemented"/>
    <x:cfRule type="containsText" dxfId="18" priority="2" operator="containsText" text="tested"/>
  </x:conditionalFormatting>
  <x:dataValidations count="2">
    <x:dataValidation type="list" sqref="H9:H24">
      <x:formula1>"not started,partial,implemented,tested,verified,blocked,not applicable"</x:formula1>
    </x:dataValidation>
    <x:dataValidation type="list" sqref="I9:I24">
      <x:formula1>"yes,no"</x:formula1>
    </x:dataValidation>
  </x:dataValidations>
  <x:pageMargins left="0.7" right="0.7" top="0.75" bottom="0.75" header="0.3" footer="0.3"/>
</x:worksheet>
</file>

<file path=xl/worksheets/sheet10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10000038146973" hidden="0" customWidth="1"/>
    <x:col min="2" max="2" width="15.710000038146973" hidden="0" customWidth="1"/>
    <x:col min="3" max="3" width="18.709999084472656" hidden="0" customWidth="1"/>
    <x:col min="4" max="4" width="58.709999084472656" hidden="0" customWidth="1"/>
    <x:col min="5" max="5" width="14.710000038146973" hidden="0" customWidth="1"/>
    <x:col min="6" max="6" width="14.710000038146973" hidden="0" customWidth="1"/>
    <x:col min="7" max="7" width="50.709999084472656" hidden="0" customWidth="1"/>
    <x:col min="8" max="8" width="17.709999084472656" hidden="0" customWidth="1"/>
    <x:col min="9" max="9" width="14.710000038146973" hidden="0" customWidth="1"/>
    <x:col min="10" max="10" width="14.710000038146973" hidden="0" customWidth="1"/>
    <x:col min="11" max="11" width="42.709999084472656" hidden="0" customWidth="1"/>
    <x:col min="12" max="12" width="10.710000038146973" hidden="0" customWidth="1"/>
    <x:col min="13" max="13" width="10.710000038146973" hidden="0" customWidth="1"/>
  </x:cols>
  <x:sheetData>
    <x:row r="1" ht="32" customHeight="1">
      <x:c r="A1" s="115" t="str">
        <x:v>Radio Card Evidence</x:v>
      </x:c>
      <x:c r="B1" s="115"/>
      <x:c r="C1" s="115"/>
      <x:c r="D1" s="115"/>
      <x:c r="E1" s="115"/>
      <x:c r="F1" s="115"/>
      <x:c r="G1" s="115"/>
      <x:c r="H1" s="115"/>
      <x:c r="I1" s="115"/>
      <x:c r="J1" s="115"/>
      <x:c r="K1" s="115"/>
      <x:c r="L1" s="115"/>
      <x:c r="M1" s="115"/>
    </x:row>
    <x:row r="2" ht="24" customHeight="1">
      <x:c r="A2" s="41" t="str">
        <x:v>Atom-backed selection behavior with card anatomy, recipes, forms, keyboard, accessibility, visual, Consumer, and package evidence.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17.25" customHeight="1">
      <x:c r="A4" t="s">
        <x:v>6</x:v>
      </x:c>
      <x:c r="B4" t="n">
        <x:f>COUNTA(A9:A28)</x:f>
        <x:v>20</x:v>
      </x:c>
      <x:c r="C4"/>
      <x:c r="D4" t="s">
        <x:v>143</x:v>
      </x:c>
      <x:c r="E4" t="n">
        <x:f>SUM(M9:M28)</x:f>
        <x:v>19</x:v>
      </x:c>
      <x:c r="F4"/>
      <x:c r="G4" t="s">
        <x:v>13</x:v>
      </x:c>
      <x:c r="H4" s="105" t="n">
        <x:f>IF(B4=0,0,E4/B4)</x:f>
        <x:v>0.95</x:v>
      </x:c>
      <x:c r="I4"/>
      <x:c r="J4" t="s">
        <x:v>14</x:v>
      </x:c>
      <x:c r="K4" t="str">
        <x:f>IF(COUNTIFS(E9:E28,"package",M9:M28,0)&gt;0,"open","complete")</x:f>
        <x:v>complete</x:v>
      </x:c>
      <x:c r="L4"/>
      <x:c r="M4"/>
    </x:row>
    <x:row r="5" ht="17.25" customHeight="1">
      <x:c r="A5" t="s">
        <x:v>144</x:v>
      </x:c>
      <x:c r="B5" t="str">
        <x:f>IF(COUNTIFS(I9:I28,"yes",M9:M28,0)&gt;0,"open","complete")</x:f>
        <x:v>open</x:v>
      </x:c>
      <x:c r="C5"/>
      <x:c r="D5" t="s">
        <x:v>15</x:v>
      </x:c>
      <x:c r="E5" t="str">
        <x:f>IF(COUNTIFS(E9:E28,"consumer",M9:M28,0)&gt;0,"open","complete")</x:f>
        <x:v>complete</x:v>
      </x:c>
      <x:c r="F5"/>
      <x:c r="G5"/>
      <x:c r="H5"/>
      <x:c r="I5"/>
      <x:c r="J5"/>
      <x:c r="K5"/>
      <x:c r="L5"/>
      <x:c r="M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15" customHeight="1">
      <x:c r="A8" t="str">
        <x:v>ID</x:v>
      </x:c>
      <x:c r="B8" t="str">
        <x:v>Area</x:v>
      </x:c>
      <x:c r="C8" t="str">
        <x:v>Part</x:v>
      </x:c>
      <x:c r="D8" t="str">
        <x:v>Requirement</x:v>
      </x:c>
      <x:c r="E8" t="str">
        <x:v>Gate</x:v>
      </x:c>
      <x:c r="F8" t="str">
        <x:v>Evidence type</x:v>
      </x:c>
      <x:c r="G8" t="str">
        <x:v>Evidence / link</x:v>
      </x:c>
      <x:c r="H8" t="str">
        <x:v>Status</x:v>
      </x:c>
      <x:c r="I8" t="str">
        <x:v>Human review?</x:v>
      </x:c>
      <x:c r="J8" t="str">
        <x:v>Last verified</x:v>
      </x:c>
      <x:c r="K8" t="str">
        <x:v>Blocker / N/A reason</x:v>
      </x:c>
      <x:c r="L8" t="str">
        <x:v>Weight</x:v>
      </x:c>
      <x:c r="M8" t="str">
        <x:v>Resolved</x:v>
      </x:c>
    </x:row>
    <x:row r="9" ht="42" customHeight="1">
      <x:c r="A9" t="str">
        <x:v>RC-01</x:v>
      </x:c>
      <x:c r="B9" t="str">
        <x:v>Implementation</x:v>
      </x:c>
      <x:c r="C9" t="str">
        <x:v>Root/Item</x:v>
      </x:c>
      <x:c r="D9" t="str">
        <x:v>Radio Card adapts released Atom Radio Group behavior without recreating selection semantics.</x:v>
      </x:c>
      <x:c r="E9" t="str">
        <x:v>package</x:v>
      </x:c>
      <x:c r="F9" t="str">
        <x:v>source</x:v>
      </x:c>
      <x:c r="G9" t="str">
        <x:v>../src/components/radio-card</x:v>
      </x:c>
      <x:c r="H9" t="str">
        <x:v>tested</x:v>
      </x:c>
      <x:c r="I9" t="str">
        <x:v>no</x:v>
      </x:c>
      <x:c r="J9" t="str">
        <x:v>2026-09-03</x:v>
      </x:c>
      <x:c r="K9" t="str">
        <x:v>Focused Radio Card package, browser, accessibility, and Consumer evidence passes.</x:v>
      </x:c>
      <x:c r="L9" t="n">
        <x:v>1</x:v>
      </x:c>
      <x:c r="M9" t="n">
        <x:f>IF(OR(AND(I9="yes",H9="verified"),AND(I9="no",OR(H9="tested",H9="verified")),AND(H9="not applicable",K9&lt;&gt;"")),1,0)</x:f>
        <x:v>1</x:v>
      </x:c>
    </x:row>
    <x:row r="10" ht="42" customHeight="1">
      <x:c r="A10" t="str">
        <x:v>RC-02</x:v>
      </x:c>
      <x:c r="B10" t="str">
        <x:v>Anatomy</x:v>
      </x:c>
      <x:c r="C10" t="str">
        <x:v>All parts</x:v>
      </x:c>
      <x:c r="D10" t="str">
        <x:v>Root, Item, Control, Content, Title, Description, Indicator, and Addon are independently exported and composable.</x:v>
      </x:c>
      <x:c r="E10" t="str">
        <x:v>package</x:v>
      </x:c>
      <x:c r="F10" t="str">
        <x:v>component</x:v>
      </x:c>
      <x:c r="G10" t="str">
        <x:v>../test/components/radio-card/radio-card.test.tsx</x:v>
      </x:c>
      <x:c r="H10" t="str">
        <x:v>tested</x:v>
      </x:c>
      <x:c r="I10" t="str">
        <x:v>no</x:v>
      </x:c>
      <x:c r="J10" t="str">
        <x:v>2026-09-03</x:v>
      </x:c>
      <x:c r="K10" t="str">
        <x:v>Focused Radio Card package, browser, accessibility, and Consumer evidence passes.</x:v>
      </x:c>
      <x:c r="L10" t="n">
        <x:v>1</x:v>
      </x:c>
      <x:c r="M10" t="n">
        <x:f>IF(OR(AND(I10="yes",H10="verified"),AND(I10="no",OR(H10="tested",H10="verified")),AND(H10="not applicable",K10&lt;&gt;"")),1,0)</x:f>
        <x:v>1</x:v>
      </x:c>
    </x:row>
    <x:row r="11" ht="42" customHeight="1">
      <x:c r="A11" t="str">
        <x:v>RC-03</x:v>
      </x:c>
      <x:c r="B11" t="str">
        <x:v>Exports</x:v>
      </x:c>
      <x:c r="C11" t="str">
        <x:v>RadioCard</x:v>
      </x:c>
      <x:c r="D11" t="str">
        <x:v>Namespace, named parts, public types, root export, and radio-card package subpath resolve.</x:v>
      </x:c>
      <x:c r="E11" t="str">
        <x:v>package</x:v>
      </x:c>
      <x:c r="F11" t="str">
        <x:v>package</x:v>
      </x:c>
      <x:c r="G11" t="str">
        <x:v>../test/package/package.test.mjs</x:v>
      </x:c>
      <x:c r="H11" t="str">
        <x:v>tested</x:v>
      </x:c>
      <x:c r="I11" t="str">
        <x:v>no</x:v>
      </x:c>
      <x:c r="J11" t="str">
        <x:v>2026-09-03</x:v>
      </x:c>
      <x:c r="K11" t="str">
        <x:v>Focused Radio Card package, browser, accessibility, and Consumer evidence passes.</x:v>
      </x:c>
      <x:c r="L11" t="n">
        <x:v>1</x:v>
      </x:c>
      <x:c r="M11" t="n">
        <x:f>IF(OR(AND(I11="yes",H11="verified"),AND(I11="no",OR(H11="tested",H11="verified")),AND(H11="not applicable",K11&lt;&gt;"")),1,0)</x:f>
        <x:v>1</x:v>
      </x:c>
    </x:row>
    <x:row r="12" ht="42" customHeight="1">
      <x:c r="A12" t="str">
        <x:v>RC-04</x:v>
      </x:c>
      <x:c r="B12" t="str">
        <x:v>Types</x:v>
      </x:c>
      <x:c r="C12" t="str">
        <x:v>All parts</x:v>
      </x:c>
      <x:c r="D12" t="str">
        <x:v>Recipe props, refs, native props, selection ownership, and compound parts type-check.</x:v>
      </x:c>
      <x:c r="E12" t="str">
        <x:v>package</x:v>
      </x:c>
      <x:c r="F12" t="str">
        <x:v>types</x:v>
      </x:c>
      <x:c r="G12" t="str">
        <x:v>../test/types/components/radio-card.test.ts</x:v>
      </x:c>
      <x:c r="H12" t="str">
        <x:v>tested</x:v>
      </x:c>
      <x:c r="I12" t="str">
        <x:v>no</x:v>
      </x:c>
      <x:c r="J12" t="str">
        <x:v>2026-09-03</x:v>
      </x:c>
      <x:c r="K12" t="str">
        <x:v>Focused Radio Card package, browser, accessibility, and Consumer evidence passes.</x:v>
      </x:c>
      <x:c r="L12" t="n">
        <x:v>1</x:v>
      </x:c>
      <x:c r="M12" t="n">
        <x:f>IF(OR(AND(I12="yes",H12="verified"),AND(I12="no",OR(H12="tested",H12="verified")),AND(H12="not applicable",K12&lt;&gt;"")),1,0)</x:f>
        <x:v>1</x:v>
      </x:c>
    </x:row>
    <x:row r="13" ht="42" customHeight="1">
      <x:c r="A13" t="str">
        <x:v>RC-05</x:v>
      </x:c>
      <x:c r="B13" t="str">
        <x:v>CSS</x:v>
      </x:c>
      <x:c r="C13" t="str">
        <x:v>All parts</x:v>
      </x:c>
      <x:c r="D13" t="str">
        <x:v>Static CSS owns variants, sizes, states, focus treatment, logical layout, and documented variables.</x:v>
      </x:c>
      <x:c r="E13" t="str">
        <x:v>package</x:v>
      </x:c>
      <x:c r="F13" t="str">
        <x:v>css</x:v>
      </x:c>
      <x:c r="G13" t="str">
        <x:v>../src/components/radio-card/radio-card.css</x:v>
      </x:c>
      <x:c r="H13" t="str">
        <x:v>tested</x:v>
      </x:c>
      <x:c r="I13" t="str">
        <x:v>no</x:v>
      </x:c>
      <x:c r="J13" t="str">
        <x:v>2026-09-03</x:v>
      </x:c>
      <x:c r="K13" t="str">
        <x:v>Focused Radio Card package, browser, accessibility, and Consumer evidence passes.</x:v>
      </x:c>
      <x:c r="L13" t="n">
        <x:v>1</x:v>
      </x:c>
      <x:c r="M13" t="n">
        <x:f>IF(OR(AND(I13="yes",H13="verified"),AND(I13="no",OR(H13="tested",H13="verified")),AND(H13="not applicable",K13&lt;&gt;"")),1,0)</x:f>
        <x:v>1</x:v>
      </x:c>
    </x:row>
    <x:row r="14" ht="42" customHeight="1">
      <x:c r="A14" t="str">
        <x:v>RC-06</x:v>
      </x:c>
      <x:c r="B14" t="str">
        <x:v>Defaults</x:v>
      </x:c>
      <x:c r="C14" t="str">
        <x:v>Root/Item</x:v>
      </x:c>
      <x:c r="D14" t="str">
        <x:v>Medium outline cards with start alignment and accent selection are the canonical defaults.</x:v>
      </x:c>
      <x:c r="E14" t="str">
        <x:v>browser</x:v>
      </x:c>
      <x:c r="F14" t="str">
        <x:v>browser</x:v>
      </x:c>
      <x:c r="G14" t="str">
        <x:v>tests/components/radio-card/behavior.spec.ts</x:v>
      </x:c>
      <x:c r="H14" t="str">
        <x:v>tested</x:v>
      </x:c>
      <x:c r="I14" t="str">
        <x:v>no</x:v>
      </x:c>
      <x:c r="J14" t="str">
        <x:v>2026-09-03</x:v>
      </x:c>
      <x:c r="K14" t="str">
        <x:v>Focused Radio Card package, browser, accessibility, and Consumer evidence passes.</x:v>
      </x:c>
      <x:c r="L14" t="n">
        <x:v>1</x:v>
      </x:c>
      <x:c r="M14" t="n">
        <x:f>IF(OR(AND(I14="yes",H14="verified"),AND(I14="no",OR(H14="tested",H14="verified")),AND(H14="not applicable",K14&lt;&gt;"")),1,0)</x:f>
        <x:v>1</x:v>
      </x:c>
    </x:row>
    <x:row r="15" ht="42" customHeight="1">
      <x:c r="A15" t="str">
        <x:v>RC-07</x:v>
      </x:c>
      <x:c r="B15" t="str">
        <x:v>Sizing</x:v>
      </x:c>
      <x:c r="C15" t="str">
        <x:v>Root/Item</x:v>
      </x:c>
      <x:c r="D15" t="str">
        <x:v>Small, medium, and large sizes coordinate control, content, addon, and text geometry.</x:v>
      </x:c>
      <x:c r="E15" t="str">
        <x:v>browser</x:v>
      </x:c>
      <x:c r="F15" t="str">
        <x:v>visual</x:v>
      </x:c>
      <x:c r="G15" t="str">
        <x:v>tests/components/radio-card/visual.spec.ts</x:v>
      </x:c>
      <x:c r="H15" t="str">
        <x:v>verified</x:v>
      </x:c>
      <x:c r="I15" t="str">
        <x:v>yes</x:v>
      </x:c>
      <x:c r="J15" t="str">
        <x:v>2026-09-03</x:v>
      </x:c>
      <x:c r="K15" t="str">
        <x:v>2026-09-03: owner reviewed the generated Chromium baselines and focused visual states.</x:v>
      </x:c>
      <x:c r="L15" t="n">
        <x:v>1</x:v>
      </x:c>
      <x:c r="M15" t="n">
        <x:f>IF(OR(AND(I15="yes",H15="verified"),AND(I15="no",OR(H15="tested",H15="verified")),AND(H15="not applicable",K15&lt;&gt;"")),1,0)</x:f>
        <x:v>1</x:v>
      </x:c>
    </x:row>
    <x:row r="16" ht="42" customHeight="1">
      <x:c r="A16" t="str">
        <x:v>RC-08</x:v>
      </x:c>
      <x:c r="B16" t="str">
        <x:v>Variants</x:v>
      </x:c>
      <x:c r="C16" t="str">
        <x:v>Item</x:v>
      </x:c>
      <x:c r="D16" t="str">
        <x:v>Outline, surface, subtle, and solid variants preserve legible selected and unselected states.</x:v>
      </x:c>
      <x:c r="E16" t="str">
        <x:v>browser</x:v>
      </x:c>
      <x:c r="F16" t="str">
        <x:v>visual</x:v>
      </x:c>
      <x:c r="G16" t="str">
        <x:v>tests/components/radio-card/visual.spec.ts</x:v>
      </x:c>
      <x:c r="H16" t="str">
        <x:v>verified</x:v>
      </x:c>
      <x:c r="I16" t="str">
        <x:v>yes</x:v>
      </x:c>
      <x:c r="J16" t="str">
        <x:v>2026-09-03</x:v>
      </x:c>
      <x:c r="K16" t="str">
        <x:v>2026-09-03: owner reviewed the generated Chromium baselines and focused visual states.</x:v>
      </x:c>
      <x:c r="L16" t="n">
        <x:v>1</x:v>
      </x:c>
      <x:c r="M16" t="n">
        <x:f>IF(OR(AND(I16="yes",H16="verified"),AND(I16="no",OR(H16="tested",H16="verified")),AND(H16="not applicable",K16&lt;&gt;"")),1,0)</x:f>
        <x:v>1</x:v>
      </x:c>
    </x:row>
    <x:row r="17" ht="42" customHeight="1">
      <x:c r="A17" t="str">
        <x:v>RC-09</x:v>
      </x:c>
      <x:c r="B17" t="str">
        <x:v>Composition</x:v>
      </x:c>
      <x:c r="C17" t="str">
        <x:v>Content/Addon</x:v>
      </x:c>
      <x:c r="D17" t="str">
        <x:v>Content alignment, indicator placement, addons, rich descriptions, and custom children compose without wrapper CSS.</x:v>
      </x:c>
      <x:c r="E17" t="str">
        <x:v>browser</x:v>
      </x:c>
      <x:c r="F17" t="str">
        <x:v>browser</x:v>
      </x:c>
      <x:c r="G17" t="str">
        <x:v>tests/components/radio-card/behavior.spec.ts</x:v>
      </x:c>
      <x:c r="H17" t="str">
        <x:v>tested</x:v>
      </x:c>
      <x:c r="I17" t="str">
        <x:v>no</x:v>
      </x:c>
      <x:c r="J17" t="str">
        <x:v>2026-09-03</x:v>
      </x:c>
      <x:c r="K17" t="str">
        <x:v>Focused Radio Card package, browser, accessibility, and Consumer evidence passes.</x:v>
      </x:c>
      <x:c r="L17" t="n">
        <x:v>1</x:v>
      </x:c>
      <x:c r="M17" t="n">
        <x:f>IF(OR(AND(I17="yes",H17="verified"),AND(I17="no",OR(H17="tested",H17="verified")),AND(H17="not applicable",K17&lt;&gt;"")),1,0)</x:f>
        <x:v>1</x:v>
      </x:c>
    </x:row>
    <x:row r="18" ht="42" customHeight="1">
      <x:c r="A18" t="str">
        <x:v>RC-10</x:v>
      </x:c>
      <x:c r="B18" t="str">
        <x:v>Ownership</x:v>
      </x:c>
      <x:c r="C18" t="str">
        <x:v>Root/Item</x:v>
      </x:c>
      <x:c r="D18" t="str">
        <x:v>Controlled and uncontrolled selection expose identical visual and semantic behavior.</x:v>
      </x:c>
      <x:c r="E18" t="str">
        <x:v>browser</x:v>
      </x:c>
      <x:c r="F18" t="str">
        <x:v>component</x:v>
      </x:c>
      <x:c r="G18" t="str">
        <x:v>../test/components/radio-card/radio-card.test.tsx; tests/components/radio-card/behavior.spec.ts</x:v>
      </x:c>
      <x:c r="H18" t="str">
        <x:v>tested</x:v>
      </x:c>
      <x:c r="I18" t="str">
        <x:v>no</x:v>
      </x:c>
      <x:c r="J18" t="str">
        <x:v>2026-09-03</x:v>
      </x:c>
      <x:c r="K18" t="str">
        <x:v>Focused Radio Card package, browser, accessibility, and Consumer evidence passes.</x:v>
      </x:c>
      <x:c r="L18" t="n">
        <x:v>1</x:v>
      </x:c>
      <x:c r="M18" t="n">
        <x:f>IF(OR(AND(I18="yes",H18="verified"),AND(I18="no",OR(H18="tested",H18="verified")),AND(H18="not applicable",K18&lt;&gt;"")),1,0)</x:f>
        <x:v>1</x:v>
      </x:c>
    </x:row>
    <x:row r="19" ht="42" customHeight="1">
      <x:c r="A19" t="str">
        <x:v>RC-11</x:v>
      </x:c>
      <x:c r="B19" t="str">
        <x:v>States</x:v>
      </x:c>
      <x:c r="C19" t="str">
        <x:v>All parts</x:v>
      </x:c>
      <x:c r="D19" t="str">
        <x:v>Disabled, invalid, required, checked, unchecked, and focus-visible states remain distinct.</x:v>
      </x:c>
      <x:c r="E19" t="str">
        <x:v>browser</x:v>
      </x:c>
      <x:c r="F19" t="str">
        <x:v>browser</x:v>
      </x:c>
      <x:c r="G19" t="str">
        <x:v>tests/components/radio-card/behavior.spec.ts</x:v>
      </x:c>
      <x:c r="H19" t="str">
        <x:v>tested</x:v>
      </x:c>
      <x:c r="I19" t="str">
        <x:v>no</x:v>
      </x:c>
      <x:c r="J19" t="str">
        <x:v>2026-09-03</x:v>
      </x:c>
      <x:c r="K19" t="str">
        <x:v>Focused Radio Card package, browser, accessibility, and Consumer evidence passes.</x:v>
      </x:c>
      <x:c r="L19" t="n">
        <x:v>1</x:v>
      </x:c>
      <x:c r="M19" t="n">
        <x:f>IF(OR(AND(I19="yes",H19="verified"),AND(I19="no",OR(H19="tested",H19="verified")),AND(H19="not applicable",K19&lt;&gt;"")),1,0)</x:f>
        <x:v>1</x:v>
      </x:c>
    </x:row>
    <x:row r="20" ht="42" customHeight="1">
      <x:c r="A20" t="str">
        <x:v>RC-12</x:v>
      </x:c>
      <x:c r="B20" t="str">
        <x:v>Forms</x:v>
      </x:c>
      <x:c r="C20" t="str">
        <x:v>Root/Item</x:v>
      </x:c>
      <x:c r="D20" t="str">
        <x:v>Named values submit, reset, and participate in native validation through Atom-owned hidden inputs.</x:v>
      </x:c>
      <x:c r="E20" t="str">
        <x:v>browser</x:v>
      </x:c>
      <x:c r="F20" t="str">
        <x:v>browser</x:v>
      </x:c>
      <x:c r="G20" t="str">
        <x:v>tests/components/radio-card/behavior.spec.ts</x:v>
      </x:c>
      <x:c r="H20" t="str">
        <x:v>tested</x:v>
      </x:c>
      <x:c r="I20" t="str">
        <x:v>no</x:v>
      </x:c>
      <x:c r="J20" t="str">
        <x:v>2026-09-03</x:v>
      </x:c>
      <x:c r="K20" t="str">
        <x:v>Focused Radio Card package, browser, accessibility, and Consumer evidence passes.</x:v>
      </x:c>
      <x:c r="L20" t="n">
        <x:v>1</x:v>
      </x:c>
      <x:c r="M20" t="n">
        <x:f>IF(OR(AND(I20="yes",H20="verified"),AND(I20="no",OR(H20="tested",H20="verified")),AND(H20="not applicable",K20&lt;&gt;"")),1,0)</x:f>
        <x:v>1</x:v>
      </x:c>
    </x:row>
    <x:row r="21" ht="42" customHeight="1">
      <x:c r="A21" t="str">
        <x:v>RC-13</x:v>
      </x:c>
      <x:c r="B21" t="str">
        <x:v>Keyboard</x:v>
      </x:c>
      <x:c r="C21" t="str">
        <x:v>Root/Item</x:v>
      </x:c>
      <x:c r="D21" t="str">
        <x:v>Tab, arrow navigation, Home/End, loop, orientation, and disabled-item skipping remain intact.</x:v>
      </x:c>
      <x:c r="E21" t="str">
        <x:v>browser</x:v>
      </x:c>
      <x:c r="F21" t="str">
        <x:v>browser</x:v>
      </x:c>
      <x:c r="G21" t="str">
        <x:v>tests/components/radio-card/behavior.spec.ts</x:v>
      </x:c>
      <x:c r="H21" t="str">
        <x:v>tested</x:v>
      </x:c>
      <x:c r="I21" t="str">
        <x:v>no</x:v>
      </x:c>
      <x:c r="J21" t="str">
        <x:v>2026-09-03</x:v>
      </x:c>
      <x:c r="K21" t="str">
        <x:v>Focused Radio Card package, browser, accessibility, and Consumer evidence passes.</x:v>
      </x:c>
      <x:c r="L21" t="n">
        <x:v>1</x:v>
      </x:c>
      <x:c r="M21" t="n">
        <x:f>IF(OR(AND(I21="yes",H21="verified"),AND(I21="no",OR(H21="tested",H21="verified")),AND(H21="not applicable",K21&lt;&gt;"")),1,0)</x:f>
        <x:v>1</x:v>
      </x:c>
    </x:row>
    <x:row r="22" ht="42" customHeight="1">
      <x:c r="A22" t="str">
        <x:v>RC-14</x:v>
      </x:c>
      <x:c r="B22" t="str">
        <x:v>Accessibility</x:v>
      </x:c>
      <x:c r="C22" t="str">
        <x:v>All parts</x:v>
      </x:c>
      <x:c r="D22" t="str">
        <x:v>Accessible names, radiogroup/radio semantics, state exposure, contrast, and axe checks pass.</x:v>
      </x:c>
      <x:c r="E22" t="str">
        <x:v>browser</x:v>
      </x:c>
      <x:c r="F22" t="str">
        <x:v>axe</x:v>
      </x:c>
      <x:c r="G22" t="str">
        <x:v>tests/components/radio-card/behavior.spec.ts</x:v>
      </x:c>
      <x:c r="H22" t="str">
        <x:v>tested</x:v>
      </x:c>
      <x:c r="I22" t="str">
        <x:v>no</x:v>
      </x:c>
      <x:c r="J22" t="str">
        <x:v>2026-09-03</x:v>
      </x:c>
      <x:c r="K22" t="str">
        <x:v>Focused Radio Card package, browser, accessibility, and Consumer evidence passes.</x:v>
      </x:c>
      <x:c r="L22" t="n">
        <x:v>1</x:v>
      </x:c>
      <x:c r="M22" t="n">
        <x:f>IF(OR(AND(I22="yes",H22="verified"),AND(I22="no",OR(H22="tested",H22="verified")),AND(H22="not applicable",K22&lt;&gt;"")),1,0)</x:f>
        <x:v>1</x:v>
      </x:c>
    </x:row>
    <x:row r="23" ht="42" customHeight="1">
      <x:c r="A23" t="str">
        <x:v>RC-15</x:v>
      </x:c>
      <x:c r="B23" t="str">
        <x:v>Appearance</x:v>
      </x:c>
      <x:c r="C23" t="str">
        <x:v>All parts</x:v>
      </x:c>
      <x:c r="D23" t="str">
        <x:v>Light, dark, forced-color, responsive, RTL, focus, and recipe states remain legible.</x:v>
      </x:c>
      <x:c r="E23" t="str">
        <x:v>human</x:v>
      </x:c>
      <x:c r="F23" t="str">
        <x:v>visual</x:v>
      </x:c>
      <x:c r="G23" t="str">
        <x:v>tests/components/radio-card/visual.spec.ts</x:v>
      </x:c>
      <x:c r="H23" t="str">
        <x:v>verified</x:v>
      </x:c>
      <x:c r="I23" t="str">
        <x:v>yes</x:v>
      </x:c>
      <x:c r="J23" t="str">
        <x:v>2026-09-03</x:v>
      </x:c>
      <x:c r="K23" t="str">
        <x:v>2026-09-03: owner reviewed the generated Chromium baselines and focused visual states.</x:v>
      </x:c>
      <x:c r="L23" t="n">
        <x:v>1</x:v>
      </x:c>
      <x:c r="M23" t="n">
        <x:f>IF(OR(AND(I23="yes",H23="verified"),AND(I23="no",OR(H23="tested",H23="verified")),AND(H23="not applicable",K23&lt;&gt;"")),1,0)</x:f>
        <x:v>1</x:v>
      </x:c>
    </x:row>
    <x:row r="24" ht="42" customHeight="1">
      <x:c r="A24" t="str">
        <x:v>RC-16</x:v>
      </x:c>
      <x:c r="B24" t="str">
        <x:v>Manual</x:v>
      </x:c>
      <x:c r="C24" t="str">
        <x:v>All parts</x:v>
      </x:c>
      <x:c r="D24" t="str">
        <x:v>The numbered protocol covers visual, keyboard, pointer, forms, responsive behavior, zoom, RTL, and forced colors.</x:v>
      </x:c>
      <x:c r="E24" t="str">
        <x:v>human</x:v>
      </x:c>
      <x:c r="F24" t="str">
        <x:v>manual</x:v>
      </x:c>
      <x:c r="G24" t="str">
        <x:v>manual-tests/radio-card.md</x:v>
      </x:c>
      <x:c r="H24" t="str">
        <x:v>implemented</x:v>
      </x:c>
      <x:c r="I24" t="str">
        <x:v>yes</x:v>
      </x:c>
      <x:c r="J24" t="str">
        <x:v>2026-09-03</x:v>
      </x:c>
      <x:c r="K24" t="str">
        <x:v>Implementation evidence exists; the current manual protocol remains open until an owner completes it top to bottom.</x:v>
      </x:c>
      <x:c r="L24" t="n">
        <x:v>1</x:v>
      </x:c>
      <x:c r="M24" t="n">
        <x:f>IF(OR(AND(I24="yes",H24="verified"),AND(I24="no",OR(H24="tested",H24="verified")),AND(H24="not applicable",K24&lt;&gt;"")),1,0)</x:f>
        <x:v>0</x:v>
      </x:c>
    </x:row>
    <x:row r="25" ht="15" customHeight="1">
      <x:c r="A25" t="str">
        <x:v>RC-17</x:v>
      </x:c>
      <x:c r="B25" t="str">
        <x:v>Docs</x:v>
      </x:c>
      <x:c r="C25" t="str">
        <x:v>RadioCard</x:v>
      </x:c>
      <x:c r="D25" t="str">
        <x:v>Guide, API, anatomy, variants, states, accessibility, customization, and responsive guidance agree.</x:v>
      </x:c>
      <x:c r="E25" t="str">
        <x:v>package</x:v>
      </x:c>
      <x:c r="F25" t="str">
        <x:v>docs</x:v>
      </x:c>
      <x:c r="G25" t="str">
        <x:v>../docs/components/radio-card/README.md</x:v>
      </x:c>
      <x:c r="H25" t="str">
        <x:v>tested</x:v>
      </x:c>
      <x:c r="I25" t="str">
        <x:v>no</x:v>
      </x:c>
      <x:c r="J25" t="str">
        <x:v>2026-09-03</x:v>
      </x:c>
      <x:c r="K25" t="str">
        <x:v>Focused Radio Card package, browser, accessibility, and Consumer evidence passes.</x:v>
      </x:c>
      <x:c r="L25" t="n">
        <x:v>1</x:v>
      </x:c>
      <x:c r="M25" t="n">
        <x:f>IF(OR(AND(I25="yes",H25="verified"),AND(I25="no",OR(H25="tested",H25="verified")),AND(H25="not applicable",K25&lt;&gt;"")),1,0)</x:f>
        <x:v>1</x:v>
      </x:c>
    </x:row>
    <x:row r="26" ht="15" customHeight="1">
      <x:c r="A26" t="str">
        <x:v>RC-18</x:v>
      </x:c>
      <x:c r="B26" t="str">
        <x:v>Changelog</x:v>
      </x:c>
      <x:c r="C26" t="str">
        <x:v>RadioCard</x:v>
      </x:c>
      <x:c r="D26" t="str">
        <x:v>The unreleased package changelog records the new component and related upgrades.</x:v>
      </x:c>
      <x:c r="E26" t="str">
        <x:v>package</x:v>
      </x:c>
      <x:c r="F26" t="str">
        <x:v>docs</x:v>
      </x:c>
      <x:c r="G26" t="str">
        <x:v>../CHANGELOG.md</x:v>
      </x:c>
      <x:c r="H26" t="str">
        <x:v>tested</x:v>
      </x:c>
      <x:c r="I26" t="str">
        <x:v>no</x:v>
      </x:c>
      <x:c r="J26" t="str">
        <x:v>2026-09-03</x:v>
      </x:c>
      <x:c r="K26" t="str">
        <x:v>Focused Radio Card package, browser, accessibility, and Consumer evidence passes.</x:v>
      </x:c>
      <x:c r="L26" t="n">
        <x:v>1</x:v>
      </x:c>
      <x:c r="M26" t="n">
        <x:f>IF(OR(AND(I26="yes",H26="verified"),AND(I26="no",OR(H26="tested",H26="verified")),AND(H26="not applicable",K26&lt;&gt;"")),1,0)</x:f>
        <x:v>1</x:v>
      </x:c>
    </x:row>
    <x:row r="27" ht="15" customHeight="1">
      <x:c r="A27" t="str">
        <x:v>RC-19</x:v>
      </x:c>
      <x:c r="B27" t="str">
        <x:v>Consumer</x:v>
      </x:c>
      <x:c r="C27" t="str">
        <x:v>RadioCard</x:v>
      </x:c>
      <x:c r="D27" t="str">
        <x:v>The packed Consumer imports the public subpath and exercises selection without source aliases.</x:v>
      </x:c>
      <x:c r="E27" t="str">
        <x:v>consumer</x:v>
      </x:c>
      <x:c r="F27" t="str">
        <x:v>consumer</x:v>
      </x:c>
      <x:c r="G27" t="str">
        <x:v>../apps/consumer/src/App.tsx; ../apps/consumer/tests/consumer.spec.ts</x:v>
      </x:c>
      <x:c r="H27" t="str">
        <x:v>tested</x:v>
      </x:c>
      <x:c r="I27" t="str">
        <x:v>no</x:v>
      </x:c>
      <x:c r="J27" t="str">
        <x:v>2026-09-03</x:v>
      </x:c>
      <x:c r="K27" t="str">
        <x:v>Focused Radio Card package, browser, accessibility, and Consumer evidence passes.</x:v>
      </x:c>
      <x:c r="L27" t="n">
        <x:v>1</x:v>
      </x:c>
      <x:c r="M27" t="n">
        <x:f>IF(OR(AND(I27="yes",H27="verified"),AND(I27="no",OR(H27="tested",H27="verified")),AND(H27="not applicable",K27&lt;&gt;"")),1,0)</x:f>
        <x:v>1</x:v>
      </x:c>
    </x:row>
    <x:row r="28" ht="15" customHeight="1">
      <x:c r="A28" t="str">
        <x:v>RC-20</x:v>
      </x:c>
      <x:c r="B28" t="str">
        <x:v>Package</x:v>
      </x:c>
      <x:c r="C28" t="str">
        <x:v>RadioCard</x:v>
      </x:c>
      <x:c r="D28" t="str">
        <x:v>Build, exports, SSR, all CSS, React 18/19, and clean packed-consumer boundaries pass.</x:v>
      </x:c>
      <x:c r="E28" t="str">
        <x:v>consumer</x:v>
      </x:c>
      <x:c r="F28" t="str">
        <x:v>package</x:v>
      </x:c>
      <x:c r="G28" t="str">
        <x:v>../scripts/verify-consumers.mjs; ../scripts/verify-package.mjs</x:v>
      </x:c>
      <x:c r="H28" t="str">
        <x:v>tested</x:v>
      </x:c>
      <x:c r="I28" t="str">
        <x:v>no</x:v>
      </x:c>
      <x:c r="J28" t="str">
        <x:v>2026-09-03</x:v>
      </x:c>
      <x:c r="K28" t="str">
        <x:v>Focused Radio Card package, browser, accessibility, and Consumer evidence passes.</x:v>
      </x:c>
      <x:c r="L28" t="n">
        <x:v>1</x:v>
      </x:c>
      <x:c r="M28" t="n">
        <x:f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dataValidations count="2">
    <x:dataValidation type="list" sqref="H9:H28">
      <x:formula1>'_Lists'!$A$1:$A$7</x:formula1>
    </x:dataValidation>
    <x:dataValidation type="list" sqref="I9:I28">
      <x:formula1>'_Lists'!$B$1:$B$2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c56de01bf1433b"/>
  </x:tableParts>
</x:worksheet>
</file>

<file path=xl/worksheets/sheet10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Locale Provider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locale, logical direction, component-owned text,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COUNTA(A9:A24)</x:f>
        <x:v>16</x:v>
      </x:c>
      <x:c r="C4" s="116"/>
      <x:c r="D4" s="116" t="s">
        <x:v>143</x:v>
      </x:c>
      <x:c r="E4" s="116" t="n">
        <x:f>SUM(M9:M24)</x:f>
        <x:v>11</x:v>
      </x:c>
      <x:c r="F4" s="116"/>
      <x:c r="G4" s="116" t="s">
        <x:v>13</x:v>
      </x:c>
      <x:c r="H4" s="116" t="n">
        <x:f>IF(B4=0,0,E4/B4)</x:f>
        <x:v>0.6875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144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145</x:v>
      </x:c>
      <x:c r="B8" s="116" t="s">
        <x:v>146</x:v>
      </x:c>
      <x:c r="C8" s="116" t="s">
        <x:v>147</x:v>
      </x:c>
      <x:c r="D8" s="116" t="s">
        <x:v>148</x:v>
      </x:c>
      <x:c r="E8" s="116" t="s">
        <x:v>149</x:v>
      </x:c>
      <x:c r="F8" s="116" t="s">
        <x:v>150</x:v>
      </x:c>
      <x:c r="G8" s="116" t="s">
        <x:v>151</x:v>
      </x:c>
      <x:c r="H8" s="116" t="s">
        <x:v>103</x:v>
      </x:c>
      <x:c r="I8" s="116" t="s">
        <x:v>152</x:v>
      </x:c>
      <x:c r="J8" s="116" t="s">
        <x:v>153</x:v>
      </x:c>
      <x:c r="K8" s="116" t="s">
        <x:v>154</x:v>
      </x:c>
      <x:c r="L8" s="116" t="s">
        <x:v>155</x:v>
      </x:c>
      <x:c r="M8" s="116" t="s">
        <x:v>143</x:v>
      </x:c>
    </x:row>
    <x:row r="9" ht="24" hidden="0" customHeight="1">
      <x:c r="A9" s="117" t="str">
        <x:v>LP-01</x:v>
      </x:c>
      <x:c r="B9" s="117" t="str">
        <x:v>Implementation</x:v>
      </x:c>
      <x:c r="C9" s="117" t="str">
        <x:v>Provider</x:v>
      </x:c>
      <x:c r="D9" s="117" t="str">
        <x:v>Locale Provider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../src/components/locale-provider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LP-02</x:v>
      </x:c>
      <x:c r="B10" s="117" t="str">
        <x:v>Exports</x:v>
      </x:c>
      <x:c r="C10" s="117" t="str">
        <x:v>Locale Provider</x:v>
      </x:c>
      <x:c r="D10" s="117" t="str">
        <x:v>Root and locale-provider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LP-03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../test/types/components/locale-provider.test.ts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LP-04</x:v>
      </x:c>
      <x:c r="B12" s="117" t="str">
        <x:v>CSS</x:v>
      </x:c>
      <x:c r="C12" s="117" t="str">
        <x:v>Provider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../src/components/locale-provider/locale-provider.css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LP-05</x:v>
      </x:c>
      <x:c r="B13" s="117" t="str">
        <x:v>Unit</x:v>
      </x:c>
      <x:c r="C13" s="117" t="str">
        <x:v>Provider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../test/components/locale-provider/locale-provider.test.tsx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LP-06</x:v>
      </x:c>
      <x:c r="B14" s="117" t="str">
        <x:v>Browser</x:v>
      </x:c>
      <x:c r="C14" s="117" t="str">
        <x:v>Provider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tests/components/locale-provider/behavior.spec.ts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LP-07</x:v>
      </x:c>
      <x:c r="B15" s="117" t="str">
        <x:v>Composition</x:v>
      </x:c>
      <x:c r="C15" s="117" t="str">
        <x:v>Provider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tests/components/locale-provider/behavior.spec.ts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LP-08</x:v>
      </x:c>
      <x:c r="B16" s="117" t="str">
        <x:v>Contract</x:v>
      </x:c>
      <x:c r="C16" s="117" t="str">
        <x:v>Provider</x:v>
      </x:c>
      <x:c r="D16" s="117" t="str">
        <x:v>Locale inheritance, nested overrides, locale-derived direction, and explicit component-label precedence remain deterministic.</x:v>
      </x:c>
      <x:c r="E16" s="117" t="str">
        <x:v>package</x:v>
      </x:c>
      <x:c r="F16" s="117" t="str">
        <x:v>component</x:v>
      </x:c>
      <x:c r="G16" s="117" t="str">
        <x:v>../test/components/locale-provider/locale-provider.test.tsx; tests/components/locale-provider/behavior.spec.ts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LP-09</x:v>
      </x:c>
      <x:c r="B17" s="117" t="str">
        <x:v>Accessibility</x:v>
      </x:c>
      <x:c r="C17" s="117" t="str">
        <x:v>Provider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tests/components/locale-provider/behavior.spec.ts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LP-10</x:v>
      </x:c>
      <x:c r="B18" s="117" t="str">
        <x:v>Visual</x:v>
      </x:c>
      <x:c r="C18" s="117" t="str">
        <x:v>Provider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tests/components/locale-provider/visual.spec.ts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LP-11</x:v>
      </x:c>
      <x:c r="B19" s="117" t="str">
        <x:v>Responsive</x:v>
      </x:c>
      <x:c r="C19" s="117" t="str">
        <x:v>Provider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manual-tests/locale-provider.md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LP-12</x:v>
      </x:c>
      <x:c r="B20" s="117" t="str">
        <x:v>Manual</x:v>
      </x:c>
      <x:c r="C20" s="117" t="str">
        <x:v>Locale Provider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manual-tests/locale-provider.md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LP-13</x:v>
      </x:c>
      <x:c r="B21" s="117" t="str">
        <x:v>Docs</x:v>
      </x:c>
      <x:c r="C21" s="117" t="str">
        <x:v>Locale Provider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../docs/components/locale-provider/README.md; ../src/components/locale-provider/agent.json; ../src/components/locale-provider/agent.md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LP-14</x:v>
      </x:c>
      <x:c r="B22" s="117" t="str">
        <x:v>Changelog</x:v>
      </x:c>
      <x:c r="C22" s="117" t="str">
        <x:v>Locale Provider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../docs/components/locale-provider/CHANGELOG.md;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LP-15</x:v>
      </x:c>
      <x:c r="B23" s="117" t="str">
        <x:v>Consumer</x:v>
      </x:c>
      <x:c r="C23" s="117" t="str">
        <x:v>Locale Provider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LP-16</x:v>
      </x:c>
      <x:c r="B24" s="117" t="str">
        <x:v>Package</x:v>
      </x:c>
      <x:c r="C24" s="117" t="str">
        <x:v>Locale Provider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>
      <x:c r="A25" s="116"/>
      <x:c r="B25" s="116"/>
      <x:c r="C25" s="116"/>
      <x:c r="D25" s="116"/>
      <x:c r="E25" s="116"/>
      <x:c r="F25" s="116"/>
      <x:c r="G25" s="116"/>
      <x:c r="H25" s="116"/>
      <x:c r="I25" s="116"/>
      <x:c r="J25" s="116"/>
      <x:c r="K25" s="116"/>
      <x:c r="L25" s="116"/>
      <x:c r="M25" s="116"/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pageMargins left="0.7" right="0.7" top="0.75" bottom="0.75" header="0.3" footer="0.3"/>
  <x:tableParts count="1">
    <x:tablePart xmlns:r="http://schemas.openxmlformats.org/officeDocument/2006/relationships" r:id="R81d35585e7c54faa"/>
  </x:tableParts>
</x:worksheet>
</file>

<file path=xl/worksheets/sheet10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Format Number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numeric formatting, locale inheritance,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COUNTA(A9:A24)</x:f>
        <x:v>16</x:v>
      </x:c>
      <x:c r="C4" s="116"/>
      <x:c r="D4" s="116" t="s">
        <x:v>143</x:v>
      </x:c>
      <x:c r="E4" s="116" t="n">
        <x:f>SUM(M9:M24)</x:f>
        <x:v>11</x:v>
      </x:c>
      <x:c r="F4" s="116"/>
      <x:c r="G4" s="116" t="s">
        <x:v>13</x:v>
      </x:c>
      <x:c r="H4" s="116" t="n">
        <x:f>IF(B4=0,0,E4/B4)</x:f>
        <x:v>0.6875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144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145</x:v>
      </x:c>
      <x:c r="B8" s="116" t="s">
        <x:v>146</x:v>
      </x:c>
      <x:c r="C8" s="116" t="s">
        <x:v>147</x:v>
      </x:c>
      <x:c r="D8" s="116" t="s">
        <x:v>148</x:v>
      </x:c>
      <x:c r="E8" s="116" t="s">
        <x:v>149</x:v>
      </x:c>
      <x:c r="F8" s="116" t="s">
        <x:v>150</x:v>
      </x:c>
      <x:c r="G8" s="116" t="s">
        <x:v>151</x:v>
      </x:c>
      <x:c r="H8" s="116" t="s">
        <x:v>103</x:v>
      </x:c>
      <x:c r="I8" s="116" t="s">
        <x:v>152</x:v>
      </x:c>
      <x:c r="J8" s="116" t="s">
        <x:v>153</x:v>
      </x:c>
      <x:c r="K8" s="116" t="s">
        <x:v>154</x:v>
      </x:c>
      <x:c r="L8" s="116" t="s">
        <x:v>155</x:v>
      </x:c>
      <x:c r="M8" s="116" t="s">
        <x:v>143</x:v>
      </x:c>
    </x:row>
    <x:row r="9" ht="24" hidden="0" customHeight="1">
      <x:c r="A9" s="117" t="str">
        <x:v>FN-01</x:v>
      </x:c>
      <x:c r="B9" s="117" t="str">
        <x:v>Implementation</x:v>
      </x:c>
      <x:c r="C9" s="117" t="str">
        <x:v>Formatter</x:v>
      </x:c>
      <x:c r="D9" s="117" t="str">
        <x:v>Format Number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../src/components/format-number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FN-02</x:v>
      </x:c>
      <x:c r="B10" s="117" t="str">
        <x:v>Exports</x:v>
      </x:c>
      <x:c r="C10" s="117" t="str">
        <x:v>Format Number</x:v>
      </x:c>
      <x:c r="D10" s="117" t="str">
        <x:v>Root and format-number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FN-03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../test/types/components/format-number.test.ts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FN-04</x:v>
      </x:c>
      <x:c r="B12" s="117" t="str">
        <x:v>CSS</x:v>
      </x:c>
      <x:c r="C12" s="117" t="str">
        <x:v>Formatter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../src/components/format-number/format-number.css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FN-05</x:v>
      </x:c>
      <x:c r="B13" s="117" t="str">
        <x:v>Unit</x:v>
      </x:c>
      <x:c r="C13" s="117" t="str">
        <x:v>Formatter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../test/components/format-number/format-number.test.tsx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FN-06</x:v>
      </x:c>
      <x:c r="B14" s="117" t="str">
        <x:v>Browser</x:v>
      </x:c>
      <x:c r="C14" s="117" t="str">
        <x:v>Formatter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tests/components/format-number/behavior.spec.ts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FN-07</x:v>
      </x:c>
      <x:c r="B15" s="117" t="str">
        <x:v>Composition</x:v>
      </x:c>
      <x:c r="C15" s="117" t="str">
        <x:v>Formatter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tests/components/format-number/behavior.spec.ts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FN-08</x:v>
      </x:c>
      <x:c r="B16" s="117" t="str">
        <x:v>Contract</x:v>
      </x:c>
      <x:c r="C16" s="117" t="str">
        <x:v>Formatter</x:v>
      </x:c>
      <x:c r="D16" s="117" t="str">
        <x:v>Currency, percentage, compact, unit, and explicit-locale options use the shared cached formatter path.</x:v>
      </x:c>
      <x:c r="E16" s="117" t="str">
        <x:v>package</x:v>
      </x:c>
      <x:c r="F16" s="117" t="str">
        <x:v>component</x:v>
      </x:c>
      <x:c r="G16" s="117" t="str">
        <x:v>../test/components/format-number/format-number.test.tsx; tests/components/format-number/behavior.spec.ts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FN-09</x:v>
      </x:c>
      <x:c r="B17" s="117" t="str">
        <x:v>Accessibility</x:v>
      </x:c>
      <x:c r="C17" s="117" t="str">
        <x:v>Formatter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tests/components/format-number/behavior.spec.ts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FN-10</x:v>
      </x:c>
      <x:c r="B18" s="117" t="str">
        <x:v>Visual</x:v>
      </x:c>
      <x:c r="C18" s="117" t="str">
        <x:v>Formatter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tests/components/format-number/visual.spec.ts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FN-11</x:v>
      </x:c>
      <x:c r="B19" s="117" t="str">
        <x:v>Responsive</x:v>
      </x:c>
      <x:c r="C19" s="117" t="str">
        <x:v>Formatter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manual-tests/format-number.md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FN-12</x:v>
      </x:c>
      <x:c r="B20" s="117" t="str">
        <x:v>Manual</x:v>
      </x:c>
      <x:c r="C20" s="117" t="str">
        <x:v>Format Number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manual-tests/format-number.md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FN-13</x:v>
      </x:c>
      <x:c r="B21" s="117" t="str">
        <x:v>Docs</x:v>
      </x:c>
      <x:c r="C21" s="117" t="str">
        <x:v>Format Number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../docs/components/format-number/README.md; ../src/components/format-number/agent.json; ../src/components/format-number/agent.md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FN-14</x:v>
      </x:c>
      <x:c r="B22" s="117" t="str">
        <x:v>Changelog</x:v>
      </x:c>
      <x:c r="C22" s="117" t="str">
        <x:v>Format Number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../docs/components/format-number/CHANGELOG.md;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FN-15</x:v>
      </x:c>
      <x:c r="B23" s="117" t="str">
        <x:v>Consumer</x:v>
      </x:c>
      <x:c r="C23" s="117" t="str">
        <x:v>Format Number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FN-16</x:v>
      </x:c>
      <x:c r="B24" s="117" t="str">
        <x:v>Package</x:v>
      </x:c>
      <x:c r="C24" s="117" t="str">
        <x:v>Format Number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>
      <x:c r="A25" s="116"/>
      <x:c r="B25" s="116"/>
      <x:c r="C25" s="116"/>
      <x:c r="D25" s="116"/>
      <x:c r="E25" s="116"/>
      <x:c r="F25" s="116"/>
      <x:c r="G25" s="116"/>
      <x:c r="H25" s="116"/>
      <x:c r="I25" s="116"/>
      <x:c r="J25" s="116"/>
      <x:c r="K25" s="116"/>
      <x:c r="L25" s="116"/>
      <x:c r="M25" s="116"/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pageMargins left="0.7" right="0.7" top="0.75" bottom="0.75" header="0.3" footer="0.3"/>
  <x:tableParts count="1">
    <x:tablePart xmlns:r="http://schemas.openxmlformats.org/officeDocument/2006/relationships" r:id="Ra7c8831d0c624d68"/>
  </x:tableParts>
</x:worksheet>
</file>

<file path=xl/worksheets/sheet10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Format Byte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byte formatting, scaling, locale inheritance,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COUNTA(A9:A24)</x:f>
        <x:v>16</x:v>
      </x:c>
      <x:c r="C4" s="116"/>
      <x:c r="D4" s="116" t="s">
        <x:v>143</x:v>
      </x:c>
      <x:c r="E4" s="116" t="n">
        <x:f>SUM(M9:M24)</x:f>
        <x:v>11</x:v>
      </x:c>
      <x:c r="F4" s="116"/>
      <x:c r="G4" s="116" t="s">
        <x:v>13</x:v>
      </x:c>
      <x:c r="H4" s="116" t="n">
        <x:f>IF(B4=0,0,E4/B4)</x:f>
        <x:v>0.6875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144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145</x:v>
      </x:c>
      <x:c r="B8" s="116" t="s">
        <x:v>146</x:v>
      </x:c>
      <x:c r="C8" s="116" t="s">
        <x:v>147</x:v>
      </x:c>
      <x:c r="D8" s="116" t="s">
        <x:v>148</x:v>
      </x:c>
      <x:c r="E8" s="116" t="s">
        <x:v>149</x:v>
      </x:c>
      <x:c r="F8" s="116" t="s">
        <x:v>150</x:v>
      </x:c>
      <x:c r="G8" s="116" t="s">
        <x:v>151</x:v>
      </x:c>
      <x:c r="H8" s="116" t="s">
        <x:v>103</x:v>
      </x:c>
      <x:c r="I8" s="116" t="s">
        <x:v>152</x:v>
      </x:c>
      <x:c r="J8" s="116" t="s">
        <x:v>153</x:v>
      </x:c>
      <x:c r="K8" s="116" t="s">
        <x:v>154</x:v>
      </x:c>
      <x:c r="L8" s="116" t="s">
        <x:v>155</x:v>
      </x:c>
      <x:c r="M8" s="116" t="s">
        <x:v>143</x:v>
      </x:c>
    </x:row>
    <x:row r="9" ht="24" hidden="0" customHeight="1">
      <x:c r="A9" s="117" t="str">
        <x:v>FB-01</x:v>
      </x:c>
      <x:c r="B9" s="117" t="str">
        <x:v>Implementation</x:v>
      </x:c>
      <x:c r="C9" s="117" t="str">
        <x:v>Formatter</x:v>
      </x:c>
      <x:c r="D9" s="117" t="str">
        <x:v>Format Byte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../src/components/format-byte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FB-02</x:v>
      </x:c>
      <x:c r="B10" s="117" t="str">
        <x:v>Exports</x:v>
      </x:c>
      <x:c r="C10" s="117" t="str">
        <x:v>Format Byte</x:v>
      </x:c>
      <x:c r="D10" s="117" t="str">
        <x:v>Root and format-byte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FB-03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../test/types/components/format-byte.test.ts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FB-04</x:v>
      </x:c>
      <x:c r="B12" s="117" t="str">
        <x:v>CSS</x:v>
      </x:c>
      <x:c r="C12" s="117" t="str">
        <x:v>Formatter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../src/components/format-byte/format-byte.css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FB-05</x:v>
      </x:c>
      <x:c r="B13" s="117" t="str">
        <x:v>Unit</x:v>
      </x:c>
      <x:c r="C13" s="117" t="str">
        <x:v>Formatter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../test/components/format-byte/format-byte.test.tsx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FB-06</x:v>
      </x:c>
      <x:c r="B14" s="117" t="str">
        <x:v>Browser</x:v>
      </x:c>
      <x:c r="C14" s="117" t="str">
        <x:v>Formatter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tests/components/format-byte/behavior.spec.ts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FB-07</x:v>
      </x:c>
      <x:c r="B15" s="117" t="str">
        <x:v>Composition</x:v>
      </x:c>
      <x:c r="C15" s="117" t="str">
        <x:v>Formatter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tests/components/format-byte/behavior.spec.ts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FB-08</x:v>
      </x:c>
      <x:c r="B16" s="117" t="str">
        <x:v>Contract</x:v>
      </x:c>
      <x:c r="C16" s="117" t="str">
        <x:v>Formatter</x:v>
      </x:c>
      <x:c r="D16" s="117" t="str">
        <x:v>Bit and byte units, decimal and binary scaling, precision, and unit display remain locale aware.</x:v>
      </x:c>
      <x:c r="E16" s="117" t="str">
        <x:v>package</x:v>
      </x:c>
      <x:c r="F16" s="117" t="str">
        <x:v>component</x:v>
      </x:c>
      <x:c r="G16" s="117" t="str">
        <x:v>../test/components/format-byte/format-byte.test.tsx; tests/components/format-byte/behavior.spec.ts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FB-09</x:v>
      </x:c>
      <x:c r="B17" s="117" t="str">
        <x:v>Accessibility</x:v>
      </x:c>
      <x:c r="C17" s="117" t="str">
        <x:v>Formatter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tests/components/format-byte/behavior.spec.ts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FB-10</x:v>
      </x:c>
      <x:c r="B18" s="117" t="str">
        <x:v>Visual</x:v>
      </x:c>
      <x:c r="C18" s="117" t="str">
        <x:v>Formatter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tests/components/format-byte/visual.spec.ts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FB-11</x:v>
      </x:c>
      <x:c r="B19" s="117" t="str">
        <x:v>Responsive</x:v>
      </x:c>
      <x:c r="C19" s="117" t="str">
        <x:v>Formatter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manual-tests/format-byte.md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FB-12</x:v>
      </x:c>
      <x:c r="B20" s="117" t="str">
        <x:v>Manual</x:v>
      </x:c>
      <x:c r="C20" s="117" t="str">
        <x:v>Format Byte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manual-tests/format-byte.md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FB-13</x:v>
      </x:c>
      <x:c r="B21" s="117" t="str">
        <x:v>Docs</x:v>
      </x:c>
      <x:c r="C21" s="117" t="str">
        <x:v>Format Byte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../docs/components/format-byte/README.md; ../src/components/format-byte/agent.json; ../src/components/format-byte/agent.md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FB-14</x:v>
      </x:c>
      <x:c r="B22" s="117" t="str">
        <x:v>Changelog</x:v>
      </x:c>
      <x:c r="C22" s="117" t="str">
        <x:v>Format Byte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../docs/components/format-byte/CHANGELOG.md;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FB-15</x:v>
      </x:c>
      <x:c r="B23" s="117" t="str">
        <x:v>Consumer</x:v>
      </x:c>
      <x:c r="C23" s="117" t="str">
        <x:v>Format Byte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FB-16</x:v>
      </x:c>
      <x:c r="B24" s="117" t="str">
        <x:v>Package</x:v>
      </x:c>
      <x:c r="C24" s="117" t="str">
        <x:v>Format Byte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>
      <x:c r="A25" s="116"/>
      <x:c r="B25" s="116"/>
      <x:c r="C25" s="116"/>
      <x:c r="D25" s="116"/>
      <x:c r="E25" s="116"/>
      <x:c r="F25" s="116"/>
      <x:c r="G25" s="116"/>
      <x:c r="H25" s="116"/>
      <x:c r="I25" s="116"/>
      <x:c r="J25" s="116"/>
      <x:c r="K25" s="116"/>
      <x:c r="L25" s="116"/>
      <x:c r="M25" s="116"/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pageMargins left="0.7" right="0.7" top="0.75" bottom="0.75" header="0.3" footer="0.3"/>
  <x:tableParts count="1">
    <x:tablePart xmlns:r="http://schemas.openxmlformats.org/officeDocument/2006/relationships" r:id="R79a31396612c49de"/>
  </x:tableParts>
</x:worksheet>
</file>

<file path=xl/worksheets/sheet10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For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wrapper-free collection, fallback, typing,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COUNTA(A9:A24)</x:f>
        <x:v>16</x:v>
      </x:c>
      <x:c r="C4" s="116"/>
      <x:c r="D4" s="116" t="s">
        <x:v>143</x:v>
      </x:c>
      <x:c r="E4" s="116" t="n">
        <x:f>SUM(M9:M24)</x:f>
        <x:v>11</x:v>
      </x:c>
      <x:c r="F4" s="116"/>
      <x:c r="G4" s="116" t="s">
        <x:v>13</x:v>
      </x:c>
      <x:c r="H4" s="116" t="n">
        <x:f>IF(B4=0,0,E4/B4)</x:f>
        <x:v>0.6875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144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145</x:v>
      </x:c>
      <x:c r="B8" s="116" t="s">
        <x:v>146</x:v>
      </x:c>
      <x:c r="C8" s="116" t="s">
        <x:v>147</x:v>
      </x:c>
      <x:c r="D8" s="116" t="s">
        <x:v>148</x:v>
      </x:c>
      <x:c r="E8" s="116" t="s">
        <x:v>149</x:v>
      </x:c>
      <x:c r="F8" s="116" t="s">
        <x:v>150</x:v>
      </x:c>
      <x:c r="G8" s="116" t="s">
        <x:v>151</x:v>
      </x:c>
      <x:c r="H8" s="116" t="s">
        <x:v>103</x:v>
      </x:c>
      <x:c r="I8" s="116" t="s">
        <x:v>152</x:v>
      </x:c>
      <x:c r="J8" s="116" t="s">
        <x:v>153</x:v>
      </x:c>
      <x:c r="K8" s="116" t="s">
        <x:v>154</x:v>
      </x:c>
      <x:c r="L8" s="116" t="s">
        <x:v>155</x:v>
      </x:c>
      <x:c r="M8" s="116" t="s">
        <x:v>143</x:v>
      </x:c>
    </x:row>
    <x:row r="9" ht="24" hidden="0" customHeight="1">
      <x:c r="A9" s="117" t="str">
        <x:v>FR-01</x:v>
      </x:c>
      <x:c r="B9" s="117" t="str">
        <x:v>Implementation</x:v>
      </x:c>
      <x:c r="C9" s="117" t="str">
        <x:v>Render loop</x:v>
      </x:c>
      <x:c r="D9" s="117" t="str">
        <x:v>For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../src/components/for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FR-02</x:v>
      </x:c>
      <x:c r="B10" s="117" t="str">
        <x:v>Exports</x:v>
      </x:c>
      <x:c r="C10" s="117" t="str">
        <x:v>For</x:v>
      </x:c>
      <x:c r="D10" s="117" t="str">
        <x:v>Root and for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FR-03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../test/types/components/for.test.ts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FR-04</x:v>
      </x:c>
      <x:c r="B12" s="117" t="str">
        <x:v>CSS</x:v>
      </x:c>
      <x:c r="C12" s="117" t="str">
        <x:v>Render loop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../src/components/for/for.css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FR-05</x:v>
      </x:c>
      <x:c r="B13" s="117" t="str">
        <x:v>Unit</x:v>
      </x:c>
      <x:c r="C13" s="117" t="str">
        <x:v>Render loop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../test/components/for/for.test.tsx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FR-06</x:v>
      </x:c>
      <x:c r="B14" s="117" t="str">
        <x:v>Browser</x:v>
      </x:c>
      <x:c r="C14" s="117" t="str">
        <x:v>Render loop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tests/components/for/behavior.spec.ts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FR-07</x:v>
      </x:c>
      <x:c r="B15" s="117" t="str">
        <x:v>Composition</x:v>
      </x:c>
      <x:c r="C15" s="117" t="str">
        <x:v>Render loop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tests/components/for/behavior.spec.ts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FR-08</x:v>
      </x:c>
      <x:c r="B16" s="117" t="str">
        <x:v>Contract</x:v>
      </x:c>
      <x:c r="C16" s="117" t="str">
        <x:v>Render loop</x:v>
      </x:c>
      <x:c r="D16" s="117" t="str">
        <x:v>Typed item rendering, stable consumer-owned keys, source order, and empty or undefined fallback add no host element.</x:v>
      </x:c>
      <x:c r="E16" s="117" t="str">
        <x:v>package</x:v>
      </x:c>
      <x:c r="F16" s="117" t="str">
        <x:v>component</x:v>
      </x:c>
      <x:c r="G16" s="117" t="str">
        <x:v>../test/components/for/for.test.tsx; tests/components/for/behavior.spec.ts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FR-09</x:v>
      </x:c>
      <x:c r="B17" s="117" t="str">
        <x:v>Accessibility</x:v>
      </x:c>
      <x:c r="C17" s="117" t="str">
        <x:v>Render loop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tests/components/for/behavior.spec.ts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FR-10</x:v>
      </x:c>
      <x:c r="B18" s="117" t="str">
        <x:v>Visual</x:v>
      </x:c>
      <x:c r="C18" s="117" t="str">
        <x:v>Render loop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tests/components/for/visual.spec.ts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FR-11</x:v>
      </x:c>
      <x:c r="B19" s="117" t="str">
        <x:v>Responsive</x:v>
      </x:c>
      <x:c r="C19" s="117" t="str">
        <x:v>Render loop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manual-tests/for.md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FR-12</x:v>
      </x:c>
      <x:c r="B20" s="117" t="str">
        <x:v>Manual</x:v>
      </x:c>
      <x:c r="C20" s="117" t="str">
        <x:v>For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manual-tests/for.md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FR-13</x:v>
      </x:c>
      <x:c r="B21" s="117" t="str">
        <x:v>Docs</x:v>
      </x:c>
      <x:c r="C21" s="117" t="str">
        <x:v>For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../docs/components/for/README.md; ../src/components/for/agent.json; ../src/components/for/agent.md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FR-14</x:v>
      </x:c>
      <x:c r="B22" s="117" t="str">
        <x:v>Changelog</x:v>
      </x:c>
      <x:c r="C22" s="117" t="str">
        <x:v>For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../docs/components/for/CHANGELOG.md;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FR-15</x:v>
      </x:c>
      <x:c r="B23" s="117" t="str">
        <x:v>Consumer</x:v>
      </x:c>
      <x:c r="C23" s="117" t="str">
        <x:v>For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FR-16</x:v>
      </x:c>
      <x:c r="B24" s="117" t="str">
        <x:v>Package</x:v>
      </x:c>
      <x:c r="C24" s="117" t="str">
        <x:v>For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>
      <x:c r="A25" s="116"/>
      <x:c r="B25" s="116"/>
      <x:c r="C25" s="116"/>
      <x:c r="D25" s="116"/>
      <x:c r="E25" s="116"/>
      <x:c r="F25" s="116"/>
      <x:c r="G25" s="116"/>
      <x:c r="H25" s="116"/>
      <x:c r="I25" s="116"/>
      <x:c r="J25" s="116"/>
      <x:c r="K25" s="116"/>
      <x:c r="L25" s="116"/>
      <x:c r="M25" s="116"/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pageMargins left="0.7" right="0.7" top="0.75" bottom="0.75" header="0.3" footer="0.3"/>
  <x:tableParts count="1">
    <x:tablePart xmlns:r="http://schemas.openxmlformats.org/officeDocument/2006/relationships" r:id="R4d64c7b7f1ec4ece"/>
  </x:tableParts>
</x:worksheet>
</file>

<file path=xl/worksheets/sheet10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Checkmark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passive state, recipe, geometry,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COUNTA(A9:A24)</x:f>
        <x:v>16</x:v>
      </x:c>
      <x:c r="C4" s="116"/>
      <x:c r="D4" s="116" t="s">
        <x:v>143</x:v>
      </x:c>
      <x:c r="E4" s="116" t="n">
        <x:f>SUM(M9:M24)</x:f>
        <x:v>11</x:v>
      </x:c>
      <x:c r="F4" s="116"/>
      <x:c r="G4" s="116" t="s">
        <x:v>13</x:v>
      </x:c>
      <x:c r="H4" s="116" t="n">
        <x:f>IF(B4=0,0,E4/B4)</x:f>
        <x:v>0.6875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144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145</x:v>
      </x:c>
      <x:c r="B8" s="116" t="s">
        <x:v>146</x:v>
      </x:c>
      <x:c r="C8" s="116" t="s">
        <x:v>147</x:v>
      </x:c>
      <x:c r="D8" s="116" t="s">
        <x:v>148</x:v>
      </x:c>
      <x:c r="E8" s="116" t="s">
        <x:v>149</x:v>
      </x:c>
      <x:c r="F8" s="116" t="s">
        <x:v>150</x:v>
      </x:c>
      <x:c r="G8" s="116" t="s">
        <x:v>151</x:v>
      </x:c>
      <x:c r="H8" s="116" t="s">
        <x:v>103</x:v>
      </x:c>
      <x:c r="I8" s="116" t="s">
        <x:v>152</x:v>
      </x:c>
      <x:c r="J8" s="116" t="s">
        <x:v>153</x:v>
      </x:c>
      <x:c r="K8" s="116" t="s">
        <x:v>154</x:v>
      </x:c>
      <x:c r="L8" s="116" t="s">
        <x:v>155</x:v>
      </x:c>
      <x:c r="M8" s="116" t="s">
        <x:v>143</x:v>
      </x:c>
    </x:row>
    <x:row r="9" ht="24" hidden="0" customHeight="1">
      <x:c r="A9" s="117" t="str">
        <x:v>CM-01</x:v>
      </x:c>
      <x:c r="B9" s="117" t="str">
        <x:v>Implementation</x:v>
      </x:c>
      <x:c r="C9" s="117" t="str">
        <x:v>Visual mark</x:v>
      </x:c>
      <x:c r="D9" s="117" t="str">
        <x:v>Checkmark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../src/components/checkmark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CM-02</x:v>
      </x:c>
      <x:c r="B10" s="117" t="str">
        <x:v>Exports</x:v>
      </x:c>
      <x:c r="C10" s="117" t="str">
        <x:v>Checkmark</x:v>
      </x:c>
      <x:c r="D10" s="117" t="str">
        <x:v>Root and checkmark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CM-03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../test/types/components/checkmark.test.ts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CM-04</x:v>
      </x:c>
      <x:c r="B12" s="117" t="str">
        <x:v>CSS</x:v>
      </x:c>
      <x:c r="C12" s="117" t="str">
        <x:v>Visual mark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../src/components/checkmark/checkmark.css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CM-05</x:v>
      </x:c>
      <x:c r="B13" s="117" t="str">
        <x:v>Unit</x:v>
      </x:c>
      <x:c r="C13" s="117" t="str">
        <x:v>Visual mark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../test/components/checkmark/checkmark.test.tsx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CM-06</x:v>
      </x:c>
      <x:c r="B14" s="117" t="str">
        <x:v>Browser</x:v>
      </x:c>
      <x:c r="C14" s="117" t="str">
        <x:v>Visual mark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tests/components/checkmark/behavior.spec.ts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CM-07</x:v>
      </x:c>
      <x:c r="B15" s="117" t="str">
        <x:v>Composition</x:v>
      </x:c>
      <x:c r="C15" s="117" t="str">
        <x:v>Visual mark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tests/components/checkmark/behavior.spec.ts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CM-08</x:v>
      </x:c>
      <x:c r="B16" s="117" t="str">
        <x:v>Contract</x:v>
      </x:c>
      <x:c r="C16" s="117" t="str">
        <x:v>Visual mark</x:v>
      </x:c>
      <x:c r="D16" s="117" t="str">
        <x:v>Checked, unchecked, indeterminate, disabled, recipe, size, dark, and forced-colors presentation remains passive and square.</x:v>
      </x:c>
      <x:c r="E16" s="117" t="str">
        <x:v>package</x:v>
      </x:c>
      <x:c r="F16" s="117" t="str">
        <x:v>component</x:v>
      </x:c>
      <x:c r="G16" s="117" t="str">
        <x:v>../test/components/checkmark/checkmark.test.tsx; tests/components/checkmark/behavior.spec.ts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CM-09</x:v>
      </x:c>
      <x:c r="B17" s="117" t="str">
        <x:v>Accessibility</x:v>
      </x:c>
      <x:c r="C17" s="117" t="str">
        <x:v>Visual mark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tests/components/checkmark/behavior.spec.ts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CM-10</x:v>
      </x:c>
      <x:c r="B18" s="117" t="str">
        <x:v>Visual</x:v>
      </x:c>
      <x:c r="C18" s="117" t="str">
        <x:v>Visual mark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tests/components/checkmark/visual.spec.ts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CM-11</x:v>
      </x:c>
      <x:c r="B19" s="117" t="str">
        <x:v>Responsive</x:v>
      </x:c>
      <x:c r="C19" s="117" t="str">
        <x:v>Visual mark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manual-tests/checkmark.md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CM-12</x:v>
      </x:c>
      <x:c r="B20" s="117" t="str">
        <x:v>Manual</x:v>
      </x:c>
      <x:c r="C20" s="117" t="str">
        <x:v>Checkmark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manual-tests/checkmark.md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CM-13</x:v>
      </x:c>
      <x:c r="B21" s="117" t="str">
        <x:v>Docs</x:v>
      </x:c>
      <x:c r="C21" s="117" t="str">
        <x:v>Checkmark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../docs/components/checkmark/README.md; ../src/components/checkmark/agent.json; ../src/components/checkmark/agent.md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CM-14</x:v>
      </x:c>
      <x:c r="B22" s="117" t="str">
        <x:v>Changelog</x:v>
      </x:c>
      <x:c r="C22" s="117" t="str">
        <x:v>Checkmark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../docs/components/checkmark/CHANGELOG.md;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CM-15</x:v>
      </x:c>
      <x:c r="B23" s="117" t="str">
        <x:v>Consumer</x:v>
      </x:c>
      <x:c r="C23" s="117" t="str">
        <x:v>Checkmark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CM-16</x:v>
      </x:c>
      <x:c r="B24" s="117" t="str">
        <x:v>Package</x:v>
      </x:c>
      <x:c r="C24" s="117" t="str">
        <x:v>Checkmark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>
      <x:c r="A25" s="116"/>
      <x:c r="B25" s="116"/>
      <x:c r="C25" s="116"/>
      <x:c r="D25" s="116"/>
      <x:c r="E25" s="116"/>
      <x:c r="F25" s="116"/>
      <x:c r="G25" s="116"/>
      <x:c r="H25" s="116"/>
      <x:c r="I25" s="116"/>
      <x:c r="J25" s="116"/>
      <x:c r="K25" s="116"/>
      <x:c r="L25" s="116"/>
      <x:c r="M25" s="116"/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pageMargins left="0.7" right="0.7" top="0.75" bottom="0.75" header="0.3" footer="0.3"/>
  <x:tableParts count="1">
    <x:tablePart xmlns:r="http://schemas.openxmlformats.org/officeDocument/2006/relationships" r:id="R1b65ef4c878b4144"/>
  </x:tableParts>
</x:worksheet>
</file>

<file path=xl/worksheets/sheet10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Radiomark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passive selection, recipe, geometry,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COUNTA(A9:A24)</x:f>
        <x:v>16</x:v>
      </x:c>
      <x:c r="C4" s="116"/>
      <x:c r="D4" s="116" t="s">
        <x:v>143</x:v>
      </x:c>
      <x:c r="E4" s="116" t="n">
        <x:f>SUM(M9:M24)</x:f>
        <x:v>11</x:v>
      </x:c>
      <x:c r="F4" s="116"/>
      <x:c r="G4" s="116" t="s">
        <x:v>13</x:v>
      </x:c>
      <x:c r="H4" s="116" t="n">
        <x:f>IF(B4=0,0,E4/B4)</x:f>
        <x:v>0.6875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144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145</x:v>
      </x:c>
      <x:c r="B8" s="116" t="s">
        <x:v>146</x:v>
      </x:c>
      <x:c r="C8" s="116" t="s">
        <x:v>147</x:v>
      </x:c>
      <x:c r="D8" s="116" t="s">
        <x:v>148</x:v>
      </x:c>
      <x:c r="E8" s="116" t="s">
        <x:v>149</x:v>
      </x:c>
      <x:c r="F8" s="116" t="s">
        <x:v>150</x:v>
      </x:c>
      <x:c r="G8" s="116" t="s">
        <x:v>151</x:v>
      </x:c>
      <x:c r="H8" s="116" t="s">
        <x:v>103</x:v>
      </x:c>
      <x:c r="I8" s="116" t="s">
        <x:v>152</x:v>
      </x:c>
      <x:c r="J8" s="116" t="s">
        <x:v>153</x:v>
      </x:c>
      <x:c r="K8" s="116" t="s">
        <x:v>154</x:v>
      </x:c>
      <x:c r="L8" s="116" t="s">
        <x:v>155</x:v>
      </x:c>
      <x:c r="M8" s="116" t="s">
        <x:v>143</x:v>
      </x:c>
    </x:row>
    <x:row r="9" ht="24" hidden="0" customHeight="1">
      <x:c r="A9" s="117" t="str">
        <x:v>RM-01</x:v>
      </x:c>
      <x:c r="B9" s="117" t="str">
        <x:v>Implementation</x:v>
      </x:c>
      <x:c r="C9" s="117" t="str">
        <x:v>Visual mark</x:v>
      </x:c>
      <x:c r="D9" s="117" t="str">
        <x:v>Radiomark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../src/components/radiomark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RM-02</x:v>
      </x:c>
      <x:c r="B10" s="117" t="str">
        <x:v>Exports</x:v>
      </x:c>
      <x:c r="C10" s="117" t="str">
        <x:v>Radiomark</x:v>
      </x:c>
      <x:c r="D10" s="117" t="str">
        <x:v>Root and radiomark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RM-03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../test/types/components/radiomark.test.ts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RM-04</x:v>
      </x:c>
      <x:c r="B12" s="117" t="str">
        <x:v>CSS</x:v>
      </x:c>
      <x:c r="C12" s="117" t="str">
        <x:v>Visual mark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../src/components/radiomark/radiomark.css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RM-05</x:v>
      </x:c>
      <x:c r="B13" s="117" t="str">
        <x:v>Unit</x:v>
      </x:c>
      <x:c r="C13" s="117" t="str">
        <x:v>Visual mark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../test/components/radiomark/radiomark.test.tsx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RM-06</x:v>
      </x:c>
      <x:c r="B14" s="117" t="str">
        <x:v>Browser</x:v>
      </x:c>
      <x:c r="C14" s="117" t="str">
        <x:v>Visual mark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tests/components/radiomark/behavior.spec.ts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RM-07</x:v>
      </x:c>
      <x:c r="B15" s="117" t="str">
        <x:v>Composition</x:v>
      </x:c>
      <x:c r="C15" s="117" t="str">
        <x:v>Visual mark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tests/components/radiomark/behavior.spec.ts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RM-08</x:v>
      </x:c>
      <x:c r="B16" s="117" t="str">
        <x:v>Contract</x:v>
      </x:c>
      <x:c r="C16" s="117" t="str">
        <x:v>Visual mark</x:v>
      </x:c>
      <x:c r="D16" s="117" t="str">
        <x:v>Checked, unchecked, disabled, recipe, size, dark, and forced-colors presentation remains passive and circular.</x:v>
      </x:c>
      <x:c r="E16" s="117" t="str">
        <x:v>package</x:v>
      </x:c>
      <x:c r="F16" s="117" t="str">
        <x:v>component</x:v>
      </x:c>
      <x:c r="G16" s="117" t="str">
        <x:v>../test/components/radiomark/radiomark.test.tsx; tests/components/radiomark/behavior.spec.ts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RM-09</x:v>
      </x:c>
      <x:c r="B17" s="117" t="str">
        <x:v>Accessibility</x:v>
      </x:c>
      <x:c r="C17" s="117" t="str">
        <x:v>Visual mark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tests/components/radiomark/behavior.spec.ts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RM-10</x:v>
      </x:c>
      <x:c r="B18" s="117" t="str">
        <x:v>Visual</x:v>
      </x:c>
      <x:c r="C18" s="117" t="str">
        <x:v>Visual mark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tests/components/radiomark/visual.spec.ts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RM-11</x:v>
      </x:c>
      <x:c r="B19" s="117" t="str">
        <x:v>Responsive</x:v>
      </x:c>
      <x:c r="C19" s="117" t="str">
        <x:v>Visual mark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manual-tests/radiomark.md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RM-12</x:v>
      </x:c>
      <x:c r="B20" s="117" t="str">
        <x:v>Manual</x:v>
      </x:c>
      <x:c r="C20" s="117" t="str">
        <x:v>Radiomark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manual-tests/radiomark.md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RM-13</x:v>
      </x:c>
      <x:c r="B21" s="117" t="str">
        <x:v>Docs</x:v>
      </x:c>
      <x:c r="C21" s="117" t="str">
        <x:v>Radiomark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../docs/components/radiomark/README.md; ../src/components/radiomark/agent.json; ../src/components/radiomark/agent.md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RM-14</x:v>
      </x:c>
      <x:c r="B22" s="117" t="str">
        <x:v>Changelog</x:v>
      </x:c>
      <x:c r="C22" s="117" t="str">
        <x:v>Radiomark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../docs/components/radiomark/CHANGELOG.md;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RM-15</x:v>
      </x:c>
      <x:c r="B23" s="117" t="str">
        <x:v>Consumer</x:v>
      </x:c>
      <x:c r="C23" s="117" t="str">
        <x:v>Radiomark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RM-16</x:v>
      </x:c>
      <x:c r="B24" s="117" t="str">
        <x:v>Package</x:v>
      </x:c>
      <x:c r="C24" s="117" t="str">
        <x:v>Radiomark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>
      <x:c r="A25" s="116"/>
      <x:c r="B25" s="116"/>
      <x:c r="C25" s="116"/>
      <x:c r="D25" s="116"/>
      <x:c r="E25" s="116"/>
      <x:c r="F25" s="116"/>
      <x:c r="G25" s="116"/>
      <x:c r="H25" s="116"/>
      <x:c r="I25" s="116"/>
      <x:c r="J25" s="116"/>
      <x:c r="K25" s="116"/>
      <x:c r="L25" s="116"/>
      <x:c r="M25" s="116"/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pageMargins left="0.7" right="0.7" top="0.75" bottom="0.75" header="0.3" footer="0.3"/>
  <x:tableParts count="1">
    <x:tablePart xmlns:r="http://schemas.openxmlformats.org/officeDocument/2006/relationships" r:id="R00ae2198ee464f79"/>
  </x:tableParts>
</x:worksheet>
</file>