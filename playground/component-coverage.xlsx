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20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3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15.xml" ContentType="application/vnd.openxmlformats-officedocument.spreadsheetml.table+xml"/>
  <Override PartName="/xl/tables/table30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90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79.xml" ContentType="application/vnd.openxmlformats-officedocument.spreadsheetml.worksheet+xml"/>
  <Override PartName="/xl/worksheets/sheet2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1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77.xml" ContentType="application/vnd.openxmlformats-officedocument.spreadsheetml.worksheet+xml"/>
  <Override PartName="/xl/worksheets/sheet40.xml" ContentType="application/vnd.openxmlformats-officedocument.spreadsheetml.worksheet+xml"/>
  <Override PartName="/xl/worksheets/sheet42.xml" ContentType="application/vnd.openxmlformats-officedocument.spreadsheetml.worksheet+xml"/>
  <Override PartName="/xl/worksheets/sheet65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4.xml" ContentType="application/vnd.openxmlformats-officedocument.spreadsheetml.worksheet+xml"/>
  <Override PartName="/xl/worksheets/sheet78.xml" ContentType="application/vnd.openxmlformats-officedocument.spreadsheetml.worksheet+xml"/>
  <Override PartName="/xl/worksheets/sheet61.xml" ContentType="application/vnd.openxmlformats-officedocument.spreadsheetml.worksheet+xml"/>
  <Override PartName="/xl/worksheets/sheet91.xml" ContentType="application/vnd.openxmlformats-officedocument.spreadsheetml.worksheet+xml"/>
  <Override PartName="/xl/worksheets/sheet6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48.xml" ContentType="application/vnd.openxmlformats-officedocument.spreadsheetml.worksheet+xml"/>
  <Override PartName="/xl/worksheets/sheet63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9.xml" ContentType="application/vnd.openxmlformats-officedocument.spreadsheetml.worksheet+xml"/>
  <Override PartName="/xl/worksheets/sheet73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76.xml" ContentType="application/vnd.openxmlformats-officedocument.spreadsheetml.worksheet+xml"/>
  <Override PartName="/xl/worksheets/sheet45.xml" ContentType="application/vnd.openxmlformats-officedocument.spreadsheetml.worksheet+xml"/>
  <Override PartName="/xl/worksheets/sheet80.xml" ContentType="application/vnd.openxmlformats-officedocument.spreadsheetml.worksheet+xml"/>
  <Override PartName="/xl/worksheets/sheet68.xml" ContentType="application/vnd.openxmlformats-officedocument.spreadsheetml.worksheet+xml"/>
  <Override PartName="/xl/worksheets/sheet74.xml" ContentType="application/vnd.openxmlformats-officedocument.spreadsheetml.worksheet+xml"/>
  <Override PartName="/xl/worksheets/sheet44.xml" ContentType="application/vnd.openxmlformats-officedocument.spreadsheetml.worksheet+xml"/>
  <Override PartName="/xl/worksheets/sheet50.xml" ContentType="application/vnd.openxmlformats-officedocument.spreadsheetml.worksheet+xml"/>
  <Override PartName="/xl/worksheets/sheet13.xml" ContentType="application/vnd.openxmlformats-officedocument.spreadsheetml.worksheet+xml"/>
  <Override PartName="/xl/worksheets/sheet86.xml" ContentType="application/vnd.openxmlformats-officedocument.spreadsheetml.worksheet+xml"/>
  <Override PartName="/xl/worksheets/sheet5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7.xml" ContentType="application/vnd.openxmlformats-officedocument.spreadsheetml.worksheet+xml"/>
  <Override PartName="/xl/worksheets/sheet84.xml" ContentType="application/vnd.openxmlformats-officedocument.spreadsheetml.worksheet+xml"/>
  <Override PartName="/xl/worksheets/sheet54.xml" ContentType="application/vnd.openxmlformats-officedocument.spreadsheetml.worksheet+xml"/>
  <Override PartName="/xl/worksheets/sheet64.xml" ContentType="application/vnd.openxmlformats-officedocument.spreadsheetml.worksheet+xml"/>
  <Override PartName="/xl/worksheets/sheet75.xml" ContentType="application/vnd.openxmlformats-officedocument.spreadsheetml.worksheet+xml"/>
  <Override PartName="/xl/worksheets/sheet32.xml" ContentType="application/vnd.openxmlformats-officedocument.spreadsheetml.worksheet+xml"/>
  <Override PartName="/xl/worksheets/sheet46.xml" ContentType="application/vnd.openxmlformats-officedocument.spreadsheetml.worksheet+xml"/>
  <Override PartName="/xl/worksheets/sheet85.xml" ContentType="application/vnd.openxmlformats-officedocument.spreadsheetml.worksheet+xml"/>
  <Override PartName="/xl/worksheets/sheet43.xml" ContentType="application/vnd.openxmlformats-officedocument.spreadsheetml.worksheet+xml"/>
  <Override PartName="/xl/worksheets/sheet88.xml" ContentType="application/vnd.openxmlformats-officedocument.spreadsheetml.worksheet+xml"/>
  <Override PartName="/xl/worksheets/sheet81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82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drawings/drawing16.xml" ContentType="application/vnd.openxmlformats-officedocument.drawing+xml"/>
  <Override PartName="/xl/drawings/drawing11.xml" ContentType="application/vnd.openxmlformats-officedocument.drawing+xml"/>
  <Override PartName="/xl/drawings/drawing3.xml" ContentType="application/vnd.openxmlformats-officedocument.drawing+xml"/>
  <Override PartName="/xl/drawings/drawing17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1.xml" ContentType="application/vnd.openxmlformats-officedocument.drawing+xml"/>
  <Override PartName="/xl/drawings/drawing13.xml" ContentType="application/vnd.openxmlformats-officedocument.drawing+xml"/>
  <Override PartName="/xl/drawings/drawing20.xml" ContentType="application/vnd.openxmlformats-officedocument.drawing+xml"/>
  <Override PartName="/xl/drawings/drawing9.xml" ContentType="application/vnd.openxmlformats-officedocument.drawing+xml"/>
  <Override PartName="/xl/drawings/drawing15.xml" ContentType="application/vnd.openxmlformats-officedocument.drawing+xml"/>
  <Override PartName="/xl/drawings/drawing22.xml" ContentType="application/vnd.openxmlformats-officedocument.drawing+xml"/>
  <Override PartName="/xl/drawings/drawing19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32.xml" ContentType="application/vnd.openxmlformats-officedocument.drawing+xml"/>
  <Override PartName="/xl/drawings/drawing10.xml" ContentType="application/vnd.openxmlformats-officedocument.drawing+xml"/>
  <Override PartName="/xl/drawings/drawing33.xml" ContentType="application/vnd.openxmlformats-officedocument.drawing+xml"/>
  <Override PartName="/xl/drawings/drawing21.xml" ContentType="application/vnd.openxmlformats-officedocument.drawing+xml"/>
  <Override PartName="/xl/drawings/drawing28.xml" ContentType="application/vnd.openxmlformats-officedocument.drawing+xml"/>
  <Override PartName="/xl/drawings/drawing18.xml" ContentType="application/vnd.openxmlformats-officedocument.drawing+xml"/>
  <Override PartName="/xl/drawings/drawing30.xml" ContentType="application/vnd.openxmlformats-officedocument.drawing+xml"/>
  <Override PartName="/xl/drawings/drawing1.xml" ContentType="application/vnd.openxmlformats-officedocument.drawing+xml"/>
  <Override PartName="/xl/drawings/drawing34.xml" ContentType="application/vnd.openxmlformats-officedocument.drawing+xml"/>
  <Override PartName="/xl/drawings/drawing29.xml" ContentType="application/vnd.openxmlformats-officedocument.drawing+xml"/>
  <Override PartName="/xl/drawings/drawing6.xml" ContentType="application/vnd.openxmlformats-officedocument.drawing+xml"/>
  <Override PartName="/xl/drawings/drawing23.xml" ContentType="application/vnd.openxmlformats-officedocument.drawing+xml"/>
  <Override PartName="/xl/drawings/drawing35.xml" ContentType="application/vnd.openxmlformats-officedocument.drawing+xml"/>
  <Override PartName="/xl/drawings/drawing4.xml" ContentType="application/vnd.openxmlformats-officedocument.drawing+xml"/>
  <Override PartName="/xl/drawings/drawing7.xml" ContentType="application/vnd.openxmlformats-officedocument.drawing+xml"/>
  <Override PartName="/xl/drawings/drawing3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Group" sheetId="27" state="visible" r:id="rId29"/>
    <sheet name="Tooltip" sheetId="28" state="visible" r:id="rId30"/>
    <sheet name="Grid" sheetId="29" state="visible" r:id="rId31"/>
    <sheet name="Container" sheetId="30" state="visible" r:id="rId32"/>
    <sheet name="Surface" sheetId="31" state="visible" r:id="rId33"/>
    <sheet name="Divider" sheetId="32" state="visible" r:id="rId34"/>
    <sheet name="Scroll Area" sheetId="33" state="visible" r:id="rId35"/>
    <sheet name="Code" sheetId="34" state="visible" r:id="rId36"/>
    <sheet name="Code Block" sheetId="35" state="visible" r:id="rId37"/>
    <sheet name="Nav List" sheetId="36" state="visible" r:id="rId38"/>
    <sheet name="Sidebar" sheetId="37" state="visible" r:id="rId39"/>
    <sheet name="Icon" sheetId="38" state="visible" r:id="rId40"/>
    <sheet name="Image" sheetId="39" state="visible" r:id="rId41"/>
    <sheet name="List" sheetId="40" state="visible" r:id="rId42"/>
    <sheet name="Select" sheetId="41" state="visible" r:id="rId43"/>
    <sheet name="Multi Select" sheetId="42" state="visible" r:id="rId44"/>
    <sheet name="Textarea" sheetId="43" state="visible" r:id="rId45"/>
    <sheet name="Radio Group" sheetId="44" state="visible" r:id="rId46"/>
    <sheet name="Switch" sheetId="45" state="visible" r:id="rId47"/>
    <sheet name="Breadcrumb" sheetId="46" state="visible" r:id="rId48"/>
    <sheet name="Tabs" sheetId="47" state="visible" r:id="rId49"/>
    <sheet name="Skeleton" sheetId="48" state="visible" r:id="rId50"/>
    <sheet name="Dropdown Menu" sheetId="49" state="visible" r:id="rId51"/>
    <sheet name="Context Menu" sheetId="50" state="visible" r:id="rId52"/>
    <sheet name="Menubar" sheetId="51" state="visible" r:id="rId53"/>
    <sheet name="Navigation Menu" sheetId="52" state="visible" r:id="rId54"/>
    <sheet name="Bottom Navigation" sheetId="53" state="visible" r:id="rId55"/>
    <sheet name="Visually Hidden" sheetId="54" state="visible" r:id="rId56"/>
    <sheet name="Collapsible" sheetId="55" state="visible" r:id="rId57"/>
    <sheet name="Accordion" sheetId="56" state="visible" r:id="rId58"/>
    <sheet name="Toast" sheetId="57" state="visible" r:id="rId59"/>
    <sheet name="Table" sheetId="58" state="visible" r:id="rId60"/>
    <sheet name="Pagination" sheetId="59" state="visible" r:id="rId61"/>
    <sheet name="Data Grid" sheetId="60" state="visible" r:id="rId62"/>
    <sheet name="Tree Grid" sheetId="61" state="visible" r:id="rId63"/>
    <sheet name="Tree" sheetId="62" state="visible" r:id="rId64"/>
    <sheet name="Feed" sheetId="63" state="visible" r:id="rId65"/>
    <sheet name="Aspect Ratio" sheetId="64" state="visible" r:id="rId66"/>
    <sheet name="Toolbar" sheetId="65" state="visible" r:id="rId67"/>
    <sheet name="Chip" sheetId="66" state="visible" r:id="rId68"/>
    <sheet name="Combobox" sheetId="67" state="visible" r:id="rId69"/>
    <sheet name="Number Input" sheetId="68" state="visible" r:id="rId70"/>
    <sheet name="OTP Field" sheetId="69" state="visible" r:id="rId71"/>
    <sheet name="Password Toggle Field" sheetId="70" state="visible" r:id="rId72"/>
    <sheet name="Slider" sheetId="71" state="visible" r:id="rId73"/>
    <sheet name="Rating" sheetId="72" state="visible" r:id="rId74"/>
    <sheet name="File Upload" sheetId="73" state="visible" r:id="rId75"/>
    <sheet name="Skip Link" sheetId="74" state="visible" r:id="rId76"/>
    <sheet name="Show" sheetId="75" state="visible" r:id="rId77"/>
    <sheet name="Hide" sheetId="76" state="visible" r:id="rId78"/>
    <sheet name="Swipeable Item" sheetId="77" state="visible" r:id="rId79"/>
    <sheet name="Progress" sheetId="78" state="visible" r:id="rId80"/>
    <sheet name="Progress Circle" sheetId="79" state="visible" r:id="rId81"/>
    <sheet name="Carousel" sheetId="80" state="visible" r:id="rId82"/>
    <sheet name="ZStack" sheetId="81" state="visible" r:id="rId83"/>
    <sheet name="Appearance" sheetId="82" state="visible" r:id="rId84"/>
    <sheet name="Frame" sheetId="83" state="visible" r:id="rId85"/>
    <sheet name="Section" sheetId="84" state="visible" r:id="rId86"/>
    <sheet name="Reorderable List" sheetId="85" state="visible" r:id="rId87"/>
    <sheet name="Color Swatch" sheetId="86" state="visible" r:id="rId88"/>
    <sheet name="Bleed" sheetId="87" state="visible" r:id="rId89"/>
    <sheet name="Data List" sheetId="88" state="visible" r:id="rId90"/>
    <sheet name="Link Box" sheetId="89" state="visible" r:id="rId91"/>
    <sheet name="Segment Group" sheetId="90" state="visible" r:id="rId92"/>
    <sheet name="Status" sheetId="91" state="visible" r:id="rId93"/>
  </sheets>
  <definedNames>
    <definedName function="false" hidden="false" localSheetId="81" name="_xlnm.Print_Area" vbProcedure="false">Appearance!$A$1:$M$25</definedName>
    <definedName function="false" hidden="true" localSheetId="81" name="_xlnm._FilterDatabase" vbProcedure="false">Appearance!$A$8:$M$25</definedName>
    <definedName function="false" hidden="false" localSheetId="63" name="_xlnm.Print_Area" vbProcedure="false">'Aspect Ratio'!$A$1:$M$34</definedName>
    <definedName function="false" hidden="true" localSheetId="63" name="_xlnm._FilterDatabase" vbProcedure="false">'Aspect Ratio'!$A$8:$M$34</definedName>
    <definedName function="false" hidden="false" localSheetId="86" name="_xlnm.Print_Area" vbProcedure="false">Bleed!$A$1:$M$28</definedName>
    <definedName function="false" hidden="true" localSheetId="86" name="_xlnm._FilterDatabase" vbProcedure="false">Bleed!$A$8:$M$28</definedName>
    <definedName function="false" hidden="true" localSheetId="52" name="_xlnm._FilterDatabase" vbProcedure="false">'Bottom Navigation'!$A$8:$M$36</definedName>
    <definedName function="false" hidden="false" localSheetId="65" name="_xlnm.Print_Area" vbProcedure="false">Chip!$A$1:$M$39</definedName>
    <definedName function="false" hidden="true" localSheetId="65" name="_xlnm._FilterDatabase" vbProcedure="false">Chip!$A$8:$M$39</definedName>
    <definedName function="false" hidden="true" localSheetId="54" name="_xlnm._FilterDatabase" vbProcedure="false">Collapsible!$A$8:$M$33</definedName>
    <definedName function="false" hidden="false" localSheetId="66" name="_xlnm.Print_Area" vbProcedure="false">Combobox!$A$1:$M$30</definedName>
    <definedName function="false" hidden="true" localSheetId="59" name="_xlnm._FilterDatabase" vbProcedure="false">'Data Grid'!$A$8:$M$34</definedName>
    <definedName function="false" hidden="false" localSheetId="87" name="_xlnm.Print_Area" vbProcedure="false">'Data List'!$A$1:$M$28</definedName>
    <definedName function="false" hidden="true" localSheetId="87" name="_xlnm._FilterDatabase" vbProcedure="false">'Data List'!$A$8:$M$28</definedName>
    <definedName function="false" hidden="false" localSheetId="62" name="_xlnm.Print_Area" vbProcedure="false">Feed!$A$1:$M$39</definedName>
    <definedName function="false" hidden="true" localSheetId="62" name="_xlnm._FilterDatabase" vbProcedure="false">Feed!$A$8:$M$39</definedName>
    <definedName function="false" hidden="false" localSheetId="72" name="_xlnm.Print_Area" vbProcedure="false">'File Upload'!$A$1:$M$36</definedName>
    <definedName function="false" hidden="true" localSheetId="72" name="_xlnm._FilterDatabase" vbProcedure="false">'File Upload'!$A$8:$M$36</definedName>
    <definedName function="false" hidden="false" localSheetId="82" name="_xlnm.Print_Area" vbProcedure="false">Frame!$A$1:$M$24</definedName>
    <definedName function="false" hidden="true" localSheetId="82" name="_xlnm._FilterDatabase" vbProcedure="false">Frame!$A$8:$M$24</definedName>
    <definedName function="false" hidden="false" localSheetId="75" name="_xlnm.Print_Area" vbProcedure="false">Hide!$A$1:$M$30</definedName>
    <definedName function="false" hidden="true" localSheetId="75" name="_xlnm._FilterDatabase" vbProcedure="false">Hide!$A$8:$M$30</definedName>
    <definedName function="false" hidden="false" localSheetId="0" name="_xlnm.Print_Area" vbProcedure="false">Index!$A$1:$M$95</definedName>
    <definedName function="false" hidden="true" localSheetId="0" name="_xlnm._FilterDatabase" vbProcedure="false">Index!$A$8:$M$95</definedName>
    <definedName function="false" hidden="false" localSheetId="88" name="_xlnm.Print_Area" vbProcedure="false">'Link Box'!$A$1:$M$28</definedName>
    <definedName function="false" hidden="true" localSheetId="88" name="_xlnm._FilterDatabase" vbProcedure="false">'Link Box'!$A$8:$M$28</definedName>
    <definedName function="false" hidden="false" localSheetId="67" name="_xlnm.Print_Area" vbProcedure="false">'Number Input'!$A$1:$M$27</definedName>
    <definedName function="false" hidden="false" localSheetId="68" name="_xlnm.Print_Area" vbProcedure="false">'OTP Field'!$A$1:$M$28</definedName>
    <definedName function="false" hidden="false" localSheetId="58" name="_xlnm.Print_Area" vbProcedure="false">Pagination!$A$1:$M$33</definedName>
    <definedName function="false" hidden="true" localSheetId="58" name="_xlnm._FilterDatabase" vbProcedure="false">Pagination!$A$8:$M$33</definedName>
    <definedName function="false" hidden="false" localSheetId="69" name="_xlnm.Print_Area" vbProcedure="false">'Password Toggle Field'!$A$1:$M$28</definedName>
    <definedName function="false" hidden="false" localSheetId="77" name="_xlnm.Print_Area" vbProcedure="false">Progress!$A$1:$M$30</definedName>
    <definedName function="false" hidden="true" localSheetId="77" name="_xlnm._FilterDatabase" vbProcedure="false">Progress!$A$8:$M$30</definedName>
    <definedName function="false" hidden="false" localSheetId="78" name="_xlnm.Print_Area" vbProcedure="false">'Progress Circle'!$A$1:$M$30</definedName>
    <definedName function="false" hidden="true" localSheetId="78" name="_xlnm._FilterDatabase" vbProcedure="false">'Progress Circle'!$A$8:$M$30</definedName>
    <definedName function="false" hidden="true" localSheetId="43" name="_xlnm._FilterDatabase" vbProcedure="false">'Radio Group'!$A$8:$M$28</definedName>
    <definedName function="false" hidden="true" localSheetId="71" name="_xlnm._FilterDatabase" vbProcedure="false">Rating!$A$8:$M$25</definedName>
    <definedName function="false" hidden="false" localSheetId="84" name="_xlnm.Print_Area" vbProcedure="false">'Reorderable List'!$A$1:$M$27</definedName>
    <definedName function="false" hidden="true" localSheetId="84" name="_xlnm._FilterDatabase" vbProcedure="false">'Reorderable List'!$A$8:$M$27</definedName>
    <definedName function="false" hidden="false" localSheetId="83" name="_xlnm.Print_Area" vbProcedure="false">Section!$A$1:$M$25</definedName>
    <definedName function="false" hidden="true" localSheetId="83" name="_xlnm._FilterDatabase" vbProcedure="false">Section!$A$8:$M$25</definedName>
    <definedName function="false" hidden="false" localSheetId="89" name="_xlnm.Print_Area" vbProcedure="false">'Segment Group'!$A$1:$M$28</definedName>
    <definedName function="false" hidden="true" localSheetId="89" name="_xlnm._FilterDatabase" vbProcedure="false">'Segment Group'!$A$8:$M$28</definedName>
    <definedName function="false" hidden="true" localSheetId="40" name="_xlnm._FilterDatabase" vbProcedure="false">Select!$A$8:$M$30</definedName>
    <definedName function="false" hidden="false" localSheetId="74" name="_xlnm.Print_Area" vbProcedure="false">Show!$A$1:$M$30</definedName>
    <definedName function="false" hidden="true" localSheetId="74" name="_xlnm._FilterDatabase" vbProcedure="false">Show!$A$8:$M$30</definedName>
    <definedName function="false" hidden="true" localSheetId="47" name="_xlnm._FilterDatabase" vbProcedure="false">Skeleton!$A$8:$M$30</definedName>
    <definedName function="false" hidden="true" localSheetId="73" name="_xlnm._FilterDatabase" vbProcedure="false">'Skip Link'!$A$8:$M$28</definedName>
    <definedName function="false" hidden="true" localSheetId="70" name="_xlnm._FilterDatabase" vbProcedure="false">Slider!$A$8:$M$24</definedName>
    <definedName function="false" hidden="false" localSheetId="90" name="_xlnm.Print_Area" vbProcedure="false">Status!$A$1:$M$28</definedName>
    <definedName function="false" hidden="true" localSheetId="90" name="_xlnm._FilterDatabase" vbProcedure="false">Status!$A$8:$M$28</definedName>
    <definedName function="false" hidden="false" localSheetId="76" name="_xlnm.Print_Area" vbProcedure="false">'Swipeable Item'!$A$1:$M$39</definedName>
    <definedName function="false" hidden="true" localSheetId="76" name="_xlnm._FilterDatabase" vbProcedure="false">'Swipeable Item'!$A$8:$M$39</definedName>
    <definedName function="false" hidden="false" localSheetId="57" name="_xlnm.Print_Area" vbProcedure="false">Table!$A$1:$M$31</definedName>
    <definedName function="false" hidden="true" localSheetId="57" name="_xlnm._FilterDatabase" vbProcedure="false">Table!$A$8:$M$31</definedName>
    <definedName function="false" hidden="true" localSheetId="46" name="_xlnm._FilterDatabase" vbProcedure="false">Tabs!$A$8:$M$31</definedName>
    <definedName function="false" hidden="true" localSheetId="42" name="_xlnm._FilterDatabase" vbProcedure="false">Textarea!$A$8:$M$30</definedName>
    <definedName function="false" hidden="false" localSheetId="56" name="_xlnm.Print_Area" vbProcedure="false">Toast!$A$1:$M$39</definedName>
    <definedName function="false" hidden="false" localSheetId="56" name="_xlnm.Print_Titles" vbProcedure="false">Toast!$1:$8</definedName>
    <definedName function="false" hidden="true" localSheetId="56" name="_xlnm._FilterDatabase" vbProcedure="false">Toast!$A$8:$M$39</definedName>
    <definedName function="false" hidden="false" localSheetId="64" name="_xlnm.Print_Area" vbProcedure="false">Toolbar!$A$1:$M$38</definedName>
    <definedName function="false" hidden="true" localSheetId="64" name="_xlnm._FilterDatabase" vbProcedure="false">Toolbar!$A$8:$M$38</definedName>
    <definedName function="false" hidden="true" localSheetId="60" name="_xlnm._FilterDatabase" vbProcedure="false">'Tree Grid'!$A$8:$M$36</definedName>
    <definedName function="false" hidden="true" localSheetId="53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<sst xmlns="http://schemas.openxmlformats.org/spreadsheetml/2006/main" count="18528" uniqueCount="4846">
  <si>
    <t xml:space="preserve">Brick Component Coverage</t>
  </si>
  <si>
    <t xml:space="preserve">88 independently documented public component owners across 87 package subpaths.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</si>
  <si>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</si>
  <si>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</si>
  <si>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</si>
  <si>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</si>
  <si>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</si>
  <si>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</si>
  <si>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</si>
  <si>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</si>
  <si>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</si>
  <si>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</si>
  <si>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</si>
  <si>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</si>
  <si>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</si>
  <si>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</si>
  <si>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</si>
  <si>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</si>
  <si>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</si>
  <si>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</si>
  <si>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</si>
  <si>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</si>
  <si>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</si>
  <si>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</si>
  <si>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</si>
  <si>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</si>
  <si>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</si>
  <si>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</si>
  <si>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</si>
  <si>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</si>
  <si>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</si>
  <si>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</si>
  <si>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</si>
  <si>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</si>
  <si>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</si>
  <si>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</si>
  <si>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</si>
  <si>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</si>
  <si>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</si>
  <si>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</si>
  <si>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</si>
  <si>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</si>
  <si>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</si>
  <si>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</si>
  <si>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</si>
  <si>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</si>
  <si>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</si>
  <si>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</si>
  <si>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</si>
  <si>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</si>
  <si>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</si>
  <si>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</si>
  <si>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</si>
  <si>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</si>
  <si>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</si>
  <si>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</si>
  <si>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</si>
  <si>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</si>
  <si>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</si>
  <si>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</si>
  <si>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</si>
  <si>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</si>
  <si>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</si>
  <si>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</si>
  <si>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</si>
  <si>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</si>
  <si>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</si>
  <si>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</si>
  <si>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</si>
  <si>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</si>
  <si>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</si>
  <si>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</si>
  <si>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</si>
  <si>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</si>
  <si>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Feed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</si>
  <si>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</si>
  <si>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</si>
  <si>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</si>
  <si>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</si>
  <si>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</si>
  <si>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</si>
  <si>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</si>
  <si>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</si>
  <si>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</si>
  <si>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</si>
  <si>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</si>
  <si>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</si>
  <si>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</si>
  <si>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Swipeable Item</t>
  </si>
  <si>
    <t xml:space="preserve">Table</t>
  </si>
  <si>
    <t xml:space="preserve">Progress</t>
  </si>
  <si>
    <t xml:space="preserve">Progress Circle</t>
  </si>
  <si>
    <t xml:space="preserve">Carousel</t>
  </si>
  <si>
    <t xml:space="preserve">ZStack</t>
  </si>
  <si>
    <t xml:space="preserve">Appearance</t>
  </si>
  <si>
    <t xml:space="preserve">Frame</t>
  </si>
  <si>
    <t xml:space="preserve">Section</t>
  </si>
  <si>
    <t xml:space="preserve">Reorderable List</t>
  </si>
  <si>
    <t xml:space="preserve">Group</t>
  </si>
  <si>
    <t xml:space="preserve">Color Swatch</t>
  </si>
  <si>
    <t xml:space="preserve">Bleed</t>
  </si>
  <si>
    <t xml:space="preserve">Data List</t>
  </si>
  <si>
    <t xml:space="preserve">Link Box</t>
  </si>
  <si>
    <t xml:space="preserve">Segment Group</t>
  </si>
  <si>
    <t xml:space="preserve">Status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</si>
  <si>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</si>
  <si>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</si>
  <si>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</si>
  <si>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</si>
  <si>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</si>
  <si>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</si>
  <si>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</si>
  <si>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documented public component owner owns one sheet. Shared subpaths and family integration never replace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</si>
  <si>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</si>
  <si>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</si>
  <si>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</si>
  <si>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</si>
  <si>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</si>
  <si>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</si>
  <si>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</si>
  <si>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</si>
  <si>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</si>
  <si>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</si>
  <si>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</si>
  <si>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</si>
  <si>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</si>
  <si>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</si>
  <si>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</si>
  <si>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Human completion is recorded only after the owner executes the current component protocol; unrun profiles remain open or not run.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</si>
  <si>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</si>
  <si>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</si>
  <si>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</si>
  <si>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</si>
  <si>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</si>
  <si>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</si>
  <si>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</si>
  <si>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</si>
  <si>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</si>
  <si>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</si>
  <si>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</si>
  <si>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</si>
  <si>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</si>
  <si>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</si>
  <si>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</si>
  <si>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</si>
  <si>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</si>
  <si>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</si>
  <si>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</si>
  <si>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</si>
  <si>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</si>
  <si>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</si>
  <si>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</si>
  <si>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</si>
  <si>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</si>
  <si>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</si>
  <si>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</si>
  <si>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</si>
  <si>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</si>
  <si>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</si>
  <si>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</si>
  <si>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</si>
  <si>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</si>
  <si>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</si>
  <si>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</si>
  <si>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</si>
  <si>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</si>
  <si>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</si>
  <si>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</si>
  <si>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</si>
  <si>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</si>
  <si>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</si>
  <si>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</si>
  <si>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</si>
  <si>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</si>
  <si>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</si>
  <si>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</si>
  <si>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</si>
  <si>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</si>
  <si>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</si>
  <si>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</si>
  <si>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</si>
  <si>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</si>
  <si>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</si>
  <si>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</si>
  <si>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</si>
  <si>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</si>
  <si>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</si>
  <si>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</si>
  <si>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</si>
  <si>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</si>
  <si>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</si>
  <si>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</si>
  <si>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</si>
  <si>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</si>
  <si>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</si>
  <si>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</si>
  <si>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</si>
  <si>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</si>
  <si>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</si>
  <si>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</si>
  <si>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</si>
  <si>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</si>
  <si>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</si>
  <si>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</si>
  <si>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</si>
  <si>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</si>
  <si>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</si>
  <si>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</si>
  <si>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</si>
  <si>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</si>
  <si>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</si>
  <si>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</si>
  <si>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</si>
  <si>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</si>
  <si>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</si>
  <si>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</si>
  <si>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</si>
  <si>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</si>
  <si>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</si>
  <si>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</si>
  <si>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</si>
  <si>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</si>
  <si>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</si>
  <si>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</si>
  <si>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</si>
  <si>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</si>
  <si>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</si>
  <si>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</si>
  <si>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</si>
  <si>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</si>
  <si>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</si>
  <si>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</si>
  <si>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</si>
  <si>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</si>
  <si>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</si>
  <si>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</si>
  <si>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</si>
  <si>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</si>
  <si>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</si>
  <si>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</si>
  <si>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</si>
  <si>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</si>
  <si>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</si>
  <si>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</si>
  <si>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</si>
  <si>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</si>
  <si>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</si>
  <si>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</si>
  <si>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</si>
  <si>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</si>
  <si>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</si>
  <si>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</si>
  <si>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</si>
  <si>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</si>
  <si>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</si>
  <si>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</si>
  <si>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</si>
  <si>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</si>
  <si>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</si>
  <si>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</si>
  <si>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</si>
  <si>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</si>
  <si>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</si>
  <si>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</si>
  <si>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</si>
  <si>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</si>
  <si>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</si>
  <si>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</si>
  <si>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</si>
  <si>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</si>
  <si>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</si>
  <si>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</si>
  <si>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</si>
  <si>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</si>
  <si>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</si>
  <si>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</si>
  <si>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</si>
  <si>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</si>
  <si>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</si>
  <si>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</si>
  <si>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</si>
  <si>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</si>
  <si>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</si>
  <si>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</si>
  <si>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</si>
  <si>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</si>
  <si>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</si>
  <si>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</si>
  <si>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</si>
  <si>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</si>
  <si>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</si>
  <si>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</si>
  <si>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</si>
  <si>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</si>
  <si>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</si>
  <si>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</si>
  <si>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</si>
  <si>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</si>
  <si>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</si>
  <si>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</si>
  <si>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</si>
  <si>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</si>
  <si>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</si>
  <si>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</si>
  <si>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</si>
  <si>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</si>
  <si>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</si>
  <si>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</si>
  <si>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</si>
  <si>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</si>
  <si>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</si>
  <si>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</si>
  <si>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</si>
  <si>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</si>
  <si>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</si>
  <si>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</si>
  <si>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</si>
  <si>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</si>
  <si>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</si>
  <si>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</si>
  <si>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</si>
  <si>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</si>
  <si>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</si>
  <si>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</si>
  <si>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</si>
  <si>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</si>
  <si>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</si>
  <si>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</si>
  <si>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</si>
  <si>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</si>
  <si>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</si>
  <si>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</si>
  <si>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</si>
  <si>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</si>
  <si>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</si>
  <si>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</si>
  <si>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</si>
  <si>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</si>
  <si>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</si>
  <si>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</si>
  <si>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</si>
  <si>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</si>
  <si>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</si>
  <si>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</si>
  <si>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</si>
  <si>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</si>
  <si>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</si>
  <si>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</si>
  <si>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</si>
  <si>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</si>
  <si>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</si>
  <si>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</si>
  <si>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</si>
  <si>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</si>
  <si>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</si>
  <si>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</si>
  <si>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</si>
  <si>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</si>
  <si>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</si>
  <si>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</si>
  <si>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</si>
  <si>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</si>
  <si>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</si>
  <si>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</si>
  <si>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</si>
  <si>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</si>
  <si>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</si>
  <si>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</si>
  <si>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</si>
  <si>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</si>
  <si>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</si>
  <si>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</si>
  <si>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</si>
  <si>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</si>
  <si>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</si>
  <si>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</si>
  <si>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</si>
  <si>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</si>
  <si>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</si>
  <si>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</si>
  <si>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</si>
  <si>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</si>
  <si>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</si>
  <si>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</si>
  <si>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</si>
  <si>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</si>
  <si>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</si>
  <si>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</si>
  <si>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</si>
  <si>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</si>
  <si>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</si>
  <si>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</si>
  <si>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</si>
  <si>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</si>
  <si>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</si>
  <si>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</si>
  <si>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</si>
  <si>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</si>
  <si>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</si>
  <si>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</si>
  <si>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</si>
  <si>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</si>
  <si>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</si>
  <si>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</si>
  <si>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</si>
  <si>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</si>
  <si>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</si>
  <si>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</si>
  <si>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</si>
  <si>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</si>
  <si>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</si>
  <si>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</si>
  <si>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</si>
  <si>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</si>
  <si>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</si>
  <si>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</si>
  <si>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</si>
  <si>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</si>
  <si>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</si>
  <si>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</si>
  <si>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</si>
  <si>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</si>
  <si>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</si>
  <si>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</si>
  <si>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</si>
  <si>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</si>
  <si>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</si>
  <si>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</si>
  <si>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</si>
  <si>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</si>
  <si>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</si>
  <si>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</si>
  <si>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</si>
  <si>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</si>
  <si>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</si>
  <si>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</si>
  <si>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</si>
  <si>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</si>
  <si>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</si>
  <si>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</si>
  <si>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</si>
  <si>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</si>
  <si>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</si>
  <si>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</si>
  <si>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</si>
  <si>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</si>
  <si>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</si>
  <si>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</si>
  <si>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</si>
  <si>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</si>
  <si>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</si>
  <si>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</si>
  <si>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</si>
  <si>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</si>
  <si>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</si>
  <si>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</si>
  <si>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</si>
  <si>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</si>
  <si>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</si>
  <si>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</si>
  <si>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</si>
  <si>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</si>
  <si>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</si>
  <si>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</si>
  <si>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</si>
  <si>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</si>
  <si>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</si>
  <si>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</si>
  <si>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</si>
  <si>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</si>
  <si>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</si>
  <si>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</si>
  <si>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</si>
  <si>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</si>
  <si>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</si>
  <si>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</si>
  <si>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</si>
  <si>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</si>
  <si>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</si>
  <si>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</si>
  <si>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</si>
  <si>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</si>
  <si>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</si>
  <si>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</si>
  <si>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</si>
  <si>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</si>
  <si>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</si>
  <si>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</si>
  <si>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</si>
  <si>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</si>
  <si>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</si>
  <si>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</si>
  <si>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</si>
  <si>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</si>
  <si>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</si>
  <si>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</si>
  <si>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</si>
  <si>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</si>
  <si>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</si>
  <si>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</si>
  <si>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</si>
  <si>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</si>
  <si>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</si>
  <si>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</si>
  <si>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</si>
  <si>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</si>
  <si>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</si>
  <si>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</si>
  <si>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</si>
  <si>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</si>
  <si>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</si>
  <si>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</si>
  <si>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</si>
  <si>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</si>
  <si>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</si>
  <si>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</si>
  <si>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</si>
  <si>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</si>
  <si>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</si>
  <si>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</si>
  <si>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</si>
  <si>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</si>
  <si>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</si>
  <si>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</si>
  <si>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</si>
  <si>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</si>
  <si>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</si>
  <si>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</si>
  <si>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</si>
  <si>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</si>
  <si>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</si>
  <si>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</si>
  <si>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</si>
  <si>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</si>
  <si>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</si>
  <si>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</si>
  <si>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</si>
  <si>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</si>
  <si>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</si>
  <si>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</si>
  <si>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</si>
  <si>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</si>
  <si>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</si>
  <si>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</si>
  <si>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</si>
  <si>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</si>
  <si>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</si>
  <si>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</si>
  <si>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</si>
  <si>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</si>
  <si>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</si>
  <si>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</si>
  <si>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</si>
  <si>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</si>
  <si>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</si>
  <si>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</si>
  <si>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</si>
  <si>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</si>
  <si>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</si>
  <si>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</si>
  <si>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</si>
  <si>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</si>
  <si>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</si>
  <si>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</si>
  <si>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</si>
  <si>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</si>
  <si>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</si>
  <si>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</si>
  <si>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</si>
  <si>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</si>
  <si>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</si>
  <si>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</si>
  <si>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</si>
  <si>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</si>
  <si>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</si>
  <si>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</si>
  <si>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</si>
  <si>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</si>
  <si>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</si>
  <si>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</si>
  <si>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</si>
  <si>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</si>
  <si>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</si>
  <si>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</si>
  <si>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</si>
  <si>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</si>
  <si>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</si>
  <si>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</si>
  <si>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</si>
  <si>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</si>
  <si>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</si>
  <si>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</si>
  <si>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</si>
  <si>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</si>
  <si>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</si>
  <si>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</si>
  <si>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</si>
  <si>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</si>
  <si>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</si>
  <si>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</si>
  <si>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</si>
  <si>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</si>
  <si>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</si>
  <si>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</si>
  <si>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</si>
  <si>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</si>
  <si>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</si>
  <si>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</si>
  <si>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</si>
  <si>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</si>
  <si>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</si>
  <si>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</si>
  <si>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</si>
  <si>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</si>
  <si>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</si>
  <si>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</si>
  <si>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</si>
  <si>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</si>
  <si>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</si>
  <si>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</si>
  <si>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</si>
  <si>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</si>
  <si>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</si>
  <si>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</si>
  <si>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</si>
  <si>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</si>
  <si>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</si>
  <si>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</si>
  <si>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</si>
  <si>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</si>
  <si>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</si>
  <si>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</si>
  <si>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</si>
  <si>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</si>
  <si>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</si>
  <si>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</si>
  <si>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</si>
  <si>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</si>
  <si>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</si>
  <si>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</si>
  <si>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</si>
  <si>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</si>
  <si>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</si>
  <si>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</si>
  <si>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</si>
  <si>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</si>
  <si>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</si>
  <si>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0.20.11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</si>
  <si>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</si>
  <si>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</si>
  <si>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</si>
  <si>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</si>
  <si>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</si>
  <si>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</si>
  <si>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</si>
  <si>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</si>
  <si>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</si>
  <si>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</si>
  <si>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</si>
  <si>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</si>
  <si>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</si>
  <si>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</si>
  <si>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</si>
  <si>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</si>
  <si>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</si>
  <si>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</si>
  <si>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</si>
  <si>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</si>
  <si>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</si>
  <si>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</si>
  <si>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</si>
  <si>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</si>
  <si>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</si>
  <si>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</si>
  <si>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</si>
  <si>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</si>
  <si>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</si>
  <si>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</si>
  <si>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</si>
  <si>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</si>
  <si>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</si>
  <si>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</si>
  <si>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</si>
  <si>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</si>
  <si>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</si>
  <si>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</si>
  <si>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</si>
  <si>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</si>
  <si>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</si>
  <si>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</si>
  <si>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</si>
  <si>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</si>
  <si>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</si>
  <si>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</si>
  <si>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</si>
  <si>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</si>
  <si>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</si>
  <si>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</si>
  <si>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</si>
  <si>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</si>
  <si>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</si>
  <si>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</si>
  <si>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</si>
  <si>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</si>
  <si>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</si>
  <si>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</si>
  <si>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</si>
  <si>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</si>
  <si>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</si>
  <si>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</si>
  <si>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</si>
  <si>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</si>
  <si>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</si>
  <si>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</si>
  <si>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</si>
  <si>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</si>
  <si>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</si>
  <si>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</si>
  <si>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</si>
  <si>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</si>
  <si>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</si>
  <si>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</si>
  <si>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</si>
  <si>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</si>
  <si>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</si>
  <si>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</si>
  <si>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</si>
  <si>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</si>
  <si>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</si>
  <si>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</si>
  <si>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</si>
  <si>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</si>
  <si>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</si>
  <si>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</si>
  <si>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</si>
  <si>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</si>
  <si>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</si>
  <si>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</si>
  <si>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</si>
  <si>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</si>
  <si>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</si>
  <si>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</si>
  <si>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</si>
  <si>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</si>
  <si>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</si>
  <si>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</si>
  <si>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</si>
  <si>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</si>
  <si>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</si>
  <si>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</si>
  <si>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</si>
  <si>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</si>
  <si>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</si>
  <si>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</si>
  <si>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</si>
  <si>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</si>
  <si>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</si>
  <si>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</si>
  <si>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</si>
  <si>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</si>
  <si>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</si>
  <si>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</si>
  <si>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</si>
  <si>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</si>
  <si>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</si>
  <si>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</si>
  <si>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</si>
  <si>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</si>
  <si>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</si>
  <si>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</si>
  <si>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</si>
  <si>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</si>
  <si>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</si>
  <si>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</si>
  <si>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</si>
  <si>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</si>
  <si>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</si>
  <si>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</si>
  <si>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</si>
  <si>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</si>
  <si>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</si>
  <si>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</si>
  <si>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</si>
  <si>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</si>
  <si>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</si>
  <si>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</si>
  <si>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</si>
  <si>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</si>
  <si>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</si>
  <si>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</si>
  <si>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</si>
  <si>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</si>
  <si>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</si>
  <si>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</si>
  <si>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</si>
  <si>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</si>
  <si>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</si>
  <si>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</si>
  <si>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</si>
  <si>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Stack family and Item</t>
  </si>
  <si>
    <t xml:space="preserve">Hosts, responsive direction/gap/alignment/distribution/wrapping/edge spacing, Item flex/alignment, native props, refs, and exclusions type-check.</t>
  </si>
  <si>
    <t xml:space="preserve">../test/types/components/stack.test.ts</t>
  </si>
  <si>
    <t xml:space="preserve">S-04</t>
  </si>
  <si>
    <t xml:space="preserve">Root and Item</t>
  </si>
  <si>
    <t xml:space="preserve">Static CSS ships flex layout, canonical responsive recipes, tokenized gaps, logical edge spacing, Item flex/alignment, wrapping, and containment.</t>
  </si>
  <si>
    <t xml:space="preserve">../src/components/stack/stack.css; ../src/styles/tokens.tokens.json</t>
  </si>
  <si>
    <t xml:space="preserve">S-05</t>
  </si>
  <si>
    <t xml:space="preserve">Defaults, responsive data contracts, family direction locks, Item recipes, semantic hosts, composition, hooks, events, and refs pass focused tests.</t>
  </si>
  <si>
    <t xml:space="preserve">../test/components/stack/stack.test.tsx</t>
  </si>
  <si>
    <t xml:space="preserve">S-06</t>
  </si>
  <si>
    <t xml:space="preserve">Real-browser axes, exact gaps, responsive arrangement and Item flex, wrapping, containment, semantics, refs, output, and customization pass.</t>
  </si>
  <si>
    <t xml:space="preserve">tests/components/stack/behavior.spec.ts</t>
  </si>
  <si>
    <t xml:space="preserve">S-07</t>
  </si>
  <si>
    <t xml:space="preserve">Responsive reflow preserves source order, semantic hosts, RTL logic, containment, and axe checks without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</si>
  <si>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</si>
  <si>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</si>
  <si>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</si>
  <si>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</si>
  <si>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</si>
  <si>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</si>
  <si>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</si>
  <si>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</si>
  <si>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</si>
  <si>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Root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</si>
  <si>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</si>
  <si>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</si>
  <si>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</si>
  <si>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</si>
  <si>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host, authored native attribute, DOM order, composed Item host, and rendered-output example match the public contract.</t>
  </si>
  <si>
    <t xml:space="preserve">../test/components/stack/stack.test.tsx; tests/components/stack/behavior.spec.ts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</si>
  <si>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</si>
  <si>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</si>
  <si>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</si>
  <si>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</si>
  <si>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responsive values, Item sizing, semantics, accessibility, CSS, API, and agent guidance pass component checks.</t>
  </si>
  <si>
    <t xml:space="preserve">../docs/components/stack/README.md; ../src/components/stack/agent.md</t>
  </si>
  <si>
    <t xml:space="preserve">S-14</t>
  </si>
  <si>
    <t xml:space="preserve">Stack owns a public component changelog and the package changelog records responsive layout and Item additions.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</si>
  <si>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</si>
  <si>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</si>
  <si>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</si>
  <si>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</si>
  <si>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</si>
  <si>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consumers, browser evidence,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</si>
  <si>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</si>
  <si>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</si>
  <si>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Group Evidence</t>
  </si>
  <si>
    <t xml:space="preserve">G-01</t>
  </si>
  <si>
    <t xml:space="preserve">One native role-free host preserves authored direct children, native attributes, events, class, style, slot, and ref.</t>
  </si>
  <si>
    <t xml:space="preserve">../src/components/group/Group.tsx</t>
  </si>
  <si>
    <t xml:space="preserve">G-02</t>
  </si>
  <si>
    <t xml:space="preserve">Root and public group subpath exports expose the runtime and public types.</t>
  </si>
  <si>
    <t xml:space="preserve">../src/group.ts; ../src/index.ts; ../package.json</t>
  </si>
  <si>
    <t xml:space="preserve">G-03</t>
  </si>
  <si>
    <t xml:space="preserve">Closed hosts and orientations, spacing, attachment, growth, native props, refs, and exclusions type-check.</t>
  </si>
  <si>
    <t xml:space="preserve">../test/types/components/group.test.ts</t>
  </si>
  <si>
    <t xml:space="preserve">G-04</t>
  </si>
  <si>
    <t xml:space="preserve">Group and direct children</t>
  </si>
  <si>
    <t xml:space="preserve">Static CSS ships inline layout, tokenized gaps, attached logical corners, border overlap, equal growth, and local hover/focus stacking.</t>
  </si>
  <si>
    <t xml:space="preserve">../src/components/group/group.css</t>
  </si>
  <si>
    <t xml:space="preserve">G-05</t>
  </si>
  <si>
    <t xml:space="preserve">Defaults, host choice, orientations, attachment, growth, spacing, semantics, native props, hooks, events, and refs pass focused tests.</t>
  </si>
  <si>
    <t xml:space="preserve">../test/components/group/group.test.tsx</t>
  </si>
  <si>
    <t xml:space="preserve">G-06</t>
  </si>
  <si>
    <t xml:space="preserve">Real-browser gap, shared borders, outside corners, focus stacking, vertical attachment, equal growth, and narrow containment pass.</t>
  </si>
  <si>
    <t xml:space="preserve">tests/components/group/behavior.spec.ts</t>
  </si>
  <si>
    <t xml:space="preserve">G-07</t>
  </si>
  <si>
    <t xml:space="preserve">Group and controls</t>
  </si>
  <si>
    <t xml:space="preserve">Authored roles and names, independent Tab stops, source order, RTL logic, visible focus, containment, and axe pass without implicit semantics.</t>
  </si>
  <si>
    <t xml:space="preserve">G-08</t>
  </si>
  <si>
    <t xml:space="preserve">Reviewed baselines cover default, attached, mixed composition, dark customization, mobile stress, and RTL.</t>
  </si>
  <si>
    <t xml:space="preserve">tests/components/group/visual.spec.ts</t>
  </si>
  <si>
    <t xml:space="preserve">Visual baselines and owner review are pending.</t>
  </si>
  <si>
    <t xml:space="preserve">G-09</t>
  </si>
  <si>
    <t xml:space="preserve">Physical mobile, 200%/400% zoom, constrained long content, and RTL remain cohesive and reachable.</t>
  </si>
  <si>
    <t xml:space="preserve">manual-tests/group.md</t>
  </si>
  <si>
    <t xml:space="preserve">Automated narrow and RTL evidence passes; the human manual run is pending.</t>
  </si>
  <si>
    <t xml:space="preserve">G-10</t>
  </si>
  <si>
    <t xml:space="preserve">Group and children</t>
  </si>
  <si>
    <t xml:space="preserve">Light, dark, accent, radius, font, forced-colors, focus, disabled, and text-spacing stress retain child-owned paint and Group geometry.</t>
  </si>
  <si>
    <t xml:space="preserve">manual-tests/group.md; tests/components/group/visual.spec.ts</t>
  </si>
  <si>
    <t xml:space="preserve">Automated geometry evidence passes; complete human appearance review is pending.</t>
  </si>
  <si>
    <t xml:space="preserve">G-11</t>
  </si>
  <si>
    <t xml:space="preserve">Both hosts, authored native attributes, DOM order, role-free default, and explicitly named group output match the public contract.</t>
  </si>
  <si>
    <t xml:space="preserve">../test/components/group/group.test.tsx; tests/components/group/behavior.spec.ts</t>
  </si>
  <si>
    <t xml:space="preserve">G-12</t>
  </si>
  <si>
    <t xml:space="preserve">The component-owned manual protocol passes every Group scenario.</t>
  </si>
  <si>
    <t xml:space="preserve">Protocol exists; owner review is pending.</t>
  </si>
  <si>
    <t xml:space="preserve">G-13</t>
  </si>
  <si>
    <t xml:space="preserve">Source-backed public usage, boundaries, direct-child rules, accessibility, CSS, API, and Agent Knowledge pass component checks.</t>
  </si>
  <si>
    <t xml:space="preserve">../docs/components/group/README.md; ../src/components/group/agent.md</t>
  </si>
  <si>
    <t xml:space="preserve">G-14</t>
  </si>
  <si>
    <t xml:space="preserve">Group owns a public changelog and the package changelog records the consumer-visible layout addition.</t>
  </si>
  <si>
    <t xml:space="preserve">../docs/components/group/CHANGELOG.md; ../CHANGELOG.md</t>
  </si>
  <si>
    <t xml:space="preserve">G-15</t>
  </si>
  <si>
    <t xml:space="preserve">Attached Group</t>
  </si>
  <si>
    <t xml:space="preserve">The packed Consumer composes a named attached action cluster through the public group subpath.</t>
  </si>
  <si>
    <t xml:space="preserve">Consumer build passes; packed browser verification is pending.</t>
  </si>
  <si>
    <t xml:space="preserve">G-16</t>
  </si>
  <si>
    <t xml:space="preserve">Build, SSR, exports, CSS, tarball, React 18/19, packed consumers, and component browser checks pass.</t>
  </si>
  <si>
    <t xml:space="preserve">Focused gates pass; full package and human review remain pending.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</si>
  <si>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</si>
  <si>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</si>
  <si>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</si>
  <si>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</si>
  <si>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</si>
  <si>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</si>
  <si>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</si>
  <si>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</si>
  <si>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</si>
  <si>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</si>
  <si>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</si>
  <si>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</si>
  <si>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</si>
  <si>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</si>
  <si>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</si>
  <si>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</si>
  <si>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Root exports and the public Grid subpath expose the frozen compound runtime and all public Grid types.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</si>
  <si>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</si>
  <si>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</si>
  <si>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</si>
  <si>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</si>
  <si>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</si>
  <si>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</si>
  <si>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</si>
  <si>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</si>
  <si>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</si>
  <si>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</si>
  <si>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Authored semantics, DOM and focus order, RTL logic, reflow containment, and axe pass without Grid inventing interactive grid semantics.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</si>
  <si>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</si>
  <si>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</si>
  <si>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</si>
  <si>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</si>
  <si>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</si>
  <si>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</si>
  <si>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</si>
  <si>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Supported semantic hosts, authored attributes, source order, rendered output, slots, and data hooks match the public contract.</t>
  </si>
  <si>
    <t xml:space="preserve">The component-owned manual protocol passes every Grid playground scenario.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</si>
  <si>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</si>
  <si>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</si>
  <si>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</si>
  <si>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</si>
  <si>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</si>
  <si>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</si>
  <si>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</si>
  <si>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</si>
  <si>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</si>
  <si>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</si>
  <si>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</si>
  <si>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</si>
  <si>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</si>
  <si>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</si>
  <si>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</si>
  <si>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</si>
  <si>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</si>
  <si>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</si>
  <si>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</si>
  <si>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</si>
  <si>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</si>
  <si>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</si>
  <si>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</si>
  <si>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</si>
  <si>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</si>
  <si>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</si>
  <si>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</si>
  <si>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</si>
  <si>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</si>
  <si>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</si>
  <si>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</si>
  <si>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</si>
  <si>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</si>
  <si>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</si>
  <si>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</si>
  <si>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</si>
  <si>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</si>
  <si>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</si>
  <si>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</si>
  <si>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</si>
  <si>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</si>
  <si>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</si>
  <si>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</si>
  <si>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</si>
  <si>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</si>
  <si>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</si>
  <si>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</si>
  <si>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</si>
  <si>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six inset values, responsive inset grammar, native props, refs, and rejected composition props type-check.</t>
  </si>
  <si>
    <t xml:space="preserve">../test/types/components/surface.test.ts</t>
  </si>
  <si>
    <t xml:space="preserve">Static CSS ships semantic levels, independent border, elevation, radius, six theme-derived inset recipes, responsive inset breakpoints, forced-color handling, and public variable overrides.</t>
  </si>
  <si>
    <t xml:space="preserve">../src/components/surface/surface.css</t>
  </si>
  <si>
    <t xml:space="preserve">Defaults, every recipe, responsive inset serialization, semantic hosts, pass-through, hooks, events, refs, and exclusions pass focused tests.</t>
  </si>
  <si>
    <t xml:space="preserve">../test/components/surface/surface.test.tsx</t>
  </si>
  <si>
    <t xml:space="preserve">Real-browser levels, borders, elevations, radii, six insets, responsive inset breakpoints,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</si>
  <si>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</si>
  <si>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</si>
  <si>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the complete six-value inset ladder,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</si>
  <si>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</si>
  <si>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</si>
  <si>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The manual protocol covers physical mobile, 200%/400% zoom, responsive inset transitions, constrained content, long copy, nesting, and RTL containment.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</si>
  <si>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</si>
  <si>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</si>
  <si>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</si>
  <si>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</si>
  <si>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</si>
  <si>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public and Agent Knowledge guidance covers defaults, recipes, responsive inset selection, semantics, accessibility, composition, CSS, customization, and API details.</t>
  </si>
  <si>
    <t xml:space="preserve">../docs/components/surface/README.md; ../src/components/surface/agent.json; ../src/components/surface/agent.md</t>
  </si>
  <si>
    <t xml:space="preserve">Surface and package changelogs record the larger responsive inset API and its evidence.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</si>
  <si>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</si>
  <si>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</si>
  <si>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</si>
  <si>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</si>
  <si>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</si>
  <si>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</si>
  <si>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</si>
  <si>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</si>
  <si>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</si>
  <si>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</si>
  <si>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</si>
  <si>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</si>
  <si>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</si>
  <si>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</si>
  <si>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</si>
  <si>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</si>
  <si>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</si>
  <si>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</si>
  <si>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</si>
  <si>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</si>
  <si>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</si>
  <si>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</si>
  <si>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</si>
  <si>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</si>
  <si>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</si>
  <si>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</si>
  <si>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</si>
  <si>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</si>
  <si>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</si>
  <si>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</si>
  <si>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</si>
  <si>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</si>
  <si>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</si>
  <si>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</si>
  <si>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</si>
  <si>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</si>
  <si>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</si>
  <si>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</si>
  <si>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</si>
  <si>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</si>
  <si>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</si>
  <si>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</si>
  <si>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</si>
  <si>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</si>
  <si>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</si>
  <si>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</si>
  <si>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</si>
  <si>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</si>
  <si>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</si>
  <si>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</si>
  <si>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</si>
  <si>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</si>
  <si>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</si>
  <si>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</si>
  <si>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</si>
  <si>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</si>
  <si>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</si>
  <si>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</si>
  <si>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</si>
  <si>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</si>
  <si>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</si>
  <si>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</si>
  <si>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</si>
  <si>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</si>
  <si>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</si>
  <si>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</si>
  <si>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</si>
  <si>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</si>
  <si>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</si>
  <si>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</si>
  <si>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</si>
  <si>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</si>
  <si>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</si>
  <si>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</si>
  <si>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</si>
  <si>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</si>
  <si>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</si>
  <si>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</si>
  <si>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</si>
  <si>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</si>
  <si>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</si>
  <si>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</si>
  <si>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</si>
  <si>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</si>
  <si>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</si>
  <si>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</si>
  <si>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</si>
  <si>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</si>
  <si>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</si>
  <si>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</si>
  <si>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</si>
  <si>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</si>
  <si>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</si>
  <si>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</si>
  <si>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</si>
  <si>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</si>
  <si>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</si>
  <si>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</si>
  <si>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</si>
  <si>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</si>
  <si>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</si>
  <si>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</si>
  <si>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</si>
  <si>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</si>
  <si>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</si>
  <si>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</si>
  <si>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</si>
  <si>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</si>
  <si>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</si>
  <si>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</si>
  <si>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</si>
  <si>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</si>
  <si>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</si>
  <si>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</si>
  <si>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</si>
  <si>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</si>
  <si>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</si>
  <si>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</si>
  <si>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</si>
  <si>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</si>
  <si>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</si>
  <si>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</si>
  <si>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</si>
  <si>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</si>
  <si>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</si>
  <si>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</si>
  <si>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</si>
  <si>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</si>
  <si>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</si>
  <si>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</si>
  <si>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</si>
  <si>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</si>
  <si>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</si>
  <si>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</si>
  <si>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</si>
  <si>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</si>
  <si>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</si>
  <si>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</si>
  <si>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</si>
  <si>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</si>
  <si>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</si>
  <si>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</si>
  <si>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</si>
  <si>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</si>
  <si>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</si>
  <si>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</si>
  <si>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</si>
  <si>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</si>
  <si>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</si>
  <si>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</si>
  <si>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</si>
  <si>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</si>
  <si>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</si>
  <si>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</si>
  <si>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</si>
  <si>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</si>
  <si>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</si>
  <si>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</si>
  <si>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</si>
  <si>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</si>
  <si>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</si>
  <si>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</si>
  <si>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</si>
  <si>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</si>
  <si>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</si>
  <si>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</si>
  <si>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</si>
  <si>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</si>
  <si>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</si>
  <si>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</si>
  <si>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</si>
  <si>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</si>
  <si>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</si>
  <si>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</si>
  <si>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</si>
  <si>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</si>
  <si>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</si>
  <si>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</si>
  <si>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</si>
  <si>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</si>
  <si>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</si>
  <si>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</si>
  <si>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</si>
  <si>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</si>
  <si>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</si>
  <si>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</si>
  <si>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</si>
  <si>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</si>
  <si>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</si>
  <si>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</si>
  <si>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</si>
  <si>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</si>
  <si>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</si>
  <si>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</si>
  <si>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</si>
  <si>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</si>
  <si>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</si>
  <si>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</si>
  <si>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</si>
  <si>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</si>
  <si>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</si>
  <si>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</si>
  <si>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</si>
  <si>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</si>
  <si>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</si>
  <si>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</si>
  <si>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</si>
  <si>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</si>
  <si>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</si>
  <si>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</si>
  <si>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</si>
  <si>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</si>
  <si>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</si>
  <si>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</si>
  <si>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</si>
  <si>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</si>
  <si>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</si>
  <si>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</si>
  <si>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</si>
  <si>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</si>
  <si>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</si>
  <si>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</si>
  <si>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</si>
  <si>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</si>
  <si>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</si>
  <si>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</si>
  <si>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</si>
  <si>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</si>
  <si>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</si>
  <si>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0.20.11.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</si>
  <si>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</si>
  <si>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</si>
  <si>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</si>
  <si>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</si>
  <si>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</si>
  <si>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</si>
  <si>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</si>
  <si>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</si>
  <si>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</si>
  <si>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</si>
  <si>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</si>
  <si>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</si>
  <si>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</si>
  <si>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</si>
  <si>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</si>
  <si>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</si>
  <si>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</si>
  <si>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</si>
  <si>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</si>
  <si>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</si>
  <si>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</si>
  <si>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</si>
  <si>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</si>
  <si>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</si>
  <si>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</si>
  <si>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</si>
  <si>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</si>
  <si>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</si>
  <si>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</si>
  <si>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</si>
  <si>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</si>
  <si>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</si>
  <si>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</si>
  <si>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</si>
  <si>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</si>
  <si>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</si>
  <si>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</si>
  <si>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</si>
  <si>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</si>
  <si>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</si>
  <si>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</si>
  <si>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</si>
  <si>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</si>
  <si>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</si>
  <si>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</si>
  <si>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</si>
  <si>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</si>
  <si>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</si>
  <si>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</si>
  <si>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</si>
  <si>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</si>
  <si>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</si>
  <si>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</si>
  <si>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</si>
  <si>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</si>
  <si>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</si>
  <si>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</si>
  <si>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</si>
  <si>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</si>
  <si>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</si>
  <si>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</si>
  <si>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</si>
  <si>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</si>
  <si>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</si>
  <si>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</si>
  <si>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</si>
  <si>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</si>
  <si>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</si>
  <si>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</si>
  <si>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</si>
  <si>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</si>
  <si>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</si>
  <si>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</si>
  <si>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</si>
  <si>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</si>
  <si>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</si>
  <si>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</si>
  <si>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</si>
  <si>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</si>
  <si>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</si>
  <si>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</si>
  <si>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</si>
  <si>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</si>
  <si>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</si>
  <si>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</si>
  <si>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</si>
  <si>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</si>
  <si>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</si>
  <si>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</si>
  <si>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</si>
  <si>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</si>
  <si>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</si>
  <si>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</si>
  <si>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</si>
  <si>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</si>
  <si>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</si>
  <si>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</si>
  <si>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</si>
  <si>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</si>
  <si>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</si>
  <si>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</si>
  <si>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</si>
  <si>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</si>
  <si>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</si>
  <si>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</si>
  <si>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</si>
  <si>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</si>
  <si>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</si>
  <si>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</si>
  <si>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</si>
  <si>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</si>
  <si>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</si>
  <si>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</si>
  <si>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</si>
  <si>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</si>
  <si>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</si>
  <si>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</si>
  <si>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</si>
  <si>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</si>
  <si>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</si>
  <si>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</si>
  <si>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</si>
  <si>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</si>
  <si>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</si>
  <si>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</si>
  <si>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</si>
  <si>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</si>
  <si>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</si>
  <si>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</si>
  <si>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</si>
  <si>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</si>
  <si>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</si>
  <si>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</si>
  <si>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</si>
  <si>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</si>
  <si>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</si>
  <si>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</si>
  <si>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</si>
  <si>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</si>
  <si>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</si>
  <si>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</si>
  <si>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</si>
  <si>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</si>
  <si>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</si>
  <si>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</si>
  <si>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</si>
  <si>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</si>
  <si>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</si>
  <si>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</si>
  <si>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</si>
  <si>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</si>
  <si>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</si>
  <si>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</si>
  <si>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</si>
  <si>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</si>
  <si>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</si>
  <si>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</si>
  <si>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</si>
  <si>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</si>
  <si>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</si>
  <si>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</si>
  <si>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</si>
  <si>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</si>
  <si>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</si>
  <si>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</si>
  <si>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</si>
  <si>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</si>
  <si>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</si>
  <si>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</si>
  <si>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</si>
  <si>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</si>
  <si>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</si>
  <si>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</si>
  <si>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</si>
  <si>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</si>
  <si>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</si>
  <si>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</si>
  <si>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</si>
  <si>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</si>
  <si>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</si>
  <si>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</si>
  <si>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</si>
  <si>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</si>
  <si>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</si>
  <si>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</si>
  <si>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</si>
  <si>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</si>
  <si>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</si>
  <si>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</si>
  <si>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</si>
  <si>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</si>
  <si>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</si>
  <si>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</si>
  <si>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</si>
  <si>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</si>
  <si>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</si>
  <si>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</si>
  <si>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</si>
  <si>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</si>
  <si>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</si>
  <si>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</si>
  <si>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</si>
  <si>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</si>
  <si>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0.20.11,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</si>
  <si>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</si>
  <si>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</si>
  <si>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</si>
  <si>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</si>
  <si>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</si>
  <si>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0.20.11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</si>
  <si>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</si>
  <si>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</si>
  <si>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</si>
  <si>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</si>
  <si>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</si>
  <si>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</si>
  <si>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</si>
  <si>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</si>
  <si>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</si>
  <si>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</si>
  <si>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</si>
  <si>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</si>
  <si>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</si>
  <si>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</si>
  <si>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</si>
  <si>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</si>
  <si>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</si>
  <si>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</si>
  <si>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</si>
  <si>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0.20.11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</si>
  <si>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</si>
  <si>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</si>
  <si>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</si>
  <si>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</si>
  <si>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</si>
  <si>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</si>
  <si>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</si>
  <si>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</si>
  <si>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</si>
  <si>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</si>
  <si>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</si>
  <si>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</si>
  <si>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</si>
  <si>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</si>
  <si>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</si>
  <si>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</si>
  <si>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</si>
  <si>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0.20.11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</si>
  <si>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</si>
  <si>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</si>
  <si>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</si>
  <si>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</si>
  <si>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</si>
  <si>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</si>
  <si>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</si>
  <si>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</si>
  <si>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</si>
  <si>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</si>
  <si>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</si>
  <si>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</si>
  <si>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</si>
  <si>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</si>
  <si>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</si>
  <si>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</si>
  <si>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</si>
  <si>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</si>
  <si>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</si>
  <si>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</si>
  <si>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</si>
  <si>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</si>
  <si>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</si>
  <si>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</si>
  <si>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0.20.11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</si>
  <si>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</si>
  <si>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</si>
  <si>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</si>
  <si>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</si>
  <si>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</si>
  <si>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</si>
  <si>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</si>
  <si>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</si>
  <si>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</si>
  <si>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</si>
  <si>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</si>
  <si>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</si>
  <si>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</si>
  <si>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</si>
  <si>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</si>
  <si>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</si>
  <si>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</si>
  <si>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0.20.11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</si>
  <si>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</si>
  <si>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</si>
  <si>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</si>
  <si>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</si>
  <si>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</si>
  <si>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</si>
  <si>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</si>
  <si>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</si>
  <si>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</si>
  <si>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</si>
  <si>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</si>
  <si>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</si>
  <si>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0.20.11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</si>
  <si>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</si>
  <si>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</si>
  <si>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</si>
  <si>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</si>
  <si>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</si>
  <si>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</si>
  <si>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</si>
  <si>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</si>
  <si>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</si>
  <si>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</si>
  <si>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</si>
  <si>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</si>
  <si>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</si>
  <si>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</si>
  <si>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</si>
  <si>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</si>
  <si>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0.20.11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</si>
  <si>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</si>
  <si>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</si>
  <si>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</si>
  <si>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</si>
  <si>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</si>
  <si>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</si>
  <si>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</si>
  <si>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</si>
  <si>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</si>
  <si>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</si>
  <si>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</si>
  <si>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</si>
  <si>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</si>
  <si>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</si>
  <si>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</si>
  <si>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</si>
  <si>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</si>
  <si>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</si>
  <si>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</si>
  <si>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</si>
  <si>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</si>
  <si>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</si>
  <si>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0.20.11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</si>
  <si>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</si>
  <si>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</si>
  <si>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</si>
  <si>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</si>
  <si>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</si>
  <si>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</si>
  <si>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</si>
  <si>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</si>
  <si>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</si>
  <si>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</si>
  <si>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</si>
  <si>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</si>
  <si>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</si>
  <si>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</si>
  <si>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</si>
  <si>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</si>
  <si>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</si>
  <si>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</si>
  <si>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</si>
  <si>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</si>
  <si>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</si>
  <si>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</si>
  <si>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</si>
  <si>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</si>
  <si>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</si>
  <si>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</si>
  <si>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</si>
  <si>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</si>
  <si>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</si>
  <si>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</si>
  <si>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</si>
  <si>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</si>
  <si>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</si>
  <si>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</si>
  <si>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</si>
  <si>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</si>
  <si>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</si>
  <si>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</si>
  <si>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</si>
  <si>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</si>
  <si>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</si>
  <si>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0.20.11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</si>
  <si>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</si>
  <si>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</si>
  <si>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</si>
  <si>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</si>
  <si>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</si>
  <si>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</si>
  <si>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</si>
  <si>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</si>
  <si>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</si>
  <si>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</si>
  <si>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</si>
  <si>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</si>
  <si>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</si>
  <si>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</si>
  <si>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</si>
  <si>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</si>
  <si>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</si>
  <si>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</si>
  <si>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</si>
  <si>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</si>
  <si>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</si>
  <si>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</si>
  <si>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</si>
  <si>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</si>
  <si>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</si>
  <si>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</si>
  <si>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</si>
  <si>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</si>
  <si>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</si>
  <si>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</si>
  <si>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</si>
  <si>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</si>
  <si>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</si>
  <si>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</si>
  <si>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</si>
  <si>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</si>
  <si>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</si>
  <si>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</si>
  <si>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</si>
  <si>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</si>
  <si>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</si>
  <si>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</si>
  <si>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</si>
  <si>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</si>
  <si>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</si>
  <si>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</si>
  <si>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</si>
  <si>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</si>
  <si>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</si>
  <si>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</si>
  <si>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</si>
  <si>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</si>
  <si>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</si>
  <si>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</si>
  <si>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</si>
  <si>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</si>
  <si>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</si>
  <si>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</si>
  <si>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</si>
  <si>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</si>
  <si>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0.20.11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</si>
  <si>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</si>
  <si>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</si>
  <si>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</si>
  <si>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</si>
  <si>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</si>
  <si>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</si>
  <si>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</si>
  <si>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</si>
  <si>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</si>
  <si>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</si>
  <si>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</si>
  <si>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</si>
  <si>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</si>
  <si>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</si>
  <si>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</si>
  <si>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</si>
  <si>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</si>
  <si>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</si>
  <si>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</si>
  <si>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</si>
  <si>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</si>
  <si>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</si>
  <si>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</si>
  <si>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</si>
  <si>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</si>
  <si>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</si>
  <si>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</si>
  <si>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</si>
  <si>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</si>
  <si>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</si>
  <si>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</si>
  <si>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</si>
  <si>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</si>
  <si>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</si>
  <si>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</si>
  <si>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</si>
  <si>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</si>
  <si>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</si>
  <si>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</si>
  <si>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</si>
  <si>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</si>
  <si>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</si>
  <si>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</si>
  <si>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</si>
  <si>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</si>
  <si>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</si>
  <si>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</si>
  <si>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</si>
  <si>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</si>
  <si>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</si>
  <si>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</si>
  <si>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</si>
  <si>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0.20.11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</si>
  <si>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</si>
  <si>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</si>
  <si>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</si>
  <si>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</si>
  <si>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</si>
  <si>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</si>
  <si>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</si>
  <si>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</si>
  <si>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</si>
  <si>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</si>
  <si>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</si>
  <si>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</si>
  <si>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</si>
  <si>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</si>
  <si>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</si>
  <si>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</si>
  <si>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</si>
  <si>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</si>
  <si>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</si>
  <si>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</si>
  <si>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</si>
  <si>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</si>
  <si>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</si>
  <si>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</si>
  <si>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</si>
  <si>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</si>
  <si>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</si>
  <si>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</si>
  <si>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</si>
  <si>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</si>
  <si>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</si>
  <si>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</si>
  <si>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</si>
  <si>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</si>
  <si>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</si>
  <si>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</si>
  <si>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</si>
  <si>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</si>
  <si>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</si>
  <si>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</si>
  <si>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</si>
  <si>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</si>
  <si>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</si>
  <si>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</si>
  <si>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</si>
  <si>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</si>
  <si>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</si>
  <si>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</si>
  <si>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</si>
  <si>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</si>
  <si>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</si>
  <si>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</si>
  <si>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</si>
  <si>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</si>
  <si>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</si>
  <si>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</si>
  <si>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</si>
  <si>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</si>
  <si>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</si>
  <si>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</si>
  <si>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</si>
  <si>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</si>
  <si>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</si>
  <si>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</si>
  <si>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</si>
  <si>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</si>
  <si>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</si>
  <si>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</si>
  <si>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0.20.11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</si>
  <si>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</si>
  <si>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</si>
  <si>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</si>
  <si>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0.20.11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</si>
  <si>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</si>
  <si>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</si>
  <si>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</si>
  <si>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</si>
  <si>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</si>
  <si>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</si>
  <si>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</si>
  <si>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</si>
  <si>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size, variant, Content inset, and responsive visual-layout recipes plus Atom state/orientation/composition props and refs type-check.</t>
  </si>
  <si>
    <t xml:space="preserve">../test/types/components/tabs.test.ts</t>
  </si>
  <si>
    <t xml:space="preserve">TB-05</t>
  </si>
  <si>
    <t xml:space="preserve">Static CSS ships semantic orientation, responsive stacked/side visual layouts, Content inset recipes, variants, states, overflow, RTL, and forced-color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</si>
  <si>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</si>
  <si>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</si>
  <si>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</si>
  <si>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</si>
  <si>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</si>
  <si>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</si>
  <si>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</si>
  <si>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</si>
  <si>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</si>
  <si>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</si>
  <si>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</si>
  <si>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</si>
  <si>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</si>
  <si>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</si>
  <si>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</si>
  <si>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Semantic orientation controls arrow behavior; responsive layout changes only the List/Content relationship; fullWidth distributes horizontal triggers equally.</t>
  </si>
  <si>
    <t xml:space="preserve">tests/components/tabs/behavior.spec.ts; ../test/components/tabs/tabs.test.tsx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</si>
  <si>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</si>
  <si>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</si>
  <si>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</si>
  <si>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tests/components/tabs/behavior.spec.ts; tests/components/tabs/visual.spec.ts</t>
  </si>
  <si>
    <t xml:space="preserve">TB-11</t>
  </si>
  <si>
    <t xml:space="preserve">Activation</t>
  </si>
  <si>
    <t xml:space="preserve">Root/List/Trigger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</si>
  <si>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</si>
  <si>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</si>
  <si>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</si>
  <si>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focusable, and none/sm/md/lg inset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</si>
  <si>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</si>
  <si>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</si>
  <si>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</si>
  <si>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</si>
  <si>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</si>
  <si>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</si>
  <si>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</si>
  <si>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</si>
  <si>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Root/List/Content</t>
  </si>
  <si>
    <t xml:space="preserve">Constrained horizontal lists scroll; responsive stacked/side layout keeps vertical aria-orientation and Arrow Down behavior unchanged.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</si>
  <si>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</si>
  <si>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</si>
  <si>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</si>
  <si>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</si>
  <si>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</si>
  <si>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</si>
  <si>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</si>
  <si>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</si>
  <si>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</si>
  <si>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</si>
  <si>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</si>
  <si>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</si>
  <si>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Content inset, responsive visual layout, semantic orientation, accessibility, composition, CSS, and evidence are documented.</t>
  </si>
  <si>
    <t xml:space="preserve">../docs/components/tabs/README.md; ../src/components/tabs/agent.md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</si>
  <si>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</si>
  <si>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</si>
  <si>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</si>
  <si>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</si>
  <si>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</si>
  <si>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</si>
  <si>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consumers, configured browsers, responsive layout, docs, and exact Atom dependency pass.</t>
  </si>
  <si>
    <t xml:space="preserve">../scripts/verify-package.mjs; ../scripts/verify-consumers.mjs; tests/components/tabs/behavior.spec.ts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</si>
  <si>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</si>
  <si>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</si>
  <si>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</si>
  <si>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</si>
  <si>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</si>
  <si>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</si>
  <si>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</si>
  <si>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</si>
  <si>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</si>
  <si>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</si>
  <si>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</si>
  <si>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</si>
  <si>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</si>
  <si>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</si>
  <si>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</si>
  <si>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</si>
  <si>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</si>
  <si>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</si>
  <si>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</si>
  <si>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</si>
  <si>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</si>
  <si>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</si>
  <si>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</si>
  <si>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</si>
  <si>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</si>
  <si>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</si>
  <si>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</si>
  <si>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</si>
  <si>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</si>
  <si>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</si>
  <si>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</si>
  <si>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</si>
  <si>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</si>
  <si>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</si>
  <si>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</si>
  <si>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</si>
  <si>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</si>
  <si>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</si>
  <si>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</si>
  <si>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</si>
  <si>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</si>
  <si>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</si>
  <si>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</si>
  <si>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</si>
  <si>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</si>
  <si>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</si>
  <si>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</si>
  <si>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</si>
  <si>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</si>
  <si>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</si>
  <si>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</si>
  <si>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</si>
  <si>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</si>
  <si>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</si>
  <si>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</si>
  <si>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</si>
  <si>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</si>
  <si>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</si>
  <si>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</si>
  <si>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</si>
  <si>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</si>
  <si>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</si>
  <si>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</si>
  <si>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</si>
  <si>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</si>
  <si>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</si>
  <si>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</si>
  <si>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</si>
  <si>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0.20.11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</si>
  <si>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</si>
  <si>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</si>
  <si>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</si>
  <si>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</si>
  <si>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</si>
  <si>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</si>
  <si>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</si>
  <si>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</si>
  <si>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</si>
  <si>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</si>
  <si>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</si>
  <si>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</si>
  <si>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</si>
  <si>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</si>
  <si>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</si>
  <si>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</si>
  <si>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</si>
  <si>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</si>
  <si>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</si>
  <si>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</si>
  <si>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</si>
  <si>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</si>
  <si>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</si>
  <si>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</si>
  <si>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</si>
  <si>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</si>
  <si>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</si>
  <si>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</si>
  <si>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</si>
  <si>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</si>
  <si>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</si>
  <si>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</si>
  <si>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</si>
  <si>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</si>
  <si>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</si>
  <si>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</si>
  <si>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</si>
  <si>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</si>
  <si>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</si>
  <si>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</si>
  <si>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</si>
  <si>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</si>
  <si>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</si>
  <si>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</si>
  <si>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</si>
  <si>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</si>
  <si>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</si>
  <si>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</si>
  <si>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</si>
  <si>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</si>
  <si>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</si>
  <si>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</si>
  <si>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</si>
  <si>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</si>
  <si>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</si>
  <si>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</si>
  <si>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</si>
  <si>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</si>
  <si>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</si>
  <si>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</si>
  <si>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</si>
  <si>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Source-backed usage, anatomy, API, recipes, accessibility, responsive behavior, composition, CSS, customization, and evidence are documented.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</si>
  <si>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</si>
  <si>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</si>
  <si>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</si>
  <si>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</si>
  <si>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</si>
  <si>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</si>
  <si>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</si>
  <si>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Build, exports, SSR, tarball, CSS, React 18/19, Consumer, configured browsers, docs, and exact Atom dependency pass.</t>
  </si>
  <si>
    <t xml:space="preserve">Context Menu Evidence</t>
  </si>
  <si>
    <t xml:space="preserve">CM-01</t>
  </si>
  <si>
    <t xml:space="preserve">Brick styles released Atom 0.20.11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</si>
  <si>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</si>
  <si>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</si>
  <si>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</si>
  <si>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</si>
  <si>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</si>
  <si>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</si>
  <si>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</si>
  <si>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</si>
  <si>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</si>
  <si>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</si>
  <si>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</si>
  <si>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</si>
  <si>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</si>
  <si>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</si>
  <si>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</si>
  <si>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</si>
  <si>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</si>
  <si>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</si>
  <si>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</si>
  <si>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</si>
  <si>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</si>
  <si>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</si>
  <si>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</si>
  <si>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</si>
  <si>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</si>
  <si>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</si>
  <si>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</si>
  <si>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</si>
  <si>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</si>
  <si>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</si>
  <si>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</si>
  <si>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</si>
  <si>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</si>
  <si>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</si>
  <si>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</si>
  <si>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</si>
  <si>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</si>
  <si>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</si>
  <si>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</si>
  <si>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</si>
  <si>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</si>
  <si>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</si>
  <si>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</si>
  <si>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</si>
  <si>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</si>
  <si>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</si>
  <si>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</si>
  <si>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</si>
  <si>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</si>
  <si>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</si>
  <si>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</si>
  <si>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</si>
  <si>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</si>
  <si>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</si>
  <si>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</si>
  <si>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</si>
  <si>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0.20.11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</si>
  <si>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</si>
  <si>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</si>
  <si>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</si>
  <si>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</si>
  <si>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</si>
  <si>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</si>
  <si>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</si>
  <si>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</si>
  <si>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</si>
  <si>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</si>
  <si>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</si>
  <si>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</si>
  <si>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</si>
  <si>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</si>
  <si>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</si>
  <si>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</si>
  <si>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</si>
  <si>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</si>
  <si>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</si>
  <si>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</si>
  <si>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</si>
  <si>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</si>
  <si>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</si>
  <si>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</si>
  <si>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</si>
  <si>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</si>
  <si>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</si>
  <si>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</si>
  <si>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</si>
  <si>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</si>
  <si>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</si>
  <si>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</si>
  <si>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</si>
  <si>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</si>
  <si>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</si>
  <si>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</si>
  <si>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</si>
  <si>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</si>
  <si>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</si>
  <si>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</si>
  <si>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</si>
  <si>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</si>
  <si>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</si>
  <si>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0.20.11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</si>
  <si>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</si>
  <si>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</si>
  <si>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All parts including IndicatorArrow</t>
  </si>
  <si>
    <t xml:space="preserve">The public namespace preserves every adopted host, semantic relationship, native prop, ref, and composition boundary; Indicator supplies the decorative IndicatorArrow only when no custom child is authored.</t>
  </si>
  <si>
    <t xml:space="preserve">../test/components/navigation-menu/navigation-menu.test.tsx</t>
  </si>
  <si>
    <t xml:space="preserve">NM-03</t>
  </si>
  <si>
    <t xml:space="preserve">NavigationMenu/IndicatorArrow</t>
  </si>
  <si>
    <t xml:space="preserve">Root and component subpath expose the namespace, named parts including IndicatorArrow, and public types with identical runtime identities.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</si>
  <si>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</si>
  <si>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</si>
  <si>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</si>
  <si>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</si>
  <si>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</si>
  <si>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</si>
  <si>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</si>
  <si>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</si>
  <si>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</si>
  <si>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</si>
  <si>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</si>
  <si>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</si>
  <si>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</si>
  <si>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</si>
  <si>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</si>
  <si>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</si>
  <si>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</si>
  <si>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Root/List/IndicatorArrow</t>
  </si>
  <si>
    <t xml:space="preserve">Horizontal and vertical orientation change layout and keyboard axis together while the IndicatorArrow connects the active trigger to the Viewport on the logical side.</t>
  </si>
  <si>
    <t xml:space="preserve">NM-10</t>
  </si>
  <si>
    <t xml:space="preserve">Viewport</t>
  </si>
  <si>
    <t xml:space="preserve">Content/Viewport/Indicator/IndicatorArrow</t>
  </si>
  <si>
    <t xml:space="preserve">Measured rich content, the surface-matched IndicatorArrow, and Viewport geometry follow Atom state and trigger measurements.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</si>
  <si>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</si>
  <si>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</si>
  <si>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</si>
  <si>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</si>
  <si>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</si>
  <si>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</si>
  <si>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</si>
  <si>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</si>
  <si>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</si>
  <si>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Reviewed baselines cover defaults, compact chevrons, the one-pixel current underline, the open IndicatorArrow connector, recipes, states, dark appearance, mobile RTL, and forced colors.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</si>
  <si>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</si>
  <si>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</si>
  <si>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</si>
  <si>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</si>
  <si>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</si>
  <si>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</si>
  <si>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</si>
  <si>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</si>
  <si>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</si>
  <si>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</si>
  <si>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</si>
  <si>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</si>
  <si>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0.20.11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</si>
  <si>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</si>
  <si>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</si>
  <si>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</si>
  <si>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</si>
  <si>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</si>
  <si>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</si>
  <si>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</si>
  <si>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</si>
  <si>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</si>
  <si>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</si>
  <si>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</si>
  <si>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</si>
  <si>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</si>
  <si>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</si>
  <si>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</si>
  <si>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</si>
  <si>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</si>
  <si>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</si>
  <si>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</si>
  <si>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</si>
  <si>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</si>
  <si>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</si>
  <si>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</si>
  <si>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</si>
  <si>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</si>
  <si>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</si>
  <si>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</si>
  <si>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</si>
  <si>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</si>
  <si>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</si>
  <si>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</si>
  <si>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</si>
  <si>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</si>
  <si>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</si>
  <si>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</si>
  <si>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</si>
  <si>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</si>
  <si>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</si>
  <si>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</si>
  <si>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</si>
  <si>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</si>
  <si>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</si>
  <si>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</si>
  <si>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</si>
  <si>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</si>
  <si>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</si>
  <si>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</si>
  <si>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</si>
  <si>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</si>
  <si>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</si>
  <si>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</si>
  <si>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</si>
  <si>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</si>
  <si>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</si>
  <si>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</si>
  <si>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</si>
  <si>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</si>
  <si>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</si>
  <si>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</si>
  <si>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</si>
  <si>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</si>
  <si>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</si>
  <si>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</si>
  <si>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</si>
  <si>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</si>
  <si>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</si>
  <si>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</si>
  <si>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</si>
  <si>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</si>
  <si>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</si>
  <si>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</si>
  <si>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</si>
  <si>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</si>
  <si>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</si>
  <si>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</si>
  <si>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</si>
  <si>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</si>
  <si>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</si>
  <si>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0.20.11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</si>
  <si>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</si>
  <si>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</si>
  <si>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</si>
  <si>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0.20.11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</si>
  <si>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</si>
  <si>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</si>
  <si>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</si>
  <si>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</si>
  <si>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</si>
  <si>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</si>
  <si>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</si>
  <si>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</si>
  <si>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</si>
  <si>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</si>
  <si>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</si>
  <si>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</si>
  <si>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</si>
  <si>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</si>
  <si>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</si>
  <si>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</si>
  <si>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</si>
  <si>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</si>
  <si>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</si>
  <si>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</si>
  <si>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</si>
  <si>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</si>
  <si>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</si>
  <si>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</si>
  <si>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</si>
  <si>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</si>
  <si>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</si>
  <si>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</si>
  <si>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</si>
  <si>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</si>
  <si>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</si>
  <si>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</si>
  <si>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</si>
  <si>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</si>
  <si>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</si>
  <si>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</si>
  <si>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</si>
  <si>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</si>
  <si>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</si>
  <si>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</si>
  <si>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</si>
  <si>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</si>
  <si>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</si>
  <si>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</si>
  <si>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</si>
  <si>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</si>
  <si>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</si>
  <si>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</si>
  <si>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</si>
  <si>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</si>
  <si>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</si>
  <si>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</si>
  <si>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0.20.11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</si>
  <si>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</si>
  <si>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</si>
  <si>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</si>
  <si>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</si>
  <si>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</si>
  <si>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</si>
  <si>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</si>
  <si>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</si>
  <si>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</si>
  <si>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</si>
  <si>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</si>
  <si>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</si>
  <si>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</si>
  <si>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</si>
  <si>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</si>
  <si>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</si>
  <si>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</si>
  <si>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</si>
  <si>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</si>
  <si>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</si>
  <si>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</si>
  <si>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</si>
  <si>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</si>
  <si>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</si>
  <si>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</si>
  <si>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</si>
  <si>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</si>
  <si>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</si>
  <si>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</si>
  <si>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</si>
  <si>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</si>
  <si>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</si>
  <si>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</si>
  <si>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</si>
  <si>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</si>
  <si>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</si>
  <si>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</si>
  <si>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</si>
  <si>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</si>
  <si>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</si>
  <si>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</si>
  <si>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</si>
  <si>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</si>
  <si>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</si>
  <si>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</si>
  <si>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</si>
  <si>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</si>
  <si>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</si>
  <si>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</si>
  <si>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</si>
  <si>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</si>
  <si>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</si>
  <si>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</si>
  <si>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</si>
  <si>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</si>
  <si>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</si>
  <si>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</si>
  <si>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</si>
  <si>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</si>
  <si>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</si>
  <si>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</si>
  <si>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</si>
  <si>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</si>
  <si>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</si>
  <si>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</si>
  <si>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</si>
  <si>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</si>
  <si>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0.20.11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</si>
  <si>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</si>
  <si>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</si>
  <si>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</si>
  <si>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</si>
  <si>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</si>
  <si>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</si>
  <si>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</si>
  <si>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</si>
  <si>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</si>
  <si>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</si>
  <si>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</si>
  <si>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</si>
  <si>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</si>
  <si>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</si>
  <si>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</si>
  <si>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</si>
  <si>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</si>
  <si>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</si>
  <si>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</si>
  <si>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</si>
  <si>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</si>
  <si>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</si>
  <si>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</si>
  <si>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</si>
  <si>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</si>
  <si>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</si>
  <si>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</si>
  <si>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</si>
  <si>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</si>
  <si>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</si>
  <si>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</si>
  <si>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</si>
  <si>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</si>
  <si>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</si>
  <si>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</si>
  <si>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</si>
  <si>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</si>
  <si>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</si>
  <si>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</si>
  <si>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</si>
  <si>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</si>
  <si>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</si>
  <si>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</si>
  <si>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</si>
  <si>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</si>
  <si>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</si>
  <si>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</si>
  <si>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</si>
  <si>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</si>
  <si>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</si>
  <si>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</si>
  <si>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</si>
  <si>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</si>
  <si>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</si>
  <si>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</si>
  <si>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</si>
  <si>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</si>
  <si>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</si>
  <si>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</si>
  <si>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</si>
  <si>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</si>
  <si>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</si>
  <si>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</si>
  <si>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</si>
  <si>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</si>
  <si>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</si>
  <si>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</si>
  <si>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</si>
  <si>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</si>
  <si>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</si>
  <si>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</si>
  <si>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</si>
  <si>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</si>
  <si>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</si>
  <si>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0.20.11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</si>
  <si>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</si>
  <si>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</si>
  <si>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</si>
  <si>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</si>
  <si>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</si>
  <si>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</si>
  <si>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</si>
  <si>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</si>
  <si>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</si>
  <si>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</si>
  <si>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</si>
  <si>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</si>
  <si>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</si>
  <si>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</si>
  <si>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</si>
  <si>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</si>
  <si>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</si>
  <si>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</si>
  <si>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</si>
  <si>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</si>
  <si>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</si>
  <si>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</si>
  <si>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</si>
  <si>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</si>
  <si>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</si>
  <si>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</si>
  <si>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</si>
  <si>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</si>
  <si>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</si>
  <si>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</si>
  <si>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</si>
  <si>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</si>
  <si>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</si>
  <si>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</si>
  <si>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</si>
  <si>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</si>
  <si>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</si>
  <si>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</si>
  <si>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</si>
  <si>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</si>
  <si>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</si>
  <si>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</si>
  <si>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</si>
  <si>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</si>
  <si>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</si>
  <si>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</si>
  <si>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</si>
  <si>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</si>
  <si>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</si>
  <si>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</si>
  <si>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</si>
  <si>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</si>
  <si>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</si>
  <si>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</si>
  <si>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</si>
  <si>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</si>
  <si>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</si>
  <si>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</si>
  <si>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</si>
  <si>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</si>
  <si>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</si>
  <si>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</si>
  <si>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</si>
  <si>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</si>
  <si>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</si>
  <si>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</si>
  <si>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</si>
  <si>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</si>
  <si>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</si>
  <si>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</si>
  <si>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</si>
  <si>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</si>
  <si>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</si>
  <si>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</si>
  <si>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</si>
  <si>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</si>
  <si>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</si>
  <si>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</si>
  <si>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</si>
  <si>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</si>
  <si>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</si>
  <si>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</si>
  <si>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</si>
  <si>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</si>
  <si>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</si>
  <si>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</si>
  <si>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</si>
  <si>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</si>
  <si>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</si>
  <si>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</si>
  <si>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</si>
  <si>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</si>
  <si>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</si>
  <si>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</si>
  <si>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</si>
  <si>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</si>
  <si>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</si>
  <si>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</si>
  <si>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</si>
  <si>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</si>
  <si>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</si>
  <si>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</si>
  <si>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</si>
  <si>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</si>
  <si>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</si>
  <si>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</si>
  <si>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0.20.11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</si>
  <si>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</si>
  <si>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</si>
  <si>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</si>
  <si>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0.20.11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</si>
  <si>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</si>
  <si>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</si>
  <si>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</si>
  <si>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</si>
  <si>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</si>
  <si>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</si>
  <si>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</si>
  <si>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</si>
  <si>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</si>
  <si>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</si>
  <si>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</si>
  <si>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</si>
  <si>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</si>
  <si>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</si>
  <si>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</si>
  <si>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</si>
  <si>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</si>
  <si>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</si>
  <si>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</si>
  <si>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</si>
  <si>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</si>
  <si>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</si>
  <si>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</si>
  <si>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</si>
  <si>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</si>
  <si>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</si>
  <si>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</si>
  <si>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</si>
  <si>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</si>
  <si>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</si>
  <si>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</si>
  <si>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</si>
  <si>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</si>
  <si>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</si>
  <si>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</si>
  <si>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</si>
  <si>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</si>
  <si>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</si>
  <si>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</si>
  <si>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</si>
  <si>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</si>
  <si>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</si>
  <si>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</si>
  <si>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</si>
  <si>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</si>
  <si>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</si>
  <si>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</si>
  <si>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</si>
  <si>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</si>
  <si>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0.20.11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</si>
  <si>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</si>
  <si>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</si>
  <si>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</si>
  <si>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</si>
  <si>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</si>
  <si>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</si>
  <si>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</si>
  <si>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</si>
  <si>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</si>
  <si>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</si>
  <si>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</si>
  <si>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</si>
  <si>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</si>
  <si>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</si>
  <si>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</si>
  <si>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</si>
  <si>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</si>
  <si>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</si>
  <si>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</si>
  <si>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</si>
  <si>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</si>
  <si>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</si>
  <si>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</si>
  <si>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</si>
  <si>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</si>
  <si>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</si>
  <si>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</si>
  <si>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</si>
  <si>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</si>
  <si>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</si>
  <si>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</si>
  <si>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</si>
  <si>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</si>
  <si>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</si>
  <si>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</si>
  <si>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</si>
  <si>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</si>
  <si>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</si>
  <si>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</si>
  <si>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</si>
  <si>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</si>
  <si>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</si>
  <si>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</si>
  <si>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</si>
  <si>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</si>
  <si>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</si>
  <si>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</si>
  <si>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</si>
  <si>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</si>
  <si>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</si>
  <si>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</si>
  <si>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</si>
  <si>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</si>
  <si>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</si>
  <si>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</si>
  <si>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</si>
  <si>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</si>
  <si>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</si>
  <si>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</si>
  <si>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</si>
  <si>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</si>
  <si>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</si>
  <si>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</si>
  <si>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</si>
  <si>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</si>
  <si>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</si>
  <si>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</si>
  <si>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</si>
  <si>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</si>
  <si>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</si>
  <si>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</si>
  <si>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</si>
  <si>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</si>
  <si>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</si>
  <si>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</si>
  <si>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</si>
  <si>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</si>
  <si>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</si>
  <si>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0.20.11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</si>
  <si>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</si>
  <si>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</si>
  <si>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</si>
  <si>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</si>
  <si>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</si>
  <si>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</si>
  <si>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</si>
  <si>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</si>
  <si>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</si>
  <si>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</si>
  <si>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</si>
  <si>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</si>
  <si>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</si>
  <si>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</si>
  <si>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</si>
  <si>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</si>
  <si>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</si>
  <si>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</si>
  <si>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</si>
  <si>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</si>
  <si>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</si>
  <si>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</si>
  <si>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</si>
  <si>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</si>
  <si>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</si>
  <si>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</si>
  <si>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</si>
  <si>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</si>
  <si>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</si>
  <si>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</si>
  <si>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</si>
  <si>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</si>
  <si>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</si>
  <si>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</si>
  <si>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</si>
  <si>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</si>
  <si>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</si>
  <si>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</si>
  <si>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</si>
  <si>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</si>
  <si>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</si>
  <si>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</si>
  <si>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</si>
  <si>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</si>
  <si>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</si>
  <si>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</si>
  <si>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</si>
  <si>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</si>
  <si>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</si>
  <si>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</si>
  <si>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</si>
  <si>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</si>
  <si>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</si>
  <si>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</si>
  <si>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</si>
  <si>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</si>
  <si>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</si>
  <si>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</si>
  <si>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</si>
  <si>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</si>
  <si>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</si>
  <si>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</si>
  <si>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</si>
  <si>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</si>
  <si>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</si>
  <si>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</si>
  <si>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</si>
  <si>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</si>
  <si>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</si>
  <si>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</si>
  <si>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</si>
  <si>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</si>
  <si>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</si>
  <si>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0.20.11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</si>
  <si>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</si>
  <si>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</si>
  <si>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</si>
  <si>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</si>
  <si>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</si>
  <si>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</si>
  <si>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</si>
  <si>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</si>
  <si>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</si>
  <si>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</si>
  <si>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</si>
  <si>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</si>
  <si>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</si>
  <si>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</si>
  <si>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</si>
  <si>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</si>
  <si>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</si>
  <si>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</si>
  <si>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0.20.11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</si>
  <si>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</si>
  <si>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</si>
  <si>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</si>
  <si>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</si>
  <si>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</si>
  <si>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</si>
  <si>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</si>
  <si>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</si>
  <si>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</si>
  <si>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</si>
  <si>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</si>
  <si>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</si>
  <si>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</si>
  <si>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</si>
  <si>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</si>
  <si>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</si>
  <si>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</si>
  <si>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</si>
  <si>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</si>
  <si>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</si>
  <si>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</si>
  <si>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</si>
  <si>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</si>
  <si>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</si>
  <si>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</si>
  <si>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</si>
  <si>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</si>
  <si>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</si>
  <si>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</si>
  <si>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</si>
  <si>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</si>
  <si>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</si>
  <si>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</si>
  <si>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</si>
  <si>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</si>
  <si>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</si>
  <si>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</si>
  <si>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</si>
  <si>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</si>
  <si>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</si>
  <si>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</si>
  <si>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</si>
  <si>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</si>
  <si>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</si>
  <si>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</si>
  <si>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</si>
  <si>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</si>
  <si>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0.20.11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</si>
  <si>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</si>
  <si>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</si>
  <si>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</si>
  <si>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</si>
  <si>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</si>
  <si>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</si>
  <si>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</si>
  <si>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</si>
  <si>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</si>
  <si>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</si>
  <si>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</si>
  <si>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</si>
  <si>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</si>
  <si>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</si>
  <si>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</si>
  <si>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</si>
  <si>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</si>
  <si>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</si>
  <si>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</si>
  <si>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</si>
  <si>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</si>
  <si>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</si>
  <si>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</si>
  <si>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</si>
  <si>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</si>
  <si>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</si>
  <si>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</si>
  <si>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</si>
  <si>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</si>
  <si>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</si>
  <si>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</si>
  <si>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</si>
  <si>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</si>
  <si>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</si>
  <si>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</si>
  <si>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</si>
  <si>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</si>
  <si>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</si>
  <si>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</si>
  <si>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</si>
  <si>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</si>
  <si>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</si>
  <si>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</si>
  <si>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</si>
  <si>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</si>
  <si>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</si>
  <si>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</si>
  <si>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</si>
  <si>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</si>
  <si>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</si>
  <si>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</si>
  <si>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</si>
  <si>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</si>
  <si>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</si>
  <si>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</si>
  <si>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</si>
  <si>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</si>
  <si>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</si>
  <si>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</si>
  <si>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</si>
  <si>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</si>
  <si>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</si>
  <si>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</si>
  <si>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</si>
  <si>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</si>
  <si>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</si>
  <si>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Feed Evidence</t>
  </si>
  <si>
    <t xml:space="preserve">Assertion-level Atom ownership, direct anatomy, dynamic positions, keyboard focus, recipes, accessibility, package, Consumer, playground, visual, and manual evidence.</t>
  </si>
  <si>
    <t xml:space="preserve">FD-01</t>
  </si>
  <si>
    <t xml:space="preserve">Atom ownership</t>
  </si>
  <si>
    <t xml:space="preserve">Brick styles and forwards the released Atom Feed contract; Atom 0.20.11 owns roles, dynamic metadata, Page Up/Down movement, focus handoff, and the nearest-item reveal correction.</t>
  </si>
  <si>
    <t xml:space="preserve">../src/components/feed/Feed.tsx; @flowstack-ui/atom 0.19.8</t>
  </si>
  <si>
    <t xml:space="preserve">Released Atom package and Brick adapter audit pass.</t>
  </si>
  <si>
    <t xml:space="preserve">FD-02</t>
  </si>
  <si>
    <t xml:space="preserve">The public namespace contains exactly Root and Item, with no Brick-owned loading, list, virtualizer, selection, or item-content schema.</t>
  </si>
  <si>
    <t xml:space="preserve">../test/components/feed/feed.test.tsx; ../docs/components/feed/README.md</t>
  </si>
  <si>
    <t xml:space="preserve">Closed namespace and exclusion assertions pass.</t>
  </si>
  <si>
    <t xml:space="preserve">FD-03</t>
  </si>
  <si>
    <t xml:space="preserve">Root directly contains focusable Item article hosts without a Brick wrapper, cloned child, or invented internal content element.</t>
  </si>
  <si>
    <t xml:space="preserve">../test/components/feed/feed.test.tsx; tests/components/feed/behavior.spec.ts</t>
  </si>
  <si>
    <t xml:space="preserve">Direct-child and rendered anatomy assertions pass.</t>
  </si>
  <si>
    <t xml:space="preserve">FD-04</t>
  </si>
  <si>
    <t xml:space="preserve">Root semantics</t>
  </si>
  <si>
    <t xml:space="preserve">The native div exposes role feed, accessible naming, aria-busy only while busy, and an optional known or unknown set size without inventing live-region behavior.</t>
  </si>
  <si>
    <t xml:space="preserve">tests/components/feed/behavior.spec.ts; @flowstack-ui/atom 0.19.8 behavior suite</t>
  </si>
  <si>
    <t xml:space="preserve">Semantic and dynamic metadata assertions pass in five projects.</t>
  </si>
  <si>
    <t xml:space="preserve">FD-05</t>
  </si>
  <si>
    <t xml:space="preserve">Item semantics</t>
  </si>
  <si>
    <t xml:space="preserve">Each direct article is programmatically named, receives a one-based position and optional known set size, remains focusable, and preserves nested interactive descendants.</t>
  </si>
  <si>
    <t xml:space="preserve">Article relationships and descendant-interaction assertions pass.</t>
  </si>
  <si>
    <t xml:space="preserve">FD-06</t>
  </si>
  <si>
    <t xml:space="preserve">Dynamic positions</t>
  </si>
  <si>
    <t xml:space="preserve">Application-owned prepend, append, remove, busy, known-size, and unknown-size updates keep every surviving Item position and Root size coherent.</t>
  </si>
  <si>
    <t xml:space="preserve">tests/components/feed/behavior.spec.ts</t>
  </si>
  <si>
    <t xml:space="preserve">Mutation and metadata assertions pass in all configured projects.</t>
  </si>
  <si>
    <t xml:space="preserve">FD-07</t>
  </si>
  <si>
    <t xml:space="preserve">Page Down and Page Up move between adjacent Item articles only while an Item or its descendant is the event target.</t>
  </si>
  <si>
    <t xml:space="preserve">Forward, backward, and descendant-origin movement assertions pass.</t>
  </si>
  <si>
    <t xml:space="preserve">FD-08</t>
  </si>
  <si>
    <t xml:space="preserve">Focus boundary</t>
  </si>
  <si>
    <t xml:space="preserve">Movement beyond the first or last Item transfers focus to the nearest focusable control outside the Feed instead of trapping focus.</t>
  </si>
  <si>
    <t xml:space="preserve">Before-feed and after-feed focus handoff assertions pass.</t>
  </si>
  <si>
    <t xml:space="preserve">FD-09</t>
  </si>
  <si>
    <t xml:space="preserve">Reveal</t>
  </si>
  <si>
    <t xml:space="preserve">Keyboard movement focuses the destination Item and scrolls it into the nearest visible position inside a bounded Scroll Area.</t>
  </si>
  <si>
    <t xml:space="preserve">Offscreen destination reveal passes in Chromium, Firefox, and WebKit.</t>
  </si>
  <si>
    <t xml:space="preserve">FD-10</t>
  </si>
  <si>
    <t xml:space="preserve">Event ownership</t>
  </si>
  <si>
    <t xml:space="preserve">A consumer onKeyDown handler can prevent the Atom Page-key movement before the default focus change occurs.</t>
  </si>
  <si>
    <t xml:space="preserve">Consumer prevention assertion passes in five projects.</t>
  </si>
  <si>
    <t xml:space="preserve">FD-11</t>
  </si>
  <si>
    <t xml:space="preserve">Root and feed subpath exports expose Feed, FeedRootProps, FeedItemProps, FeedVariant, and FeedDensity with identical runtime identity.</t>
  </si>
  <si>
    <t xml:space="preserve">../test/package/package.test.mjs; ../package.json</t>
  </si>
  <si>
    <t xml:space="preserve">Root, subpath, declaration, and clean-consumer export checks pass.</t>
  </si>
  <si>
    <t xml:space="preserve">FD-12</t>
  </si>
  <si>
    <t xml:space="preserve">Atom Root and Item props, refs, render/asChild composition, native events, aria/data attributes, closed variant and density recipes, className, and style type-check.</t>
  </si>
  <si>
    <t xml:space="preserve">../test/types/components/feed.test.ts</t>
  </si>
  <si>
    <t xml:space="preserve">Positive and negative public-surface type checks pass.</t>
  </si>
  <si>
    <t xml:space="preserve">FD-13</t>
  </si>
  <si>
    <t xml:space="preserve">Feed imports server-safely and emits deterministic direct role feed and article anatomy without browser reads during render.</t>
  </si>
  <si>
    <t xml:space="preserve">SSR and clean React 18/19 consumer checks pass.</t>
  </si>
  <si>
    <t xml:space="preserve">FD-14</t>
  </si>
  <si>
    <t xml:space="preserve">Production CSS ships the documented variables, logical layout, divided separators, outline item boundaries, preference fallbacks, and no undeclared global selector.</t>
  </si>
  <si>
    <t xml:space="preserve">../src/components/feed/feed.css; ../scripts/build-styles.mjs</t>
  </si>
  <si>
    <t xml:space="preserve">Production CSS, prototype, package, and semantic documentation checks pass.</t>
  </si>
  <si>
    <t xml:space="preserve">FD-15</t>
  </si>
  <si>
    <t xml:space="preserve">Plain, divided, and outline recipes change only article separation and neutral surface treatment; each outline Item owns its rounded background and border.</t>
  </si>
  <si>
    <t xml:space="preserve">tests/components/feed/behavior.spec.ts; tests/components/feed/visual.spec.ts</t>
  </si>
  <si>
    <t xml:space="preserve">Recipe geometry and rounded containment baselines pass.</t>
  </si>
  <si>
    <t xml:space="preserve">FD-16</t>
  </si>
  <si>
    <t xml:space="preserve">Density</t>
  </si>
  <si>
    <t xml:space="preserve">Compact and comfortable recipes change only coordinated gaps and logical Item padding while preserving semantics and action geometry.</t>
  </si>
  <si>
    <t xml:space="preserve">Density comparison and baseline pass.</t>
  </si>
  <si>
    <t xml:space="preserve">FD-17</t>
  </si>
  <si>
    <t xml:space="preserve">Focus paint</t>
  </si>
  <si>
    <t xml:space="preserve">Item / descendants</t>
  </si>
  <si>
    <t xml:space="preserve">Focus-visible paint belongs only to the focused Item; focusing a nested link or button paints that descendant without adding an Item outline.</t>
  </si>
  <si>
    <t xml:space="preserve">Item and descendant focus baselines and computed-style assertions pass.</t>
  </si>
  <si>
    <t xml:space="preserve">FD-18</t>
  </si>
  <si>
    <t xml:space="preserve">Native composition</t>
  </si>
  <si>
    <t xml:space="preserve">Classes merge Brick first, public slots remain stable, and className, style, native events, aria/data attributes, children, refs, render, and asChild target the public hosts.</t>
  </si>
  <si>
    <t xml:space="preserve">Component and browser composition assertions pass.</t>
  </si>
  <si>
    <t xml:space="preserve">FD-19</t>
  </si>
  <si>
    <t xml:space="preserve">Rich content</t>
  </si>
  <si>
    <t xml:space="preserve">Item children</t>
  </si>
  <si>
    <t xml:space="preserve">Badges, headings, metadata, links, buttons, and arbitrary authored article content remain ordinary children and keep their own semantics and interaction.</t>
  </si>
  <si>
    <t xml:space="preserve">tests/components/feed/behavior.spec.ts; src/components/feed/FeedPage.tsx</t>
  </si>
  <si>
    <t xml:space="preserve">Nested-content interaction and accessibility assertions pass.</t>
  </si>
  <si>
    <t xml:space="preserve">FD-20</t>
  </si>
  <si>
    <t xml:space="preserve">Full-width and 320px-constrained streams wrap long localized headings, metadata, summaries, and actions without horizontal component overflow.</t>
  </si>
  <si>
    <t xml:space="preserve">Narrow containment passes in desktop and mobile projects.</t>
  </si>
  <si>
    <t xml:space="preserve">FD-21</t>
  </si>
  <si>
    <t xml:space="preserve">Logical padding, metadata, actions, separators, and outline radii visibly follow genuine Arabic page direction without reversing article order or introducing overflow.</t>
  </si>
  <si>
    <t xml:space="preserve">RTL direction, placement, and mobile baseline assertions pass.</t>
  </si>
  <si>
    <t xml:space="preserve">FD-22</t>
  </si>
  <si>
    <t xml:space="preserve">Appearance and preferences</t>
  </si>
  <si>
    <t xml:space="preserve">Separate light and dark scopes, forced colors, and reduced motion retain boundaries, focus visibility, readable content, and no color-only state distinction.</t>
  </si>
  <si>
    <t xml:space="preserve">Appearance and forced-color evidence passes.</t>
  </si>
  <si>
    <t xml:space="preserve">FD-23</t>
  </si>
  <si>
    <t xml:space="preserve">Documented Feed variables recolor backgrounds, borders, dividers, focus, radius, inset, and spacing while preserving rounded ownership and Atom behavior.</t>
  </si>
  <si>
    <t xml:space="preserve">../test/components/feed/feed.test.tsx; ../docs/components/feed/README.md; tests/components/feed/behavior.spec.ts</t>
  </si>
  <si>
    <t xml:space="preserve">Customization hooks and rounded-boundary assertions pass.</t>
  </si>
  <si>
    <t xml:space="preserve">FD-24</t>
  </si>
  <si>
    <t xml:space="preserve">Accessible Feed and Item names, direct article structure, dynamic positions, focus order, keyboard movement, descendant controls, forced-color focus, and focused axe checks pass.</t>
  </si>
  <si>
    <t xml:space="preserve">Semantic and axe assertions pass across the focused five-project matrix.</t>
  </si>
  <si>
    <t xml:space="preserve">FD-25</t>
  </si>
  <si>
    <t xml:space="preserve">One route exposes ten ordered, independently padded scenarios with compact badges, titles/descriptions, dynamic state, keyboard, appearance, customization, responsive, and genuine RTL evidence.</t>
  </si>
  <si>
    <t xml:space="preserve">src/components/feed/FeedPage.tsx; ../scripts/verify-component-tests.mjs</t>
  </si>
  <si>
    <t xml:space="preserve">Ownership, route, primitive, composition, and focused browser checks pass.</t>
  </si>
  <si>
    <t xml:space="preserve">FD-26</t>
  </si>
  <si>
    <t xml:space="preserve">Visual baselines</t>
  </si>
  <si>
    <t xml:space="preserve">Reviewed baselines cover defaults, variants, density, Item focus, descendant focus, busy state, appearance, customization, mobile RTL, and forced colors.</t>
  </si>
  <si>
    <t xml:space="preserve">tests/components/feed/visual.spec.ts; tests/components/feed/visual.spec.ts-snapshots</t>
  </si>
  <si>
    <t xml:space="preserve">Agent inspected all ten Feed-owned Chromium baselines on July 29, 2026.</t>
  </si>
  <si>
    <t xml:space="preserve">FD-27</t>
  </si>
  <si>
    <t xml:space="preserve">Public guide / changelog</t>
  </si>
  <si>
    <t xml:space="preserve">The guide documents role, exclusions, anatomy, API, dynamic metadata, keyboard/focus, constraints, recipes, accessibility, customization, refs, examples, and evidence; changelogs record the addition.</t>
  </si>
  <si>
    <t xml:space="preserve">../docs/components/feed/README.md; ../docs/components/feed/CHANGELOG.md; ../CHANGELOG.md</t>
  </si>
  <si>
    <t xml:space="preserve">Structural, semantic, index, and changelog verification passes.</t>
  </si>
  <si>
    <t xml:space="preserve">FD-28</t>
  </si>
  <si>
    <t xml:space="preserve">The packed Consumer imports Feed from its public subpath and composes a realistic application-owned activity stream with local item actions and append behavior.</t>
  </si>
  <si>
    <t xml:space="preserve">Desktop/mobile Consumer suite and packed artifact verification pass.</t>
  </si>
  <si>
    <t xml:space="preserve">FD-29</t>
  </si>
  <si>
    <t xml:space="preserve">A tester completes the numbered desktop/mobile, keyboard, scroll reveal, focus handoff, nested-action, dynamic-update, zoom, appearance, preferences, RTL, and assistive-technology protocol.</t>
  </si>
  <si>
    <t xml:space="preserve">human</t>
  </si>
  <si>
    <t xml:space="preserve">manual-tests/feed.md</t>
  </si>
  <si>
    <t xml:space="preserve">Human manual run intentionally remains the sole component gate.</t>
  </si>
  <si>
    <t xml:space="preserve">FD-30</t>
  </si>
  <si>
    <t xml:space="preserve">Build, declarations, exports, SSR, CSS, docs, tarball, exact Atom 0.20.11, clean React 18/19 consumers, focused five-project browsers, reviewed visuals, and packed Consumer pass.</t>
  </si>
  <si>
    <t xml:space="preserve">../scripts/verify-package.mjs; ../scripts/verify-consumers.mjs; ../scripts/verify-app-consumer.mjs</t>
  </si>
  <si>
    <t xml:space="preserve">Complete non-browser gate, 905-file pack check, 20 focused browser tests, 10 visual baselines, 90 Consumer tests, and packed verification pass.</t>
  </si>
  <si>
    <t xml:space="preserve">FD-31</t>
  </si>
  <si>
    <t xml:space="preserve">Fetching, loading triggers, infinite-scroll observation, virtualization, ranking, filtering, selection, unread state, timestamps, moderation, persistence, and whole-row links remain application-owned.</t>
  </si>
  <si>
    <t xml:space="preserve">../docs/components/feed/README.md</t>
  </si>
  <si>
    <t xml:space="preserve">Public boundary and exclusions are documented and verified.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</si>
  <si>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</si>
  <si>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</si>
  <si>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</si>
  <si>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0.20.11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</si>
  <si>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</si>
  <si>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</si>
  <si>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</si>
  <si>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</si>
  <si>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</si>
  <si>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</si>
  <si>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</si>
  <si>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</si>
  <si>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</si>
  <si>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</si>
  <si>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</si>
  <si>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</si>
  <si>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</si>
  <si>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</si>
  <si>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</si>
  <si>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</si>
  <si>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</si>
  <si>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</si>
  <si>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</si>
  <si>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</si>
  <si>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</si>
  <si>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</si>
  <si>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</si>
  <si>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</si>
  <si>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</si>
  <si>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</si>
  <si>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</si>
  <si>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</si>
  <si>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</si>
  <si>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</si>
  <si>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</si>
  <si>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</si>
  <si>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</si>
  <si>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</si>
  <si>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</si>
  <si>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</si>
  <si>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</si>
  <si>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</si>
  <si>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</si>
  <si>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</si>
  <si>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</si>
  <si>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</si>
  <si>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</si>
  <si>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</si>
  <si>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</si>
  <si>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</si>
  <si>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</si>
  <si>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</si>
  <si>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</si>
  <si>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</si>
  <si>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</si>
  <si>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</si>
  <si>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</si>
  <si>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</si>
  <si>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</si>
  <si>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</si>
  <si>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</si>
  <si>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</si>
  <si>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</si>
  <si>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</si>
  <si>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</si>
  <si>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</si>
  <si>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</si>
  <si>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</si>
  <si>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</si>
  <si>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</si>
  <si>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</si>
  <si>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</si>
  <si>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</si>
  <si>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</si>
  <si>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</si>
  <si>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</si>
  <si>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</si>
  <si>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</si>
  <si>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</si>
  <si>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</si>
  <si>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0.20.11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</si>
  <si>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</si>
  <si>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</si>
  <si>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</si>
  <si>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</si>
  <si>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</si>
  <si>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</si>
  <si>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</si>
  <si>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</si>
  <si>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</si>
  <si>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</si>
  <si>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</si>
  <si>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</si>
  <si>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</si>
  <si>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</si>
  <si>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</si>
  <si>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</si>
  <si>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</si>
  <si>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</si>
  <si>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</si>
  <si>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</si>
  <si>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</si>
  <si>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</si>
  <si>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</si>
  <si>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</si>
  <si>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</si>
  <si>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</si>
  <si>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</si>
  <si>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</si>
  <si>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</si>
  <si>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</si>
  <si>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</si>
  <si>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</si>
  <si>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</si>
  <si>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</si>
  <si>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</si>
  <si>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</si>
  <si>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</si>
  <si>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</si>
  <si>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</si>
  <si>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</si>
  <si>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</si>
  <si>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</si>
  <si>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</si>
  <si>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</si>
  <si>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</si>
  <si>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</si>
  <si>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</si>
  <si>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</si>
  <si>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</si>
  <si>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</si>
  <si>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</si>
  <si>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</si>
  <si>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</si>
  <si>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</si>
  <si>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</si>
  <si>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</si>
  <si>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</si>
  <si>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</si>
  <si>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</si>
  <si>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</si>
  <si>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</si>
  <si>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</si>
  <si>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</si>
  <si>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</si>
  <si>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</si>
  <si>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</si>
  <si>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</si>
  <si>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</si>
  <si>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</si>
  <si>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</si>
  <si>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</si>
  <si>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0.20.11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</si>
  <si>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</si>
  <si>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</si>
  <si>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</si>
  <si>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</si>
  <si>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</si>
  <si>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</si>
  <si>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</si>
  <si>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</si>
  <si>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</si>
  <si>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</si>
  <si>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</si>
  <si>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</si>
  <si>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</si>
  <si>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</si>
  <si>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</si>
  <si>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</si>
  <si>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</si>
  <si>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</si>
  <si>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</si>
  <si>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</si>
  <si>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</si>
  <si>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</si>
  <si>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</si>
  <si>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</si>
  <si>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</si>
  <si>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</si>
  <si>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</si>
  <si>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</si>
  <si>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</si>
  <si>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</si>
  <si>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</si>
  <si>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</si>
  <si>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</si>
  <si>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</si>
  <si>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</si>
  <si>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</si>
  <si>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</si>
  <si>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</si>
  <si>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</si>
  <si>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</si>
  <si>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</si>
  <si>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</si>
  <si>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</si>
  <si>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</si>
  <si>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</si>
  <si>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</si>
  <si>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</si>
  <si>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</si>
  <si>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</si>
  <si>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</si>
  <si>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</si>
  <si>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</si>
  <si>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</si>
  <si>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</si>
  <si>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</si>
  <si>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</si>
  <si>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</si>
  <si>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</si>
  <si>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</si>
  <si>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</si>
  <si>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</si>
  <si>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</si>
  <si>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</si>
  <si>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</si>
  <si>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</si>
  <si>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</si>
  <si>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</si>
  <si>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</si>
  <si>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</si>
  <si>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</si>
  <si>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</si>
  <si>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</si>
  <si>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</si>
  <si>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</si>
  <si>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</si>
  <si>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</si>
  <si>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</si>
  <si>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</si>
  <si>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</si>
  <si>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</si>
  <si>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</si>
  <si>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</si>
  <si>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</si>
  <si>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</si>
  <si>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</si>
  <si>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</si>
  <si>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</si>
  <si>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</si>
  <si>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</si>
  <si>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</si>
  <si>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</si>
  <si>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</si>
  <si>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</si>
  <si>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0.20.11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</si>
  <si>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</si>
  <si>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</si>
  <si>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</si>
  <si>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</si>
  <si>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</si>
  <si>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</si>
  <si>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</si>
  <si>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</si>
  <si>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</si>
  <si>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</si>
  <si>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</si>
  <si>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</si>
  <si>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</si>
  <si>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</si>
  <si>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</si>
  <si>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</si>
  <si>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</si>
  <si>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</si>
  <si>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</si>
  <si>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</si>
  <si>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</si>
  <si>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</si>
  <si>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</si>
  <si>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</si>
  <si>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</si>
  <si>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</si>
  <si>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</si>
  <si>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0.20.11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</si>
  <si>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</si>
  <si>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</si>
  <si>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</si>
  <si>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</si>
  <si>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</si>
  <si>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</si>
  <si>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</si>
  <si>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</si>
  <si>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</si>
  <si>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</si>
  <si>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</si>
  <si>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</si>
  <si>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</si>
  <si>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</si>
  <si>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</si>
  <si>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0.20.11.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</si>
  <si>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</si>
  <si>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</si>
  <si>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</si>
  <si>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</si>
  <si>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</si>
  <si>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</si>
  <si>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</si>
  <si>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</si>
  <si>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0.20.11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</si>
  <si>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</si>
  <si>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</si>
  <si>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</si>
  <si>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</si>
  <si>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</si>
  <si>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</si>
  <si>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</si>
  <si>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</si>
  <si>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</si>
  <si>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</si>
  <si>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</si>
  <si>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</si>
  <si>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</si>
  <si>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</si>
  <si>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</si>
  <si>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</si>
  <si>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</si>
  <si>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</si>
  <si>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</si>
  <si>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</si>
  <si>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</si>
  <si>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</si>
  <si>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</si>
  <si>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</si>
  <si>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</si>
  <si>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</si>
  <si>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</si>
  <si>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</si>
  <si>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</si>
  <si>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</si>
  <si>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</si>
  <si>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</si>
  <si>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</si>
  <si>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</si>
  <si>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</si>
  <si>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</si>
  <si>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</si>
  <si>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</si>
  <si>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</si>
  <si>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</si>
  <si>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</si>
  <si>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</si>
  <si>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</si>
  <si>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</si>
  <si>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</si>
  <si>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</si>
  <si>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</si>
  <si>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</si>
  <si>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</si>
  <si>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</si>
  <si>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</si>
  <si>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0.20.11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</si>
  <si>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</si>
  <si>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</si>
  <si>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</si>
  <si>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</si>
  <si>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</si>
  <si>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</si>
  <si>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</si>
  <si>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</si>
  <si>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</si>
  <si>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</si>
  <si>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</si>
  <si>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</si>
  <si>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</si>
  <si>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</si>
  <si>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</si>
  <si>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</si>
  <si>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</si>
  <si>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</si>
  <si>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</si>
  <si>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</si>
  <si>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</si>
  <si>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</si>
  <si>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</si>
  <si>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</si>
  <si>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</si>
  <si>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</si>
  <si>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</si>
  <si>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</si>
  <si>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</si>
  <si>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</si>
  <si>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</si>
  <si>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</si>
  <si>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</si>
  <si>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</si>
  <si>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</si>
  <si>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</si>
  <si>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</si>
  <si>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</si>
  <si>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</si>
  <si>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</si>
  <si>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</si>
  <si>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</si>
  <si>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</si>
  <si>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</si>
  <si>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</si>
  <si>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</si>
  <si>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</si>
  <si>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</si>
  <si>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</si>
  <si>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</si>
  <si>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0.20.11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</si>
  <si>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</si>
  <si>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</si>
  <si>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</si>
  <si>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</si>
  <si>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</si>
  <si>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</si>
  <si>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</si>
  <si>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</si>
  <si>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</si>
  <si>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</si>
  <si>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</si>
  <si>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</si>
  <si>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</si>
  <si>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</si>
  <si>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</si>
  <si>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</si>
  <si>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</si>
  <si>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</si>
  <si>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</si>
  <si>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</si>
  <si>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</si>
  <si>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</si>
  <si>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</si>
  <si>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</si>
  <si>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</si>
  <si>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</si>
  <si>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</si>
  <si>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</si>
  <si>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</si>
  <si>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</si>
  <si>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</si>
  <si>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</si>
  <si>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</si>
  <si>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</si>
  <si>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</si>
  <si>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</si>
  <si>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</si>
  <si>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</si>
  <si>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</si>
  <si>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</si>
  <si>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</si>
  <si>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</si>
  <si>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</si>
  <si>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</si>
  <si>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</si>
  <si>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</si>
  <si>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</si>
  <si>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</si>
  <si>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</si>
  <si>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0.20.11.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</si>
  <si>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</si>
  <si>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</si>
  <si>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</si>
  <si>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</si>
  <si>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</si>
  <si>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</si>
  <si>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</si>
  <si>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</si>
  <si>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</si>
  <si>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</si>
  <si>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</si>
  <si>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</si>
  <si>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</si>
  <si>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</si>
  <si>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</si>
  <si>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</si>
  <si>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</si>
  <si>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</si>
  <si>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</si>
  <si>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</si>
  <si>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</si>
  <si>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</si>
  <si>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</si>
  <si>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</si>
  <si>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</si>
  <si>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</si>
  <si>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0.20.11.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</si>
  <si>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</si>
  <si>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</si>
  <si>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</si>
  <si>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</si>
  <si>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</si>
  <si>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</si>
  <si>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</si>
  <si>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</si>
  <si>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</si>
  <si>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</si>
  <si>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</si>
  <si>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</si>
  <si>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</si>
  <si>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</si>
  <si>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</si>
  <si>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</si>
  <si>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</si>
  <si>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</si>
  <si>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</si>
  <si>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</si>
  <si>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</si>
  <si>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</si>
  <si>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</si>
  <si>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</si>
  <si>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</si>
  <si>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</si>
  <si>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</si>
  <si>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</si>
  <si>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</si>
  <si>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</si>
  <si>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</si>
  <si>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</si>
  <si>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</si>
  <si>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</si>
  <si>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</si>
  <si>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</si>
  <si>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0.20.11.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</si>
  <si>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</si>
  <si>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</si>
  <si>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</si>
  <si>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</si>
  <si>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</si>
  <si>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</si>
  <si>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</si>
  <si>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</si>
  <si>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</si>
  <si>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</si>
  <si>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</si>
  <si>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</si>
  <si>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</si>
  <si>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</si>
  <si>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</si>
  <si>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</si>
  <si>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</si>
  <si>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</si>
  <si>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</si>
  <si>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</si>
  <si>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</si>
  <si>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</si>
  <si>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0.20.11,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</si>
  <si>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</si>
  <si>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</si>
  <si>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</si>
  <si>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</si>
  <si>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</si>
  <si>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</si>
  <si>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</si>
  <si>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</si>
  <si>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</si>
  <si>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</si>
  <si>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</si>
  <si>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</si>
  <si>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</si>
  <si>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</si>
  <si>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</si>
  <si>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</si>
  <si>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</si>
  <si>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</si>
  <si>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</si>
  <si>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</si>
  <si>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</si>
  <si>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</si>
  <si>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</si>
  <si>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</si>
  <si>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</si>
  <si>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</si>
  <si>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</si>
  <si>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</si>
  <si>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0.20.11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</si>
  <si>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</si>
  <si>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0.20.11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</si>
  <si>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</si>
  <si>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</si>
  <si>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</si>
  <si>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</si>
  <si>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</si>
  <si>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</si>
  <si>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</si>
  <si>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</si>
  <si>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</si>
  <si>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</si>
  <si>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</si>
  <si>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</si>
  <si>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</si>
  <si>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</si>
  <si>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</si>
  <si>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</si>
  <si>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</si>
  <si>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</si>
  <si>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</si>
  <si>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</si>
  <si>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</si>
  <si>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</si>
  <si>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</si>
  <si>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</si>
  <si>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</si>
  <si>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</si>
  <si>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</si>
  <si>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</si>
  <si>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</si>
  <si>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</si>
  <si>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</si>
  <si>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</si>
  <si>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</si>
  <si>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</si>
  <si>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</si>
  <si>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</si>
  <si>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</si>
  <si>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</si>
  <si>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</si>
  <si>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</si>
  <si>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</si>
  <si>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</si>
  <si>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</si>
  <si>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</si>
  <si>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</si>
  <si>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</si>
  <si>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</si>
  <si>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</si>
  <si>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</si>
  <si>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</si>
  <si>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</si>
  <si>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</si>
  <si>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</si>
  <si>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</si>
  <si>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</si>
  <si>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</si>
  <si>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</si>
  <si>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</si>
  <si>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</si>
  <si>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</si>
  <si>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</si>
  <si>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</si>
  <si>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</si>
  <si>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</si>
  <si>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</si>
  <si>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</si>
  <si>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</si>
  <si>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</si>
  <si>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</si>
  <si>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</si>
  <si>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</si>
  <si>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</si>
  <si>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</si>
  <si>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</si>
  <si>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</si>
  <si>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</si>
  <si>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</si>
  <si>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</si>
  <si>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</si>
  <si>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</si>
  <si>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</si>
  <si>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</si>
  <si>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</si>
  <si>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</si>
  <si>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</si>
  <si>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</si>
  <si>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</si>
  <si>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</si>
  <si>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</si>
  <si>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</si>
  <si>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</si>
  <si>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</si>
  <si>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</si>
  <si>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</si>
  <si>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</si>
  <si>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</si>
  <si>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</si>
  <si>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</si>
  <si>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</si>
  <si>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</si>
  <si>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</si>
  <si>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</si>
  <si>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</si>
  <si>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</si>
  <si>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</si>
  <si>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</si>
  <si>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0.20.11,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</si>
  <si>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</si>
  <si>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</si>
  <si>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</si>
  <si>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</si>
  <si>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</si>
  <si>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</si>
  <si>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0.20.11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</si>
  <si>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</si>
  <si>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</si>
  <si>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</si>
  <si>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</si>
  <si>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</si>
  <si>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</si>
  <si>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</si>
  <si>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</si>
  <si>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</si>
  <si>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</si>
  <si>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</si>
  <si>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</si>
  <si>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</si>
  <si>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</si>
  <si>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</si>
  <si>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</si>
  <si>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</si>
  <si>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</si>
  <si>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</si>
  <si>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</si>
  <si>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</si>
  <si>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</si>
  <si>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</si>
  <si>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</si>
  <si>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</si>
  <si>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</si>
  <si>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</si>
  <si>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</si>
  <si>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</si>
  <si>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</si>
  <si>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</si>
  <si>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</si>
  <si>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</si>
  <si>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</si>
  <si>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</si>
  <si>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</si>
  <si>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</si>
  <si>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</si>
  <si>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</si>
  <si>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</si>
  <si>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</si>
  <si>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</si>
  <si>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</si>
  <si>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</si>
  <si>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</si>
  <si>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</si>
  <si>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</si>
  <si>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</si>
  <si>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</si>
  <si>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</si>
  <si>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</si>
  <si>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</si>
  <si>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</si>
  <si>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</si>
  <si>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</si>
  <si>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</si>
  <si>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</si>
  <si>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</si>
  <si>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</si>
  <si>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</si>
  <si>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</si>
  <si>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</si>
  <si>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</si>
  <si>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</si>
  <si>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</si>
  <si>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</si>
  <si>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</si>
  <si>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</si>
  <si>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</si>
  <si>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</si>
  <si>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</si>
  <si>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</si>
  <si>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</si>
  <si>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</si>
  <si>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</si>
  <si>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</si>
  <si>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</si>
  <si>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</si>
  <si>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</si>
  <si>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</si>
  <si>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</si>
  <si>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</si>
  <si>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</si>
  <si>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</si>
  <si>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</si>
  <si>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</si>
  <si>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</si>
  <si>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</si>
  <si>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</si>
  <si>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</si>
  <si>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</si>
  <si>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</si>
  <si>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</si>
  <si>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</si>
  <si>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</si>
  <si>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</si>
  <si>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</si>
  <si>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</si>
  <si>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</si>
  <si>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</si>
  <si>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</si>
  <si>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</si>
  <si>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</si>
  <si>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</si>
  <si>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</si>
  <si>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</si>
  <si>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</si>
  <si>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</si>
  <si>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</si>
  <si>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</si>
  <si>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</si>
  <si>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</si>
  <si>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</si>
  <si>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</si>
  <si>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</si>
  <si>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</si>
  <si>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</si>
  <si>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</si>
  <si>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</si>
  <si>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</si>
  <si>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</si>
  <si>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</si>
  <si>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</si>
  <si>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</si>
  <si>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</si>
  <si>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</si>
  <si>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</si>
  <si>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</si>
  <si>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</si>
  <si>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</si>
  <si>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</si>
  <si>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</si>
  <si>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</si>
  <si>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</si>
  <si>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</si>
  <si>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</si>
  <si>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</si>
  <si>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</si>
  <si>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</si>
  <si>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</si>
  <si>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</si>
  <si>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</si>
  <si>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</si>
  <si>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</si>
  <si>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</si>
  <si>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</si>
  <si>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</si>
  <si>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</si>
  <si>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</si>
  <si>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</si>
  <si>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</si>
  <si>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</si>
  <si>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</si>
  <si>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</si>
  <si>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</si>
  <si>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</si>
  <si>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</si>
  <si>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</si>
  <si>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</si>
  <si>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</si>
  <si>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</si>
  <si>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</si>
  <si>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</si>
  <si>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</si>
  <si>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</si>
  <si>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</si>
  <si>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</si>
  <si>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</si>
  <si>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</si>
  <si>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</si>
  <si>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</si>
  <si>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</si>
  <si>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</si>
  <si>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</si>
  <si>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</si>
  <si>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</si>
  <si>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</si>
  <si>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</si>
  <si>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</si>
  <si>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</si>
  <si>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</si>
  <si>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</si>
  <si>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</si>
  <si>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</si>
  <si>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</si>
  <si>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</si>
  <si>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</si>
  <si>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</si>
  <si>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</si>
  <si>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</si>
  <si>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</si>
  <si>
    <t xml:space="preserve">Swipeable Item Evidence</t>
  </si>
  <si>
    <t xml:space="preserve">Assertion-level Atom ownership, gesture and keyboard behavior, three-part anatomy, logical actions, accessibility, package, Consumer, playground, visual, and manual evidence.</t>
  </si>
  <si>
    <t xml:space="preserve">Root / Content / Actions</t>
  </si>
  <si>
    <t xml:space="preserve">Brick styles and forwards the released Atom Swipeable Item contract; Atom 0.20.11 owns open-side state, measured offsets, pointer intent, keyboard reveal, cancellation, direction, and inert closed actions.</t>
  </si>
  <si>
    <t xml:space="preserve">../src/components/swipeable-item/SwipeableItem.tsx; @flowstack-ui/atom 0.19.9</t>
  </si>
  <si>
    <t xml:space="preserve">Namespace</t>
  </si>
  <si>
    <t xml:space="preserve">The public namespace contains exactly Root, Content, and Actions; Brick exposes only the plain and outline recipes and deliberately excludes full-swipe command execution.</t>
  </si>
  <si>
    <t xml:space="preserve">../test/components/swipeable-item/swipeable-item.test.tsx; ../test/types/components/swipeable-item.test.ts</t>
  </si>
  <si>
    <t xml:space="preserve">Closed namespace and negative type assertions pass.</t>
  </si>
  <si>
    <t xml:space="preserve">Root owns the boundary, Content is the moving foreground, and each labeled Actions group remains a direct logical-side child without a Brick-owned row-content schema.</t>
  </si>
  <si>
    <t xml:space="preserve">../test/components/swipeable-item/swipeable-item.test.tsx; tests/components/swipeable-item/behavior.spec.ts</t>
  </si>
  <si>
    <t xml:space="preserve">Three-part slots and rendered anatomy assertions pass.</t>
  </si>
  <si>
    <t xml:space="preserve">Controlled and uncontrolled openSide state reveal start, end, or closed without Brick duplicating Atom gesture math.</t>
  </si>
  <si>
    <t xml:space="preserve">tests/components/swipeable-item/behavior.spec.ts</t>
  </si>
  <si>
    <t xml:space="preserve">Default, controlled, and closure assertions pass.</t>
  </si>
  <si>
    <t xml:space="preserve">Moving surface</t>
  </si>
  <si>
    <t xml:space="preserve">Content consumes Atom's measured offset, remains opaque above Actions, preserves vertical pan-y scrolling, and settles only after Atom state changes.</t>
  </si>
  <si>
    <t xml:space="preserve">tests/components/swipeable-item/behavior.spec.ts; ../src/components/swipeable-item/swipeable-item.css</t>
  </si>
  <si>
    <t xml:space="preserve">Computed style, gesture, and visual assertions pass.</t>
  </si>
  <si>
    <t xml:space="preserve">Action semantics</t>
  </si>
  <si>
    <t xml:space="preserve">Every Actions group requires a localized aria-label, becomes available only for its open side, contains native authored controls, and closes after command selection.</t>
  </si>
  <si>
    <t xml:space="preserve">tests/components/swipeable-item/behavior.spec.ts; ../test/types/components/swipeable-item.test.ts</t>
  </si>
  <si>
    <t xml:space="preserve">Label, availability, and action-close assertions pass.</t>
  </si>
  <si>
    <t xml:space="preserve">Vertical pan</t>
  </si>
  <si>
    <t xml:space="preserve">A mostly vertical touch gesture remains page scrolling and never becomes an owned horizontal reveal.</t>
  </si>
  <si>
    <t xml:space="preserve">tests/components/swipeable-item/behavior.spec.ts; @flowstack-ui/atom 0.19.9</t>
  </si>
  <si>
    <t xml:space="preserve">Atom five-project gesture suite and Brick touch policy pass.</t>
  </si>
  <si>
    <t xml:space="preserve">Pointer lifecycle</t>
  </si>
  <si>
    <t xml:space="preserve">Root / Content</t>
  </si>
  <si>
    <t xml:space="preserve">Horizontal intent, threshold settlement, pointer cancellation, and lost capture restore deterministic visual and state outcomes without invoking commands.</t>
  </si>
  <si>
    <t xml:space="preserve">Pointer lifecycle assertions pass.</t>
  </si>
  <si>
    <t xml:space="preserve">Arrow keys reveal or close the physical side implied by document direction, Escape closes, and descendant controls keep their own Arrow-key behavior.</t>
  </si>
  <si>
    <t xml:space="preserve">Keyboard and descendant-isolation assertions pass.</t>
  </si>
  <si>
    <t xml:space="preserve">Root / Actions</t>
  </si>
  <si>
    <t xml:space="preserve">Logical start and end panels mirror in genuine RTL while action order and authored reading direction remain application-owned.</t>
  </si>
  <si>
    <t xml:space="preserve">tests/components/swipeable-item/behavior.spec.ts; tests/components/swipeable-item/visual.spec.ts</t>
  </si>
  <si>
    <t xml:space="preserve">RTL state, placement, and mobile baseline pass.</t>
  </si>
  <si>
    <t xml:space="preserve">Disabled states</t>
  </si>
  <si>
    <t xml:space="preserve">Disabled and read-only rows preserve layout while Atom blocks pointer and keyboard open-side changes.</t>
  </si>
  <si>
    <t xml:space="preserve">Disabled and read-only state recipes pass.</t>
  </si>
  <si>
    <t xml:space="preserve">Visible alternative</t>
  </si>
  <si>
    <t xml:space="preserve">The example and Consumer expose the same Archive and Delete commands through an obvious More actions menu so dragging is never the only route.</t>
  </si>
  <si>
    <t xml:space="preserve">src/components/swipeable-item/SwipeableItemPage.tsx; ../apps/consumer/src/App.tsx</t>
  </si>
  <si>
    <t xml:space="preserve">Visible alternative is present in playground and packed Consumer.</t>
  </si>
  <si>
    <t xml:space="preserve">Safety boundary</t>
  </si>
  <si>
    <t xml:space="preserve">Full-swipe threshold and callback props are absent from Brick so a release gesture cannot directly execute a destructive command.</t>
  </si>
  <si>
    <t xml:space="preserve">../test/types/components/swipeable-item.test.ts; ../docs/components/swipeable-item/README.md</t>
  </si>
  <si>
    <t xml:space="preserve">Negative public-surface type assertions pass.</t>
  </si>
  <si>
    <t xml:space="preserve">Root and swipeable-item subpath exports expose the namespace, parts, props, and variant with identical runtime identity.</t>
  </si>
  <si>
    <t xml:space="preserve">../test/package/package.test.mjs; ../package.json; ../scripts/verify-consumers.mjs</t>
  </si>
  <si>
    <t xml:space="preserve">Root, subpath, declaration, and React 18/19 consumer checks pass.</t>
  </si>
  <si>
    <t xml:space="preserve">Atom native props, refs, controlled state, render/asChild composition, aria/data attributes, classes, slots, styles, and closed Brick recipes type-check.</t>
  </si>
  <si>
    <t xml:space="preserve">../test/types/components/swipeable-item.test.ts</t>
  </si>
  <si>
    <t xml:space="preserve">Swipeable Item imports server-safely and emits deterministic three-part reveal anatomy without browser reads during render.</t>
  </si>
  <si>
    <t xml:space="preserve">../test/package/ssr.test.mjs; ../scripts/verify-consumers.mjs</t>
  </si>
  <si>
    <t xml:space="preserve">Production CSS ships documented variables, logical positioning, opaque foreground paint, preference fallbacks, action target sizing, and no undeclared global selector.</t>
  </si>
  <si>
    <t xml:space="preserve">../src/components/swipeable-item/swipeable-item.css; ../scripts/build-styles.mjs</t>
  </si>
  <si>
    <t xml:space="preserve">Production CSS, package, and semantic documentation checks pass.</t>
  </si>
  <si>
    <t xml:space="preserve">Plain composes inside an existing boundary while outline supplies a standalone neutral border without changing behavior or anatomy.</t>
  </si>
  <si>
    <t xml:space="preserve">Variant geometry and baseline pass.</t>
  </si>
  <si>
    <t xml:space="preserve">Containment</t>
  </si>
  <si>
    <t xml:space="preserve">Shared overflow clipping and radius keep translated Content and custom action fills inside one rounded boundary without exposed sharp corners.</t>
  </si>
  <si>
    <t xml:space="preserve">tests/components/swipeable-item/visual.spec.ts; ../src/components/swipeable-item/swipeable-item.css</t>
  </si>
  <si>
    <t xml:space="preserve">Start/end, outline, and customized baselines are clean.</t>
  </si>
  <si>
    <t xml:space="preserve">Focus and targets</t>
  </si>
  <si>
    <t xml:space="preserve">Content / Actions</t>
  </si>
  <si>
    <t xml:space="preserve">Content and native action controls retain visible focus and action controls meet the documented minimum target size without clipping.</t>
  </si>
  <si>
    <t xml:space="preserve">Forced-color focus and target-size evidence pass.</t>
  </si>
  <si>
    <t xml:space="preserve">SW-21</t>
  </si>
  <si>
    <t xml:space="preserve">Classes merge Brick first; public slots, native events, aria/data attributes, children, refs, render, and asChild target each public host.</t>
  </si>
  <si>
    <t xml:space="preserve">Component and type composition assertions pass.</t>
  </si>
  <si>
    <t xml:space="preserve">SW-22</t>
  </si>
  <si>
    <t xml:space="preserve">Full-width and 320px-constrained items wrap long localized content without component-created page overflow or an unreachable visible menu.</t>
  </si>
  <si>
    <t xml:space="preserve">Narrow containment and mobile baseline pass.</t>
  </si>
  <si>
    <t xml:space="preserve">SW-23</t>
  </si>
  <si>
    <t xml:space="preserve">Separate light and dark scopes, reduced motion, and forced colors retain readable layers, boundaries, and focus without color-only meaning.</t>
  </si>
  <si>
    <t xml:space="preserve">Appearance and preference baselines pass.</t>
  </si>
  <si>
    <t xml:space="preserve">SW-24</t>
  </si>
  <si>
    <t xml:space="preserve">Documented variables recolor surfaces, actions, border, focus, radius, spacing, sizing, and motion while preserving Atom behavior and containment.</t>
  </si>
  <si>
    <t xml:space="preserve">../docs/components/swipeable-item/README.md; tests/components/swipeable-item/behavior.spec.ts</t>
  </si>
  <si>
    <t xml:space="preserve">Token hooks and computed custom radius assertion pass.</t>
  </si>
  <si>
    <t xml:space="preserve">SW-25</t>
  </si>
  <si>
    <t xml:space="preserve">Named action groups, unavailable closed actions, native commands, keyboard reveal, visible focus, forced-color support, and a non-drag alternative form a complete accessibility contract.</t>
  </si>
  <si>
    <t xml:space="preserve">Semantic browser and Atom accessibility assertions pass.</t>
  </si>
  <si>
    <t xml:space="preserve">SW-26</t>
  </si>
  <si>
    <t xml:space="preserve">One route exposes ten ordered, independently padded scenarios covering overview, anatomy, variants, sides, alternative, states, control, appearance, customization, responsive, and RTL evidence.</t>
  </si>
  <si>
    <t xml:space="preserve">src/components/swipeable-item/SwipeableItemPage.tsx; ../scripts/verify-component-tests.mjs</t>
  </si>
  <si>
    <t xml:space="preserve">Ownership, route, primitive, composition, and browser checks pass.</t>
  </si>
  <si>
    <t xml:space="preserve">SW-27</t>
  </si>
  <si>
    <t xml:space="preserve">Reviewed baselines cover overview, variants, start/end actions, controlled state, appearance, customization, mobile RTL, and forced colors.</t>
  </si>
  <si>
    <t xml:space="preserve">tests/components/swipeable-item/visual.spec.ts; tests/components/swipeable-item/visual.spec.ts-snapshots</t>
  </si>
  <si>
    <t xml:space="preserve">Agent inspected all eight Swipeable Item Chromium baselines on July 29, 2026.</t>
  </si>
  <si>
    <t xml:space="preserve">SW-28</t>
  </si>
  <si>
    <t xml:space="preserve">The guide documents use, exclusions, imports, anatomy, API, state, tokens, responsive behavior, accessibility, composition, examples, and evidence; changelogs record the addition.</t>
  </si>
  <si>
    <t xml:space="preserve">../docs/components/swipeable-item/README.md; ../docs/components/swipeable-item/CHANGELOG.md; ../CHANGELOG.md</t>
  </si>
  <si>
    <t xml:space="preserve">SW-29</t>
  </si>
  <si>
    <t xml:space="preserve">The packed Consumer imports Swipeable Item from its public subpath and composes realistic message actions with a visible Dropdown Menu alternative.</t>
  </si>
  <si>
    <t xml:space="preserve">../apps/consumer/src/App.tsx; ../apps/consumer/tests/consumer.spec.ts; ../scripts/verify-consumers.mjs</t>
  </si>
  <si>
    <t xml:space="preserve">Consumer build and clean React 18/19 packed-package checks pass.</t>
  </si>
  <si>
    <t xml:space="preserve">SW-30</t>
  </si>
  <si>
    <t xml:space="preserve">A tester completes the desktop and physical-touch gesture, keyboard, focus, state, direction, zoom, appearance, preference, and assistive-technology protocol.</t>
  </si>
  <si>
    <t xml:space="preserve">manual-tests/swipeable-item.md</t>
  </si>
  <si>
    <t xml:space="preserve">Human manual run intentionally remains the sole open component gate.</t>
  </si>
  <si>
    <t xml:space="preserve">SW-31</t>
  </si>
  <si>
    <t xml:space="preserve">Build, declarations, exports, SSR, CSS, docs, tarball, exact Atom 0.20.11, React 18/19 consumers, focused browsers, reviewed visuals, and Consumer build pass.</t>
  </si>
  <si>
    <t xml:space="preserve">Full check, 354 component tests, focused behavior and visual suites, pack check, and generated consumers pass.</t>
  </si>
  <si>
    <t xml:space="preserve">Progress Evidence</t>
  </si>
  <si>
    <t xml:space="preserve">Assertion-level linear progress anatomy, values, recipes, direction, responsive, package, documentation, Consumer, and accessibility evidence.</t>
  </si>
  <si>
    <t xml:space="preserve">PR-01</t>
  </si>
  <si>
    <t xml:space="preserve">Brick styles released Atom 0.20.11 Progress semantics without recreating read-only progress behavior.</t>
  </si>
  <si>
    <t xml:space="preserve">../src/components/progress/Progress.tsx; ../package.json</t>
  </si>
  <si>
    <t xml:space="preserve">Source and exact dependency boundary are implemented.</t>
  </si>
  <si>
    <t xml:space="preserve">PR-02</t>
  </si>
  <si>
    <t xml:space="preserve">The six-part Root, Label, Value, Track, Buffer, and Indicator namespace and named exports match the adopted contract.</t>
  </si>
  <si>
    <t xml:space="preserve">../test/components/progress/progress.test.tsx</t>
  </si>
  <si>
    <t xml:space="preserve">Focused component assertions pass.</t>
  </si>
  <si>
    <t xml:space="preserve">PR-03</t>
  </si>
  <si>
    <t xml:space="preserve">Every public part renders its documented host, forwards native props and slots, and resolves the exact ref target.</t>
  </si>
  <si>
    <t xml:space="preserve">Host, prop, slot, and ref assertions pass.</t>
  </si>
  <si>
    <t xml:space="preserve">PR-04</t>
  </si>
  <si>
    <t xml:space="preserve">Closed orientation, size, shape, and tone values plus native props and refs type-check.</t>
  </si>
  <si>
    <t xml:space="preserve">../test/types/components/progress.test.ts</t>
  </si>
  <si>
    <t xml:space="preserve">Focused type assertions pass.</t>
  </si>
  <si>
    <t xml:space="preserve">PR-05</t>
  </si>
  <si>
    <t xml:space="preserve">Root and progress subpath exports preserve namespace and named runtime identity.</t>
  </si>
  <si>
    <t xml:space="preserve">Package boundary assertions pass.</t>
  </si>
  <si>
    <t xml:space="preserve">PR-06</t>
  </si>
  <si>
    <t xml:space="preserve">Server rendering emits deterministic progressbar anatomy and visible naming without client-only failure.</t>
  </si>
  <si>
    <t xml:space="preserve">SSR assertions pass.</t>
  </si>
  <si>
    <t xml:space="preserve">PR-07</t>
  </si>
  <si>
    <t xml:space="preserve">Defaults are horizontal, medium, rounded, accent, and indeterminate when value is omitted.</t>
  </si>
  <si>
    <t xml:space="preserve">Default attributes and semantics are asserted.</t>
  </si>
  <si>
    <t xml:space="preserve">PR-08</t>
  </si>
  <si>
    <t xml:space="preserve">Root / Indicator</t>
  </si>
  <si>
    <t xml:space="preserve">Determinate values normalize within min and max while indeterminate progress omits aria-valuenow.</t>
  </si>
  <si>
    <t xml:space="preserve">tests/components/progress/behavior.spec.ts</t>
  </si>
  <si>
    <t xml:space="preserve">Configured-browser semantic assertions pass.</t>
  </si>
  <si>
    <t xml:space="preserve">PR-09</t>
  </si>
  <si>
    <t xml:space="preserve">Indeterminate, loading, and complete visual states remain distinguishable without adding interaction.</t>
  </si>
  <si>
    <t xml:space="preserve">tests/components/progress/visual.spec.ts</t>
  </si>
  <si>
    <t xml:space="preserve">Automated state baselines pass; owner manual review remains separate.</t>
  </si>
  <si>
    <t xml:space="preserve">PR-10</t>
  </si>
  <si>
    <t xml:space="preserve">Six tones, five sizes, and three shapes preserve semantics and independent geometry.</t>
  </si>
  <si>
    <t xml:space="preserve">Recipe matrix assertions pass.</t>
  </si>
  <si>
    <t xml:space="preserve">PR-11</t>
  </si>
  <si>
    <t xml:space="preserve">Track / Indicator</t>
  </si>
  <si>
    <t xml:space="preserve">Horizontal progress fills from logical inline-start in LTR and RTL; vertical progress fills from the bottom.</t>
  </si>
  <si>
    <t xml:space="preserve">Bounding-box direction assertions pass.</t>
  </si>
  <si>
    <t xml:space="preserve">PR-12</t>
  </si>
  <si>
    <t xml:space="preserve">Buffer</t>
  </si>
  <si>
    <t xml:space="preserve">Optional buffered progress clamps independently, remains behind the current value, and exposes presence state.</t>
  </si>
  <si>
    <t xml:space="preserve">../test/components/progress/progress.test.tsx; tests/components/progress/behavior.spec.ts</t>
  </si>
  <si>
    <t xml:space="preserve">Buffer clamping, position, and presence are asserted.</t>
  </si>
  <si>
    <t xml:space="preserve">PR-13</t>
  </si>
  <si>
    <t xml:space="preserve">Output</t>
  </si>
  <si>
    <t xml:space="preserve">Label / Value</t>
  </si>
  <si>
    <t xml:space="preserve">Visible Label supplies the accessible name and Value supports localized default or authored range output.</t>
  </si>
  <si>
    <t xml:space="preserve">Name relationship and custom output assertions pass.</t>
  </si>
  <si>
    <t xml:space="preserve">PR-14</t>
  </si>
  <si>
    <t xml:space="preserve">Narrow, long-label, zoom, and RTL layouts remain contained without clipping or page overflow.</t>
  </si>
  <si>
    <t xml:space="preserve">Automated responsive baselines and narrow containment pass.</t>
  </si>
  <si>
    <t xml:space="preserve">PR-15</t>
  </si>
  <si>
    <t xml:space="preserve">Reduced motion leaves a static recognizable segment and forced colors preserve track and indicator boundaries.</t>
  </si>
  <si>
    <t xml:space="preserve">tests/components/progress/visual.spec.ts; tests/components/progress/behavior.spec.ts</t>
  </si>
  <si>
    <t xml:space="preserve">Preference-state automation passes.</t>
  </si>
  <si>
    <t xml:space="preserve">PR-16</t>
  </si>
  <si>
    <t xml:space="preserve">One named progressbar exposes the correct range/value state and the route passes axe without unsupported aria-orientation.</t>
  </si>
  <si>
    <t xml:space="preserve">Semantic and axe assertions pass.</t>
  </si>
  <si>
    <t xml:space="preserve">PR-17</t>
  </si>
  <si>
    <t xml:space="preserve">One navigable route exposes nine persistent scenarios from overview through stress.</t>
  </si>
  <si>
    <t xml:space="preserve">src/components/progress/ProgressPage.tsx</t>
  </si>
  <si>
    <t xml:space="preserve">Route registration and playground build pass.</t>
  </si>
  <si>
    <t xml:space="preserve">PR-18</t>
  </si>
  <si>
    <t xml:space="preserve">The public guide documents anatomy, API, defaults, recipes, output, accessibility, CSS, and exclusions.</t>
  </si>
  <si>
    <t xml:space="preserve">../docs/components/progress/README.md</t>
  </si>
  <si>
    <t xml:space="preserve">PR-19</t>
  </si>
  <si>
    <t xml:space="preserve">Component and package changelogs record the consumer-visible addition and ARIA correction.</t>
  </si>
  <si>
    <t xml:space="preserve">../docs/components/progress/CHANGELOG.md; ../CHANGELOG.md</t>
  </si>
  <si>
    <t xml:space="preserve">Changelog ownership checks pass.</t>
  </si>
  <si>
    <t xml:space="preserve">PR-20</t>
  </si>
  <si>
    <t xml:space="preserve">Packed Consumer imports the progress subpath and composes labelled buffered progress from the tarball.</t>
  </si>
  <si>
    <t xml:space="preserve">Packed Consumer verification passes.</t>
  </si>
  <si>
    <t xml:space="preserve">PR-21</t>
  </si>
  <si>
    <t xml:space="preserve">Owner executes the visual, responsive, direction, preference, and assistive-technology protocol.</t>
  </si>
  <si>
    <t xml:space="preserve">manual-tests/progress.md</t>
  </si>
  <si>
    <t xml:space="preserve">PR-22</t>
  </si>
  <si>
    <t xml:space="preserve">../scripts/verify-package.mjs</t>
  </si>
  <si>
    <t xml:space="preserve">Automated release qualification passed with the component implementation.</t>
  </si>
  <si>
    <t xml:space="preserve">Progress Circle Evidence</t>
  </si>
  <si>
    <t xml:space="preserve">Assertion-level circular progress anatomy, SVG geometry, values, recipes, responsive, package, documentation, Consumer, and accessibility evidence.</t>
  </si>
  <si>
    <t xml:space="preserve">PC-01</t>
  </si>
  <si>
    <t xml:space="preserve">Brick styles released Atom 0.20.11 Progress semantics while retaining read-only range behavior.</t>
  </si>
  <si>
    <t xml:space="preserve">../src/components/progress-circle/ProgressCircle.tsx; ../package.json</t>
  </si>
  <si>
    <t xml:space="preserve">PC-02</t>
  </si>
  <si>
    <t xml:space="preserve">The six-part Root, Circle, Track, Indicator, Label, and Value namespace and named exports match the adopted contract.</t>
  </si>
  <si>
    <t xml:space="preserve">../test/components/progress-circle/progress-circle.test.tsx</t>
  </si>
  <si>
    <t xml:space="preserve">PC-03</t>
  </si>
  <si>
    <t xml:space="preserve">Root and text parts use native HTML hosts; decorative ring parts use deterministic SVG hosts and exact refs.</t>
  </si>
  <si>
    <t xml:space="preserve">Host, prop, slot, SVG, and ref assertions pass.</t>
  </si>
  <si>
    <t xml:space="preserve">PC-04</t>
  </si>
  <si>
    <t xml:space="preserve">Closed size, thickness, cap, and tone values plus native and SVG prop exclusions type-check.</t>
  </si>
  <si>
    <t xml:space="preserve">../test/types/components/progress-circle.test.ts</t>
  </si>
  <si>
    <t xml:space="preserve">Focused positive and negative type assertions pass.</t>
  </si>
  <si>
    <t xml:space="preserve">PC-05</t>
  </si>
  <si>
    <t xml:space="preserve">Root and progress-circle subpath exports preserve namespace and named runtime identity.</t>
  </si>
  <si>
    <t xml:space="preserve">PC-06</t>
  </si>
  <si>
    <t xml:space="preserve">Server rendering emits deterministic progressbar and SVG anatomy without client-only failure.</t>
  </si>
  <si>
    <t xml:space="preserve">PC-07</t>
  </si>
  <si>
    <t xml:space="preserve">Defaults are medium, regular thickness, round cap, accent tone, and indeterminate when value is omitted.</t>
  </si>
  <si>
    <t xml:space="preserve">PC-08</t>
  </si>
  <si>
    <t xml:space="preserve">tests/components/progress-circle/behavior.spec.ts</t>
  </si>
  <si>
    <t xml:space="preserve">PC-09</t>
  </si>
  <si>
    <t xml:space="preserve">Circle / Indicator</t>
  </si>
  <si>
    <t xml:space="preserve">A fixed viewBox, radius, path length, and dash offset produce accurate unclipped progress at every size.</t>
  </si>
  <si>
    <t xml:space="preserve">SVG geometry and ratio assertions pass.</t>
  </si>
  <si>
    <t xml:space="preserve">PC-10</t>
  </si>
  <si>
    <t xml:space="preserve">Six tones, five sizes, three stroke weights, and two caps preserve semantics and independent geometry.</t>
  </si>
  <si>
    <t xml:space="preserve">PC-11</t>
  </si>
  <si>
    <t xml:space="preserve">Circular progress stays clockwise and uses identical geometry in LTR and RTL.</t>
  </si>
  <si>
    <t xml:space="preserve">Computed transform parity passes.</t>
  </si>
  <si>
    <t xml:space="preserve">PC-12</t>
  </si>
  <si>
    <t xml:space="preserve">Indeterminate, loading, and complete arcs remain recognizable and correctly normalized.</t>
  </si>
  <si>
    <t xml:space="preserve">tests/components/progress-circle/visual.spec.ts</t>
  </si>
  <si>
    <t xml:space="preserve">PC-13</t>
  </si>
  <si>
    <t xml:space="preserve">Name relationship and custom 3/5 output assertions pass.</t>
  </si>
  <si>
    <t xml:space="preserve">PC-14</t>
  </si>
  <si>
    <t xml:space="preserve">Narrow, long-label, zoom, and RTL layouts keep rings square, centered, and unclipped.</t>
  </si>
  <si>
    <t xml:space="preserve">PC-15</t>
  </si>
  <si>
    <t xml:space="preserve">Reduced motion leaves a static recognizable arc and forced colors preserve both rings.</t>
  </si>
  <si>
    <t xml:space="preserve">tests/components/progress-circle/visual.spec.ts; tests/components/progress-circle/behavior.spec.ts</t>
  </si>
  <si>
    <t xml:space="preserve">PC-16</t>
  </si>
  <si>
    <t xml:space="preserve">Root / SVG</t>
  </si>
  <si>
    <t xml:space="preserve">One named progressbar exposes the correct range/value state, decorative SVG stays silent, and the route passes axe.</t>
  </si>
  <si>
    <t xml:space="preserve">PC-17</t>
  </si>
  <si>
    <t xml:space="preserve">src/components/progress-circle/ProgressCirclePage.tsx</t>
  </si>
  <si>
    <t xml:space="preserve">PC-18</t>
  </si>
  <si>
    <t xml:space="preserve">The public guide documents anatomy, API, defaults, recipes, geometry, accessibility, CSS, and exclusions.</t>
  </si>
  <si>
    <t xml:space="preserve">../docs/components/progress-circle/README.md</t>
  </si>
  <si>
    <t xml:space="preserve">PC-19</t>
  </si>
  <si>
    <t xml:space="preserve">Component and package changelogs record the complete consumer-visible addition.</t>
  </si>
  <si>
    <t xml:space="preserve">../docs/components/progress-circle/CHANGELOG.md; ../CHANGELOG.md</t>
  </si>
  <si>
    <t xml:space="preserve">PC-20</t>
  </si>
  <si>
    <t xml:space="preserve">Packed Consumer imports the focused subpath and composes determinate custom-range and indeterminate rings.</t>
  </si>
  <si>
    <t xml:space="preserve">PC-21</t>
  </si>
  <si>
    <t xml:space="preserve">manual-tests/progress-circle.md</t>
  </si>
  <si>
    <t xml:space="preserve">PC-22</t>
  </si>
  <si>
    <t xml:space="preserve">Carousel Evidence</t>
  </si>
  <si>
    <t xml:space="preserve">Atom-backed selection and rotation, optional finished controls, picker dots, visual recipes, responsive containment, package, documentation, Consumer, and accessibility evidence.</t>
  </si>
  <si>
    <t xml:space="preserve">CA-01</t>
  </si>
  <si>
    <t xml:space="preserve">Brick styles published Atom 0.22.2 Carousel behavior without recreating selection, scroll settlement, rotation, or semantics.</t>
  </si>
  <si>
    <t xml:space="preserve">../src/components/carousel/Carousel.tsx; ../package.json</t>
  </si>
  <si>
    <t xml:space="preserve">CA-02</t>
  </si>
  <si>
    <t xml:space="preserve">Eleven-part namespace and named exports expose behavioral and Brick-only structural parts.</t>
  </si>
  <si>
    <t xml:space="preserve">../test/components/carousel/carousel.test.tsx</t>
  </si>
  <si>
    <t xml:space="preserve">CA-03</t>
  </si>
  <si>
    <t xml:space="preserve">Root, Viewport, Track, Slide, native controls, picker, and structural wrappers preserve exact refs and hooks.</t>
  </si>
  <si>
    <t xml:space="preserve">CA-04</t>
  </si>
  <si>
    <t xml:space="preserve">Closed sizes and placements plus Atom state, rotation, native composition, and ref props type-check.</t>
  </si>
  <si>
    <t xml:space="preserve">../test/types/components/carousel.test.ts</t>
  </si>
  <si>
    <t xml:space="preserve">CA-05</t>
  </si>
  <si>
    <t xml:space="preserve">Root and carousel subpath exports preserve namespace and named runtime identity.</t>
  </si>
  <si>
    <t xml:space="preserve">CA-06</t>
  </si>
  <si>
    <t xml:space="preserve">Styles</t>
  </si>
  <si>
    <t xml:space="preserve">Delivery</t>
  </si>
  <si>
    <t xml:space="preserve">Complete and modular CSS include Carousel and Icon recipes without duplicating foundations.</t>
  </si>
  <si>
    <t xml:space="preserve">../test/package/package.test.mjs; ../scripts/css-entrypoints.mjs</t>
  </si>
  <si>
    <t xml:space="preserve">CA-07</t>
  </si>
  <si>
    <t xml:space="preserve">Medium size and overlay placement are stable defaults.</t>
  </si>
  <si>
    <t xml:space="preserve">CA-08</t>
  </si>
  <si>
    <t xml:space="preserve">Optional</t>
  </si>
  <si>
    <t xml:space="preserve">A manual Carousel may omit every visible control or author picker-only navigation.</t>
  </si>
  <si>
    <t xml:space="preserve">tests/components/carousel/behavior.spec.ts</t>
  </si>
  <si>
    <t xml:space="preserve">CA-09</t>
  </si>
  <si>
    <t xml:space="preserve">Autoplay</t>
  </si>
  <si>
    <t xml:space="preserve">RotationControl</t>
  </si>
  <si>
    <t xml:space="preserve">Automatic rotation exposes stop/start, Previous, and Next and survives the focus-click ordering contract.</t>
  </si>
  <si>
    <t xml:space="preserve">CA-10</t>
  </si>
  <si>
    <t xml:space="preserve">Named picker dots select peer slides and expose active state without Tabs semantics.</t>
  </si>
  <si>
    <t xml:space="preserve">CA-11</t>
  </si>
  <si>
    <t xml:space="preserve">Logical controls select adjacent slides and preserve Atom boundary and loop rules.</t>
  </si>
  <si>
    <t xml:space="preserve">CA-12</t>
  </si>
  <si>
    <t xml:space="preserve">Media</t>
  </si>
  <si>
    <t xml:space="preserve">Viewport / Track</t>
  </si>
  <si>
    <t xml:space="preserve">Native horizontal scrolling, one-slide snap geometry, and hidden scrollbars preserve touch interaction.</t>
  </si>
  <si>
    <t xml:space="preserve">CA-13</t>
  </si>
  <si>
    <t xml:space="preserve">Slides</t>
  </si>
  <si>
    <t xml:space="preserve">Inactive slides remain inert and assistive-hidden while the active labelled group remains available.</t>
  </si>
  <si>
    <t xml:space="preserve">CA-14</t>
  </si>
  <si>
    <t xml:space="preserve">Controls keep native names, roles, disabled state, focus rings, and 32px visual dot hit areas.</t>
  </si>
  <si>
    <t xml:space="preserve">CA-15</t>
  </si>
  <si>
    <t xml:space="preserve">Automated</t>
  </si>
  <si>
    <t xml:space="preserve">Representative rotation composition passes axe at a mobile viewport.</t>
  </si>
  <si>
    <t xml:space="preserve">CA-16</t>
  </si>
  <si>
    <t xml:space="preserve">Small, medium, and large control geometry remains coordinated.</t>
  </si>
  <si>
    <t xml:space="preserve">tests/components/carousel/visual.spec.ts</t>
  </si>
  <si>
    <t xml:space="preserve">CA-17</t>
  </si>
  <si>
    <t xml:space="preserve">Placement</t>
  </si>
  <si>
    <t xml:space="preserve">Overlay and outside control placements remain visually coherent without behavior changes.</t>
  </si>
  <si>
    <t xml:space="preserve">CA-18</t>
  </si>
  <si>
    <t xml:space="preserve">Semantic control and picker paint remains legible in adjacent light and dark scopes.</t>
  </si>
  <si>
    <t xml:space="preserve">CA-19</t>
  </si>
  <si>
    <t xml:space="preserve">Reduced motion removes decorative transitions and smooth scrolling without removing selection.</t>
  </si>
  <si>
    <t xml:space="preserve">manual-tests/carousel.md</t>
  </si>
  <si>
    <t xml:space="preserve">CA-20</t>
  </si>
  <si>
    <t xml:space="preserve">RTL mirrors logical direction artwork and preserves native selection order.</t>
  </si>
  <si>
    <t xml:space="preserve">CA-21</t>
  </si>
  <si>
    <t xml:space="preserve">Reflow</t>
  </si>
  <si>
    <t xml:space="preserve">Mobile, 200%, and 400% reflow preserve complete controls and slide content without page overflow.</t>
  </si>
  <si>
    <t xml:space="preserve">CA-22</t>
  </si>
  <si>
    <t xml:space="preserve">Forced colors</t>
  </si>
  <si>
    <t xml:space="preserve">Controls, focus indicators, and active picker remain perceivable.</t>
  </si>
  <si>
    <t xml:space="preserve">CA-23</t>
  </si>
  <si>
    <t xml:space="preserve">Assistive technology</t>
  </si>
  <si>
    <t xml:space="preserve">Screen-reader names, slide availability, rotation state, and announcements match the public contract.</t>
  </si>
  <si>
    <t xml:space="preserve">CA-24</t>
  </si>
  <si>
    <t xml:space="preserve">Agent Knowledge</t>
  </si>
  <si>
    <t xml:space="preserve">Machine-readable guidance distinguishes Carousel, Tabs, Grid, and campaign Block ownership.</t>
  </si>
  <si>
    <t xml:space="preserve">../src/components/carousel/agent.json</t>
  </si>
  <si>
    <t xml:space="preserve">CA-25</t>
  </si>
  <si>
    <t xml:space="preserve">A realistic packed-package consumer composes Carousel with public imports and CSS only.</t>
  </si>
  <si>
    <t xml:space="preserve">../apps/consumer</t>
  </si>
  <si>
    <t xml:space="preserve">ZStack Evidence</t>
  </si>
  <si>
    <t xml:space="preserve">ZS-01</t>
  </si>
  <si>
    <t xml:space="preserve">ZStack Root and Item share one source-ordered CSS Grid implementation with stable hooks and refs.</t>
  </si>
  <si>
    <t xml:space="preserve">../src/components/z-stack</t>
  </si>
  <si>
    <t xml:space="preserve">ZS-02</t>
  </si>
  <si>
    <t xml:space="preserve">Root owns the overlap region; every direct child shares one grid cell; Item owns optional logical self-placement.</t>
  </si>
  <si>
    <t xml:space="preserve">../test/components/z-stack/z-stack.test.tsx</t>
  </si>
  <si>
    <t xml:space="preserve">ZS-03</t>
  </si>
  <si>
    <t xml:space="preserve">Root, z-stack subpath, namespace, named parts, and public types expose identical runtime identities.</t>
  </si>
  <si>
    <t xml:space="preserve">ZS-04</t>
  </si>
  <si>
    <t xml:space="preserve">Semantic hosts, nine-position logical placement, asChild composition, native props, exclusions, and refs type-check.</t>
  </si>
  <si>
    <t xml:space="preserve">../test/types/components/z-stack.test.ts</t>
  </si>
  <si>
    <t xml:space="preserve">ZS-05</t>
  </si>
  <si>
    <t xml:space="preserve">Static CSS provides natural source-ordered overlap, min-inline containment, and logical start/center/end placement without absolute positioning.</t>
  </si>
  <si>
    <t xml:space="preserve">../src/components/z-stack/z-stack.css</t>
  </si>
  <si>
    <t xml:space="preserve">ZS-06</t>
  </si>
  <si>
    <t xml:space="preserve">Defaults, complete placement recipes, semantic hosts, native pass-through, asChild, hooks, events, and refs pass.</t>
  </si>
  <si>
    <t xml:space="preserve">ZS-07</t>
  </si>
  <si>
    <t xml:space="preserve">Real-browser overlap, source order, logical placement, composition, focus order, reflow, and containment pass.</t>
  </si>
  <si>
    <t xml:space="preserve">tests/components/z-stack/behavior.spec.ts</t>
  </si>
  <si>
    <t xml:space="preserve">ZS-08</t>
  </si>
  <si>
    <t xml:space="preserve">Top-start, center, and bottom-end evidence proves logical nine-position placement without changing the authored order.</t>
  </si>
  <si>
    <t xml:space="preserve">tests/components/z-stack/visual.spec.ts</t>
  </si>
  <si>
    <t xml:space="preserve">Agent-inspected the generated overview and placement baselines.</t>
  </si>
  <si>
    <t xml:space="preserve">ZS-09</t>
  </si>
  <si>
    <t xml:space="preserve">asChild gives one existing semantic child the ZStack item hooks and placement with no additional wrapper.</t>
  </si>
  <si>
    <t xml:space="preserve">ZS-10</t>
  </si>
  <si>
    <t xml:space="preserve">ZStack adds no roles or names; authored focus order, RTL, narrow reflow, and axe checks pass.</t>
  </si>
  <si>
    <t xml:space="preserve">ZS-11</t>
  </si>
  <si>
    <t xml:space="preserve">Narrow width, text-size stress, RTL, appearance, and forced colors retain readable source-ordered layers.</t>
  </si>
  <si>
    <t xml:space="preserve">manual-tests/z-stack.md</t>
  </si>
  <si>
    <t xml:space="preserve">Automated narrow, RTL, focus, and axe evidence passes; the complete human run remains pending.</t>
  </si>
  <si>
    <t xml:space="preserve">ZS-12</t>
  </si>
  <si>
    <t xml:space="preserve">A tester completes the component-owned overlap, placement, composition, zoom, device, appearance, and forced-color protocol.</t>
  </si>
  <si>
    <t xml:space="preserve">Protocol exists; owner human review remains intentionally unclaimed.</t>
  </si>
  <si>
    <t xml:space="preserve">ZS-13</t>
  </si>
  <si>
    <t xml:space="preserve">Source-backed selection, anatomy, placement, composition, accessibility, CSS, API, and agent guidance pass component checks.</t>
  </si>
  <si>
    <t xml:space="preserve">../docs/components/z-stack/README.md; ../src/components/z-stack/agent.md</t>
  </si>
  <si>
    <t xml:space="preserve">ZS-14</t>
  </si>
  <si>
    <t xml:space="preserve">ZStack owns a component changelog and the package changelog records the public layout addition.</t>
  </si>
  <si>
    <t xml:space="preserve">../docs/components/z-stack/CHANGELOG.md; ../CHANGELOG.md</t>
  </si>
  <si>
    <t xml:space="preserve">ZS-15</t>
  </si>
  <si>
    <t xml:space="preserve">Exact packed React 18 and 19 consumers import the public root and z-stack subpath without source coupling.</t>
  </si>
  <si>
    <t xml:space="preserve">../scripts/verify-consumers.mjs; ../test/package/package.test.mjs</t>
  </si>
  <si>
    <t xml:space="preserve">ZS-16</t>
  </si>
  <si>
    <t xml:space="preserve">Build, SSR-safe imports, exports, modular CSS, tarball, React 18/19 consumers, docs, browser, axe, and visual gates pass.</t>
  </si>
  <si>
    <t xml:space="preserve">Appearance Evidence</t>
  </si>
  <si>
    <t xml:space="preserve">Assertion-level wrapper-free scope, nested appearance, portal, theme-contract, accessibility, documentation, and package evidence.</t>
  </si>
  <si>
    <t xml:space="preserve">AP-01</t>
  </si>
  <si>
    <t xml:space="preserve">Appearance decorates exactly one existing DOM or Brick host with stable hooks and no additional wrapper.</t>
  </si>
  <si>
    <t xml:space="preserve">../src/components/appearance</t>
  </si>
  <si>
    <t xml:space="preserve">AP-02</t>
  </si>
  <si>
    <t xml:space="preserve">Root and appearance subpath exports expose Appearance and every public Appearance type with identical runtime identity.</t>
  </si>
  <si>
    <t xml:space="preserve">AP-03</t>
  </si>
  <si>
    <t xml:space="preserve">Light, dark, and inherit values plus one ref-capable React element type-check while invalid values, text, as, and asChild are rejected.</t>
  </si>
  <si>
    <t xml:space="preserve">../test/types/components/appearance.test.ts</t>
  </si>
  <si>
    <t xml:space="preserve">AP-04</t>
  </si>
  <si>
    <t xml:space="preserve">Static CSS applies color-scheme and complete explicit appearance selectors without component paint, spacing, or state ownership.</t>
  </si>
  <si>
    <t xml:space="preserve">../src/components/appearance/appearance.css; ../test/package/tokens.test.mjs</t>
  </si>
  <si>
    <t xml:space="preserve">AP-05</t>
  </si>
  <si>
    <t xml:space="preserve">Wrapper-free composition, all values, child props, styles, handlers, slots, refs, and invalid-child failures pass focused tests.</t>
  </si>
  <si>
    <t xml:space="preserve">../test/components/appearance/appearance.test.tsx</t>
  </si>
  <si>
    <t xml:space="preserve">AP-06</t>
  </si>
  <si>
    <t xml:space="preserve">Nested scopes</t>
  </si>
  <si>
    <t xml:space="preserve">Light-dark-light and dark-light-dark restore the nearest complete semantic scope without adding wrappers.</t>
  </si>
  <si>
    <t xml:space="preserve">tests/components/appearance/behavior.spec.ts</t>
  </si>
  <si>
    <t xml:space="preserve">AP-07</t>
  </si>
  <si>
    <t xml:space="preserve">Portals</t>
  </si>
  <si>
    <t xml:space="preserve">Drawer roots</t>
  </si>
  <si>
    <t xml:space="preserve">Explicitly scoped portalled visual roots keep the intended appearance without changing Drawer dismissal, focus, or return behavior.</t>
  </si>
  <si>
    <t xml:space="preserve">AP-08</t>
  </si>
  <si>
    <t xml:space="preserve">Compiled inputs</t>
  </si>
  <si>
    <t xml:space="preserve">Compiled Theme selectors and component inputs reach nested scopes, container portals, and explicitly scoped body-level roots.</t>
  </si>
  <si>
    <t xml:space="preserve">tests/components/appearance/behavior.spec.ts; tests/integration/theme-qualification.spec.ts</t>
  </si>
  <si>
    <t xml:space="preserve">AP-09</t>
  </si>
  <si>
    <t xml:space="preserve">Appearance adds no role, accessible name, focus behavior, or client state and remains deterministic during SSR and hydration.</t>
  </si>
  <si>
    <t xml:space="preserve">tests/components/appearance/behavior.spec.ts; ../test/package/ssr.test.mjs</t>
  </si>
  <si>
    <t xml:space="preserve">AP-10</t>
  </si>
  <si>
    <t xml:space="preserve">Scopes</t>
  </si>
  <si>
    <t xml:space="preserve">Baselines cover nested re-entry, wrapper-free composition, explicit portal scope, compact width, light, dark, and compiled Theme behavior.</t>
  </si>
  <si>
    <t xml:space="preserve">tests/components/appearance/visual.spec.ts</t>
  </si>
  <si>
    <t xml:space="preserve">Automated baselines exist; complete owner visual review is intentionally unclaimed.</t>
  </si>
  <si>
    <t xml:space="preserve">AP-11</t>
  </si>
  <si>
    <t xml:space="preserve">Narrow width, 200% and 400% zoom, RTL, forced colors, reduced motion, and keyboard use preserve containment, focus, and contrast.</t>
  </si>
  <si>
    <t xml:space="preserve">manual-tests/appearance.md</t>
  </si>
  <si>
    <t xml:space="preserve">Automated compact evidence passes; the complete human stress run remains pending.</t>
  </si>
  <si>
    <t xml:space="preserve">AP-12</t>
  </si>
  <si>
    <t xml:space="preserve">A tester completes the component-owned nested, portal, stress, Theme, and assistive-technology protocol.</t>
  </si>
  <si>
    <t xml:space="preserve">AP-13</t>
  </si>
  <si>
    <t xml:space="preserve">Public guidance covers selection, wrapper-free anatomy, values, portals, accessibility, responsive ownership, CSS, and customization.</t>
  </si>
  <si>
    <t xml:space="preserve">../docs/components/appearance/README.md</t>
  </si>
  <si>
    <t xml:space="preserve">AP-14</t>
  </si>
  <si>
    <t xml:space="preserve">Machine-readable guidance distinguishes appearance scope, Surface paint, Theme generation, and application preference ownership.</t>
  </si>
  <si>
    <t xml:space="preserve">../src/components/appearance/agent.json; ../src/components/appearance/agent.md</t>
  </si>
  <si>
    <t xml:space="preserve">AP-15</t>
  </si>
  <si>
    <t xml:space="preserve">Appearance owns a public changelog and the package history records its scope and compiled Theme qualification.</t>
  </si>
  <si>
    <t xml:space="preserve">../docs/components/appearance/CHANGELOG.md; ../CHANGELOG.md</t>
  </si>
  <si>
    <t xml:space="preserve">AP-16</t>
  </si>
  <si>
    <t xml:space="preserve">A packed consumer directly composes the local Appearance component rather than only owning document preference state.</t>
  </si>
  <si>
    <t xml:space="preserve">The packed consumer currently owns document-root preference state and does not directly import Appearance; package and SSR gates prove this component.</t>
  </si>
  <si>
    <t xml:space="preserve">AP-17</t>
  </si>
  <si>
    <t xml:space="preserve">Build, SSR, exports, CSS, tokens, tarball, React 18/19, docs, browser, axe, and visual gates pass.</t>
  </si>
  <si>
    <t xml:space="preserve">../test/package; ../scripts/verify-package.mjs</t>
  </si>
  <si>
    <t xml:space="preserve">Frame Evidence</t>
  </si>
  <si>
    <t xml:space="preserve">Assertion-level logical size-constraint, responsive, nesting, composition, browser, documentation, and package evidence.</t>
  </si>
  <si>
    <t xml:space="preserve">FR-01</t>
  </si>
  <si>
    <t xml:space="preserve">Frame renders one approved semantic host and owns only six logical size constraints with stable hooks and forwarded refs.</t>
  </si>
  <si>
    <t xml:space="preserve">../src/components/frame</t>
  </si>
  <si>
    <t xml:space="preserve">FR-02</t>
  </si>
  <si>
    <t xml:space="preserve">Root and frame subpath exports expose Frame and every public Frame type with identical runtime identity.</t>
  </si>
  <si>
    <t xml:space="preserve">FR-03</t>
  </si>
  <si>
    <t xml:space="preserve">Closed hosts, six responsive logical constraints, native props, refs, and rejected paint, overflow, and invalid breakpoint props type-check.</t>
  </si>
  <si>
    <t xml:space="preserve">../test/types/components/frame.test.ts</t>
  </si>
  <si>
    <t xml:space="preserve">FR-04</t>
  </si>
  <si>
    <t xml:space="preserve">Static CSS maps base and standard-breakpoint logical variables without taking over paint, layout, spacing, or overflow.</t>
  </si>
  <si>
    <t xml:space="preserve">../src/components/frame/frame.css</t>
  </si>
  <si>
    <t xml:space="preserve">FR-05</t>
  </si>
  <si>
    <t xml:space="preserve">Defaults, every constraint, responsive serialization, asChild composition, native props, hooks, refs, and prop filtering pass.</t>
  </si>
  <si>
    <t xml:space="preserve">../test/components/frame/frame.test.tsx</t>
  </si>
  <si>
    <t xml:space="preserve">FR-06</t>
  </si>
  <si>
    <t xml:space="preserve">Inline, minimum, maximum, block, responsive carry-forward, and prop-leakage behavior resolve correctly in a real browser.</t>
  </si>
  <si>
    <t xml:space="preserve">tests/components/frame/behavior.spec.ts</t>
  </si>
  <si>
    <t xml:space="preserve">FR-07</t>
  </si>
  <si>
    <t xml:space="preserve">asChild</t>
  </si>
  <si>
    <t xml:space="preserve">Frame enhances one semantic or painted child while preserving one host, its props, style, slot, and ref.</t>
  </si>
  <si>
    <t xml:space="preserve">FR-08</t>
  </si>
  <si>
    <t xml:space="preserve">Nesting</t>
  </si>
  <si>
    <t xml:space="preserve">Nested Frames keep base and responsive variables locally scoped instead of inheriting parent constraints.</t>
  </si>
  <si>
    <t xml:space="preserve">FR-09</t>
  </si>
  <si>
    <t xml:space="preserve">Logical sizing adds no landmark or behavior and preserves source order, focus visibility, axe, RTL, and vertical writing.</t>
  </si>
  <si>
    <t xml:space="preserve">FR-10</t>
  </si>
  <si>
    <t xml:space="preserve">Baselines cover qualified constraints, nested composition, responsive mobile geometry, and readable containment.</t>
  </si>
  <si>
    <t xml:space="preserve">tests/components/frame/visual.spec.ts</t>
  </si>
  <si>
    <t xml:space="preserve">FR-11</t>
  </si>
  <si>
    <t xml:space="preserve">Physical mobile, 200% and 400% zoom, long content, RTL, vertical writing, and bounded ScrollArea composition remain usable.</t>
  </si>
  <si>
    <t xml:space="preserve">manual-tests/frame.md</t>
  </si>
  <si>
    <t xml:space="preserve">Automated logical stress evidence passes; the complete human run remains pending.</t>
  </si>
  <si>
    <t xml:space="preserve">FR-12</t>
  </si>
  <si>
    <t xml:space="preserve">A tester completes the component-owned constraints, nesting, scrolling, focus, writing-mode, and appearance protocol.</t>
  </si>
  <si>
    <t xml:space="preserve">FR-13</t>
  </si>
  <si>
    <t xml:space="preserve">Public and Agent Knowledge guidance covers selection, ownership boundaries, constraints, composition, accessibility, CSS, and API details.</t>
  </si>
  <si>
    <t xml:space="preserve">../docs/components/frame/README.md; ../src/components/frame/agent.json; ../src/components/frame/agent.md</t>
  </si>
  <si>
    <t xml:space="preserve">FR-14</t>
  </si>
  <si>
    <t xml:space="preserve">Frame owns a public changelog and package history records the responsive primitive and nested-scope correction.</t>
  </si>
  <si>
    <t xml:space="preserve">../docs/components/frame/CHANGELOG.md; ../CHANGELOG.md</t>
  </si>
  <si>
    <t xml:space="preserve">FR-15</t>
  </si>
  <si>
    <t xml:space="preserve">A packed consumer directly imports Frame for a realistic local size constraint.</t>
  </si>
  <si>
    <t xml:space="preserve">The packed consumer does not directly import Frame; package, SSR, and component gates prove the public artifact.</t>
  </si>
  <si>
    <t xml:space="preserve">FR-16</t>
  </si>
  <si>
    <t xml:space="preserve">Build, SSR, exports, CSS, tarball, React 18/19, docs, browser, axe, and visual gates pass.</t>
  </si>
  <si>
    <t xml:space="preserve">Section Evidence</t>
  </si>
  <si>
    <t xml:space="preserve">Assertion-level semantic region, responsive rhythm, logical-edge, composition, accessibility, documentation, and package evidence.</t>
  </si>
  <si>
    <t xml:space="preserve">SE-01</t>
  </si>
  <si>
    <t xml:space="preserve">Section renders one approved native host and owns only themeable logical block rhythm with stable hooks and forwarded refs.</t>
  </si>
  <si>
    <t xml:space="preserve">../src/components/section</t>
  </si>
  <si>
    <t xml:space="preserve">SE-02</t>
  </si>
  <si>
    <t xml:space="preserve">Root and section subpath exports expose Section and every public Section type with identical runtime identity.</t>
  </si>
  <si>
    <t xml:space="preserve">SE-03</t>
  </si>
  <si>
    <t xml:space="preserve">Closed hosts, six named spacing values, responsive and independent edge values, native props, refs, and ownership exclusions type-check.</t>
  </si>
  <si>
    <t xml:space="preserve">../test/types/components/section.test.ts</t>
  </si>
  <si>
    <t xml:space="preserve">SE-04</t>
  </si>
  <si>
    <t xml:space="preserve">Rhythm</t>
  </si>
  <si>
    <t xml:space="preserve">Static CSS ships six fluid token-derived recipes, independent logical edges, responsive breakpoints, and public variables without paint or layout ownership.</t>
  </si>
  <si>
    <t xml:space="preserve">../src/components/section/section.css</t>
  </si>
  <si>
    <t xml:space="preserve">SE-05</t>
  </si>
  <si>
    <t xml:space="preserve">Defaults, all recipes, responsive serialization, approved hosts, native props, hooks, events, styles, children, and refs pass.</t>
  </si>
  <si>
    <t xml:space="preserve">../test/components/section/section.test.tsx</t>
  </si>
  <si>
    <t xml:space="preserve">SE-06</t>
  </si>
  <si>
    <t xml:space="preserve">Scale</t>
  </si>
  <si>
    <t xml:space="preserve">The closed rhythm scale grows monotonically, keeps the medium default, and remains themeable in a real browser.</t>
  </si>
  <si>
    <t xml:space="preserve">tests/components/section/behavior.spec.ts</t>
  </si>
  <si>
    <t xml:space="preserve">SE-07</t>
  </si>
  <si>
    <t xml:space="preserve">Responsive values change at Brick breakpoints with CSS carry-forward and no JavaScript viewport switching.</t>
  </si>
  <si>
    <t xml:space="preserve">SE-08</t>
  </si>
  <si>
    <t xml:space="preserve">Logical edges</t>
  </si>
  <si>
    <t xml:space="preserve">startSpacing and endSpacing change only their requested logical edges in horizontal and vertical writing.</t>
  </si>
  <si>
    <t xml:space="preserve">SE-09</t>
  </si>
  <si>
    <t xml:space="preserve">Surface/Container</t>
  </si>
  <si>
    <t xml:space="preserve">Surface asChild and Section share one painted semantic host while Container and Stack retain measure and child-layout ownership.</t>
  </si>
  <si>
    <t xml:space="preserve">tests/components/section/behavior.spec.ts; ../test/package/ssr.test.mjs</t>
  </si>
  <si>
    <t xml:space="preserve">SE-10</t>
  </si>
  <si>
    <t xml:space="preserve">Section adds no role or name, preserves valid authored landmarks, source and focus order, axe, reflow, RTL, and vertical writing.</t>
  </si>
  <si>
    <t xml:space="preserve">SE-11</t>
  </si>
  <si>
    <t xml:space="preserve">Baselines cover the complete scale, responsive mobile behavior, asymmetric edges, dark composition, and logical stress.</t>
  </si>
  <si>
    <t xml:space="preserve">tests/components/section/visual.spec.ts</t>
  </si>
  <si>
    <t xml:space="preserve">SE-12</t>
  </si>
  <si>
    <t xml:space="preserve">A tester completes the component-owned scale, edge, semantic, composition, zoom, focus, and assistive-technology protocol.</t>
  </si>
  <si>
    <t xml:space="preserve">manual-tests/section.md</t>
  </si>
  <si>
    <t xml:space="preserve">SE-13</t>
  </si>
  <si>
    <t xml:space="preserve">Public guidance covers selection, semantic ownership, named rhythm, responsive edges, composition, accessibility, CSS, and API details.</t>
  </si>
  <si>
    <t xml:space="preserve">../docs/components/section/README.md</t>
  </si>
  <si>
    <t xml:space="preserve">SE-14</t>
  </si>
  <si>
    <t xml:space="preserve">Machine-readable guidance separates major-region rhythm from Surface paint, Container measure, Stack/Grid layout, and Blocks.</t>
  </si>
  <si>
    <t xml:space="preserve">../src/components/section/agent.json; ../src/components/section/agent.md</t>
  </si>
  <si>
    <t xml:space="preserve">SE-15</t>
  </si>
  <si>
    <t xml:space="preserve">Section owns a public changelog and package history records the semantic responsive rhythm primitive.</t>
  </si>
  <si>
    <t xml:space="preserve">../docs/components/section/CHANGELOG.md; ../CHANGELOG.md</t>
  </si>
  <si>
    <t xml:space="preserve">SE-16</t>
  </si>
  <si>
    <t xml:space="preserve">A packed consumer directly imports Section for a realistic major-region rhythm boundary.</t>
  </si>
  <si>
    <t xml:space="preserve">The packed consumer currently uses other semantic Brick hosts rather than directly importing Section; package and SSR gates prove this component.</t>
  </si>
  <si>
    <t xml:space="preserve">SE-17</t>
  </si>
  <si>
    <t xml:space="preserve">Reorderable List Evidence</t>
  </si>
  <si>
    <t xml:space="preserve">Assertion-level Atom-backed manual ordering, recipes, input parity, focus, responsive containment, documentation, Consumer, and accessibility evidence.</t>
  </si>
  <si>
    <t xml:space="preserve">RL-01</t>
  </si>
  <si>
    <t xml:space="preserve">Brick styles published Atom Reorder behavior without recreating drag, touch, keyboard, focus, announcements, cancellation, or reorder state.</t>
  </si>
  <si>
    <t xml:space="preserve">../src/components/reorderable-list/ReorderableList.tsx; ../package.json</t>
  </si>
  <si>
    <t xml:space="preserve">RL-02</t>
  </si>
  <si>
    <t xml:space="preserve">Root, Item, Handle, Content, Actions, four direct Move controls, and DropIndicator expose the adopted ordered-list anatomy and refs.</t>
  </si>
  <si>
    <t xml:space="preserve">../test/components/reorderable-list/reorderable-list.test.tsx</t>
  </si>
  <si>
    <t xml:space="preserve">RL-03</t>
  </si>
  <si>
    <t xml:space="preserve">Root and reorderable-list subpath exports expose the complete namespace, named parts, and public types with identical identities.</t>
  </si>
  <si>
    <t xml:space="preserve">RL-04</t>
  </si>
  <si>
    <t xml:space="preserve">Closed sizes and variants, stable item labels, named handles and controls, native props, refs, and invalid omissions type-check.</t>
  </si>
  <si>
    <t xml:space="preserve">../test/types/components/reorderable-list.test.ts</t>
  </si>
  <si>
    <t xml:space="preserve">RL-05</t>
  </si>
  <si>
    <t xml:space="preserve">Static CSS ships complete outline and soft recipes, three sizes, state paint, logical orientation, narrow composition, and public variables.</t>
  </si>
  <si>
    <t xml:space="preserve">../src/components/reorderable-list/reorderable-list.css</t>
  </si>
  <si>
    <t xml:space="preserve">RL-06</t>
  </si>
  <si>
    <t xml:space="preserve">Default anatomy, recipes, direct completion details, native props, hooks, refs, disabled, and read-only behavior pass focused tests.</t>
  </si>
  <si>
    <t xml:space="preserve">RL-07</t>
  </si>
  <si>
    <t xml:space="preserve">Direct movement</t>
  </si>
  <si>
    <t xml:space="preserve">Move controls</t>
  </si>
  <si>
    <t xml:space="preserve">Visible before and after controls update stable order exactly once, expose unavailable states, and retain focus on the moved item.</t>
  </si>
  <si>
    <t xml:space="preserve">tests/components/reorderable-list/behavior.spec.ts</t>
  </si>
  <si>
    <t xml:space="preserve">RL-08</t>
  </si>
  <si>
    <t xml:space="preserve">Handle</t>
  </si>
  <si>
    <t xml:space="preserve">Space lift/drop, arrow target movement, Escape cancellation, stable identity, and keyed focus preservation pass.</t>
  </si>
  <si>
    <t xml:space="preserve">RL-09</t>
  </si>
  <si>
    <t xml:space="preserve">Pointer</t>
  </si>
  <si>
    <t xml:space="preserve">Mouse dragging commits at valid item targets and abandoned movement outside valid space preserves the starting order.</t>
  </si>
  <si>
    <t xml:space="preserve">RL-10</t>
  </si>
  <si>
    <t xml:space="preserve">Recipes, insertion targets, complete focus rings, state paint, and container-responsive narrow action placement remain contained.</t>
  </si>
  <si>
    <t xml:space="preserve">RL-11</t>
  </si>
  <si>
    <t xml:space="preserve">Horizontal overflow and RTL preserve logical before/after placement, useful item measure, and source order.</t>
  </si>
  <si>
    <t xml:space="preserve">RL-12</t>
  </si>
  <si>
    <t xml:space="preserve">Ordered-list semantics, complete control names, equivalent direct movement, focus, state, and axe checks pass without drag-only operation.</t>
  </si>
  <si>
    <t xml:space="preserve">RL-13</t>
  </si>
  <si>
    <t xml:space="preserve">Reviewed baselines cover overview, recipes, direct movement, states, dark Theme, mobile RTL, and forced-color boundaries.</t>
  </si>
  <si>
    <t xml:space="preserve">tests/components/reorderable-list/visual.spec.ts</t>
  </si>
  <si>
    <t xml:space="preserve">Owner reviewed the implemented list during Batch 04 Lab C qualification.</t>
  </si>
  <si>
    <t xml:space="preserve">RL-14</t>
  </si>
  <si>
    <t xml:space="preserve">Input and stress</t>
  </si>
  <si>
    <t xml:space="preserve">A tester completes keyboard, mouse, physical touch, cancellation, focus, screen-reader announcements, zoom, appearance, and direction protocol.</t>
  </si>
  <si>
    <t xml:space="preserve">manual-tests/reorderable-list.md</t>
  </si>
  <si>
    <t xml:space="preserve">Automated browser evidence and owner visual review pass; physical touch and recorded assistive-technology review remain pending.</t>
  </si>
  <si>
    <t xml:space="preserve">RL-15</t>
  </si>
  <si>
    <t xml:space="preserve">Public guidance covers selection, anatomy, recipes, manual-order ownership, responsive behavior, accessibility, CSS, and application boundaries.</t>
  </si>
  <si>
    <t xml:space="preserve">../docs/components/reorderable-list/README.md</t>
  </si>
  <si>
    <t xml:space="preserve">RL-16</t>
  </si>
  <si>
    <t xml:space="preserve">Machine-readable guidance distinguishes manual ordering from static List, Data Grid sorting, and multi-container drag jobs.</t>
  </si>
  <si>
    <t xml:space="preserve">../src/components/reorderable-list/agent.json; ../src/components/reorderable-list/agent.md</t>
  </si>
  <si>
    <t xml:space="preserve">RL-17</t>
  </si>
  <si>
    <t xml:space="preserve">The component changelog records the finished Atom-backed manual-order composition and container-responsive layout.</t>
  </si>
  <si>
    <t xml:space="preserve">../docs/components/reorderable-list/CHANGELOG.md; ../CHANGELOG.md</t>
  </si>
  <si>
    <t xml:space="preserve">RL-18</t>
  </si>
  <si>
    <t xml:space="preserve">A realistic packed-package consumer composes public Reorderable List imports with stable data and direct movement controls.</t>
  </si>
  <si>
    <t xml:space="preserve">RL-19</t>
  </si>
  <si>
    <t xml:space="preserve">Build, SSR, exports, CSS, Atom compatibility, tarball, React 18/19, packed Consumer, browser, axe, and visual gates pass.</t>
  </si>
  <si>
    <t xml:space="preserve">Automated package gates pass; complete status waits for the component-owned physical-touch and assistive-technology manual run.</t>
  </si>
  <si>
    <t xml:space="preserve">Color Swatch Evidence</t>
  </si>
  <si>
    <t xml:space="preserve">Assertion-level passive preview, CSS, browser, accessibility, documentation, and package evidence.</t>
  </si>
  <si>
    <t xml:space="preserve">CS-01</t>
  </si>
  <si>
    <t xml:space="preserve">Root / Mix</t>
  </si>
  <si>
    <t xml:space="preserve">Root and Mix render passive single- and multi-color previews with decorative or named image semantics.</t>
  </si>
  <si>
    <t xml:space="preserve">../src/components/color-swatch</t>
  </si>
  <si>
    <t xml:space="preserve">CS-02</t>
  </si>
  <si>
    <t xml:space="preserve">ColorSwatch</t>
  </si>
  <si>
    <t xml:space="preserve">Root and color-swatch subpath exports expose runtime and declaration surfaces.</t>
  </si>
  <si>
    <t xml:space="preserve">CS-03</t>
  </si>
  <si>
    <t xml:space="preserve">Required values, two-color Mix tuple, refs, sizes, and invalid cases type-check.</t>
  </si>
  <si>
    <t xml:space="preserve">../test/types/components/color-swatch.test.ts</t>
  </si>
  <si>
    <t xml:space="preserve">CS-04</t>
  </si>
  <si>
    <t xml:space="preserve">Static public CSS provides checker, paint, size, border, radius, and forced-color hooks.</t>
  </si>
  <si>
    <t xml:space="preserve">../src/components/color-swatch/color-swatch.css</t>
  </si>
  <si>
    <t xml:space="preserve">CS-05</t>
  </si>
  <si>
    <t xml:space="preserve">DOM, refs, semantics, size recipes, and generated single/mixed value hooks pass focused tests.</t>
  </si>
  <si>
    <t xml:space="preserve">../test/components/color-swatch/color-swatch.test.tsx</t>
  </si>
  <si>
    <t xml:space="preserve">CS-06</t>
  </si>
  <si>
    <t xml:space="preserve">Real-browser solid, alpha, mix, semantics, and exact size checks pass.</t>
  </si>
  <si>
    <t xml:space="preserve">tests/components/color-swatch/behavior.spec.ts</t>
  </si>
  <si>
    <t xml:space="preserve">CS-07</t>
  </si>
  <si>
    <t xml:space="preserve">Axe passes and decorative versus labeled image semantics match the contract.</t>
  </si>
  <si>
    <t xml:space="preserve">CS-08</t>
  </si>
  <si>
    <t xml:space="preserve">Risk-selected solid, alpha, mix, size, and appearance evidence receives owner visual review.</t>
  </si>
  <si>
    <t xml:space="preserve">tests/components/color-swatch/visual.spec.ts</t>
  </si>
  <si>
    <t xml:space="preserve">CS-09</t>
  </si>
  <si>
    <t xml:space="preserve">Narrow, zoom/reflow, content stress, and RTL remain aligned and contained.</t>
  </si>
  <si>
    <t xml:space="preserve">manual-tests/color-swatch.md</t>
  </si>
  <si>
    <t xml:space="preserve">Manual owner review not yet recorded.</t>
  </si>
  <si>
    <t xml:space="preserve">CS-10</t>
  </si>
  <si>
    <t xml:space="preserve">Light, dark, checker contrast, and forced-colors boundaries remain perceivable.</t>
  </si>
  <si>
    <t xml:space="preserve">CS-11</t>
  </si>
  <si>
    <t xml:space="preserve">Passive swatches remain noninteractive and compose inside semantic owners without color-only meaning.</t>
  </si>
  <si>
    <t xml:space="preserve">manual-tests/color-swatch.md; tests/components/color-swatch/behavior.spec.ts</t>
  </si>
  <si>
    <t xml:space="preserve">Owner composition review not yet recorded.</t>
  </si>
  <si>
    <t xml:space="preserve">CS-12</t>
  </si>
  <si>
    <t xml:space="preserve">The numbered component-owned manual protocol passes every playground scenario.</t>
  </si>
  <si>
    <t xml:space="preserve">No completed manual run is recorded.</t>
  </si>
  <si>
    <t xml:space="preserve">CS-13</t>
  </si>
  <si>
    <t xml:space="preserve">Public usage, API, accessibility, customization, and evidence documentation passes verification.</t>
  </si>
  <si>
    <t xml:space="preserve">../docs/components/color-swatch/README.md</t>
  </si>
  <si>
    <t xml:space="preserve">CS-14</t>
  </si>
  <si>
    <t xml:space="preserve">The component owns release-facing change history.</t>
  </si>
  <si>
    <t xml:space="preserve">../docs/components/color-swatch/CHANGELOG.md</t>
  </si>
  <si>
    <t xml:space="preserve">CS-15</t>
  </si>
  <si>
    <t xml:space="preserve">The standalone packed-package consumer imports and exercises a realistic preview composition.</t>
  </si>
  <si>
    <t xml:space="preserve">Consumer browser verification passed in desktop and mobile Chromium.</t>
  </si>
  <si>
    <t xml:space="preserve">CS-16</t>
  </si>
  <si>
    <t xml:space="preserve">Build, exports, tarball, CSS, and clean consumer boundary verification pass.</t>
  </si>
  <si>
    <t xml:space="preserve">Verified with the exact local Atom release-candidate archive while the registry artifact is unavailable.</t>
  </si>
  <si>
    <t xml:space="preserve">Bleed Evidence</t>
  </si>
  <si>
    <t xml:space="preserve">Assertion-level static layout, responsive geometry, composition, accessibility, documentation, and package evidence.</t>
  </si>
  <si>
    <t xml:space="preserve">BLD-01</t>
  </si>
  <si>
    <t xml:space="preserve">Bleed renders one selected native host or enhances one non-Fragment child without adding descendants, semantics, focus, or behavior.</t>
  </si>
  <si>
    <t xml:space="preserve">../src/components/bleed</t>
  </si>
  <si>
    <t xml:space="preserve">BLD-02</t>
  </si>
  <si>
    <t xml:space="preserve">The one public part exposes stable class, data-bleed, data-slot, native host, and forwarded-ref ownership.</t>
  </si>
  <si>
    <t xml:space="preserve">../test/components/bleed/bleed.test.tsx</t>
  </si>
  <si>
    <t xml:space="preserve">BLD-03</t>
  </si>
  <si>
    <t xml:space="preserve">Root and bleed subpath exports expose Bleed, BleedProps, and BleedElement through runtime and declaration surfaces.</t>
  </si>
  <si>
    <t xml:space="preserve">BLD-04</t>
  </si>
  <si>
    <t xml:space="preserve">Closed host choices, responsive spacing, asChild composition, refs, and rejected paint props type-check.</t>
  </si>
  <si>
    <t xml:space="preserve">../test/types/components/bleed.test.ts</t>
  </si>
  <si>
    <t xml:space="preserve">BLD-05</t>
  </si>
  <si>
    <t xml:space="preserve">Static utility-layer CSS converts logical public spacing into locally scoped negative margins across initial, sm, md, lg, and xl states.</t>
  </si>
  <si>
    <t xml:space="preserve">../src/components/bleed/bleed.css</t>
  </si>
  <si>
    <t xml:space="preserve">BLD-06</t>
  </si>
  <si>
    <t xml:space="preserve">Props</t>
  </si>
  <si>
    <t xml:space="preserve">Axis and directional values serialize without DOM leakage, and a directional edge overrides its matching axis edge.</t>
  </si>
  <si>
    <t xml:space="preserve">BLD-07</t>
  </si>
  <si>
    <t xml:space="preserve">Real-browser geometry crosses only authored logical edges and responsive values change at the tested viewport.</t>
  </si>
  <si>
    <t xml:space="preserve">tests/components/bleed/behavior.spec.ts</t>
  </si>
  <si>
    <t xml:space="preserve">BLD-08</t>
  </si>
  <si>
    <t xml:space="preserve">asChild preserves the authored semantic figure and composed class/ref ownership without adding a wrapper.</t>
  </si>
  <si>
    <t xml:space="preserve">../test/components/bleed/bleed.test.tsx; tests/components/bleed/behavior.spec.ts</t>
  </si>
  <si>
    <t xml:space="preserve">BLD-09</t>
  </si>
  <si>
    <t xml:space="preserve">Narrow-width overflow and axe checks pass while Bleed remains semantically neutral.</t>
  </si>
  <si>
    <t xml:space="preserve">BLD-10</t>
  </si>
  <si>
    <t xml:space="preserve">The visual owner defines edge-media and narrow responsive screenshots, but the required baselines do not exist yet.</t>
  </si>
  <si>
    <t xml:space="preserve">tests/components/bleed/visual.spec.ts</t>
  </si>
  <si>
    <t xml:space="preserve">Focused Chromium visual checks wrote actuals because both required baselines are missing.</t>
  </si>
  <si>
    <t xml:space="preserve">BLD-11</t>
  </si>
  <si>
    <t xml:space="preserve">Stress</t>
  </si>
  <si>
    <t xml:space="preserve">320 px, zoom, long content, nested values, RTL, and focus visibility receive the numbered human review.</t>
  </si>
  <si>
    <t xml:space="preserve">manual-tests/bleed.md</t>
  </si>
  <si>
    <t xml:space="preserve">No completed responsive and RTL owner run is recorded.</t>
  </si>
  <si>
    <t xml:space="preserve">BLD-12</t>
  </si>
  <si>
    <t xml:space="preserve">Forced colors and appearance changes preserve descendant readability and focus without introducing component paint.</t>
  </si>
  <si>
    <t xml:space="preserve">No completed appearance owner run is recorded.</t>
  </si>
  <si>
    <t xml:space="preserve">BLD-13</t>
  </si>
  <si>
    <t xml:space="preserve">The numbered component-owned protocol passes axis, responsive, nested, narrow, zoom, RTL, device, and assistive-technology scenarios.</t>
  </si>
  <si>
    <t xml:space="preserve">BLD-14</t>
  </si>
  <si>
    <t xml:space="preserve">One route exposes axis, one-edge, responsive, nested, and stress specimens for review.</t>
  </si>
  <si>
    <t xml:space="preserve">src/components/bleed/BleedPage.tsx</t>
  </si>
  <si>
    <t xml:space="preserve">BLD-15</t>
  </si>
  <si>
    <t xml:space="preserve">Public use, exclusions, API, responsive behavior, accessibility, composition, customization, and evidence documentation pass.</t>
  </si>
  <si>
    <t xml:space="preserve">../docs/components/bleed/README.md</t>
  </si>
  <si>
    <t xml:space="preserve">BLD-16</t>
  </si>
  <si>
    <t xml:space="preserve">Machine-readable selection, props, composition, accessibility, and evidence guidance ships with the component.</t>
  </si>
  <si>
    <t xml:space="preserve">../src/components/bleed/agent.json; ../src/components/bleed/agent.md</t>
  </si>
  <si>
    <t xml:space="preserve">BLD-17</t>
  </si>
  <si>
    <t xml:space="preserve">Bleed owns component history and the package changelog records its addition.</t>
  </si>
  <si>
    <t xml:space="preserve">../docs/components/bleed/CHANGELOG.md; ../CHANGELOG.md</t>
  </si>
  <si>
    <t xml:space="preserve">BLD-18</t>
  </si>
  <si>
    <t xml:space="preserve">The packed standalone Consumer imports the public bleed subpath in a realistic edge-media composition.</t>
  </si>
  <si>
    <t xml:space="preserve">No Bleed Consumer composition or assertion exists yet.</t>
  </si>
  <si>
    <t xml:space="preserve">BLD-19</t>
  </si>
  <si>
    <t xml:space="preserve">Build, exports, CSS, tarball, component tests, and repository verification pass.</t>
  </si>
  <si>
    <t xml:space="preserve">Clean Consumer verification cannot install unpublished @flowstack-ui/atom 0.23.1 from the public registry.</t>
  </si>
  <si>
    <t xml:space="preserve">BLD-20</t>
  </si>
  <si>
    <t xml:space="preserve">The adopted contract records Bleed as a Brick-native static layout primitive with no missing Atom capability.</t>
  </si>
  <si>
    <t xml:space="preserve">../../docs/components/bleed/contract.md</t>
  </si>
  <si>
    <t xml:space="preserve">Data List Evidence</t>
  </si>
  <si>
    <t xml:space="preserve">Assertion-level native description-list, responsive recipe, accessibility, documentation, and package evidence.</t>
  </si>
  <si>
    <t xml:space="preserve">DL-01</t>
  </si>
  <si>
    <t xml:space="preserve">Root / Item / Label / Value</t>
  </si>
  <si>
    <t xml:space="preserve">The four public parts render fixed dl, div, dt, and dd hosts with forwarded refs and native props.</t>
  </si>
  <si>
    <t xml:space="preserve">../src/components/data-list</t>
  </si>
  <si>
    <t xml:space="preserve">DL-02</t>
  </si>
  <si>
    <t xml:space="preserve">Stable classes and data-slot hooks preserve Label-before-Value source order inside every Item.</t>
  </si>
  <si>
    <t xml:space="preserve">../test/components/data-list/data-list.test.tsx</t>
  </si>
  <si>
    <t xml:space="preserve">DL-03</t>
  </si>
  <si>
    <t xml:space="preserve">DataList</t>
  </si>
  <si>
    <t xml:space="preserve">Namespace, named parts, public types, root export, and data-list subpath are exported.</t>
  </si>
  <si>
    <t xml:space="preserve">DL-04</t>
  </si>
  <si>
    <t xml:space="preserve">Sizes, orientations, label widths, responsive values, native props, and exact refs type-check.</t>
  </si>
  <si>
    <t xml:space="preserve">../test/types/components/data-list.test.ts</t>
  </si>
  <si>
    <t xml:space="preserve">DL-05</t>
  </si>
  <si>
    <t xml:space="preserve">Static CSS provides size, orientation, label measure, divider, wrapping, RTL, and forced-color recipes through public hooks.</t>
  </si>
  <si>
    <t xml:space="preserve">../src/components/data-list/data-list.css</t>
  </si>
  <si>
    <t xml:space="preserve">DL-06</t>
  </si>
  <si>
    <t xml:space="preserve">Medium vertical layout, automatic label width, and no separators are the canonical defaults.</t>
  </si>
  <si>
    <t xml:space="preserve">DL-07</t>
  </si>
  <si>
    <t xml:space="preserve">Small, medium, large, divided, and closed label-width recipes serialize through stable data attributes.</t>
  </si>
  <si>
    <t xml:space="preserve">DL-08</t>
  </si>
  <si>
    <t xml:space="preserve">Responsive orientation changes presentation while retaining one native description-list tree and the same term/value order.</t>
  </si>
  <si>
    <t xml:space="preserve">tests/components/data-list/behavior.spec.ts</t>
  </si>
  <si>
    <t xml:space="preserve">DL-09</t>
  </si>
  <si>
    <t xml:space="preserve">Root / Label / Value</t>
  </si>
  <si>
    <t xml:space="preserve">Native dl, dt, and dd semantics remain intact without redundant roles, and axe passes.</t>
  </si>
  <si>
    <t xml:space="preserve">DL-10</t>
  </si>
  <si>
    <t xml:space="preserve">The visual owner currently proves route visibility but lacks risk-selected screenshot baselines and owner review.</t>
  </si>
  <si>
    <t xml:space="preserve">tests/components/data-list/visual.spec.ts</t>
  </si>
  <si>
    <t xml:space="preserve">Capture and review size, orientation, divider, dark, RTL, and forced-color baselines.</t>
  </si>
  <si>
    <t xml:space="preserve">DL-11</t>
  </si>
  <si>
    <t xml:space="preserve">Long labels and values remain readable at narrow widths, 200% text, 400% zoom, localization, and RTL.</t>
  </si>
  <si>
    <t xml:space="preserve">manual-tests/data-list.md</t>
  </si>
  <si>
    <t xml:space="preserve">No completed reflow and RTL owner run is recorded.</t>
  </si>
  <si>
    <t xml:space="preserve">DL-12</t>
  </si>
  <si>
    <t xml:space="preserve">Light, dark, forced-colors, dividers, and nested focus remain distinguishable.</t>
  </si>
  <si>
    <t xml:space="preserve">DL-13</t>
  </si>
  <si>
    <t xml:space="preserve">Value</t>
  </si>
  <si>
    <t xml:space="preserve">Rich values retain their own native links and controls without row action, focus, or table semantics.</t>
  </si>
  <si>
    <t xml:space="preserve">manual-tests/data-list.md; src/components/data-list/DataListPage.tsx</t>
  </si>
  <si>
    <t xml:space="preserve">The composition exists; owner keyboard and assistive-technology review is pending.</t>
  </si>
  <si>
    <t xml:space="preserve">DL-14</t>
  </si>
  <si>
    <t xml:space="preserve">The numbered component-owned protocol passes semantics, recipes, rich values, theme, reflow, RTL, device, and assistive-technology scenarios.</t>
  </si>
  <si>
    <t xml:space="preserve">DL-15</t>
  </si>
  <si>
    <t xml:space="preserve">One route exposes orientations, sizes, label measures, composition, theme, and stress scenarios.</t>
  </si>
  <si>
    <t xml:space="preserve">src/components/data-list/DataListPage.tsx</t>
  </si>
  <si>
    <t xml:space="preserve">DL-16</t>
  </si>
  <si>
    <t xml:space="preserve">Public use, API, anatomy, semantics, responsive behavior, accessibility, customization, and evidence documentation pass.</t>
  </si>
  <si>
    <t xml:space="preserve">../docs/components/data-list/README.md</t>
  </si>
  <si>
    <t xml:space="preserve">DL-17</t>
  </si>
  <si>
    <t xml:space="preserve">Machine-readable guidance distinguishes metadata pairs from peer lists, tables, editable fields, and generic layout.</t>
  </si>
  <si>
    <t xml:space="preserve">../src/components/data-list/agent.json; ../src/components/data-list/agent.md</t>
  </si>
  <si>
    <t xml:space="preserve">DL-18</t>
  </si>
  <si>
    <t xml:space="preserve">Data List owns component history and the package changelog records its addition.</t>
  </si>
  <si>
    <t xml:space="preserve">../docs/components/data-list/CHANGELOG.md; ../CHANGELOG.md</t>
  </si>
  <si>
    <t xml:space="preserve">DL-19</t>
  </si>
  <si>
    <t xml:space="preserve">The packed standalone Consumer imports the public data-list subpath in a realistic metadata composition.</t>
  </si>
  <si>
    <t xml:space="preserve">No Data List Consumer composition or assertion exists yet.</t>
  </si>
  <si>
    <t xml:space="preserve">DL-20</t>
  </si>
  <si>
    <t xml:space="preserve">Link Box Evidence</t>
  </si>
  <si>
    <t xml:space="preserve">Assertion-level destination geometry, independent-action, browser, accessibility, documentation, and package evidence.</t>
  </si>
  <si>
    <t xml:space="preserve">LB-01</t>
  </si>
  <si>
    <t xml:space="preserve">Root / Link / Action</t>
  </si>
  <si>
    <t xml:space="preserve">Root coordinates one real Brick Link and an optional independent Action without adding press behavior.</t>
  </si>
  <si>
    <t xml:space="preserve">../src/components/link-box</t>
  </si>
  <si>
    <t xml:space="preserve">LB-02</t>
  </si>
  <si>
    <t xml:space="preserve">The three public parts expose stable classes, data slots, exact hosts, and forwarded refs.</t>
  </si>
  <si>
    <t xml:space="preserve">../test/components/link-box/link-box.test.tsx</t>
  </si>
  <si>
    <t xml:space="preserve">LB-03</t>
  </si>
  <si>
    <t xml:space="preserve">LinkBox</t>
  </si>
  <si>
    <t xml:space="preserve">Namespace, named parts, public types, root export, link-box subpath, and SSR output are verified.</t>
  </si>
  <si>
    <t xml:space="preserve">LB-04</t>
  </si>
  <si>
    <t xml:space="preserve">Closed Root hosts, variants, Link composition, native props, Action props, and exact refs type-check.</t>
  </si>
  <si>
    <t xml:space="preserve">../test/types/components/link-box.test.ts</t>
  </si>
  <si>
    <t xml:space="preserve">LB-05</t>
  </si>
  <si>
    <t xml:space="preserve">Static CSS provides complete-region target geometry, outline/plain state paint, focus, layering, reduced motion, and forced colors.</t>
  </si>
  <si>
    <t xml:space="preserve">../src/components/link-box/link-box.css</t>
  </si>
  <si>
    <t xml:space="preserve">LB-06</t>
  </si>
  <si>
    <t xml:space="preserve">Root / Link</t>
  </si>
  <si>
    <t xml:space="preserve">Outline Root plus plain inherit-tone Link is the canonical default without changing native destination semantics.</t>
  </si>
  <si>
    <t xml:space="preserve">LB-07</t>
  </si>
  <si>
    <t xml:space="preserve">Destination</t>
  </si>
  <si>
    <t xml:space="preserve">Pointer and keyboard evidence proves one native Link owns the complete visual target and one Root-sized focus ring.</t>
  </si>
  <si>
    <t xml:space="preserve">tests/components/link-box/behavior.spec.ts</t>
  </si>
  <si>
    <t xml:space="preserve">LB-08</t>
  </si>
  <si>
    <t xml:space="preserve">Independent action</t>
  </si>
  <si>
    <t xml:space="preserve">Action</t>
  </si>
  <si>
    <t xml:space="preserve">A separately named button remains outside the anchor, operates independently, and does not navigate.</t>
  </si>
  <si>
    <t xml:space="preserve">../test/components/link-box/link-box.test.tsx; tests/components/link-box/behavior.spec.ts</t>
  </si>
  <si>
    <t xml:space="preserve">LB-09</t>
  </si>
  <si>
    <t xml:space="preserve">Explicit Link presentation and asChild/router composition preserve the destination owner and public Link API.</t>
  </si>
  <si>
    <t xml:space="preserve">LB-10</t>
  </si>
  <si>
    <t xml:space="preserve">Root and Action add no role or tab stop, focus order remains native, complete names are exposed, and axe passes.</t>
  </si>
  <si>
    <t xml:space="preserve">LB-11</t>
  </si>
  <si>
    <t xml:space="preserve">Destination and independent-action screenshots have automated light baselines and await owner visual review.</t>
  </si>
  <si>
    <t xml:space="preserve">tests/components/link-box/visual.spec.ts</t>
  </si>
  <si>
    <t xml:space="preserve">LB-12</t>
  </si>
  <si>
    <t xml:space="preserve">Narrow, zoom, long copy, touch target, focus visibility, and RTL preserve target and action relationships.</t>
  </si>
  <si>
    <t xml:space="preserve">manual-tests/link-box.md</t>
  </si>
  <si>
    <t xml:space="preserve">No completed stress and RTL owner run is recorded.</t>
  </si>
  <si>
    <t xml:space="preserve">LB-13</t>
  </si>
  <si>
    <t xml:space="preserve">Browser conventions</t>
  </si>
  <si>
    <t xml:space="preserve">Context menu, modifier click, new-tab behavior, text-selection tradeoff, and assistive-technology naming remain native.</t>
  </si>
  <si>
    <t xml:space="preserve">No completed native-browser owner run is recorded.</t>
  </si>
  <si>
    <t xml:space="preserve">LB-14</t>
  </si>
  <si>
    <t xml:space="preserve">The numbered component-owned protocol passes destination, action, browser, selection, reflow, device, and assistive-technology scenarios.</t>
  </si>
  <si>
    <t xml:space="preserve">LB-15</t>
  </si>
  <si>
    <t xml:space="preserve">One route exposes the primary destination, independent action, stress behavior, and text-selection tradeoff.</t>
  </si>
  <si>
    <t xml:space="preserve">src/components/link-box/LinkBoxPage.tsx</t>
  </si>
  <si>
    <t xml:space="preserve">LB-16</t>
  </si>
  <si>
    <t xml:space="preserve">Public use, exclusions, anatomy, API, target model, accessibility, composition, customization, and evidence documentation pass.</t>
  </si>
  <si>
    <t xml:space="preserve">../docs/components/link-box/README.md</t>
  </si>
  <si>
    <t xml:space="preserve">LB-17</t>
  </si>
  <si>
    <t xml:space="preserve">Machine-readable guidance distinguishes one destination region from Button, Pressable, and ordinary text links.</t>
  </si>
  <si>
    <t xml:space="preserve">../src/components/link-box/agent.json; ../src/components/link-box/agent.md</t>
  </si>
  <si>
    <t xml:space="preserve">LB-18</t>
  </si>
  <si>
    <t xml:space="preserve">Link Box owns component history and the package changelog records its addition.</t>
  </si>
  <si>
    <t xml:space="preserve">../docs/components/link-box/CHANGELOG.md; ../CHANGELOG.md</t>
  </si>
  <si>
    <t xml:space="preserve">LB-19</t>
  </si>
  <si>
    <t xml:space="preserve">The packed standalone Consumer imports the public link-box subpath with one destination and an independent action.</t>
  </si>
  <si>
    <t xml:space="preserve">No Link Box Consumer composition or assertion exists yet.</t>
  </si>
  <si>
    <t xml:space="preserve">LB-20</t>
  </si>
  <si>
    <t xml:space="preserve">Build, SSR, exports, CSS, tarball, component tests, and repository verification pass.</t>
  </si>
  <si>
    <t xml:space="preserve">Segment Group Evidence</t>
  </si>
  <si>
    <t xml:space="preserve">Assertion-level Atom-backed selection, moving-indicator, browser, accessibility, documentation, and package evidence.</t>
  </si>
  <si>
    <t xml:space="preserve">SG-01</t>
  </si>
  <si>
    <t xml:space="preserve">Brick adapts released Atom Radio Group semantics, selection, keyboard, focus, forms, disabled, read-only, validation, and direction behavior.</t>
  </si>
  <si>
    <t xml:space="preserve">../src/components/segment-group</t>
  </si>
  <si>
    <t xml:space="preserve">SG-02</t>
  </si>
  <si>
    <t xml:space="preserve">Root / Item / ItemText / Indicator</t>
  </si>
  <si>
    <t xml:space="preserve">The four public parts expose stable hooks, refs, radio semantics, and a decorative measured Indicator.</t>
  </si>
  <si>
    <t xml:space="preserve">../test/components/segment-group/segment-group.test.tsx</t>
  </si>
  <si>
    <t xml:space="preserve">SG-03</t>
  </si>
  <si>
    <t xml:space="preserve">SegmentGroup</t>
  </si>
  <si>
    <t xml:space="preserve">Namespace, named parts, public types, root export, and segment-group subpath are exported.</t>
  </si>
  <si>
    <t xml:space="preserve">SG-04</t>
  </si>
  <si>
    <t xml:space="preserve">Root / Item / Indicator</t>
  </si>
  <si>
    <t xml:space="preserve">Closed sizes, Atom behavior props, required values, icon-only, full-width, and exact refs type-check.</t>
  </si>
  <si>
    <t xml:space="preserve">../test/types/components/segment-group.test.ts</t>
  </si>
  <si>
    <t xml:space="preserve">SG-05</t>
  </si>
  <si>
    <t xml:space="preserve">Static CSS provides shared sizes, inset Root, selected surface, focus, icon-only geometry, reduced motion, and forced colors.</t>
  </si>
  <si>
    <t xml:space="preserve">../src/components/segment-group/segment-group.css</t>
  </si>
  <si>
    <t xml:space="preserve">SG-06</t>
  </si>
  <si>
    <t xml:space="preserve">Medium horizontal intrinsic layout, one selected value, and ordinary text Items are the canonical defaults.</t>
  </si>
  <si>
    <t xml:space="preserve">SG-07</t>
  </si>
  <si>
    <t xml:space="preserve">Small, medium, large, full-width, intrinsic, and icon-only recipes route through stable public data attributes.</t>
  </si>
  <si>
    <t xml:space="preserve">SG-08</t>
  </si>
  <si>
    <t xml:space="preserve">Pointer and keyboard selection keep one checked radio, move focus, and emit the selected value through Atom ownership.</t>
  </si>
  <si>
    <t xml:space="preserve">../test/components/segment-group/segment-group.test.tsx; tests/components/segment-group/behavior.spec.ts</t>
  </si>
  <si>
    <t xml:space="preserve">SG-09</t>
  </si>
  <si>
    <t xml:space="preserve">The decorative Indicator becomes ready, matches selected Item geometry, and follows keyboard selection without adding layout space.</t>
  </si>
  <si>
    <t xml:space="preserve">tests/components/segment-group/behavior.spec.ts</t>
  </si>
  <si>
    <t xml:space="preserve">SG-10</t>
  </si>
  <si>
    <t xml:space="preserve">Icon-only</t>
  </si>
  <si>
    <t xml:space="preserve">Named icon-only Items remain square and center their artwork on both axes.</t>
  </si>
  <si>
    <t xml:space="preserve">SG-11</t>
  </si>
  <si>
    <t xml:space="preserve">Radio-group and radio semantics, complete names, checked state, decorative Indicator, and axe checks pass.</t>
  </si>
  <si>
    <t xml:space="preserve">SG-12</t>
  </si>
  <si>
    <t xml:space="preserve">Default, size, and dark-appearance screenshots have automated baselines and await owner visual review.</t>
  </si>
  <si>
    <t xml:space="preserve">tests/components/segment-group/visual.spec.ts</t>
  </si>
  <si>
    <t xml:space="preserve">SG-13</t>
  </si>
  <si>
    <t xml:space="preserve">Disabled and read-only choices remain distinguishable and preserve the Atom-owned interaction boundary.</t>
  </si>
  <si>
    <t xml:space="preserve">manual-tests/segment-group.md</t>
  </si>
  <si>
    <t xml:space="preserve">No completed disabled and read-only owner run is recorded.</t>
  </si>
  <si>
    <t xml:space="preserve">SG-14</t>
  </si>
  <si>
    <t xml:space="preserve">320 px, zoom, resize, long labels, RTL, and font changes preserve control containment and Indicator alignment.</t>
  </si>
  <si>
    <t xml:space="preserve">SG-15</t>
  </si>
  <si>
    <t xml:space="preserve">Theme and motion</t>
  </si>
  <si>
    <t xml:space="preserve">Light, dark, forced colors, theme changes, and reduced motion preserve selected and focus distinctions.</t>
  </si>
  <si>
    <t xml:space="preserve">No completed appearance and motion owner run is recorded.</t>
  </si>
  <si>
    <t xml:space="preserve">SG-16</t>
  </si>
  <si>
    <t xml:space="preserve">The numbered component-owned protocol passes selection, sizes, states, theme, reflow, device, and assistive-technology scenarios.</t>
  </si>
  <si>
    <t xml:space="preserve">SG-17</t>
  </si>
  <si>
    <t xml:space="preserve">Public use, API, anatomy, states, accessibility, Atom ownership, customization, and evidence documentation pass.</t>
  </si>
  <si>
    <t xml:space="preserve">../docs/components/segment-group/README.md</t>
  </si>
  <si>
    <t xml:space="preserve">SG-18</t>
  </si>
  <si>
    <t xml:space="preserve">Machine-readable guidance distinguishes single-choice modes from Toggle Group, Tabs, Radio Group, and Select.</t>
  </si>
  <si>
    <t xml:space="preserve">../src/components/segment-group/agent.json; ../src/components/segment-group/agent.md</t>
  </si>
  <si>
    <t xml:space="preserve">SG-19</t>
  </si>
  <si>
    <t xml:space="preserve">The packed standalone Consumer imports the public segment-group subpath and exercises selection.</t>
  </si>
  <si>
    <t xml:space="preserve">No Segment Group Consumer composition or assertion exists yet.</t>
  </si>
  <si>
    <t xml:space="preserve">SG-20</t>
  </si>
  <si>
    <t xml:space="preserve">Status Evidence</t>
  </si>
  <si>
    <t xml:space="preserve">Assertion-level passive-state, semantic-tone, accessibility, documentation, and package evidence.</t>
  </si>
  <si>
    <t xml:space="preserve">ST-01</t>
  </si>
  <si>
    <t xml:space="preserve">Root / Indicator / Label</t>
  </si>
  <si>
    <t xml:space="preserve">The three public parts render passive native spans with exact refs, stable hooks, and no built-in live-region behavior.</t>
  </si>
  <si>
    <t xml:space="preserve">../src/components/status</t>
  </si>
  <si>
    <t xml:space="preserve">ST-02</t>
  </si>
  <si>
    <t xml:space="preserve">Root owns state composition, Indicator is decorative, and Label owns readable visible state text.</t>
  </si>
  <si>
    <t xml:space="preserve">../test/components/status/status.test.tsx</t>
  </si>
  <si>
    <t xml:space="preserve">ST-03</t>
  </si>
  <si>
    <t xml:space="preserve">Namespace, named parts, public types, root export, and status subpath are exported.</t>
  </si>
  <si>
    <t xml:space="preserve">ST-04</t>
  </si>
  <si>
    <t xml:space="preserve">Closed sizes, semantic tones, part props, invalid values, native attributes, and exact refs type-check.</t>
  </si>
  <si>
    <t xml:space="preserve">../test/types/components/status.test.ts</t>
  </si>
  <si>
    <t xml:space="preserve">ST-05</t>
  </si>
  <si>
    <t xml:space="preserve">Static CSS provides dot, gap, text, size, semantic-tone, wrapping, and forced-color recipes through public hooks.</t>
  </si>
  <si>
    <t xml:space="preserve">../src/components/status/status.css</t>
  </si>
  <si>
    <t xml:space="preserve">ST-06</t>
  </si>
  <si>
    <t xml:space="preserve">Medium neutral presentation with no role or aria-live attribute is the canonical default.</t>
  </si>
  <si>
    <t xml:space="preserve">ST-07</t>
  </si>
  <si>
    <t xml:space="preserve">Small, medium, large and neutral, accent, info, success, warning, and danger recipes serialize through stable attributes.</t>
  </si>
  <si>
    <t xml:space="preserve">ST-08</t>
  </si>
  <si>
    <t xml:space="preserve">Indicator / Label</t>
  </si>
  <si>
    <t xml:space="preserve">Indicator remains aria-hidden while visible Label text communicates state without color-only meaning or unsolicited announcement.</t>
  </si>
  <si>
    <t xml:space="preserve">../test/components/status/status.test.tsx; tests/components/status/behavior.spec.ts</t>
  </si>
  <si>
    <t xml:space="preserve">ST-09</t>
  </si>
  <si>
    <t xml:space="preserve">Passive state text, decorative Indicator, application-authored ARIA pass-through, and axe checks preserve the contract.</t>
  </si>
  <si>
    <t xml:space="preserve">tests/components/status/behavior.spec.ts</t>
  </si>
  <si>
    <t xml:space="preserve">ST-10</t>
  </si>
  <si>
    <t xml:space="preserve">tests/components/status/visual.spec.ts</t>
  </si>
  <si>
    <t xml:space="preserve">Capture and review tones, sizes, dark, RTL, long-label, and forced-color baselines.</t>
  </si>
  <si>
    <t xml:space="preserve">ST-11</t>
  </si>
  <si>
    <t xml:space="preserve">Indicator-only</t>
  </si>
  <si>
    <t xml:space="preserve">A decorative indicator-only composition is tested only when adjacent text already names the same state.</t>
  </si>
  <si>
    <t xml:space="preserve">ST-12</t>
  </si>
  <si>
    <t xml:space="preserve">Narrow widths, 200% text, 400% zoom, localization, and RTL preserve readable label and dot alignment.</t>
  </si>
  <si>
    <t xml:space="preserve">manual-tests/status.md</t>
  </si>
  <si>
    <t xml:space="preserve">ST-13</t>
  </si>
  <si>
    <t xml:space="preserve">Light, dark, forced colors, every tone, and adjacent focus remain distinguishable.</t>
  </si>
  <si>
    <t xml:space="preserve">ST-14</t>
  </si>
  <si>
    <t xml:space="preserve">Live updates</t>
  </si>
  <si>
    <t xml:space="preserve">Only an application deliberately authors role=status when it owns timing, repetition, focus, and announcement policy.</t>
  </si>
  <si>
    <t xml:space="preserve">manual-tests/status.md; ../docs/components/status/README.md</t>
  </si>
  <si>
    <t xml:space="preserve">The application-owned example exists; assistive-technology review is pending.</t>
  </si>
  <si>
    <t xml:space="preserve">ST-15</t>
  </si>
  <si>
    <t xml:space="preserve">The numbered component-owned protocol passes tones, sizes, semantics, theme, reflow, device, and assistive-technology scenarios.</t>
  </si>
  <si>
    <t xml:space="preserve">ST-16</t>
  </si>
  <si>
    <t xml:space="preserve">One route exposes overview, tones, sizes, composition, semantics, theme, and stress scenarios.</t>
  </si>
  <si>
    <t xml:space="preserve">src/components/status/StatusPage.tsx</t>
  </si>
  <si>
    <t xml:space="preserve">ST-17</t>
  </si>
  <si>
    <t xml:space="preserve">Public use, exclusions, API, anatomy, semantics, accessibility, customization, and evidence documentation pass.</t>
  </si>
  <si>
    <t xml:space="preserve">../docs/components/status/README.md</t>
  </si>
  <si>
    <t xml:space="preserve">ST-18</t>
  </si>
  <si>
    <t xml:space="preserve">Machine-readable guidance distinguishes passive state text from Badge, Progress, Alert, Avatar presence, and live regions.</t>
  </si>
  <si>
    <t xml:space="preserve">../src/components/status/agent.json; ../src/components/status/agent.md</t>
  </si>
  <si>
    <t xml:space="preserve">ST-19</t>
  </si>
  <si>
    <t xml:space="preserve">The packed standalone Consumer imports the public status subpath in a realistic passive state composition.</t>
  </si>
  <si>
    <t xml:space="preserve">No Status Consumer composition or assertion exists yet.</t>
  </si>
  <si>
    <t xml:space="preserve">ST-20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</si>
</sst>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  <dxf/>
    <dxf>
      <fill>
        <patternFill patternType="solid">
          <fgColor rgb="FFFDEBEC"/>
          <bgColor rgb="FF000000"/>
        </patternFill>
      </fill>
    </dxf>
    <dxf>
      <fill>
        <patternFill patternType="solid">
          <fgColor rgb="FFFFF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worksheet" Target="worksheets/sheet75.xml"/><Relationship Id="rId78" Type="http://schemas.openxmlformats.org/officeDocument/2006/relationships/worksheet" Target="worksheets/sheet76.xml"/><Relationship Id="rId79" Type="http://schemas.openxmlformats.org/officeDocument/2006/relationships/worksheet" Target="worksheets/sheet77.xml"/><Relationship Id="rId80" Type="http://schemas.openxmlformats.org/officeDocument/2006/relationships/worksheet" Target="worksheets/sheet78.xml"/><Relationship Id="rId81" Type="http://schemas.openxmlformats.org/officeDocument/2006/relationships/worksheet" Target="worksheets/sheet79.xml"/><Relationship Id="rId82" Type="http://schemas.openxmlformats.org/officeDocument/2006/relationships/worksheet" Target="worksheets/sheet80.xml"/><Relationship Id="rId83" Type="http://schemas.openxmlformats.org/officeDocument/2006/relationships/worksheet" Target="worksheets/sheet81.xml"/><Relationship Id="rId84" Type="http://schemas.openxmlformats.org/officeDocument/2006/relationships/worksheet" Target="worksheets/sheet82.xml"/><Relationship Id="rId85" Type="http://schemas.openxmlformats.org/officeDocument/2006/relationships/worksheet" Target="worksheets/sheet83.xml"/><Relationship Id="rId86" Type="http://schemas.openxmlformats.org/officeDocument/2006/relationships/worksheet" Target="worksheets/sheet84.xml"/><Relationship Id="rId87" Type="http://schemas.openxmlformats.org/officeDocument/2006/relationships/worksheet" Target="worksheets/sheet85.xml"/><Relationship Id="rId88" Type="http://schemas.openxmlformats.org/officeDocument/2006/relationships/worksheet" Target="worksheets/sheet86.xml"/><Relationship Id="rId89" Type="http://schemas.openxmlformats.org/officeDocument/2006/relationships/worksheet" Target="worksheets/sheet87.xml"/><Relationship Id="rId90" Type="http://schemas.openxmlformats.org/officeDocument/2006/relationships/worksheet" Target="worksheets/sheet88.xml"/><Relationship Id="rId91" Type="http://schemas.openxmlformats.org/officeDocument/2006/relationships/worksheet" Target="worksheets/sheet89.xml"/><Relationship Id="rId92" Type="http://schemas.openxmlformats.org/officeDocument/2006/relationships/worksheet" Target="worksheets/sheet90.xml"/><Relationship Id="rId93" Type="http://schemas.openxmlformats.org/officeDocument/2006/relationships/worksheet" Target="worksheets/sheet91.xml"/><Relationship Id="rId9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89" headerRowCount="1" totalsRowCount="0" totalsRowShown="0">
  <autoFilter ref="A7:M89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0.xml><?xml version="1.0" encoding="utf-8"?>
<table xmlns="http://schemas.openxmlformats.org/spreadsheetml/2006/main" id="30" name="ZStackEvidence" displayName="Z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1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5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1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5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6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23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table" Target="../tables/table14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5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76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77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_rels/sheet78.xml.rels><?xml version="1.0" encoding="UTF-8"?>
<Relationships xmlns="http://schemas.openxmlformats.org/package/2006/relationships"><Relationship Id="rId1" Type="http://schemas.openxmlformats.org/officeDocument/2006/relationships/drawing" Target="../drawings/drawing26.xml"/>
</Relationships>
</file>

<file path=xl/worksheets/_rels/sheet79.xml.rels><?xml version="1.0" encoding="UTF-8"?>
<Relationships xmlns="http://schemas.openxmlformats.org/package/2006/relationships"><Relationship Id="rId1" Type="http://schemas.openxmlformats.org/officeDocument/2006/relationships/drawing" Target="../drawings/drawing27.xml"/>
</Relationships>
</file>

<file path=xl/worksheets/_rels/sheet81.xml.rels><?xml version="1.0" encoding="UTF-8"?>
<Relationships xmlns="http://schemas.openxmlformats.org/package/2006/relationships"><Relationship Id="rId1" Type="http://schemas.openxmlformats.org/officeDocument/2006/relationships/table" Target="../tables/table30.xml"/>
</Relationships>
</file>

<file path=xl/worksheets/_rels/sheet82.xml.rels><?xml version="1.0" encoding="UTF-8"?>
<Relationships xmlns="http://schemas.openxmlformats.org/package/2006/relationships"><Relationship Id="rId1" Type="http://schemas.openxmlformats.org/officeDocument/2006/relationships/drawing" Target="../drawings/drawing28.xml"/>
</Relationships>
</file>

<file path=xl/worksheets/_rels/sheet83.xml.rels><?xml version="1.0" encoding="UTF-8"?>
<Relationships xmlns="http://schemas.openxmlformats.org/package/2006/relationships"><Relationship Id="rId1" Type="http://schemas.openxmlformats.org/officeDocument/2006/relationships/drawing" Target="../drawings/drawing29.xml"/>
</Relationships>
</file>

<file path=xl/worksheets/_rels/sheet84.xml.rels><?xml version="1.0" encoding="UTF-8"?>
<Relationships xmlns="http://schemas.openxmlformats.org/package/2006/relationships"><Relationship Id="rId1" Type="http://schemas.openxmlformats.org/officeDocument/2006/relationships/drawing" Target="../drawings/drawing30.xml"/>
</Relationships>
</file>

<file path=xl/worksheets/_rels/sheet85.xml.rels><?xml version="1.0" encoding="UTF-8"?>
<Relationships xmlns="http://schemas.openxmlformats.org/package/2006/relationships"><Relationship Id="rId1" Type="http://schemas.openxmlformats.org/officeDocument/2006/relationships/drawing" Target="../drawings/drawing31.xml"/>
</Relationships>
</file>

<file path=xl/worksheets/_rels/sheet87.xml.rels><?xml version="1.0" encoding="UTF-8"?>
<Relationships xmlns="http://schemas.openxmlformats.org/package/2006/relationships"><Relationship Id="rId1" Type="http://schemas.openxmlformats.org/officeDocument/2006/relationships/drawing" Target="../drawings/drawing32.xml"/>
</Relationships>
</file>

<file path=xl/worksheets/_rels/sheet88.xml.rels><?xml version="1.0" encoding="UTF-8"?>
<Relationships xmlns="http://schemas.openxmlformats.org/package/2006/relationships"><Relationship Id="rId1" Type="http://schemas.openxmlformats.org/officeDocument/2006/relationships/drawing" Target="../drawings/drawing33.xml"/>
</Relationships>
</file>

<file path=xl/worksheets/_rels/sheet89.xml.rels><?xml version="1.0" encoding="UTF-8"?>
<Relationships xmlns="http://schemas.openxmlformats.org/package/2006/relationships"><Relationship Id="rId1" Type="http://schemas.openxmlformats.org/officeDocument/2006/relationships/drawing" Target="../drawings/drawing34.xml"/>
</Relationships>
</file>

<file path=xl/worksheets/_rels/sheet90.xml.rels><?xml version="1.0" encoding="UTF-8"?>
<Relationships xmlns="http://schemas.openxmlformats.org/package/2006/relationships"><Relationship Id="rId1" Type="http://schemas.openxmlformats.org/officeDocument/2006/relationships/drawing" Target="../drawings/drawing35.xml"/>
</Relationships>
</file>

<file path=xl/worksheets/_rels/sheet91.xml.rels><?xml version="1.0" encoding="UTF-8"?>
<Relationships xmlns="http://schemas.openxmlformats.org/package/2006/relationships"><Relationship Id="rId1" Type="http://schemas.openxmlformats.org/officeDocument/2006/relationships/drawing" Target="../drawings/drawing3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COUNTA(A8:A95)</f>
        <v>88</v>
      </c>
      <c r="D4" s="5" t="s">
        <v>3</v>
      </c>
      <c r="E4" s="6" t="n">
        <f aca="false">COUNTIF(M8:M95,"complete")</f>
        <v>1</v>
      </c>
      <c r="G4" s="5" t="s">
        <v>4</v>
      </c>
      <c r="H4" s="6" t="n">
        <f aca="false">COUNTIF(M8:M95,"blocked")</f>
        <v>5</v>
      </c>
      <c r="J4" s="5" t="s">
        <v>5</v>
      </c>
      <c r="K4" s="7" t="n">
        <f aca="false">IF(B4=0,0,E4/B4)</f>
        <v>0.0113636363636364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8" t="s">
        <v>17</v>
      </c>
      <c r="B8" s="8" t="n">
        <f aca="true">INDIRECT("'"&amp;A8&amp;"'!B4")</f>
        <v>16</v>
      </c>
      <c r="C8" s="8" t="n">
        <f aca="true">COUNTIF(INDIRECT("'"&amp;A8&amp;"'!H9:H200"),"not started")</f>
        <v>0</v>
      </c>
      <c r="D8" s="8" t="n">
        <f aca="true">COUNTIF(INDIRECT("'"&amp;A8&amp;"'!H9:H200"),"partial")</f>
        <v>0</v>
      </c>
      <c r="E8" s="8" t="n">
        <f aca="true">COUNTIF(INDIRECT("'"&amp;A8&amp;"'!H9:H200"),"implemented")</f>
        <v>0</v>
      </c>
      <c r="F8" s="8" t="n">
        <f aca="true">COUNTIF(INDIRECT("'"&amp;A8&amp;"'!H9:H200"),"tested")</f>
        <v>11</v>
      </c>
      <c r="G8" s="8" t="n">
        <f aca="true">COUNTIF(INDIRECT("'"&amp;A8&amp;"'!H9:H200"),"verified")</f>
        <v>5</v>
      </c>
      <c r="H8" s="8" t="n">
        <f aca="true">COUNTIF(INDIRECT("'"&amp;A8&amp;"'!H9:H200"),"blocked")</f>
        <v>0</v>
      </c>
      <c r="I8" s="8" t="n">
        <f aca="true">COUNTIF(INDIRECT("'"&amp;A8&amp;"'!H9:H200"),"not applicable")</f>
        <v>0</v>
      </c>
      <c r="J8" s="9" t="n">
        <f aca="true">INDIRECT("'"&amp;A8&amp;"'!H4")</f>
        <v>1</v>
      </c>
      <c r="K8" s="8" t="n">
        <f aca="true">INDIRECT("'"&amp;A8&amp;"'!K4")</f>
        <v>0</v>
      </c>
      <c r="L8" s="8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INDIRECT("'"&amp;A48&amp;"'!K4")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INDIRECT("'"&amp;A49&amp;"'!K4")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INDIRECT("'"&amp;A63&amp;"'!K4")</f>
        <v>open</v>
      </c>
      <c r="L63" s="1" t="str">
        <f aca="true">INDIRECT("'"&amp;A63&amp;"'!E5")</f>
        <v>complete</v>
      </c>
      <c r="M63" s="1" t="str">
        <f aca="false">IF(AND(J63=1,K63="complete",L63="complete"),"complete",IF(H63&gt;0,"blocked","open"))</f>
        <v>open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INDIRECT("'"&amp;A64&amp;"'!K4")</f>
        <v>open</v>
      </c>
      <c r="L64" s="1" t="str">
        <f aca="true">INDIRECT("'"&amp;A64&amp;"'!E5")</f>
        <v>complete</v>
      </c>
      <c r="M64" s="1" t="str">
        <f aca="false">IF(AND(J64=1,K64="complete",L64="complete"),"complete",IF(H64&gt;0,"blocked","open"))</f>
        <v>open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31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0</v>
      </c>
      <c r="F65" s="1" t="n">
        <f aca="true">COUNTIF(INDIRECT("'"&amp;A65&amp;"'!H9:H200"),"tested")</f>
        <v>29</v>
      </c>
      <c r="G65" s="1" t="n">
        <f aca="true">COUNTIF(INDIRECT("'"&amp;A65&amp;"'!H9:H200"),"verified")</f>
        <v>1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0.967741935483871</v>
      </c>
      <c r="K65" s="1" t="str">
        <f aca="true">INDIRECT("'"&amp;A65&amp;"'!K4")</f>
        <v>complete</v>
      </c>
      <c r="L65" s="1" t="str">
        <f aca="true">INDIRECT("'"&amp;A65&amp;"'!E5")</f>
        <v>complete</v>
      </c>
      <c r="M65" s="1" t="str">
        <f aca="false">IF(AND(J65=1,K65="complete",L65="complete"),"complete",IF(H65&gt;0,"blocked","open"))</f>
        <v>open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26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4</v>
      </c>
      <c r="F66" s="1" t="n">
        <f aca="true">COUNTIF(INDIRECT("'"&amp;A66&amp;"'!H9:H200"),"tested")</f>
        <v>21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0.807692307692308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30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6</v>
      </c>
      <c r="F67" s="1" t="n">
        <f aca="true">COUNTIF(INDIRECT("'"&amp;A67&amp;"'!H9:H200"),"tested")</f>
        <v>23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0.766666666666667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31</v>
      </c>
      <c r="C68" s="1" t="n">
        <f aca="true">COUNTIF(INDIRECT("'"&amp;A68&amp;"'!H9:H200"),"not started")</f>
        <v>1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10</v>
      </c>
      <c r="F68" s="1" t="n">
        <f aca="true">COUNTIF(INDIRECT("'"&amp;A68&amp;"'!H9:H200"),"tested")</f>
        <v>20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true">INDIRECT("'"&amp;A68&amp;"'!H4")</f>
        <v>0.645161290322581</v>
      </c>
      <c r="K68" s="1" t="str">
        <f aca="true">INDIRECT("'"&amp;A68&amp;"'!K4")</f>
        <v>open</v>
      </c>
      <c r="L68" s="1" t="str">
        <f aca="true">INDIRECT("'"&amp;A68&amp;"'!E5")</f>
        <v>complete</v>
      </c>
      <c r="M68" s="1" t="str">
        <f aca="false">IF(AND(J68=1,K68="complete",L68="complete"),"complete",IF(H68&gt;0,"blocked","open"))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22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8</v>
      </c>
      <c r="F69" s="1" t="n">
        <f aca="true">COUNTIF(INDIRECT("'"&amp;A69&amp;"'!H9:H200"),"tested")</f>
        <v>14</v>
      </c>
      <c r="G69" s="1" t="n">
        <f aca="true">COUNTIF(INDIRECT("'"&amp;A69&amp;"'!H9:H200"),"verified")</f>
        <v>0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true">INDIRECT("'"&amp;A69&amp;"'!H4")</f>
        <v>0.636363636363636</v>
      </c>
      <c r="K69" s="1" t="str">
        <f aca="true">INDIRECT("'"&amp;A69&amp;"'!K4")</f>
        <v>complete</v>
      </c>
      <c r="L69" s="1" t="str">
        <f aca="true">INDIRECT("'"&amp;A69&amp;"'!E5")</f>
        <v>complete</v>
      </c>
      <c r="M69" s="1" t="str">
        <f aca="false">IF(AND(J69=1,K69="complete",L69="complete"),"complete",IF(H69&gt;0,"blocked","open"))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19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12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true">INDIRECT("'"&amp;A70&amp;"'!H4")</f>
        <v>0.894736842105263</v>
      </c>
      <c r="K70" s="1" t="str">
        <f aca="true">INDIRECT("'"&amp;A70&amp;"'!K4")</f>
        <v>complete</v>
      </c>
      <c r="L70" s="1" t="str">
        <f aca="true">INDIRECT("'"&amp;A70&amp;"'!E5")</f>
        <v>complete</v>
      </c>
      <c r="M70" s="1" t="str">
        <f aca="false">IF(AND(J70=1,K70="complete",L70="complete"),"complete",IF(H70&gt;0,"blocked","open"))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true">INDIRECT("'"&amp;A71&amp;"'!H4")</f>
        <v>0.9</v>
      </c>
      <c r="K71" s="1" t="str">
        <f aca="true">INDIRECT("'"&amp;A71&amp;"'!K4")</f>
        <v>complete</v>
      </c>
      <c r="L71" s="1" t="str">
        <f aca="true">INDIRECT("'"&amp;A71&amp;"'!E5")</f>
        <v>complete</v>
      </c>
      <c r="M71" s="1" t="str">
        <f aca="false">IF(AND(J71=1,K71="complete",L71="complete"),"complete",IF(H71&gt;0,"blocked","open"))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20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2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5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true">INDIRECT("'"&amp;A72&amp;"'!H4")</f>
        <v>0.9</v>
      </c>
      <c r="K72" s="1" t="str">
        <f aca="true">INDIRECT("'"&amp;A72&amp;"'!K4")</f>
        <v>complete</v>
      </c>
      <c r="L72" s="1" t="str">
        <f aca="true">INDIRECT("'"&amp;A72&amp;"'!E5")</f>
        <v>complete</v>
      </c>
      <c r="M72" s="1" t="str">
        <f aca="false">IF(AND(J72=1,K72="complete",L72="complete"),"complete",IF(H72&gt;0,"blocked","open"))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16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13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true">INDIRECT("'"&amp;A73&amp;"'!H4")</f>
        <v>0.9375</v>
      </c>
      <c r="K73" s="1" t="str">
        <f aca="true">INDIRECT("'"&amp;A73&amp;"'!K4")</f>
        <v>complete</v>
      </c>
      <c r="L73" s="1" t="str">
        <f aca="true">INDIRECT("'"&amp;A73&amp;"'!E5")</f>
        <v>complete</v>
      </c>
      <c r="M73" s="1" t="str">
        <f aca="false">IF(AND(J73=1,K73="complete",L73="complete"),"complete",IF(H73&gt;0,"blocked","open"))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17</v>
      </c>
      <c r="C74" s="1" t="n">
        <f aca="true">COUNTIF(INDIRECT("'"&amp;A74&amp;"'!H9:H200"),"not started")</f>
        <v>0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1</v>
      </c>
      <c r="F74" s="1" t="n">
        <f aca="true">COUNTIF(INDIRECT("'"&amp;A74&amp;"'!H9:H200"),"tested")</f>
        <v>14</v>
      </c>
      <c r="G74" s="1" t="n">
        <f aca="true">COUNTIF(INDIRECT("'"&amp;A74&amp;"'!H9:H200"),"verified")</f>
        <v>2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0.941176470588235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28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27</v>
      </c>
      <c r="G75" s="1" t="n">
        <f aca="true">COUNTIF(INDIRECT("'"&amp;A75&amp;"'!H9:H200"),"verified")</f>
        <v>0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0.964285714285714</v>
      </c>
      <c r="K75" s="1" t="str">
        <f aca="true">INDIRECT("'"&amp;A75&amp;"'!K4")</f>
        <v>complete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20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18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</v>
      </c>
      <c r="K76" s="1" t="str">
        <f aca="true">INDIRECT("'"&amp;A76&amp;"'!K4")</f>
        <v>open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  <row r="78" customFormat="false" ht="15" hidden="false" customHeight="true" outlineLevel="0" collapsed="false">
      <c r="A78" s="1" t="s">
        <v>87</v>
      </c>
      <c r="B78" s="1" t="n">
        <f aca="true">INDIRECT("'"&amp;A78&amp;"'!B4")</f>
        <v>22</v>
      </c>
      <c r="C78" s="1" t="n">
        <f aca="true">COUNTIF(INDIRECT("'"&amp;A78&amp;"'!H9:H200"),"not started")</f>
        <v>1</v>
      </c>
      <c r="D78" s="1" t="n">
        <f aca="true">COUNTIF(INDIRECT("'"&amp;A78&amp;"'!H9:H200"),"partial")</f>
        <v>0</v>
      </c>
      <c r="E78" s="1" t="n">
        <f aca="true">COUNTIF(INDIRECT("'"&amp;A78&amp;"'!H9:H200"),"implemented")</f>
        <v>0</v>
      </c>
      <c r="F78" s="1" t="n">
        <f aca="true">COUNTIF(INDIRECT("'"&amp;A78&amp;"'!H9:H200"),"tested")</f>
        <v>20</v>
      </c>
      <c r="G78" s="1" t="n">
        <f aca="true">COUNTIF(INDIRECT("'"&amp;A78&amp;"'!H9:H200"),"verified")</f>
        <v>1</v>
      </c>
      <c r="H78" s="1" t="n">
        <f aca="true">COUNTIF(INDIRECT("'"&amp;A78&amp;"'!H9:H200"),"blocked")</f>
        <v>0</v>
      </c>
      <c r="I78" s="1" t="n">
        <f aca="true">COUNTIF(INDIRECT("'"&amp;A78&amp;"'!H9:H200"),"not applicable")</f>
        <v>0</v>
      </c>
      <c r="J78" s="2" t="n">
        <f aca="true">INDIRECT("'"&amp;A78&amp;"'!H4")</f>
        <v>0.954545454545455</v>
      </c>
      <c r="K78" s="1" t="str">
        <f aca="true">INDIRECT("'"&amp;A78&amp;"'!K4")</f>
        <v>complete</v>
      </c>
      <c r="L78" s="1" t="str">
        <f aca="true">INDIRECT("'"&amp;A78&amp;"'!E5")</f>
        <v>complete</v>
      </c>
      <c r="M78" s="1" t="str">
        <f aca="false">IF(AND(J78=1,K78="complete",L78="complete"),"complete",IF(H78&gt;0,"blocked","open"))</f>
        <v>open</v>
      </c>
    </row>
    <row r="79" customFormat="false" ht="15" hidden="false" customHeight="true" outlineLevel="0" collapsed="false">
      <c r="A79" s="1" t="s">
        <v>88</v>
      </c>
      <c r="B79" s="1" t="n">
        <f aca="true">INDIRECT("'"&amp;A79&amp;"'!B4")</f>
        <v>31</v>
      </c>
      <c r="C79" s="1" t="n">
        <f aca="true">COUNTIF(INDIRECT("'"&amp;A79&amp;"'!H9:H200"),"not started")</f>
        <v>1</v>
      </c>
      <c r="D79" s="1" t="n">
        <f aca="true">COUNTIF(INDIRECT("'"&amp;A79&amp;"'!H9:H200"),"partial")</f>
        <v>0</v>
      </c>
      <c r="E79" s="1" t="n">
        <f aca="true">COUNTIF(INDIRECT("'"&amp;A79&amp;"'!H9:H200"),"implemented")</f>
        <v>0</v>
      </c>
      <c r="F79" s="1" t="n">
        <f aca="true">COUNTIF(INDIRECT("'"&amp;A79&amp;"'!H9:H200"),"tested")</f>
        <v>29</v>
      </c>
      <c r="G79" s="1" t="n">
        <f aca="true">COUNTIF(INDIRECT("'"&amp;A79&amp;"'!H9:H200"),"verified")</f>
        <v>1</v>
      </c>
      <c r="H79" s="1" t="n">
        <f aca="true">COUNTIF(INDIRECT("'"&amp;A79&amp;"'!H9:H200"),"blocked")</f>
        <v>0</v>
      </c>
      <c r="I79" s="1" t="n">
        <f aca="true">COUNTIF(INDIRECT("'"&amp;A79&amp;"'!H9:H200"),"not applicable")</f>
        <v>0</v>
      </c>
      <c r="J79" s="2" t="n">
        <f aca="true">INDIRECT("'"&amp;A79&amp;"'!H4")</f>
        <v>0.967741935483871</v>
      </c>
      <c r="K79" s="1" t="str">
        <f aca="true">INDIRECT("'"&amp;A79&amp;"'!K4")</f>
        <v>complete</v>
      </c>
      <c r="L79" s="1" t="str">
        <f aca="true">INDIRECT("'"&amp;A79&amp;"'!E5")</f>
        <v>complete</v>
      </c>
      <c r="M79" s="1" t="str">
        <f aca="false">IF(AND(J79=1,K79="complete",L79="complete"),"complete",IF(H79&gt;0,"blocked","open"))</f>
        <v>open</v>
      </c>
    </row>
    <row r="80" customFormat="false" ht="15" hidden="false" customHeight="true" outlineLevel="0" collapsed="false">
      <c r="A80" s="1" t="s">
        <v>89</v>
      </c>
      <c r="B80" s="1" t="n">
        <f aca="true">INDIRECT("'"&amp;A80&amp;"'!B4")</f>
        <v>23</v>
      </c>
      <c r="C80" s="1" t="n">
        <f aca="true">COUNTIF(INDIRECT("'"&amp;A80&amp;"'!H9:H200"),"not started")</f>
        <v>1</v>
      </c>
      <c r="D80" s="1" t="n">
        <f aca="true">COUNTIF(INDIRECT("'"&amp;A80&amp;"'!H9:H200"),"partial")</f>
        <v>0</v>
      </c>
      <c r="E80" s="1" t="n">
        <f aca="true">COUNTIF(INDIRECT("'"&amp;A80&amp;"'!H9:H200"),"implemented")</f>
        <v>0</v>
      </c>
      <c r="F80" s="1" t="n">
        <f aca="true">COUNTIF(INDIRECT("'"&amp;A80&amp;"'!H9:H200"),"tested")</f>
        <v>19</v>
      </c>
      <c r="G80" s="1" t="n">
        <f aca="true">COUNTIF(INDIRECT("'"&amp;A80&amp;"'!H9:H200"),"verified")</f>
        <v>3</v>
      </c>
      <c r="H80" s="1" t="n">
        <f aca="true">COUNTIF(INDIRECT("'"&amp;A80&amp;"'!H9:H200"),"blocked")</f>
        <v>0</v>
      </c>
      <c r="I80" s="1" t="n">
        <f aca="true">COUNTIF(INDIRECT("'"&amp;A80&amp;"'!H9:H200"),"not applicable")</f>
        <v>0</v>
      </c>
      <c r="J80" s="2" t="n">
        <f aca="true">INDIRECT("'"&amp;A80&amp;"'!H4")</f>
        <v>0.956521739130435</v>
      </c>
      <c r="K80" s="1" t="str">
        <f aca="true">INDIRECT("'"&amp;A80&amp;"'!K4")</f>
        <v>open</v>
      </c>
      <c r="L80" s="1" t="str">
        <f aca="true">INDIRECT("'"&amp;A80&amp;"'!E5")</f>
        <v>complete</v>
      </c>
      <c r="M80" s="1" t="str">
        <f aca="false">IF(AND(J80=1,K80="complete",L80="complete"),"complete",IF(H80&gt;0,"blocked","open"))</f>
        <v>open</v>
      </c>
    </row>
    <row r="81" customFormat="false" ht="15" hidden="false" customHeight="true" outlineLevel="0" collapsed="false">
      <c r="A81" s="1" t="s">
        <v>90</v>
      </c>
      <c r="B81" s="1" t="n">
        <f aca="true">INDIRECT("'"&amp;A81&amp;"'!B4")</f>
        <v>22</v>
      </c>
      <c r="C81" s="1" t="n">
        <f aca="true">COUNTIF(INDIRECT("'"&amp;A81&amp;"'!H9:H200"),"not started")</f>
        <v>1</v>
      </c>
      <c r="D81" s="1" t="n">
        <f aca="true">COUNTIF(INDIRECT("'"&amp;A81&amp;"'!H9:H200"),"partial")</f>
        <v>0</v>
      </c>
      <c r="E81" s="1" t="n">
        <f aca="true">COUNTIF(INDIRECT("'"&amp;A81&amp;"'!H9:H200"),"implemented")</f>
        <v>0</v>
      </c>
      <c r="F81" s="1" t="n">
        <f aca="true">COUNTIF(INDIRECT("'"&amp;A81&amp;"'!H9:H200"),"tested")</f>
        <v>21</v>
      </c>
      <c r="G81" s="1" t="n">
        <f aca="true">COUNTIF(INDIRECT("'"&amp;A81&amp;"'!H9:H200"),"verified")</f>
        <v>0</v>
      </c>
      <c r="H81" s="1" t="n">
        <f aca="true">COUNTIF(INDIRECT("'"&amp;A81&amp;"'!H9:H200"),"blocked")</f>
        <v>0</v>
      </c>
      <c r="I81" s="1" t="n">
        <f aca="true">COUNTIF(INDIRECT("'"&amp;A81&amp;"'!H9:H200"),"not applicable")</f>
        <v>0</v>
      </c>
      <c r="J81" s="2" t="n">
        <f aca="true">INDIRECT("'"&amp;A81&amp;"'!H4")</f>
        <v>0.954545454545455</v>
      </c>
      <c r="K81" s="1" t="str">
        <f aca="true">INDIRECT("'"&amp;A81&amp;"'!K4")</f>
        <v>complete</v>
      </c>
      <c r="L81" s="1" t="str">
        <f aca="true">INDIRECT("'"&amp;A81&amp;"'!E5")</f>
        <v>complete</v>
      </c>
      <c r="M81" s="1" t="str">
        <f aca="false">IF(AND(J81=1,K81="complete",L81="complete"),"complete",IF(H81&gt;0,"blocked","open"))</f>
        <v>open</v>
      </c>
    </row>
    <row r="82" customFormat="false" ht="15" hidden="false" customHeight="true" outlineLevel="0" collapsed="false">
      <c r="A82" s="1" t="s">
        <v>91</v>
      </c>
      <c r="B82" s="1" t="n">
        <f aca="true">INDIRECT("'"&amp;A82&amp;"'!B4")</f>
        <v>22</v>
      </c>
      <c r="C82" s="1" t="n">
        <f aca="true">COUNTIF(INDIRECT("'"&amp;A82&amp;"'!H9:H200"),"not started")</f>
        <v>1</v>
      </c>
      <c r="D82" s="1" t="n">
        <f aca="true">COUNTIF(INDIRECT("'"&amp;A82&amp;"'!H9:H200"),"partial")</f>
        <v>0</v>
      </c>
      <c r="E82" s="1" t="n">
        <f aca="true">COUNTIF(INDIRECT("'"&amp;A82&amp;"'!H9:H200"),"implemented")</f>
        <v>0</v>
      </c>
      <c r="F82" s="1" t="n">
        <f aca="true">COUNTIF(INDIRECT("'"&amp;A82&amp;"'!H9:H200"),"tested")</f>
        <v>21</v>
      </c>
      <c r="G82" s="1" t="n">
        <f aca="true">COUNTIF(INDIRECT("'"&amp;A82&amp;"'!H9:H200"),"verified")</f>
        <v>0</v>
      </c>
      <c r="H82" s="1" t="n">
        <f aca="true">COUNTIF(INDIRECT("'"&amp;A82&amp;"'!H9:H200"),"blocked")</f>
        <v>0</v>
      </c>
      <c r="I82" s="1" t="n">
        <f aca="true">COUNTIF(INDIRECT("'"&amp;A82&amp;"'!H9:H200"),"not applicable")</f>
        <v>0</v>
      </c>
      <c r="J82" s="2" t="n">
        <f aca="true">INDIRECT("'"&amp;A82&amp;"'!H4")</f>
        <v>0.954545454545455</v>
      </c>
      <c r="K82" s="1" t="str">
        <f aca="true">INDIRECT("'"&amp;A82&amp;"'!K4")</f>
        <v>complete</v>
      </c>
      <c r="L82" s="1" t="str">
        <f aca="true">INDIRECT("'"&amp;A82&amp;"'!E5")</f>
        <v>complete</v>
      </c>
      <c r="M82" s="1" t="str">
        <f aca="false">IF(AND(J82=1,K82="complete",L82="complete"),"complete",IF(H82&gt;0,"blocked","open"))</f>
        <v>open</v>
      </c>
    </row>
    <row r="83" customFormat="false" ht="15" hidden="false" customHeight="true" outlineLevel="0" collapsed="false">
      <c r="A83" s="1" t="s">
        <v>92</v>
      </c>
      <c r="B83" s="1" t="n">
        <f aca="true">INDIRECT("'"&amp;A83&amp;"'!B4")</f>
        <v>25</v>
      </c>
      <c r="C83" s="1" t="n">
        <f aca="true">COUNTIF(INDIRECT("'"&amp;A83&amp;"'!H9:H200"),"not started")</f>
        <v>5</v>
      </c>
      <c r="D83" s="1" t="n">
        <f aca="true">COUNTIF(INDIRECT("'"&amp;A83&amp;"'!H9:H200"),"partial")</f>
        <v>0</v>
      </c>
      <c r="E83" s="1" t="n">
        <f aca="true">COUNTIF(INDIRECT("'"&amp;A83&amp;"'!H9:H200"),"implemented")</f>
        <v>4</v>
      </c>
      <c r="F83" s="1" t="n">
        <f aca="true">COUNTIF(INDIRECT("'"&amp;A83&amp;"'!H9:H200"),"tested")</f>
        <v>16</v>
      </c>
      <c r="G83" s="1" t="n">
        <f aca="true">COUNTIF(INDIRECT("'"&amp;A83&amp;"'!H9:H200"),"verified")</f>
        <v>0</v>
      </c>
      <c r="H83" s="1" t="n">
        <f aca="true">COUNTIF(INDIRECT("'"&amp;A83&amp;"'!H9:H200"),"blocked")</f>
        <v>0</v>
      </c>
      <c r="I83" s="1" t="n">
        <f aca="true">COUNTIF(INDIRECT("'"&amp;A83&amp;"'!H9:H200"),"not applicable")</f>
        <v>0</v>
      </c>
      <c r="J83" s="2" t="n">
        <f aca="true">INDIRECT("'"&amp;A83&amp;"'!H4")</f>
        <v>0.64</v>
      </c>
      <c r="K83" s="1" t="str">
        <f aca="true">INDIRECT("'"&amp;A83&amp;"'!K4")</f>
        <v>complete</v>
      </c>
      <c r="L83" s="1" t="str">
        <f aca="true">INDIRECT("'"&amp;A83&amp;"'!E5")</f>
        <v>open</v>
      </c>
      <c r="M83" s="1" t="str">
        <f aca="false">IF(AND(J83=1,K83="complete",L83="complete"),"complete",IF(H83&gt;0,"blocked","open"))</f>
        <v>open</v>
      </c>
    </row>
    <row r="84" customFormat="false" ht="15" hidden="false" customHeight="true" outlineLevel="0" collapsed="false">
      <c r="A84" s="1" t="s">
        <v>93</v>
      </c>
      <c r="B84" s="1" t="n">
        <f aca="true">INDIRECT("'"&amp;A84&amp;"'!B4")</f>
        <v>16</v>
      </c>
      <c r="C84" s="1" t="n">
        <f aca="true">COUNTIF(INDIRECT("'"&amp;A84&amp;"'!H9:H200"),"not started")</f>
        <v>0</v>
      </c>
      <c r="D84" s="1" t="n">
        <f aca="true">COUNTIF(INDIRECT("'"&amp;A84&amp;"'!H9:H200"),"partial")</f>
        <v>0</v>
      </c>
      <c r="E84" s="1" t="n">
        <f aca="true">COUNTIF(INDIRECT("'"&amp;A84&amp;"'!H9:H200"),"implemented")</f>
        <v>3</v>
      </c>
      <c r="F84" s="1" t="n">
        <f aca="true">COUNTIF(INDIRECT("'"&amp;A84&amp;"'!H9:H200"),"tested")</f>
        <v>12</v>
      </c>
      <c r="G84" s="1" t="n">
        <f aca="true">COUNTIF(INDIRECT("'"&amp;A84&amp;"'!H9:H200"),"verified")</f>
        <v>1</v>
      </c>
      <c r="H84" s="1" t="n">
        <f aca="true">COUNTIF(INDIRECT("'"&amp;A84&amp;"'!H9:H200"),"blocked")</f>
        <v>0</v>
      </c>
      <c r="I84" s="1" t="n">
        <f aca="true">COUNTIF(INDIRECT("'"&amp;A84&amp;"'!H9:H200"),"not applicable")</f>
        <v>0</v>
      </c>
      <c r="J84" s="2" t="n">
        <f aca="true">INDIRECT("'"&amp;A84&amp;"'!H4")</f>
        <v>0.8125</v>
      </c>
      <c r="K84" s="1" t="str">
        <f aca="true">INDIRECT("'"&amp;A84&amp;"'!K4")</f>
        <v>open</v>
      </c>
      <c r="L84" s="1" t="str">
        <f aca="true">INDIRECT("'"&amp;A84&amp;"'!E5")</f>
        <v>complete</v>
      </c>
      <c r="M84" s="1" t="str">
        <f aca="false">IF(AND(J84=1,K84="complete",L84="complete"),"complete",IF(H84&gt;0,"blocked","open"))</f>
        <v>open</v>
      </c>
    </row>
    <row r="85" customFormat="false" ht="15" hidden="false" customHeight="true" outlineLevel="0" collapsed="false">
      <c r="A85" s="1" t="s">
        <v>94</v>
      </c>
      <c r="B85" s="1" t="n">
        <f aca="true">INDIRECT("'"&amp;A85&amp;"'!B4")</f>
        <v>17</v>
      </c>
      <c r="C85" s="1" t="n">
        <f aca="true">COUNTIF(INDIRECT("'"&amp;A85&amp;"'!H9:H200"),"not started")</f>
        <v>0</v>
      </c>
      <c r="D85" s="1" t="n">
        <f aca="true">COUNTIF(INDIRECT("'"&amp;A85&amp;"'!H9:H200"),"partial")</f>
        <v>0</v>
      </c>
      <c r="E85" s="1" t="n">
        <f aca="true">COUNTIF(INDIRECT("'"&amp;A85&amp;"'!H9:H200"),"implemented")</f>
        <v>4</v>
      </c>
      <c r="F85" s="1" t="n">
        <f aca="true">COUNTIF(INDIRECT("'"&amp;A85&amp;"'!H9:H200"),"tested")</f>
        <v>12</v>
      </c>
      <c r="G85" s="1" t="n">
        <f aca="true">COUNTIF(INDIRECT("'"&amp;A85&amp;"'!H9:H200"),"verified")</f>
        <v>0</v>
      </c>
      <c r="H85" s="1" t="n">
        <f aca="true">COUNTIF(INDIRECT("'"&amp;A85&amp;"'!H9:H200"),"blocked")</f>
        <v>0</v>
      </c>
      <c r="I85" s="1" t="n">
        <f aca="true">COUNTIF(INDIRECT("'"&amp;A85&amp;"'!H9:H200"),"not applicable")</f>
        <v>1</v>
      </c>
      <c r="J85" s="2" t="n">
        <f aca="true">INDIRECT("'"&amp;A85&amp;"'!H4")</f>
        <v>0.764705882352941</v>
      </c>
      <c r="K85" s="1" t="str">
        <f aca="true">INDIRECT("'"&amp;A85&amp;"'!K4")</f>
        <v>open</v>
      </c>
      <c r="L85" s="1" t="str">
        <f aca="true">INDIRECT("'"&amp;A85&amp;"'!E5")</f>
        <v>complete</v>
      </c>
      <c r="M85" s="1" t="str">
        <f aca="false">IF(AND(J85=1,K85="complete",L85="complete"),"complete",IF(H85&gt;0,"blocked","open"))</f>
        <v>open</v>
      </c>
    </row>
    <row r="86" customFormat="false" ht="15" hidden="false" customHeight="true" outlineLevel="0" collapsed="false">
      <c r="A86" s="1" t="s">
        <v>95</v>
      </c>
      <c r="B86" s="1" t="n">
        <f aca="true">INDIRECT("'"&amp;A86&amp;"'!B4")</f>
        <v>16</v>
      </c>
      <c r="C86" s="1" t="n">
        <f aca="true">COUNTIF(INDIRECT("'"&amp;A86&amp;"'!H9:H200"),"not started")</f>
        <v>0</v>
      </c>
      <c r="D86" s="1" t="n">
        <f aca="true">COUNTIF(INDIRECT("'"&amp;A86&amp;"'!H9:H200"),"partial")</f>
        <v>0</v>
      </c>
      <c r="E86" s="1" t="n">
        <f aca="true">COUNTIF(INDIRECT("'"&amp;A86&amp;"'!H9:H200"),"implemented")</f>
        <v>4</v>
      </c>
      <c r="F86" s="1" t="n">
        <f aca="true">COUNTIF(INDIRECT("'"&amp;A86&amp;"'!H9:H200"),"tested")</f>
        <v>11</v>
      </c>
      <c r="G86" s="1" t="n">
        <f aca="true">COUNTIF(INDIRECT("'"&amp;A86&amp;"'!H9:H200"),"verified")</f>
        <v>0</v>
      </c>
      <c r="H86" s="1" t="n">
        <f aca="true">COUNTIF(INDIRECT("'"&amp;A86&amp;"'!H9:H200"),"blocked")</f>
        <v>0</v>
      </c>
      <c r="I86" s="1" t="n">
        <f aca="true">COUNTIF(INDIRECT("'"&amp;A86&amp;"'!H9:H200"),"not applicable")</f>
        <v>1</v>
      </c>
      <c r="J86" s="2" t="n">
        <f aca="true">INDIRECT("'"&amp;A86&amp;"'!H4")</f>
        <v>0.75</v>
      </c>
      <c r="K86" s="1" t="str">
        <f aca="true">INDIRECT("'"&amp;A86&amp;"'!K4")</f>
        <v>open</v>
      </c>
      <c r="L86" s="1" t="str">
        <f aca="true">INDIRECT("'"&amp;A86&amp;"'!E5")</f>
        <v>complete</v>
      </c>
      <c r="M86" s="1" t="str">
        <f aca="false">IF(AND(J86=1,K86="complete",L86="complete"),"complete",IF(H86&gt;0,"blocked","open"))</f>
        <v>open</v>
      </c>
    </row>
    <row r="87" customFormat="false" ht="15" hidden="false" customHeight="true" outlineLevel="0" collapsed="false">
      <c r="A87" s="1" t="s">
        <v>96</v>
      </c>
      <c r="B87" s="1" t="n">
        <f aca="true">INDIRECT("'"&amp;A87&amp;"'!B4")</f>
        <v>17</v>
      </c>
      <c r="C87" s="1" t="n">
        <f aca="true">COUNTIF(INDIRECT("'"&amp;A87&amp;"'!H9:H200"),"not started")</f>
        <v>0</v>
      </c>
      <c r="D87" s="1" t="n">
        <f aca="true">COUNTIF(INDIRECT("'"&amp;A87&amp;"'!H9:H200"),"partial")</f>
        <v>0</v>
      </c>
      <c r="E87" s="1" t="n">
        <f aca="true">COUNTIF(INDIRECT("'"&amp;A87&amp;"'!H9:H200"),"implemented")</f>
        <v>3</v>
      </c>
      <c r="F87" s="1" t="n">
        <f aca="true">COUNTIF(INDIRECT("'"&amp;A87&amp;"'!H9:H200"),"tested")</f>
        <v>13</v>
      </c>
      <c r="G87" s="1" t="n">
        <f aca="true">COUNTIF(INDIRECT("'"&amp;A87&amp;"'!H9:H200"),"verified")</f>
        <v>0</v>
      </c>
      <c r="H87" s="1" t="n">
        <f aca="true">COUNTIF(INDIRECT("'"&amp;A87&amp;"'!H9:H200"),"blocked")</f>
        <v>0</v>
      </c>
      <c r="I87" s="1" t="n">
        <f aca="true">COUNTIF(INDIRECT("'"&amp;A87&amp;"'!H9:H200"),"not applicable")</f>
        <v>1</v>
      </c>
      <c r="J87" s="2" t="n">
        <f aca="true">INDIRECT("'"&amp;A87&amp;"'!H4")</f>
        <v>0.823529411764706</v>
      </c>
      <c r="K87" s="1" t="str">
        <f aca="true">INDIRECT("'"&amp;A87&amp;"'!K4")</f>
        <v>open</v>
      </c>
      <c r="L87" s="1" t="str">
        <f aca="true">INDIRECT("'"&amp;A87&amp;"'!E5")</f>
        <v>complete</v>
      </c>
      <c r="M87" s="1" t="str">
        <f aca="false">IF(AND(J87=1,K87="complete",L87="complete"),"complete",IF(H87&gt;0,"blocked","open"))</f>
        <v>open</v>
      </c>
    </row>
    <row r="88" customFormat="false" ht="15" hidden="false" customHeight="true" outlineLevel="0" collapsed="false">
      <c r="A88" s="1" t="s">
        <v>97</v>
      </c>
      <c r="B88" s="1" t="n">
        <f aca="true">INDIRECT("'"&amp;A88&amp;"'!B4")</f>
        <v>19</v>
      </c>
      <c r="C88" s="1" t="n">
        <f aca="true">COUNTIF(INDIRECT("'"&amp;A88&amp;"'!H9:H200"),"not started")</f>
        <v>0</v>
      </c>
      <c r="D88" s="1" t="n">
        <f aca="true">COUNTIF(INDIRECT("'"&amp;A88&amp;"'!H9:H200"),"partial")</f>
        <v>0</v>
      </c>
      <c r="E88" s="1" t="n">
        <f aca="true">COUNTIF(INDIRECT("'"&amp;A88&amp;"'!H9:H200"),"implemented")</f>
        <v>2</v>
      </c>
      <c r="F88" s="1" t="n">
        <f aca="true">COUNTIF(INDIRECT("'"&amp;A88&amp;"'!H9:H200"),"tested")</f>
        <v>16</v>
      </c>
      <c r="G88" s="1" t="n">
        <f aca="true">COUNTIF(INDIRECT("'"&amp;A88&amp;"'!H9:H200"),"verified")</f>
        <v>1</v>
      </c>
      <c r="H88" s="1" t="n">
        <f aca="true">COUNTIF(INDIRECT("'"&amp;A88&amp;"'!H9:H200"),"blocked")</f>
        <v>0</v>
      </c>
      <c r="I88" s="1" t="n">
        <f aca="true">COUNTIF(INDIRECT("'"&amp;A88&amp;"'!H9:H200"),"not applicable")</f>
        <v>0</v>
      </c>
      <c r="J88" s="2" t="n">
        <f aca="true">INDIRECT("'"&amp;A88&amp;"'!H4")</f>
        <v>0.894736842105263</v>
      </c>
      <c r="K88" s="1" t="str">
        <f aca="true">INDIRECT("'"&amp;A88&amp;"'!K4")</f>
        <v>open</v>
      </c>
      <c r="L88" s="1" t="str">
        <f aca="true">INDIRECT("'"&amp;A88&amp;"'!E5")</f>
        <v>complete</v>
      </c>
      <c r="M88" s="1" t="str">
        <f aca="false">IF(AND(J88=1,K88="complete",L88="complete"),"complete",IF(H88&gt;0,"blocked","open"))</f>
        <v>open</v>
      </c>
    </row>
    <row r="89" customFormat="false" ht="15" hidden="false" customHeight="true" outlineLevel="0" collapsed="false">
      <c r="A89" s="1" t="s">
        <v>98</v>
      </c>
      <c r="B89" s="1" t="n">
        <f aca="true">INDIRECT("'"&amp;A89&amp;"'!B4")</f>
        <v>16</v>
      </c>
      <c r="C89" s="1" t="n">
        <f aca="true">COUNTIF(INDIRECT("'"&amp;A89&amp;"'!H9:H200"),"not started")</f>
        <v>0</v>
      </c>
      <c r="D89" s="1" t="n">
        <f aca="true">COUNTIF(INDIRECT("'"&amp;A89&amp;"'!H9:H200"),"partial")</f>
        <v>0</v>
      </c>
      <c r="E89" s="1" t="n">
        <f aca="true">COUNTIF(INDIRECT("'"&amp;A89&amp;"'!H9:H200"),"implemented")</f>
        <v>6</v>
      </c>
      <c r="F89" s="1" t="n">
        <f aca="true">COUNTIF(INDIRECT("'"&amp;A89&amp;"'!H9:H200"),"tested")</f>
        <v>10</v>
      </c>
      <c r="G89" s="1" t="n">
        <f aca="true">COUNTIF(INDIRECT("'"&amp;A89&amp;"'!H9:H200"),"verified")</f>
        <v>0</v>
      </c>
      <c r="H89" s="1" t="n">
        <f aca="true">COUNTIF(INDIRECT("'"&amp;A89&amp;"'!H9:H200"),"blocked")</f>
        <v>0</v>
      </c>
      <c r="I89" s="1" t="n">
        <f aca="true">COUNTIF(INDIRECT("'"&amp;A89&amp;"'!H9:H200"),"not applicable")</f>
        <v>0</v>
      </c>
      <c r="J89" s="2" t="n">
        <f aca="true">INDIRECT("'"&amp;A89&amp;"'!H4")</f>
        <v>0.625</v>
      </c>
      <c r="K89" s="1" t="str">
        <f aca="true">INDIRECT("'"&amp;A89&amp;"'!K4")</f>
        <v>open</v>
      </c>
      <c r="L89" s="1" t="str">
        <f aca="true">INDIRECT("'"&amp;A89&amp;"'!E5")</f>
        <v>open</v>
      </c>
      <c r="M89" s="1" t="str">
        <f aca="false">IF(AND(J89=1,K89="complete",L89="complete"),"complete",IF(H89&gt;0,"blocked","open"))</f>
        <v>open</v>
      </c>
    </row>
    <row r="90" customFormat="false" ht="15" hidden="false" customHeight="true" outlineLevel="0" collapsed="false">
      <c r="A90" s="1" t="s">
        <v>99</v>
      </c>
      <c r="B90" s="1" t="n">
        <f aca="true">INDIRECT("'"&amp;A90&amp;"'!B4")</f>
        <v>16</v>
      </c>
      <c r="C90" s="1" t="n">
        <f aca="true">COUNTIF(INDIRECT("'"&amp;A90&amp;"'!H9:H200"),"not started")</f>
        <v>3</v>
      </c>
      <c r="D90" s="1" t="n">
        <f aca="true">COUNTIF(INDIRECT("'"&amp;A90&amp;"'!H9:H200"),"partial")</f>
        <v>0</v>
      </c>
      <c r="E90" s="1" t="n">
        <f aca="true">COUNTIF(INDIRECT("'"&amp;A90&amp;"'!H9:H200"),"implemented")</f>
        <v>0</v>
      </c>
      <c r="F90" s="1" t="n">
        <f aca="true">COUNTIF(INDIRECT("'"&amp;A90&amp;"'!H9:H200"),"tested")</f>
        <v>13</v>
      </c>
      <c r="G90" s="1" t="n">
        <f aca="true">COUNTIF(INDIRECT("'"&amp;A90&amp;"'!H9:H200"),"verified")</f>
        <v>0</v>
      </c>
      <c r="H90" s="1" t="n">
        <f aca="true">COUNTIF(INDIRECT("'"&amp;A90&amp;"'!H9:H200"),"blocked")</f>
        <v>0</v>
      </c>
      <c r="I90" s="1" t="n">
        <f aca="true">COUNTIF(INDIRECT("'"&amp;A90&amp;"'!H9:H200"),"not applicable")</f>
        <v>0</v>
      </c>
      <c r="J90" s="2" t="n">
        <f aca="true">INDIRECT("'"&amp;A90&amp;"'!H4")</f>
        <v>0.6875</v>
      </c>
      <c r="K90" s="1" t="str">
        <f aca="true">INDIRECT("'"&amp;A90&amp;"'!K4")</f>
        <v>open</v>
      </c>
      <c r="L90" s="1" t="str">
        <f aca="true">INDIRECT("'"&amp;A90&amp;"'!E5")</f>
        <v>complete</v>
      </c>
      <c r="M90" s="1" t="str">
        <f aca="false">IF(AND(J90=1,K90="complete",L90="complete"),"complete",IF(H90&gt;0,"blocked","open"))</f>
        <v>open</v>
      </c>
    </row>
    <row r="91" customFormat="false" ht="15" hidden="false" customHeight="true" outlineLevel="0" collapsed="false">
      <c r="A91" s="1" t="s">
        <v>100</v>
      </c>
      <c r="B91" s="1" t="n">
        <f aca="true">INDIRECT("'"&amp;A91&amp;"'!B4")</f>
        <v>20</v>
      </c>
      <c r="C91" s="1" t="n">
        <f aca="true">COUNTIF(INDIRECT("'"&amp;A91&amp;"'!H9:H200"),"not started")</f>
        <v>4</v>
      </c>
      <c r="D91" s="1" t="n">
        <f aca="true">COUNTIF(INDIRECT("'"&amp;A91&amp;"'!H9:H200"),"partial")</f>
        <v>1</v>
      </c>
      <c r="E91" s="1" t="n">
        <f aca="true">COUNTIF(INDIRECT("'"&amp;A91&amp;"'!H9:H200"),"implemented")</f>
        <v>0</v>
      </c>
      <c r="F91" s="1" t="n">
        <f aca="true">COUNTIF(INDIRECT("'"&amp;A91&amp;"'!H9:H200"),"tested")</f>
        <v>14</v>
      </c>
      <c r="G91" s="1" t="n">
        <f aca="true">COUNTIF(INDIRECT("'"&amp;A91&amp;"'!H9:H200"),"verified")</f>
        <v>0</v>
      </c>
      <c r="H91" s="1" t="n">
        <f aca="true">COUNTIF(INDIRECT("'"&amp;A91&amp;"'!H9:H200"),"blocked")</f>
        <v>1</v>
      </c>
      <c r="I91" s="1" t="n">
        <f aca="true">COUNTIF(INDIRECT("'"&amp;A91&amp;"'!H9:H200"),"not applicable")</f>
        <v>0</v>
      </c>
      <c r="J91" s="2" t="n">
        <f aca="true">INDIRECT("'"&amp;A91&amp;"'!H4")</f>
        <v>0.7</v>
      </c>
      <c r="K91" s="1" t="str">
        <f aca="true">INDIRECT("'"&amp;A91&amp;"'!K4")</f>
        <v>open</v>
      </c>
      <c r="L91" s="1" t="str">
        <f aca="true">INDIRECT("'"&amp;A91&amp;"'!E5")</f>
        <v>open</v>
      </c>
      <c r="M91" s="1" t="str">
        <f aca="false">IF(AND(J91=1,K91="complete",L91="complete"),"complete",IF(H91&gt;0,"blocked","open"))</f>
        <v>blocked</v>
      </c>
    </row>
    <row r="92" customFormat="false" ht="15" hidden="false" customHeight="true" outlineLevel="0" collapsed="false">
      <c r="A92" s="1" t="s">
        <v>101</v>
      </c>
      <c r="B92" s="1" t="n">
        <f aca="true">INDIRECT("'"&amp;A92&amp;"'!B4")</f>
        <v>20</v>
      </c>
      <c r="C92" s="1" t="n">
        <f aca="true">COUNTIF(INDIRECT("'"&amp;A92&amp;"'!H9:H200"),"not started")</f>
        <v>4</v>
      </c>
      <c r="D92" s="1" t="n">
        <f aca="true">COUNTIF(INDIRECT("'"&amp;A92&amp;"'!H9:H200"),"partial")</f>
        <v>1</v>
      </c>
      <c r="E92" s="1" t="n">
        <f aca="true">COUNTIF(INDIRECT("'"&amp;A92&amp;"'!H9:H200"),"implemented")</f>
        <v>1</v>
      </c>
      <c r="F92" s="1" t="n">
        <f aca="true">COUNTIF(INDIRECT("'"&amp;A92&amp;"'!H9:H200"),"tested")</f>
        <v>13</v>
      </c>
      <c r="G92" s="1" t="n">
        <f aca="true">COUNTIF(INDIRECT("'"&amp;A92&amp;"'!H9:H200"),"verified")</f>
        <v>0</v>
      </c>
      <c r="H92" s="1" t="n">
        <f aca="true">COUNTIF(INDIRECT("'"&amp;A92&amp;"'!H9:H200"),"blocked")</f>
        <v>1</v>
      </c>
      <c r="I92" s="1" t="n">
        <f aca="true">COUNTIF(INDIRECT("'"&amp;A92&amp;"'!H9:H200"),"not applicable")</f>
        <v>0</v>
      </c>
      <c r="J92" s="2" t="n">
        <f aca="true">INDIRECT("'"&amp;A92&amp;"'!H4")</f>
        <v>0.65</v>
      </c>
      <c r="K92" s="1" t="str">
        <f aca="true">INDIRECT("'"&amp;A92&amp;"'!K4")</f>
        <v>open</v>
      </c>
      <c r="L92" s="1" t="str">
        <f aca="true">INDIRECT("'"&amp;A92&amp;"'!E5")</f>
        <v>open</v>
      </c>
      <c r="M92" s="1" t="str">
        <f aca="false">IF(AND(J92=1,K92="complete",L92="complete"),"complete",IF(H92&gt;0,"blocked","open"))</f>
        <v>blocked</v>
      </c>
    </row>
    <row r="93" customFormat="false" ht="15" hidden="false" customHeight="true" outlineLevel="0" collapsed="false">
      <c r="A93" s="1" t="s">
        <v>102</v>
      </c>
      <c r="B93" s="1" t="n">
        <f aca="true">INDIRECT("'"&amp;A93&amp;"'!B4")</f>
        <v>20</v>
      </c>
      <c r="C93" s="1" t="n">
        <f aca="true">COUNTIF(INDIRECT("'"&amp;A93&amp;"'!H9:H200"),"not started")</f>
        <v>4</v>
      </c>
      <c r="D93" s="1" t="n">
        <f aca="true">COUNTIF(INDIRECT("'"&amp;A93&amp;"'!H9:H200"),"partial")</f>
        <v>0</v>
      </c>
      <c r="E93" s="1" t="n">
        <f aca="true">COUNTIF(INDIRECT("'"&amp;A93&amp;"'!H9:H200"),"implemented")</f>
        <v>0</v>
      </c>
      <c r="F93" s="1" t="n">
        <f aca="true">COUNTIF(INDIRECT("'"&amp;A93&amp;"'!H9:H200"),"tested")</f>
        <v>15</v>
      </c>
      <c r="G93" s="1" t="n">
        <f aca="true">COUNTIF(INDIRECT("'"&amp;A93&amp;"'!H9:H200"),"verified")</f>
        <v>0</v>
      </c>
      <c r="H93" s="1" t="n">
        <f aca="true">COUNTIF(INDIRECT("'"&amp;A93&amp;"'!H9:H200"),"blocked")</f>
        <v>1</v>
      </c>
      <c r="I93" s="1" t="n">
        <f aca="true">COUNTIF(INDIRECT("'"&amp;A93&amp;"'!H9:H200"),"not applicable")</f>
        <v>0</v>
      </c>
      <c r="J93" s="2" t="n">
        <f aca="true">INDIRECT("'"&amp;A93&amp;"'!H4")</f>
        <v>0.7</v>
      </c>
      <c r="K93" s="1" t="str">
        <f aca="true">INDIRECT("'"&amp;A93&amp;"'!K4")</f>
        <v>open</v>
      </c>
      <c r="L93" s="1" t="str">
        <f aca="true">INDIRECT("'"&amp;A93&amp;"'!E5")</f>
        <v>open</v>
      </c>
      <c r="M93" s="1" t="str">
        <f aca="false">IF(AND(J93=1,K93="complete",L93="complete"),"complete",IF(H93&gt;0,"blocked","open"))</f>
        <v>blocked</v>
      </c>
    </row>
    <row r="94" customFormat="false" ht="15" hidden="false" customHeight="true" outlineLevel="0" collapsed="false">
      <c r="A94" s="1" t="s">
        <v>103</v>
      </c>
      <c r="B94" s="1" t="n">
        <f aca="true">INDIRECT("'"&amp;A94&amp;"'!B4")</f>
        <v>20</v>
      </c>
      <c r="C94" s="1" t="n">
        <f aca="true">COUNTIF(INDIRECT("'"&amp;A94&amp;"'!H9:H200"),"not started")</f>
        <v>5</v>
      </c>
      <c r="D94" s="1" t="n">
        <f aca="true">COUNTIF(INDIRECT("'"&amp;A94&amp;"'!H9:H200"),"partial")</f>
        <v>0</v>
      </c>
      <c r="E94" s="1" t="n">
        <f aca="true">COUNTIF(INDIRECT("'"&amp;A94&amp;"'!H9:H200"),"implemented")</f>
        <v>0</v>
      </c>
      <c r="F94" s="1" t="n">
        <f aca="true">COUNTIF(INDIRECT("'"&amp;A94&amp;"'!H9:H200"),"tested")</f>
        <v>14</v>
      </c>
      <c r="G94" s="1" t="n">
        <f aca="true">COUNTIF(INDIRECT("'"&amp;A94&amp;"'!H9:H200"),"verified")</f>
        <v>0</v>
      </c>
      <c r="H94" s="1" t="n">
        <f aca="true">COUNTIF(INDIRECT("'"&amp;A94&amp;"'!H9:H200"),"blocked")</f>
        <v>1</v>
      </c>
      <c r="I94" s="1" t="n">
        <f aca="true">COUNTIF(INDIRECT("'"&amp;A94&amp;"'!H9:H200"),"not applicable")</f>
        <v>0</v>
      </c>
      <c r="J94" s="2" t="n">
        <f aca="true">INDIRECT("'"&amp;A94&amp;"'!H4")</f>
        <v>0.65</v>
      </c>
      <c r="K94" s="1" t="str">
        <f aca="true">INDIRECT("'"&amp;A94&amp;"'!K4")</f>
        <v>open</v>
      </c>
      <c r="L94" s="1" t="str">
        <f aca="true">INDIRECT("'"&amp;A94&amp;"'!E5")</f>
        <v>open</v>
      </c>
      <c r="M94" s="1" t="str">
        <f aca="false">IF(AND(J94=1,K94="complete",L94="complete"),"complete",IF(H94&gt;0,"blocked","open"))</f>
        <v>blocked</v>
      </c>
    </row>
    <row r="95" customFormat="false" ht="15" hidden="false" customHeight="true" outlineLevel="0" collapsed="false">
      <c r="A95" s="1" t="s">
        <v>104</v>
      </c>
      <c r="B95" s="1" t="n">
        <f aca="true">INDIRECT("'"&amp;A95&amp;"'!B4")</f>
        <v>20</v>
      </c>
      <c r="C95" s="1" t="n">
        <f aca="true">COUNTIF(INDIRECT("'"&amp;A95&amp;"'!H9:H200"),"not started")</f>
        <v>4</v>
      </c>
      <c r="D95" s="1" t="n">
        <f aca="true">COUNTIF(INDIRECT("'"&amp;A95&amp;"'!H9:H200"),"partial")</f>
        <v>1</v>
      </c>
      <c r="E95" s="1" t="n">
        <f aca="true">COUNTIF(INDIRECT("'"&amp;A95&amp;"'!H9:H200"),"implemented")</f>
        <v>1</v>
      </c>
      <c r="F95" s="1" t="n">
        <f aca="true">COUNTIF(INDIRECT("'"&amp;A95&amp;"'!H9:H200"),"tested")</f>
        <v>13</v>
      </c>
      <c r="G95" s="1" t="n">
        <f aca="true">COUNTIF(INDIRECT("'"&amp;A95&amp;"'!H9:H200"),"verified")</f>
        <v>0</v>
      </c>
      <c r="H95" s="1" t="n">
        <f aca="true">COUNTIF(INDIRECT("'"&amp;A95&amp;"'!H9:H200"),"blocked")</f>
        <v>1</v>
      </c>
      <c r="I95" s="1" t="n">
        <f aca="true">COUNTIF(INDIRECT("'"&amp;A95&amp;"'!H9:H200"),"not applicable")</f>
        <v>0</v>
      </c>
      <c r="J95" s="2" t="n">
        <f aca="true">INDIRECT("'"&amp;A95&amp;"'!H4")</f>
        <v>0.65</v>
      </c>
      <c r="K95" s="1" t="str">
        <f aca="true">INDIRECT("'"&amp;A95&amp;"'!K4")</f>
        <v>open</v>
      </c>
      <c r="L95" s="1" t="str">
        <f aca="true">INDIRECT("'"&amp;A95&amp;"'!E5")</f>
        <v>open</v>
      </c>
      <c r="M95" s="1" t="str">
        <f aca="false">IF(AND(J95=1,K95="complete",L95="complete"),"complete",IF(H95&gt;0,"blocked","open"))</f>
        <v>blocked</v>
      </c>
    </row>
  </sheetData>
  <autoFilter ref="A8:M95"/>
  <mergeCells count="2">
    <mergeCell ref="A1:M1"/>
    <mergeCell ref="A2:M2"/>
  </mergeCells>
  <conditionalFormatting sqref="M8:M82">
    <cfRule type="containsText" priority="2" operator="containsText" aboveAverage="0" equalAverage="0" bottom="0" percent="0" rank="0" text="complete" dxfId="3">
      <formula>NOT(ISERROR(SEARCH("complete",M8)))</formula>
    </cfRule>
  </conditionalFormatting>
  <conditionalFormatting sqref="M83:M95">
    <cfRule type="containsText" priority="3" operator="containsText" aboveAverage="0" equalAverage="0" bottom="0" percent="0" rank="0" text="complete" dxfId="3">
      <formula>NOT(ISERROR(SEARCH("complete",M83)))</formula>
    </cfRule>
    <cfRule type="containsText" priority="4" operator="containsText" aboveAverage="0" equalAverage="0" bottom="0" percent="0" rank="0" text="complete" dxfId="3">
      <formula>NOT(ISERROR(SEARCH("complete",M83)))</formula>
    </cfRule>
    <cfRule type="containsText" priority="5" operator="containsText" aboveAverage="0" equalAverage="0" bottom="0" percent="0" rank="0" text="complete" dxfId="3">
      <formula>NOT(ISERROR(SEARCH("complete",M83)))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105</v>
      </c>
      <c r="B1" s="3"/>
      <c r="C1" s="3"/>
      <c r="D1" s="3"/>
    </row>
    <row r="2" customFormat="false" ht="27.75" hidden="false" customHeight="true" outlineLevel="0" collapsed="false">
      <c r="A2" s="4" t="s">
        <v>106</v>
      </c>
      <c r="B2" s="4"/>
      <c r="C2" s="4"/>
      <c r="D2" s="4"/>
    </row>
    <row r="3" customFormat="false" ht="15" hidden="false" customHeight="true" outlineLevel="0" collapsed="false">
      <c r="A3" s="8" t="s">
        <v>107</v>
      </c>
      <c r="B3" s="8" t="s">
        <v>108</v>
      </c>
    </row>
    <row r="4" customFormat="false" ht="30" hidden="false" customHeight="true" outlineLevel="0" collapsed="false">
      <c r="A4" s="1" t="s">
        <v>109</v>
      </c>
      <c r="B4" s="1" t="s">
        <v>110</v>
      </c>
    </row>
    <row r="5" customFormat="false" ht="30" hidden="false" customHeight="true" outlineLevel="0" collapsed="false">
      <c r="A5" s="1" t="s">
        <v>111</v>
      </c>
      <c r="B5" s="1" t="s">
        <v>112</v>
      </c>
    </row>
    <row r="6" customFormat="false" ht="30" hidden="false" customHeight="true" outlineLevel="0" collapsed="false">
      <c r="A6" s="1" t="s">
        <v>113</v>
      </c>
      <c r="B6" s="1" t="s">
        <v>114</v>
      </c>
    </row>
    <row r="7" customFormat="false" ht="30" hidden="false" customHeight="true" outlineLevel="0" collapsed="false">
      <c r="A7" s="1" t="s">
        <v>115</v>
      </c>
      <c r="B7" s="1" t="s">
        <v>116</v>
      </c>
    </row>
    <row r="8" customFormat="false" ht="30" hidden="false" customHeight="true" outlineLevel="0" collapsed="false">
      <c r="A8" s="1" t="s">
        <v>117</v>
      </c>
      <c r="B8" s="1" t="s">
        <v>118</v>
      </c>
    </row>
    <row r="9" customFormat="false" ht="30" hidden="false" customHeight="true" outlineLevel="0" collapsed="false">
      <c r="A9" s="1" t="s">
        <v>119</v>
      </c>
      <c r="B9" s="1" t="s">
        <v>120</v>
      </c>
    </row>
    <row r="10" customFormat="false" ht="30" hidden="false" customHeight="true" outlineLevel="0" collapsed="false">
      <c r="A10" s="1" t="s">
        <v>121</v>
      </c>
      <c r="B10" s="1" t="s">
        <v>122</v>
      </c>
    </row>
    <row r="11" customFormat="false" ht="30" hidden="false" customHeight="true" outlineLevel="0" collapsed="false">
      <c r="A11" s="1" t="s">
        <v>123</v>
      </c>
      <c r="B11" s="1" t="s">
        <v>124</v>
      </c>
    </row>
    <row r="12" customFormat="false" ht="30" hidden="false" customHeight="true" outlineLevel="0" collapsed="false">
      <c r="A12" s="1" t="s">
        <v>125</v>
      </c>
      <c r="B12" s="1" t="s">
        <v>126</v>
      </c>
    </row>
    <row r="13" customFormat="false" ht="30" hidden="false" customHeight="true" outlineLevel="0" collapsed="false">
      <c r="A13" s="1" t="s">
        <v>127</v>
      </c>
      <c r="B13" s="1" t="s">
        <v>128</v>
      </c>
    </row>
    <row r="14" customFormat="false" ht="30" hidden="false" customHeight="true" outlineLevel="0" collapsed="false">
      <c r="A14" s="1" t="s">
        <v>129</v>
      </c>
      <c r="B14" s="1" t="s">
        <v>130</v>
      </c>
    </row>
    <row r="15" customFormat="false" ht="30" hidden="false" customHeight="true" outlineLevel="0" collapsed="false">
      <c r="A15" s="1" t="s">
        <v>131</v>
      </c>
      <c r="B15" s="1" t="s">
        <v>132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113</v>
      </c>
      <c r="B1" s="1" t="s">
        <v>133</v>
      </c>
    </row>
    <row r="2" customFormat="false" ht="15" hidden="false" customHeight="true" outlineLevel="0" collapsed="false">
      <c r="A2" s="1" t="s">
        <v>115</v>
      </c>
      <c r="B2" s="1" t="s">
        <v>134</v>
      </c>
    </row>
    <row r="3" customFormat="false" ht="15" hidden="false" customHeight="true" outlineLevel="0" collapsed="false">
      <c r="A3" s="1" t="s">
        <v>117</v>
      </c>
    </row>
    <row r="4" customFormat="false" ht="15" hidden="false" customHeight="true" outlineLevel="0" collapsed="false">
      <c r="A4" s="1" t="s">
        <v>119</v>
      </c>
    </row>
    <row r="5" customFormat="false" ht="15" hidden="false" customHeight="true" outlineLevel="0" collapsed="false">
      <c r="A5" s="1" t="s">
        <v>121</v>
      </c>
    </row>
    <row r="6" customFormat="false" ht="15" hidden="false" customHeight="true" outlineLevel="0" collapsed="false">
      <c r="A6" s="1" t="s">
        <v>123</v>
      </c>
    </row>
    <row r="7" customFormat="false" ht="15" hidden="false" customHeight="true" outlineLevel="0" collapsed="false">
      <c r="A7" s="1" t="s">
        <v>125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150</v>
      </c>
      <c r="B9" s="1" t="s">
        <v>151</v>
      </c>
      <c r="C9" s="1" t="s">
        <v>152</v>
      </c>
      <c r="D9" s="1" t="s">
        <v>153</v>
      </c>
      <c r="E9" s="1" t="s">
        <v>154</v>
      </c>
      <c r="F9" s="1" t="s">
        <v>155</v>
      </c>
      <c r="G9" s="1" t="s">
        <v>156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157</v>
      </c>
      <c r="B10" s="1" t="s">
        <v>158</v>
      </c>
      <c r="C10" s="1" t="s">
        <v>152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161</v>
      </c>
      <c r="B11" s="1" t="s">
        <v>162</v>
      </c>
      <c r="C11" s="1" t="s">
        <v>152</v>
      </c>
      <c r="D11" s="1" t="s">
        <v>163</v>
      </c>
      <c r="E11" s="1" t="s">
        <v>154</v>
      </c>
      <c r="F11" s="1" t="s">
        <v>164</v>
      </c>
      <c r="G11" s="1" t="s">
        <v>165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166</v>
      </c>
      <c r="B12" s="1" t="s">
        <v>167</v>
      </c>
      <c r="C12" s="1" t="s">
        <v>152</v>
      </c>
      <c r="D12" s="1" t="s">
        <v>168</v>
      </c>
      <c r="E12" s="1" t="s">
        <v>154</v>
      </c>
      <c r="F12" s="1" t="s">
        <v>169</v>
      </c>
      <c r="G12" s="1" t="s">
        <v>170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171</v>
      </c>
      <c r="B13" s="1" t="s">
        <v>172</v>
      </c>
      <c r="C13" s="1" t="s">
        <v>152</v>
      </c>
      <c r="D13" s="1" t="s">
        <v>173</v>
      </c>
      <c r="E13" s="1" t="s">
        <v>154</v>
      </c>
      <c r="F13" s="1" t="s">
        <v>174</v>
      </c>
      <c r="G13" s="1" t="s">
        <v>175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176</v>
      </c>
      <c r="B14" s="1" t="s">
        <v>177</v>
      </c>
      <c r="C14" s="1" t="s">
        <v>152</v>
      </c>
      <c r="D14" s="1" t="s">
        <v>178</v>
      </c>
      <c r="E14" s="1" t="s">
        <v>154</v>
      </c>
      <c r="F14" s="1" t="s">
        <v>179</v>
      </c>
      <c r="G14" s="1" t="s">
        <v>180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181</v>
      </c>
      <c r="B15" s="1" t="s">
        <v>182</v>
      </c>
      <c r="C15" s="1" t="s">
        <v>152</v>
      </c>
      <c r="D15" s="1" t="s">
        <v>183</v>
      </c>
      <c r="E15" s="1" t="s">
        <v>154</v>
      </c>
      <c r="F15" s="1" t="s">
        <v>184</v>
      </c>
      <c r="G15" s="1" t="s">
        <v>185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186</v>
      </c>
      <c r="B16" s="1" t="s">
        <v>187</v>
      </c>
      <c r="C16" s="1" t="s">
        <v>152</v>
      </c>
      <c r="D16" s="1" t="s">
        <v>188</v>
      </c>
      <c r="E16" s="1" t="s">
        <v>154</v>
      </c>
      <c r="F16" s="1" t="s">
        <v>189</v>
      </c>
      <c r="G16" s="1" t="s">
        <v>190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192</v>
      </c>
      <c r="B17" s="1" t="s">
        <v>193</v>
      </c>
      <c r="C17" s="1" t="s">
        <v>152</v>
      </c>
      <c r="D17" s="1" t="s">
        <v>194</v>
      </c>
      <c r="E17" s="1" t="s">
        <v>154</v>
      </c>
      <c r="F17" s="1" t="s">
        <v>195</v>
      </c>
      <c r="G17" s="1" t="s">
        <v>196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198</v>
      </c>
      <c r="B18" s="1" t="s">
        <v>199</v>
      </c>
      <c r="C18" s="1" t="s">
        <v>152</v>
      </c>
      <c r="D18" s="1" t="s">
        <v>200</v>
      </c>
      <c r="E18" s="1" t="s">
        <v>154</v>
      </c>
      <c r="F18" s="1" t="s">
        <v>195</v>
      </c>
      <c r="G18" s="1" t="s">
        <v>196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201</v>
      </c>
      <c r="B19" s="1" t="s">
        <v>202</v>
      </c>
      <c r="C19" s="1" t="s">
        <v>152</v>
      </c>
      <c r="D19" s="1" t="s">
        <v>203</v>
      </c>
      <c r="E19" s="1" t="s">
        <v>154</v>
      </c>
      <c r="F19" s="1" t="s">
        <v>195</v>
      </c>
      <c r="G19" s="1" t="s">
        <v>204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206</v>
      </c>
      <c r="B20" s="1" t="s">
        <v>207</v>
      </c>
      <c r="C20" s="1" t="s">
        <v>152</v>
      </c>
      <c r="D20" s="1" t="s">
        <v>208</v>
      </c>
      <c r="E20" s="1" t="s">
        <v>154</v>
      </c>
      <c r="F20" s="1" t="s">
        <v>195</v>
      </c>
      <c r="G20" s="1" t="s">
        <v>196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210</v>
      </c>
      <c r="B21" s="1" t="s">
        <v>211</v>
      </c>
      <c r="C21" s="1" t="s">
        <v>152</v>
      </c>
      <c r="D21" s="1" t="s">
        <v>212</v>
      </c>
      <c r="E21" s="1" t="s">
        <v>154</v>
      </c>
      <c r="F21" s="1" t="s">
        <v>213</v>
      </c>
      <c r="G21" s="1" t="s">
        <v>214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215</v>
      </c>
      <c r="B22" s="1" t="s">
        <v>216</v>
      </c>
      <c r="C22" s="1" t="s">
        <v>152</v>
      </c>
      <c r="D22" s="1" t="s">
        <v>217</v>
      </c>
      <c r="E22" s="1" t="s">
        <v>154</v>
      </c>
      <c r="F22" s="1" t="s">
        <v>213</v>
      </c>
      <c r="G22" s="1" t="s">
        <v>218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219</v>
      </c>
      <c r="B23" s="1" t="s">
        <v>220</v>
      </c>
      <c r="C23" s="1" t="s">
        <v>152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224</v>
      </c>
      <c r="B24" s="1" t="s">
        <v>225</v>
      </c>
      <c r="C24" s="1" t="s">
        <v>152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229</v>
      </c>
      <c r="B9" s="1" t="s">
        <v>151</v>
      </c>
      <c r="C9" s="1" t="s">
        <v>230</v>
      </c>
      <c r="D9" s="1" t="s">
        <v>153</v>
      </c>
      <c r="E9" s="1" t="s">
        <v>154</v>
      </c>
      <c r="F9" s="1" t="s">
        <v>155</v>
      </c>
      <c r="G9" s="1" t="s">
        <v>231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232</v>
      </c>
      <c r="B10" s="1" t="s">
        <v>158</v>
      </c>
      <c r="C10" s="1" t="s">
        <v>230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233</v>
      </c>
      <c r="B11" s="1" t="s">
        <v>162</v>
      </c>
      <c r="C11" s="1" t="s">
        <v>230</v>
      </c>
      <c r="D11" s="1" t="s">
        <v>163</v>
      </c>
      <c r="E11" s="1" t="s">
        <v>154</v>
      </c>
      <c r="F11" s="1" t="s">
        <v>164</v>
      </c>
      <c r="G11" s="1" t="s">
        <v>234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235</v>
      </c>
      <c r="B12" s="1" t="s">
        <v>167</v>
      </c>
      <c r="C12" s="1" t="s">
        <v>230</v>
      </c>
      <c r="D12" s="1" t="s">
        <v>168</v>
      </c>
      <c r="E12" s="1" t="s">
        <v>154</v>
      </c>
      <c r="F12" s="1" t="s">
        <v>169</v>
      </c>
      <c r="G12" s="1" t="s">
        <v>236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237</v>
      </c>
      <c r="B13" s="1" t="s">
        <v>172</v>
      </c>
      <c r="C13" s="1" t="s">
        <v>230</v>
      </c>
      <c r="D13" s="1" t="s">
        <v>173</v>
      </c>
      <c r="E13" s="1" t="s">
        <v>154</v>
      </c>
      <c r="F13" s="1" t="s">
        <v>174</v>
      </c>
      <c r="G13" s="1" t="s">
        <v>238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239</v>
      </c>
      <c r="B14" s="1" t="s">
        <v>177</v>
      </c>
      <c r="C14" s="1" t="s">
        <v>230</v>
      </c>
      <c r="D14" s="1" t="s">
        <v>178</v>
      </c>
      <c r="E14" s="1" t="s">
        <v>154</v>
      </c>
      <c r="F14" s="1" t="s">
        <v>179</v>
      </c>
      <c r="G14" s="1" t="s">
        <v>240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241</v>
      </c>
      <c r="B15" s="1" t="s">
        <v>182</v>
      </c>
      <c r="C15" s="1" t="s">
        <v>230</v>
      </c>
      <c r="D15" s="1" t="s">
        <v>183</v>
      </c>
      <c r="E15" s="1" t="s">
        <v>154</v>
      </c>
      <c r="F15" s="1" t="s">
        <v>184</v>
      </c>
      <c r="G15" s="1" t="s">
        <v>242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243</v>
      </c>
      <c r="B16" s="1" t="s">
        <v>187</v>
      </c>
      <c r="C16" s="1" t="s">
        <v>230</v>
      </c>
      <c r="D16" s="1" t="s">
        <v>188</v>
      </c>
      <c r="E16" s="1" t="s">
        <v>154</v>
      </c>
      <c r="F16" s="1" t="s">
        <v>189</v>
      </c>
      <c r="G16" s="1" t="s">
        <v>244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245</v>
      </c>
      <c r="B17" s="1" t="s">
        <v>193</v>
      </c>
      <c r="C17" s="1" t="s">
        <v>230</v>
      </c>
      <c r="D17" s="1" t="s">
        <v>194</v>
      </c>
      <c r="E17" s="1" t="s">
        <v>154</v>
      </c>
      <c r="F17" s="1" t="s">
        <v>195</v>
      </c>
      <c r="G17" s="1" t="s">
        <v>246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247</v>
      </c>
      <c r="B18" s="1" t="s">
        <v>199</v>
      </c>
      <c r="C18" s="1" t="s">
        <v>230</v>
      </c>
      <c r="D18" s="1" t="s">
        <v>200</v>
      </c>
      <c r="E18" s="1" t="s">
        <v>154</v>
      </c>
      <c r="F18" s="1" t="s">
        <v>195</v>
      </c>
      <c r="G18" s="1" t="s">
        <v>246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248</v>
      </c>
      <c r="B19" s="1" t="s">
        <v>202</v>
      </c>
      <c r="C19" s="1" t="s">
        <v>230</v>
      </c>
      <c r="D19" s="1" t="s">
        <v>203</v>
      </c>
      <c r="E19" s="1" t="s">
        <v>154</v>
      </c>
      <c r="F19" s="1" t="s">
        <v>195</v>
      </c>
      <c r="G19" s="1" t="s">
        <v>249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250</v>
      </c>
      <c r="B20" s="1" t="s">
        <v>207</v>
      </c>
      <c r="C20" s="1" t="s">
        <v>230</v>
      </c>
      <c r="D20" s="1" t="s">
        <v>208</v>
      </c>
      <c r="E20" s="1" t="s">
        <v>154</v>
      </c>
      <c r="F20" s="1" t="s">
        <v>195</v>
      </c>
      <c r="G20" s="1" t="s">
        <v>246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251</v>
      </c>
      <c r="B21" s="1" t="s">
        <v>211</v>
      </c>
      <c r="C21" s="1" t="s">
        <v>230</v>
      </c>
      <c r="D21" s="1" t="s">
        <v>212</v>
      </c>
      <c r="E21" s="1" t="s">
        <v>154</v>
      </c>
      <c r="F21" s="1" t="s">
        <v>213</v>
      </c>
      <c r="G21" s="1" t="s">
        <v>252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253</v>
      </c>
      <c r="B22" s="1" t="s">
        <v>216</v>
      </c>
      <c r="C22" s="1" t="s">
        <v>230</v>
      </c>
      <c r="D22" s="1" t="s">
        <v>217</v>
      </c>
      <c r="E22" s="1" t="s">
        <v>154</v>
      </c>
      <c r="F22" s="1" t="s">
        <v>213</v>
      </c>
      <c r="G22" s="1" t="s">
        <v>254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255</v>
      </c>
      <c r="B23" s="1" t="s">
        <v>220</v>
      </c>
      <c r="C23" s="1" t="s">
        <v>230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256</v>
      </c>
      <c r="B24" s="1" t="s">
        <v>225</v>
      </c>
      <c r="C24" s="1" t="s">
        <v>230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258</v>
      </c>
      <c r="B9" s="1" t="s">
        <v>151</v>
      </c>
      <c r="C9" s="1" t="s">
        <v>19</v>
      </c>
      <c r="D9" s="1" t="s">
        <v>153</v>
      </c>
      <c r="E9" s="1" t="s">
        <v>154</v>
      </c>
      <c r="F9" s="1" t="s">
        <v>155</v>
      </c>
      <c r="G9" s="1" t="s">
        <v>259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260</v>
      </c>
      <c r="B10" s="1" t="s">
        <v>158</v>
      </c>
      <c r="C10" s="1" t="s">
        <v>19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261</v>
      </c>
      <c r="B11" s="1" t="s">
        <v>162</v>
      </c>
      <c r="C11" s="1" t="s">
        <v>19</v>
      </c>
      <c r="D11" s="1" t="s">
        <v>163</v>
      </c>
      <c r="E11" s="1" t="s">
        <v>154</v>
      </c>
      <c r="F11" s="1" t="s">
        <v>164</v>
      </c>
      <c r="G11" s="1" t="s">
        <v>262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263</v>
      </c>
      <c r="B12" s="1" t="s">
        <v>167</v>
      </c>
      <c r="C12" s="1" t="s">
        <v>19</v>
      </c>
      <c r="D12" s="1" t="s">
        <v>168</v>
      </c>
      <c r="E12" s="1" t="s">
        <v>154</v>
      </c>
      <c r="F12" s="1" t="s">
        <v>169</v>
      </c>
      <c r="G12" s="1" t="s">
        <v>264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265</v>
      </c>
      <c r="B13" s="1" t="s">
        <v>172</v>
      </c>
      <c r="C13" s="1" t="s">
        <v>19</v>
      </c>
      <c r="D13" s="1" t="s">
        <v>173</v>
      </c>
      <c r="E13" s="1" t="s">
        <v>154</v>
      </c>
      <c r="F13" s="1" t="s">
        <v>174</v>
      </c>
      <c r="G13" s="1" t="s">
        <v>266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267</v>
      </c>
      <c r="B14" s="1" t="s">
        <v>177</v>
      </c>
      <c r="C14" s="1" t="s">
        <v>19</v>
      </c>
      <c r="D14" s="1" t="s">
        <v>178</v>
      </c>
      <c r="E14" s="1" t="s">
        <v>154</v>
      </c>
      <c r="F14" s="1" t="s">
        <v>179</v>
      </c>
      <c r="G14" s="1" t="s">
        <v>268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269</v>
      </c>
      <c r="B15" s="1" t="s">
        <v>182</v>
      </c>
      <c r="C15" s="1" t="s">
        <v>19</v>
      </c>
      <c r="D15" s="1" t="s">
        <v>183</v>
      </c>
      <c r="E15" s="1" t="s">
        <v>154</v>
      </c>
      <c r="F15" s="1" t="s">
        <v>184</v>
      </c>
      <c r="G15" s="1" t="s">
        <v>270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271</v>
      </c>
      <c r="B16" s="1" t="s">
        <v>187</v>
      </c>
      <c r="C16" s="1" t="s">
        <v>19</v>
      </c>
      <c r="D16" s="1" t="s">
        <v>188</v>
      </c>
      <c r="E16" s="1" t="s">
        <v>154</v>
      </c>
      <c r="F16" s="1" t="s">
        <v>189</v>
      </c>
      <c r="G16" s="1" t="s">
        <v>272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273</v>
      </c>
      <c r="B17" s="1" t="s">
        <v>193</v>
      </c>
      <c r="C17" s="1" t="s">
        <v>19</v>
      </c>
      <c r="D17" s="1" t="s">
        <v>194</v>
      </c>
      <c r="E17" s="1" t="s">
        <v>154</v>
      </c>
      <c r="F17" s="1" t="s">
        <v>195</v>
      </c>
      <c r="G17" s="1" t="s">
        <v>274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275</v>
      </c>
      <c r="B18" s="1" t="s">
        <v>199</v>
      </c>
      <c r="C18" s="1" t="s">
        <v>19</v>
      </c>
      <c r="D18" s="1" t="s">
        <v>200</v>
      </c>
      <c r="E18" s="1" t="s">
        <v>154</v>
      </c>
      <c r="F18" s="1" t="s">
        <v>195</v>
      </c>
      <c r="G18" s="1" t="s">
        <v>274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276</v>
      </c>
      <c r="B19" s="1" t="s">
        <v>202</v>
      </c>
      <c r="C19" s="1" t="s">
        <v>19</v>
      </c>
      <c r="D19" s="1" t="s">
        <v>203</v>
      </c>
      <c r="E19" s="1" t="s">
        <v>154</v>
      </c>
      <c r="F19" s="1" t="s">
        <v>195</v>
      </c>
      <c r="G19" s="1" t="s">
        <v>277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278</v>
      </c>
      <c r="B20" s="1" t="s">
        <v>207</v>
      </c>
      <c r="C20" s="1" t="s">
        <v>19</v>
      </c>
      <c r="D20" s="1" t="s">
        <v>208</v>
      </c>
      <c r="E20" s="1" t="s">
        <v>154</v>
      </c>
      <c r="F20" s="1" t="s">
        <v>195</v>
      </c>
      <c r="G20" s="1" t="s">
        <v>274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279</v>
      </c>
      <c r="B21" s="1" t="s">
        <v>211</v>
      </c>
      <c r="C21" s="1" t="s">
        <v>19</v>
      </c>
      <c r="D21" s="1" t="s">
        <v>212</v>
      </c>
      <c r="E21" s="1" t="s">
        <v>154</v>
      </c>
      <c r="F21" s="1" t="s">
        <v>213</v>
      </c>
      <c r="G21" s="1" t="s">
        <v>280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281</v>
      </c>
      <c r="B22" s="1" t="s">
        <v>216</v>
      </c>
      <c r="C22" s="1" t="s">
        <v>19</v>
      </c>
      <c r="D22" s="1" t="s">
        <v>217</v>
      </c>
      <c r="E22" s="1" t="s">
        <v>154</v>
      </c>
      <c r="F22" s="1" t="s">
        <v>213</v>
      </c>
      <c r="G22" s="1" t="s">
        <v>282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283</v>
      </c>
      <c r="B23" s="1" t="s">
        <v>220</v>
      </c>
      <c r="C23" s="1" t="s">
        <v>19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284</v>
      </c>
      <c r="B24" s="1" t="s">
        <v>225</v>
      </c>
      <c r="C24" s="1" t="s">
        <v>19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286</v>
      </c>
      <c r="B9" s="1" t="s">
        <v>151</v>
      </c>
      <c r="C9" s="1" t="s">
        <v>20</v>
      </c>
      <c r="D9" s="1" t="s">
        <v>153</v>
      </c>
      <c r="E9" s="1" t="s">
        <v>154</v>
      </c>
      <c r="F9" s="1" t="s">
        <v>155</v>
      </c>
      <c r="G9" s="1" t="s">
        <v>287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288</v>
      </c>
      <c r="B10" s="1" t="s">
        <v>158</v>
      </c>
      <c r="C10" s="1" t="s">
        <v>20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289</v>
      </c>
      <c r="B11" s="1" t="s">
        <v>162</v>
      </c>
      <c r="C11" s="1" t="s">
        <v>20</v>
      </c>
      <c r="D11" s="1" t="s">
        <v>163</v>
      </c>
      <c r="E11" s="1" t="s">
        <v>154</v>
      </c>
      <c r="F11" s="1" t="s">
        <v>164</v>
      </c>
      <c r="G11" s="1" t="s">
        <v>290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291</v>
      </c>
      <c r="B12" s="1" t="s">
        <v>167</v>
      </c>
      <c r="C12" s="1" t="s">
        <v>20</v>
      </c>
      <c r="D12" s="1" t="s">
        <v>168</v>
      </c>
      <c r="E12" s="1" t="s">
        <v>154</v>
      </c>
      <c r="F12" s="1" t="s">
        <v>169</v>
      </c>
      <c r="G12" s="1" t="s">
        <v>292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293</v>
      </c>
      <c r="B13" s="1" t="s">
        <v>172</v>
      </c>
      <c r="C13" s="1" t="s">
        <v>20</v>
      </c>
      <c r="D13" s="1" t="s">
        <v>173</v>
      </c>
      <c r="E13" s="1" t="s">
        <v>154</v>
      </c>
      <c r="F13" s="1" t="s">
        <v>174</v>
      </c>
      <c r="G13" s="1" t="s">
        <v>294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295</v>
      </c>
      <c r="B14" s="1" t="s">
        <v>177</v>
      </c>
      <c r="C14" s="1" t="s">
        <v>20</v>
      </c>
      <c r="D14" s="1" t="s">
        <v>178</v>
      </c>
      <c r="E14" s="1" t="s">
        <v>154</v>
      </c>
      <c r="F14" s="1" t="s">
        <v>179</v>
      </c>
      <c r="G14" s="1" t="s">
        <v>296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297</v>
      </c>
      <c r="B15" s="1" t="s">
        <v>182</v>
      </c>
      <c r="C15" s="1" t="s">
        <v>20</v>
      </c>
      <c r="D15" s="1" t="s">
        <v>183</v>
      </c>
      <c r="E15" s="1" t="s">
        <v>154</v>
      </c>
      <c r="F15" s="1" t="s">
        <v>184</v>
      </c>
      <c r="G15" s="1" t="s">
        <v>298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299</v>
      </c>
      <c r="B16" s="1" t="s">
        <v>187</v>
      </c>
      <c r="C16" s="1" t="s">
        <v>20</v>
      </c>
      <c r="D16" s="1" t="s">
        <v>188</v>
      </c>
      <c r="E16" s="1" t="s">
        <v>154</v>
      </c>
      <c r="F16" s="1" t="s">
        <v>189</v>
      </c>
      <c r="G16" s="1" t="s">
        <v>300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301</v>
      </c>
      <c r="B17" s="1" t="s">
        <v>193</v>
      </c>
      <c r="C17" s="1" t="s">
        <v>20</v>
      </c>
      <c r="D17" s="1" t="s">
        <v>194</v>
      </c>
      <c r="E17" s="1" t="s">
        <v>154</v>
      </c>
      <c r="F17" s="1" t="s">
        <v>195</v>
      </c>
      <c r="G17" s="1" t="s">
        <v>302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303</v>
      </c>
      <c r="B18" s="1" t="s">
        <v>199</v>
      </c>
      <c r="C18" s="1" t="s">
        <v>20</v>
      </c>
      <c r="D18" s="1" t="s">
        <v>200</v>
      </c>
      <c r="E18" s="1" t="s">
        <v>154</v>
      </c>
      <c r="F18" s="1" t="s">
        <v>195</v>
      </c>
      <c r="G18" s="1" t="s">
        <v>302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304</v>
      </c>
      <c r="B19" s="1" t="s">
        <v>202</v>
      </c>
      <c r="C19" s="1" t="s">
        <v>20</v>
      </c>
      <c r="D19" s="1" t="s">
        <v>203</v>
      </c>
      <c r="E19" s="1" t="s">
        <v>154</v>
      </c>
      <c r="F19" s="1" t="s">
        <v>195</v>
      </c>
      <c r="G19" s="1" t="s">
        <v>305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306</v>
      </c>
      <c r="B20" s="1" t="s">
        <v>207</v>
      </c>
      <c r="C20" s="1" t="s">
        <v>20</v>
      </c>
      <c r="D20" s="1" t="s">
        <v>208</v>
      </c>
      <c r="E20" s="1" t="s">
        <v>154</v>
      </c>
      <c r="F20" s="1" t="s">
        <v>195</v>
      </c>
      <c r="G20" s="1" t="s">
        <v>302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307</v>
      </c>
      <c r="B21" s="1" t="s">
        <v>211</v>
      </c>
      <c r="C21" s="1" t="s">
        <v>20</v>
      </c>
      <c r="D21" s="1" t="s">
        <v>212</v>
      </c>
      <c r="E21" s="1" t="s">
        <v>154</v>
      </c>
      <c r="F21" s="1" t="s">
        <v>213</v>
      </c>
      <c r="G21" s="1" t="s">
        <v>308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309</v>
      </c>
      <c r="B22" s="1" t="s">
        <v>216</v>
      </c>
      <c r="C22" s="1" t="s">
        <v>20</v>
      </c>
      <c r="D22" s="1" t="s">
        <v>217</v>
      </c>
      <c r="E22" s="1" t="s">
        <v>154</v>
      </c>
      <c r="F22" s="1" t="s">
        <v>213</v>
      </c>
      <c r="G22" s="1" t="s">
        <v>310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311</v>
      </c>
      <c r="B23" s="1" t="s">
        <v>220</v>
      </c>
      <c r="C23" s="1" t="s">
        <v>20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312</v>
      </c>
      <c r="B24" s="1" t="s">
        <v>225</v>
      </c>
      <c r="C24" s="1" t="s">
        <v>20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286</v>
      </c>
      <c r="B9" s="1" t="s">
        <v>151</v>
      </c>
      <c r="C9" s="1" t="s">
        <v>21</v>
      </c>
      <c r="D9" s="1" t="s">
        <v>153</v>
      </c>
      <c r="E9" s="1" t="s">
        <v>154</v>
      </c>
      <c r="F9" s="1" t="s">
        <v>155</v>
      </c>
      <c r="G9" s="1" t="s">
        <v>314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288</v>
      </c>
      <c r="B10" s="1" t="s">
        <v>158</v>
      </c>
      <c r="C10" s="1" t="s">
        <v>21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289</v>
      </c>
      <c r="B11" s="1" t="s">
        <v>162</v>
      </c>
      <c r="C11" s="1" t="s">
        <v>21</v>
      </c>
      <c r="D11" s="1" t="s">
        <v>163</v>
      </c>
      <c r="E11" s="1" t="s">
        <v>154</v>
      </c>
      <c r="F11" s="1" t="s">
        <v>164</v>
      </c>
      <c r="G11" s="1" t="s">
        <v>315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291</v>
      </c>
      <c r="B12" s="1" t="s">
        <v>167</v>
      </c>
      <c r="C12" s="1" t="s">
        <v>21</v>
      </c>
      <c r="D12" s="1" t="s">
        <v>168</v>
      </c>
      <c r="E12" s="1" t="s">
        <v>154</v>
      </c>
      <c r="F12" s="1" t="s">
        <v>169</v>
      </c>
      <c r="G12" s="1" t="s">
        <v>316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293</v>
      </c>
      <c r="B13" s="1" t="s">
        <v>172</v>
      </c>
      <c r="C13" s="1" t="s">
        <v>21</v>
      </c>
      <c r="D13" s="1" t="s">
        <v>173</v>
      </c>
      <c r="E13" s="1" t="s">
        <v>154</v>
      </c>
      <c r="F13" s="1" t="s">
        <v>174</v>
      </c>
      <c r="G13" s="1" t="s">
        <v>317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295</v>
      </c>
      <c r="B14" s="1" t="s">
        <v>177</v>
      </c>
      <c r="C14" s="1" t="s">
        <v>21</v>
      </c>
      <c r="D14" s="1" t="s">
        <v>178</v>
      </c>
      <c r="E14" s="1" t="s">
        <v>154</v>
      </c>
      <c r="F14" s="1" t="s">
        <v>179</v>
      </c>
      <c r="G14" s="1" t="s">
        <v>318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297</v>
      </c>
      <c r="B15" s="1" t="s">
        <v>182</v>
      </c>
      <c r="C15" s="1" t="s">
        <v>21</v>
      </c>
      <c r="D15" s="1" t="s">
        <v>183</v>
      </c>
      <c r="E15" s="1" t="s">
        <v>154</v>
      </c>
      <c r="F15" s="1" t="s">
        <v>184</v>
      </c>
      <c r="G15" s="1" t="s">
        <v>319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299</v>
      </c>
      <c r="B16" s="1" t="s">
        <v>187</v>
      </c>
      <c r="C16" s="1" t="s">
        <v>21</v>
      </c>
      <c r="D16" s="1" t="s">
        <v>188</v>
      </c>
      <c r="E16" s="1" t="s">
        <v>154</v>
      </c>
      <c r="F16" s="1" t="s">
        <v>189</v>
      </c>
      <c r="G16" s="1" t="s">
        <v>320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301</v>
      </c>
      <c r="B17" s="1" t="s">
        <v>193</v>
      </c>
      <c r="C17" s="1" t="s">
        <v>21</v>
      </c>
      <c r="D17" s="1" t="s">
        <v>194</v>
      </c>
      <c r="E17" s="1" t="s">
        <v>154</v>
      </c>
      <c r="F17" s="1" t="s">
        <v>195</v>
      </c>
      <c r="G17" s="1" t="s">
        <v>321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303</v>
      </c>
      <c r="B18" s="1" t="s">
        <v>199</v>
      </c>
      <c r="C18" s="1" t="s">
        <v>21</v>
      </c>
      <c r="D18" s="1" t="s">
        <v>200</v>
      </c>
      <c r="E18" s="1" t="s">
        <v>154</v>
      </c>
      <c r="F18" s="1" t="s">
        <v>195</v>
      </c>
      <c r="G18" s="1" t="s">
        <v>321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304</v>
      </c>
      <c r="B19" s="1" t="s">
        <v>202</v>
      </c>
      <c r="C19" s="1" t="s">
        <v>21</v>
      </c>
      <c r="D19" s="1" t="s">
        <v>203</v>
      </c>
      <c r="E19" s="1" t="s">
        <v>154</v>
      </c>
      <c r="F19" s="1" t="s">
        <v>195</v>
      </c>
      <c r="G19" s="1" t="s">
        <v>322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306</v>
      </c>
      <c r="B20" s="1" t="s">
        <v>207</v>
      </c>
      <c r="C20" s="1" t="s">
        <v>21</v>
      </c>
      <c r="D20" s="1" t="s">
        <v>208</v>
      </c>
      <c r="E20" s="1" t="s">
        <v>154</v>
      </c>
      <c r="F20" s="1" t="s">
        <v>195</v>
      </c>
      <c r="G20" s="1" t="s">
        <v>321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307</v>
      </c>
      <c r="B21" s="1" t="s">
        <v>211</v>
      </c>
      <c r="C21" s="1" t="s">
        <v>21</v>
      </c>
      <c r="D21" s="1" t="s">
        <v>212</v>
      </c>
      <c r="E21" s="1" t="s">
        <v>154</v>
      </c>
      <c r="F21" s="1" t="s">
        <v>213</v>
      </c>
      <c r="G21" s="1" t="s">
        <v>323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309</v>
      </c>
      <c r="B22" s="1" t="s">
        <v>216</v>
      </c>
      <c r="C22" s="1" t="s">
        <v>21</v>
      </c>
      <c r="D22" s="1" t="s">
        <v>217</v>
      </c>
      <c r="E22" s="1" t="s">
        <v>154</v>
      </c>
      <c r="F22" s="1" t="s">
        <v>213</v>
      </c>
      <c r="G22" s="1" t="s">
        <v>324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311</v>
      </c>
      <c r="B23" s="1" t="s">
        <v>220</v>
      </c>
      <c r="C23" s="1" t="s">
        <v>21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312</v>
      </c>
      <c r="B24" s="1" t="s">
        <v>225</v>
      </c>
      <c r="C24" s="1" t="s">
        <v>21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326</v>
      </c>
      <c r="B9" s="1" t="s">
        <v>151</v>
      </c>
      <c r="C9" s="1" t="s">
        <v>22</v>
      </c>
      <c r="D9" s="1" t="s">
        <v>153</v>
      </c>
      <c r="E9" s="1" t="s">
        <v>154</v>
      </c>
      <c r="F9" s="1" t="s">
        <v>155</v>
      </c>
      <c r="G9" s="1" t="s">
        <v>327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328</v>
      </c>
      <c r="B10" s="1" t="s">
        <v>158</v>
      </c>
      <c r="C10" s="1" t="s">
        <v>22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329</v>
      </c>
      <c r="B11" s="1" t="s">
        <v>162</v>
      </c>
      <c r="C11" s="1" t="s">
        <v>22</v>
      </c>
      <c r="D11" s="1" t="s">
        <v>163</v>
      </c>
      <c r="E11" s="1" t="s">
        <v>154</v>
      </c>
      <c r="F11" s="1" t="s">
        <v>164</v>
      </c>
      <c r="G11" s="1" t="s">
        <v>330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331</v>
      </c>
      <c r="B12" s="1" t="s">
        <v>167</v>
      </c>
      <c r="C12" s="1" t="s">
        <v>22</v>
      </c>
      <c r="D12" s="1" t="s">
        <v>168</v>
      </c>
      <c r="E12" s="1" t="s">
        <v>154</v>
      </c>
      <c r="F12" s="1" t="s">
        <v>169</v>
      </c>
      <c r="G12" s="1" t="s">
        <v>332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333</v>
      </c>
      <c r="B13" s="1" t="s">
        <v>172</v>
      </c>
      <c r="C13" s="1" t="s">
        <v>22</v>
      </c>
      <c r="D13" s="1" t="s">
        <v>173</v>
      </c>
      <c r="E13" s="1" t="s">
        <v>154</v>
      </c>
      <c r="F13" s="1" t="s">
        <v>174</v>
      </c>
      <c r="G13" s="1" t="s">
        <v>334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335</v>
      </c>
      <c r="B14" s="1" t="s">
        <v>177</v>
      </c>
      <c r="C14" s="1" t="s">
        <v>22</v>
      </c>
      <c r="D14" s="1" t="s">
        <v>178</v>
      </c>
      <c r="E14" s="1" t="s">
        <v>154</v>
      </c>
      <c r="F14" s="1" t="s">
        <v>179</v>
      </c>
      <c r="G14" s="1" t="s">
        <v>336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337</v>
      </c>
      <c r="B15" s="1" t="s">
        <v>182</v>
      </c>
      <c r="C15" s="1" t="s">
        <v>22</v>
      </c>
      <c r="D15" s="1" t="s">
        <v>183</v>
      </c>
      <c r="E15" s="1" t="s">
        <v>154</v>
      </c>
      <c r="F15" s="1" t="s">
        <v>184</v>
      </c>
      <c r="G15" s="1" t="s">
        <v>338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339</v>
      </c>
      <c r="B16" s="1" t="s">
        <v>187</v>
      </c>
      <c r="C16" s="1" t="s">
        <v>22</v>
      </c>
      <c r="D16" s="1" t="s">
        <v>188</v>
      </c>
      <c r="E16" s="1" t="s">
        <v>154</v>
      </c>
      <c r="F16" s="1" t="s">
        <v>189</v>
      </c>
      <c r="G16" s="1" t="s">
        <v>340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341</v>
      </c>
      <c r="B17" s="1" t="s">
        <v>193</v>
      </c>
      <c r="C17" s="1" t="s">
        <v>22</v>
      </c>
      <c r="D17" s="1" t="s">
        <v>194</v>
      </c>
      <c r="E17" s="1" t="s">
        <v>154</v>
      </c>
      <c r="F17" s="1" t="s">
        <v>195</v>
      </c>
      <c r="G17" s="1" t="s">
        <v>342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343</v>
      </c>
      <c r="B18" s="1" t="s">
        <v>199</v>
      </c>
      <c r="C18" s="1" t="s">
        <v>22</v>
      </c>
      <c r="D18" s="1" t="s">
        <v>200</v>
      </c>
      <c r="E18" s="1" t="s">
        <v>154</v>
      </c>
      <c r="F18" s="1" t="s">
        <v>195</v>
      </c>
      <c r="G18" s="1" t="s">
        <v>342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344</v>
      </c>
      <c r="B19" s="1" t="s">
        <v>202</v>
      </c>
      <c r="C19" s="1" t="s">
        <v>22</v>
      </c>
      <c r="D19" s="1" t="s">
        <v>203</v>
      </c>
      <c r="E19" s="1" t="s">
        <v>154</v>
      </c>
      <c r="F19" s="1" t="s">
        <v>195</v>
      </c>
      <c r="G19" s="1" t="s">
        <v>345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346</v>
      </c>
      <c r="B20" s="1" t="s">
        <v>207</v>
      </c>
      <c r="C20" s="1" t="s">
        <v>22</v>
      </c>
      <c r="D20" s="1" t="s">
        <v>208</v>
      </c>
      <c r="E20" s="1" t="s">
        <v>154</v>
      </c>
      <c r="F20" s="1" t="s">
        <v>195</v>
      </c>
      <c r="G20" s="1" t="s">
        <v>342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347</v>
      </c>
      <c r="B21" s="1" t="s">
        <v>211</v>
      </c>
      <c r="C21" s="1" t="s">
        <v>22</v>
      </c>
      <c r="D21" s="1" t="s">
        <v>212</v>
      </c>
      <c r="E21" s="1" t="s">
        <v>154</v>
      </c>
      <c r="F21" s="1" t="s">
        <v>213</v>
      </c>
      <c r="G21" s="1" t="s">
        <v>348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349</v>
      </c>
      <c r="B22" s="1" t="s">
        <v>216</v>
      </c>
      <c r="C22" s="1" t="s">
        <v>22</v>
      </c>
      <c r="D22" s="1" t="s">
        <v>217</v>
      </c>
      <c r="E22" s="1" t="s">
        <v>154</v>
      </c>
      <c r="F22" s="1" t="s">
        <v>213</v>
      </c>
      <c r="G22" s="1" t="s">
        <v>350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351</v>
      </c>
      <c r="B23" s="1" t="s">
        <v>220</v>
      </c>
      <c r="C23" s="1" t="s">
        <v>22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352</v>
      </c>
      <c r="B24" s="1" t="s">
        <v>225</v>
      </c>
      <c r="C24" s="1" t="s">
        <v>22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326</v>
      </c>
      <c r="B9" s="1" t="s">
        <v>151</v>
      </c>
      <c r="C9" s="1" t="s">
        <v>23</v>
      </c>
      <c r="D9" s="1" t="s">
        <v>153</v>
      </c>
      <c r="E9" s="1" t="s">
        <v>154</v>
      </c>
      <c r="F9" s="1" t="s">
        <v>155</v>
      </c>
      <c r="G9" s="1" t="s">
        <v>354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328</v>
      </c>
      <c r="B10" s="1" t="s">
        <v>158</v>
      </c>
      <c r="C10" s="1" t="s">
        <v>23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329</v>
      </c>
      <c r="B11" s="1" t="s">
        <v>162</v>
      </c>
      <c r="C11" s="1" t="s">
        <v>23</v>
      </c>
      <c r="D11" s="1" t="s">
        <v>163</v>
      </c>
      <c r="E11" s="1" t="s">
        <v>154</v>
      </c>
      <c r="F11" s="1" t="s">
        <v>164</v>
      </c>
      <c r="G11" s="1" t="s">
        <v>355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331</v>
      </c>
      <c r="B12" s="1" t="s">
        <v>167</v>
      </c>
      <c r="C12" s="1" t="s">
        <v>23</v>
      </c>
      <c r="D12" s="1" t="s">
        <v>168</v>
      </c>
      <c r="E12" s="1" t="s">
        <v>154</v>
      </c>
      <c r="F12" s="1" t="s">
        <v>169</v>
      </c>
      <c r="G12" s="1" t="s">
        <v>356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333</v>
      </c>
      <c r="B13" s="1" t="s">
        <v>172</v>
      </c>
      <c r="C13" s="1" t="s">
        <v>23</v>
      </c>
      <c r="D13" s="1" t="s">
        <v>173</v>
      </c>
      <c r="E13" s="1" t="s">
        <v>154</v>
      </c>
      <c r="F13" s="1" t="s">
        <v>174</v>
      </c>
      <c r="G13" s="1" t="s">
        <v>357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335</v>
      </c>
      <c r="B14" s="1" t="s">
        <v>177</v>
      </c>
      <c r="C14" s="1" t="s">
        <v>23</v>
      </c>
      <c r="D14" s="1" t="s">
        <v>178</v>
      </c>
      <c r="E14" s="1" t="s">
        <v>154</v>
      </c>
      <c r="F14" s="1" t="s">
        <v>179</v>
      </c>
      <c r="G14" s="1" t="s">
        <v>358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337</v>
      </c>
      <c r="B15" s="1" t="s">
        <v>182</v>
      </c>
      <c r="C15" s="1" t="s">
        <v>23</v>
      </c>
      <c r="D15" s="1" t="s">
        <v>183</v>
      </c>
      <c r="E15" s="1" t="s">
        <v>154</v>
      </c>
      <c r="F15" s="1" t="s">
        <v>184</v>
      </c>
      <c r="G15" s="1" t="s">
        <v>359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339</v>
      </c>
      <c r="B16" s="1" t="s">
        <v>187</v>
      </c>
      <c r="C16" s="1" t="s">
        <v>23</v>
      </c>
      <c r="D16" s="1" t="s">
        <v>188</v>
      </c>
      <c r="E16" s="1" t="s">
        <v>154</v>
      </c>
      <c r="F16" s="1" t="s">
        <v>189</v>
      </c>
      <c r="G16" s="1" t="s">
        <v>360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341</v>
      </c>
      <c r="B17" s="1" t="s">
        <v>193</v>
      </c>
      <c r="C17" s="1" t="s">
        <v>23</v>
      </c>
      <c r="D17" s="1" t="s">
        <v>194</v>
      </c>
      <c r="E17" s="1" t="s">
        <v>154</v>
      </c>
      <c r="F17" s="1" t="s">
        <v>195</v>
      </c>
      <c r="G17" s="1" t="s">
        <v>361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343</v>
      </c>
      <c r="B18" s="1" t="s">
        <v>199</v>
      </c>
      <c r="C18" s="1" t="s">
        <v>23</v>
      </c>
      <c r="D18" s="1" t="s">
        <v>200</v>
      </c>
      <c r="E18" s="1" t="s">
        <v>154</v>
      </c>
      <c r="F18" s="1" t="s">
        <v>195</v>
      </c>
      <c r="G18" s="1" t="s">
        <v>361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344</v>
      </c>
      <c r="B19" s="1" t="s">
        <v>202</v>
      </c>
      <c r="C19" s="1" t="s">
        <v>23</v>
      </c>
      <c r="D19" s="1" t="s">
        <v>203</v>
      </c>
      <c r="E19" s="1" t="s">
        <v>154</v>
      </c>
      <c r="F19" s="1" t="s">
        <v>195</v>
      </c>
      <c r="G19" s="1" t="s">
        <v>362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346</v>
      </c>
      <c r="B20" s="1" t="s">
        <v>207</v>
      </c>
      <c r="C20" s="1" t="s">
        <v>23</v>
      </c>
      <c r="D20" s="1" t="s">
        <v>208</v>
      </c>
      <c r="E20" s="1" t="s">
        <v>154</v>
      </c>
      <c r="F20" s="1" t="s">
        <v>195</v>
      </c>
      <c r="G20" s="1" t="s">
        <v>361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347</v>
      </c>
      <c r="B21" s="1" t="s">
        <v>211</v>
      </c>
      <c r="C21" s="1" t="s">
        <v>23</v>
      </c>
      <c r="D21" s="1" t="s">
        <v>212</v>
      </c>
      <c r="E21" s="1" t="s">
        <v>154</v>
      </c>
      <c r="F21" s="1" t="s">
        <v>213</v>
      </c>
      <c r="G21" s="1" t="s">
        <v>363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349</v>
      </c>
      <c r="B22" s="1" t="s">
        <v>216</v>
      </c>
      <c r="C22" s="1" t="s">
        <v>23</v>
      </c>
      <c r="D22" s="1" t="s">
        <v>217</v>
      </c>
      <c r="E22" s="1" t="s">
        <v>154</v>
      </c>
      <c r="F22" s="1" t="s">
        <v>213</v>
      </c>
      <c r="G22" s="1" t="s">
        <v>364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351</v>
      </c>
      <c r="B23" s="1" t="s">
        <v>220</v>
      </c>
      <c r="C23" s="1" t="s">
        <v>23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352</v>
      </c>
      <c r="B24" s="1" t="s">
        <v>225</v>
      </c>
      <c r="C24" s="1" t="s">
        <v>23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366</v>
      </c>
      <c r="B9" s="1" t="s">
        <v>151</v>
      </c>
      <c r="C9" s="1" t="s">
        <v>367</v>
      </c>
      <c r="D9" s="1" t="s">
        <v>153</v>
      </c>
      <c r="E9" s="1" t="s">
        <v>154</v>
      </c>
      <c r="F9" s="1" t="s">
        <v>155</v>
      </c>
      <c r="G9" s="1" t="s">
        <v>368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369</v>
      </c>
      <c r="B10" s="1" t="s">
        <v>158</v>
      </c>
      <c r="C10" s="1" t="s">
        <v>367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370</v>
      </c>
      <c r="B11" s="1" t="s">
        <v>162</v>
      </c>
      <c r="C11" s="1" t="s">
        <v>367</v>
      </c>
      <c r="D11" s="1" t="s">
        <v>163</v>
      </c>
      <c r="E11" s="1" t="s">
        <v>154</v>
      </c>
      <c r="F11" s="1" t="s">
        <v>164</v>
      </c>
      <c r="G11" s="1" t="s">
        <v>371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372</v>
      </c>
      <c r="B12" s="1" t="s">
        <v>167</v>
      </c>
      <c r="C12" s="1" t="s">
        <v>367</v>
      </c>
      <c r="D12" s="1" t="s">
        <v>168</v>
      </c>
      <c r="E12" s="1" t="s">
        <v>154</v>
      </c>
      <c r="F12" s="1" t="s">
        <v>169</v>
      </c>
      <c r="G12" s="1" t="s">
        <v>373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374</v>
      </c>
      <c r="B13" s="1" t="s">
        <v>172</v>
      </c>
      <c r="C13" s="1" t="s">
        <v>367</v>
      </c>
      <c r="D13" s="1" t="s">
        <v>173</v>
      </c>
      <c r="E13" s="1" t="s">
        <v>154</v>
      </c>
      <c r="F13" s="1" t="s">
        <v>174</v>
      </c>
      <c r="G13" s="1" t="s">
        <v>375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376</v>
      </c>
      <c r="B14" s="1" t="s">
        <v>177</v>
      </c>
      <c r="C14" s="1" t="s">
        <v>367</v>
      </c>
      <c r="D14" s="1" t="s">
        <v>178</v>
      </c>
      <c r="E14" s="1" t="s">
        <v>154</v>
      </c>
      <c r="F14" s="1" t="s">
        <v>179</v>
      </c>
      <c r="G14" s="1" t="s">
        <v>377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378</v>
      </c>
      <c r="B15" s="1" t="s">
        <v>182</v>
      </c>
      <c r="C15" s="1" t="s">
        <v>367</v>
      </c>
      <c r="D15" s="1" t="s">
        <v>183</v>
      </c>
      <c r="E15" s="1" t="s">
        <v>154</v>
      </c>
      <c r="F15" s="1" t="s">
        <v>184</v>
      </c>
      <c r="G15" s="1" t="s">
        <v>379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380</v>
      </c>
      <c r="B16" s="1" t="s">
        <v>187</v>
      </c>
      <c r="C16" s="1" t="s">
        <v>367</v>
      </c>
      <c r="D16" s="1" t="s">
        <v>188</v>
      </c>
      <c r="E16" s="1" t="s">
        <v>154</v>
      </c>
      <c r="F16" s="1" t="s">
        <v>189</v>
      </c>
      <c r="G16" s="1" t="s">
        <v>381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382</v>
      </c>
      <c r="B17" s="1" t="s">
        <v>193</v>
      </c>
      <c r="C17" s="1" t="s">
        <v>367</v>
      </c>
      <c r="D17" s="1" t="s">
        <v>194</v>
      </c>
      <c r="E17" s="1" t="s">
        <v>154</v>
      </c>
      <c r="F17" s="1" t="s">
        <v>195</v>
      </c>
      <c r="G17" s="1" t="s">
        <v>383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384</v>
      </c>
      <c r="B18" s="1" t="s">
        <v>199</v>
      </c>
      <c r="C18" s="1" t="s">
        <v>367</v>
      </c>
      <c r="D18" s="1" t="s">
        <v>200</v>
      </c>
      <c r="E18" s="1" t="s">
        <v>154</v>
      </c>
      <c r="F18" s="1" t="s">
        <v>195</v>
      </c>
      <c r="G18" s="1" t="s">
        <v>383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385</v>
      </c>
      <c r="B19" s="1" t="s">
        <v>202</v>
      </c>
      <c r="C19" s="1" t="s">
        <v>367</v>
      </c>
      <c r="D19" s="1" t="s">
        <v>203</v>
      </c>
      <c r="E19" s="1" t="s">
        <v>154</v>
      </c>
      <c r="F19" s="1" t="s">
        <v>195</v>
      </c>
      <c r="G19" s="1" t="s">
        <v>386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387</v>
      </c>
      <c r="B20" s="1" t="s">
        <v>207</v>
      </c>
      <c r="C20" s="1" t="s">
        <v>367</v>
      </c>
      <c r="D20" s="1" t="s">
        <v>208</v>
      </c>
      <c r="E20" s="1" t="s">
        <v>154</v>
      </c>
      <c r="F20" s="1" t="s">
        <v>195</v>
      </c>
      <c r="G20" s="1" t="s">
        <v>383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388</v>
      </c>
      <c r="B21" s="1" t="s">
        <v>211</v>
      </c>
      <c r="C21" s="1" t="s">
        <v>367</v>
      </c>
      <c r="D21" s="1" t="s">
        <v>212</v>
      </c>
      <c r="E21" s="1" t="s">
        <v>154</v>
      </c>
      <c r="F21" s="1" t="s">
        <v>213</v>
      </c>
      <c r="G21" s="1" t="s">
        <v>389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390</v>
      </c>
      <c r="B22" s="1" t="s">
        <v>216</v>
      </c>
      <c r="C22" s="1" t="s">
        <v>367</v>
      </c>
      <c r="D22" s="1" t="s">
        <v>217</v>
      </c>
      <c r="E22" s="1" t="s">
        <v>154</v>
      </c>
      <c r="F22" s="1" t="s">
        <v>213</v>
      </c>
      <c r="G22" s="1" t="s">
        <v>391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392</v>
      </c>
      <c r="B23" s="1" t="s">
        <v>220</v>
      </c>
      <c r="C23" s="1" t="s">
        <v>367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393</v>
      </c>
      <c r="B24" s="1" t="s">
        <v>225</v>
      </c>
      <c r="C24" s="1" t="s">
        <v>367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395</v>
      </c>
      <c r="B9" s="1" t="s">
        <v>151</v>
      </c>
      <c r="C9" s="1" t="s">
        <v>25</v>
      </c>
      <c r="D9" s="1" t="s">
        <v>153</v>
      </c>
      <c r="E9" s="1" t="s">
        <v>154</v>
      </c>
      <c r="F9" s="1" t="s">
        <v>155</v>
      </c>
      <c r="G9" s="1" t="s">
        <v>396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397</v>
      </c>
      <c r="B10" s="1" t="s">
        <v>158</v>
      </c>
      <c r="C10" s="1" t="s">
        <v>25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398</v>
      </c>
      <c r="B11" s="1" t="s">
        <v>162</v>
      </c>
      <c r="C11" s="1" t="s">
        <v>25</v>
      </c>
      <c r="D11" s="1" t="s">
        <v>163</v>
      </c>
      <c r="E11" s="1" t="s">
        <v>154</v>
      </c>
      <c r="F11" s="1" t="s">
        <v>164</v>
      </c>
      <c r="G11" s="1" t="s">
        <v>399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400</v>
      </c>
      <c r="B12" s="1" t="s">
        <v>167</v>
      </c>
      <c r="C12" s="1" t="s">
        <v>25</v>
      </c>
      <c r="D12" s="1" t="s">
        <v>168</v>
      </c>
      <c r="E12" s="1" t="s">
        <v>154</v>
      </c>
      <c r="F12" s="1" t="s">
        <v>169</v>
      </c>
      <c r="G12" s="1" t="s">
        <v>401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402</v>
      </c>
      <c r="B13" s="1" t="s">
        <v>172</v>
      </c>
      <c r="C13" s="1" t="s">
        <v>25</v>
      </c>
      <c r="D13" s="1" t="s">
        <v>173</v>
      </c>
      <c r="E13" s="1" t="s">
        <v>154</v>
      </c>
      <c r="F13" s="1" t="s">
        <v>174</v>
      </c>
      <c r="G13" s="1" t="s">
        <v>403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404</v>
      </c>
      <c r="B14" s="1" t="s">
        <v>177</v>
      </c>
      <c r="C14" s="1" t="s">
        <v>25</v>
      </c>
      <c r="D14" s="1" t="s">
        <v>178</v>
      </c>
      <c r="E14" s="1" t="s">
        <v>154</v>
      </c>
      <c r="F14" s="1" t="s">
        <v>179</v>
      </c>
      <c r="G14" s="1" t="s">
        <v>405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406</v>
      </c>
      <c r="B15" s="1" t="s">
        <v>182</v>
      </c>
      <c r="C15" s="1" t="s">
        <v>25</v>
      </c>
      <c r="D15" s="1" t="s">
        <v>183</v>
      </c>
      <c r="E15" s="1" t="s">
        <v>154</v>
      </c>
      <c r="F15" s="1" t="s">
        <v>184</v>
      </c>
      <c r="G15" s="1" t="s">
        <v>407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408</v>
      </c>
      <c r="B16" s="1" t="s">
        <v>187</v>
      </c>
      <c r="C16" s="1" t="s">
        <v>25</v>
      </c>
      <c r="D16" s="1" t="s">
        <v>188</v>
      </c>
      <c r="E16" s="1" t="s">
        <v>154</v>
      </c>
      <c r="F16" s="1" t="s">
        <v>189</v>
      </c>
      <c r="G16" s="1" t="s">
        <v>409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410</v>
      </c>
      <c r="B17" s="1" t="s">
        <v>193</v>
      </c>
      <c r="C17" s="1" t="s">
        <v>25</v>
      </c>
      <c r="D17" s="1" t="s">
        <v>194</v>
      </c>
      <c r="E17" s="1" t="s">
        <v>154</v>
      </c>
      <c r="F17" s="1" t="s">
        <v>195</v>
      </c>
      <c r="G17" s="1" t="s">
        <v>411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412</v>
      </c>
      <c r="B18" s="1" t="s">
        <v>199</v>
      </c>
      <c r="C18" s="1" t="s">
        <v>25</v>
      </c>
      <c r="D18" s="1" t="s">
        <v>200</v>
      </c>
      <c r="E18" s="1" t="s">
        <v>154</v>
      </c>
      <c r="F18" s="1" t="s">
        <v>195</v>
      </c>
      <c r="G18" s="1" t="s">
        <v>411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413</v>
      </c>
      <c r="B19" s="1" t="s">
        <v>202</v>
      </c>
      <c r="C19" s="1" t="s">
        <v>25</v>
      </c>
      <c r="D19" s="1" t="s">
        <v>203</v>
      </c>
      <c r="E19" s="1" t="s">
        <v>154</v>
      </c>
      <c r="F19" s="1" t="s">
        <v>195</v>
      </c>
      <c r="G19" s="1" t="s">
        <v>414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415</v>
      </c>
      <c r="B20" s="1" t="s">
        <v>207</v>
      </c>
      <c r="C20" s="1" t="s">
        <v>25</v>
      </c>
      <c r="D20" s="1" t="s">
        <v>208</v>
      </c>
      <c r="E20" s="1" t="s">
        <v>154</v>
      </c>
      <c r="F20" s="1" t="s">
        <v>195</v>
      </c>
      <c r="G20" s="1" t="s">
        <v>411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416</v>
      </c>
      <c r="B21" s="1" t="s">
        <v>211</v>
      </c>
      <c r="C21" s="1" t="s">
        <v>25</v>
      </c>
      <c r="D21" s="1" t="s">
        <v>212</v>
      </c>
      <c r="E21" s="1" t="s">
        <v>154</v>
      </c>
      <c r="F21" s="1" t="s">
        <v>213</v>
      </c>
      <c r="G21" s="1" t="s">
        <v>417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418</v>
      </c>
      <c r="B22" s="1" t="s">
        <v>216</v>
      </c>
      <c r="C22" s="1" t="s">
        <v>25</v>
      </c>
      <c r="D22" s="1" t="s">
        <v>217</v>
      </c>
      <c r="E22" s="1" t="s">
        <v>154</v>
      </c>
      <c r="F22" s="1" t="s">
        <v>213</v>
      </c>
      <c r="G22" s="1" t="s">
        <v>419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420</v>
      </c>
      <c r="B23" s="1" t="s">
        <v>220</v>
      </c>
      <c r="C23" s="1" t="s">
        <v>25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421</v>
      </c>
      <c r="B24" s="1" t="s">
        <v>225</v>
      </c>
      <c r="C24" s="1" t="s">
        <v>25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395</v>
      </c>
      <c r="B9" s="1" t="s">
        <v>151</v>
      </c>
      <c r="C9" s="1" t="s">
        <v>26</v>
      </c>
      <c r="D9" s="1" t="s">
        <v>153</v>
      </c>
      <c r="E9" s="1" t="s">
        <v>154</v>
      </c>
      <c r="F9" s="1" t="s">
        <v>155</v>
      </c>
      <c r="G9" s="1" t="s">
        <v>423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397</v>
      </c>
      <c r="B10" s="1" t="s">
        <v>158</v>
      </c>
      <c r="C10" s="1" t="s">
        <v>26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398</v>
      </c>
      <c r="B11" s="1" t="s">
        <v>162</v>
      </c>
      <c r="C11" s="1" t="s">
        <v>26</v>
      </c>
      <c r="D11" s="1" t="s">
        <v>163</v>
      </c>
      <c r="E11" s="1" t="s">
        <v>154</v>
      </c>
      <c r="F11" s="1" t="s">
        <v>164</v>
      </c>
      <c r="G11" s="1" t="s">
        <v>424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400</v>
      </c>
      <c r="B12" s="1" t="s">
        <v>167</v>
      </c>
      <c r="C12" s="1" t="s">
        <v>26</v>
      </c>
      <c r="D12" s="1" t="s">
        <v>168</v>
      </c>
      <c r="E12" s="1" t="s">
        <v>154</v>
      </c>
      <c r="F12" s="1" t="s">
        <v>169</v>
      </c>
      <c r="G12" s="1" t="s">
        <v>425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402</v>
      </c>
      <c r="B13" s="1" t="s">
        <v>172</v>
      </c>
      <c r="C13" s="1" t="s">
        <v>26</v>
      </c>
      <c r="D13" s="1" t="s">
        <v>173</v>
      </c>
      <c r="E13" s="1" t="s">
        <v>154</v>
      </c>
      <c r="F13" s="1" t="s">
        <v>174</v>
      </c>
      <c r="G13" s="1" t="s">
        <v>426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404</v>
      </c>
      <c r="B14" s="1" t="s">
        <v>177</v>
      </c>
      <c r="C14" s="1" t="s">
        <v>26</v>
      </c>
      <c r="D14" s="1" t="s">
        <v>178</v>
      </c>
      <c r="E14" s="1" t="s">
        <v>154</v>
      </c>
      <c r="F14" s="1" t="s">
        <v>179</v>
      </c>
      <c r="G14" s="1" t="s">
        <v>427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406</v>
      </c>
      <c r="B15" s="1" t="s">
        <v>182</v>
      </c>
      <c r="C15" s="1" t="s">
        <v>26</v>
      </c>
      <c r="D15" s="1" t="s">
        <v>183</v>
      </c>
      <c r="E15" s="1" t="s">
        <v>154</v>
      </c>
      <c r="F15" s="1" t="s">
        <v>184</v>
      </c>
      <c r="G15" s="1" t="s">
        <v>428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408</v>
      </c>
      <c r="B16" s="1" t="s">
        <v>187</v>
      </c>
      <c r="C16" s="1" t="s">
        <v>26</v>
      </c>
      <c r="D16" s="1" t="s">
        <v>188</v>
      </c>
      <c r="E16" s="1" t="s">
        <v>154</v>
      </c>
      <c r="F16" s="1" t="s">
        <v>189</v>
      </c>
      <c r="G16" s="1" t="s">
        <v>429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410</v>
      </c>
      <c r="B17" s="1" t="s">
        <v>193</v>
      </c>
      <c r="C17" s="1" t="s">
        <v>26</v>
      </c>
      <c r="D17" s="1" t="s">
        <v>194</v>
      </c>
      <c r="E17" s="1" t="s">
        <v>154</v>
      </c>
      <c r="F17" s="1" t="s">
        <v>195</v>
      </c>
      <c r="G17" s="1" t="s">
        <v>430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412</v>
      </c>
      <c r="B18" s="1" t="s">
        <v>199</v>
      </c>
      <c r="C18" s="1" t="s">
        <v>26</v>
      </c>
      <c r="D18" s="1" t="s">
        <v>200</v>
      </c>
      <c r="E18" s="1" t="s">
        <v>154</v>
      </c>
      <c r="F18" s="1" t="s">
        <v>195</v>
      </c>
      <c r="G18" s="1" t="s">
        <v>430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413</v>
      </c>
      <c r="B19" s="1" t="s">
        <v>202</v>
      </c>
      <c r="C19" s="1" t="s">
        <v>26</v>
      </c>
      <c r="D19" s="1" t="s">
        <v>203</v>
      </c>
      <c r="E19" s="1" t="s">
        <v>154</v>
      </c>
      <c r="F19" s="1" t="s">
        <v>195</v>
      </c>
      <c r="G19" s="1" t="s">
        <v>431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415</v>
      </c>
      <c r="B20" s="1" t="s">
        <v>207</v>
      </c>
      <c r="C20" s="1" t="s">
        <v>26</v>
      </c>
      <c r="D20" s="1" t="s">
        <v>208</v>
      </c>
      <c r="E20" s="1" t="s">
        <v>154</v>
      </c>
      <c r="F20" s="1" t="s">
        <v>195</v>
      </c>
      <c r="G20" s="1" t="s">
        <v>430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416</v>
      </c>
      <c r="B21" s="1" t="s">
        <v>211</v>
      </c>
      <c r="C21" s="1" t="s">
        <v>26</v>
      </c>
      <c r="D21" s="1" t="s">
        <v>212</v>
      </c>
      <c r="E21" s="1" t="s">
        <v>154</v>
      </c>
      <c r="F21" s="1" t="s">
        <v>213</v>
      </c>
      <c r="G21" s="1" t="s">
        <v>432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418</v>
      </c>
      <c r="B22" s="1" t="s">
        <v>216</v>
      </c>
      <c r="C22" s="1" t="s">
        <v>26</v>
      </c>
      <c r="D22" s="1" t="s">
        <v>217</v>
      </c>
      <c r="E22" s="1" t="s">
        <v>154</v>
      </c>
      <c r="F22" s="1" t="s">
        <v>213</v>
      </c>
      <c r="G22" s="1" t="s">
        <v>433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420</v>
      </c>
      <c r="B23" s="1" t="s">
        <v>220</v>
      </c>
      <c r="C23" s="1" t="s">
        <v>26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421</v>
      </c>
      <c r="B24" s="1" t="s">
        <v>225</v>
      </c>
      <c r="C24" s="1" t="s">
        <v>26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435</v>
      </c>
      <c r="B9" s="1" t="s">
        <v>151</v>
      </c>
      <c r="C9" s="1" t="s">
        <v>27</v>
      </c>
      <c r="D9" s="1" t="s">
        <v>153</v>
      </c>
      <c r="E9" s="1" t="s">
        <v>154</v>
      </c>
      <c r="F9" s="1" t="s">
        <v>155</v>
      </c>
      <c r="G9" s="1" t="s">
        <v>436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437</v>
      </c>
      <c r="B10" s="1" t="s">
        <v>158</v>
      </c>
      <c r="C10" s="1" t="s">
        <v>27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438</v>
      </c>
      <c r="B11" s="1" t="s">
        <v>162</v>
      </c>
      <c r="C11" s="1" t="s">
        <v>27</v>
      </c>
      <c r="D11" s="1" t="s">
        <v>163</v>
      </c>
      <c r="E11" s="1" t="s">
        <v>154</v>
      </c>
      <c r="F11" s="1" t="s">
        <v>164</v>
      </c>
      <c r="G11" s="1" t="s">
        <v>439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440</v>
      </c>
      <c r="B12" s="1" t="s">
        <v>167</v>
      </c>
      <c r="C12" s="1" t="s">
        <v>27</v>
      </c>
      <c r="D12" s="1" t="s">
        <v>168</v>
      </c>
      <c r="E12" s="1" t="s">
        <v>154</v>
      </c>
      <c r="F12" s="1" t="s">
        <v>169</v>
      </c>
      <c r="G12" s="1" t="s">
        <v>441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442</v>
      </c>
      <c r="B13" s="1" t="s">
        <v>172</v>
      </c>
      <c r="C13" s="1" t="s">
        <v>27</v>
      </c>
      <c r="D13" s="1" t="s">
        <v>173</v>
      </c>
      <c r="E13" s="1" t="s">
        <v>154</v>
      </c>
      <c r="F13" s="1" t="s">
        <v>174</v>
      </c>
      <c r="G13" s="1" t="s">
        <v>443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444</v>
      </c>
      <c r="B14" s="1" t="s">
        <v>177</v>
      </c>
      <c r="C14" s="1" t="s">
        <v>27</v>
      </c>
      <c r="D14" s="1" t="s">
        <v>178</v>
      </c>
      <c r="E14" s="1" t="s">
        <v>154</v>
      </c>
      <c r="F14" s="1" t="s">
        <v>179</v>
      </c>
      <c r="G14" s="1" t="s">
        <v>445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446</v>
      </c>
      <c r="B15" s="1" t="s">
        <v>182</v>
      </c>
      <c r="C15" s="1" t="s">
        <v>27</v>
      </c>
      <c r="D15" s="1" t="s">
        <v>183</v>
      </c>
      <c r="E15" s="1" t="s">
        <v>154</v>
      </c>
      <c r="F15" s="1" t="s">
        <v>184</v>
      </c>
      <c r="G15" s="1" t="s">
        <v>447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448</v>
      </c>
      <c r="B16" s="1" t="s">
        <v>187</v>
      </c>
      <c r="C16" s="1" t="s">
        <v>27</v>
      </c>
      <c r="D16" s="1" t="s">
        <v>188</v>
      </c>
      <c r="E16" s="1" t="s">
        <v>154</v>
      </c>
      <c r="F16" s="1" t="s">
        <v>189</v>
      </c>
      <c r="G16" s="1" t="s">
        <v>449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450</v>
      </c>
      <c r="B17" s="1" t="s">
        <v>193</v>
      </c>
      <c r="C17" s="1" t="s">
        <v>27</v>
      </c>
      <c r="D17" s="1" t="s">
        <v>194</v>
      </c>
      <c r="E17" s="1" t="s">
        <v>154</v>
      </c>
      <c r="F17" s="1" t="s">
        <v>195</v>
      </c>
      <c r="G17" s="1" t="s">
        <v>451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452</v>
      </c>
      <c r="B18" s="1" t="s">
        <v>199</v>
      </c>
      <c r="C18" s="1" t="s">
        <v>27</v>
      </c>
      <c r="D18" s="1" t="s">
        <v>200</v>
      </c>
      <c r="E18" s="1" t="s">
        <v>154</v>
      </c>
      <c r="F18" s="1" t="s">
        <v>195</v>
      </c>
      <c r="G18" s="1" t="s">
        <v>451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453</v>
      </c>
      <c r="B19" s="1" t="s">
        <v>202</v>
      </c>
      <c r="C19" s="1" t="s">
        <v>27</v>
      </c>
      <c r="D19" s="1" t="s">
        <v>203</v>
      </c>
      <c r="E19" s="1" t="s">
        <v>154</v>
      </c>
      <c r="F19" s="1" t="s">
        <v>195</v>
      </c>
      <c r="G19" s="1" t="s">
        <v>454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455</v>
      </c>
      <c r="B20" s="1" t="s">
        <v>207</v>
      </c>
      <c r="C20" s="1" t="s">
        <v>27</v>
      </c>
      <c r="D20" s="1" t="s">
        <v>208</v>
      </c>
      <c r="E20" s="1" t="s">
        <v>154</v>
      </c>
      <c r="F20" s="1" t="s">
        <v>195</v>
      </c>
      <c r="G20" s="1" t="s">
        <v>451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456</v>
      </c>
      <c r="B21" s="1" t="s">
        <v>211</v>
      </c>
      <c r="C21" s="1" t="s">
        <v>27</v>
      </c>
      <c r="D21" s="1" t="s">
        <v>212</v>
      </c>
      <c r="E21" s="1" t="s">
        <v>154</v>
      </c>
      <c r="F21" s="1" t="s">
        <v>213</v>
      </c>
      <c r="G21" s="1" t="s">
        <v>457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458</v>
      </c>
      <c r="B22" s="1" t="s">
        <v>216</v>
      </c>
      <c r="C22" s="1" t="s">
        <v>27</v>
      </c>
      <c r="D22" s="1" t="s">
        <v>217</v>
      </c>
      <c r="E22" s="1" t="s">
        <v>154</v>
      </c>
      <c r="F22" s="1" t="s">
        <v>213</v>
      </c>
      <c r="G22" s="1" t="s">
        <v>459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460</v>
      </c>
      <c r="B23" s="1" t="s">
        <v>220</v>
      </c>
      <c r="C23" s="1" t="s">
        <v>27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461</v>
      </c>
      <c r="B24" s="1" t="s">
        <v>225</v>
      </c>
      <c r="C24" s="1" t="s">
        <v>27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435</v>
      </c>
      <c r="B9" s="1" t="s">
        <v>151</v>
      </c>
      <c r="C9" s="1" t="s">
        <v>28</v>
      </c>
      <c r="D9" s="1" t="s">
        <v>153</v>
      </c>
      <c r="E9" s="1" t="s">
        <v>154</v>
      </c>
      <c r="F9" s="1" t="s">
        <v>155</v>
      </c>
      <c r="G9" s="1" t="s">
        <v>463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437</v>
      </c>
      <c r="B10" s="1" t="s">
        <v>158</v>
      </c>
      <c r="C10" s="1" t="s">
        <v>28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438</v>
      </c>
      <c r="B11" s="1" t="s">
        <v>162</v>
      </c>
      <c r="C11" s="1" t="s">
        <v>28</v>
      </c>
      <c r="D11" s="1" t="s">
        <v>163</v>
      </c>
      <c r="E11" s="1" t="s">
        <v>154</v>
      </c>
      <c r="F11" s="1" t="s">
        <v>164</v>
      </c>
      <c r="G11" s="1" t="s">
        <v>464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440</v>
      </c>
      <c r="B12" s="1" t="s">
        <v>167</v>
      </c>
      <c r="C12" s="1" t="s">
        <v>28</v>
      </c>
      <c r="D12" s="1" t="s">
        <v>168</v>
      </c>
      <c r="E12" s="1" t="s">
        <v>154</v>
      </c>
      <c r="F12" s="1" t="s">
        <v>169</v>
      </c>
      <c r="G12" s="1" t="s">
        <v>465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442</v>
      </c>
      <c r="B13" s="1" t="s">
        <v>172</v>
      </c>
      <c r="C13" s="1" t="s">
        <v>28</v>
      </c>
      <c r="D13" s="1" t="s">
        <v>173</v>
      </c>
      <c r="E13" s="1" t="s">
        <v>154</v>
      </c>
      <c r="F13" s="1" t="s">
        <v>174</v>
      </c>
      <c r="G13" s="1" t="s">
        <v>466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444</v>
      </c>
      <c r="B14" s="1" t="s">
        <v>177</v>
      </c>
      <c r="C14" s="1" t="s">
        <v>28</v>
      </c>
      <c r="D14" s="1" t="s">
        <v>178</v>
      </c>
      <c r="E14" s="1" t="s">
        <v>154</v>
      </c>
      <c r="F14" s="1" t="s">
        <v>179</v>
      </c>
      <c r="G14" s="1" t="s">
        <v>467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446</v>
      </c>
      <c r="B15" s="1" t="s">
        <v>182</v>
      </c>
      <c r="C15" s="1" t="s">
        <v>28</v>
      </c>
      <c r="D15" s="1" t="s">
        <v>183</v>
      </c>
      <c r="E15" s="1" t="s">
        <v>154</v>
      </c>
      <c r="F15" s="1" t="s">
        <v>184</v>
      </c>
      <c r="G15" s="1" t="s">
        <v>468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448</v>
      </c>
      <c r="B16" s="1" t="s">
        <v>187</v>
      </c>
      <c r="C16" s="1" t="s">
        <v>28</v>
      </c>
      <c r="D16" s="1" t="s">
        <v>188</v>
      </c>
      <c r="E16" s="1" t="s">
        <v>154</v>
      </c>
      <c r="F16" s="1" t="s">
        <v>189</v>
      </c>
      <c r="G16" s="1" t="s">
        <v>469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450</v>
      </c>
      <c r="B17" s="1" t="s">
        <v>193</v>
      </c>
      <c r="C17" s="1" t="s">
        <v>28</v>
      </c>
      <c r="D17" s="1" t="s">
        <v>194</v>
      </c>
      <c r="E17" s="1" t="s">
        <v>154</v>
      </c>
      <c r="F17" s="1" t="s">
        <v>195</v>
      </c>
      <c r="G17" s="1" t="s">
        <v>470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452</v>
      </c>
      <c r="B18" s="1" t="s">
        <v>199</v>
      </c>
      <c r="C18" s="1" t="s">
        <v>28</v>
      </c>
      <c r="D18" s="1" t="s">
        <v>200</v>
      </c>
      <c r="E18" s="1" t="s">
        <v>154</v>
      </c>
      <c r="F18" s="1" t="s">
        <v>195</v>
      </c>
      <c r="G18" s="1" t="s">
        <v>470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453</v>
      </c>
      <c r="B19" s="1" t="s">
        <v>202</v>
      </c>
      <c r="C19" s="1" t="s">
        <v>28</v>
      </c>
      <c r="D19" s="1" t="s">
        <v>203</v>
      </c>
      <c r="E19" s="1" t="s">
        <v>154</v>
      </c>
      <c r="F19" s="1" t="s">
        <v>195</v>
      </c>
      <c r="G19" s="1" t="s">
        <v>471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455</v>
      </c>
      <c r="B20" s="1" t="s">
        <v>207</v>
      </c>
      <c r="C20" s="1" t="s">
        <v>28</v>
      </c>
      <c r="D20" s="1" t="s">
        <v>208</v>
      </c>
      <c r="E20" s="1" t="s">
        <v>154</v>
      </c>
      <c r="F20" s="1" t="s">
        <v>195</v>
      </c>
      <c r="G20" s="1" t="s">
        <v>470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456</v>
      </c>
      <c r="B21" s="1" t="s">
        <v>211</v>
      </c>
      <c r="C21" s="1" t="s">
        <v>28</v>
      </c>
      <c r="D21" s="1" t="s">
        <v>212</v>
      </c>
      <c r="E21" s="1" t="s">
        <v>154</v>
      </c>
      <c r="F21" s="1" t="s">
        <v>213</v>
      </c>
      <c r="G21" s="1" t="s">
        <v>472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458</v>
      </c>
      <c r="B22" s="1" t="s">
        <v>216</v>
      </c>
      <c r="C22" s="1" t="s">
        <v>28</v>
      </c>
      <c r="D22" s="1" t="s">
        <v>217</v>
      </c>
      <c r="E22" s="1" t="s">
        <v>154</v>
      </c>
      <c r="F22" s="1" t="s">
        <v>213</v>
      </c>
      <c r="G22" s="1" t="s">
        <v>473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460</v>
      </c>
      <c r="B23" s="1" t="s">
        <v>220</v>
      </c>
      <c r="C23" s="1" t="s">
        <v>28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461</v>
      </c>
      <c r="B24" s="1" t="s">
        <v>225</v>
      </c>
      <c r="C24" s="1" t="s">
        <v>28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435</v>
      </c>
      <c r="B9" s="1" t="s">
        <v>151</v>
      </c>
      <c r="C9" s="1" t="s">
        <v>29</v>
      </c>
      <c r="D9" s="1" t="s">
        <v>153</v>
      </c>
      <c r="E9" s="1" t="s">
        <v>154</v>
      </c>
      <c r="F9" s="1" t="s">
        <v>155</v>
      </c>
      <c r="G9" s="1" t="s">
        <v>475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437</v>
      </c>
      <c r="B10" s="1" t="s">
        <v>158</v>
      </c>
      <c r="C10" s="1" t="s">
        <v>29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438</v>
      </c>
      <c r="B11" s="1" t="s">
        <v>162</v>
      </c>
      <c r="C11" s="1" t="s">
        <v>29</v>
      </c>
      <c r="D11" s="1" t="s">
        <v>163</v>
      </c>
      <c r="E11" s="1" t="s">
        <v>154</v>
      </c>
      <c r="F11" s="1" t="s">
        <v>164</v>
      </c>
      <c r="G11" s="1" t="s">
        <v>476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440</v>
      </c>
      <c r="B12" s="1" t="s">
        <v>167</v>
      </c>
      <c r="C12" s="1" t="s">
        <v>29</v>
      </c>
      <c r="D12" s="1" t="s">
        <v>168</v>
      </c>
      <c r="E12" s="1" t="s">
        <v>154</v>
      </c>
      <c r="F12" s="1" t="s">
        <v>169</v>
      </c>
      <c r="G12" s="1" t="s">
        <v>477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442</v>
      </c>
      <c r="B13" s="1" t="s">
        <v>172</v>
      </c>
      <c r="C13" s="1" t="s">
        <v>29</v>
      </c>
      <c r="D13" s="1" t="s">
        <v>173</v>
      </c>
      <c r="E13" s="1" t="s">
        <v>154</v>
      </c>
      <c r="F13" s="1" t="s">
        <v>174</v>
      </c>
      <c r="G13" s="1" t="s">
        <v>478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444</v>
      </c>
      <c r="B14" s="1" t="s">
        <v>177</v>
      </c>
      <c r="C14" s="1" t="s">
        <v>29</v>
      </c>
      <c r="D14" s="1" t="s">
        <v>178</v>
      </c>
      <c r="E14" s="1" t="s">
        <v>154</v>
      </c>
      <c r="F14" s="1" t="s">
        <v>179</v>
      </c>
      <c r="G14" s="1" t="s">
        <v>479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446</v>
      </c>
      <c r="B15" s="1" t="s">
        <v>182</v>
      </c>
      <c r="C15" s="1" t="s">
        <v>29</v>
      </c>
      <c r="D15" s="1" t="s">
        <v>183</v>
      </c>
      <c r="E15" s="1" t="s">
        <v>154</v>
      </c>
      <c r="F15" s="1" t="s">
        <v>184</v>
      </c>
      <c r="G15" s="1" t="s">
        <v>480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448</v>
      </c>
      <c r="B16" s="1" t="s">
        <v>187</v>
      </c>
      <c r="C16" s="1" t="s">
        <v>29</v>
      </c>
      <c r="D16" s="1" t="s">
        <v>188</v>
      </c>
      <c r="E16" s="1" t="s">
        <v>154</v>
      </c>
      <c r="F16" s="1" t="s">
        <v>189</v>
      </c>
      <c r="G16" s="1" t="s">
        <v>481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450</v>
      </c>
      <c r="B17" s="1" t="s">
        <v>193</v>
      </c>
      <c r="C17" s="1" t="s">
        <v>29</v>
      </c>
      <c r="D17" s="1" t="s">
        <v>194</v>
      </c>
      <c r="E17" s="1" t="s">
        <v>154</v>
      </c>
      <c r="F17" s="1" t="s">
        <v>195</v>
      </c>
      <c r="G17" s="1" t="s">
        <v>482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452</v>
      </c>
      <c r="B18" s="1" t="s">
        <v>199</v>
      </c>
      <c r="C18" s="1" t="s">
        <v>29</v>
      </c>
      <c r="D18" s="1" t="s">
        <v>200</v>
      </c>
      <c r="E18" s="1" t="s">
        <v>154</v>
      </c>
      <c r="F18" s="1" t="s">
        <v>195</v>
      </c>
      <c r="G18" s="1" t="s">
        <v>482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453</v>
      </c>
      <c r="B19" s="1" t="s">
        <v>202</v>
      </c>
      <c r="C19" s="1" t="s">
        <v>29</v>
      </c>
      <c r="D19" s="1" t="s">
        <v>203</v>
      </c>
      <c r="E19" s="1" t="s">
        <v>154</v>
      </c>
      <c r="F19" s="1" t="s">
        <v>195</v>
      </c>
      <c r="G19" s="1" t="s">
        <v>483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455</v>
      </c>
      <c r="B20" s="1" t="s">
        <v>207</v>
      </c>
      <c r="C20" s="1" t="s">
        <v>29</v>
      </c>
      <c r="D20" s="1" t="s">
        <v>208</v>
      </c>
      <c r="E20" s="1" t="s">
        <v>154</v>
      </c>
      <c r="F20" s="1" t="s">
        <v>195</v>
      </c>
      <c r="G20" s="1" t="s">
        <v>482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456</v>
      </c>
      <c r="B21" s="1" t="s">
        <v>211</v>
      </c>
      <c r="C21" s="1" t="s">
        <v>29</v>
      </c>
      <c r="D21" s="1" t="s">
        <v>212</v>
      </c>
      <c r="E21" s="1" t="s">
        <v>154</v>
      </c>
      <c r="F21" s="1" t="s">
        <v>213</v>
      </c>
      <c r="G21" s="1" t="s">
        <v>484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458</v>
      </c>
      <c r="B22" s="1" t="s">
        <v>216</v>
      </c>
      <c r="C22" s="1" t="s">
        <v>29</v>
      </c>
      <c r="D22" s="1" t="s">
        <v>217</v>
      </c>
      <c r="E22" s="1" t="s">
        <v>154</v>
      </c>
      <c r="F22" s="1" t="s">
        <v>213</v>
      </c>
      <c r="G22" s="1" t="s">
        <v>485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460</v>
      </c>
      <c r="B23" s="1" t="s">
        <v>220</v>
      </c>
      <c r="C23" s="1" t="s">
        <v>29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461</v>
      </c>
      <c r="B24" s="1" t="s">
        <v>225</v>
      </c>
      <c r="C24" s="1" t="s">
        <v>29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487</v>
      </c>
      <c r="B9" s="1" t="s">
        <v>151</v>
      </c>
      <c r="C9" s="1" t="s">
        <v>488</v>
      </c>
      <c r="D9" s="1" t="s">
        <v>153</v>
      </c>
      <c r="E9" s="1" t="s">
        <v>154</v>
      </c>
      <c r="F9" s="1" t="s">
        <v>155</v>
      </c>
      <c r="G9" s="1" t="s">
        <v>489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490</v>
      </c>
      <c r="B10" s="1" t="s">
        <v>158</v>
      </c>
      <c r="C10" s="1" t="s">
        <v>488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491</v>
      </c>
      <c r="B11" s="1" t="s">
        <v>162</v>
      </c>
      <c r="C11" s="1" t="s">
        <v>488</v>
      </c>
      <c r="D11" s="1" t="s">
        <v>163</v>
      </c>
      <c r="E11" s="1" t="s">
        <v>154</v>
      </c>
      <c r="F11" s="1" t="s">
        <v>164</v>
      </c>
      <c r="G11" s="1" t="s">
        <v>492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493</v>
      </c>
      <c r="B12" s="1" t="s">
        <v>167</v>
      </c>
      <c r="C12" s="1" t="s">
        <v>488</v>
      </c>
      <c r="D12" s="1" t="s">
        <v>168</v>
      </c>
      <c r="E12" s="1" t="s">
        <v>154</v>
      </c>
      <c r="F12" s="1" t="s">
        <v>169</v>
      </c>
      <c r="G12" s="1" t="s">
        <v>494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495</v>
      </c>
      <c r="B13" s="1" t="s">
        <v>172</v>
      </c>
      <c r="C13" s="1" t="s">
        <v>488</v>
      </c>
      <c r="D13" s="1" t="s">
        <v>173</v>
      </c>
      <c r="E13" s="1" t="s">
        <v>154</v>
      </c>
      <c r="F13" s="1" t="s">
        <v>174</v>
      </c>
      <c r="G13" s="1" t="s">
        <v>496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497</v>
      </c>
      <c r="B14" s="1" t="s">
        <v>177</v>
      </c>
      <c r="C14" s="1" t="s">
        <v>488</v>
      </c>
      <c r="D14" s="1" t="s">
        <v>178</v>
      </c>
      <c r="E14" s="1" t="s">
        <v>154</v>
      </c>
      <c r="F14" s="1" t="s">
        <v>179</v>
      </c>
      <c r="G14" s="1" t="s">
        <v>498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499</v>
      </c>
      <c r="B15" s="1" t="s">
        <v>182</v>
      </c>
      <c r="C15" s="1" t="s">
        <v>488</v>
      </c>
      <c r="D15" s="1" t="s">
        <v>183</v>
      </c>
      <c r="E15" s="1" t="s">
        <v>154</v>
      </c>
      <c r="F15" s="1" t="s">
        <v>184</v>
      </c>
      <c r="G15" s="1" t="s">
        <v>500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501</v>
      </c>
      <c r="B16" s="1" t="s">
        <v>187</v>
      </c>
      <c r="C16" s="1" t="s">
        <v>488</v>
      </c>
      <c r="D16" s="1" t="s">
        <v>188</v>
      </c>
      <c r="E16" s="1" t="s">
        <v>154</v>
      </c>
      <c r="F16" s="1" t="s">
        <v>189</v>
      </c>
      <c r="G16" s="1" t="s">
        <v>502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503</v>
      </c>
      <c r="B17" s="1" t="s">
        <v>193</v>
      </c>
      <c r="C17" s="1" t="s">
        <v>488</v>
      </c>
      <c r="D17" s="1" t="s">
        <v>194</v>
      </c>
      <c r="E17" s="1" t="s">
        <v>154</v>
      </c>
      <c r="F17" s="1" t="s">
        <v>195</v>
      </c>
      <c r="G17" s="1" t="s">
        <v>504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505</v>
      </c>
      <c r="B18" s="1" t="s">
        <v>199</v>
      </c>
      <c r="C18" s="1" t="s">
        <v>488</v>
      </c>
      <c r="D18" s="1" t="s">
        <v>200</v>
      </c>
      <c r="E18" s="1" t="s">
        <v>154</v>
      </c>
      <c r="F18" s="1" t="s">
        <v>195</v>
      </c>
      <c r="G18" s="1" t="s">
        <v>504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506</v>
      </c>
      <c r="B19" s="1" t="s">
        <v>202</v>
      </c>
      <c r="C19" s="1" t="s">
        <v>488</v>
      </c>
      <c r="D19" s="1" t="s">
        <v>203</v>
      </c>
      <c r="E19" s="1" t="s">
        <v>154</v>
      </c>
      <c r="F19" s="1" t="s">
        <v>195</v>
      </c>
      <c r="G19" s="1" t="s">
        <v>507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508</v>
      </c>
      <c r="B20" s="1" t="s">
        <v>207</v>
      </c>
      <c r="C20" s="1" t="s">
        <v>488</v>
      </c>
      <c r="D20" s="1" t="s">
        <v>208</v>
      </c>
      <c r="E20" s="1" t="s">
        <v>154</v>
      </c>
      <c r="F20" s="1" t="s">
        <v>195</v>
      </c>
      <c r="G20" s="1" t="s">
        <v>504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509</v>
      </c>
      <c r="B21" s="1" t="s">
        <v>211</v>
      </c>
      <c r="C21" s="1" t="s">
        <v>488</v>
      </c>
      <c r="D21" s="1" t="s">
        <v>212</v>
      </c>
      <c r="E21" s="1" t="s">
        <v>154</v>
      </c>
      <c r="F21" s="1" t="s">
        <v>213</v>
      </c>
      <c r="G21" s="1" t="s">
        <v>510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511</v>
      </c>
      <c r="B22" s="1" t="s">
        <v>216</v>
      </c>
      <c r="C22" s="1" t="s">
        <v>488</v>
      </c>
      <c r="D22" s="1" t="s">
        <v>217</v>
      </c>
      <c r="E22" s="1" t="s">
        <v>154</v>
      </c>
      <c r="F22" s="1" t="s">
        <v>213</v>
      </c>
      <c r="G22" s="1" t="s">
        <v>512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513</v>
      </c>
      <c r="B23" s="1" t="s">
        <v>220</v>
      </c>
      <c r="C23" s="1" t="s">
        <v>488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514</v>
      </c>
      <c r="B24" s="1" t="s">
        <v>225</v>
      </c>
      <c r="C24" s="1" t="s">
        <v>488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516</v>
      </c>
      <c r="B9" s="1" t="s">
        <v>151</v>
      </c>
      <c r="C9" s="1" t="s">
        <v>517</v>
      </c>
      <c r="D9" s="1" t="s">
        <v>153</v>
      </c>
      <c r="E9" s="1" t="s">
        <v>154</v>
      </c>
      <c r="F9" s="1" t="s">
        <v>155</v>
      </c>
      <c r="G9" s="1" t="s">
        <v>518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519</v>
      </c>
      <c r="B10" s="1" t="s">
        <v>158</v>
      </c>
      <c r="C10" s="1" t="s">
        <v>517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520</v>
      </c>
      <c r="B11" s="1" t="s">
        <v>162</v>
      </c>
      <c r="C11" s="1" t="s">
        <v>517</v>
      </c>
      <c r="D11" s="1" t="s">
        <v>163</v>
      </c>
      <c r="E11" s="1" t="s">
        <v>154</v>
      </c>
      <c r="F11" s="1" t="s">
        <v>164</v>
      </c>
      <c r="G11" s="1" t="s">
        <v>521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522</v>
      </c>
      <c r="B12" s="1" t="s">
        <v>167</v>
      </c>
      <c r="C12" s="1" t="s">
        <v>517</v>
      </c>
      <c r="D12" s="1" t="s">
        <v>168</v>
      </c>
      <c r="E12" s="1" t="s">
        <v>154</v>
      </c>
      <c r="F12" s="1" t="s">
        <v>169</v>
      </c>
      <c r="G12" s="1" t="s">
        <v>523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524</v>
      </c>
      <c r="B13" s="1" t="s">
        <v>172</v>
      </c>
      <c r="C13" s="1" t="s">
        <v>517</v>
      </c>
      <c r="D13" s="1" t="s">
        <v>173</v>
      </c>
      <c r="E13" s="1" t="s">
        <v>154</v>
      </c>
      <c r="F13" s="1" t="s">
        <v>174</v>
      </c>
      <c r="G13" s="1" t="s">
        <v>525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526</v>
      </c>
      <c r="B14" s="1" t="s">
        <v>177</v>
      </c>
      <c r="C14" s="1" t="s">
        <v>517</v>
      </c>
      <c r="D14" s="1" t="s">
        <v>178</v>
      </c>
      <c r="E14" s="1" t="s">
        <v>154</v>
      </c>
      <c r="F14" s="1" t="s">
        <v>179</v>
      </c>
      <c r="G14" s="1" t="s">
        <v>527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528</v>
      </c>
      <c r="B15" s="1" t="s">
        <v>182</v>
      </c>
      <c r="C15" s="1" t="s">
        <v>517</v>
      </c>
      <c r="D15" s="1" t="s">
        <v>183</v>
      </c>
      <c r="E15" s="1" t="s">
        <v>154</v>
      </c>
      <c r="F15" s="1" t="s">
        <v>184</v>
      </c>
      <c r="G15" s="1" t="s">
        <v>529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530</v>
      </c>
      <c r="B16" s="1" t="s">
        <v>187</v>
      </c>
      <c r="C16" s="1" t="s">
        <v>517</v>
      </c>
      <c r="D16" s="1" t="s">
        <v>188</v>
      </c>
      <c r="E16" s="1" t="s">
        <v>154</v>
      </c>
      <c r="F16" s="1" t="s">
        <v>189</v>
      </c>
      <c r="G16" s="1" t="s">
        <v>531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532</v>
      </c>
      <c r="B17" s="1" t="s">
        <v>193</v>
      </c>
      <c r="C17" s="1" t="s">
        <v>517</v>
      </c>
      <c r="D17" s="1" t="s">
        <v>194</v>
      </c>
      <c r="E17" s="1" t="s">
        <v>154</v>
      </c>
      <c r="F17" s="1" t="s">
        <v>195</v>
      </c>
      <c r="G17" s="1" t="s">
        <v>533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534</v>
      </c>
      <c r="B18" s="1" t="s">
        <v>199</v>
      </c>
      <c r="C18" s="1" t="s">
        <v>517</v>
      </c>
      <c r="D18" s="1" t="s">
        <v>200</v>
      </c>
      <c r="E18" s="1" t="s">
        <v>154</v>
      </c>
      <c r="F18" s="1" t="s">
        <v>195</v>
      </c>
      <c r="G18" s="1" t="s">
        <v>533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535</v>
      </c>
      <c r="B19" s="1" t="s">
        <v>202</v>
      </c>
      <c r="C19" s="1" t="s">
        <v>517</v>
      </c>
      <c r="D19" s="1" t="s">
        <v>203</v>
      </c>
      <c r="E19" s="1" t="s">
        <v>154</v>
      </c>
      <c r="F19" s="1" t="s">
        <v>195</v>
      </c>
      <c r="G19" s="1" t="s">
        <v>536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537</v>
      </c>
      <c r="B20" s="1" t="s">
        <v>207</v>
      </c>
      <c r="C20" s="1" t="s">
        <v>517</v>
      </c>
      <c r="D20" s="1" t="s">
        <v>208</v>
      </c>
      <c r="E20" s="1" t="s">
        <v>154</v>
      </c>
      <c r="F20" s="1" t="s">
        <v>195</v>
      </c>
      <c r="G20" s="1" t="s">
        <v>533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538</v>
      </c>
      <c r="B21" s="1" t="s">
        <v>211</v>
      </c>
      <c r="C21" s="1" t="s">
        <v>517</v>
      </c>
      <c r="D21" s="1" t="s">
        <v>212</v>
      </c>
      <c r="E21" s="1" t="s">
        <v>154</v>
      </c>
      <c r="F21" s="1" t="s">
        <v>213</v>
      </c>
      <c r="G21" s="1" t="s">
        <v>539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540</v>
      </c>
      <c r="B22" s="1" t="s">
        <v>216</v>
      </c>
      <c r="C22" s="1" t="s">
        <v>517</v>
      </c>
      <c r="D22" s="1" t="s">
        <v>217</v>
      </c>
      <c r="E22" s="1" t="s">
        <v>154</v>
      </c>
      <c r="F22" s="1" t="s">
        <v>213</v>
      </c>
      <c r="G22" s="1" t="s">
        <v>541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542</v>
      </c>
      <c r="B23" s="1" t="s">
        <v>220</v>
      </c>
      <c r="C23" s="1" t="s">
        <v>517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543</v>
      </c>
      <c r="B24" s="1" t="s">
        <v>225</v>
      </c>
      <c r="C24" s="1" t="s">
        <v>517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544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545</v>
      </c>
      <c r="B9" s="12" t="s">
        <v>151</v>
      </c>
      <c r="C9" s="12" t="s">
        <v>32</v>
      </c>
      <c r="D9" s="13" t="s">
        <v>546</v>
      </c>
      <c r="E9" s="12" t="s">
        <v>154</v>
      </c>
      <c r="F9" s="12" t="s">
        <v>155</v>
      </c>
      <c r="G9" s="13" t="s">
        <v>547</v>
      </c>
      <c r="H9" s="12" t="s">
        <v>119</v>
      </c>
      <c r="I9" s="12" t="s">
        <v>134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548</v>
      </c>
      <c r="B10" s="12" t="s">
        <v>158</v>
      </c>
      <c r="C10" s="12" t="s">
        <v>32</v>
      </c>
      <c r="D10" s="13" t="s">
        <v>549</v>
      </c>
      <c r="E10" s="12" t="s">
        <v>154</v>
      </c>
      <c r="F10" s="12" t="s">
        <v>154</v>
      </c>
      <c r="G10" s="13" t="s">
        <v>160</v>
      </c>
      <c r="H10" s="12" t="s">
        <v>119</v>
      </c>
      <c r="I10" s="12" t="s">
        <v>134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550</v>
      </c>
      <c r="B11" s="12" t="s">
        <v>162</v>
      </c>
      <c r="C11" s="12" t="s">
        <v>32</v>
      </c>
      <c r="D11" s="13" t="s">
        <v>551</v>
      </c>
      <c r="E11" s="12" t="s">
        <v>154</v>
      </c>
      <c r="F11" s="12" t="s">
        <v>164</v>
      </c>
      <c r="G11" s="13" t="s">
        <v>552</v>
      </c>
      <c r="H11" s="12" t="s">
        <v>119</v>
      </c>
      <c r="I11" s="12" t="s">
        <v>134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553</v>
      </c>
      <c r="B12" s="12" t="s">
        <v>167</v>
      </c>
      <c r="C12" s="12" t="s">
        <v>32</v>
      </c>
      <c r="D12" s="13" t="s">
        <v>554</v>
      </c>
      <c r="E12" s="12" t="s">
        <v>154</v>
      </c>
      <c r="F12" s="12" t="s">
        <v>169</v>
      </c>
      <c r="G12" s="13" t="s">
        <v>555</v>
      </c>
      <c r="H12" s="12" t="s">
        <v>119</v>
      </c>
      <c r="I12" s="12" t="s">
        <v>134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556</v>
      </c>
      <c r="B13" s="12" t="s">
        <v>172</v>
      </c>
      <c r="C13" s="12" t="s">
        <v>32</v>
      </c>
      <c r="D13" s="13" t="s">
        <v>557</v>
      </c>
      <c r="E13" s="12" t="s">
        <v>154</v>
      </c>
      <c r="F13" s="12" t="s">
        <v>174</v>
      </c>
      <c r="G13" s="13" t="s">
        <v>558</v>
      </c>
      <c r="H13" s="12" t="s">
        <v>119</v>
      </c>
      <c r="I13" s="12" t="s">
        <v>134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559</v>
      </c>
      <c r="B14" s="12" t="s">
        <v>177</v>
      </c>
      <c r="C14" s="12" t="s">
        <v>32</v>
      </c>
      <c r="D14" s="13" t="s">
        <v>560</v>
      </c>
      <c r="E14" s="12" t="s">
        <v>154</v>
      </c>
      <c r="F14" s="12" t="s">
        <v>179</v>
      </c>
      <c r="G14" s="13" t="s">
        <v>561</v>
      </c>
      <c r="H14" s="12" t="s">
        <v>119</v>
      </c>
      <c r="I14" s="12" t="s">
        <v>134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562</v>
      </c>
      <c r="B15" s="12" t="s">
        <v>182</v>
      </c>
      <c r="C15" s="12" t="s">
        <v>32</v>
      </c>
      <c r="D15" s="13" t="s">
        <v>563</v>
      </c>
      <c r="E15" s="12" t="s">
        <v>154</v>
      </c>
      <c r="F15" s="12" t="s">
        <v>184</v>
      </c>
      <c r="G15" s="13" t="s">
        <v>564</v>
      </c>
      <c r="H15" s="12" t="s">
        <v>119</v>
      </c>
      <c r="I15" s="12" t="s">
        <v>134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565</v>
      </c>
      <c r="B16" s="12" t="s">
        <v>187</v>
      </c>
      <c r="C16" s="12" t="s">
        <v>32</v>
      </c>
      <c r="D16" s="13" t="s">
        <v>566</v>
      </c>
      <c r="E16" s="12" t="s">
        <v>154</v>
      </c>
      <c r="F16" s="12" t="s">
        <v>189</v>
      </c>
      <c r="G16" s="13" t="s">
        <v>567</v>
      </c>
      <c r="H16" s="12" t="s">
        <v>121</v>
      </c>
      <c r="I16" s="12" t="s">
        <v>133</v>
      </c>
      <c r="J16" s="14" t="n">
        <v>46227</v>
      </c>
      <c r="K16" s="13" t="s">
        <v>568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569</v>
      </c>
      <c r="B17" s="12" t="s">
        <v>193</v>
      </c>
      <c r="C17" s="12" t="s">
        <v>32</v>
      </c>
      <c r="D17" s="13" t="s">
        <v>570</v>
      </c>
      <c r="E17" s="12" t="s">
        <v>154</v>
      </c>
      <c r="F17" s="12" t="s">
        <v>195</v>
      </c>
      <c r="G17" s="13" t="s">
        <v>571</v>
      </c>
      <c r="H17" s="12" t="s">
        <v>117</v>
      </c>
      <c r="I17" s="12" t="s">
        <v>133</v>
      </c>
      <c r="J17" s="14"/>
      <c r="K17" s="13" t="s">
        <v>572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573</v>
      </c>
      <c r="B18" s="12" t="s">
        <v>199</v>
      </c>
      <c r="C18" s="12" t="s">
        <v>32</v>
      </c>
      <c r="D18" s="13" t="s">
        <v>574</v>
      </c>
      <c r="E18" s="12" t="s">
        <v>154</v>
      </c>
      <c r="F18" s="12" t="s">
        <v>195</v>
      </c>
      <c r="G18" s="13" t="s">
        <v>575</v>
      </c>
      <c r="H18" s="12" t="s">
        <v>117</v>
      </c>
      <c r="I18" s="12" t="s">
        <v>133</v>
      </c>
      <c r="J18" s="14"/>
      <c r="K18" s="13" t="s">
        <v>576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577</v>
      </c>
      <c r="B19" s="12" t="s">
        <v>202</v>
      </c>
      <c r="C19" s="12" t="s">
        <v>32</v>
      </c>
      <c r="D19" s="13" t="s">
        <v>578</v>
      </c>
      <c r="E19" s="12" t="s">
        <v>154</v>
      </c>
      <c r="F19" s="12" t="s">
        <v>195</v>
      </c>
      <c r="G19" s="13" t="s">
        <v>579</v>
      </c>
      <c r="H19" s="12" t="s">
        <v>117</v>
      </c>
      <c r="I19" s="12" t="s">
        <v>133</v>
      </c>
      <c r="J19" s="14"/>
      <c r="K19" s="13" t="s">
        <v>580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581</v>
      </c>
      <c r="B20" s="12" t="s">
        <v>207</v>
      </c>
      <c r="C20" s="12" t="s">
        <v>32</v>
      </c>
      <c r="D20" s="13" t="s">
        <v>582</v>
      </c>
      <c r="E20" s="12" t="s">
        <v>154</v>
      </c>
      <c r="F20" s="12" t="s">
        <v>195</v>
      </c>
      <c r="G20" s="13" t="s">
        <v>571</v>
      </c>
      <c r="H20" s="12" t="s">
        <v>117</v>
      </c>
      <c r="I20" s="12" t="s">
        <v>133</v>
      </c>
      <c r="J20" s="14"/>
      <c r="K20" s="13" t="s">
        <v>583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584</v>
      </c>
      <c r="B21" s="12" t="s">
        <v>211</v>
      </c>
      <c r="C21" s="12" t="s">
        <v>32</v>
      </c>
      <c r="D21" s="13" t="s">
        <v>585</v>
      </c>
      <c r="E21" s="12" t="s">
        <v>154</v>
      </c>
      <c r="F21" s="12" t="s">
        <v>213</v>
      </c>
      <c r="G21" s="13" t="s">
        <v>586</v>
      </c>
      <c r="H21" s="12" t="s">
        <v>119</v>
      </c>
      <c r="I21" s="12" t="s">
        <v>134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587</v>
      </c>
      <c r="B22" s="12" t="s">
        <v>216</v>
      </c>
      <c r="C22" s="12" t="s">
        <v>32</v>
      </c>
      <c r="D22" s="13" t="s">
        <v>588</v>
      </c>
      <c r="E22" s="12" t="s">
        <v>154</v>
      </c>
      <c r="F22" s="12" t="s">
        <v>213</v>
      </c>
      <c r="G22" s="13" t="s">
        <v>589</v>
      </c>
      <c r="H22" s="12" t="s">
        <v>119</v>
      </c>
      <c r="I22" s="12" t="s">
        <v>134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590</v>
      </c>
      <c r="B23" s="12" t="s">
        <v>220</v>
      </c>
      <c r="C23" s="12" t="s">
        <v>32</v>
      </c>
      <c r="D23" s="13" t="s">
        <v>591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592</v>
      </c>
      <c r="B24" s="12" t="s">
        <v>225</v>
      </c>
      <c r="C24" s="12" t="s">
        <v>32</v>
      </c>
      <c r="D24" s="13" t="s">
        <v>593</v>
      </c>
      <c r="E24" s="12" t="s">
        <v>154</v>
      </c>
      <c r="F24" s="12" t="s">
        <v>154</v>
      </c>
      <c r="G24" s="13" t="s">
        <v>594</v>
      </c>
      <c r="H24" s="12" t="s">
        <v>119</v>
      </c>
      <c r="I24" s="12" t="s">
        <v>134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596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597</v>
      </c>
      <c r="B9" s="12" t="s">
        <v>151</v>
      </c>
      <c r="C9" s="12" t="s">
        <v>33</v>
      </c>
      <c r="D9" s="13" t="s">
        <v>598</v>
      </c>
      <c r="E9" s="12" t="s">
        <v>154</v>
      </c>
      <c r="F9" s="12" t="s">
        <v>155</v>
      </c>
      <c r="G9" s="13" t="s">
        <v>599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600</v>
      </c>
      <c r="B10" s="12" t="s">
        <v>158</v>
      </c>
      <c r="C10" s="12" t="s">
        <v>33</v>
      </c>
      <c r="D10" s="13" t="s">
        <v>601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603</v>
      </c>
      <c r="B11" s="12" t="s">
        <v>162</v>
      </c>
      <c r="C11" s="12" t="s">
        <v>33</v>
      </c>
      <c r="D11" s="13" t="s">
        <v>604</v>
      </c>
      <c r="E11" s="12" t="s">
        <v>154</v>
      </c>
      <c r="F11" s="12" t="s">
        <v>164</v>
      </c>
      <c r="G11" s="13" t="s">
        <v>605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606</v>
      </c>
      <c r="B12" s="12" t="s">
        <v>167</v>
      </c>
      <c r="C12" s="12" t="s">
        <v>33</v>
      </c>
      <c r="D12" s="13" t="s">
        <v>607</v>
      </c>
      <c r="E12" s="12" t="s">
        <v>154</v>
      </c>
      <c r="F12" s="12" t="s">
        <v>169</v>
      </c>
      <c r="G12" s="13" t="s">
        <v>608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609</v>
      </c>
      <c r="B13" s="12" t="s">
        <v>172</v>
      </c>
      <c r="C13" s="12" t="s">
        <v>33</v>
      </c>
      <c r="D13" s="13" t="s">
        <v>610</v>
      </c>
      <c r="E13" s="12" t="s">
        <v>154</v>
      </c>
      <c r="F13" s="12" t="s">
        <v>174</v>
      </c>
      <c r="G13" s="13" t="s">
        <v>611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612</v>
      </c>
      <c r="B14" s="12" t="s">
        <v>177</v>
      </c>
      <c r="C14" s="12" t="s">
        <v>33</v>
      </c>
      <c r="D14" s="13" t="s">
        <v>613</v>
      </c>
      <c r="E14" s="12" t="s">
        <v>154</v>
      </c>
      <c r="F14" s="12" t="s">
        <v>179</v>
      </c>
      <c r="G14" s="13" t="s">
        <v>614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615</v>
      </c>
      <c r="B15" s="12" t="s">
        <v>182</v>
      </c>
      <c r="C15" s="12" t="s">
        <v>33</v>
      </c>
      <c r="D15" s="13" t="s">
        <v>616</v>
      </c>
      <c r="E15" s="12" t="s">
        <v>154</v>
      </c>
      <c r="F15" s="12" t="s">
        <v>184</v>
      </c>
      <c r="G15" s="13" t="s">
        <v>614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617</v>
      </c>
      <c r="B16" s="12" t="s">
        <v>187</v>
      </c>
      <c r="C16" s="12" t="s">
        <v>33</v>
      </c>
      <c r="D16" s="13" t="s">
        <v>618</v>
      </c>
      <c r="E16" s="12" t="s">
        <v>154</v>
      </c>
      <c r="F16" s="12" t="s">
        <v>189</v>
      </c>
      <c r="G16" s="13" t="s">
        <v>619</v>
      </c>
      <c r="H16" s="12" t="s">
        <v>121</v>
      </c>
      <c r="I16" s="12" t="s">
        <v>133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620</v>
      </c>
      <c r="B17" s="12" t="s">
        <v>193</v>
      </c>
      <c r="C17" s="12" t="s">
        <v>33</v>
      </c>
      <c r="D17" s="13" t="s">
        <v>621</v>
      </c>
      <c r="E17" s="12" t="s">
        <v>154</v>
      </c>
      <c r="F17" s="12" t="s">
        <v>195</v>
      </c>
      <c r="G17" s="13" t="s">
        <v>622</v>
      </c>
      <c r="H17" s="12" t="s">
        <v>117</v>
      </c>
      <c r="I17" s="12" t="s">
        <v>133</v>
      </c>
      <c r="J17" s="14"/>
      <c r="K17" s="13" t="s">
        <v>623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624</v>
      </c>
      <c r="B18" s="12" t="s">
        <v>199</v>
      </c>
      <c r="C18" s="12" t="s">
        <v>33</v>
      </c>
      <c r="D18" s="13" t="s">
        <v>625</v>
      </c>
      <c r="E18" s="12" t="s">
        <v>154</v>
      </c>
      <c r="F18" s="12" t="s">
        <v>195</v>
      </c>
      <c r="G18" s="13" t="s">
        <v>626</v>
      </c>
      <c r="H18" s="12" t="s">
        <v>117</v>
      </c>
      <c r="I18" s="12" t="s">
        <v>133</v>
      </c>
      <c r="J18" s="14"/>
      <c r="K18" s="13" t="s">
        <v>627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628</v>
      </c>
      <c r="B19" s="12" t="s">
        <v>202</v>
      </c>
      <c r="C19" s="12" t="s">
        <v>33</v>
      </c>
      <c r="D19" s="13" t="s">
        <v>629</v>
      </c>
      <c r="E19" s="12" t="s">
        <v>154</v>
      </c>
      <c r="F19" s="12" t="s">
        <v>179</v>
      </c>
      <c r="G19" s="13" t="s">
        <v>614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630</v>
      </c>
      <c r="B20" s="12" t="s">
        <v>207</v>
      </c>
      <c r="C20" s="12" t="s">
        <v>33</v>
      </c>
      <c r="D20" s="13" t="s">
        <v>631</v>
      </c>
      <c r="E20" s="12" t="s">
        <v>154</v>
      </c>
      <c r="F20" s="12" t="s">
        <v>195</v>
      </c>
      <c r="G20" s="13" t="s">
        <v>622</v>
      </c>
      <c r="H20" s="12" t="s">
        <v>117</v>
      </c>
      <c r="I20" s="12" t="s">
        <v>133</v>
      </c>
      <c r="J20" s="14"/>
      <c r="K20" s="13" t="s">
        <v>632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633</v>
      </c>
      <c r="B21" s="12" t="s">
        <v>211</v>
      </c>
      <c r="C21" s="12" t="s">
        <v>33</v>
      </c>
      <c r="D21" s="13" t="s">
        <v>634</v>
      </c>
      <c r="E21" s="12" t="s">
        <v>154</v>
      </c>
      <c r="F21" s="12" t="s">
        <v>213</v>
      </c>
      <c r="G21" s="13" t="s">
        <v>635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636</v>
      </c>
      <c r="B22" s="12" t="s">
        <v>216</v>
      </c>
      <c r="C22" s="12" t="s">
        <v>33</v>
      </c>
      <c r="D22" s="13" t="s">
        <v>637</v>
      </c>
      <c r="E22" s="12" t="s">
        <v>154</v>
      </c>
      <c r="F22" s="12" t="s">
        <v>213</v>
      </c>
      <c r="G22" s="13" t="s">
        <v>638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639</v>
      </c>
      <c r="B23" s="12" t="s">
        <v>220</v>
      </c>
      <c r="C23" s="12" t="s">
        <v>33</v>
      </c>
      <c r="D23" s="13" t="s">
        <v>640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641</v>
      </c>
      <c r="B24" s="12" t="s">
        <v>642</v>
      </c>
      <c r="C24" s="12" t="s">
        <v>33</v>
      </c>
      <c r="D24" s="13" t="s">
        <v>643</v>
      </c>
      <c r="E24" s="12" t="s">
        <v>154</v>
      </c>
      <c r="F24" s="12" t="s">
        <v>644</v>
      </c>
      <c r="G24" s="13" t="s">
        <v>645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646</v>
      </c>
      <c r="B25" s="12" t="s">
        <v>225</v>
      </c>
      <c r="C25" s="12" t="s">
        <v>33</v>
      </c>
      <c r="D25" s="13" t="s">
        <v>647</v>
      </c>
      <c r="E25" s="12" t="s">
        <v>154</v>
      </c>
      <c r="F25" s="12" t="s">
        <v>154</v>
      </c>
      <c r="G25" s="13" t="s">
        <v>648</v>
      </c>
      <c r="H25" s="12" t="s">
        <v>119</v>
      </c>
      <c r="I25" s="12" t="s">
        <v>134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650</v>
      </c>
      <c r="B9" s="12" t="s">
        <v>151</v>
      </c>
      <c r="C9" s="12" t="s">
        <v>40</v>
      </c>
      <c r="D9" s="13" t="s">
        <v>651</v>
      </c>
      <c r="E9" s="12" t="s">
        <v>154</v>
      </c>
      <c r="F9" s="12" t="s">
        <v>155</v>
      </c>
      <c r="G9" s="13" t="s">
        <v>652</v>
      </c>
      <c r="H9" s="12" t="s">
        <v>119</v>
      </c>
      <c r="I9" s="12" t="s">
        <v>134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653</v>
      </c>
      <c r="B10" s="12" t="s">
        <v>158</v>
      </c>
      <c r="C10" s="12" t="s">
        <v>40</v>
      </c>
      <c r="D10" s="13" t="s">
        <v>654</v>
      </c>
      <c r="E10" s="12" t="s">
        <v>154</v>
      </c>
      <c r="F10" s="12" t="s">
        <v>154</v>
      </c>
      <c r="G10" s="13" t="s">
        <v>160</v>
      </c>
      <c r="H10" s="12" t="s">
        <v>119</v>
      </c>
      <c r="I10" s="12" t="s">
        <v>134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655</v>
      </c>
      <c r="B11" s="12" t="s">
        <v>162</v>
      </c>
      <c r="C11" s="12" t="s">
        <v>40</v>
      </c>
      <c r="D11" s="13" t="s">
        <v>656</v>
      </c>
      <c r="E11" s="12" t="s">
        <v>154</v>
      </c>
      <c r="F11" s="12" t="s">
        <v>164</v>
      </c>
      <c r="G11" s="13" t="s">
        <v>657</v>
      </c>
      <c r="H11" s="12" t="s">
        <v>119</v>
      </c>
      <c r="I11" s="12" t="s">
        <v>134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658</v>
      </c>
      <c r="B12" s="12" t="s">
        <v>167</v>
      </c>
      <c r="C12" s="12" t="s">
        <v>40</v>
      </c>
      <c r="D12" s="13" t="s">
        <v>659</v>
      </c>
      <c r="E12" s="12" t="s">
        <v>154</v>
      </c>
      <c r="F12" s="12" t="s">
        <v>169</v>
      </c>
      <c r="G12" s="13" t="s">
        <v>660</v>
      </c>
      <c r="H12" s="12" t="s">
        <v>119</v>
      </c>
      <c r="I12" s="12" t="s">
        <v>134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661</v>
      </c>
      <c r="B13" s="12" t="s">
        <v>172</v>
      </c>
      <c r="C13" s="12" t="s">
        <v>40</v>
      </c>
      <c r="D13" s="13" t="s">
        <v>662</v>
      </c>
      <c r="E13" s="12" t="s">
        <v>154</v>
      </c>
      <c r="F13" s="12" t="s">
        <v>174</v>
      </c>
      <c r="G13" s="13" t="s">
        <v>663</v>
      </c>
      <c r="H13" s="12" t="s">
        <v>119</v>
      </c>
      <c r="I13" s="12" t="s">
        <v>134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664</v>
      </c>
      <c r="B14" s="12" t="s">
        <v>177</v>
      </c>
      <c r="C14" s="12" t="s">
        <v>40</v>
      </c>
      <c r="D14" s="13" t="s">
        <v>665</v>
      </c>
      <c r="E14" s="12" t="s">
        <v>154</v>
      </c>
      <c r="F14" s="12" t="s">
        <v>179</v>
      </c>
      <c r="G14" s="13" t="s">
        <v>666</v>
      </c>
      <c r="H14" s="12" t="s">
        <v>119</v>
      </c>
      <c r="I14" s="12" t="s">
        <v>134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667</v>
      </c>
      <c r="B15" s="12" t="s">
        <v>182</v>
      </c>
      <c r="C15" s="12" t="s">
        <v>40</v>
      </c>
      <c r="D15" s="13" t="s">
        <v>668</v>
      </c>
      <c r="E15" s="12" t="s">
        <v>154</v>
      </c>
      <c r="F15" s="12" t="s">
        <v>184</v>
      </c>
      <c r="G15" s="13" t="s">
        <v>666</v>
      </c>
      <c r="H15" s="12" t="s">
        <v>119</v>
      </c>
      <c r="I15" s="12" t="s">
        <v>134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669</v>
      </c>
      <c r="B16" s="12" t="s">
        <v>187</v>
      </c>
      <c r="C16" s="12" t="s">
        <v>40</v>
      </c>
      <c r="D16" s="13" t="s">
        <v>670</v>
      </c>
      <c r="E16" s="12" t="s">
        <v>154</v>
      </c>
      <c r="F16" s="12" t="s">
        <v>189</v>
      </c>
      <c r="G16" s="13" t="s">
        <v>671</v>
      </c>
      <c r="H16" s="12" t="s">
        <v>121</v>
      </c>
      <c r="I16" s="12" t="s">
        <v>133</v>
      </c>
      <c r="J16" s="14" t="n">
        <v>46227</v>
      </c>
      <c r="K16" s="13" t="s">
        <v>672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673</v>
      </c>
      <c r="B17" s="12" t="s">
        <v>193</v>
      </c>
      <c r="C17" s="12" t="s">
        <v>40</v>
      </c>
      <c r="D17" s="13" t="s">
        <v>674</v>
      </c>
      <c r="E17" s="12" t="s">
        <v>154</v>
      </c>
      <c r="F17" s="12" t="s">
        <v>195</v>
      </c>
      <c r="G17" s="13" t="s">
        <v>675</v>
      </c>
      <c r="H17" s="12" t="s">
        <v>117</v>
      </c>
      <c r="I17" s="12" t="s">
        <v>133</v>
      </c>
      <c r="J17" s="14"/>
      <c r="K17" s="13" t="s">
        <v>676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677</v>
      </c>
      <c r="B18" s="12" t="s">
        <v>199</v>
      </c>
      <c r="C18" s="12" t="s">
        <v>40</v>
      </c>
      <c r="D18" s="13" t="s">
        <v>678</v>
      </c>
      <c r="E18" s="12" t="s">
        <v>154</v>
      </c>
      <c r="F18" s="12" t="s">
        <v>195</v>
      </c>
      <c r="G18" s="13" t="s">
        <v>679</v>
      </c>
      <c r="H18" s="12" t="s">
        <v>117</v>
      </c>
      <c r="I18" s="12" t="s">
        <v>133</v>
      </c>
      <c r="J18" s="14"/>
      <c r="K18" s="13" t="s">
        <v>680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681</v>
      </c>
      <c r="B19" s="12" t="s">
        <v>682</v>
      </c>
      <c r="C19" s="12" t="s">
        <v>40</v>
      </c>
      <c r="D19" s="13" t="s">
        <v>683</v>
      </c>
      <c r="E19" s="12" t="s">
        <v>154</v>
      </c>
      <c r="F19" s="12" t="s">
        <v>179</v>
      </c>
      <c r="G19" s="13" t="s">
        <v>666</v>
      </c>
      <c r="H19" s="12" t="s">
        <v>119</v>
      </c>
      <c r="I19" s="12" t="s">
        <v>134</v>
      </c>
      <c r="J19" s="14" t="n">
        <v>46227</v>
      </c>
      <c r="K19" s="13" t="s">
        <v>580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684</v>
      </c>
      <c r="B20" s="12" t="s">
        <v>207</v>
      </c>
      <c r="C20" s="12" t="s">
        <v>40</v>
      </c>
      <c r="D20" s="13" t="s">
        <v>685</v>
      </c>
      <c r="E20" s="12" t="s">
        <v>154</v>
      </c>
      <c r="F20" s="12" t="s">
        <v>195</v>
      </c>
      <c r="G20" s="13" t="s">
        <v>675</v>
      </c>
      <c r="H20" s="12" t="s">
        <v>117</v>
      </c>
      <c r="I20" s="12" t="s">
        <v>133</v>
      </c>
      <c r="J20" s="14"/>
      <c r="K20" s="13" t="s">
        <v>583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686</v>
      </c>
      <c r="B21" s="12" t="s">
        <v>211</v>
      </c>
      <c r="C21" s="12" t="s">
        <v>40</v>
      </c>
      <c r="D21" s="13" t="s">
        <v>585</v>
      </c>
      <c r="E21" s="12" t="s">
        <v>154</v>
      </c>
      <c r="F21" s="12" t="s">
        <v>213</v>
      </c>
      <c r="G21" s="13" t="s">
        <v>687</v>
      </c>
      <c r="H21" s="12" t="s">
        <v>119</v>
      </c>
      <c r="I21" s="12" t="s">
        <v>134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688</v>
      </c>
      <c r="B22" s="12" t="s">
        <v>216</v>
      </c>
      <c r="C22" s="12" t="s">
        <v>40</v>
      </c>
      <c r="D22" s="13" t="s">
        <v>689</v>
      </c>
      <c r="E22" s="12" t="s">
        <v>154</v>
      </c>
      <c r="F22" s="12" t="s">
        <v>213</v>
      </c>
      <c r="G22" s="13" t="s">
        <v>690</v>
      </c>
      <c r="H22" s="12" t="s">
        <v>119</v>
      </c>
      <c r="I22" s="12" t="s">
        <v>134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691</v>
      </c>
      <c r="B23" s="12" t="s">
        <v>220</v>
      </c>
      <c r="C23" s="12" t="s">
        <v>40</v>
      </c>
      <c r="D23" s="13" t="s">
        <v>692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693</v>
      </c>
      <c r="B24" s="12" t="s">
        <v>225</v>
      </c>
      <c r="C24" s="12" t="s">
        <v>40</v>
      </c>
      <c r="D24" s="13" t="s">
        <v>593</v>
      </c>
      <c r="E24" s="12" t="s">
        <v>154</v>
      </c>
      <c r="F24" s="12" t="s">
        <v>154</v>
      </c>
      <c r="G24" s="13" t="s">
        <v>594</v>
      </c>
      <c r="H24" s="12" t="s">
        <v>117</v>
      </c>
      <c r="I24" s="12" t="s">
        <v>133</v>
      </c>
      <c r="J24" s="14" t="n">
        <v>46227</v>
      </c>
      <c r="K24" s="13" t="s">
        <v>694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696</v>
      </c>
      <c r="B9" s="1" t="s">
        <v>151</v>
      </c>
      <c r="C9" s="1" t="s">
        <v>697</v>
      </c>
      <c r="D9" s="1" t="s">
        <v>153</v>
      </c>
      <c r="E9" s="1" t="s">
        <v>154</v>
      </c>
      <c r="F9" s="1" t="s">
        <v>155</v>
      </c>
      <c r="G9" s="1" t="s">
        <v>287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698</v>
      </c>
      <c r="B10" s="1" t="s">
        <v>158</v>
      </c>
      <c r="C10" s="1" t="s">
        <v>697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699</v>
      </c>
      <c r="B11" s="1" t="s">
        <v>162</v>
      </c>
      <c r="C11" s="1" t="s">
        <v>697</v>
      </c>
      <c r="D11" s="1" t="s">
        <v>163</v>
      </c>
      <c r="E11" s="1" t="s">
        <v>154</v>
      </c>
      <c r="F11" s="1" t="s">
        <v>164</v>
      </c>
      <c r="G11" s="1" t="s">
        <v>700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701</v>
      </c>
      <c r="B12" s="1" t="s">
        <v>167</v>
      </c>
      <c r="C12" s="1" t="s">
        <v>697</v>
      </c>
      <c r="D12" s="1" t="s">
        <v>168</v>
      </c>
      <c r="E12" s="1" t="s">
        <v>154</v>
      </c>
      <c r="F12" s="1" t="s">
        <v>169</v>
      </c>
      <c r="G12" s="1" t="s">
        <v>292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702</v>
      </c>
      <c r="B13" s="1" t="s">
        <v>172</v>
      </c>
      <c r="C13" s="1" t="s">
        <v>697</v>
      </c>
      <c r="D13" s="1" t="s">
        <v>173</v>
      </c>
      <c r="E13" s="1" t="s">
        <v>154</v>
      </c>
      <c r="F13" s="1" t="s">
        <v>174</v>
      </c>
      <c r="G13" s="1" t="s">
        <v>703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704</v>
      </c>
      <c r="B14" s="1" t="s">
        <v>177</v>
      </c>
      <c r="C14" s="1" t="s">
        <v>697</v>
      </c>
      <c r="D14" s="1" t="s">
        <v>178</v>
      </c>
      <c r="E14" s="1" t="s">
        <v>154</v>
      </c>
      <c r="F14" s="1" t="s">
        <v>179</v>
      </c>
      <c r="G14" s="1" t="s">
        <v>705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706</v>
      </c>
      <c r="B15" s="1" t="s">
        <v>182</v>
      </c>
      <c r="C15" s="1" t="s">
        <v>697</v>
      </c>
      <c r="D15" s="1" t="s">
        <v>183</v>
      </c>
      <c r="E15" s="1" t="s">
        <v>154</v>
      </c>
      <c r="F15" s="1" t="s">
        <v>184</v>
      </c>
      <c r="G15" s="1" t="s">
        <v>707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708</v>
      </c>
      <c r="B16" s="1" t="s">
        <v>187</v>
      </c>
      <c r="C16" s="1" t="s">
        <v>697</v>
      </c>
      <c r="D16" s="1" t="s">
        <v>188</v>
      </c>
      <c r="E16" s="1" t="s">
        <v>154</v>
      </c>
      <c r="F16" s="1" t="s">
        <v>189</v>
      </c>
      <c r="G16" s="1" t="s">
        <v>709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710</v>
      </c>
      <c r="B17" s="1" t="s">
        <v>193</v>
      </c>
      <c r="C17" s="1" t="s">
        <v>697</v>
      </c>
      <c r="D17" s="1" t="s">
        <v>194</v>
      </c>
      <c r="E17" s="1" t="s">
        <v>154</v>
      </c>
      <c r="F17" s="1" t="s">
        <v>195</v>
      </c>
      <c r="G17" s="1" t="s">
        <v>711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712</v>
      </c>
      <c r="B18" s="1" t="s">
        <v>199</v>
      </c>
      <c r="C18" s="1" t="s">
        <v>697</v>
      </c>
      <c r="D18" s="1" t="s">
        <v>200</v>
      </c>
      <c r="E18" s="1" t="s">
        <v>154</v>
      </c>
      <c r="F18" s="1" t="s">
        <v>195</v>
      </c>
      <c r="G18" s="1" t="s">
        <v>711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713</v>
      </c>
      <c r="B19" s="1" t="s">
        <v>202</v>
      </c>
      <c r="C19" s="1" t="s">
        <v>697</v>
      </c>
      <c r="D19" s="1" t="s">
        <v>203</v>
      </c>
      <c r="E19" s="1" t="s">
        <v>154</v>
      </c>
      <c r="F19" s="1" t="s">
        <v>195</v>
      </c>
      <c r="G19" s="1" t="s">
        <v>714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715</v>
      </c>
      <c r="B20" s="1" t="s">
        <v>207</v>
      </c>
      <c r="C20" s="1" t="s">
        <v>697</v>
      </c>
      <c r="D20" s="1" t="s">
        <v>208</v>
      </c>
      <c r="E20" s="1" t="s">
        <v>154</v>
      </c>
      <c r="F20" s="1" t="s">
        <v>195</v>
      </c>
      <c r="G20" s="1" t="s">
        <v>711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716</v>
      </c>
      <c r="B21" s="1" t="s">
        <v>211</v>
      </c>
      <c r="C21" s="1" t="s">
        <v>697</v>
      </c>
      <c r="D21" s="1" t="s">
        <v>212</v>
      </c>
      <c r="E21" s="1" t="s">
        <v>154</v>
      </c>
      <c r="F21" s="1" t="s">
        <v>213</v>
      </c>
      <c r="G21" s="1" t="s">
        <v>717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718</v>
      </c>
      <c r="B22" s="1" t="s">
        <v>216</v>
      </c>
      <c r="C22" s="1" t="s">
        <v>697</v>
      </c>
      <c r="D22" s="1" t="s">
        <v>217</v>
      </c>
      <c r="E22" s="1" t="s">
        <v>154</v>
      </c>
      <c r="F22" s="1" t="s">
        <v>213</v>
      </c>
      <c r="G22" s="1" t="s">
        <v>719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720</v>
      </c>
      <c r="B23" s="1" t="s">
        <v>220</v>
      </c>
      <c r="C23" s="1" t="s">
        <v>697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721</v>
      </c>
      <c r="B24" s="1" t="s">
        <v>225</v>
      </c>
      <c r="C24" s="1" t="s">
        <v>697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723</v>
      </c>
      <c r="B9" s="1" t="s">
        <v>151</v>
      </c>
      <c r="C9" s="1" t="s">
        <v>35</v>
      </c>
      <c r="D9" s="1" t="s">
        <v>153</v>
      </c>
      <c r="E9" s="1" t="s">
        <v>154</v>
      </c>
      <c r="F9" s="1" t="s">
        <v>155</v>
      </c>
      <c r="G9" s="1" t="s">
        <v>724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725</v>
      </c>
      <c r="B10" s="1" t="s">
        <v>158</v>
      </c>
      <c r="C10" s="1" t="s">
        <v>35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726</v>
      </c>
      <c r="B11" s="1" t="s">
        <v>162</v>
      </c>
      <c r="C11" s="1" t="s">
        <v>35</v>
      </c>
      <c r="D11" s="1" t="s">
        <v>163</v>
      </c>
      <c r="E11" s="1" t="s">
        <v>154</v>
      </c>
      <c r="F11" s="1" t="s">
        <v>164</v>
      </c>
      <c r="G11" s="1" t="s">
        <v>727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728</v>
      </c>
      <c r="B12" s="1" t="s">
        <v>167</v>
      </c>
      <c r="C12" s="1" t="s">
        <v>35</v>
      </c>
      <c r="D12" s="1" t="s">
        <v>168</v>
      </c>
      <c r="E12" s="1" t="s">
        <v>154</v>
      </c>
      <c r="F12" s="1" t="s">
        <v>169</v>
      </c>
      <c r="G12" s="1" t="s">
        <v>729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730</v>
      </c>
      <c r="B13" s="1" t="s">
        <v>172</v>
      </c>
      <c r="C13" s="1" t="s">
        <v>35</v>
      </c>
      <c r="D13" s="1" t="s">
        <v>173</v>
      </c>
      <c r="E13" s="1" t="s">
        <v>154</v>
      </c>
      <c r="F13" s="1" t="s">
        <v>174</v>
      </c>
      <c r="G13" s="1" t="s">
        <v>731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732</v>
      </c>
      <c r="B14" s="1" t="s">
        <v>177</v>
      </c>
      <c r="C14" s="1" t="s">
        <v>35</v>
      </c>
      <c r="D14" s="1" t="s">
        <v>178</v>
      </c>
      <c r="E14" s="1" t="s">
        <v>154</v>
      </c>
      <c r="F14" s="1" t="s">
        <v>179</v>
      </c>
      <c r="G14" s="1" t="s">
        <v>733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734</v>
      </c>
      <c r="B15" s="1" t="s">
        <v>182</v>
      </c>
      <c r="C15" s="1" t="s">
        <v>35</v>
      </c>
      <c r="D15" s="1" t="s">
        <v>183</v>
      </c>
      <c r="E15" s="1" t="s">
        <v>154</v>
      </c>
      <c r="F15" s="1" t="s">
        <v>184</v>
      </c>
      <c r="G15" s="1" t="s">
        <v>735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736</v>
      </c>
      <c r="B16" s="1" t="s">
        <v>187</v>
      </c>
      <c r="C16" s="1" t="s">
        <v>35</v>
      </c>
      <c r="D16" s="1" t="s">
        <v>188</v>
      </c>
      <c r="E16" s="1" t="s">
        <v>154</v>
      </c>
      <c r="F16" s="1" t="s">
        <v>189</v>
      </c>
      <c r="G16" s="1" t="s">
        <v>737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738</v>
      </c>
      <c r="B17" s="1" t="s">
        <v>193</v>
      </c>
      <c r="C17" s="1" t="s">
        <v>35</v>
      </c>
      <c r="D17" s="1" t="s">
        <v>194</v>
      </c>
      <c r="E17" s="1" t="s">
        <v>154</v>
      </c>
      <c r="F17" s="1" t="s">
        <v>195</v>
      </c>
      <c r="G17" s="1" t="s">
        <v>739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740</v>
      </c>
      <c r="B18" s="1" t="s">
        <v>199</v>
      </c>
      <c r="C18" s="1" t="s">
        <v>35</v>
      </c>
      <c r="D18" s="1" t="s">
        <v>200</v>
      </c>
      <c r="E18" s="1" t="s">
        <v>154</v>
      </c>
      <c r="F18" s="1" t="s">
        <v>195</v>
      </c>
      <c r="G18" s="1" t="s">
        <v>739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741</v>
      </c>
      <c r="B19" s="1" t="s">
        <v>202</v>
      </c>
      <c r="C19" s="1" t="s">
        <v>35</v>
      </c>
      <c r="D19" s="1" t="s">
        <v>203</v>
      </c>
      <c r="E19" s="1" t="s">
        <v>154</v>
      </c>
      <c r="F19" s="1" t="s">
        <v>195</v>
      </c>
      <c r="G19" s="1" t="s">
        <v>742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743</v>
      </c>
      <c r="B20" s="1" t="s">
        <v>207</v>
      </c>
      <c r="C20" s="1" t="s">
        <v>35</v>
      </c>
      <c r="D20" s="1" t="s">
        <v>208</v>
      </c>
      <c r="E20" s="1" t="s">
        <v>154</v>
      </c>
      <c r="F20" s="1" t="s">
        <v>195</v>
      </c>
      <c r="G20" s="1" t="s">
        <v>739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744</v>
      </c>
      <c r="B21" s="1" t="s">
        <v>211</v>
      </c>
      <c r="C21" s="1" t="s">
        <v>35</v>
      </c>
      <c r="D21" s="1" t="s">
        <v>212</v>
      </c>
      <c r="E21" s="1" t="s">
        <v>154</v>
      </c>
      <c r="F21" s="1" t="s">
        <v>213</v>
      </c>
      <c r="G21" s="1" t="s">
        <v>745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746</v>
      </c>
      <c r="B22" s="1" t="s">
        <v>216</v>
      </c>
      <c r="C22" s="1" t="s">
        <v>35</v>
      </c>
      <c r="D22" s="1" t="s">
        <v>217</v>
      </c>
      <c r="E22" s="1" t="s">
        <v>154</v>
      </c>
      <c r="F22" s="1" t="s">
        <v>213</v>
      </c>
      <c r="G22" s="1" t="s">
        <v>747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748</v>
      </c>
      <c r="B23" s="1" t="s">
        <v>220</v>
      </c>
      <c r="C23" s="1" t="s">
        <v>35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749</v>
      </c>
      <c r="B24" s="1" t="s">
        <v>225</v>
      </c>
      <c r="C24" s="1" t="s">
        <v>35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750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650</v>
      </c>
      <c r="B9" s="1" t="s">
        <v>151</v>
      </c>
      <c r="C9" s="1" t="s">
        <v>36</v>
      </c>
      <c r="D9" s="1" t="s">
        <v>153</v>
      </c>
      <c r="E9" s="1" t="s">
        <v>154</v>
      </c>
      <c r="F9" s="1" t="s">
        <v>155</v>
      </c>
      <c r="G9" s="1" t="s">
        <v>751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653</v>
      </c>
      <c r="B10" s="1" t="s">
        <v>158</v>
      </c>
      <c r="C10" s="1" t="s">
        <v>36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655</v>
      </c>
      <c r="B11" s="1" t="s">
        <v>162</v>
      </c>
      <c r="C11" s="1" t="s">
        <v>36</v>
      </c>
      <c r="D11" s="1" t="s">
        <v>163</v>
      </c>
      <c r="E11" s="1" t="s">
        <v>154</v>
      </c>
      <c r="F11" s="1" t="s">
        <v>164</v>
      </c>
      <c r="G11" s="1" t="s">
        <v>752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658</v>
      </c>
      <c r="B12" s="1" t="s">
        <v>167</v>
      </c>
      <c r="C12" s="1" t="s">
        <v>36</v>
      </c>
      <c r="D12" s="1" t="s">
        <v>168</v>
      </c>
      <c r="E12" s="1" t="s">
        <v>154</v>
      </c>
      <c r="F12" s="1" t="s">
        <v>169</v>
      </c>
      <c r="G12" s="1" t="s">
        <v>753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661</v>
      </c>
      <c r="B13" s="1" t="s">
        <v>172</v>
      </c>
      <c r="C13" s="1" t="s">
        <v>36</v>
      </c>
      <c r="D13" s="1" t="s">
        <v>173</v>
      </c>
      <c r="E13" s="1" t="s">
        <v>154</v>
      </c>
      <c r="F13" s="1" t="s">
        <v>174</v>
      </c>
      <c r="G13" s="1" t="s">
        <v>754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664</v>
      </c>
      <c r="B14" s="1" t="s">
        <v>177</v>
      </c>
      <c r="C14" s="1" t="s">
        <v>36</v>
      </c>
      <c r="D14" s="1" t="s">
        <v>178</v>
      </c>
      <c r="E14" s="1" t="s">
        <v>154</v>
      </c>
      <c r="F14" s="1" t="s">
        <v>179</v>
      </c>
      <c r="G14" s="1" t="s">
        <v>755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667</v>
      </c>
      <c r="B15" s="1" t="s">
        <v>182</v>
      </c>
      <c r="C15" s="1" t="s">
        <v>36</v>
      </c>
      <c r="D15" s="1" t="s">
        <v>183</v>
      </c>
      <c r="E15" s="1" t="s">
        <v>154</v>
      </c>
      <c r="F15" s="1" t="s">
        <v>184</v>
      </c>
      <c r="G15" s="1" t="s">
        <v>756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669</v>
      </c>
      <c r="B16" s="1" t="s">
        <v>187</v>
      </c>
      <c r="C16" s="1" t="s">
        <v>36</v>
      </c>
      <c r="D16" s="1" t="s">
        <v>188</v>
      </c>
      <c r="E16" s="1" t="s">
        <v>154</v>
      </c>
      <c r="F16" s="1" t="s">
        <v>189</v>
      </c>
      <c r="G16" s="1" t="s">
        <v>757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673</v>
      </c>
      <c r="B17" s="1" t="s">
        <v>193</v>
      </c>
      <c r="C17" s="1" t="s">
        <v>36</v>
      </c>
      <c r="D17" s="1" t="s">
        <v>194</v>
      </c>
      <c r="E17" s="1" t="s">
        <v>154</v>
      </c>
      <c r="F17" s="1" t="s">
        <v>195</v>
      </c>
      <c r="G17" s="1" t="s">
        <v>758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677</v>
      </c>
      <c r="B18" s="1" t="s">
        <v>199</v>
      </c>
      <c r="C18" s="1" t="s">
        <v>36</v>
      </c>
      <c r="D18" s="1" t="s">
        <v>200</v>
      </c>
      <c r="E18" s="1" t="s">
        <v>154</v>
      </c>
      <c r="F18" s="1" t="s">
        <v>195</v>
      </c>
      <c r="G18" s="1" t="s">
        <v>758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681</v>
      </c>
      <c r="B19" s="1" t="s">
        <v>202</v>
      </c>
      <c r="C19" s="1" t="s">
        <v>36</v>
      </c>
      <c r="D19" s="1" t="s">
        <v>203</v>
      </c>
      <c r="E19" s="1" t="s">
        <v>154</v>
      </c>
      <c r="F19" s="1" t="s">
        <v>195</v>
      </c>
      <c r="G19" s="1" t="s">
        <v>759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684</v>
      </c>
      <c r="B20" s="1" t="s">
        <v>207</v>
      </c>
      <c r="C20" s="1" t="s">
        <v>36</v>
      </c>
      <c r="D20" s="1" t="s">
        <v>208</v>
      </c>
      <c r="E20" s="1" t="s">
        <v>154</v>
      </c>
      <c r="F20" s="1" t="s">
        <v>195</v>
      </c>
      <c r="G20" s="1" t="s">
        <v>758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686</v>
      </c>
      <c r="B21" s="1" t="s">
        <v>211</v>
      </c>
      <c r="C21" s="1" t="s">
        <v>36</v>
      </c>
      <c r="D21" s="1" t="s">
        <v>212</v>
      </c>
      <c r="E21" s="1" t="s">
        <v>154</v>
      </c>
      <c r="F21" s="1" t="s">
        <v>213</v>
      </c>
      <c r="G21" s="1" t="s">
        <v>760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688</v>
      </c>
      <c r="B22" s="1" t="s">
        <v>216</v>
      </c>
      <c r="C22" s="1" t="s">
        <v>36</v>
      </c>
      <c r="D22" s="1" t="s">
        <v>217</v>
      </c>
      <c r="E22" s="1" t="s">
        <v>154</v>
      </c>
      <c r="F22" s="1" t="s">
        <v>213</v>
      </c>
      <c r="G22" s="1" t="s">
        <v>761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691</v>
      </c>
      <c r="B23" s="1" t="s">
        <v>220</v>
      </c>
      <c r="C23" s="1" t="s">
        <v>36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693</v>
      </c>
      <c r="B24" s="1" t="s">
        <v>225</v>
      </c>
      <c r="C24" s="1" t="s">
        <v>36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762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763</v>
      </c>
      <c r="B9" s="1" t="s">
        <v>151</v>
      </c>
      <c r="C9" s="1" t="s">
        <v>764</v>
      </c>
      <c r="D9" s="1" t="s">
        <v>153</v>
      </c>
      <c r="E9" s="1" t="s">
        <v>154</v>
      </c>
      <c r="F9" s="1" t="s">
        <v>155</v>
      </c>
      <c r="G9" s="1" t="s">
        <v>765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766</v>
      </c>
      <c r="B10" s="1" t="s">
        <v>158</v>
      </c>
      <c r="C10" s="1" t="s">
        <v>764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767</v>
      </c>
      <c r="B11" s="1" t="s">
        <v>162</v>
      </c>
      <c r="C11" s="1" t="s">
        <v>764</v>
      </c>
      <c r="D11" s="1" t="s">
        <v>163</v>
      </c>
      <c r="E11" s="1" t="s">
        <v>154</v>
      </c>
      <c r="F11" s="1" t="s">
        <v>164</v>
      </c>
      <c r="G11" s="1" t="s">
        <v>768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769</v>
      </c>
      <c r="B12" s="1" t="s">
        <v>167</v>
      </c>
      <c r="C12" s="1" t="s">
        <v>764</v>
      </c>
      <c r="D12" s="1" t="s">
        <v>168</v>
      </c>
      <c r="E12" s="1" t="s">
        <v>154</v>
      </c>
      <c r="F12" s="1" t="s">
        <v>169</v>
      </c>
      <c r="G12" s="1" t="s">
        <v>770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771</v>
      </c>
      <c r="B13" s="1" t="s">
        <v>172</v>
      </c>
      <c r="C13" s="1" t="s">
        <v>764</v>
      </c>
      <c r="D13" s="1" t="s">
        <v>173</v>
      </c>
      <c r="E13" s="1" t="s">
        <v>154</v>
      </c>
      <c r="F13" s="1" t="s">
        <v>174</v>
      </c>
      <c r="G13" s="1" t="s">
        <v>772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773</v>
      </c>
      <c r="B14" s="1" t="s">
        <v>177</v>
      </c>
      <c r="C14" s="1" t="s">
        <v>764</v>
      </c>
      <c r="D14" s="1" t="s">
        <v>178</v>
      </c>
      <c r="E14" s="1" t="s">
        <v>154</v>
      </c>
      <c r="F14" s="1" t="s">
        <v>179</v>
      </c>
      <c r="G14" s="1" t="s">
        <v>774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775</v>
      </c>
      <c r="B15" s="1" t="s">
        <v>182</v>
      </c>
      <c r="C15" s="1" t="s">
        <v>764</v>
      </c>
      <c r="D15" s="1" t="s">
        <v>183</v>
      </c>
      <c r="E15" s="1" t="s">
        <v>154</v>
      </c>
      <c r="F15" s="1" t="s">
        <v>184</v>
      </c>
      <c r="G15" s="1" t="s">
        <v>776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777</v>
      </c>
      <c r="B16" s="1" t="s">
        <v>187</v>
      </c>
      <c r="C16" s="1" t="s">
        <v>764</v>
      </c>
      <c r="D16" s="1" t="s">
        <v>188</v>
      </c>
      <c r="E16" s="1" t="s">
        <v>154</v>
      </c>
      <c r="F16" s="1" t="s">
        <v>189</v>
      </c>
      <c r="G16" s="1" t="s">
        <v>778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779</v>
      </c>
      <c r="B17" s="1" t="s">
        <v>193</v>
      </c>
      <c r="C17" s="1" t="s">
        <v>764</v>
      </c>
      <c r="D17" s="1" t="s">
        <v>194</v>
      </c>
      <c r="E17" s="1" t="s">
        <v>154</v>
      </c>
      <c r="F17" s="1" t="s">
        <v>195</v>
      </c>
      <c r="G17" s="1" t="s">
        <v>780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781</v>
      </c>
      <c r="B18" s="1" t="s">
        <v>199</v>
      </c>
      <c r="C18" s="1" t="s">
        <v>764</v>
      </c>
      <c r="D18" s="1" t="s">
        <v>200</v>
      </c>
      <c r="E18" s="1" t="s">
        <v>154</v>
      </c>
      <c r="F18" s="1" t="s">
        <v>195</v>
      </c>
      <c r="G18" s="1" t="s">
        <v>780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782</v>
      </c>
      <c r="B19" s="1" t="s">
        <v>202</v>
      </c>
      <c r="C19" s="1" t="s">
        <v>764</v>
      </c>
      <c r="D19" s="1" t="s">
        <v>203</v>
      </c>
      <c r="E19" s="1" t="s">
        <v>154</v>
      </c>
      <c r="F19" s="1" t="s">
        <v>195</v>
      </c>
      <c r="G19" s="1" t="s">
        <v>783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784</v>
      </c>
      <c r="B20" s="1" t="s">
        <v>207</v>
      </c>
      <c r="C20" s="1" t="s">
        <v>764</v>
      </c>
      <c r="D20" s="1" t="s">
        <v>208</v>
      </c>
      <c r="E20" s="1" t="s">
        <v>154</v>
      </c>
      <c r="F20" s="1" t="s">
        <v>195</v>
      </c>
      <c r="G20" s="1" t="s">
        <v>780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785</v>
      </c>
      <c r="B21" s="1" t="s">
        <v>211</v>
      </c>
      <c r="C21" s="1" t="s">
        <v>764</v>
      </c>
      <c r="D21" s="1" t="s">
        <v>212</v>
      </c>
      <c r="E21" s="1" t="s">
        <v>154</v>
      </c>
      <c r="F21" s="1" t="s">
        <v>213</v>
      </c>
      <c r="G21" s="1" t="s">
        <v>786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787</v>
      </c>
      <c r="B22" s="1" t="s">
        <v>216</v>
      </c>
      <c r="C22" s="1" t="s">
        <v>764</v>
      </c>
      <c r="D22" s="1" t="s">
        <v>217</v>
      </c>
      <c r="E22" s="1" t="s">
        <v>154</v>
      </c>
      <c r="F22" s="1" t="s">
        <v>213</v>
      </c>
      <c r="G22" s="1" t="s">
        <v>788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789</v>
      </c>
      <c r="B23" s="1" t="s">
        <v>220</v>
      </c>
      <c r="C23" s="1" t="s">
        <v>764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790</v>
      </c>
      <c r="B24" s="1" t="s">
        <v>225</v>
      </c>
      <c r="C24" s="1" t="s">
        <v>764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792</v>
      </c>
      <c r="B9" s="12" t="s">
        <v>151</v>
      </c>
      <c r="C9" s="12" t="s">
        <v>39</v>
      </c>
      <c r="D9" s="13" t="s">
        <v>793</v>
      </c>
      <c r="E9" s="12" t="s">
        <v>154</v>
      </c>
      <c r="F9" s="12" t="s">
        <v>155</v>
      </c>
      <c r="G9" s="13" t="s">
        <v>794</v>
      </c>
      <c r="H9" s="12" t="s">
        <v>119</v>
      </c>
      <c r="I9" s="12" t="s">
        <v>134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795</v>
      </c>
      <c r="B10" s="12" t="s">
        <v>158</v>
      </c>
      <c r="C10" s="12" t="s">
        <v>796</v>
      </c>
      <c r="D10" s="13" t="s">
        <v>797</v>
      </c>
      <c r="E10" s="12" t="s">
        <v>154</v>
      </c>
      <c r="F10" s="12" t="s">
        <v>154</v>
      </c>
      <c r="G10" s="13" t="s">
        <v>160</v>
      </c>
      <c r="H10" s="12" t="s">
        <v>119</v>
      </c>
      <c r="I10" s="12" t="s">
        <v>134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798</v>
      </c>
      <c r="B11" s="12" t="s">
        <v>162</v>
      </c>
      <c r="C11" s="12" t="s">
        <v>799</v>
      </c>
      <c r="D11" s="13" t="s">
        <v>800</v>
      </c>
      <c r="E11" s="12" t="s">
        <v>154</v>
      </c>
      <c r="F11" s="12" t="s">
        <v>164</v>
      </c>
      <c r="G11" s="13" t="s">
        <v>801</v>
      </c>
      <c r="H11" s="12" t="s">
        <v>119</v>
      </c>
      <c r="I11" s="12" t="s">
        <v>134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802</v>
      </c>
      <c r="B12" s="12" t="s">
        <v>167</v>
      </c>
      <c r="C12" s="12" t="s">
        <v>803</v>
      </c>
      <c r="D12" s="13" t="s">
        <v>804</v>
      </c>
      <c r="E12" s="12" t="s">
        <v>154</v>
      </c>
      <c r="F12" s="12" t="s">
        <v>169</v>
      </c>
      <c r="G12" s="13" t="s">
        <v>805</v>
      </c>
      <c r="H12" s="12" t="s">
        <v>119</v>
      </c>
      <c r="I12" s="12" t="s">
        <v>134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806</v>
      </c>
      <c r="B13" s="12" t="s">
        <v>172</v>
      </c>
      <c r="C13" s="12" t="s">
        <v>799</v>
      </c>
      <c r="D13" s="13" t="s">
        <v>807</v>
      </c>
      <c r="E13" s="12" t="s">
        <v>154</v>
      </c>
      <c r="F13" s="12" t="s">
        <v>174</v>
      </c>
      <c r="G13" s="13" t="s">
        <v>808</v>
      </c>
      <c r="H13" s="12" t="s">
        <v>119</v>
      </c>
      <c r="I13" s="12" t="s">
        <v>134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809</v>
      </c>
      <c r="B14" s="12" t="s">
        <v>177</v>
      </c>
      <c r="C14" s="12" t="s">
        <v>799</v>
      </c>
      <c r="D14" s="13" t="s">
        <v>810</v>
      </c>
      <c r="E14" s="12" t="s">
        <v>154</v>
      </c>
      <c r="F14" s="12" t="s">
        <v>179</v>
      </c>
      <c r="G14" s="13" t="s">
        <v>811</v>
      </c>
      <c r="H14" s="12" t="s">
        <v>119</v>
      </c>
      <c r="I14" s="12" t="s">
        <v>134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812</v>
      </c>
      <c r="B15" s="12" t="s">
        <v>182</v>
      </c>
      <c r="C15" s="12" t="s">
        <v>803</v>
      </c>
      <c r="D15" s="13" t="s">
        <v>813</v>
      </c>
      <c r="E15" s="12" t="s">
        <v>154</v>
      </c>
      <c r="F15" s="12" t="s">
        <v>184</v>
      </c>
      <c r="G15" s="13" t="s">
        <v>811</v>
      </c>
      <c r="H15" s="12" t="s">
        <v>119</v>
      </c>
      <c r="I15" s="12" t="s">
        <v>134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814</v>
      </c>
      <c r="B16" s="12" t="s">
        <v>187</v>
      </c>
      <c r="C16" s="12" t="s">
        <v>796</v>
      </c>
      <c r="D16" s="13" t="s">
        <v>815</v>
      </c>
      <c r="E16" s="12" t="s">
        <v>154</v>
      </c>
      <c r="F16" s="12" t="s">
        <v>189</v>
      </c>
      <c r="G16" s="13" t="s">
        <v>816</v>
      </c>
      <c r="H16" s="12" t="s">
        <v>121</v>
      </c>
      <c r="I16" s="12" t="s">
        <v>133</v>
      </c>
      <c r="J16" s="14" t="n">
        <v>46227</v>
      </c>
      <c r="K16" s="13" t="s">
        <v>817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818</v>
      </c>
      <c r="B17" s="12" t="s">
        <v>193</v>
      </c>
      <c r="C17" s="12" t="s">
        <v>796</v>
      </c>
      <c r="D17" s="13" t="s">
        <v>819</v>
      </c>
      <c r="E17" s="12" t="s">
        <v>154</v>
      </c>
      <c r="F17" s="12" t="s">
        <v>195</v>
      </c>
      <c r="G17" s="13" t="s">
        <v>820</v>
      </c>
      <c r="H17" s="12" t="s">
        <v>117</v>
      </c>
      <c r="I17" s="12" t="s">
        <v>133</v>
      </c>
      <c r="J17" s="14"/>
      <c r="K17" s="13" t="s">
        <v>821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822</v>
      </c>
      <c r="B18" s="12" t="s">
        <v>199</v>
      </c>
      <c r="C18" s="12" t="s">
        <v>823</v>
      </c>
      <c r="D18" s="13" t="s">
        <v>824</v>
      </c>
      <c r="E18" s="12" t="s">
        <v>154</v>
      </c>
      <c r="F18" s="12" t="s">
        <v>195</v>
      </c>
      <c r="G18" s="13" t="s">
        <v>825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827</v>
      </c>
      <c r="B19" s="12" t="s">
        <v>682</v>
      </c>
      <c r="C19" s="12" t="s">
        <v>803</v>
      </c>
      <c r="D19" s="13" t="s">
        <v>828</v>
      </c>
      <c r="E19" s="12" t="s">
        <v>154</v>
      </c>
      <c r="F19" s="12" t="s">
        <v>179</v>
      </c>
      <c r="G19" s="13" t="s">
        <v>829</v>
      </c>
      <c r="H19" s="12" t="s">
        <v>119</v>
      </c>
      <c r="I19" s="12" t="s">
        <v>134</v>
      </c>
      <c r="J19" s="14" t="n">
        <v>46244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830</v>
      </c>
      <c r="B20" s="12" t="s">
        <v>207</v>
      </c>
      <c r="C20" s="12" t="s">
        <v>796</v>
      </c>
      <c r="D20" s="13" t="s">
        <v>831</v>
      </c>
      <c r="E20" s="12" t="s">
        <v>154</v>
      </c>
      <c r="F20" s="12" t="s">
        <v>195</v>
      </c>
      <c r="G20" s="13" t="s">
        <v>820</v>
      </c>
      <c r="H20" s="12" t="s">
        <v>117</v>
      </c>
      <c r="I20" s="12" t="s">
        <v>133</v>
      </c>
      <c r="J20" s="14"/>
      <c r="K20" s="13" t="s">
        <v>832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833</v>
      </c>
      <c r="B21" s="12" t="s">
        <v>211</v>
      </c>
      <c r="C21" s="12" t="s">
        <v>799</v>
      </c>
      <c r="D21" s="13" t="s">
        <v>834</v>
      </c>
      <c r="E21" s="12" t="s">
        <v>154</v>
      </c>
      <c r="F21" s="12" t="s">
        <v>213</v>
      </c>
      <c r="G21" s="13" t="s">
        <v>835</v>
      </c>
      <c r="H21" s="12" t="s">
        <v>119</v>
      </c>
      <c r="I21" s="12" t="s">
        <v>134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836</v>
      </c>
      <c r="B22" s="12" t="s">
        <v>216</v>
      </c>
      <c r="C22" s="12" t="s">
        <v>799</v>
      </c>
      <c r="D22" s="13" t="s">
        <v>837</v>
      </c>
      <c r="E22" s="12" t="s">
        <v>154</v>
      </c>
      <c r="F22" s="12" t="s">
        <v>213</v>
      </c>
      <c r="G22" s="13" t="s">
        <v>838</v>
      </c>
      <c r="H22" s="12" t="s">
        <v>119</v>
      </c>
      <c r="I22" s="12" t="s">
        <v>134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839</v>
      </c>
      <c r="B23" s="12" t="s">
        <v>220</v>
      </c>
      <c r="C23" s="12" t="s">
        <v>840</v>
      </c>
      <c r="D23" s="13" t="s">
        <v>841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842</v>
      </c>
      <c r="B24" s="12" t="s">
        <v>225</v>
      </c>
      <c r="C24" s="12" t="s">
        <v>799</v>
      </c>
      <c r="D24" s="13" t="s">
        <v>843</v>
      </c>
      <c r="E24" s="12" t="s">
        <v>154</v>
      </c>
      <c r="F24" s="12" t="s">
        <v>154</v>
      </c>
      <c r="G24" s="13" t="s">
        <v>844</v>
      </c>
      <c r="H24" s="12" t="s">
        <v>117</v>
      </c>
      <c r="I24" s="12" t="s">
        <v>133</v>
      </c>
      <c r="J24" s="14" t="n">
        <v>46227</v>
      </c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10</v>
      </c>
      <c r="G4" s="5" t="s">
        <v>14</v>
      </c>
      <c r="H4" s="7" t="n">
        <f aca="false">IF(B4=0,0,E4/B4)</f>
        <v>0.625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open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847</v>
      </c>
      <c r="B9" s="12" t="s">
        <v>151</v>
      </c>
      <c r="C9" s="12" t="s">
        <v>98</v>
      </c>
      <c r="D9" s="13" t="s">
        <v>848</v>
      </c>
      <c r="E9" s="12" t="s">
        <v>154</v>
      </c>
      <c r="F9" s="12" t="s">
        <v>155</v>
      </c>
      <c r="G9" s="13" t="s">
        <v>849</v>
      </c>
      <c r="H9" s="12" t="s">
        <v>119</v>
      </c>
      <c r="I9" s="12" t="s">
        <v>134</v>
      </c>
      <c r="J9" s="14" t="n">
        <v>46260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850</v>
      </c>
      <c r="B10" s="12" t="s">
        <v>158</v>
      </c>
      <c r="C10" s="12" t="s">
        <v>98</v>
      </c>
      <c r="D10" s="13" t="s">
        <v>851</v>
      </c>
      <c r="E10" s="12" t="s">
        <v>154</v>
      </c>
      <c r="F10" s="12" t="s">
        <v>154</v>
      </c>
      <c r="G10" s="13" t="s">
        <v>852</v>
      </c>
      <c r="H10" s="12" t="s">
        <v>119</v>
      </c>
      <c r="I10" s="12" t="s">
        <v>134</v>
      </c>
      <c r="J10" s="14" t="n">
        <v>46260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853</v>
      </c>
      <c r="B11" s="12" t="s">
        <v>162</v>
      </c>
      <c r="C11" s="12" t="s">
        <v>98</v>
      </c>
      <c r="D11" s="13" t="s">
        <v>854</v>
      </c>
      <c r="E11" s="12" t="s">
        <v>154</v>
      </c>
      <c r="F11" s="12" t="s">
        <v>164</v>
      </c>
      <c r="G11" s="13" t="s">
        <v>855</v>
      </c>
      <c r="H11" s="12" t="s">
        <v>119</v>
      </c>
      <c r="I11" s="12" t="s">
        <v>134</v>
      </c>
      <c r="J11" s="14" t="n">
        <v>46260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856</v>
      </c>
      <c r="B12" s="12" t="s">
        <v>167</v>
      </c>
      <c r="C12" s="12" t="s">
        <v>857</v>
      </c>
      <c r="D12" s="13" t="s">
        <v>858</v>
      </c>
      <c r="E12" s="12" t="s">
        <v>154</v>
      </c>
      <c r="F12" s="12" t="s">
        <v>169</v>
      </c>
      <c r="G12" s="13" t="s">
        <v>859</v>
      </c>
      <c r="H12" s="12" t="s">
        <v>119</v>
      </c>
      <c r="I12" s="12" t="s">
        <v>134</v>
      </c>
      <c r="J12" s="14" t="n">
        <v>46260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860</v>
      </c>
      <c r="B13" s="12" t="s">
        <v>172</v>
      </c>
      <c r="C13" s="12" t="s">
        <v>98</v>
      </c>
      <c r="D13" s="13" t="s">
        <v>861</v>
      </c>
      <c r="E13" s="12" t="s">
        <v>154</v>
      </c>
      <c r="F13" s="12" t="s">
        <v>174</v>
      </c>
      <c r="G13" s="13" t="s">
        <v>862</v>
      </c>
      <c r="H13" s="12" t="s">
        <v>119</v>
      </c>
      <c r="I13" s="12" t="s">
        <v>134</v>
      </c>
      <c r="J13" s="14" t="n">
        <v>46260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863</v>
      </c>
      <c r="B14" s="12" t="s">
        <v>177</v>
      </c>
      <c r="C14" s="12" t="s">
        <v>857</v>
      </c>
      <c r="D14" s="13" t="s">
        <v>864</v>
      </c>
      <c r="E14" s="12" t="s">
        <v>154</v>
      </c>
      <c r="F14" s="12" t="s">
        <v>179</v>
      </c>
      <c r="G14" s="13" t="s">
        <v>865</v>
      </c>
      <c r="H14" s="12" t="s">
        <v>119</v>
      </c>
      <c r="I14" s="12" t="s">
        <v>134</v>
      </c>
      <c r="J14" s="14" t="n">
        <v>46260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866</v>
      </c>
      <c r="B15" s="12" t="s">
        <v>182</v>
      </c>
      <c r="C15" s="12" t="s">
        <v>867</v>
      </c>
      <c r="D15" s="13" t="s">
        <v>868</v>
      </c>
      <c r="E15" s="12" t="s">
        <v>154</v>
      </c>
      <c r="F15" s="12" t="s">
        <v>184</v>
      </c>
      <c r="G15" s="13" t="s">
        <v>865</v>
      </c>
      <c r="H15" s="12" t="s">
        <v>119</v>
      </c>
      <c r="I15" s="12" t="s">
        <v>134</v>
      </c>
      <c r="J15" s="14" t="n">
        <v>46260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869</v>
      </c>
      <c r="B16" s="12" t="s">
        <v>187</v>
      </c>
      <c r="C16" s="12" t="s">
        <v>857</v>
      </c>
      <c r="D16" s="13" t="s">
        <v>870</v>
      </c>
      <c r="E16" s="12" t="s">
        <v>154</v>
      </c>
      <c r="F16" s="12" t="s">
        <v>189</v>
      </c>
      <c r="G16" s="13" t="s">
        <v>871</v>
      </c>
      <c r="H16" s="12" t="s">
        <v>117</v>
      </c>
      <c r="I16" s="12" t="s">
        <v>133</v>
      </c>
      <c r="J16" s="14"/>
      <c r="K16" s="13" t="s">
        <v>872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873</v>
      </c>
      <c r="B17" s="12" t="s">
        <v>193</v>
      </c>
      <c r="C17" s="12" t="s">
        <v>98</v>
      </c>
      <c r="D17" s="13" t="s">
        <v>874</v>
      </c>
      <c r="E17" s="12" t="s">
        <v>154</v>
      </c>
      <c r="F17" s="12" t="s">
        <v>195</v>
      </c>
      <c r="G17" s="13" t="s">
        <v>875</v>
      </c>
      <c r="H17" s="12" t="s">
        <v>117</v>
      </c>
      <c r="I17" s="12" t="s">
        <v>133</v>
      </c>
      <c r="J17" s="14"/>
      <c r="K17" s="13" t="s">
        <v>876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877</v>
      </c>
      <c r="B18" s="12" t="s">
        <v>199</v>
      </c>
      <c r="C18" s="12" t="s">
        <v>878</v>
      </c>
      <c r="D18" s="13" t="s">
        <v>879</v>
      </c>
      <c r="E18" s="12" t="s">
        <v>154</v>
      </c>
      <c r="F18" s="12" t="s">
        <v>195</v>
      </c>
      <c r="G18" s="13" t="s">
        <v>880</v>
      </c>
      <c r="H18" s="12" t="s">
        <v>117</v>
      </c>
      <c r="I18" s="12" t="s">
        <v>133</v>
      </c>
      <c r="J18" s="14"/>
      <c r="K18" s="13" t="s">
        <v>881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882</v>
      </c>
      <c r="B19" s="12" t="s">
        <v>682</v>
      </c>
      <c r="C19" s="12" t="s">
        <v>98</v>
      </c>
      <c r="D19" s="13" t="s">
        <v>883</v>
      </c>
      <c r="E19" s="12" t="s">
        <v>154</v>
      </c>
      <c r="F19" s="12" t="s">
        <v>179</v>
      </c>
      <c r="G19" s="13" t="s">
        <v>884</v>
      </c>
      <c r="H19" s="12" t="s">
        <v>119</v>
      </c>
      <c r="I19" s="12" t="s">
        <v>134</v>
      </c>
      <c r="J19" s="14" t="n">
        <v>46260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885</v>
      </c>
      <c r="B20" s="12" t="s">
        <v>207</v>
      </c>
      <c r="C20" s="12" t="s">
        <v>98</v>
      </c>
      <c r="D20" s="13" t="s">
        <v>886</v>
      </c>
      <c r="E20" s="12" t="s">
        <v>154</v>
      </c>
      <c r="F20" s="12" t="s">
        <v>195</v>
      </c>
      <c r="G20" s="13" t="s">
        <v>875</v>
      </c>
      <c r="H20" s="12" t="s">
        <v>117</v>
      </c>
      <c r="I20" s="12" t="s">
        <v>133</v>
      </c>
      <c r="J20" s="14"/>
      <c r="K20" s="13" t="s">
        <v>887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888</v>
      </c>
      <c r="B21" s="12" t="s">
        <v>211</v>
      </c>
      <c r="C21" s="12" t="s">
        <v>98</v>
      </c>
      <c r="D21" s="13" t="s">
        <v>889</v>
      </c>
      <c r="E21" s="12" t="s">
        <v>154</v>
      </c>
      <c r="F21" s="12" t="s">
        <v>213</v>
      </c>
      <c r="G21" s="13" t="s">
        <v>890</v>
      </c>
      <c r="H21" s="12" t="s">
        <v>119</v>
      </c>
      <c r="I21" s="12" t="s">
        <v>134</v>
      </c>
      <c r="J21" s="14" t="n">
        <v>46260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891</v>
      </c>
      <c r="B22" s="12" t="s">
        <v>216</v>
      </c>
      <c r="C22" s="12" t="s">
        <v>98</v>
      </c>
      <c r="D22" s="13" t="s">
        <v>892</v>
      </c>
      <c r="E22" s="12" t="s">
        <v>154</v>
      </c>
      <c r="F22" s="12" t="s">
        <v>213</v>
      </c>
      <c r="G22" s="13" t="s">
        <v>893</v>
      </c>
      <c r="H22" s="12" t="s">
        <v>119</v>
      </c>
      <c r="I22" s="12" t="s">
        <v>134</v>
      </c>
      <c r="J22" s="14" t="n">
        <v>46260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894</v>
      </c>
      <c r="B23" s="12" t="s">
        <v>220</v>
      </c>
      <c r="C23" s="12" t="s">
        <v>895</v>
      </c>
      <c r="D23" s="13" t="s">
        <v>896</v>
      </c>
      <c r="E23" s="12" t="s">
        <v>222</v>
      </c>
      <c r="F23" s="12" t="s">
        <v>222</v>
      </c>
      <c r="G23" s="13" t="s">
        <v>223</v>
      </c>
      <c r="H23" s="12" t="s">
        <v>117</v>
      </c>
      <c r="I23" s="12" t="s">
        <v>134</v>
      </c>
      <c r="J23" s="14"/>
      <c r="K23" s="13" t="s">
        <v>897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898</v>
      </c>
      <c r="B24" s="12" t="s">
        <v>225</v>
      </c>
      <c r="C24" s="12" t="s">
        <v>98</v>
      </c>
      <c r="D24" s="13" t="s">
        <v>899</v>
      </c>
      <c r="E24" s="12" t="s">
        <v>154</v>
      </c>
      <c r="F24" s="12" t="s">
        <v>154</v>
      </c>
      <c r="G24" s="13" t="s">
        <v>594</v>
      </c>
      <c r="H24" s="12" t="s">
        <v>117</v>
      </c>
      <c r="I24" s="12" t="s">
        <v>133</v>
      </c>
      <c r="J24" s="14"/>
      <c r="K24" s="13" t="s">
        <v>900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137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138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650</v>
      </c>
      <c r="B9" s="1" t="s">
        <v>151</v>
      </c>
      <c r="C9" s="1" t="s">
        <v>38</v>
      </c>
      <c r="D9" s="1" t="s">
        <v>153</v>
      </c>
      <c r="E9" s="1" t="s">
        <v>154</v>
      </c>
      <c r="F9" s="1" t="s">
        <v>155</v>
      </c>
      <c r="G9" s="1" t="s">
        <v>902</v>
      </c>
      <c r="H9" s="8" t="s">
        <v>119</v>
      </c>
      <c r="I9" s="8" t="s">
        <v>134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653</v>
      </c>
      <c r="B10" s="1" t="s">
        <v>158</v>
      </c>
      <c r="C10" s="1" t="s">
        <v>38</v>
      </c>
      <c r="D10" s="1" t="s">
        <v>159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655</v>
      </c>
      <c r="B11" s="1" t="s">
        <v>162</v>
      </c>
      <c r="C11" s="1" t="s">
        <v>38</v>
      </c>
      <c r="D11" s="1" t="s">
        <v>163</v>
      </c>
      <c r="E11" s="1" t="s">
        <v>154</v>
      </c>
      <c r="F11" s="1" t="s">
        <v>164</v>
      </c>
      <c r="G11" s="1" t="s">
        <v>903</v>
      </c>
      <c r="H11" s="8" t="s">
        <v>119</v>
      </c>
      <c r="I11" s="8" t="s">
        <v>134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658</v>
      </c>
      <c r="B12" s="1" t="s">
        <v>167</v>
      </c>
      <c r="C12" s="1" t="s">
        <v>38</v>
      </c>
      <c r="D12" s="1" t="s">
        <v>168</v>
      </c>
      <c r="E12" s="1" t="s">
        <v>154</v>
      </c>
      <c r="F12" s="1" t="s">
        <v>169</v>
      </c>
      <c r="G12" s="1" t="s">
        <v>904</v>
      </c>
      <c r="H12" s="8" t="s">
        <v>119</v>
      </c>
      <c r="I12" s="8" t="s">
        <v>134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661</v>
      </c>
      <c r="B13" s="1" t="s">
        <v>172</v>
      </c>
      <c r="C13" s="1" t="s">
        <v>38</v>
      </c>
      <c r="D13" s="1" t="s">
        <v>173</v>
      </c>
      <c r="E13" s="1" t="s">
        <v>154</v>
      </c>
      <c r="F13" s="1" t="s">
        <v>174</v>
      </c>
      <c r="G13" s="1" t="s">
        <v>905</v>
      </c>
      <c r="H13" s="8" t="s">
        <v>119</v>
      </c>
      <c r="I13" s="8" t="s">
        <v>134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664</v>
      </c>
      <c r="B14" s="1" t="s">
        <v>177</v>
      </c>
      <c r="C14" s="1" t="s">
        <v>38</v>
      </c>
      <c r="D14" s="1" t="s">
        <v>178</v>
      </c>
      <c r="E14" s="1" t="s">
        <v>154</v>
      </c>
      <c r="F14" s="1" t="s">
        <v>179</v>
      </c>
      <c r="G14" s="1" t="s">
        <v>906</v>
      </c>
      <c r="H14" s="8" t="s">
        <v>119</v>
      </c>
      <c r="I14" s="8" t="s">
        <v>134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667</v>
      </c>
      <c r="B15" s="1" t="s">
        <v>182</v>
      </c>
      <c r="C15" s="1" t="s">
        <v>38</v>
      </c>
      <c r="D15" s="1" t="s">
        <v>183</v>
      </c>
      <c r="E15" s="1" t="s">
        <v>154</v>
      </c>
      <c r="F15" s="1" t="s">
        <v>184</v>
      </c>
      <c r="G15" s="1" t="s">
        <v>907</v>
      </c>
      <c r="H15" s="8" t="s">
        <v>119</v>
      </c>
      <c r="I15" s="8" t="s">
        <v>134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669</v>
      </c>
      <c r="B16" s="1" t="s">
        <v>187</v>
      </c>
      <c r="C16" s="1" t="s">
        <v>38</v>
      </c>
      <c r="D16" s="1" t="s">
        <v>188</v>
      </c>
      <c r="E16" s="1" t="s">
        <v>154</v>
      </c>
      <c r="F16" s="1" t="s">
        <v>189</v>
      </c>
      <c r="G16" s="1" t="s">
        <v>908</v>
      </c>
      <c r="H16" s="8" t="s">
        <v>121</v>
      </c>
      <c r="I16" s="8" t="s">
        <v>133</v>
      </c>
      <c r="J16" s="10" t="n">
        <v>46227</v>
      </c>
      <c r="K16" s="1" t="s">
        <v>191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673</v>
      </c>
      <c r="B17" s="1" t="s">
        <v>193</v>
      </c>
      <c r="C17" s="1" t="s">
        <v>38</v>
      </c>
      <c r="D17" s="1" t="s">
        <v>194</v>
      </c>
      <c r="E17" s="1" t="s">
        <v>154</v>
      </c>
      <c r="F17" s="1" t="s">
        <v>195</v>
      </c>
      <c r="G17" s="1" t="s">
        <v>909</v>
      </c>
      <c r="H17" s="8" t="s">
        <v>121</v>
      </c>
      <c r="I17" s="8" t="s">
        <v>133</v>
      </c>
      <c r="J17" s="10" t="n">
        <v>46227</v>
      </c>
      <c r="K17" s="1" t="s">
        <v>197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677</v>
      </c>
      <c r="B18" s="1" t="s">
        <v>199</v>
      </c>
      <c r="C18" s="1" t="s">
        <v>38</v>
      </c>
      <c r="D18" s="1" t="s">
        <v>200</v>
      </c>
      <c r="E18" s="1" t="s">
        <v>154</v>
      </c>
      <c r="F18" s="1" t="s">
        <v>195</v>
      </c>
      <c r="G18" s="1" t="s">
        <v>909</v>
      </c>
      <c r="H18" s="8" t="s">
        <v>121</v>
      </c>
      <c r="I18" s="8" t="s">
        <v>133</v>
      </c>
      <c r="J18" s="10" t="n">
        <v>46227</v>
      </c>
      <c r="K18" s="1" t="s">
        <v>197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681</v>
      </c>
      <c r="B19" s="1" t="s">
        <v>202</v>
      </c>
      <c r="C19" s="1" t="s">
        <v>38</v>
      </c>
      <c r="D19" s="1" t="s">
        <v>203</v>
      </c>
      <c r="E19" s="1" t="s">
        <v>154</v>
      </c>
      <c r="F19" s="1" t="s">
        <v>195</v>
      </c>
      <c r="G19" s="1" t="s">
        <v>910</v>
      </c>
      <c r="H19" s="8" t="s">
        <v>121</v>
      </c>
      <c r="I19" s="8" t="s">
        <v>133</v>
      </c>
      <c r="J19" s="10" t="n">
        <v>46227</v>
      </c>
      <c r="K19" s="1" t="s">
        <v>205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684</v>
      </c>
      <c r="B20" s="1" t="s">
        <v>207</v>
      </c>
      <c r="C20" s="1" t="s">
        <v>38</v>
      </c>
      <c r="D20" s="1" t="s">
        <v>208</v>
      </c>
      <c r="E20" s="1" t="s">
        <v>154</v>
      </c>
      <c r="F20" s="1" t="s">
        <v>195</v>
      </c>
      <c r="G20" s="1" t="s">
        <v>909</v>
      </c>
      <c r="H20" s="8" t="s">
        <v>121</v>
      </c>
      <c r="I20" s="8" t="s">
        <v>133</v>
      </c>
      <c r="J20" s="10" t="n">
        <v>46227</v>
      </c>
      <c r="K20" s="1" t="s">
        <v>209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686</v>
      </c>
      <c r="B21" s="1" t="s">
        <v>211</v>
      </c>
      <c r="C21" s="1" t="s">
        <v>38</v>
      </c>
      <c r="D21" s="1" t="s">
        <v>212</v>
      </c>
      <c r="E21" s="1" t="s">
        <v>154</v>
      </c>
      <c r="F21" s="1" t="s">
        <v>213</v>
      </c>
      <c r="G21" s="1" t="s">
        <v>911</v>
      </c>
      <c r="H21" s="8" t="s">
        <v>119</v>
      </c>
      <c r="I21" s="8" t="s">
        <v>134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688</v>
      </c>
      <c r="B22" s="1" t="s">
        <v>216</v>
      </c>
      <c r="C22" s="1" t="s">
        <v>38</v>
      </c>
      <c r="D22" s="1" t="s">
        <v>217</v>
      </c>
      <c r="E22" s="1" t="s">
        <v>154</v>
      </c>
      <c r="F22" s="1" t="s">
        <v>213</v>
      </c>
      <c r="G22" s="1" t="s">
        <v>912</v>
      </c>
      <c r="H22" s="8" t="s">
        <v>119</v>
      </c>
      <c r="I22" s="8" t="s">
        <v>134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691</v>
      </c>
      <c r="B23" s="1" t="s">
        <v>220</v>
      </c>
      <c r="C23" s="1" t="s">
        <v>38</v>
      </c>
      <c r="D23" s="1" t="s">
        <v>221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693</v>
      </c>
      <c r="B24" s="1" t="s">
        <v>225</v>
      </c>
      <c r="C24" s="1" t="s">
        <v>38</v>
      </c>
      <c r="D24" s="1" t="s">
        <v>226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847</v>
      </c>
      <c r="B9" s="12" t="s">
        <v>151</v>
      </c>
      <c r="C9" s="12" t="s">
        <v>914</v>
      </c>
      <c r="D9" s="13" t="s">
        <v>915</v>
      </c>
      <c r="E9" s="12" t="s">
        <v>154</v>
      </c>
      <c r="F9" s="12" t="s">
        <v>155</v>
      </c>
      <c r="G9" s="13" t="s">
        <v>916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850</v>
      </c>
      <c r="B10" s="12" t="s">
        <v>158</v>
      </c>
      <c r="C10" s="12" t="s">
        <v>41</v>
      </c>
      <c r="D10" s="13" t="s">
        <v>917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853</v>
      </c>
      <c r="B11" s="12" t="s">
        <v>162</v>
      </c>
      <c r="C11" s="12" t="s">
        <v>914</v>
      </c>
      <c r="D11" s="13" t="s">
        <v>918</v>
      </c>
      <c r="E11" s="12" t="s">
        <v>154</v>
      </c>
      <c r="F11" s="12" t="s">
        <v>164</v>
      </c>
      <c r="G11" s="13" t="s">
        <v>919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856</v>
      </c>
      <c r="B12" s="12" t="s">
        <v>167</v>
      </c>
      <c r="C12" s="12" t="s">
        <v>914</v>
      </c>
      <c r="D12" s="13" t="s">
        <v>920</v>
      </c>
      <c r="E12" s="12" t="s">
        <v>154</v>
      </c>
      <c r="F12" s="12" t="s">
        <v>169</v>
      </c>
      <c r="G12" s="13" t="s">
        <v>921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860</v>
      </c>
      <c r="B13" s="12" t="s">
        <v>172</v>
      </c>
      <c r="C13" s="12" t="s">
        <v>914</v>
      </c>
      <c r="D13" s="13" t="s">
        <v>922</v>
      </c>
      <c r="E13" s="12" t="s">
        <v>154</v>
      </c>
      <c r="F13" s="12" t="s">
        <v>174</v>
      </c>
      <c r="G13" s="13" t="s">
        <v>923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863</v>
      </c>
      <c r="B14" s="12" t="s">
        <v>177</v>
      </c>
      <c r="C14" s="12" t="s">
        <v>823</v>
      </c>
      <c r="D14" s="13" t="s">
        <v>924</v>
      </c>
      <c r="E14" s="12" t="s">
        <v>154</v>
      </c>
      <c r="F14" s="12" t="s">
        <v>179</v>
      </c>
      <c r="G14" s="13" t="s">
        <v>925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866</v>
      </c>
      <c r="B15" s="12" t="s">
        <v>177</v>
      </c>
      <c r="C15" s="12" t="s">
        <v>926</v>
      </c>
      <c r="D15" s="13" t="s">
        <v>927</v>
      </c>
      <c r="E15" s="12" t="s">
        <v>154</v>
      </c>
      <c r="F15" s="12" t="s">
        <v>179</v>
      </c>
      <c r="G15" s="13" t="s">
        <v>925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869</v>
      </c>
      <c r="B16" s="12" t="s">
        <v>182</v>
      </c>
      <c r="C16" s="12" t="s">
        <v>914</v>
      </c>
      <c r="D16" s="13" t="s">
        <v>928</v>
      </c>
      <c r="E16" s="12" t="s">
        <v>154</v>
      </c>
      <c r="F16" s="12" t="s">
        <v>184</v>
      </c>
      <c r="G16" s="13" t="s">
        <v>925</v>
      </c>
      <c r="H16" s="12" t="s">
        <v>119</v>
      </c>
      <c r="I16" s="12" t="s">
        <v>134</v>
      </c>
      <c r="J16" s="14" t="n">
        <v>46228</v>
      </c>
      <c r="K16" s="13" t="s">
        <v>817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873</v>
      </c>
      <c r="B17" s="12" t="s">
        <v>187</v>
      </c>
      <c r="C17" s="12" t="s">
        <v>914</v>
      </c>
      <c r="D17" s="13" t="s">
        <v>929</v>
      </c>
      <c r="E17" s="12" t="s">
        <v>154</v>
      </c>
      <c r="F17" s="12" t="s">
        <v>189</v>
      </c>
      <c r="G17" s="13" t="s">
        <v>930</v>
      </c>
      <c r="H17" s="12" t="s">
        <v>121</v>
      </c>
      <c r="I17" s="12" t="s">
        <v>133</v>
      </c>
      <c r="J17" s="14" t="n">
        <v>46228</v>
      </c>
      <c r="K17" s="13" t="s">
        <v>931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877</v>
      </c>
      <c r="B18" s="12" t="s">
        <v>193</v>
      </c>
      <c r="C18" s="12" t="s">
        <v>914</v>
      </c>
      <c r="D18" s="13" t="s">
        <v>932</v>
      </c>
      <c r="E18" s="12" t="s">
        <v>154</v>
      </c>
      <c r="F18" s="12" t="s">
        <v>195</v>
      </c>
      <c r="G18" s="13" t="s">
        <v>933</v>
      </c>
      <c r="H18" s="12" t="s">
        <v>117</v>
      </c>
      <c r="I18" s="12" t="s">
        <v>133</v>
      </c>
      <c r="J18" s="14"/>
      <c r="K18" s="13" t="s">
        <v>821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882</v>
      </c>
      <c r="B19" s="12" t="s">
        <v>199</v>
      </c>
      <c r="C19" s="12" t="s">
        <v>914</v>
      </c>
      <c r="D19" s="13" t="s">
        <v>934</v>
      </c>
      <c r="E19" s="12" t="s">
        <v>154</v>
      </c>
      <c r="F19" s="12" t="s">
        <v>195</v>
      </c>
      <c r="G19" s="13" t="s">
        <v>935</v>
      </c>
      <c r="H19" s="12" t="s">
        <v>117</v>
      </c>
      <c r="I19" s="12" t="s">
        <v>133</v>
      </c>
      <c r="J19" s="14" t="n">
        <v>46227</v>
      </c>
      <c r="K19" s="13" t="s">
        <v>826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885</v>
      </c>
      <c r="B20" s="12" t="s">
        <v>682</v>
      </c>
      <c r="C20" s="12" t="s">
        <v>914</v>
      </c>
      <c r="D20" s="13" t="s">
        <v>936</v>
      </c>
      <c r="E20" s="12" t="s">
        <v>154</v>
      </c>
      <c r="F20" s="12" t="s">
        <v>179</v>
      </c>
      <c r="G20" s="13" t="s">
        <v>925</v>
      </c>
      <c r="H20" s="12" t="s">
        <v>119</v>
      </c>
      <c r="I20" s="12" t="s">
        <v>134</v>
      </c>
      <c r="J20" s="14" t="n">
        <v>46228</v>
      </c>
      <c r="K20" s="13" t="s">
        <v>832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888</v>
      </c>
      <c r="B21" s="12" t="s">
        <v>207</v>
      </c>
      <c r="C21" s="12" t="s">
        <v>914</v>
      </c>
      <c r="D21" s="13" t="s">
        <v>937</v>
      </c>
      <c r="E21" s="12" t="s">
        <v>154</v>
      </c>
      <c r="F21" s="12" t="s">
        <v>195</v>
      </c>
      <c r="G21" s="13" t="s">
        <v>933</v>
      </c>
      <c r="H21" s="12" t="s">
        <v>117</v>
      </c>
      <c r="I21" s="12" t="s">
        <v>133</v>
      </c>
      <c r="J21" s="14" t="n">
        <v>46227</v>
      </c>
      <c r="K21" s="13" t="s">
        <v>832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891</v>
      </c>
      <c r="B22" s="12" t="s">
        <v>211</v>
      </c>
      <c r="C22" s="12" t="s">
        <v>41</v>
      </c>
      <c r="D22" s="13" t="s">
        <v>938</v>
      </c>
      <c r="E22" s="12" t="s">
        <v>154</v>
      </c>
      <c r="F22" s="12" t="s">
        <v>213</v>
      </c>
      <c r="G22" s="13" t="s">
        <v>939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894</v>
      </c>
      <c r="B23" s="12" t="s">
        <v>216</v>
      </c>
      <c r="C23" s="12" t="s">
        <v>41</v>
      </c>
      <c r="D23" s="13" t="s">
        <v>940</v>
      </c>
      <c r="E23" s="12" t="s">
        <v>154</v>
      </c>
      <c r="F23" s="12" t="s">
        <v>213</v>
      </c>
      <c r="G23" s="13" t="s">
        <v>941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898</v>
      </c>
      <c r="B24" s="12" t="s">
        <v>220</v>
      </c>
      <c r="C24" s="12" t="s">
        <v>914</v>
      </c>
      <c r="D24" s="13" t="s">
        <v>942</v>
      </c>
      <c r="E24" s="12" t="s">
        <v>222</v>
      </c>
      <c r="F24" s="12" t="s">
        <v>222</v>
      </c>
      <c r="G24" s="13" t="s">
        <v>223</v>
      </c>
      <c r="H24" s="12" t="s">
        <v>119</v>
      </c>
      <c r="I24" s="12" t="s">
        <v>134</v>
      </c>
      <c r="J24" s="14" t="n">
        <v>46228</v>
      </c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943</v>
      </c>
      <c r="B25" s="12" t="s">
        <v>225</v>
      </c>
      <c r="C25" s="12" t="s">
        <v>41</v>
      </c>
      <c r="D25" s="13" t="s">
        <v>944</v>
      </c>
      <c r="E25" s="12" t="s">
        <v>154</v>
      </c>
      <c r="F25" s="12" t="s">
        <v>154</v>
      </c>
      <c r="G25" s="13" t="s">
        <v>945</v>
      </c>
      <c r="H25" s="12" t="s">
        <v>117</v>
      </c>
      <c r="I25" s="12" t="s">
        <v>133</v>
      </c>
      <c r="J25" s="14" t="n">
        <v>46228</v>
      </c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326</v>
      </c>
      <c r="B9" s="12" t="s">
        <v>151</v>
      </c>
      <c r="C9" s="12" t="s">
        <v>42</v>
      </c>
      <c r="D9" s="13" t="s">
        <v>948</v>
      </c>
      <c r="E9" s="12" t="s">
        <v>154</v>
      </c>
      <c r="F9" s="12" t="s">
        <v>155</v>
      </c>
      <c r="G9" s="13" t="s">
        <v>949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328</v>
      </c>
      <c r="B10" s="12" t="s">
        <v>158</v>
      </c>
      <c r="C10" s="12" t="s">
        <v>42</v>
      </c>
      <c r="D10" s="13" t="s">
        <v>950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329</v>
      </c>
      <c r="B11" s="12" t="s">
        <v>162</v>
      </c>
      <c r="C11" s="12" t="s">
        <v>42</v>
      </c>
      <c r="D11" s="13" t="s">
        <v>951</v>
      </c>
      <c r="E11" s="12" t="s">
        <v>154</v>
      </c>
      <c r="F11" s="12" t="s">
        <v>164</v>
      </c>
      <c r="G11" s="13" t="s">
        <v>952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331</v>
      </c>
      <c r="B12" s="12" t="s">
        <v>167</v>
      </c>
      <c r="C12" s="12" t="s">
        <v>42</v>
      </c>
      <c r="D12" s="13" t="s">
        <v>953</v>
      </c>
      <c r="E12" s="12" t="s">
        <v>154</v>
      </c>
      <c r="F12" s="12" t="s">
        <v>169</v>
      </c>
      <c r="G12" s="13" t="s">
        <v>954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333</v>
      </c>
      <c r="B13" s="12" t="s">
        <v>172</v>
      </c>
      <c r="C13" s="12" t="s">
        <v>42</v>
      </c>
      <c r="D13" s="13" t="s">
        <v>955</v>
      </c>
      <c r="E13" s="12" t="s">
        <v>154</v>
      </c>
      <c r="F13" s="12" t="s">
        <v>174</v>
      </c>
      <c r="G13" s="13" t="s">
        <v>956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335</v>
      </c>
      <c r="B14" s="12" t="s">
        <v>177</v>
      </c>
      <c r="C14" s="12" t="s">
        <v>42</v>
      </c>
      <c r="D14" s="13" t="s">
        <v>957</v>
      </c>
      <c r="E14" s="12" t="s">
        <v>154</v>
      </c>
      <c r="F14" s="12" t="s">
        <v>179</v>
      </c>
      <c r="G14" s="13" t="s">
        <v>958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337</v>
      </c>
      <c r="B15" s="12" t="s">
        <v>182</v>
      </c>
      <c r="C15" s="12" t="s">
        <v>42</v>
      </c>
      <c r="D15" s="13" t="s">
        <v>959</v>
      </c>
      <c r="E15" s="12" t="s">
        <v>154</v>
      </c>
      <c r="F15" s="12" t="s">
        <v>184</v>
      </c>
      <c r="G15" s="13" t="s">
        <v>958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339</v>
      </c>
      <c r="B16" s="12" t="s">
        <v>187</v>
      </c>
      <c r="C16" s="12" t="s">
        <v>42</v>
      </c>
      <c r="D16" s="13" t="s">
        <v>960</v>
      </c>
      <c r="E16" s="12" t="s">
        <v>154</v>
      </c>
      <c r="F16" s="12" t="s">
        <v>189</v>
      </c>
      <c r="G16" s="13" t="s">
        <v>961</v>
      </c>
      <c r="H16" s="12" t="s">
        <v>121</v>
      </c>
      <c r="I16" s="12" t="s">
        <v>133</v>
      </c>
      <c r="J16" s="14" t="n">
        <v>46228</v>
      </c>
      <c r="K16" s="13" t="s">
        <v>962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341</v>
      </c>
      <c r="B17" s="12" t="s">
        <v>193</v>
      </c>
      <c r="C17" s="12" t="s">
        <v>42</v>
      </c>
      <c r="D17" s="13" t="s">
        <v>963</v>
      </c>
      <c r="E17" s="12" t="s">
        <v>154</v>
      </c>
      <c r="F17" s="12" t="s">
        <v>195</v>
      </c>
      <c r="G17" s="13" t="s">
        <v>964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343</v>
      </c>
      <c r="B18" s="12" t="s">
        <v>199</v>
      </c>
      <c r="C18" s="12" t="s">
        <v>42</v>
      </c>
      <c r="D18" s="13" t="s">
        <v>966</v>
      </c>
      <c r="E18" s="12" t="s">
        <v>154</v>
      </c>
      <c r="F18" s="12" t="s">
        <v>195</v>
      </c>
      <c r="G18" s="13" t="s">
        <v>967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344</v>
      </c>
      <c r="B19" s="12" t="s">
        <v>682</v>
      </c>
      <c r="C19" s="12" t="s">
        <v>42</v>
      </c>
      <c r="D19" s="13" t="s">
        <v>968</v>
      </c>
      <c r="E19" s="12" t="s">
        <v>154</v>
      </c>
      <c r="F19" s="12" t="s">
        <v>179</v>
      </c>
      <c r="G19" s="13" t="s">
        <v>958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346</v>
      </c>
      <c r="B20" s="12" t="s">
        <v>207</v>
      </c>
      <c r="C20" s="12" t="s">
        <v>42</v>
      </c>
      <c r="D20" s="13" t="s">
        <v>969</v>
      </c>
      <c r="E20" s="12" t="s">
        <v>154</v>
      </c>
      <c r="F20" s="12" t="s">
        <v>195</v>
      </c>
      <c r="G20" s="13" t="s">
        <v>964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347</v>
      </c>
      <c r="B21" s="12" t="s">
        <v>211</v>
      </c>
      <c r="C21" s="12" t="s">
        <v>42</v>
      </c>
      <c r="D21" s="13" t="s">
        <v>971</v>
      </c>
      <c r="E21" s="12" t="s">
        <v>154</v>
      </c>
      <c r="F21" s="12" t="s">
        <v>213</v>
      </c>
      <c r="G21" s="13" t="s">
        <v>972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349</v>
      </c>
      <c r="B22" s="12" t="s">
        <v>216</v>
      </c>
      <c r="C22" s="12" t="s">
        <v>42</v>
      </c>
      <c r="D22" s="13" t="s">
        <v>973</v>
      </c>
      <c r="E22" s="12" t="s">
        <v>154</v>
      </c>
      <c r="F22" s="12" t="s">
        <v>213</v>
      </c>
      <c r="G22" s="13" t="s">
        <v>974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351</v>
      </c>
      <c r="B23" s="12" t="s">
        <v>220</v>
      </c>
      <c r="C23" s="12" t="s">
        <v>42</v>
      </c>
      <c r="D23" s="13" t="s">
        <v>975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352</v>
      </c>
      <c r="B24" s="12" t="s">
        <v>642</v>
      </c>
      <c r="C24" s="12" t="s">
        <v>42</v>
      </c>
      <c r="D24" s="13" t="s">
        <v>976</v>
      </c>
      <c r="E24" s="12" t="s">
        <v>154</v>
      </c>
      <c r="F24" s="12" t="s">
        <v>154</v>
      </c>
      <c r="G24" s="13" t="s">
        <v>977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978</v>
      </c>
      <c r="B25" s="12" t="s">
        <v>225</v>
      </c>
      <c r="C25" s="12" t="s">
        <v>42</v>
      </c>
      <c r="D25" s="13" t="s">
        <v>979</v>
      </c>
      <c r="E25" s="12" t="s">
        <v>154</v>
      </c>
      <c r="F25" s="12" t="s">
        <v>154</v>
      </c>
      <c r="G25" s="13" t="s">
        <v>980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792</v>
      </c>
      <c r="B9" s="12" t="s">
        <v>151</v>
      </c>
      <c r="C9" s="12" t="s">
        <v>43</v>
      </c>
      <c r="D9" s="13" t="s">
        <v>983</v>
      </c>
      <c r="E9" s="12" t="s">
        <v>154</v>
      </c>
      <c r="F9" s="12" t="s">
        <v>155</v>
      </c>
      <c r="G9" s="13" t="s">
        <v>984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795</v>
      </c>
      <c r="B10" s="12" t="s">
        <v>158</v>
      </c>
      <c r="C10" s="12" t="s">
        <v>43</v>
      </c>
      <c r="D10" s="13" t="s">
        <v>985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798</v>
      </c>
      <c r="B11" s="12" t="s">
        <v>162</v>
      </c>
      <c r="C11" s="12" t="s">
        <v>43</v>
      </c>
      <c r="D11" s="13" t="s">
        <v>986</v>
      </c>
      <c r="E11" s="12" t="s">
        <v>154</v>
      </c>
      <c r="F11" s="12" t="s">
        <v>164</v>
      </c>
      <c r="G11" s="13" t="s">
        <v>987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802</v>
      </c>
      <c r="B12" s="12" t="s">
        <v>167</v>
      </c>
      <c r="C12" s="12" t="s">
        <v>43</v>
      </c>
      <c r="D12" s="13" t="s">
        <v>988</v>
      </c>
      <c r="E12" s="12" t="s">
        <v>154</v>
      </c>
      <c r="F12" s="12" t="s">
        <v>169</v>
      </c>
      <c r="G12" s="13" t="s">
        <v>989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806</v>
      </c>
      <c r="B13" s="12" t="s">
        <v>172</v>
      </c>
      <c r="C13" s="12" t="s">
        <v>43</v>
      </c>
      <c r="D13" s="13" t="s">
        <v>990</v>
      </c>
      <c r="E13" s="12" t="s">
        <v>154</v>
      </c>
      <c r="F13" s="12" t="s">
        <v>174</v>
      </c>
      <c r="G13" s="13" t="s">
        <v>991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809</v>
      </c>
      <c r="B14" s="12" t="s">
        <v>177</v>
      </c>
      <c r="C14" s="12" t="s">
        <v>43</v>
      </c>
      <c r="D14" s="13" t="s">
        <v>992</v>
      </c>
      <c r="E14" s="12" t="s">
        <v>154</v>
      </c>
      <c r="F14" s="12" t="s">
        <v>179</v>
      </c>
      <c r="G14" s="13" t="s">
        <v>993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812</v>
      </c>
      <c r="B15" s="12" t="s">
        <v>182</v>
      </c>
      <c r="C15" s="12" t="s">
        <v>43</v>
      </c>
      <c r="D15" s="13" t="s">
        <v>994</v>
      </c>
      <c r="E15" s="12" t="s">
        <v>154</v>
      </c>
      <c r="F15" s="12" t="s">
        <v>184</v>
      </c>
      <c r="G15" s="13" t="s">
        <v>993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814</v>
      </c>
      <c r="B16" s="12" t="s">
        <v>187</v>
      </c>
      <c r="C16" s="12" t="s">
        <v>43</v>
      </c>
      <c r="D16" s="13" t="s">
        <v>995</v>
      </c>
      <c r="E16" s="12" t="s">
        <v>154</v>
      </c>
      <c r="F16" s="12" t="s">
        <v>189</v>
      </c>
      <c r="G16" s="13" t="s">
        <v>996</v>
      </c>
      <c r="H16" s="12" t="s">
        <v>121</v>
      </c>
      <c r="I16" s="12" t="s">
        <v>133</v>
      </c>
      <c r="J16" s="14" t="n">
        <v>46228</v>
      </c>
      <c r="K16" s="13" t="s">
        <v>997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818</v>
      </c>
      <c r="B17" s="12" t="s">
        <v>193</v>
      </c>
      <c r="C17" s="12" t="s">
        <v>43</v>
      </c>
      <c r="D17" s="13" t="s">
        <v>998</v>
      </c>
      <c r="E17" s="12" t="s">
        <v>154</v>
      </c>
      <c r="F17" s="12" t="s">
        <v>195</v>
      </c>
      <c r="G17" s="13" t="s">
        <v>999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822</v>
      </c>
      <c r="B18" s="12" t="s">
        <v>199</v>
      </c>
      <c r="C18" s="12" t="s">
        <v>43</v>
      </c>
      <c r="D18" s="13" t="s">
        <v>1000</v>
      </c>
      <c r="E18" s="12" t="s">
        <v>154</v>
      </c>
      <c r="F18" s="12" t="s">
        <v>195</v>
      </c>
      <c r="G18" s="13" t="s">
        <v>1001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827</v>
      </c>
      <c r="B19" s="12" t="s">
        <v>682</v>
      </c>
      <c r="C19" s="12" t="s">
        <v>43</v>
      </c>
      <c r="D19" s="13" t="s">
        <v>1002</v>
      </c>
      <c r="E19" s="12" t="s">
        <v>154</v>
      </c>
      <c r="F19" s="12" t="s">
        <v>179</v>
      </c>
      <c r="G19" s="13" t="s">
        <v>993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830</v>
      </c>
      <c r="B20" s="12" t="s">
        <v>207</v>
      </c>
      <c r="C20" s="12" t="s">
        <v>43</v>
      </c>
      <c r="D20" s="13" t="s">
        <v>1003</v>
      </c>
      <c r="E20" s="12" t="s">
        <v>154</v>
      </c>
      <c r="F20" s="12" t="s">
        <v>195</v>
      </c>
      <c r="G20" s="13" t="s">
        <v>999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833</v>
      </c>
      <c r="B21" s="12" t="s">
        <v>211</v>
      </c>
      <c r="C21" s="12" t="s">
        <v>43</v>
      </c>
      <c r="D21" s="13" t="s">
        <v>1004</v>
      </c>
      <c r="E21" s="12" t="s">
        <v>154</v>
      </c>
      <c r="F21" s="12" t="s">
        <v>213</v>
      </c>
      <c r="G21" s="13" t="s">
        <v>1005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836</v>
      </c>
      <c r="B22" s="12" t="s">
        <v>216</v>
      </c>
      <c r="C22" s="12" t="s">
        <v>43</v>
      </c>
      <c r="D22" s="13" t="s">
        <v>1006</v>
      </c>
      <c r="E22" s="12" t="s">
        <v>154</v>
      </c>
      <c r="F22" s="12" t="s">
        <v>213</v>
      </c>
      <c r="G22" s="13" t="s">
        <v>1007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839</v>
      </c>
      <c r="B23" s="12" t="s">
        <v>220</v>
      </c>
      <c r="C23" s="12" t="s">
        <v>43</v>
      </c>
      <c r="D23" s="13" t="s">
        <v>1008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842</v>
      </c>
      <c r="B24" s="12" t="s">
        <v>642</v>
      </c>
      <c r="C24" s="12" t="s">
        <v>43</v>
      </c>
      <c r="D24" s="13" t="s">
        <v>1009</v>
      </c>
      <c r="E24" s="12" t="s">
        <v>154</v>
      </c>
      <c r="F24" s="12" t="s">
        <v>154</v>
      </c>
      <c r="G24" s="13" t="s">
        <v>1010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1011</v>
      </c>
      <c r="B25" s="12" t="s">
        <v>225</v>
      </c>
      <c r="C25" s="12" t="s">
        <v>43</v>
      </c>
      <c r="D25" s="13" t="s">
        <v>1012</v>
      </c>
      <c r="E25" s="12" t="s">
        <v>154</v>
      </c>
      <c r="F25" s="12" t="s">
        <v>154</v>
      </c>
      <c r="G25" s="13" t="s">
        <v>1013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395</v>
      </c>
      <c r="B9" s="12" t="s">
        <v>151</v>
      </c>
      <c r="C9" s="12" t="s">
        <v>44</v>
      </c>
      <c r="D9" s="13" t="s">
        <v>1016</v>
      </c>
      <c r="E9" s="12" t="s">
        <v>154</v>
      </c>
      <c r="F9" s="12" t="s">
        <v>155</v>
      </c>
      <c r="G9" s="13" t="s">
        <v>1017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397</v>
      </c>
      <c r="B10" s="12" t="s">
        <v>158</v>
      </c>
      <c r="C10" s="12" t="s">
        <v>44</v>
      </c>
      <c r="D10" s="13" t="s">
        <v>1018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398</v>
      </c>
      <c r="B11" s="12" t="s">
        <v>162</v>
      </c>
      <c r="C11" s="12" t="s">
        <v>44</v>
      </c>
      <c r="D11" s="13" t="s">
        <v>1019</v>
      </c>
      <c r="E11" s="12" t="s">
        <v>154</v>
      </c>
      <c r="F11" s="12" t="s">
        <v>164</v>
      </c>
      <c r="G11" s="13" t="s">
        <v>1020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400</v>
      </c>
      <c r="B12" s="12" t="s">
        <v>167</v>
      </c>
      <c r="C12" s="12" t="s">
        <v>44</v>
      </c>
      <c r="D12" s="13" t="s">
        <v>1021</v>
      </c>
      <c r="E12" s="12" t="s">
        <v>154</v>
      </c>
      <c r="F12" s="12" t="s">
        <v>169</v>
      </c>
      <c r="G12" s="13" t="s">
        <v>1022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402</v>
      </c>
      <c r="B13" s="12" t="s">
        <v>172</v>
      </c>
      <c r="C13" s="12" t="s">
        <v>44</v>
      </c>
      <c r="D13" s="13" t="s">
        <v>1023</v>
      </c>
      <c r="E13" s="12" t="s">
        <v>154</v>
      </c>
      <c r="F13" s="12" t="s">
        <v>174</v>
      </c>
      <c r="G13" s="13" t="s">
        <v>1024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404</v>
      </c>
      <c r="B14" s="12" t="s">
        <v>177</v>
      </c>
      <c r="C14" s="12" t="s">
        <v>44</v>
      </c>
      <c r="D14" s="13" t="s">
        <v>1025</v>
      </c>
      <c r="E14" s="12" t="s">
        <v>154</v>
      </c>
      <c r="F14" s="12" t="s">
        <v>179</v>
      </c>
      <c r="G14" s="13" t="s">
        <v>1026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406</v>
      </c>
      <c r="B15" s="12" t="s">
        <v>182</v>
      </c>
      <c r="C15" s="12" t="s">
        <v>44</v>
      </c>
      <c r="D15" s="13" t="s">
        <v>1027</v>
      </c>
      <c r="E15" s="12" t="s">
        <v>154</v>
      </c>
      <c r="F15" s="12" t="s">
        <v>184</v>
      </c>
      <c r="G15" s="13" t="s">
        <v>1026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408</v>
      </c>
      <c r="B16" s="12" t="s">
        <v>187</v>
      </c>
      <c r="C16" s="12" t="s">
        <v>44</v>
      </c>
      <c r="D16" s="13" t="s">
        <v>1028</v>
      </c>
      <c r="E16" s="12" t="s">
        <v>154</v>
      </c>
      <c r="F16" s="12" t="s">
        <v>189</v>
      </c>
      <c r="G16" s="13" t="s">
        <v>1029</v>
      </c>
      <c r="H16" s="12" t="s">
        <v>121</v>
      </c>
      <c r="I16" s="12" t="s">
        <v>133</v>
      </c>
      <c r="J16" s="14" t="n">
        <v>46228</v>
      </c>
      <c r="K16" s="13" t="s">
        <v>1030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410</v>
      </c>
      <c r="B17" s="12" t="s">
        <v>193</v>
      </c>
      <c r="C17" s="12" t="s">
        <v>44</v>
      </c>
      <c r="D17" s="13" t="s">
        <v>1031</v>
      </c>
      <c r="E17" s="12" t="s">
        <v>154</v>
      </c>
      <c r="F17" s="12" t="s">
        <v>195</v>
      </c>
      <c r="G17" s="13" t="s">
        <v>1032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412</v>
      </c>
      <c r="B18" s="12" t="s">
        <v>199</v>
      </c>
      <c r="C18" s="12" t="s">
        <v>44</v>
      </c>
      <c r="D18" s="13" t="s">
        <v>1033</v>
      </c>
      <c r="E18" s="12" t="s">
        <v>154</v>
      </c>
      <c r="F18" s="12" t="s">
        <v>195</v>
      </c>
      <c r="G18" s="13" t="s">
        <v>1034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413</v>
      </c>
      <c r="B19" s="12" t="s">
        <v>682</v>
      </c>
      <c r="C19" s="12" t="s">
        <v>44</v>
      </c>
      <c r="D19" s="13" t="s">
        <v>1035</v>
      </c>
      <c r="E19" s="12" t="s">
        <v>154</v>
      </c>
      <c r="F19" s="12" t="s">
        <v>179</v>
      </c>
      <c r="G19" s="13" t="s">
        <v>1026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415</v>
      </c>
      <c r="B20" s="12" t="s">
        <v>207</v>
      </c>
      <c r="C20" s="12" t="s">
        <v>44</v>
      </c>
      <c r="D20" s="13" t="s">
        <v>1036</v>
      </c>
      <c r="E20" s="12" t="s">
        <v>154</v>
      </c>
      <c r="F20" s="12" t="s">
        <v>195</v>
      </c>
      <c r="G20" s="13" t="s">
        <v>1032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416</v>
      </c>
      <c r="B21" s="12" t="s">
        <v>211</v>
      </c>
      <c r="C21" s="12" t="s">
        <v>44</v>
      </c>
      <c r="D21" s="13" t="s">
        <v>1037</v>
      </c>
      <c r="E21" s="12" t="s">
        <v>154</v>
      </c>
      <c r="F21" s="12" t="s">
        <v>213</v>
      </c>
      <c r="G21" s="13" t="s">
        <v>1038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418</v>
      </c>
      <c r="B22" s="12" t="s">
        <v>216</v>
      </c>
      <c r="C22" s="12" t="s">
        <v>44</v>
      </c>
      <c r="D22" s="13" t="s">
        <v>1039</v>
      </c>
      <c r="E22" s="12" t="s">
        <v>154</v>
      </c>
      <c r="F22" s="12" t="s">
        <v>213</v>
      </c>
      <c r="G22" s="13" t="s">
        <v>1040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420</v>
      </c>
      <c r="B23" s="12" t="s">
        <v>220</v>
      </c>
      <c r="C23" s="12" t="s">
        <v>44</v>
      </c>
      <c r="D23" s="13" t="s">
        <v>1041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421</v>
      </c>
      <c r="B24" s="12" t="s">
        <v>642</v>
      </c>
      <c r="C24" s="12" t="s">
        <v>44</v>
      </c>
      <c r="D24" s="13" t="s">
        <v>1042</v>
      </c>
      <c r="E24" s="12" t="s">
        <v>154</v>
      </c>
      <c r="F24" s="12" t="s">
        <v>154</v>
      </c>
      <c r="G24" s="13" t="s">
        <v>1043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1044</v>
      </c>
      <c r="B25" s="12" t="s">
        <v>225</v>
      </c>
      <c r="C25" s="12" t="s">
        <v>44</v>
      </c>
      <c r="D25" s="13" t="s">
        <v>1045</v>
      </c>
      <c r="E25" s="12" t="s">
        <v>154</v>
      </c>
      <c r="F25" s="12" t="s">
        <v>154</v>
      </c>
      <c r="G25" s="13" t="s">
        <v>1046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1049</v>
      </c>
      <c r="B9" s="12" t="s">
        <v>151</v>
      </c>
      <c r="C9" s="12" t="s">
        <v>45</v>
      </c>
      <c r="D9" s="13" t="s">
        <v>1050</v>
      </c>
      <c r="E9" s="12" t="s">
        <v>154</v>
      </c>
      <c r="F9" s="12" t="s">
        <v>155</v>
      </c>
      <c r="G9" s="13" t="s">
        <v>1051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1052</v>
      </c>
      <c r="B10" s="12" t="s">
        <v>158</v>
      </c>
      <c r="C10" s="12" t="s">
        <v>45</v>
      </c>
      <c r="D10" s="13" t="s">
        <v>1053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1054</v>
      </c>
      <c r="B11" s="12" t="s">
        <v>162</v>
      </c>
      <c r="C11" s="12" t="s">
        <v>45</v>
      </c>
      <c r="D11" s="13" t="s">
        <v>1055</v>
      </c>
      <c r="E11" s="12" t="s">
        <v>154</v>
      </c>
      <c r="F11" s="12" t="s">
        <v>164</v>
      </c>
      <c r="G11" s="13" t="s">
        <v>1056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1057</v>
      </c>
      <c r="B12" s="12" t="s">
        <v>167</v>
      </c>
      <c r="C12" s="12" t="s">
        <v>45</v>
      </c>
      <c r="D12" s="13" t="s">
        <v>1058</v>
      </c>
      <c r="E12" s="12" t="s">
        <v>154</v>
      </c>
      <c r="F12" s="12" t="s">
        <v>169</v>
      </c>
      <c r="G12" s="13" t="s">
        <v>1059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1060</v>
      </c>
      <c r="B13" s="12" t="s">
        <v>172</v>
      </c>
      <c r="C13" s="12" t="s">
        <v>45</v>
      </c>
      <c r="D13" s="13" t="s">
        <v>1061</v>
      </c>
      <c r="E13" s="12" t="s">
        <v>154</v>
      </c>
      <c r="F13" s="12" t="s">
        <v>174</v>
      </c>
      <c r="G13" s="13" t="s">
        <v>1062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1063</v>
      </c>
      <c r="B14" s="12" t="s">
        <v>177</v>
      </c>
      <c r="C14" s="12" t="s">
        <v>45</v>
      </c>
      <c r="D14" s="13" t="s">
        <v>1064</v>
      </c>
      <c r="E14" s="12" t="s">
        <v>154</v>
      </c>
      <c r="F14" s="12" t="s">
        <v>179</v>
      </c>
      <c r="G14" s="13" t="s">
        <v>1065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1066</v>
      </c>
      <c r="B15" s="12" t="s">
        <v>182</v>
      </c>
      <c r="C15" s="12" t="s">
        <v>45</v>
      </c>
      <c r="D15" s="13" t="s">
        <v>1067</v>
      </c>
      <c r="E15" s="12" t="s">
        <v>154</v>
      </c>
      <c r="F15" s="12" t="s">
        <v>184</v>
      </c>
      <c r="G15" s="13" t="s">
        <v>1065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1068</v>
      </c>
      <c r="B16" s="12" t="s">
        <v>187</v>
      </c>
      <c r="C16" s="12" t="s">
        <v>45</v>
      </c>
      <c r="D16" s="13" t="s">
        <v>1069</v>
      </c>
      <c r="E16" s="12" t="s">
        <v>154</v>
      </c>
      <c r="F16" s="12" t="s">
        <v>189</v>
      </c>
      <c r="G16" s="13" t="s">
        <v>1070</v>
      </c>
      <c r="H16" s="12" t="s">
        <v>121</v>
      </c>
      <c r="I16" s="12" t="s">
        <v>133</v>
      </c>
      <c r="J16" s="14" t="n">
        <v>46228</v>
      </c>
      <c r="K16" s="13" t="s">
        <v>1071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1072</v>
      </c>
      <c r="B17" s="12" t="s">
        <v>193</v>
      </c>
      <c r="C17" s="12" t="s">
        <v>45</v>
      </c>
      <c r="D17" s="13" t="s">
        <v>1073</v>
      </c>
      <c r="E17" s="12" t="s">
        <v>154</v>
      </c>
      <c r="F17" s="12" t="s">
        <v>195</v>
      </c>
      <c r="G17" s="13" t="s">
        <v>1074</v>
      </c>
      <c r="H17" s="12" t="s">
        <v>117</v>
      </c>
      <c r="I17" s="12" t="s">
        <v>133</v>
      </c>
      <c r="J17" s="14"/>
      <c r="K17" s="13" t="s">
        <v>965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1075</v>
      </c>
      <c r="B18" s="12" t="s">
        <v>199</v>
      </c>
      <c r="C18" s="12" t="s">
        <v>45</v>
      </c>
      <c r="D18" s="13" t="s">
        <v>1076</v>
      </c>
      <c r="E18" s="12" t="s">
        <v>154</v>
      </c>
      <c r="F18" s="12" t="s">
        <v>195</v>
      </c>
      <c r="G18" s="13" t="s">
        <v>1077</v>
      </c>
      <c r="H18" s="12" t="s">
        <v>117</v>
      </c>
      <c r="I18" s="12" t="s">
        <v>133</v>
      </c>
      <c r="J18" s="14"/>
      <c r="K18" s="13" t="s">
        <v>826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1078</v>
      </c>
      <c r="B19" s="12" t="s">
        <v>682</v>
      </c>
      <c r="C19" s="12" t="s">
        <v>45</v>
      </c>
      <c r="D19" s="13" t="s">
        <v>1079</v>
      </c>
      <c r="E19" s="12" t="s">
        <v>154</v>
      </c>
      <c r="F19" s="12" t="s">
        <v>179</v>
      </c>
      <c r="G19" s="13" t="s">
        <v>1065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1080</v>
      </c>
      <c r="B20" s="12" t="s">
        <v>207</v>
      </c>
      <c r="C20" s="12" t="s">
        <v>45</v>
      </c>
      <c r="D20" s="13" t="s">
        <v>1081</v>
      </c>
      <c r="E20" s="12" t="s">
        <v>154</v>
      </c>
      <c r="F20" s="12" t="s">
        <v>195</v>
      </c>
      <c r="G20" s="13" t="s">
        <v>1074</v>
      </c>
      <c r="H20" s="12" t="s">
        <v>117</v>
      </c>
      <c r="I20" s="12" t="s">
        <v>133</v>
      </c>
      <c r="J20" s="14"/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1082</v>
      </c>
      <c r="B21" s="12" t="s">
        <v>211</v>
      </c>
      <c r="C21" s="12" t="s">
        <v>45</v>
      </c>
      <c r="D21" s="13" t="s">
        <v>1083</v>
      </c>
      <c r="E21" s="12" t="s">
        <v>154</v>
      </c>
      <c r="F21" s="12" t="s">
        <v>213</v>
      </c>
      <c r="G21" s="13" t="s">
        <v>1084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1085</v>
      </c>
      <c r="B22" s="12" t="s">
        <v>216</v>
      </c>
      <c r="C22" s="12" t="s">
        <v>45</v>
      </c>
      <c r="D22" s="13" t="s">
        <v>1086</v>
      </c>
      <c r="E22" s="12" t="s">
        <v>154</v>
      </c>
      <c r="F22" s="12" t="s">
        <v>213</v>
      </c>
      <c r="G22" s="13" t="s">
        <v>1087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1088</v>
      </c>
      <c r="B23" s="12" t="s">
        <v>220</v>
      </c>
      <c r="C23" s="12" t="s">
        <v>45</v>
      </c>
      <c r="D23" s="13" t="s">
        <v>1089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1090</v>
      </c>
      <c r="B24" s="12" t="s">
        <v>642</v>
      </c>
      <c r="C24" s="12" t="s">
        <v>45</v>
      </c>
      <c r="D24" s="13" t="s">
        <v>1091</v>
      </c>
      <c r="E24" s="12" t="s">
        <v>154</v>
      </c>
      <c r="F24" s="12" t="s">
        <v>154</v>
      </c>
      <c r="G24" s="13" t="s">
        <v>1092</v>
      </c>
      <c r="H24" s="12" t="s">
        <v>119</v>
      </c>
      <c r="I24" s="12" t="s">
        <v>134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1093</v>
      </c>
      <c r="B25" s="12" t="s">
        <v>225</v>
      </c>
      <c r="C25" s="12" t="s">
        <v>45</v>
      </c>
      <c r="D25" s="13" t="s">
        <v>1094</v>
      </c>
      <c r="E25" s="12" t="s">
        <v>154</v>
      </c>
      <c r="F25" s="12" t="s">
        <v>154</v>
      </c>
      <c r="G25" s="13" t="s">
        <v>1095</v>
      </c>
      <c r="H25" s="12" t="s">
        <v>117</v>
      </c>
      <c r="I25" s="12" t="s">
        <v>133</v>
      </c>
      <c r="J25" s="14"/>
      <c r="K25" s="13" t="s">
        <v>1096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1097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1098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137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1099</v>
      </c>
      <c r="B9" s="12" t="s">
        <v>151</v>
      </c>
      <c r="C9" s="12" t="s">
        <v>46</v>
      </c>
      <c r="D9" s="13" t="s">
        <v>1100</v>
      </c>
      <c r="E9" s="12" t="s">
        <v>154</v>
      </c>
      <c r="F9" s="12" t="s">
        <v>155</v>
      </c>
      <c r="G9" s="13" t="s">
        <v>1101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1102</v>
      </c>
      <c r="B10" s="12" t="s">
        <v>158</v>
      </c>
      <c r="C10" s="12" t="s">
        <v>46</v>
      </c>
      <c r="D10" s="13" t="s">
        <v>1103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1104</v>
      </c>
      <c r="B11" s="12" t="s">
        <v>162</v>
      </c>
      <c r="C11" s="12" t="s">
        <v>46</v>
      </c>
      <c r="D11" s="13" t="s">
        <v>1105</v>
      </c>
      <c r="E11" s="12" t="s">
        <v>154</v>
      </c>
      <c r="F11" s="12" t="s">
        <v>164</v>
      </c>
      <c r="G11" s="13" t="s">
        <v>1106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1107</v>
      </c>
      <c r="B12" s="12" t="s">
        <v>167</v>
      </c>
      <c r="C12" s="12" t="s">
        <v>46</v>
      </c>
      <c r="D12" s="13" t="s">
        <v>1108</v>
      </c>
      <c r="E12" s="12" t="s">
        <v>154</v>
      </c>
      <c r="F12" s="12" t="s">
        <v>169</v>
      </c>
      <c r="G12" s="13" t="s">
        <v>1109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1110</v>
      </c>
      <c r="B13" s="12" t="s">
        <v>172</v>
      </c>
      <c r="C13" s="12" t="s">
        <v>46</v>
      </c>
      <c r="D13" s="13" t="s">
        <v>1111</v>
      </c>
      <c r="E13" s="12" t="s">
        <v>154</v>
      </c>
      <c r="F13" s="12" t="s">
        <v>174</v>
      </c>
      <c r="G13" s="13" t="s">
        <v>1112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1113</v>
      </c>
      <c r="B14" s="12" t="s">
        <v>177</v>
      </c>
      <c r="C14" s="12" t="s">
        <v>46</v>
      </c>
      <c r="D14" s="13" t="s">
        <v>1114</v>
      </c>
      <c r="E14" s="12" t="s">
        <v>154</v>
      </c>
      <c r="F14" s="12" t="s">
        <v>179</v>
      </c>
      <c r="G14" s="13" t="s">
        <v>1115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1116</v>
      </c>
      <c r="B15" s="12" t="s">
        <v>182</v>
      </c>
      <c r="C15" s="12" t="s">
        <v>46</v>
      </c>
      <c r="D15" s="13" t="s">
        <v>1117</v>
      </c>
      <c r="E15" s="12" t="s">
        <v>154</v>
      </c>
      <c r="F15" s="12" t="s">
        <v>184</v>
      </c>
      <c r="G15" s="13" t="s">
        <v>1115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1118</v>
      </c>
      <c r="B16" s="12" t="s">
        <v>187</v>
      </c>
      <c r="C16" s="12" t="s">
        <v>46</v>
      </c>
      <c r="D16" s="13" t="s">
        <v>1119</v>
      </c>
      <c r="E16" s="12" t="s">
        <v>154</v>
      </c>
      <c r="F16" s="12" t="s">
        <v>189</v>
      </c>
      <c r="G16" s="13" t="s">
        <v>1120</v>
      </c>
      <c r="H16" s="12" t="s">
        <v>117</v>
      </c>
      <c r="I16" s="12" t="s">
        <v>133</v>
      </c>
      <c r="J16" s="14" t="n">
        <v>46228</v>
      </c>
      <c r="K16" s="13" t="s">
        <v>1121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1122</v>
      </c>
      <c r="B17" s="12" t="s">
        <v>193</v>
      </c>
      <c r="C17" s="12" t="s">
        <v>46</v>
      </c>
      <c r="D17" s="13" t="s">
        <v>1123</v>
      </c>
      <c r="E17" s="12" t="s">
        <v>154</v>
      </c>
      <c r="F17" s="12" t="s">
        <v>195</v>
      </c>
      <c r="G17" s="13" t="s">
        <v>1124</v>
      </c>
      <c r="H17" s="12" t="s">
        <v>117</v>
      </c>
      <c r="I17" s="12" t="s">
        <v>133</v>
      </c>
      <c r="J17" s="14"/>
      <c r="K17" s="13" t="s">
        <v>1125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1126</v>
      </c>
      <c r="B18" s="12" t="s">
        <v>207</v>
      </c>
      <c r="C18" s="12" t="s">
        <v>46</v>
      </c>
      <c r="D18" s="13" t="s">
        <v>1127</v>
      </c>
      <c r="E18" s="12" t="s">
        <v>154</v>
      </c>
      <c r="F18" s="12" t="s">
        <v>195</v>
      </c>
      <c r="G18" s="13" t="s">
        <v>1124</v>
      </c>
      <c r="H18" s="12" t="s">
        <v>117</v>
      </c>
      <c r="I18" s="12" t="s">
        <v>133</v>
      </c>
      <c r="J18" s="14"/>
      <c r="K18" s="13" t="s">
        <v>1125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1128</v>
      </c>
      <c r="B19" s="12" t="s">
        <v>211</v>
      </c>
      <c r="C19" s="12" t="s">
        <v>46</v>
      </c>
      <c r="D19" s="13" t="s">
        <v>1129</v>
      </c>
      <c r="E19" s="12" t="s">
        <v>154</v>
      </c>
      <c r="F19" s="12" t="s">
        <v>213</v>
      </c>
      <c r="G19" s="13" t="s">
        <v>1130</v>
      </c>
      <c r="H19" s="12" t="s">
        <v>119</v>
      </c>
      <c r="I19" s="12" t="s">
        <v>134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1131</v>
      </c>
      <c r="B20" s="12" t="s">
        <v>216</v>
      </c>
      <c r="C20" s="12" t="s">
        <v>46</v>
      </c>
      <c r="D20" s="13" t="s">
        <v>1132</v>
      </c>
      <c r="E20" s="12" t="s">
        <v>154</v>
      </c>
      <c r="F20" s="12" t="s">
        <v>213</v>
      </c>
      <c r="G20" s="13" t="s">
        <v>1133</v>
      </c>
      <c r="H20" s="12" t="s">
        <v>119</v>
      </c>
      <c r="I20" s="12" t="s">
        <v>134</v>
      </c>
      <c r="J20" s="14" t="n">
        <v>46228</v>
      </c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1134</v>
      </c>
      <c r="B21" s="12" t="s">
        <v>220</v>
      </c>
      <c r="C21" s="12" t="s">
        <v>46</v>
      </c>
      <c r="D21" s="13" t="s">
        <v>1135</v>
      </c>
      <c r="E21" s="12" t="s">
        <v>222</v>
      </c>
      <c r="F21" s="12" t="s">
        <v>222</v>
      </c>
      <c r="G21" s="13" t="s">
        <v>223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1136</v>
      </c>
      <c r="B22" s="12" t="s">
        <v>642</v>
      </c>
      <c r="C22" s="12" t="s">
        <v>46</v>
      </c>
      <c r="D22" s="13" t="s">
        <v>1137</v>
      </c>
      <c r="E22" s="12" t="s">
        <v>154</v>
      </c>
      <c r="F22" s="12" t="s">
        <v>154</v>
      </c>
      <c r="G22" s="13" t="s">
        <v>1138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1139</v>
      </c>
      <c r="B23" s="12" t="s">
        <v>225</v>
      </c>
      <c r="C23" s="12" t="s">
        <v>46</v>
      </c>
      <c r="D23" s="13" t="s">
        <v>1094</v>
      </c>
      <c r="E23" s="12" t="s">
        <v>154</v>
      </c>
      <c r="F23" s="12" t="s">
        <v>154</v>
      </c>
      <c r="G23" s="13" t="s">
        <v>648</v>
      </c>
      <c r="H23" s="12" t="s">
        <v>117</v>
      </c>
      <c r="I23" s="12" t="s">
        <v>133</v>
      </c>
      <c r="J23" s="14" t="n">
        <v>46228</v>
      </c>
      <c r="K23" s="13" t="s">
        <v>1140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137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1143</v>
      </c>
      <c r="B9" s="12" t="s">
        <v>151</v>
      </c>
      <c r="C9" s="12" t="s">
        <v>1144</v>
      </c>
      <c r="D9" s="13" t="s">
        <v>1145</v>
      </c>
      <c r="E9" s="12" t="s">
        <v>154</v>
      </c>
      <c r="F9" s="12" t="s">
        <v>155</v>
      </c>
      <c r="G9" s="13" t="s">
        <v>1146</v>
      </c>
      <c r="H9" s="12" t="s">
        <v>119</v>
      </c>
      <c r="I9" s="12" t="s">
        <v>134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1147</v>
      </c>
      <c r="B10" s="12" t="s">
        <v>202</v>
      </c>
      <c r="C10" s="12" t="s">
        <v>1148</v>
      </c>
      <c r="D10" s="13" t="s">
        <v>1149</v>
      </c>
      <c r="E10" s="12" t="s">
        <v>154</v>
      </c>
      <c r="F10" s="12" t="s">
        <v>174</v>
      </c>
      <c r="G10" s="13" t="s">
        <v>1150</v>
      </c>
      <c r="H10" s="12" t="s">
        <v>119</v>
      </c>
      <c r="I10" s="12" t="s">
        <v>134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1151</v>
      </c>
      <c r="B11" s="12" t="s">
        <v>1152</v>
      </c>
      <c r="C11" s="12" t="s">
        <v>1153</v>
      </c>
      <c r="D11" s="13" t="s">
        <v>1154</v>
      </c>
      <c r="E11" s="12" t="s">
        <v>154</v>
      </c>
      <c r="F11" s="12" t="s">
        <v>174</v>
      </c>
      <c r="G11" s="13" t="s">
        <v>1150</v>
      </c>
      <c r="H11" s="12" t="s">
        <v>119</v>
      </c>
      <c r="I11" s="12" t="s">
        <v>134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1155</v>
      </c>
      <c r="B12" s="12" t="s">
        <v>158</v>
      </c>
      <c r="C12" s="12" t="s">
        <v>47</v>
      </c>
      <c r="D12" s="13" t="s">
        <v>1156</v>
      </c>
      <c r="E12" s="12" t="s">
        <v>154</v>
      </c>
      <c r="F12" s="12" t="s">
        <v>154</v>
      </c>
      <c r="G12" s="13" t="s">
        <v>602</v>
      </c>
      <c r="H12" s="12" t="s">
        <v>119</v>
      </c>
      <c r="I12" s="12" t="s">
        <v>134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1157</v>
      </c>
      <c r="B13" s="12" t="s">
        <v>162</v>
      </c>
      <c r="C13" s="12" t="s">
        <v>47</v>
      </c>
      <c r="D13" s="13" t="s">
        <v>1158</v>
      </c>
      <c r="E13" s="12" t="s">
        <v>154</v>
      </c>
      <c r="F13" s="12" t="s">
        <v>164</v>
      </c>
      <c r="G13" s="13" t="s">
        <v>1159</v>
      </c>
      <c r="H13" s="12" t="s">
        <v>119</v>
      </c>
      <c r="I13" s="12" t="s">
        <v>134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1160</v>
      </c>
      <c r="B14" s="12" t="s">
        <v>167</v>
      </c>
      <c r="C14" s="12" t="s">
        <v>47</v>
      </c>
      <c r="D14" s="13" t="s">
        <v>1161</v>
      </c>
      <c r="E14" s="12" t="s">
        <v>154</v>
      </c>
      <c r="F14" s="12" t="s">
        <v>169</v>
      </c>
      <c r="G14" s="13" t="s">
        <v>1162</v>
      </c>
      <c r="H14" s="12" t="s">
        <v>119</v>
      </c>
      <c r="I14" s="12" t="s">
        <v>134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1163</v>
      </c>
      <c r="B15" s="12" t="s">
        <v>177</v>
      </c>
      <c r="C15" s="12" t="s">
        <v>47</v>
      </c>
      <c r="D15" s="13" t="s">
        <v>1164</v>
      </c>
      <c r="E15" s="12" t="s">
        <v>154</v>
      </c>
      <c r="F15" s="12" t="s">
        <v>179</v>
      </c>
      <c r="G15" s="13" t="s">
        <v>1165</v>
      </c>
      <c r="H15" s="12" t="s">
        <v>119</v>
      </c>
      <c r="I15" s="12" t="s">
        <v>134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1166</v>
      </c>
      <c r="B16" s="12" t="s">
        <v>182</v>
      </c>
      <c r="C16" s="12" t="s">
        <v>1167</v>
      </c>
      <c r="D16" s="13" t="s">
        <v>1168</v>
      </c>
      <c r="E16" s="12" t="s">
        <v>154</v>
      </c>
      <c r="F16" s="12" t="s">
        <v>184</v>
      </c>
      <c r="G16" s="13" t="s">
        <v>1165</v>
      </c>
      <c r="H16" s="12" t="s">
        <v>119</v>
      </c>
      <c r="I16" s="12" t="s">
        <v>134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1169</v>
      </c>
      <c r="B17" s="12" t="s">
        <v>187</v>
      </c>
      <c r="C17" s="12" t="s">
        <v>47</v>
      </c>
      <c r="D17" s="13" t="s">
        <v>1170</v>
      </c>
      <c r="E17" s="12" t="s">
        <v>154</v>
      </c>
      <c r="F17" s="12" t="s">
        <v>189</v>
      </c>
      <c r="G17" s="13" t="s">
        <v>1171</v>
      </c>
      <c r="H17" s="12" t="s">
        <v>117</v>
      </c>
      <c r="I17" s="12" t="s">
        <v>133</v>
      </c>
      <c r="J17" s="14"/>
      <c r="K17" s="13" t="s">
        <v>1121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1172</v>
      </c>
      <c r="B18" s="12" t="s">
        <v>193</v>
      </c>
      <c r="C18" s="12" t="s">
        <v>47</v>
      </c>
      <c r="D18" s="13" t="s">
        <v>1173</v>
      </c>
      <c r="E18" s="12" t="s">
        <v>154</v>
      </c>
      <c r="F18" s="12" t="s">
        <v>195</v>
      </c>
      <c r="G18" s="13" t="s">
        <v>1174</v>
      </c>
      <c r="H18" s="12" t="s">
        <v>117</v>
      </c>
      <c r="I18" s="12" t="s">
        <v>133</v>
      </c>
      <c r="J18" s="14"/>
      <c r="K18" s="13" t="s">
        <v>1125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1175</v>
      </c>
      <c r="B19" s="12" t="s">
        <v>207</v>
      </c>
      <c r="C19" s="12" t="s">
        <v>47</v>
      </c>
      <c r="D19" s="13" t="s">
        <v>1176</v>
      </c>
      <c r="E19" s="12" t="s">
        <v>154</v>
      </c>
      <c r="F19" s="12" t="s">
        <v>195</v>
      </c>
      <c r="G19" s="13" t="s">
        <v>1174</v>
      </c>
      <c r="H19" s="12" t="s">
        <v>117</v>
      </c>
      <c r="I19" s="12" t="s">
        <v>133</v>
      </c>
      <c r="J19" s="14" t="n">
        <v>46228</v>
      </c>
      <c r="K19" s="13" t="s">
        <v>1125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1177</v>
      </c>
      <c r="B20" s="12" t="s">
        <v>211</v>
      </c>
      <c r="C20" s="12" t="s">
        <v>47</v>
      </c>
      <c r="D20" s="13" t="s">
        <v>1178</v>
      </c>
      <c r="E20" s="12" t="s">
        <v>154</v>
      </c>
      <c r="F20" s="12" t="s">
        <v>213</v>
      </c>
      <c r="G20" s="13" t="s">
        <v>1179</v>
      </c>
      <c r="H20" s="12" t="s">
        <v>119</v>
      </c>
      <c r="I20" s="12" t="s">
        <v>134</v>
      </c>
      <c r="J20" s="14" t="n">
        <v>46228</v>
      </c>
      <c r="K20" s="13" t="s">
        <v>970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1180</v>
      </c>
      <c r="B21" s="12" t="s">
        <v>216</v>
      </c>
      <c r="C21" s="12" t="s">
        <v>47</v>
      </c>
      <c r="D21" s="13" t="s">
        <v>1181</v>
      </c>
      <c r="E21" s="12" t="s">
        <v>154</v>
      </c>
      <c r="F21" s="12" t="s">
        <v>213</v>
      </c>
      <c r="G21" s="13" t="s">
        <v>1182</v>
      </c>
      <c r="H21" s="12" t="s">
        <v>119</v>
      </c>
      <c r="I21" s="12" t="s">
        <v>134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1183</v>
      </c>
      <c r="B22" s="12" t="s">
        <v>220</v>
      </c>
      <c r="C22" s="12" t="s">
        <v>47</v>
      </c>
      <c r="D22" s="13" t="s">
        <v>1184</v>
      </c>
      <c r="E22" s="12" t="s">
        <v>222</v>
      </c>
      <c r="F22" s="12" t="s">
        <v>222</v>
      </c>
      <c r="G22" s="13" t="s">
        <v>223</v>
      </c>
      <c r="H22" s="12" t="s">
        <v>119</v>
      </c>
      <c r="I22" s="12" t="s">
        <v>134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1185</v>
      </c>
      <c r="B23" s="12" t="s">
        <v>642</v>
      </c>
      <c r="C23" s="12" t="s">
        <v>47</v>
      </c>
      <c r="D23" s="13" t="s">
        <v>1186</v>
      </c>
      <c r="E23" s="12" t="s">
        <v>154</v>
      </c>
      <c r="F23" s="12" t="s">
        <v>154</v>
      </c>
      <c r="G23" s="13" t="s">
        <v>1138</v>
      </c>
      <c r="H23" s="12" t="s">
        <v>119</v>
      </c>
      <c r="I23" s="12" t="s">
        <v>134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1187</v>
      </c>
      <c r="B24" s="12" t="s">
        <v>225</v>
      </c>
      <c r="C24" s="12" t="s">
        <v>47</v>
      </c>
      <c r="D24" s="13" t="s">
        <v>1188</v>
      </c>
      <c r="E24" s="12" t="s">
        <v>154</v>
      </c>
      <c r="F24" s="12" t="s">
        <v>154</v>
      </c>
      <c r="G24" s="13" t="s">
        <v>648</v>
      </c>
      <c r="H24" s="12" t="s">
        <v>117</v>
      </c>
      <c r="I24" s="12" t="s">
        <v>133</v>
      </c>
      <c r="J24" s="14" t="n">
        <v>46228</v>
      </c>
      <c r="K24" s="13" t="s">
        <v>1140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137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1191</v>
      </c>
      <c r="B9" s="12" t="s">
        <v>151</v>
      </c>
      <c r="C9" s="12" t="s">
        <v>1144</v>
      </c>
      <c r="D9" s="13" t="s">
        <v>1192</v>
      </c>
      <c r="E9" s="12" t="s">
        <v>154</v>
      </c>
      <c r="F9" s="12" t="s">
        <v>155</v>
      </c>
      <c r="G9" s="13" t="s">
        <v>1146</v>
      </c>
      <c r="H9" s="12" t="s">
        <v>119</v>
      </c>
      <c r="I9" s="12" t="s">
        <v>134</v>
      </c>
      <c r="J9" s="14" t="s">
        <v>154</v>
      </c>
      <c r="K9" s="13" t="s">
        <v>1193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1194</v>
      </c>
      <c r="B10" s="12" t="s">
        <v>1195</v>
      </c>
      <c r="C10" s="12" t="s">
        <v>823</v>
      </c>
      <c r="D10" s="13" t="s">
        <v>1196</v>
      </c>
      <c r="E10" s="12" t="s">
        <v>154</v>
      </c>
      <c r="F10" s="12" t="s">
        <v>174</v>
      </c>
      <c r="G10" s="13" t="s">
        <v>1150</v>
      </c>
      <c r="H10" s="12" t="s">
        <v>119</v>
      </c>
      <c r="I10" s="12" t="s">
        <v>134</v>
      </c>
      <c r="J10" s="14" t="s">
        <v>154</v>
      </c>
      <c r="K10" s="13" t="s">
        <v>1193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1197</v>
      </c>
      <c r="B11" s="12" t="s">
        <v>1148</v>
      </c>
      <c r="C11" s="12" t="s">
        <v>33</v>
      </c>
      <c r="D11" s="13" t="s">
        <v>1198</v>
      </c>
      <c r="E11" s="12" t="s">
        <v>154</v>
      </c>
      <c r="F11" s="12" t="s">
        <v>174</v>
      </c>
      <c r="G11" s="13" t="s">
        <v>1150</v>
      </c>
      <c r="H11" s="12" t="s">
        <v>119</v>
      </c>
      <c r="I11" s="12" t="s">
        <v>134</v>
      </c>
      <c r="J11" s="14" t="s">
        <v>154</v>
      </c>
      <c r="K11" s="13" t="s">
        <v>1193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1199</v>
      </c>
      <c r="B12" s="12" t="s">
        <v>1200</v>
      </c>
      <c r="C12" s="12" t="s">
        <v>1201</v>
      </c>
      <c r="D12" s="13" t="s">
        <v>1202</v>
      </c>
      <c r="E12" s="12" t="s">
        <v>154</v>
      </c>
      <c r="F12" s="12" t="s">
        <v>154</v>
      </c>
      <c r="G12" s="13" t="s">
        <v>602</v>
      </c>
      <c r="H12" s="12" t="s">
        <v>119</v>
      </c>
      <c r="I12" s="12" t="s">
        <v>134</v>
      </c>
      <c r="J12" s="14" t="s">
        <v>154</v>
      </c>
      <c r="K12" s="13" t="s">
        <v>1193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1203</v>
      </c>
      <c r="B13" s="12" t="s">
        <v>158</v>
      </c>
      <c r="C13" s="12" t="s">
        <v>48</v>
      </c>
      <c r="D13" s="13" t="s">
        <v>1204</v>
      </c>
      <c r="E13" s="12" t="s">
        <v>154</v>
      </c>
      <c r="F13" s="12" t="s">
        <v>164</v>
      </c>
      <c r="G13" s="13" t="s">
        <v>1159</v>
      </c>
      <c r="H13" s="12" t="s">
        <v>119</v>
      </c>
      <c r="I13" s="12" t="s">
        <v>134</v>
      </c>
      <c r="J13" s="14" t="s">
        <v>154</v>
      </c>
      <c r="K13" s="13" t="s">
        <v>1193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1205</v>
      </c>
      <c r="B14" s="12" t="s">
        <v>162</v>
      </c>
      <c r="C14" s="12" t="s">
        <v>48</v>
      </c>
      <c r="D14" s="13" t="s">
        <v>1206</v>
      </c>
      <c r="E14" s="12" t="s">
        <v>154</v>
      </c>
      <c r="F14" s="12" t="s">
        <v>169</v>
      </c>
      <c r="G14" s="13" t="s">
        <v>1162</v>
      </c>
      <c r="H14" s="12" t="s">
        <v>119</v>
      </c>
      <c r="I14" s="12" t="s">
        <v>134</v>
      </c>
      <c r="J14" s="14" t="s">
        <v>154</v>
      </c>
      <c r="K14" s="13" t="s">
        <v>1193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1207</v>
      </c>
      <c r="B15" s="12" t="s">
        <v>167</v>
      </c>
      <c r="C15" s="12" t="s">
        <v>48</v>
      </c>
      <c r="D15" s="13" t="s">
        <v>1208</v>
      </c>
      <c r="E15" s="12" t="s">
        <v>154</v>
      </c>
      <c r="F15" s="12" t="s">
        <v>179</v>
      </c>
      <c r="G15" s="13" t="s">
        <v>1165</v>
      </c>
      <c r="H15" s="12" t="s">
        <v>119</v>
      </c>
      <c r="I15" s="12" t="s">
        <v>134</v>
      </c>
      <c r="J15" s="14" t="s">
        <v>154</v>
      </c>
      <c r="K15" s="13" t="s">
        <v>1193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1209</v>
      </c>
      <c r="B16" s="12" t="s">
        <v>177</v>
      </c>
      <c r="C16" s="12" t="s">
        <v>48</v>
      </c>
      <c r="D16" s="13" t="s">
        <v>1210</v>
      </c>
      <c r="E16" s="12" t="s">
        <v>154</v>
      </c>
      <c r="F16" s="12" t="s">
        <v>184</v>
      </c>
      <c r="G16" s="13" t="s">
        <v>1165</v>
      </c>
      <c r="H16" s="12" t="s">
        <v>119</v>
      </c>
      <c r="I16" s="12" t="s">
        <v>134</v>
      </c>
      <c r="J16" s="14" t="s">
        <v>154</v>
      </c>
      <c r="K16" s="13" t="s">
        <v>1193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1211</v>
      </c>
      <c r="B17" s="12" t="s">
        <v>182</v>
      </c>
      <c r="C17" s="12" t="s">
        <v>1212</v>
      </c>
      <c r="D17" s="13" t="s">
        <v>1213</v>
      </c>
      <c r="E17" s="12" t="s">
        <v>154</v>
      </c>
      <c r="F17" s="12" t="s">
        <v>189</v>
      </c>
      <c r="G17" s="13" t="s">
        <v>1171</v>
      </c>
      <c r="H17" s="12" t="s">
        <v>119</v>
      </c>
      <c r="I17" s="12" t="s">
        <v>133</v>
      </c>
      <c r="J17" s="14" t="s">
        <v>154</v>
      </c>
      <c r="K17" s="13" t="s">
        <v>1193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1214</v>
      </c>
      <c r="B18" s="12" t="s">
        <v>187</v>
      </c>
      <c r="C18" s="12" t="s">
        <v>48</v>
      </c>
      <c r="D18" s="13" t="s">
        <v>1215</v>
      </c>
      <c r="E18" s="12" t="s">
        <v>154</v>
      </c>
      <c r="F18" s="12" t="s">
        <v>195</v>
      </c>
      <c r="G18" s="13" t="s">
        <v>1174</v>
      </c>
      <c r="H18" s="12" t="s">
        <v>119</v>
      </c>
      <c r="I18" s="12" t="s">
        <v>133</v>
      </c>
      <c r="J18" s="14" t="s">
        <v>154</v>
      </c>
      <c r="K18" s="13" t="s">
        <v>1193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1216</v>
      </c>
      <c r="B19" s="12" t="s">
        <v>207</v>
      </c>
      <c r="C19" s="12" t="s">
        <v>48</v>
      </c>
      <c r="D19" s="13" t="s">
        <v>1217</v>
      </c>
      <c r="E19" s="12" t="s">
        <v>154</v>
      </c>
      <c r="F19" s="12" t="s">
        <v>195</v>
      </c>
      <c r="G19" s="13" t="s">
        <v>1174</v>
      </c>
      <c r="H19" s="12" t="s">
        <v>119</v>
      </c>
      <c r="I19" s="12" t="s">
        <v>133</v>
      </c>
      <c r="J19" s="14" t="s">
        <v>154</v>
      </c>
      <c r="K19" s="13" t="s">
        <v>1218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1219</v>
      </c>
      <c r="B20" s="12" t="s">
        <v>211</v>
      </c>
      <c r="C20" s="12" t="s">
        <v>48</v>
      </c>
      <c r="D20" s="13" t="s">
        <v>1220</v>
      </c>
      <c r="E20" s="12" t="s">
        <v>154</v>
      </c>
      <c r="F20" s="12" t="s">
        <v>213</v>
      </c>
      <c r="G20" s="13" t="s">
        <v>1179</v>
      </c>
      <c r="H20" s="12" t="s">
        <v>119</v>
      </c>
      <c r="I20" s="12" t="s">
        <v>134</v>
      </c>
      <c r="J20" s="14" t="s">
        <v>154</v>
      </c>
      <c r="K20" s="13" t="s">
        <v>1193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1221</v>
      </c>
      <c r="B21" s="12" t="s">
        <v>216</v>
      </c>
      <c r="C21" s="12" t="s">
        <v>48</v>
      </c>
      <c r="D21" s="13" t="s">
        <v>1222</v>
      </c>
      <c r="E21" s="12" t="s">
        <v>154</v>
      </c>
      <c r="F21" s="12" t="s">
        <v>213</v>
      </c>
      <c r="G21" s="13" t="s">
        <v>1182</v>
      </c>
      <c r="H21" s="12" t="s">
        <v>119</v>
      </c>
      <c r="I21" s="12" t="s">
        <v>134</v>
      </c>
      <c r="J21" s="14" t="s">
        <v>154</v>
      </c>
      <c r="K21" s="13" t="s">
        <v>1193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1223</v>
      </c>
      <c r="B22" s="12" t="s">
        <v>220</v>
      </c>
      <c r="C22" s="12" t="s">
        <v>48</v>
      </c>
      <c r="D22" s="13" t="s">
        <v>1224</v>
      </c>
      <c r="E22" s="12" t="s">
        <v>222</v>
      </c>
      <c r="F22" s="12" t="s">
        <v>222</v>
      </c>
      <c r="G22" s="13" t="s">
        <v>223</v>
      </c>
      <c r="H22" s="12" t="s">
        <v>119</v>
      </c>
      <c r="I22" s="12" t="s">
        <v>134</v>
      </c>
      <c r="J22" s="14" t="s">
        <v>154</v>
      </c>
      <c r="K22" s="13" t="s">
        <v>1193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1225</v>
      </c>
      <c r="B23" s="12" t="s">
        <v>642</v>
      </c>
      <c r="C23" s="12" t="s">
        <v>48</v>
      </c>
      <c r="D23" s="13" t="s">
        <v>1226</v>
      </c>
      <c r="E23" s="12" t="s">
        <v>154</v>
      </c>
      <c r="F23" s="12" t="s">
        <v>154</v>
      </c>
      <c r="G23" s="13" t="s">
        <v>1138</v>
      </c>
      <c r="H23" s="12" t="s">
        <v>119</v>
      </c>
      <c r="I23" s="12" t="s">
        <v>134</v>
      </c>
      <c r="J23" s="14" t="s">
        <v>154</v>
      </c>
      <c r="K23" s="13" t="s">
        <v>1193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1227</v>
      </c>
      <c r="B24" s="12" t="s">
        <v>225</v>
      </c>
      <c r="C24" s="12" t="s">
        <v>48</v>
      </c>
      <c r="D24" s="13" t="s">
        <v>1188</v>
      </c>
      <c r="E24" s="12" t="s">
        <v>154</v>
      </c>
      <c r="F24" s="12" t="s">
        <v>154</v>
      </c>
      <c r="G24" s="13" t="s">
        <v>648</v>
      </c>
      <c r="H24" s="12" t="s">
        <v>119</v>
      </c>
      <c r="I24" s="12" t="s">
        <v>134</v>
      </c>
      <c r="J24" s="14" t="s">
        <v>154</v>
      </c>
      <c r="K24" s="13" t="s">
        <v>1193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1230</v>
      </c>
      <c r="B9" s="12" t="s">
        <v>151</v>
      </c>
      <c r="C9" s="12" t="s">
        <v>1231</v>
      </c>
      <c r="D9" s="13" t="s">
        <v>1232</v>
      </c>
      <c r="E9" s="12" t="s">
        <v>154</v>
      </c>
      <c r="F9" s="12" t="s">
        <v>155</v>
      </c>
      <c r="G9" s="13" t="s">
        <v>1233</v>
      </c>
      <c r="H9" s="12" t="s">
        <v>119</v>
      </c>
      <c r="I9" s="12" t="s">
        <v>134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1234</v>
      </c>
      <c r="B10" s="12" t="s">
        <v>1235</v>
      </c>
      <c r="C10" s="12" t="s">
        <v>823</v>
      </c>
      <c r="D10" s="13" t="s">
        <v>1236</v>
      </c>
      <c r="E10" s="12" t="s">
        <v>154</v>
      </c>
      <c r="F10" s="12" t="s">
        <v>174</v>
      </c>
      <c r="G10" s="13" t="s">
        <v>1237</v>
      </c>
      <c r="H10" s="12" t="s">
        <v>119</v>
      </c>
      <c r="I10" s="12" t="s">
        <v>134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1238</v>
      </c>
      <c r="B11" s="12" t="s">
        <v>1195</v>
      </c>
      <c r="C11" s="12" t="s">
        <v>1239</v>
      </c>
      <c r="D11" s="13" t="s">
        <v>1240</v>
      </c>
      <c r="E11" s="12" t="s">
        <v>154</v>
      </c>
      <c r="F11" s="12" t="s">
        <v>179</v>
      </c>
      <c r="G11" s="13" t="s">
        <v>1241</v>
      </c>
      <c r="H11" s="12" t="s">
        <v>119</v>
      </c>
      <c r="I11" s="12" t="s">
        <v>134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1242</v>
      </c>
      <c r="B12" s="12" t="s">
        <v>182</v>
      </c>
      <c r="C12" s="12" t="s">
        <v>1243</v>
      </c>
      <c r="D12" s="13" t="s">
        <v>1244</v>
      </c>
      <c r="E12" s="12" t="s">
        <v>154</v>
      </c>
      <c r="F12" s="12" t="s">
        <v>179</v>
      </c>
      <c r="G12" s="13" t="s">
        <v>1241</v>
      </c>
      <c r="H12" s="12" t="s">
        <v>119</v>
      </c>
      <c r="I12" s="12" t="s">
        <v>134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1245</v>
      </c>
      <c r="B13" s="12" t="s">
        <v>202</v>
      </c>
      <c r="C13" s="12" t="s">
        <v>1246</v>
      </c>
      <c r="D13" s="13" t="s">
        <v>1247</v>
      </c>
      <c r="E13" s="12" t="s">
        <v>154</v>
      </c>
      <c r="F13" s="12" t="s">
        <v>174</v>
      </c>
      <c r="G13" s="13" t="s">
        <v>1237</v>
      </c>
      <c r="H13" s="12" t="s">
        <v>119</v>
      </c>
      <c r="I13" s="12" t="s">
        <v>134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1248</v>
      </c>
      <c r="B14" s="12" t="s">
        <v>158</v>
      </c>
      <c r="C14" s="12" t="s">
        <v>49</v>
      </c>
      <c r="D14" s="13" t="s">
        <v>1249</v>
      </c>
      <c r="E14" s="12" t="s">
        <v>154</v>
      </c>
      <c r="F14" s="12" t="s">
        <v>154</v>
      </c>
      <c r="G14" s="13" t="s">
        <v>160</v>
      </c>
      <c r="H14" s="12" t="s">
        <v>119</v>
      </c>
      <c r="I14" s="12" t="s">
        <v>134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1250</v>
      </c>
      <c r="B15" s="12" t="s">
        <v>162</v>
      </c>
      <c r="C15" s="12" t="s">
        <v>49</v>
      </c>
      <c r="D15" s="13" t="s">
        <v>1251</v>
      </c>
      <c r="E15" s="12" t="s">
        <v>154</v>
      </c>
      <c r="F15" s="12" t="s">
        <v>164</v>
      </c>
      <c r="G15" s="13" t="s">
        <v>1252</v>
      </c>
      <c r="H15" s="12" t="s">
        <v>119</v>
      </c>
      <c r="I15" s="12" t="s">
        <v>134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1253</v>
      </c>
      <c r="B16" s="12" t="s">
        <v>167</v>
      </c>
      <c r="C16" s="12" t="s">
        <v>49</v>
      </c>
      <c r="D16" s="13" t="s">
        <v>1254</v>
      </c>
      <c r="E16" s="12" t="s">
        <v>154</v>
      </c>
      <c r="F16" s="12" t="s">
        <v>169</v>
      </c>
      <c r="G16" s="13" t="s">
        <v>1255</v>
      </c>
      <c r="H16" s="12" t="s">
        <v>119</v>
      </c>
      <c r="I16" s="12" t="s">
        <v>134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1256</v>
      </c>
      <c r="B17" s="12" t="s">
        <v>187</v>
      </c>
      <c r="C17" s="12" t="s">
        <v>49</v>
      </c>
      <c r="D17" s="13" t="s">
        <v>1257</v>
      </c>
      <c r="E17" s="12" t="s">
        <v>154</v>
      </c>
      <c r="F17" s="12" t="s">
        <v>189</v>
      </c>
      <c r="G17" s="13" t="s">
        <v>1258</v>
      </c>
      <c r="H17" s="12" t="s">
        <v>117</v>
      </c>
      <c r="I17" s="12" t="s">
        <v>133</v>
      </c>
      <c r="J17" s="14"/>
      <c r="K17" s="13" t="s">
        <v>1259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1260</v>
      </c>
      <c r="B18" s="12" t="s">
        <v>193</v>
      </c>
      <c r="C18" s="12" t="s">
        <v>49</v>
      </c>
      <c r="D18" s="13" t="s">
        <v>1261</v>
      </c>
      <c r="E18" s="12" t="s">
        <v>154</v>
      </c>
      <c r="F18" s="12" t="s">
        <v>195</v>
      </c>
      <c r="G18" s="13" t="s">
        <v>1262</v>
      </c>
      <c r="H18" s="12" t="s">
        <v>117</v>
      </c>
      <c r="I18" s="12" t="s">
        <v>133</v>
      </c>
      <c r="J18" s="14"/>
      <c r="K18" s="13" t="s">
        <v>1259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1263</v>
      </c>
      <c r="B19" s="12" t="s">
        <v>207</v>
      </c>
      <c r="C19" s="12" t="s">
        <v>49</v>
      </c>
      <c r="D19" s="13" t="s">
        <v>1264</v>
      </c>
      <c r="E19" s="12" t="s">
        <v>154</v>
      </c>
      <c r="F19" s="12" t="s">
        <v>195</v>
      </c>
      <c r="G19" s="13" t="s">
        <v>1262</v>
      </c>
      <c r="H19" s="12" t="s">
        <v>117</v>
      </c>
      <c r="I19" s="12" t="s">
        <v>133</v>
      </c>
      <c r="J19" s="14"/>
      <c r="K19" s="13" t="s">
        <v>1259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1265</v>
      </c>
      <c r="B20" s="12" t="s">
        <v>211</v>
      </c>
      <c r="C20" s="12" t="s">
        <v>49</v>
      </c>
      <c r="D20" s="13" t="s">
        <v>1266</v>
      </c>
      <c r="E20" s="12" t="s">
        <v>154</v>
      </c>
      <c r="F20" s="12" t="s">
        <v>213</v>
      </c>
      <c r="G20" s="13" t="s">
        <v>1267</v>
      </c>
      <c r="H20" s="12" t="s">
        <v>119</v>
      </c>
      <c r="I20" s="12" t="s">
        <v>134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1268</v>
      </c>
      <c r="B21" s="12" t="s">
        <v>216</v>
      </c>
      <c r="C21" s="12" t="s">
        <v>49</v>
      </c>
      <c r="D21" s="13" t="s">
        <v>1269</v>
      </c>
      <c r="E21" s="12" t="s">
        <v>154</v>
      </c>
      <c r="F21" s="12" t="s">
        <v>213</v>
      </c>
      <c r="G21" s="13" t="s">
        <v>1270</v>
      </c>
      <c r="H21" s="12" t="s">
        <v>119</v>
      </c>
      <c r="I21" s="12" t="s">
        <v>134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1271</v>
      </c>
      <c r="B22" s="12" t="s">
        <v>220</v>
      </c>
      <c r="C22" s="12" t="s">
        <v>49</v>
      </c>
      <c r="D22" s="13" t="s">
        <v>1272</v>
      </c>
      <c r="E22" s="12" t="s">
        <v>222</v>
      </c>
      <c r="F22" s="12" t="s">
        <v>222</v>
      </c>
      <c r="G22" s="13" t="s">
        <v>223</v>
      </c>
      <c r="H22" s="12" t="s">
        <v>119</v>
      </c>
      <c r="I22" s="12" t="s">
        <v>134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1273</v>
      </c>
      <c r="B23" s="12" t="s">
        <v>642</v>
      </c>
      <c r="C23" s="12" t="s">
        <v>1274</v>
      </c>
      <c r="D23" s="13" t="s">
        <v>1275</v>
      </c>
      <c r="E23" s="12" t="s">
        <v>154</v>
      </c>
      <c r="F23" s="12" t="s">
        <v>1276</v>
      </c>
      <c r="G23" s="13" t="s">
        <v>1277</v>
      </c>
      <c r="H23" s="12" t="s">
        <v>119</v>
      </c>
      <c r="I23" s="12" t="s">
        <v>134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1278</v>
      </c>
      <c r="B24" s="12" t="s">
        <v>225</v>
      </c>
      <c r="C24" s="12" t="s">
        <v>49</v>
      </c>
      <c r="D24" s="13" t="s">
        <v>1188</v>
      </c>
      <c r="E24" s="12" t="s">
        <v>154</v>
      </c>
      <c r="F24" s="12" t="s">
        <v>154</v>
      </c>
      <c r="G24" s="13" t="s">
        <v>602</v>
      </c>
      <c r="H24" s="12" t="s">
        <v>119</v>
      </c>
      <c r="I24" s="12" t="s">
        <v>134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1281</v>
      </c>
      <c r="B9" s="12" t="s">
        <v>151</v>
      </c>
      <c r="C9" s="12" t="s">
        <v>50</v>
      </c>
      <c r="D9" s="13" t="s">
        <v>1282</v>
      </c>
      <c r="E9" s="12" t="s">
        <v>154</v>
      </c>
      <c r="F9" s="12" t="s">
        <v>155</v>
      </c>
      <c r="G9" s="13" t="s">
        <v>1283</v>
      </c>
      <c r="H9" s="12" t="s">
        <v>119</v>
      </c>
      <c r="I9" s="12" t="s">
        <v>134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1284</v>
      </c>
      <c r="B10" s="12" t="s">
        <v>182</v>
      </c>
      <c r="C10" s="12" t="s">
        <v>50</v>
      </c>
      <c r="D10" s="13" t="s">
        <v>1285</v>
      </c>
      <c r="E10" s="12" t="s">
        <v>154</v>
      </c>
      <c r="F10" s="12" t="s">
        <v>174</v>
      </c>
      <c r="G10" s="13" t="s">
        <v>1286</v>
      </c>
      <c r="H10" s="12" t="s">
        <v>119</v>
      </c>
      <c r="I10" s="12" t="s">
        <v>134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1287</v>
      </c>
      <c r="B11" s="12" t="s">
        <v>1195</v>
      </c>
      <c r="C11" s="12" t="s">
        <v>50</v>
      </c>
      <c r="D11" s="13" t="s">
        <v>1288</v>
      </c>
      <c r="E11" s="12" t="s">
        <v>154</v>
      </c>
      <c r="F11" s="12" t="s">
        <v>179</v>
      </c>
      <c r="G11" s="13" t="s">
        <v>1289</v>
      </c>
      <c r="H11" s="12" t="s">
        <v>119</v>
      </c>
      <c r="I11" s="12" t="s">
        <v>134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1290</v>
      </c>
      <c r="B12" s="12" t="s">
        <v>1291</v>
      </c>
      <c r="C12" s="12" t="s">
        <v>50</v>
      </c>
      <c r="D12" s="13" t="s">
        <v>1292</v>
      </c>
      <c r="E12" s="12" t="s">
        <v>154</v>
      </c>
      <c r="F12" s="12" t="s">
        <v>179</v>
      </c>
      <c r="G12" s="13" t="s">
        <v>1289</v>
      </c>
      <c r="H12" s="12" t="s">
        <v>119</v>
      </c>
      <c r="I12" s="12" t="s">
        <v>134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1293</v>
      </c>
      <c r="B13" s="12" t="s">
        <v>1294</v>
      </c>
      <c r="C13" s="12" t="s">
        <v>1295</v>
      </c>
      <c r="D13" s="13" t="s">
        <v>1296</v>
      </c>
      <c r="E13" s="12" t="s">
        <v>154</v>
      </c>
      <c r="F13" s="12" t="s">
        <v>179</v>
      </c>
      <c r="G13" s="13" t="s">
        <v>1297</v>
      </c>
      <c r="H13" s="12" t="s">
        <v>119</v>
      </c>
      <c r="I13" s="12" t="s">
        <v>134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1298</v>
      </c>
      <c r="B14" s="12" t="s">
        <v>202</v>
      </c>
      <c r="C14" s="12" t="s">
        <v>50</v>
      </c>
      <c r="D14" s="13" t="s">
        <v>1299</v>
      </c>
      <c r="E14" s="12" t="s">
        <v>154</v>
      </c>
      <c r="F14" s="12" t="s">
        <v>174</v>
      </c>
      <c r="G14" s="13" t="s">
        <v>1286</v>
      </c>
      <c r="H14" s="12" t="s">
        <v>119</v>
      </c>
      <c r="I14" s="12" t="s">
        <v>134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1300</v>
      </c>
      <c r="B15" s="12" t="s">
        <v>158</v>
      </c>
      <c r="C15" s="12" t="s">
        <v>50</v>
      </c>
      <c r="D15" s="13" t="s">
        <v>1301</v>
      </c>
      <c r="E15" s="12" t="s">
        <v>154</v>
      </c>
      <c r="F15" s="12" t="s">
        <v>154</v>
      </c>
      <c r="G15" s="13" t="s">
        <v>160</v>
      </c>
      <c r="H15" s="12" t="s">
        <v>119</v>
      </c>
      <c r="I15" s="12" t="s">
        <v>134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1302</v>
      </c>
      <c r="B16" s="12" t="s">
        <v>162</v>
      </c>
      <c r="C16" s="12" t="s">
        <v>50</v>
      </c>
      <c r="D16" s="13" t="s">
        <v>1303</v>
      </c>
      <c r="E16" s="12" t="s">
        <v>154</v>
      </c>
      <c r="F16" s="12" t="s">
        <v>164</v>
      </c>
      <c r="G16" s="13" t="s">
        <v>1304</v>
      </c>
      <c r="H16" s="12" t="s">
        <v>119</v>
      </c>
      <c r="I16" s="12" t="s">
        <v>134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1305</v>
      </c>
      <c r="B17" s="12" t="s">
        <v>167</v>
      </c>
      <c r="C17" s="12" t="s">
        <v>50</v>
      </c>
      <c r="D17" s="13" t="s">
        <v>1306</v>
      </c>
      <c r="E17" s="12" t="s">
        <v>154</v>
      </c>
      <c r="F17" s="12" t="s">
        <v>169</v>
      </c>
      <c r="G17" s="13" t="s">
        <v>1307</v>
      </c>
      <c r="H17" s="12" t="s">
        <v>119</v>
      </c>
      <c r="I17" s="12" t="s">
        <v>134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1308</v>
      </c>
      <c r="B18" s="12" t="s">
        <v>187</v>
      </c>
      <c r="C18" s="12" t="s">
        <v>50</v>
      </c>
      <c r="D18" s="13" t="s">
        <v>1309</v>
      </c>
      <c r="E18" s="12" t="s">
        <v>154</v>
      </c>
      <c r="F18" s="12" t="s">
        <v>189</v>
      </c>
      <c r="G18" s="13" t="s">
        <v>1310</v>
      </c>
      <c r="H18" s="12" t="s">
        <v>117</v>
      </c>
      <c r="I18" s="12" t="s">
        <v>133</v>
      </c>
      <c r="J18" s="14"/>
      <c r="K18" s="13" t="s">
        <v>1259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1311</v>
      </c>
      <c r="B19" s="12" t="s">
        <v>193</v>
      </c>
      <c r="C19" s="12" t="s">
        <v>50</v>
      </c>
      <c r="D19" s="13" t="s">
        <v>1312</v>
      </c>
      <c r="E19" s="12" t="s">
        <v>154</v>
      </c>
      <c r="F19" s="12" t="s">
        <v>195</v>
      </c>
      <c r="G19" s="13" t="s">
        <v>1313</v>
      </c>
      <c r="H19" s="12" t="s">
        <v>117</v>
      </c>
      <c r="I19" s="12" t="s">
        <v>133</v>
      </c>
      <c r="J19" s="14"/>
      <c r="K19" s="13" t="s">
        <v>1259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1314</v>
      </c>
      <c r="B20" s="12" t="s">
        <v>207</v>
      </c>
      <c r="C20" s="12" t="s">
        <v>50</v>
      </c>
      <c r="D20" s="13" t="s">
        <v>1315</v>
      </c>
      <c r="E20" s="12" t="s">
        <v>154</v>
      </c>
      <c r="F20" s="12" t="s">
        <v>195</v>
      </c>
      <c r="G20" s="13" t="s">
        <v>1313</v>
      </c>
      <c r="H20" s="12" t="s">
        <v>117</v>
      </c>
      <c r="I20" s="12" t="s">
        <v>133</v>
      </c>
      <c r="J20" s="14"/>
      <c r="K20" s="13" t="s">
        <v>1259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1316</v>
      </c>
      <c r="B21" s="12" t="s">
        <v>211</v>
      </c>
      <c r="C21" s="12" t="s">
        <v>50</v>
      </c>
      <c r="D21" s="13" t="s">
        <v>1317</v>
      </c>
      <c r="E21" s="12" t="s">
        <v>154</v>
      </c>
      <c r="F21" s="12" t="s">
        <v>213</v>
      </c>
      <c r="G21" s="13" t="s">
        <v>1318</v>
      </c>
      <c r="H21" s="12" t="s">
        <v>119</v>
      </c>
      <c r="I21" s="12" t="s">
        <v>134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1319</v>
      </c>
      <c r="B22" s="12" t="s">
        <v>216</v>
      </c>
      <c r="C22" s="12" t="s">
        <v>50</v>
      </c>
      <c r="D22" s="13" t="s">
        <v>1320</v>
      </c>
      <c r="E22" s="12" t="s">
        <v>154</v>
      </c>
      <c r="F22" s="12" t="s">
        <v>213</v>
      </c>
      <c r="G22" s="13" t="s">
        <v>1321</v>
      </c>
      <c r="H22" s="12" t="s">
        <v>119</v>
      </c>
      <c r="I22" s="12" t="s">
        <v>134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1322</v>
      </c>
      <c r="B23" s="12" t="s">
        <v>220</v>
      </c>
      <c r="C23" s="12" t="s">
        <v>50</v>
      </c>
      <c r="D23" s="13" t="s">
        <v>1323</v>
      </c>
      <c r="E23" s="12" t="s">
        <v>222</v>
      </c>
      <c r="F23" s="12" t="s">
        <v>222</v>
      </c>
      <c r="G23" s="13" t="s">
        <v>223</v>
      </c>
      <c r="H23" s="12" t="s">
        <v>119</v>
      </c>
      <c r="I23" s="12" t="s">
        <v>134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1324</v>
      </c>
      <c r="B24" s="12" t="s">
        <v>642</v>
      </c>
      <c r="C24" s="12" t="s">
        <v>1274</v>
      </c>
      <c r="D24" s="13" t="s">
        <v>1325</v>
      </c>
      <c r="E24" s="12" t="s">
        <v>154</v>
      </c>
      <c r="F24" s="12" t="s">
        <v>1276</v>
      </c>
      <c r="G24" s="13" t="s">
        <v>1326</v>
      </c>
      <c r="H24" s="12" t="s">
        <v>119</v>
      </c>
      <c r="I24" s="12" t="s">
        <v>134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1327</v>
      </c>
      <c r="B25" s="12" t="s">
        <v>225</v>
      </c>
      <c r="C25" s="12" t="s">
        <v>50</v>
      </c>
      <c r="D25" s="13" t="s">
        <v>1328</v>
      </c>
      <c r="E25" s="12" t="s">
        <v>154</v>
      </c>
      <c r="F25" s="12" t="s">
        <v>154</v>
      </c>
      <c r="G25" s="13" t="s">
        <v>160</v>
      </c>
      <c r="H25" s="12" t="s">
        <v>119</v>
      </c>
      <c r="I25" s="12" t="s">
        <v>134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1331</v>
      </c>
      <c r="B9" s="12" t="s">
        <v>151</v>
      </c>
      <c r="C9" s="12" t="s">
        <v>1332</v>
      </c>
      <c r="D9" s="13" t="s">
        <v>1333</v>
      </c>
      <c r="E9" s="12" t="s">
        <v>154</v>
      </c>
      <c r="F9" s="12" t="s">
        <v>155</v>
      </c>
      <c r="G9" s="13" t="s">
        <v>1334</v>
      </c>
      <c r="H9" s="12" t="s">
        <v>119</v>
      </c>
      <c r="I9" s="12" t="s">
        <v>134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1335</v>
      </c>
      <c r="B10" s="12" t="s">
        <v>1336</v>
      </c>
      <c r="C10" s="12" t="s">
        <v>823</v>
      </c>
      <c r="D10" s="13" t="s">
        <v>1337</v>
      </c>
      <c r="E10" s="12" t="s">
        <v>154</v>
      </c>
      <c r="F10" s="12" t="s">
        <v>1338</v>
      </c>
      <c r="G10" s="13" t="s">
        <v>1339</v>
      </c>
      <c r="H10" s="12" t="s">
        <v>119</v>
      </c>
      <c r="I10" s="12" t="s">
        <v>134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1340</v>
      </c>
      <c r="B11" s="12" t="s">
        <v>1341</v>
      </c>
      <c r="C11" s="12" t="s">
        <v>1148</v>
      </c>
      <c r="D11" s="13" t="s">
        <v>1342</v>
      </c>
      <c r="E11" s="12" t="s">
        <v>154</v>
      </c>
      <c r="F11" s="12" t="s">
        <v>174</v>
      </c>
      <c r="G11" s="13" t="s">
        <v>1343</v>
      </c>
      <c r="H11" s="12" t="s">
        <v>119</v>
      </c>
      <c r="I11" s="12" t="s">
        <v>134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1344</v>
      </c>
      <c r="B12" s="12" t="s">
        <v>1345</v>
      </c>
      <c r="C12" s="12" t="s">
        <v>1345</v>
      </c>
      <c r="D12" s="13" t="s">
        <v>1346</v>
      </c>
      <c r="E12" s="12" t="s">
        <v>154</v>
      </c>
      <c r="F12" s="12" t="s">
        <v>179</v>
      </c>
      <c r="G12" s="13" t="s">
        <v>1347</v>
      </c>
      <c r="H12" s="12" t="s">
        <v>119</v>
      </c>
      <c r="I12" s="12" t="s">
        <v>134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1348</v>
      </c>
      <c r="B13" s="12" t="s">
        <v>1349</v>
      </c>
      <c r="C13" s="12" t="s">
        <v>1148</v>
      </c>
      <c r="D13" s="13" t="s">
        <v>1350</v>
      </c>
      <c r="E13" s="12" t="s">
        <v>154</v>
      </c>
      <c r="F13" s="12" t="s">
        <v>179</v>
      </c>
      <c r="G13" s="13" t="s">
        <v>1347</v>
      </c>
      <c r="H13" s="12" t="s">
        <v>119</v>
      </c>
      <c r="I13" s="12" t="s">
        <v>134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1351</v>
      </c>
      <c r="B14" s="12" t="s">
        <v>1352</v>
      </c>
      <c r="C14" s="12" t="s">
        <v>1148</v>
      </c>
      <c r="D14" s="13" t="s">
        <v>1353</v>
      </c>
      <c r="E14" s="12" t="s">
        <v>154</v>
      </c>
      <c r="F14" s="12" t="s">
        <v>179</v>
      </c>
      <c r="G14" s="13" t="s">
        <v>1347</v>
      </c>
      <c r="H14" s="12" t="s">
        <v>119</v>
      </c>
      <c r="I14" s="12" t="s">
        <v>134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1354</v>
      </c>
      <c r="B15" s="12" t="s">
        <v>1355</v>
      </c>
      <c r="C15" s="12" t="s">
        <v>823</v>
      </c>
      <c r="D15" s="13" t="s">
        <v>1356</v>
      </c>
      <c r="E15" s="12" t="s">
        <v>154</v>
      </c>
      <c r="F15" s="12" t="s">
        <v>179</v>
      </c>
      <c r="G15" s="13" t="s">
        <v>1347</v>
      </c>
      <c r="H15" s="12" t="s">
        <v>119</v>
      </c>
      <c r="I15" s="12" t="s">
        <v>134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1357</v>
      </c>
      <c r="B16" s="12" t="s">
        <v>182</v>
      </c>
      <c r="C16" s="12" t="s">
        <v>1358</v>
      </c>
      <c r="D16" s="13" t="s">
        <v>1359</v>
      </c>
      <c r="E16" s="12" t="s">
        <v>154</v>
      </c>
      <c r="F16" s="12" t="s">
        <v>179</v>
      </c>
      <c r="G16" s="13" t="s">
        <v>1347</v>
      </c>
      <c r="H16" s="12" t="s">
        <v>119</v>
      </c>
      <c r="I16" s="12" t="s">
        <v>134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1360</v>
      </c>
      <c r="B17" s="12" t="s">
        <v>202</v>
      </c>
      <c r="C17" s="12" t="s">
        <v>1246</v>
      </c>
      <c r="D17" s="13" t="s">
        <v>1361</v>
      </c>
      <c r="E17" s="12" t="s">
        <v>154</v>
      </c>
      <c r="F17" s="12" t="s">
        <v>174</v>
      </c>
      <c r="G17" s="13" t="s">
        <v>1362</v>
      </c>
      <c r="H17" s="12" t="s">
        <v>119</v>
      </c>
      <c r="I17" s="12" t="s">
        <v>134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1363</v>
      </c>
      <c r="B18" s="12" t="s">
        <v>158</v>
      </c>
      <c r="C18" s="12" t="s">
        <v>51</v>
      </c>
      <c r="D18" s="13" t="s">
        <v>1364</v>
      </c>
      <c r="E18" s="12" t="s">
        <v>154</v>
      </c>
      <c r="F18" s="12" t="s">
        <v>154</v>
      </c>
      <c r="G18" s="13" t="s">
        <v>160</v>
      </c>
      <c r="H18" s="12" t="s">
        <v>119</v>
      </c>
      <c r="I18" s="12" t="s">
        <v>134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1365</v>
      </c>
      <c r="B19" s="12" t="s">
        <v>162</v>
      </c>
      <c r="C19" s="12" t="s">
        <v>51</v>
      </c>
      <c r="D19" s="13" t="s">
        <v>1366</v>
      </c>
      <c r="E19" s="12" t="s">
        <v>154</v>
      </c>
      <c r="F19" s="12" t="s">
        <v>164</v>
      </c>
      <c r="G19" s="13" t="s">
        <v>1367</v>
      </c>
      <c r="H19" s="12" t="s">
        <v>119</v>
      </c>
      <c r="I19" s="12" t="s">
        <v>134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1368</v>
      </c>
      <c r="B20" s="12" t="s">
        <v>167</v>
      </c>
      <c r="C20" s="12" t="s">
        <v>51</v>
      </c>
      <c r="D20" s="13" t="s">
        <v>1369</v>
      </c>
      <c r="E20" s="12" t="s">
        <v>154</v>
      </c>
      <c r="F20" s="12" t="s">
        <v>169</v>
      </c>
      <c r="G20" s="13" t="s">
        <v>1370</v>
      </c>
      <c r="H20" s="12" t="s">
        <v>119</v>
      </c>
      <c r="I20" s="12" t="s">
        <v>134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1371</v>
      </c>
      <c r="B21" s="12" t="s">
        <v>1372</v>
      </c>
      <c r="C21" s="12" t="s">
        <v>51</v>
      </c>
      <c r="D21" s="13" t="s">
        <v>1373</v>
      </c>
      <c r="E21" s="12" t="s">
        <v>154</v>
      </c>
      <c r="F21" s="12" t="s">
        <v>154</v>
      </c>
      <c r="G21" s="13" t="s">
        <v>1374</v>
      </c>
      <c r="H21" s="12" t="s">
        <v>119</v>
      </c>
      <c r="I21" s="12" t="s">
        <v>134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1375</v>
      </c>
      <c r="B22" s="12" t="s">
        <v>642</v>
      </c>
      <c r="C22" s="12" t="s">
        <v>51</v>
      </c>
      <c r="D22" s="13" t="s">
        <v>1376</v>
      </c>
      <c r="E22" s="12" t="s">
        <v>154</v>
      </c>
      <c r="F22" s="12" t="s">
        <v>179</v>
      </c>
      <c r="G22" s="13" t="s">
        <v>1377</v>
      </c>
      <c r="H22" s="12" t="s">
        <v>119</v>
      </c>
      <c r="I22" s="12" t="s">
        <v>134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1378</v>
      </c>
      <c r="B23" s="12" t="s">
        <v>187</v>
      </c>
      <c r="C23" s="12" t="s">
        <v>51</v>
      </c>
      <c r="D23" s="13" t="s">
        <v>1379</v>
      </c>
      <c r="E23" s="12" t="s">
        <v>154</v>
      </c>
      <c r="F23" s="12" t="s">
        <v>189</v>
      </c>
      <c r="G23" s="13" t="s">
        <v>1380</v>
      </c>
      <c r="H23" s="12" t="s">
        <v>117</v>
      </c>
      <c r="I23" s="12" t="s">
        <v>133</v>
      </c>
      <c r="J23" s="14"/>
      <c r="K23" s="13" t="s">
        <v>1381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1382</v>
      </c>
      <c r="B24" s="12" t="s">
        <v>193</v>
      </c>
      <c r="C24" s="12" t="s">
        <v>51</v>
      </c>
      <c r="D24" s="13" t="s">
        <v>1383</v>
      </c>
      <c r="E24" s="12" t="s">
        <v>154</v>
      </c>
      <c r="F24" s="12" t="s">
        <v>195</v>
      </c>
      <c r="G24" s="13" t="s">
        <v>1384</v>
      </c>
      <c r="H24" s="12" t="s">
        <v>117</v>
      </c>
      <c r="I24" s="12" t="s">
        <v>133</v>
      </c>
      <c r="J24" s="14"/>
      <c r="K24" s="13" t="s">
        <v>1381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1385</v>
      </c>
      <c r="B25" s="12" t="s">
        <v>207</v>
      </c>
      <c r="C25" s="12" t="s">
        <v>51</v>
      </c>
      <c r="D25" s="13" t="s">
        <v>1386</v>
      </c>
      <c r="E25" s="12" t="s">
        <v>154</v>
      </c>
      <c r="F25" s="12" t="s">
        <v>195</v>
      </c>
      <c r="G25" s="13" t="s">
        <v>1384</v>
      </c>
      <c r="H25" s="12" t="s">
        <v>117</v>
      </c>
      <c r="I25" s="12" t="s">
        <v>133</v>
      </c>
      <c r="J25" s="14"/>
      <c r="K25" s="13" t="s">
        <v>1381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1387</v>
      </c>
      <c r="B26" s="12" t="s">
        <v>211</v>
      </c>
      <c r="C26" s="12" t="s">
        <v>51</v>
      </c>
      <c r="D26" s="13" t="s">
        <v>1388</v>
      </c>
      <c r="E26" s="12" t="s">
        <v>154</v>
      </c>
      <c r="F26" s="12" t="s">
        <v>213</v>
      </c>
      <c r="G26" s="13" t="s">
        <v>1389</v>
      </c>
      <c r="H26" s="12" t="s">
        <v>119</v>
      </c>
      <c r="I26" s="12" t="s">
        <v>134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1390</v>
      </c>
      <c r="B27" s="12" t="s">
        <v>216</v>
      </c>
      <c r="C27" s="12" t="s">
        <v>51</v>
      </c>
      <c r="D27" s="13" t="s">
        <v>1391</v>
      </c>
      <c r="E27" s="12" t="s">
        <v>154</v>
      </c>
      <c r="F27" s="12" t="s">
        <v>213</v>
      </c>
      <c r="G27" s="13" t="s">
        <v>1392</v>
      </c>
      <c r="H27" s="12" t="s">
        <v>119</v>
      </c>
      <c r="I27" s="12" t="s">
        <v>134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1393</v>
      </c>
      <c r="B28" s="12" t="s">
        <v>220</v>
      </c>
      <c r="C28" s="12" t="s">
        <v>51</v>
      </c>
      <c r="D28" s="13" t="s">
        <v>1394</v>
      </c>
      <c r="E28" s="12" t="s">
        <v>222</v>
      </c>
      <c r="F28" s="12" t="s">
        <v>222</v>
      </c>
      <c r="G28" s="13" t="s">
        <v>223</v>
      </c>
      <c r="H28" s="12" t="s">
        <v>119</v>
      </c>
      <c r="I28" s="12" t="s">
        <v>134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1395</v>
      </c>
      <c r="B29" s="12" t="s">
        <v>1274</v>
      </c>
      <c r="C29" s="12" t="s">
        <v>51</v>
      </c>
      <c r="D29" s="13" t="s">
        <v>1396</v>
      </c>
      <c r="E29" s="12" t="s">
        <v>154</v>
      </c>
      <c r="F29" s="12" t="s">
        <v>1276</v>
      </c>
      <c r="G29" s="13" t="s">
        <v>1397</v>
      </c>
      <c r="H29" s="12" t="s">
        <v>119</v>
      </c>
      <c r="I29" s="12" t="s">
        <v>134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1398</v>
      </c>
      <c r="B30" s="12" t="s">
        <v>225</v>
      </c>
      <c r="C30" s="12" t="s">
        <v>51</v>
      </c>
      <c r="D30" s="13" t="s">
        <v>1399</v>
      </c>
      <c r="E30" s="12" t="s">
        <v>154</v>
      </c>
      <c r="F30" s="12" t="s">
        <v>154</v>
      </c>
      <c r="G30" s="13" t="s">
        <v>160</v>
      </c>
      <c r="H30" s="12" t="s">
        <v>119</v>
      </c>
      <c r="I30" s="12" t="s">
        <v>134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597</v>
      </c>
      <c r="B9" s="12" t="s">
        <v>151</v>
      </c>
      <c r="C9" s="12" t="s">
        <v>803</v>
      </c>
      <c r="D9" s="13" t="s">
        <v>1402</v>
      </c>
      <c r="E9" s="12" t="s">
        <v>154</v>
      </c>
      <c r="F9" s="12" t="s">
        <v>155</v>
      </c>
      <c r="G9" s="13" t="s">
        <v>1403</v>
      </c>
      <c r="H9" s="12" t="s">
        <v>119</v>
      </c>
      <c r="I9" s="12" t="s">
        <v>134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600</v>
      </c>
      <c r="B10" s="12" t="s">
        <v>1404</v>
      </c>
      <c r="C10" s="12" t="s">
        <v>1405</v>
      </c>
      <c r="D10" s="13" t="s">
        <v>1406</v>
      </c>
      <c r="E10" s="12" t="s">
        <v>154</v>
      </c>
      <c r="F10" s="12" t="s">
        <v>174</v>
      </c>
      <c r="G10" s="13" t="s">
        <v>1407</v>
      </c>
      <c r="H10" s="12" t="s">
        <v>119</v>
      </c>
      <c r="I10" s="12" t="s">
        <v>134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603</v>
      </c>
      <c r="B11" s="12" t="s">
        <v>158</v>
      </c>
      <c r="C11" s="12" t="s">
        <v>52</v>
      </c>
      <c r="D11" s="13" t="s">
        <v>1408</v>
      </c>
      <c r="E11" s="12" t="s">
        <v>154</v>
      </c>
      <c r="F11" s="12" t="s">
        <v>154</v>
      </c>
      <c r="G11" s="13" t="s">
        <v>602</v>
      </c>
      <c r="H11" s="12" t="s">
        <v>119</v>
      </c>
      <c r="I11" s="12" t="s">
        <v>134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606</v>
      </c>
      <c r="B12" s="12" t="s">
        <v>162</v>
      </c>
      <c r="C12" s="12" t="s">
        <v>52</v>
      </c>
      <c r="D12" s="13" t="s">
        <v>1409</v>
      </c>
      <c r="E12" s="12" t="s">
        <v>154</v>
      </c>
      <c r="F12" s="12" t="s">
        <v>164</v>
      </c>
      <c r="G12" s="13" t="s">
        <v>1410</v>
      </c>
      <c r="H12" s="12" t="s">
        <v>119</v>
      </c>
      <c r="I12" s="12" t="s">
        <v>134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609</v>
      </c>
      <c r="B13" s="12" t="s">
        <v>167</v>
      </c>
      <c r="C13" s="12" t="s">
        <v>52</v>
      </c>
      <c r="D13" s="13" t="s">
        <v>1411</v>
      </c>
      <c r="E13" s="12" t="s">
        <v>154</v>
      </c>
      <c r="F13" s="12" t="s">
        <v>169</v>
      </c>
      <c r="G13" s="13" t="s">
        <v>1412</v>
      </c>
      <c r="H13" s="12" t="s">
        <v>119</v>
      </c>
      <c r="I13" s="12" t="s">
        <v>134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612</v>
      </c>
      <c r="B14" s="12" t="s">
        <v>172</v>
      </c>
      <c r="C14" s="12" t="s">
        <v>52</v>
      </c>
      <c r="D14" s="13" t="s">
        <v>1413</v>
      </c>
      <c r="E14" s="12" t="s">
        <v>154</v>
      </c>
      <c r="F14" s="12" t="s">
        <v>174</v>
      </c>
      <c r="G14" s="13" t="s">
        <v>1407</v>
      </c>
      <c r="H14" s="12" t="s">
        <v>119</v>
      </c>
      <c r="I14" s="12" t="s">
        <v>134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615</v>
      </c>
      <c r="B15" s="12" t="s">
        <v>177</v>
      </c>
      <c r="C15" s="12" t="s">
        <v>1414</v>
      </c>
      <c r="D15" s="13" t="s">
        <v>1415</v>
      </c>
      <c r="E15" s="12" t="s">
        <v>154</v>
      </c>
      <c r="F15" s="12" t="s">
        <v>179</v>
      </c>
      <c r="G15" s="13" t="s">
        <v>1416</v>
      </c>
      <c r="H15" s="12" t="s">
        <v>119</v>
      </c>
      <c r="I15" s="12" t="s">
        <v>134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617</v>
      </c>
      <c r="B16" s="12" t="s">
        <v>1355</v>
      </c>
      <c r="C16" s="12" t="s">
        <v>1417</v>
      </c>
      <c r="D16" s="13" t="s">
        <v>1418</v>
      </c>
      <c r="E16" s="12" t="s">
        <v>154</v>
      </c>
      <c r="F16" s="12" t="s">
        <v>179</v>
      </c>
      <c r="G16" s="13" t="s">
        <v>1416</v>
      </c>
      <c r="H16" s="12" t="s">
        <v>119</v>
      </c>
      <c r="I16" s="12" t="s">
        <v>134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620</v>
      </c>
      <c r="B17" s="12" t="s">
        <v>182</v>
      </c>
      <c r="C17" s="12" t="s">
        <v>1419</v>
      </c>
      <c r="D17" s="13" t="s">
        <v>1420</v>
      </c>
      <c r="E17" s="12" t="s">
        <v>154</v>
      </c>
      <c r="F17" s="12" t="s">
        <v>184</v>
      </c>
      <c r="G17" s="13" t="s">
        <v>1416</v>
      </c>
      <c r="H17" s="12" t="s">
        <v>119</v>
      </c>
      <c r="I17" s="12" t="s">
        <v>134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624</v>
      </c>
      <c r="B18" s="12" t="s">
        <v>187</v>
      </c>
      <c r="C18" s="12" t="s">
        <v>52</v>
      </c>
      <c r="D18" s="13" t="s">
        <v>1421</v>
      </c>
      <c r="E18" s="12" t="s">
        <v>154</v>
      </c>
      <c r="F18" s="12" t="s">
        <v>189</v>
      </c>
      <c r="G18" s="13" t="s">
        <v>1422</v>
      </c>
      <c r="H18" s="12" t="s">
        <v>121</v>
      </c>
      <c r="I18" s="12" t="s">
        <v>133</v>
      </c>
      <c r="J18" s="14" t="n">
        <v>46229</v>
      </c>
      <c r="K18" s="13" t="s">
        <v>1423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628</v>
      </c>
      <c r="B19" s="12" t="s">
        <v>193</v>
      </c>
      <c r="C19" s="12" t="s">
        <v>52</v>
      </c>
      <c r="D19" s="13" t="s">
        <v>1424</v>
      </c>
      <c r="E19" s="12" t="s">
        <v>154</v>
      </c>
      <c r="F19" s="12" t="s">
        <v>195</v>
      </c>
      <c r="G19" s="13" t="s">
        <v>1425</v>
      </c>
      <c r="H19" s="12" t="s">
        <v>117</v>
      </c>
      <c r="I19" s="12" t="s">
        <v>133</v>
      </c>
      <c r="J19" s="14"/>
      <c r="K19" s="13" t="s">
        <v>965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630</v>
      </c>
      <c r="B20" s="12" t="s">
        <v>199</v>
      </c>
      <c r="C20" s="12" t="s">
        <v>52</v>
      </c>
      <c r="D20" s="13" t="s">
        <v>1426</v>
      </c>
      <c r="E20" s="12" t="s">
        <v>154</v>
      </c>
      <c r="F20" s="12" t="s">
        <v>195</v>
      </c>
      <c r="G20" s="13" t="s">
        <v>1427</v>
      </c>
      <c r="H20" s="12" t="s">
        <v>117</v>
      </c>
      <c r="I20" s="12" t="s">
        <v>133</v>
      </c>
      <c r="J20" s="14"/>
      <c r="K20" s="13" t="s">
        <v>826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633</v>
      </c>
      <c r="B21" s="12" t="s">
        <v>1341</v>
      </c>
      <c r="C21" s="12" t="s">
        <v>803</v>
      </c>
      <c r="D21" s="13" t="s">
        <v>1428</v>
      </c>
      <c r="E21" s="12" t="s">
        <v>154</v>
      </c>
      <c r="F21" s="12" t="s">
        <v>179</v>
      </c>
      <c r="G21" s="13" t="s">
        <v>1429</v>
      </c>
      <c r="H21" s="12" t="s">
        <v>119</v>
      </c>
      <c r="I21" s="12" t="s">
        <v>134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636</v>
      </c>
      <c r="B22" s="12" t="s">
        <v>207</v>
      </c>
      <c r="C22" s="12" t="s">
        <v>52</v>
      </c>
      <c r="D22" s="13" t="s">
        <v>1430</v>
      </c>
      <c r="E22" s="12" t="s">
        <v>154</v>
      </c>
      <c r="F22" s="12" t="s">
        <v>195</v>
      </c>
      <c r="G22" s="13" t="s">
        <v>1425</v>
      </c>
      <c r="H22" s="12" t="s">
        <v>117</v>
      </c>
      <c r="I22" s="12" t="s">
        <v>133</v>
      </c>
      <c r="J22" s="14"/>
      <c r="K22" s="13" t="s">
        <v>970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639</v>
      </c>
      <c r="B23" s="12" t="s">
        <v>211</v>
      </c>
      <c r="C23" s="12" t="s">
        <v>52</v>
      </c>
      <c r="D23" s="13" t="s">
        <v>1431</v>
      </c>
      <c r="E23" s="12" t="s">
        <v>154</v>
      </c>
      <c r="F23" s="12" t="s">
        <v>213</v>
      </c>
      <c r="G23" s="13" t="s">
        <v>1432</v>
      </c>
      <c r="H23" s="12" t="s">
        <v>119</v>
      </c>
      <c r="I23" s="12" t="s">
        <v>134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641</v>
      </c>
      <c r="B24" s="12" t="s">
        <v>216</v>
      </c>
      <c r="C24" s="12" t="s">
        <v>52</v>
      </c>
      <c r="D24" s="13" t="s">
        <v>1433</v>
      </c>
      <c r="E24" s="12" t="s">
        <v>154</v>
      </c>
      <c r="F24" s="12" t="s">
        <v>213</v>
      </c>
      <c r="G24" s="13" t="s">
        <v>1434</v>
      </c>
      <c r="H24" s="12" t="s">
        <v>119</v>
      </c>
      <c r="I24" s="12" t="s">
        <v>134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646</v>
      </c>
      <c r="B25" s="12" t="s">
        <v>220</v>
      </c>
      <c r="C25" s="12" t="s">
        <v>52</v>
      </c>
      <c r="D25" s="13" t="s">
        <v>1435</v>
      </c>
      <c r="E25" s="12" t="s">
        <v>222</v>
      </c>
      <c r="F25" s="12" t="s">
        <v>222</v>
      </c>
      <c r="G25" s="13" t="s">
        <v>223</v>
      </c>
      <c r="H25" s="12" t="s">
        <v>119</v>
      </c>
      <c r="I25" s="12" t="s">
        <v>134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1436</v>
      </c>
      <c r="B26" s="12" t="s">
        <v>642</v>
      </c>
      <c r="C26" s="12" t="s">
        <v>52</v>
      </c>
      <c r="D26" s="13" t="s">
        <v>1437</v>
      </c>
      <c r="E26" s="12" t="s">
        <v>154</v>
      </c>
      <c r="F26" s="12" t="s">
        <v>154</v>
      </c>
      <c r="G26" s="13" t="s">
        <v>1438</v>
      </c>
      <c r="H26" s="12" t="s">
        <v>119</v>
      </c>
      <c r="I26" s="12" t="s">
        <v>134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1439</v>
      </c>
      <c r="B27" s="12" t="s">
        <v>225</v>
      </c>
      <c r="C27" s="12" t="s">
        <v>52</v>
      </c>
      <c r="D27" s="13" t="s">
        <v>1440</v>
      </c>
      <c r="E27" s="12" t="s">
        <v>154</v>
      </c>
      <c r="F27" s="12" t="s">
        <v>154</v>
      </c>
      <c r="G27" s="13" t="s">
        <v>1441</v>
      </c>
      <c r="H27" s="12" t="s">
        <v>117</v>
      </c>
      <c r="I27" s="12" t="s">
        <v>133</v>
      </c>
      <c r="J27" s="14"/>
      <c r="K27" s="13" t="s">
        <v>1442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792</v>
      </c>
      <c r="B9" s="12" t="s">
        <v>151</v>
      </c>
      <c r="C9" s="12" t="s">
        <v>1445</v>
      </c>
      <c r="D9" s="13" t="s">
        <v>1446</v>
      </c>
      <c r="E9" s="12" t="s">
        <v>154</v>
      </c>
      <c r="F9" s="12" t="s">
        <v>155</v>
      </c>
      <c r="G9" s="13" t="s">
        <v>1447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795</v>
      </c>
      <c r="B10" s="12" t="s">
        <v>1404</v>
      </c>
      <c r="C10" s="12" t="s">
        <v>1246</v>
      </c>
      <c r="D10" s="13" t="s">
        <v>1448</v>
      </c>
      <c r="E10" s="12" t="s">
        <v>154</v>
      </c>
      <c r="F10" s="12" t="s">
        <v>174</v>
      </c>
      <c r="G10" s="13" t="s">
        <v>1449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798</v>
      </c>
      <c r="B11" s="12" t="s">
        <v>158</v>
      </c>
      <c r="C11" s="12" t="s">
        <v>53</v>
      </c>
      <c r="D11" s="13" t="s">
        <v>1450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802</v>
      </c>
      <c r="B12" s="12" t="s">
        <v>162</v>
      </c>
      <c r="C12" s="12" t="s">
        <v>1451</v>
      </c>
      <c r="D12" s="13" t="s">
        <v>1452</v>
      </c>
      <c r="E12" s="12" t="s">
        <v>154</v>
      </c>
      <c r="F12" s="12" t="s">
        <v>164</v>
      </c>
      <c r="G12" s="13" t="s">
        <v>1453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806</v>
      </c>
      <c r="B13" s="12" t="s">
        <v>167</v>
      </c>
      <c r="C13" s="12" t="s">
        <v>1454</v>
      </c>
      <c r="D13" s="13" t="s">
        <v>1455</v>
      </c>
      <c r="E13" s="12" t="s">
        <v>154</v>
      </c>
      <c r="F13" s="12" t="s">
        <v>169</v>
      </c>
      <c r="G13" s="13" t="s">
        <v>1456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809</v>
      </c>
      <c r="B14" s="12" t="s">
        <v>1457</v>
      </c>
      <c r="C14" s="12" t="s">
        <v>1458</v>
      </c>
      <c r="D14" s="13" t="s">
        <v>1459</v>
      </c>
      <c r="E14" s="12" t="s">
        <v>154</v>
      </c>
      <c r="F14" s="12" t="s">
        <v>174</v>
      </c>
      <c r="G14" s="13" t="s">
        <v>1460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812</v>
      </c>
      <c r="B15" s="12" t="s">
        <v>1195</v>
      </c>
      <c r="C15" s="12" t="s">
        <v>1445</v>
      </c>
      <c r="D15" s="13" t="s">
        <v>1461</v>
      </c>
      <c r="E15" s="12" t="s">
        <v>154</v>
      </c>
      <c r="F15" s="12" t="s">
        <v>179</v>
      </c>
      <c r="G15" s="13" t="s">
        <v>1462</v>
      </c>
      <c r="H15" s="12" t="s">
        <v>119</v>
      </c>
      <c r="I15" s="12" t="s">
        <v>134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814</v>
      </c>
      <c r="B16" s="12" t="s">
        <v>1463</v>
      </c>
      <c r="C16" s="12" t="s">
        <v>1464</v>
      </c>
      <c r="D16" s="13" t="s">
        <v>1465</v>
      </c>
      <c r="E16" s="12" t="s">
        <v>154</v>
      </c>
      <c r="F16" s="12" t="s">
        <v>179</v>
      </c>
      <c r="G16" s="13" t="s">
        <v>1466</v>
      </c>
      <c r="H16" s="12" t="s">
        <v>119</v>
      </c>
      <c r="I16" s="12" t="s">
        <v>134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818</v>
      </c>
      <c r="B17" s="12" t="s">
        <v>1467</v>
      </c>
      <c r="C17" s="12" t="s">
        <v>1468</v>
      </c>
      <c r="D17" s="13" t="s">
        <v>1469</v>
      </c>
      <c r="E17" s="12" t="s">
        <v>154</v>
      </c>
      <c r="F17" s="12" t="s">
        <v>179</v>
      </c>
      <c r="G17" s="13" t="s">
        <v>1462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822</v>
      </c>
      <c r="B18" s="12" t="s">
        <v>1470</v>
      </c>
      <c r="C18" s="12" t="s">
        <v>1445</v>
      </c>
      <c r="D18" s="13" t="s">
        <v>1471</v>
      </c>
      <c r="E18" s="12" t="s">
        <v>154</v>
      </c>
      <c r="F18" s="12" t="s">
        <v>179</v>
      </c>
      <c r="G18" s="13" t="s">
        <v>1466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827</v>
      </c>
      <c r="B19" s="12" t="s">
        <v>202</v>
      </c>
      <c r="C19" s="12" t="s">
        <v>1472</v>
      </c>
      <c r="D19" s="13" t="s">
        <v>1473</v>
      </c>
      <c r="E19" s="12" t="s">
        <v>154</v>
      </c>
      <c r="F19" s="12" t="s">
        <v>174</v>
      </c>
      <c r="G19" s="13" t="s">
        <v>1460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830</v>
      </c>
      <c r="B20" s="12" t="s">
        <v>182</v>
      </c>
      <c r="C20" s="12" t="s">
        <v>53</v>
      </c>
      <c r="D20" s="13" t="s">
        <v>1474</v>
      </c>
      <c r="E20" s="12" t="s">
        <v>154</v>
      </c>
      <c r="F20" s="12" t="s">
        <v>184</v>
      </c>
      <c r="G20" s="13" t="s">
        <v>1462</v>
      </c>
      <c r="H20" s="12" t="s">
        <v>119</v>
      </c>
      <c r="I20" s="12" t="s">
        <v>134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833</v>
      </c>
      <c r="B21" s="12" t="s">
        <v>187</v>
      </c>
      <c r="C21" s="12" t="s">
        <v>53</v>
      </c>
      <c r="D21" s="13" t="s">
        <v>1475</v>
      </c>
      <c r="E21" s="12" t="s">
        <v>154</v>
      </c>
      <c r="F21" s="12" t="s">
        <v>189</v>
      </c>
      <c r="G21" s="13" t="s">
        <v>1476</v>
      </c>
      <c r="H21" s="12" t="s">
        <v>117</v>
      </c>
      <c r="I21" s="12" t="s">
        <v>133</v>
      </c>
      <c r="J21" s="14"/>
      <c r="K21" s="13" t="s">
        <v>1477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836</v>
      </c>
      <c r="B22" s="12" t="s">
        <v>193</v>
      </c>
      <c r="C22" s="12" t="s">
        <v>1478</v>
      </c>
      <c r="D22" s="13" t="s">
        <v>1479</v>
      </c>
      <c r="E22" s="12" t="s">
        <v>154</v>
      </c>
      <c r="F22" s="12" t="s">
        <v>195</v>
      </c>
      <c r="G22" s="13" t="s">
        <v>1480</v>
      </c>
      <c r="H22" s="12" t="s">
        <v>117</v>
      </c>
      <c r="I22" s="12" t="s">
        <v>133</v>
      </c>
      <c r="J22" s="14"/>
      <c r="K22" s="13" t="s">
        <v>1481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839</v>
      </c>
      <c r="B23" s="12" t="s">
        <v>1482</v>
      </c>
      <c r="C23" s="12" t="s">
        <v>1148</v>
      </c>
      <c r="D23" s="13" t="s">
        <v>1483</v>
      </c>
      <c r="E23" s="12" t="s">
        <v>154</v>
      </c>
      <c r="F23" s="12" t="s">
        <v>195</v>
      </c>
      <c r="G23" s="13" t="s">
        <v>1484</v>
      </c>
      <c r="H23" s="12" t="s">
        <v>117</v>
      </c>
      <c r="I23" s="12" t="s">
        <v>133</v>
      </c>
      <c r="J23" s="14"/>
      <c r="K23" s="13" t="s">
        <v>1485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842</v>
      </c>
      <c r="B24" s="12" t="s">
        <v>1486</v>
      </c>
      <c r="C24" s="12" t="s">
        <v>53</v>
      </c>
      <c r="D24" s="13" t="s">
        <v>1487</v>
      </c>
      <c r="E24" s="12" t="s">
        <v>154</v>
      </c>
      <c r="F24" s="12" t="s">
        <v>195</v>
      </c>
      <c r="G24" s="13" t="s">
        <v>1480</v>
      </c>
      <c r="H24" s="12" t="s">
        <v>117</v>
      </c>
      <c r="I24" s="12" t="s">
        <v>133</v>
      </c>
      <c r="J24" s="14"/>
      <c r="K24" s="13" t="s">
        <v>1488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1011</v>
      </c>
      <c r="B25" s="12" t="s">
        <v>199</v>
      </c>
      <c r="C25" s="12" t="s">
        <v>53</v>
      </c>
      <c r="D25" s="13" t="s">
        <v>574</v>
      </c>
      <c r="E25" s="12" t="s">
        <v>154</v>
      </c>
      <c r="F25" s="12" t="s">
        <v>195</v>
      </c>
      <c r="G25" s="13" t="s">
        <v>1489</v>
      </c>
      <c r="H25" s="12" t="s">
        <v>117</v>
      </c>
      <c r="I25" s="12" t="s">
        <v>133</v>
      </c>
      <c r="J25" s="14"/>
      <c r="K25" s="13" t="s">
        <v>1490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1491</v>
      </c>
      <c r="B26" s="12" t="s">
        <v>207</v>
      </c>
      <c r="C26" s="12" t="s">
        <v>53</v>
      </c>
      <c r="D26" s="13" t="s">
        <v>1492</v>
      </c>
      <c r="E26" s="12" t="s">
        <v>154</v>
      </c>
      <c r="F26" s="12" t="s">
        <v>195</v>
      </c>
      <c r="G26" s="13" t="s">
        <v>1480</v>
      </c>
      <c r="H26" s="12" t="s">
        <v>117</v>
      </c>
      <c r="I26" s="12" t="s">
        <v>133</v>
      </c>
      <c r="J26" s="14"/>
      <c r="K26" s="13" t="s">
        <v>583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1493</v>
      </c>
      <c r="B27" s="12" t="s">
        <v>211</v>
      </c>
      <c r="C27" s="12" t="s">
        <v>53</v>
      </c>
      <c r="D27" s="13" t="s">
        <v>1494</v>
      </c>
      <c r="E27" s="12" t="s">
        <v>154</v>
      </c>
      <c r="F27" s="12" t="s">
        <v>213</v>
      </c>
      <c r="G27" s="13" t="s">
        <v>1495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1496</v>
      </c>
      <c r="B28" s="12" t="s">
        <v>216</v>
      </c>
      <c r="C28" s="12" t="s">
        <v>53</v>
      </c>
      <c r="D28" s="13" t="s">
        <v>1497</v>
      </c>
      <c r="E28" s="12" t="s">
        <v>154</v>
      </c>
      <c r="F28" s="12" t="s">
        <v>213</v>
      </c>
      <c r="G28" s="13" t="s">
        <v>1498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1499</v>
      </c>
      <c r="B29" s="12" t="s">
        <v>220</v>
      </c>
      <c r="C29" s="12" t="s">
        <v>53</v>
      </c>
      <c r="D29" s="13" t="s">
        <v>1500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s">
        <v>1501</v>
      </c>
      <c r="K29" s="13" t="s">
        <v>1502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1503</v>
      </c>
      <c r="B30" s="12" t="s">
        <v>225</v>
      </c>
      <c r="C30" s="12" t="s">
        <v>53</v>
      </c>
      <c r="D30" s="13" t="s">
        <v>1504</v>
      </c>
      <c r="E30" s="12" t="s">
        <v>154</v>
      </c>
      <c r="F30" s="12" t="s">
        <v>154</v>
      </c>
      <c r="G30" s="13" t="s">
        <v>594</v>
      </c>
      <c r="H30" s="12" t="s">
        <v>119</v>
      </c>
      <c r="I30" s="12" t="s">
        <v>134</v>
      </c>
      <c r="J30" s="14" t="s">
        <v>1501</v>
      </c>
      <c r="K30" s="13" t="s">
        <v>1505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1508</v>
      </c>
      <c r="B9" s="12" t="s">
        <v>151</v>
      </c>
      <c r="C9" s="12" t="s">
        <v>1445</v>
      </c>
      <c r="D9" s="13" t="s">
        <v>1509</v>
      </c>
      <c r="E9" s="12" t="s">
        <v>154</v>
      </c>
      <c r="F9" s="12" t="s">
        <v>155</v>
      </c>
      <c r="G9" s="13" t="s">
        <v>1510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1511</v>
      </c>
      <c r="B10" s="12" t="s">
        <v>1404</v>
      </c>
      <c r="C10" s="12" t="s">
        <v>1246</v>
      </c>
      <c r="D10" s="13" t="s">
        <v>1448</v>
      </c>
      <c r="E10" s="12" t="s">
        <v>154</v>
      </c>
      <c r="F10" s="12" t="s">
        <v>174</v>
      </c>
      <c r="G10" s="13" t="s">
        <v>1512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1513</v>
      </c>
      <c r="B11" s="12" t="s">
        <v>158</v>
      </c>
      <c r="C11" s="12" t="s">
        <v>54</v>
      </c>
      <c r="D11" s="13" t="s">
        <v>1514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1515</v>
      </c>
      <c r="B12" s="12" t="s">
        <v>162</v>
      </c>
      <c r="C12" s="12" t="s">
        <v>1451</v>
      </c>
      <c r="D12" s="13" t="s">
        <v>1516</v>
      </c>
      <c r="E12" s="12" t="s">
        <v>154</v>
      </c>
      <c r="F12" s="12" t="s">
        <v>164</v>
      </c>
      <c r="G12" s="13" t="s">
        <v>1517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1518</v>
      </c>
      <c r="B13" s="12" t="s">
        <v>167</v>
      </c>
      <c r="C13" s="12" t="s">
        <v>1454</v>
      </c>
      <c r="D13" s="13" t="s">
        <v>1455</v>
      </c>
      <c r="E13" s="12" t="s">
        <v>154</v>
      </c>
      <c r="F13" s="12" t="s">
        <v>169</v>
      </c>
      <c r="G13" s="13" t="s">
        <v>1519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1520</v>
      </c>
      <c r="B14" s="12" t="s">
        <v>1457</v>
      </c>
      <c r="C14" s="12" t="s">
        <v>1458</v>
      </c>
      <c r="D14" s="13" t="s">
        <v>1521</v>
      </c>
      <c r="E14" s="12" t="s">
        <v>154</v>
      </c>
      <c r="F14" s="12" t="s">
        <v>174</v>
      </c>
      <c r="G14" s="13" t="s">
        <v>1522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1523</v>
      </c>
      <c r="B15" s="12" t="s">
        <v>1195</v>
      </c>
      <c r="C15" s="12" t="s">
        <v>1445</v>
      </c>
      <c r="D15" s="13" t="s">
        <v>1461</v>
      </c>
      <c r="E15" s="12" t="s">
        <v>154</v>
      </c>
      <c r="F15" s="12" t="s">
        <v>179</v>
      </c>
      <c r="G15" s="13" t="s">
        <v>1524</v>
      </c>
      <c r="H15" s="12" t="s">
        <v>119</v>
      </c>
      <c r="I15" s="12" t="s">
        <v>134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1525</v>
      </c>
      <c r="B16" s="12" t="s">
        <v>1463</v>
      </c>
      <c r="C16" s="12" t="s">
        <v>1464</v>
      </c>
      <c r="D16" s="13" t="s">
        <v>1526</v>
      </c>
      <c r="E16" s="12" t="s">
        <v>154</v>
      </c>
      <c r="F16" s="12" t="s">
        <v>179</v>
      </c>
      <c r="G16" s="13" t="s">
        <v>1527</v>
      </c>
      <c r="H16" s="12" t="s">
        <v>119</v>
      </c>
      <c r="I16" s="12" t="s">
        <v>134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1528</v>
      </c>
      <c r="B17" s="12" t="s">
        <v>1467</v>
      </c>
      <c r="C17" s="12" t="s">
        <v>1468</v>
      </c>
      <c r="D17" s="13" t="s">
        <v>1469</v>
      </c>
      <c r="E17" s="12" t="s">
        <v>154</v>
      </c>
      <c r="F17" s="12" t="s">
        <v>179</v>
      </c>
      <c r="G17" s="13" t="s">
        <v>1524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1529</v>
      </c>
      <c r="B18" s="12" t="s">
        <v>1470</v>
      </c>
      <c r="C18" s="12" t="s">
        <v>1445</v>
      </c>
      <c r="D18" s="13" t="s">
        <v>1530</v>
      </c>
      <c r="E18" s="12" t="s">
        <v>154</v>
      </c>
      <c r="F18" s="12" t="s">
        <v>179</v>
      </c>
      <c r="G18" s="13" t="s">
        <v>1527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1531</v>
      </c>
      <c r="B19" s="12" t="s">
        <v>202</v>
      </c>
      <c r="C19" s="12" t="s">
        <v>1472</v>
      </c>
      <c r="D19" s="13" t="s">
        <v>1473</v>
      </c>
      <c r="E19" s="12" t="s">
        <v>154</v>
      </c>
      <c r="F19" s="12" t="s">
        <v>174</v>
      </c>
      <c r="G19" s="13" t="s">
        <v>1522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1532</v>
      </c>
      <c r="B20" s="12" t="s">
        <v>182</v>
      </c>
      <c r="C20" s="12" t="s">
        <v>54</v>
      </c>
      <c r="D20" s="13" t="s">
        <v>1533</v>
      </c>
      <c r="E20" s="12" t="s">
        <v>154</v>
      </c>
      <c r="F20" s="12" t="s">
        <v>184</v>
      </c>
      <c r="G20" s="13" t="s">
        <v>1524</v>
      </c>
      <c r="H20" s="12" t="s">
        <v>119</v>
      </c>
      <c r="I20" s="12" t="s">
        <v>134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1534</v>
      </c>
      <c r="B21" s="12" t="s">
        <v>187</v>
      </c>
      <c r="C21" s="12" t="s">
        <v>54</v>
      </c>
      <c r="D21" s="13" t="s">
        <v>1475</v>
      </c>
      <c r="E21" s="12" t="s">
        <v>154</v>
      </c>
      <c r="F21" s="12" t="s">
        <v>189</v>
      </c>
      <c r="G21" s="13" t="s">
        <v>1535</v>
      </c>
      <c r="H21" s="12" t="s">
        <v>117</v>
      </c>
      <c r="I21" s="12" t="s">
        <v>133</v>
      </c>
      <c r="J21" s="14"/>
      <c r="K21" s="13" t="s">
        <v>1477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1536</v>
      </c>
      <c r="B22" s="12" t="s">
        <v>193</v>
      </c>
      <c r="C22" s="12" t="s">
        <v>1478</v>
      </c>
      <c r="D22" s="13" t="s">
        <v>1479</v>
      </c>
      <c r="E22" s="12" t="s">
        <v>154</v>
      </c>
      <c r="F22" s="12" t="s">
        <v>195</v>
      </c>
      <c r="G22" s="13" t="s">
        <v>1537</v>
      </c>
      <c r="H22" s="12" t="s">
        <v>117</v>
      </c>
      <c r="I22" s="12" t="s">
        <v>133</v>
      </c>
      <c r="J22" s="14"/>
      <c r="K22" s="13" t="s">
        <v>1481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1538</v>
      </c>
      <c r="B23" s="12" t="s">
        <v>1482</v>
      </c>
      <c r="C23" s="12" t="s">
        <v>1148</v>
      </c>
      <c r="D23" s="13" t="s">
        <v>1539</v>
      </c>
      <c r="E23" s="12" t="s">
        <v>154</v>
      </c>
      <c r="F23" s="12" t="s">
        <v>195</v>
      </c>
      <c r="G23" s="13" t="s">
        <v>1540</v>
      </c>
      <c r="H23" s="12" t="s">
        <v>117</v>
      </c>
      <c r="I23" s="12" t="s">
        <v>133</v>
      </c>
      <c r="J23" s="14"/>
      <c r="K23" s="13" t="s">
        <v>1485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1541</v>
      </c>
      <c r="B24" s="12" t="s">
        <v>1486</v>
      </c>
      <c r="C24" s="12" t="s">
        <v>54</v>
      </c>
      <c r="D24" s="13" t="s">
        <v>1487</v>
      </c>
      <c r="E24" s="12" t="s">
        <v>154</v>
      </c>
      <c r="F24" s="12" t="s">
        <v>195</v>
      </c>
      <c r="G24" s="13" t="s">
        <v>1537</v>
      </c>
      <c r="H24" s="12" t="s">
        <v>117</v>
      </c>
      <c r="I24" s="12" t="s">
        <v>133</v>
      </c>
      <c r="J24" s="14"/>
      <c r="K24" s="13" t="s">
        <v>1488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1542</v>
      </c>
      <c r="B25" s="12" t="s">
        <v>199</v>
      </c>
      <c r="C25" s="12" t="s">
        <v>54</v>
      </c>
      <c r="D25" s="13" t="s">
        <v>574</v>
      </c>
      <c r="E25" s="12" t="s">
        <v>154</v>
      </c>
      <c r="F25" s="12" t="s">
        <v>195</v>
      </c>
      <c r="G25" s="13" t="s">
        <v>1543</v>
      </c>
      <c r="H25" s="12" t="s">
        <v>117</v>
      </c>
      <c r="I25" s="12" t="s">
        <v>133</v>
      </c>
      <c r="J25" s="14"/>
      <c r="K25" s="13" t="s">
        <v>1490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1544</v>
      </c>
      <c r="B26" s="12" t="s">
        <v>207</v>
      </c>
      <c r="C26" s="12" t="s">
        <v>54</v>
      </c>
      <c r="D26" s="13" t="s">
        <v>1545</v>
      </c>
      <c r="E26" s="12" t="s">
        <v>154</v>
      </c>
      <c r="F26" s="12" t="s">
        <v>195</v>
      </c>
      <c r="G26" s="13" t="s">
        <v>1537</v>
      </c>
      <c r="H26" s="12" t="s">
        <v>117</v>
      </c>
      <c r="I26" s="12" t="s">
        <v>133</v>
      </c>
      <c r="J26" s="14"/>
      <c r="K26" s="13" t="s">
        <v>583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1546</v>
      </c>
      <c r="B27" s="12" t="s">
        <v>211</v>
      </c>
      <c r="C27" s="12" t="s">
        <v>54</v>
      </c>
      <c r="D27" s="13" t="s">
        <v>1494</v>
      </c>
      <c r="E27" s="12" t="s">
        <v>154</v>
      </c>
      <c r="F27" s="12" t="s">
        <v>213</v>
      </c>
      <c r="G27" s="13" t="s">
        <v>1547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1548</v>
      </c>
      <c r="B28" s="12" t="s">
        <v>216</v>
      </c>
      <c r="C28" s="12" t="s">
        <v>54</v>
      </c>
      <c r="D28" s="13" t="s">
        <v>1549</v>
      </c>
      <c r="E28" s="12" t="s">
        <v>154</v>
      </c>
      <c r="F28" s="12" t="s">
        <v>213</v>
      </c>
      <c r="G28" s="13" t="s">
        <v>1550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1551</v>
      </c>
      <c r="B29" s="12" t="s">
        <v>220</v>
      </c>
      <c r="C29" s="12" t="s">
        <v>54</v>
      </c>
      <c r="D29" s="13" t="s">
        <v>1552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n">
        <v>46229</v>
      </c>
      <c r="K29" s="13" t="s">
        <v>1502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1553</v>
      </c>
      <c r="B30" s="12" t="s">
        <v>225</v>
      </c>
      <c r="C30" s="12" t="s">
        <v>54</v>
      </c>
      <c r="D30" s="13" t="s">
        <v>1504</v>
      </c>
      <c r="E30" s="12" t="s">
        <v>154</v>
      </c>
      <c r="F30" s="12" t="s">
        <v>154</v>
      </c>
      <c r="G30" s="13" t="s">
        <v>594</v>
      </c>
      <c r="H30" s="12" t="s">
        <v>119</v>
      </c>
      <c r="I30" s="12" t="s">
        <v>134</v>
      </c>
      <c r="J30" s="14" t="n">
        <v>46229</v>
      </c>
      <c r="K30" s="13" t="s">
        <v>1505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1556</v>
      </c>
      <c r="B9" s="12" t="s">
        <v>151</v>
      </c>
      <c r="C9" s="12" t="s">
        <v>823</v>
      </c>
      <c r="D9" s="13" t="s">
        <v>1557</v>
      </c>
      <c r="E9" s="12" t="s">
        <v>154</v>
      </c>
      <c r="F9" s="12" t="s">
        <v>155</v>
      </c>
      <c r="G9" s="13" t="s">
        <v>1558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1559</v>
      </c>
      <c r="B10" s="12" t="s">
        <v>1404</v>
      </c>
      <c r="C10" s="12" t="s">
        <v>1560</v>
      </c>
      <c r="D10" s="13" t="s">
        <v>1561</v>
      </c>
      <c r="E10" s="12" t="s">
        <v>154</v>
      </c>
      <c r="F10" s="12" t="s">
        <v>174</v>
      </c>
      <c r="G10" s="13" t="s">
        <v>1562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1563</v>
      </c>
      <c r="B11" s="12" t="s">
        <v>158</v>
      </c>
      <c r="C11" s="12" t="s">
        <v>55</v>
      </c>
      <c r="D11" s="13" t="s">
        <v>1564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1565</v>
      </c>
      <c r="B12" s="12" t="s">
        <v>162</v>
      </c>
      <c r="C12" s="12" t="s">
        <v>1560</v>
      </c>
      <c r="D12" s="13" t="s">
        <v>1566</v>
      </c>
      <c r="E12" s="12" t="s">
        <v>154</v>
      </c>
      <c r="F12" s="12" t="s">
        <v>164</v>
      </c>
      <c r="G12" s="13" t="s">
        <v>1567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1568</v>
      </c>
      <c r="B13" s="12" t="s">
        <v>167</v>
      </c>
      <c r="C13" s="12" t="s">
        <v>1560</v>
      </c>
      <c r="D13" s="13" t="s">
        <v>1569</v>
      </c>
      <c r="E13" s="12" t="s">
        <v>154</v>
      </c>
      <c r="F13" s="12" t="s">
        <v>169</v>
      </c>
      <c r="G13" s="13" t="s">
        <v>1570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1571</v>
      </c>
      <c r="B14" s="12" t="s">
        <v>1195</v>
      </c>
      <c r="C14" s="12" t="s">
        <v>823</v>
      </c>
      <c r="D14" s="13" t="s">
        <v>1572</v>
      </c>
      <c r="E14" s="12" t="s">
        <v>154</v>
      </c>
      <c r="F14" s="12" t="s">
        <v>179</v>
      </c>
      <c r="G14" s="13" t="s">
        <v>1573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1574</v>
      </c>
      <c r="B15" s="12" t="s">
        <v>1575</v>
      </c>
      <c r="C15" s="12" t="s">
        <v>823</v>
      </c>
      <c r="D15" s="13" t="s">
        <v>1576</v>
      </c>
      <c r="E15" s="12" t="s">
        <v>154</v>
      </c>
      <c r="F15" s="12" t="s">
        <v>179</v>
      </c>
      <c r="G15" s="13" t="s">
        <v>1573</v>
      </c>
      <c r="H15" s="12" t="s">
        <v>119</v>
      </c>
      <c r="I15" s="12" t="s">
        <v>134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1577</v>
      </c>
      <c r="B16" s="12" t="s">
        <v>1578</v>
      </c>
      <c r="C16" s="12" t="s">
        <v>823</v>
      </c>
      <c r="D16" s="13" t="s">
        <v>1579</v>
      </c>
      <c r="E16" s="12" t="s">
        <v>154</v>
      </c>
      <c r="F16" s="12" t="s">
        <v>179</v>
      </c>
      <c r="G16" s="13" t="s">
        <v>1580</v>
      </c>
      <c r="H16" s="12" t="s">
        <v>119</v>
      </c>
      <c r="I16" s="12" t="s">
        <v>134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1581</v>
      </c>
      <c r="B17" s="12" t="s">
        <v>1582</v>
      </c>
      <c r="C17" s="12" t="s">
        <v>1560</v>
      </c>
      <c r="D17" s="13" t="s">
        <v>1583</v>
      </c>
      <c r="E17" s="12" t="s">
        <v>154</v>
      </c>
      <c r="F17" s="12" t="s">
        <v>179</v>
      </c>
      <c r="G17" s="13" t="s">
        <v>1573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1584</v>
      </c>
      <c r="B18" s="12" t="s">
        <v>1470</v>
      </c>
      <c r="C18" s="12" t="s">
        <v>823</v>
      </c>
      <c r="D18" s="13" t="s">
        <v>1585</v>
      </c>
      <c r="E18" s="12" t="s">
        <v>154</v>
      </c>
      <c r="F18" s="12" t="s">
        <v>179</v>
      </c>
      <c r="G18" s="13" t="s">
        <v>1580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1586</v>
      </c>
      <c r="B19" s="12" t="s">
        <v>202</v>
      </c>
      <c r="C19" s="12" t="s">
        <v>823</v>
      </c>
      <c r="D19" s="13" t="s">
        <v>1587</v>
      </c>
      <c r="E19" s="12" t="s">
        <v>154</v>
      </c>
      <c r="F19" s="12" t="s">
        <v>174</v>
      </c>
      <c r="G19" s="13" t="s">
        <v>1588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1589</v>
      </c>
      <c r="B20" s="12" t="s">
        <v>182</v>
      </c>
      <c r="C20" s="12" t="s">
        <v>55</v>
      </c>
      <c r="D20" s="13" t="s">
        <v>1590</v>
      </c>
      <c r="E20" s="12" t="s">
        <v>154</v>
      </c>
      <c r="F20" s="12" t="s">
        <v>184</v>
      </c>
      <c r="G20" s="13" t="s">
        <v>1573</v>
      </c>
      <c r="H20" s="12" t="s">
        <v>119</v>
      </c>
      <c r="I20" s="12" t="s">
        <v>134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1591</v>
      </c>
      <c r="B21" s="12" t="s">
        <v>1592</v>
      </c>
      <c r="C21" s="12" t="s">
        <v>823</v>
      </c>
      <c r="D21" s="13" t="s">
        <v>1593</v>
      </c>
      <c r="E21" s="12" t="s">
        <v>154</v>
      </c>
      <c r="F21" s="12" t="s">
        <v>179</v>
      </c>
      <c r="G21" s="13" t="s">
        <v>1594</v>
      </c>
      <c r="H21" s="12" t="s">
        <v>119</v>
      </c>
      <c r="I21" s="12" t="s">
        <v>134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1595</v>
      </c>
      <c r="B22" s="12" t="s">
        <v>187</v>
      </c>
      <c r="C22" s="12" t="s">
        <v>55</v>
      </c>
      <c r="D22" s="13" t="s">
        <v>1596</v>
      </c>
      <c r="E22" s="12" t="s">
        <v>154</v>
      </c>
      <c r="F22" s="12" t="s">
        <v>189</v>
      </c>
      <c r="G22" s="13" t="s">
        <v>1597</v>
      </c>
      <c r="H22" s="12" t="s">
        <v>117</v>
      </c>
      <c r="I22" s="12" t="s">
        <v>133</v>
      </c>
      <c r="J22" s="14"/>
      <c r="K22" s="13" t="s">
        <v>1477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1598</v>
      </c>
      <c r="B23" s="12" t="s">
        <v>193</v>
      </c>
      <c r="C23" s="12" t="s">
        <v>823</v>
      </c>
      <c r="D23" s="13" t="s">
        <v>1599</v>
      </c>
      <c r="E23" s="12" t="s">
        <v>154</v>
      </c>
      <c r="F23" s="12" t="s">
        <v>195</v>
      </c>
      <c r="G23" s="13" t="s">
        <v>1600</v>
      </c>
      <c r="H23" s="12" t="s">
        <v>117</v>
      </c>
      <c r="I23" s="12" t="s">
        <v>133</v>
      </c>
      <c r="J23" s="14"/>
      <c r="K23" s="13" t="s">
        <v>1601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1602</v>
      </c>
      <c r="B24" s="12" t="s">
        <v>199</v>
      </c>
      <c r="C24" s="12" t="s">
        <v>1560</v>
      </c>
      <c r="D24" s="13" t="s">
        <v>574</v>
      </c>
      <c r="E24" s="12" t="s">
        <v>154</v>
      </c>
      <c r="F24" s="12" t="s">
        <v>195</v>
      </c>
      <c r="G24" s="13" t="s">
        <v>1603</v>
      </c>
      <c r="H24" s="12" t="s">
        <v>117</v>
      </c>
      <c r="I24" s="12" t="s">
        <v>133</v>
      </c>
      <c r="J24" s="14"/>
      <c r="K24" s="13" t="s">
        <v>1604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1605</v>
      </c>
      <c r="B25" s="12" t="s">
        <v>1486</v>
      </c>
      <c r="C25" s="12" t="s">
        <v>55</v>
      </c>
      <c r="D25" s="13" t="s">
        <v>1606</v>
      </c>
      <c r="E25" s="12" t="s">
        <v>154</v>
      </c>
      <c r="F25" s="12" t="s">
        <v>195</v>
      </c>
      <c r="G25" s="13" t="s">
        <v>1600</v>
      </c>
      <c r="H25" s="12" t="s">
        <v>117</v>
      </c>
      <c r="I25" s="12" t="s">
        <v>133</v>
      </c>
      <c r="J25" s="14"/>
      <c r="K25" s="13" t="s">
        <v>1488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1607</v>
      </c>
      <c r="B26" s="12" t="s">
        <v>207</v>
      </c>
      <c r="C26" s="12" t="s">
        <v>55</v>
      </c>
      <c r="D26" s="13" t="s">
        <v>1608</v>
      </c>
      <c r="E26" s="12" t="s">
        <v>154</v>
      </c>
      <c r="F26" s="12" t="s">
        <v>195</v>
      </c>
      <c r="G26" s="13" t="s">
        <v>1600</v>
      </c>
      <c r="H26" s="12" t="s">
        <v>117</v>
      </c>
      <c r="I26" s="12" t="s">
        <v>133</v>
      </c>
      <c r="J26" s="14"/>
      <c r="K26" s="13" t="s">
        <v>583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1609</v>
      </c>
      <c r="B27" s="12" t="s">
        <v>211</v>
      </c>
      <c r="C27" s="12" t="s">
        <v>55</v>
      </c>
      <c r="D27" s="13" t="s">
        <v>1610</v>
      </c>
      <c r="E27" s="12" t="s">
        <v>154</v>
      </c>
      <c r="F27" s="12" t="s">
        <v>213</v>
      </c>
      <c r="G27" s="13" t="s">
        <v>1611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1612</v>
      </c>
      <c r="B28" s="12" t="s">
        <v>216</v>
      </c>
      <c r="C28" s="12" t="s">
        <v>55</v>
      </c>
      <c r="D28" s="13" t="s">
        <v>1613</v>
      </c>
      <c r="E28" s="12" t="s">
        <v>154</v>
      </c>
      <c r="F28" s="12" t="s">
        <v>213</v>
      </c>
      <c r="G28" s="13" t="s">
        <v>1614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1615</v>
      </c>
      <c r="B29" s="12" t="s">
        <v>220</v>
      </c>
      <c r="C29" s="12" t="s">
        <v>55</v>
      </c>
      <c r="D29" s="13" t="s">
        <v>1616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1617</v>
      </c>
      <c r="B30" s="12" t="s">
        <v>225</v>
      </c>
      <c r="C30" s="12" t="s">
        <v>55</v>
      </c>
      <c r="D30" s="13" t="s">
        <v>1504</v>
      </c>
      <c r="E30" s="12" t="s">
        <v>154</v>
      </c>
      <c r="F30" s="12" t="s">
        <v>154</v>
      </c>
      <c r="G30" s="13" t="s">
        <v>594</v>
      </c>
      <c r="H30" s="12" t="s">
        <v>119</v>
      </c>
      <c r="I30" s="12" t="s">
        <v>134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1620</v>
      </c>
      <c r="B9" s="1" t="s">
        <v>151</v>
      </c>
      <c r="C9" s="1" t="s">
        <v>1621</v>
      </c>
      <c r="D9" s="1" t="s">
        <v>1622</v>
      </c>
      <c r="E9" s="1" t="s">
        <v>154</v>
      </c>
      <c r="F9" s="1" t="s">
        <v>155</v>
      </c>
      <c r="G9" s="1" t="s">
        <v>1623</v>
      </c>
      <c r="H9" s="1" t="s">
        <v>119</v>
      </c>
      <c r="I9" s="1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1624</v>
      </c>
      <c r="B10" s="1" t="s">
        <v>1404</v>
      </c>
      <c r="C10" s="1" t="s">
        <v>1621</v>
      </c>
      <c r="D10" s="1" t="s">
        <v>1625</v>
      </c>
      <c r="E10" s="1" t="s">
        <v>154</v>
      </c>
      <c r="F10" s="1" t="s">
        <v>174</v>
      </c>
      <c r="G10" s="1" t="s">
        <v>1626</v>
      </c>
      <c r="H10" s="1" t="s">
        <v>119</v>
      </c>
      <c r="I10" s="1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1627</v>
      </c>
      <c r="B11" s="1" t="s">
        <v>158</v>
      </c>
      <c r="C11" s="1" t="s">
        <v>1628</v>
      </c>
      <c r="D11" s="1" t="s">
        <v>1629</v>
      </c>
      <c r="E11" s="1" t="s">
        <v>154</v>
      </c>
      <c r="F11" s="1" t="s">
        <v>154</v>
      </c>
      <c r="G11" s="1" t="s">
        <v>160</v>
      </c>
      <c r="H11" s="1" t="s">
        <v>119</v>
      </c>
      <c r="I11" s="1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1630</v>
      </c>
      <c r="B12" s="1" t="s">
        <v>162</v>
      </c>
      <c r="C12" s="1" t="s">
        <v>1621</v>
      </c>
      <c r="D12" s="1" t="s">
        <v>1631</v>
      </c>
      <c r="E12" s="1" t="s">
        <v>154</v>
      </c>
      <c r="F12" s="1" t="s">
        <v>164</v>
      </c>
      <c r="G12" s="1" t="s">
        <v>1632</v>
      </c>
      <c r="H12" s="1" t="s">
        <v>119</v>
      </c>
      <c r="I12" s="1" t="s">
        <v>134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1633</v>
      </c>
      <c r="B13" s="1" t="s">
        <v>167</v>
      </c>
      <c r="C13" s="1" t="s">
        <v>1621</v>
      </c>
      <c r="D13" s="1" t="s">
        <v>1634</v>
      </c>
      <c r="E13" s="1" t="s">
        <v>154</v>
      </c>
      <c r="F13" s="1" t="s">
        <v>169</v>
      </c>
      <c r="G13" s="1" t="s">
        <v>1635</v>
      </c>
      <c r="H13" s="1" t="s">
        <v>119</v>
      </c>
      <c r="I13" s="1" t="s">
        <v>134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1636</v>
      </c>
      <c r="B14" s="1" t="s">
        <v>1637</v>
      </c>
      <c r="C14" s="1" t="s">
        <v>1621</v>
      </c>
      <c r="D14" s="1" t="s">
        <v>1638</v>
      </c>
      <c r="E14" s="1" t="s">
        <v>154</v>
      </c>
      <c r="F14" s="1" t="s">
        <v>179</v>
      </c>
      <c r="G14" s="1" t="s">
        <v>1639</v>
      </c>
      <c r="H14" s="1" t="s">
        <v>119</v>
      </c>
      <c r="I14" s="1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1640</v>
      </c>
      <c r="B15" s="1" t="s">
        <v>1641</v>
      </c>
      <c r="C15" s="1" t="s">
        <v>823</v>
      </c>
      <c r="D15" s="1" t="s">
        <v>1642</v>
      </c>
      <c r="E15" s="1" t="s">
        <v>154</v>
      </c>
      <c r="F15" s="1" t="s">
        <v>179</v>
      </c>
      <c r="G15" s="1" t="s">
        <v>1639</v>
      </c>
      <c r="H15" s="1" t="s">
        <v>119</v>
      </c>
      <c r="I15" s="1" t="s">
        <v>134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1643</v>
      </c>
      <c r="B16" s="1" t="s">
        <v>1644</v>
      </c>
      <c r="C16" s="1" t="s">
        <v>1621</v>
      </c>
      <c r="D16" s="1" t="s">
        <v>1645</v>
      </c>
      <c r="E16" s="1" t="s">
        <v>154</v>
      </c>
      <c r="F16" s="1" t="s">
        <v>179</v>
      </c>
      <c r="G16" s="1" t="s">
        <v>1639</v>
      </c>
      <c r="H16" s="1" t="s">
        <v>119</v>
      </c>
      <c r="I16" s="1" t="s">
        <v>134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1646</v>
      </c>
      <c r="B17" s="1" t="s">
        <v>111</v>
      </c>
      <c r="C17" s="1" t="s">
        <v>823</v>
      </c>
      <c r="D17" s="1" t="s">
        <v>1647</v>
      </c>
      <c r="E17" s="1" t="s">
        <v>154</v>
      </c>
      <c r="F17" s="1" t="s">
        <v>174</v>
      </c>
      <c r="G17" s="1" t="s">
        <v>1648</v>
      </c>
      <c r="H17" s="1" t="s">
        <v>119</v>
      </c>
      <c r="I17" s="1" t="s">
        <v>134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1649</v>
      </c>
      <c r="B18" s="1" t="s">
        <v>1650</v>
      </c>
      <c r="C18" s="1" t="s">
        <v>1621</v>
      </c>
      <c r="D18" s="1" t="s">
        <v>1651</v>
      </c>
      <c r="E18" s="1" t="s">
        <v>154</v>
      </c>
      <c r="F18" s="1" t="s">
        <v>179</v>
      </c>
      <c r="G18" s="1" t="s">
        <v>1639</v>
      </c>
      <c r="H18" s="1" t="s">
        <v>119</v>
      </c>
      <c r="I18" s="1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1652</v>
      </c>
      <c r="B19" s="1" t="s">
        <v>1653</v>
      </c>
      <c r="C19" s="1" t="s">
        <v>1621</v>
      </c>
      <c r="D19" s="1" t="s">
        <v>1654</v>
      </c>
      <c r="E19" s="1" t="s">
        <v>154</v>
      </c>
      <c r="F19" s="1" t="s">
        <v>179</v>
      </c>
      <c r="G19" s="1" t="s">
        <v>1648</v>
      </c>
      <c r="H19" s="1" t="s">
        <v>119</v>
      </c>
      <c r="I19" s="1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1655</v>
      </c>
      <c r="B20" s="1" t="s">
        <v>1470</v>
      </c>
      <c r="C20" s="1" t="s">
        <v>823</v>
      </c>
      <c r="D20" s="1" t="s">
        <v>1656</v>
      </c>
      <c r="E20" s="1" t="s">
        <v>154</v>
      </c>
      <c r="F20" s="1" t="s">
        <v>179</v>
      </c>
      <c r="G20" s="1" t="s">
        <v>1639</v>
      </c>
      <c r="H20" s="1" t="s">
        <v>119</v>
      </c>
      <c r="I20" s="1" t="s">
        <v>134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1657</v>
      </c>
      <c r="B21" s="1" t="s">
        <v>202</v>
      </c>
      <c r="C21" s="1" t="s">
        <v>1621</v>
      </c>
      <c r="D21" s="1" t="s">
        <v>1658</v>
      </c>
      <c r="E21" s="1" t="s">
        <v>154</v>
      </c>
      <c r="F21" s="1" t="s">
        <v>179</v>
      </c>
      <c r="G21" s="1" t="s">
        <v>1639</v>
      </c>
      <c r="H21" s="1" t="s">
        <v>119</v>
      </c>
      <c r="I21" s="1" t="s">
        <v>134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1659</v>
      </c>
      <c r="B22" s="1" t="s">
        <v>182</v>
      </c>
      <c r="C22" s="1" t="s">
        <v>1621</v>
      </c>
      <c r="D22" s="1" t="s">
        <v>1660</v>
      </c>
      <c r="E22" s="1" t="s">
        <v>154</v>
      </c>
      <c r="F22" s="1" t="s">
        <v>184</v>
      </c>
      <c r="G22" s="1" t="s">
        <v>1639</v>
      </c>
      <c r="H22" s="1" t="s">
        <v>119</v>
      </c>
      <c r="I22" s="1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1661</v>
      </c>
      <c r="B23" s="1" t="s">
        <v>187</v>
      </c>
      <c r="C23" s="1" t="s">
        <v>1628</v>
      </c>
      <c r="D23" s="1" t="s">
        <v>1662</v>
      </c>
      <c r="E23" s="1" t="s">
        <v>154</v>
      </c>
      <c r="F23" s="1" t="s">
        <v>189</v>
      </c>
      <c r="G23" s="1" t="s">
        <v>1663</v>
      </c>
      <c r="H23" s="1" t="s">
        <v>113</v>
      </c>
      <c r="I23" s="1" t="s">
        <v>133</v>
      </c>
      <c r="J23" s="10" t="n">
        <v>46229</v>
      </c>
      <c r="K23" s="1" t="s">
        <v>1664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1665</v>
      </c>
      <c r="B24" s="1" t="s">
        <v>207</v>
      </c>
      <c r="C24" s="1" t="s">
        <v>1628</v>
      </c>
      <c r="D24" s="1" t="s">
        <v>1666</v>
      </c>
      <c r="E24" s="1" t="s">
        <v>154</v>
      </c>
      <c r="F24" s="1" t="s">
        <v>195</v>
      </c>
      <c r="G24" s="1" t="s">
        <v>1667</v>
      </c>
      <c r="H24" s="1" t="s">
        <v>113</v>
      </c>
      <c r="I24" s="1" t="s">
        <v>133</v>
      </c>
      <c r="J24" s="10" t="n">
        <v>46229</v>
      </c>
      <c r="K24" s="1" t="s">
        <v>1668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1669</v>
      </c>
      <c r="B25" s="1" t="s">
        <v>211</v>
      </c>
      <c r="C25" s="1" t="s">
        <v>1628</v>
      </c>
      <c r="D25" s="1" t="s">
        <v>1670</v>
      </c>
      <c r="E25" s="1" t="s">
        <v>154</v>
      </c>
      <c r="F25" s="1" t="s">
        <v>213</v>
      </c>
      <c r="G25" s="1" t="s">
        <v>1671</v>
      </c>
      <c r="H25" s="1" t="s">
        <v>119</v>
      </c>
      <c r="I25" s="1" t="s">
        <v>134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1672</v>
      </c>
      <c r="B26" s="1" t="s">
        <v>216</v>
      </c>
      <c r="C26" s="1" t="s">
        <v>1628</v>
      </c>
      <c r="D26" s="1" t="s">
        <v>1673</v>
      </c>
      <c r="E26" s="1" t="s">
        <v>154</v>
      </c>
      <c r="F26" s="1" t="s">
        <v>213</v>
      </c>
      <c r="G26" s="1" t="s">
        <v>1674</v>
      </c>
      <c r="H26" s="1" t="s">
        <v>119</v>
      </c>
      <c r="I26" s="1" t="s">
        <v>134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1675</v>
      </c>
      <c r="B27" s="1" t="s">
        <v>220</v>
      </c>
      <c r="C27" s="1" t="s">
        <v>1628</v>
      </c>
      <c r="D27" s="1" t="s">
        <v>1676</v>
      </c>
      <c r="E27" s="1" t="s">
        <v>222</v>
      </c>
      <c r="F27" s="1" t="s">
        <v>222</v>
      </c>
      <c r="G27" s="1" t="s">
        <v>223</v>
      </c>
      <c r="H27" s="1" t="s">
        <v>119</v>
      </c>
      <c r="I27" s="1" t="s">
        <v>134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1677</v>
      </c>
      <c r="B28" s="1" t="s">
        <v>225</v>
      </c>
      <c r="C28" s="1" t="s">
        <v>1628</v>
      </c>
      <c r="D28" s="1" t="s">
        <v>1678</v>
      </c>
      <c r="E28" s="1" t="s">
        <v>154</v>
      </c>
      <c r="F28" s="1" t="s">
        <v>154</v>
      </c>
      <c r="G28" s="1" t="s">
        <v>227</v>
      </c>
      <c r="H28" s="1" t="s">
        <v>119</v>
      </c>
      <c r="I28" s="1" t="s">
        <v>134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1681</v>
      </c>
      <c r="B9" s="1" t="s">
        <v>151</v>
      </c>
      <c r="C9" s="1" t="s">
        <v>1682</v>
      </c>
      <c r="D9" s="1" t="s">
        <v>1683</v>
      </c>
      <c r="E9" s="1" t="s">
        <v>154</v>
      </c>
      <c r="F9" s="1" t="s">
        <v>155</v>
      </c>
      <c r="G9" s="1" t="s">
        <v>1684</v>
      </c>
      <c r="H9" s="1" t="s">
        <v>119</v>
      </c>
      <c r="I9" s="1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1685</v>
      </c>
      <c r="B10" s="1" t="s">
        <v>1404</v>
      </c>
      <c r="C10" s="1" t="s">
        <v>1682</v>
      </c>
      <c r="D10" s="1" t="s">
        <v>1686</v>
      </c>
      <c r="E10" s="1" t="s">
        <v>154</v>
      </c>
      <c r="F10" s="1" t="s">
        <v>174</v>
      </c>
      <c r="G10" s="1" t="s">
        <v>1687</v>
      </c>
      <c r="H10" s="1" t="s">
        <v>119</v>
      </c>
      <c r="I10" s="1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1688</v>
      </c>
      <c r="B11" s="1" t="s">
        <v>158</v>
      </c>
      <c r="C11" s="1" t="s">
        <v>57</v>
      </c>
      <c r="D11" s="1" t="s">
        <v>1689</v>
      </c>
      <c r="E11" s="1" t="s">
        <v>154</v>
      </c>
      <c r="F11" s="1" t="s">
        <v>154</v>
      </c>
      <c r="G11" s="1" t="s">
        <v>160</v>
      </c>
      <c r="H11" s="1" t="s">
        <v>119</v>
      </c>
      <c r="I11" s="1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1690</v>
      </c>
      <c r="B12" s="1" t="s">
        <v>162</v>
      </c>
      <c r="C12" s="1" t="s">
        <v>1682</v>
      </c>
      <c r="D12" s="1" t="s">
        <v>1691</v>
      </c>
      <c r="E12" s="1" t="s">
        <v>154</v>
      </c>
      <c r="F12" s="1" t="s">
        <v>164</v>
      </c>
      <c r="G12" s="1" t="s">
        <v>1692</v>
      </c>
      <c r="H12" s="1" t="s">
        <v>119</v>
      </c>
      <c r="I12" s="1" t="s">
        <v>134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1693</v>
      </c>
      <c r="B13" s="1" t="s">
        <v>167</v>
      </c>
      <c r="C13" s="1" t="s">
        <v>1682</v>
      </c>
      <c r="D13" s="1" t="s">
        <v>1694</v>
      </c>
      <c r="E13" s="1" t="s">
        <v>154</v>
      </c>
      <c r="F13" s="1" t="s">
        <v>169</v>
      </c>
      <c r="G13" s="1" t="s">
        <v>1695</v>
      </c>
      <c r="H13" s="1" t="s">
        <v>119</v>
      </c>
      <c r="I13" s="1" t="s">
        <v>134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1696</v>
      </c>
      <c r="B14" s="1" t="s">
        <v>1637</v>
      </c>
      <c r="C14" s="1" t="s">
        <v>1682</v>
      </c>
      <c r="D14" s="1" t="s">
        <v>1697</v>
      </c>
      <c r="E14" s="1" t="s">
        <v>154</v>
      </c>
      <c r="F14" s="1" t="s">
        <v>179</v>
      </c>
      <c r="G14" s="1" t="s">
        <v>1698</v>
      </c>
      <c r="H14" s="1" t="s">
        <v>119</v>
      </c>
      <c r="I14" s="1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1699</v>
      </c>
      <c r="B15" s="1" t="s">
        <v>1641</v>
      </c>
      <c r="C15" s="1" t="s">
        <v>823</v>
      </c>
      <c r="D15" s="1" t="s">
        <v>1700</v>
      </c>
      <c r="E15" s="1" t="s">
        <v>154</v>
      </c>
      <c r="F15" s="1" t="s">
        <v>179</v>
      </c>
      <c r="G15" s="1" t="s">
        <v>1698</v>
      </c>
      <c r="H15" s="1" t="s">
        <v>119</v>
      </c>
      <c r="I15" s="1" t="s">
        <v>134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1701</v>
      </c>
      <c r="B16" s="1" t="s">
        <v>1644</v>
      </c>
      <c r="C16" s="1" t="s">
        <v>823</v>
      </c>
      <c r="D16" s="1" t="s">
        <v>1702</v>
      </c>
      <c r="E16" s="1" t="s">
        <v>154</v>
      </c>
      <c r="F16" s="1" t="s">
        <v>179</v>
      </c>
      <c r="G16" s="1" t="s">
        <v>1698</v>
      </c>
      <c r="H16" s="1" t="s">
        <v>119</v>
      </c>
      <c r="I16" s="1" t="s">
        <v>134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1703</v>
      </c>
      <c r="B17" s="1" t="s">
        <v>111</v>
      </c>
      <c r="C17" s="1" t="s">
        <v>823</v>
      </c>
      <c r="D17" s="1" t="s">
        <v>1704</v>
      </c>
      <c r="E17" s="1" t="s">
        <v>154</v>
      </c>
      <c r="F17" s="1" t="s">
        <v>174</v>
      </c>
      <c r="G17" s="1" t="s">
        <v>1705</v>
      </c>
      <c r="H17" s="1" t="s">
        <v>119</v>
      </c>
      <c r="I17" s="1" t="s">
        <v>134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1706</v>
      </c>
      <c r="B18" s="1" t="s">
        <v>1650</v>
      </c>
      <c r="C18" s="1" t="s">
        <v>1682</v>
      </c>
      <c r="D18" s="1" t="s">
        <v>1707</v>
      </c>
      <c r="E18" s="1" t="s">
        <v>154</v>
      </c>
      <c r="F18" s="1" t="s">
        <v>179</v>
      </c>
      <c r="G18" s="1" t="s">
        <v>1705</v>
      </c>
      <c r="H18" s="1" t="s">
        <v>119</v>
      </c>
      <c r="I18" s="1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1708</v>
      </c>
      <c r="B19" s="1" t="s">
        <v>1653</v>
      </c>
      <c r="C19" s="1" t="s">
        <v>1682</v>
      </c>
      <c r="D19" s="1" t="s">
        <v>1709</v>
      </c>
      <c r="E19" s="1" t="s">
        <v>154</v>
      </c>
      <c r="F19" s="1" t="s">
        <v>174</v>
      </c>
      <c r="G19" s="1" t="s">
        <v>1687</v>
      </c>
      <c r="H19" s="1" t="s">
        <v>119</v>
      </c>
      <c r="I19" s="1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1710</v>
      </c>
      <c r="B20" s="1" t="s">
        <v>1470</v>
      </c>
      <c r="C20" s="1" t="s">
        <v>823</v>
      </c>
      <c r="D20" s="1" t="s">
        <v>1711</v>
      </c>
      <c r="E20" s="1" t="s">
        <v>154</v>
      </c>
      <c r="F20" s="1" t="s">
        <v>179</v>
      </c>
      <c r="G20" s="1" t="s">
        <v>1698</v>
      </c>
      <c r="H20" s="1" t="s">
        <v>119</v>
      </c>
      <c r="I20" s="1" t="s">
        <v>134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1712</v>
      </c>
      <c r="B21" s="1" t="s">
        <v>202</v>
      </c>
      <c r="C21" s="1" t="s">
        <v>1682</v>
      </c>
      <c r="D21" s="1" t="s">
        <v>1713</v>
      </c>
      <c r="E21" s="1" t="s">
        <v>154</v>
      </c>
      <c r="F21" s="1" t="s">
        <v>179</v>
      </c>
      <c r="G21" s="1" t="s">
        <v>1698</v>
      </c>
      <c r="H21" s="1" t="s">
        <v>119</v>
      </c>
      <c r="I21" s="1" t="s">
        <v>134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1714</v>
      </c>
      <c r="B22" s="1" t="s">
        <v>182</v>
      </c>
      <c r="C22" s="1" t="s">
        <v>1682</v>
      </c>
      <c r="D22" s="1" t="s">
        <v>1715</v>
      </c>
      <c r="E22" s="1" t="s">
        <v>154</v>
      </c>
      <c r="F22" s="1" t="s">
        <v>184</v>
      </c>
      <c r="G22" s="1" t="s">
        <v>1698</v>
      </c>
      <c r="H22" s="1" t="s">
        <v>119</v>
      </c>
      <c r="I22" s="1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1716</v>
      </c>
      <c r="B23" s="1" t="s">
        <v>187</v>
      </c>
      <c r="C23" s="1" t="s">
        <v>57</v>
      </c>
      <c r="D23" s="1" t="s">
        <v>1717</v>
      </c>
      <c r="E23" s="1" t="s">
        <v>154</v>
      </c>
      <c r="F23" s="1" t="s">
        <v>189</v>
      </c>
      <c r="G23" s="1" t="s">
        <v>1718</v>
      </c>
      <c r="H23" s="1" t="s">
        <v>113</v>
      </c>
      <c r="I23" s="1" t="s">
        <v>133</v>
      </c>
      <c r="J23" s="10" t="n">
        <v>46229</v>
      </c>
      <c r="K23" s="1" t="s">
        <v>1719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1720</v>
      </c>
      <c r="B24" s="1" t="s">
        <v>207</v>
      </c>
      <c r="C24" s="1" t="s">
        <v>57</v>
      </c>
      <c r="D24" s="1" t="s">
        <v>1721</v>
      </c>
      <c r="E24" s="1" t="s">
        <v>154</v>
      </c>
      <c r="F24" s="1" t="s">
        <v>195</v>
      </c>
      <c r="G24" s="1" t="s">
        <v>1722</v>
      </c>
      <c r="H24" s="1" t="s">
        <v>113</v>
      </c>
      <c r="I24" s="1" t="s">
        <v>133</v>
      </c>
      <c r="J24" s="10" t="n">
        <v>46229</v>
      </c>
      <c r="K24" s="1" t="s">
        <v>1723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1724</v>
      </c>
      <c r="B25" s="1" t="s">
        <v>211</v>
      </c>
      <c r="C25" s="1" t="s">
        <v>57</v>
      </c>
      <c r="D25" s="1" t="s">
        <v>1670</v>
      </c>
      <c r="E25" s="1" t="s">
        <v>154</v>
      </c>
      <c r="F25" s="1" t="s">
        <v>213</v>
      </c>
      <c r="G25" s="1" t="s">
        <v>1725</v>
      </c>
      <c r="H25" s="1" t="s">
        <v>119</v>
      </c>
      <c r="I25" s="1" t="s">
        <v>134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1726</v>
      </c>
      <c r="B26" s="1" t="s">
        <v>216</v>
      </c>
      <c r="C26" s="1" t="s">
        <v>57</v>
      </c>
      <c r="D26" s="1" t="s">
        <v>1673</v>
      </c>
      <c r="E26" s="1" t="s">
        <v>154</v>
      </c>
      <c r="F26" s="1" t="s">
        <v>213</v>
      </c>
      <c r="G26" s="1" t="s">
        <v>1727</v>
      </c>
      <c r="H26" s="1" t="s">
        <v>119</v>
      </c>
      <c r="I26" s="1" t="s">
        <v>134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1728</v>
      </c>
      <c r="B27" s="1" t="s">
        <v>220</v>
      </c>
      <c r="C27" s="1" t="s">
        <v>57</v>
      </c>
      <c r="D27" s="1" t="s">
        <v>1729</v>
      </c>
      <c r="E27" s="1" t="s">
        <v>222</v>
      </c>
      <c r="F27" s="1" t="s">
        <v>222</v>
      </c>
      <c r="G27" s="1" t="s">
        <v>223</v>
      </c>
      <c r="H27" s="1" t="s">
        <v>119</v>
      </c>
      <c r="I27" s="1" t="s">
        <v>134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1730</v>
      </c>
      <c r="B28" s="1" t="s">
        <v>225</v>
      </c>
      <c r="C28" s="1" t="s">
        <v>57</v>
      </c>
      <c r="D28" s="1" t="s">
        <v>1731</v>
      </c>
      <c r="E28" s="1" t="s">
        <v>154</v>
      </c>
      <c r="F28" s="1" t="s">
        <v>154</v>
      </c>
      <c r="G28" s="1" t="s">
        <v>227</v>
      </c>
      <c r="H28" s="1" t="s">
        <v>119</v>
      </c>
      <c r="I28" s="1" t="s">
        <v>134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1734</v>
      </c>
      <c r="B9" s="1" t="s">
        <v>111</v>
      </c>
      <c r="C9" s="1" t="s">
        <v>1735</v>
      </c>
      <c r="D9" s="1" t="s">
        <v>1736</v>
      </c>
      <c r="E9" s="1" t="s">
        <v>154</v>
      </c>
      <c r="F9" s="1" t="s">
        <v>155</v>
      </c>
      <c r="G9" s="1" t="s">
        <v>1737</v>
      </c>
      <c r="H9" s="1" t="s">
        <v>119</v>
      </c>
      <c r="I9" s="1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1738</v>
      </c>
      <c r="B10" s="1" t="s">
        <v>1404</v>
      </c>
      <c r="C10" s="1" t="s">
        <v>1246</v>
      </c>
      <c r="D10" s="1" t="s">
        <v>1739</v>
      </c>
      <c r="E10" s="1" t="s">
        <v>154</v>
      </c>
      <c r="F10" s="1" t="s">
        <v>174</v>
      </c>
      <c r="G10" s="1" t="s">
        <v>1740</v>
      </c>
      <c r="H10" s="1" t="s">
        <v>119</v>
      </c>
      <c r="I10" s="1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1741</v>
      </c>
      <c r="B11" s="1" t="s">
        <v>158</v>
      </c>
      <c r="C11" s="1" t="s">
        <v>58</v>
      </c>
      <c r="D11" s="1" t="s">
        <v>1742</v>
      </c>
      <c r="E11" s="1" t="s">
        <v>154</v>
      </c>
      <c r="F11" s="1" t="s">
        <v>154</v>
      </c>
      <c r="G11" s="1" t="s">
        <v>160</v>
      </c>
      <c r="H11" s="1" t="s">
        <v>119</v>
      </c>
      <c r="I11" s="1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1743</v>
      </c>
      <c r="B12" s="1" t="s">
        <v>162</v>
      </c>
      <c r="C12" s="1" t="s">
        <v>1246</v>
      </c>
      <c r="D12" s="1" t="s">
        <v>1744</v>
      </c>
      <c r="E12" s="1" t="s">
        <v>154</v>
      </c>
      <c r="F12" s="1" t="s">
        <v>164</v>
      </c>
      <c r="G12" s="1" t="s">
        <v>1745</v>
      </c>
      <c r="H12" s="1" t="s">
        <v>119</v>
      </c>
      <c r="I12" s="1" t="s">
        <v>134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1746</v>
      </c>
      <c r="B13" s="1" t="s">
        <v>167</v>
      </c>
      <c r="C13" s="1" t="s">
        <v>1246</v>
      </c>
      <c r="D13" s="1" t="s">
        <v>1747</v>
      </c>
      <c r="E13" s="1" t="s">
        <v>154</v>
      </c>
      <c r="F13" s="1" t="s">
        <v>169</v>
      </c>
      <c r="G13" s="1" t="s">
        <v>1748</v>
      </c>
      <c r="H13" s="1" t="s">
        <v>119</v>
      </c>
      <c r="I13" s="1" t="s">
        <v>134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1749</v>
      </c>
      <c r="B14" s="1" t="s">
        <v>1637</v>
      </c>
      <c r="C14" s="1" t="s">
        <v>1750</v>
      </c>
      <c r="D14" s="1" t="s">
        <v>1751</v>
      </c>
      <c r="E14" s="1" t="s">
        <v>154</v>
      </c>
      <c r="F14" s="1" t="s">
        <v>179</v>
      </c>
      <c r="G14" s="1" t="s">
        <v>1752</v>
      </c>
      <c r="H14" s="1" t="s">
        <v>119</v>
      </c>
      <c r="I14" s="1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1753</v>
      </c>
      <c r="B15" s="1" t="s">
        <v>1754</v>
      </c>
      <c r="C15" s="1" t="s">
        <v>1755</v>
      </c>
      <c r="D15" s="1" t="s">
        <v>1756</v>
      </c>
      <c r="E15" s="1" t="s">
        <v>154</v>
      </c>
      <c r="F15" s="1" t="s">
        <v>189</v>
      </c>
      <c r="G15" s="1" t="s">
        <v>1757</v>
      </c>
      <c r="H15" s="1" t="s">
        <v>121</v>
      </c>
      <c r="I15" s="1" t="s">
        <v>133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1758</v>
      </c>
      <c r="B16" s="1" t="s">
        <v>1759</v>
      </c>
      <c r="C16" s="1" t="s">
        <v>823</v>
      </c>
      <c r="D16" s="1" t="s">
        <v>1760</v>
      </c>
      <c r="E16" s="1" t="s">
        <v>154</v>
      </c>
      <c r="F16" s="1" t="s">
        <v>189</v>
      </c>
      <c r="G16" s="1" t="s">
        <v>1757</v>
      </c>
      <c r="H16" s="1" t="s">
        <v>121</v>
      </c>
      <c r="I16" s="1" t="s">
        <v>133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1761</v>
      </c>
      <c r="B17" s="1" t="s">
        <v>1148</v>
      </c>
      <c r="C17" s="1" t="s">
        <v>1762</v>
      </c>
      <c r="D17" s="1" t="s">
        <v>1763</v>
      </c>
      <c r="E17" s="1" t="s">
        <v>154</v>
      </c>
      <c r="F17" s="1" t="s">
        <v>179</v>
      </c>
      <c r="G17" s="1" t="s">
        <v>1764</v>
      </c>
      <c r="H17" s="1" t="s">
        <v>119</v>
      </c>
      <c r="I17" s="1" t="s">
        <v>134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1765</v>
      </c>
      <c r="B18" s="1" t="s">
        <v>1766</v>
      </c>
      <c r="C18" s="1" t="s">
        <v>1767</v>
      </c>
      <c r="D18" s="1" t="s">
        <v>1768</v>
      </c>
      <c r="E18" s="1" t="s">
        <v>154</v>
      </c>
      <c r="F18" s="1" t="s">
        <v>184</v>
      </c>
      <c r="G18" s="1" t="s">
        <v>1769</v>
      </c>
      <c r="H18" s="1" t="s">
        <v>119</v>
      </c>
      <c r="I18" s="1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1770</v>
      </c>
      <c r="B19" s="1" t="s">
        <v>1771</v>
      </c>
      <c r="C19" s="1" t="s">
        <v>1772</v>
      </c>
      <c r="D19" s="1" t="s">
        <v>1773</v>
      </c>
      <c r="E19" s="1" t="s">
        <v>154</v>
      </c>
      <c r="F19" s="1" t="s">
        <v>174</v>
      </c>
      <c r="G19" s="1" t="s">
        <v>1769</v>
      </c>
      <c r="H19" s="1" t="s">
        <v>119</v>
      </c>
      <c r="I19" s="1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1774</v>
      </c>
      <c r="B20" s="1" t="s">
        <v>1775</v>
      </c>
      <c r="C20" s="1" t="s">
        <v>1772</v>
      </c>
      <c r="D20" s="1" t="s">
        <v>1776</v>
      </c>
      <c r="E20" s="1" t="s">
        <v>154</v>
      </c>
      <c r="F20" s="1" t="s">
        <v>179</v>
      </c>
      <c r="G20" s="1" t="s">
        <v>1752</v>
      </c>
      <c r="H20" s="1" t="s">
        <v>119</v>
      </c>
      <c r="I20" s="1" t="s">
        <v>134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1777</v>
      </c>
      <c r="B21" s="1" t="s">
        <v>1778</v>
      </c>
      <c r="C21" s="1" t="s">
        <v>33</v>
      </c>
      <c r="D21" s="1" t="s">
        <v>1779</v>
      </c>
      <c r="E21" s="1" t="s">
        <v>154</v>
      </c>
      <c r="F21" s="1" t="s">
        <v>179</v>
      </c>
      <c r="G21" s="1" t="s">
        <v>1752</v>
      </c>
      <c r="H21" s="1" t="s">
        <v>119</v>
      </c>
      <c r="I21" s="1" t="s">
        <v>134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1780</v>
      </c>
      <c r="B22" s="1" t="s">
        <v>202</v>
      </c>
      <c r="C22" s="1" t="s">
        <v>1246</v>
      </c>
      <c r="D22" s="1" t="s">
        <v>1781</v>
      </c>
      <c r="E22" s="1" t="s">
        <v>154</v>
      </c>
      <c r="F22" s="1" t="s">
        <v>179</v>
      </c>
      <c r="G22" s="1" t="s">
        <v>1769</v>
      </c>
      <c r="H22" s="1" t="s">
        <v>119</v>
      </c>
      <c r="I22" s="1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1782</v>
      </c>
      <c r="B23" s="1" t="s">
        <v>193</v>
      </c>
      <c r="C23" s="1" t="s">
        <v>1783</v>
      </c>
      <c r="D23" s="1" t="s">
        <v>1784</v>
      </c>
      <c r="E23" s="1" t="s">
        <v>154</v>
      </c>
      <c r="F23" s="1" t="s">
        <v>179</v>
      </c>
      <c r="G23" s="1" t="s">
        <v>1764</v>
      </c>
      <c r="H23" s="1" t="s">
        <v>119</v>
      </c>
      <c r="I23" s="1" t="s">
        <v>134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1785</v>
      </c>
      <c r="B24" s="1" t="s">
        <v>182</v>
      </c>
      <c r="C24" s="1" t="s">
        <v>1246</v>
      </c>
      <c r="D24" s="1" t="s">
        <v>1786</v>
      </c>
      <c r="E24" s="1" t="s">
        <v>154</v>
      </c>
      <c r="F24" s="1" t="s">
        <v>184</v>
      </c>
      <c r="G24" s="1" t="s">
        <v>1752</v>
      </c>
      <c r="H24" s="1" t="s">
        <v>119</v>
      </c>
      <c r="I24" s="1" t="s">
        <v>134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1787</v>
      </c>
      <c r="B25" s="1" t="s">
        <v>187</v>
      </c>
      <c r="C25" s="1" t="s">
        <v>58</v>
      </c>
      <c r="D25" s="1" t="s">
        <v>1788</v>
      </c>
      <c r="E25" s="1" t="s">
        <v>154</v>
      </c>
      <c r="F25" s="1" t="s">
        <v>189</v>
      </c>
      <c r="G25" s="1" t="s">
        <v>1757</v>
      </c>
      <c r="H25" s="1" t="s">
        <v>121</v>
      </c>
      <c r="I25" s="1" t="s">
        <v>133</v>
      </c>
      <c r="J25" s="10" t="n">
        <v>46229</v>
      </c>
      <c r="K25" s="1" t="s">
        <v>1789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1790</v>
      </c>
      <c r="B26" s="1" t="s">
        <v>207</v>
      </c>
      <c r="C26" s="1" t="s">
        <v>58</v>
      </c>
      <c r="D26" s="1" t="s">
        <v>1791</v>
      </c>
      <c r="E26" s="1" t="s">
        <v>154</v>
      </c>
      <c r="F26" s="1" t="s">
        <v>195</v>
      </c>
      <c r="G26" s="1" t="s">
        <v>1792</v>
      </c>
      <c r="H26" s="1" t="s">
        <v>113</v>
      </c>
      <c r="I26" s="1" t="s">
        <v>133</v>
      </c>
      <c r="J26" s="10" t="n">
        <v>46229</v>
      </c>
      <c r="K26" s="1" t="s">
        <v>1723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1793</v>
      </c>
      <c r="B27" s="1" t="s">
        <v>211</v>
      </c>
      <c r="C27" s="1" t="s">
        <v>58</v>
      </c>
      <c r="D27" s="1" t="s">
        <v>1794</v>
      </c>
      <c r="E27" s="1" t="s">
        <v>154</v>
      </c>
      <c r="F27" s="1" t="s">
        <v>213</v>
      </c>
      <c r="G27" s="1" t="s">
        <v>1795</v>
      </c>
      <c r="H27" s="1" t="s">
        <v>119</v>
      </c>
      <c r="I27" s="1" t="s">
        <v>134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1796</v>
      </c>
      <c r="B28" s="1" t="s">
        <v>216</v>
      </c>
      <c r="C28" s="1" t="s">
        <v>58</v>
      </c>
      <c r="D28" s="1" t="s">
        <v>1797</v>
      </c>
      <c r="E28" s="1" t="s">
        <v>154</v>
      </c>
      <c r="F28" s="1" t="s">
        <v>213</v>
      </c>
      <c r="G28" s="1" t="s">
        <v>1798</v>
      </c>
      <c r="H28" s="1" t="s">
        <v>119</v>
      </c>
      <c r="I28" s="1" t="s">
        <v>134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1799</v>
      </c>
      <c r="B29" s="1" t="s">
        <v>642</v>
      </c>
      <c r="C29" s="1" t="s">
        <v>58</v>
      </c>
      <c r="D29" s="1" t="s">
        <v>1800</v>
      </c>
      <c r="E29" s="1" t="s">
        <v>154</v>
      </c>
      <c r="F29" s="1" t="s">
        <v>644</v>
      </c>
      <c r="G29" s="1" t="s">
        <v>1801</v>
      </c>
      <c r="H29" s="1" t="s">
        <v>119</v>
      </c>
      <c r="I29" s="1" t="s">
        <v>134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1802</v>
      </c>
      <c r="B30" s="1" t="s">
        <v>220</v>
      </c>
      <c r="C30" s="1" t="s">
        <v>58</v>
      </c>
      <c r="D30" s="1" t="s">
        <v>1803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1804</v>
      </c>
      <c r="B31" s="1" t="s">
        <v>225</v>
      </c>
      <c r="C31" s="1" t="s">
        <v>58</v>
      </c>
      <c r="D31" s="1" t="s">
        <v>1805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1806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2" hidden="false" customHeight="true" outlineLevel="0" collapsed="false">
      <c r="A9" s="1" t="s">
        <v>1808</v>
      </c>
      <c r="B9" s="1" t="s">
        <v>111</v>
      </c>
      <c r="C9" s="1" t="s">
        <v>1246</v>
      </c>
      <c r="D9" s="1" t="s">
        <v>1809</v>
      </c>
      <c r="E9" s="1" t="s">
        <v>154</v>
      </c>
      <c r="F9" s="1" t="s">
        <v>155</v>
      </c>
      <c r="G9" s="1" t="s">
        <v>1810</v>
      </c>
      <c r="H9" s="8" t="s">
        <v>119</v>
      </c>
      <c r="I9" s="8" t="s">
        <v>134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1811</v>
      </c>
      <c r="B10" s="1" t="s">
        <v>1404</v>
      </c>
      <c r="C10" s="1" t="s">
        <v>1812</v>
      </c>
      <c r="D10" s="1" t="s">
        <v>1813</v>
      </c>
      <c r="E10" s="1" t="s">
        <v>154</v>
      </c>
      <c r="F10" s="1" t="s">
        <v>174</v>
      </c>
      <c r="G10" s="1" t="s">
        <v>1814</v>
      </c>
      <c r="H10" s="8" t="s">
        <v>119</v>
      </c>
      <c r="I10" s="8" t="s">
        <v>134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1815</v>
      </c>
      <c r="B11" s="1" t="s">
        <v>158</v>
      </c>
      <c r="C11" s="1" t="s">
        <v>59</v>
      </c>
      <c r="D11" s="1" t="s">
        <v>1816</v>
      </c>
      <c r="E11" s="1" t="s">
        <v>154</v>
      </c>
      <c r="F11" s="1" t="s">
        <v>154</v>
      </c>
      <c r="G11" s="1" t="s">
        <v>160</v>
      </c>
      <c r="H11" s="8" t="s">
        <v>119</v>
      </c>
      <c r="I11" s="8" t="s">
        <v>134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1817</v>
      </c>
      <c r="B12" s="1" t="s">
        <v>162</v>
      </c>
      <c r="C12" s="1" t="s">
        <v>1246</v>
      </c>
      <c r="D12" s="1" t="s">
        <v>1818</v>
      </c>
      <c r="E12" s="1" t="s">
        <v>154</v>
      </c>
      <c r="F12" s="1" t="s">
        <v>164</v>
      </c>
      <c r="G12" s="1" t="s">
        <v>1819</v>
      </c>
      <c r="H12" s="8" t="s">
        <v>119</v>
      </c>
      <c r="I12" s="8" t="s">
        <v>134</v>
      </c>
      <c r="J12" s="10" t="n">
        <v>46244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1820</v>
      </c>
      <c r="B13" s="1" t="s">
        <v>167</v>
      </c>
      <c r="C13" s="1" t="s">
        <v>1246</v>
      </c>
      <c r="D13" s="1" t="s">
        <v>1821</v>
      </c>
      <c r="E13" s="1" t="s">
        <v>154</v>
      </c>
      <c r="F13" s="1" t="s">
        <v>169</v>
      </c>
      <c r="G13" s="1" t="s">
        <v>1822</v>
      </c>
      <c r="H13" s="8" t="s">
        <v>119</v>
      </c>
      <c r="I13" s="8" t="s">
        <v>134</v>
      </c>
      <c r="J13" s="10" t="n">
        <v>46244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1823</v>
      </c>
      <c r="B14" s="1" t="s">
        <v>1637</v>
      </c>
      <c r="C14" s="1" t="s">
        <v>1824</v>
      </c>
      <c r="D14" s="1" t="s">
        <v>1825</v>
      </c>
      <c r="E14" s="1" t="s">
        <v>154</v>
      </c>
      <c r="F14" s="1" t="s">
        <v>179</v>
      </c>
      <c r="G14" s="1" t="s">
        <v>1826</v>
      </c>
      <c r="H14" s="8" t="s">
        <v>119</v>
      </c>
      <c r="I14" s="8" t="s">
        <v>134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1827</v>
      </c>
      <c r="B15" s="1" t="s">
        <v>1754</v>
      </c>
      <c r="C15" s="1" t="s">
        <v>1246</v>
      </c>
      <c r="D15" s="1" t="s">
        <v>1828</v>
      </c>
      <c r="E15" s="1" t="s">
        <v>154</v>
      </c>
      <c r="F15" s="1" t="s">
        <v>189</v>
      </c>
      <c r="G15" s="1" t="s">
        <v>1829</v>
      </c>
      <c r="H15" s="8" t="s">
        <v>121</v>
      </c>
      <c r="I15" s="8" t="s">
        <v>133</v>
      </c>
      <c r="J15" s="10" t="n">
        <v>46229</v>
      </c>
      <c r="K15" s="1" t="s">
        <v>1830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1831</v>
      </c>
      <c r="B16" s="1" t="s">
        <v>1759</v>
      </c>
      <c r="C16" s="1" t="s">
        <v>1832</v>
      </c>
      <c r="D16" s="1" t="s">
        <v>1833</v>
      </c>
      <c r="E16" s="1" t="s">
        <v>154</v>
      </c>
      <c r="F16" s="1" t="s">
        <v>189</v>
      </c>
      <c r="G16" s="1" t="s">
        <v>1829</v>
      </c>
      <c r="H16" s="8" t="s">
        <v>121</v>
      </c>
      <c r="I16" s="8" t="s">
        <v>133</v>
      </c>
      <c r="J16" s="10" t="n">
        <v>46229</v>
      </c>
      <c r="K16" s="1" t="s">
        <v>1834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1835</v>
      </c>
      <c r="B17" s="1" t="s">
        <v>1836</v>
      </c>
      <c r="C17" s="1" t="s">
        <v>1824</v>
      </c>
      <c r="D17" s="1" t="s">
        <v>1837</v>
      </c>
      <c r="E17" s="1" t="s">
        <v>154</v>
      </c>
      <c r="F17" s="1" t="s">
        <v>179</v>
      </c>
      <c r="G17" s="1" t="s">
        <v>1838</v>
      </c>
      <c r="H17" s="8" t="s">
        <v>119</v>
      </c>
      <c r="I17" s="8" t="s">
        <v>134</v>
      </c>
      <c r="J17" s="10" t="n">
        <v>46244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1839</v>
      </c>
      <c r="B18" s="1" t="s">
        <v>1650</v>
      </c>
      <c r="C18" s="1" t="s">
        <v>1840</v>
      </c>
      <c r="D18" s="1" t="s">
        <v>1841</v>
      </c>
      <c r="E18" s="1" t="s">
        <v>154</v>
      </c>
      <c r="F18" s="1" t="s">
        <v>179</v>
      </c>
      <c r="G18" s="1" t="s">
        <v>1842</v>
      </c>
      <c r="H18" s="8" t="s">
        <v>119</v>
      </c>
      <c r="I18" s="8" t="s">
        <v>134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1843</v>
      </c>
      <c r="B19" s="1" t="s">
        <v>1844</v>
      </c>
      <c r="C19" s="1" t="s">
        <v>1845</v>
      </c>
      <c r="D19" s="1" t="s">
        <v>1846</v>
      </c>
      <c r="E19" s="1" t="s">
        <v>154</v>
      </c>
      <c r="F19" s="1" t="s">
        <v>179</v>
      </c>
      <c r="G19" s="1" t="s">
        <v>1826</v>
      </c>
      <c r="H19" s="8" t="s">
        <v>119</v>
      </c>
      <c r="I19" s="8" t="s">
        <v>134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1847</v>
      </c>
      <c r="B20" s="1" t="s">
        <v>1848</v>
      </c>
      <c r="C20" s="1" t="s">
        <v>1148</v>
      </c>
      <c r="D20" s="1" t="s">
        <v>1849</v>
      </c>
      <c r="E20" s="1" t="s">
        <v>154</v>
      </c>
      <c r="F20" s="1" t="s">
        <v>174</v>
      </c>
      <c r="G20" s="1" t="s">
        <v>1850</v>
      </c>
      <c r="H20" s="8" t="s">
        <v>119</v>
      </c>
      <c r="I20" s="8" t="s">
        <v>134</v>
      </c>
      <c r="J20" s="10" t="n">
        <v>46244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1851</v>
      </c>
      <c r="B21" s="1" t="s">
        <v>1852</v>
      </c>
      <c r="C21" s="1" t="s">
        <v>1852</v>
      </c>
      <c r="D21" s="1" t="s">
        <v>1853</v>
      </c>
      <c r="E21" s="1" t="s">
        <v>154</v>
      </c>
      <c r="F21" s="1" t="s">
        <v>189</v>
      </c>
      <c r="G21" s="1" t="s">
        <v>1829</v>
      </c>
      <c r="H21" s="8" t="s">
        <v>121</v>
      </c>
      <c r="I21" s="8" t="s">
        <v>133</v>
      </c>
      <c r="J21" s="10" t="n">
        <v>46229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1855</v>
      </c>
      <c r="B22" s="1" t="s">
        <v>202</v>
      </c>
      <c r="C22" s="1" t="s">
        <v>1824</v>
      </c>
      <c r="D22" s="1" t="s">
        <v>1856</v>
      </c>
      <c r="E22" s="1" t="s">
        <v>154</v>
      </c>
      <c r="F22" s="1" t="s">
        <v>179</v>
      </c>
      <c r="G22" s="1" t="s">
        <v>1850</v>
      </c>
      <c r="H22" s="8" t="s">
        <v>119</v>
      </c>
      <c r="I22" s="8" t="s">
        <v>134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1857</v>
      </c>
      <c r="B23" s="1" t="s">
        <v>193</v>
      </c>
      <c r="C23" s="1" t="s">
        <v>1858</v>
      </c>
      <c r="D23" s="1" t="s">
        <v>1859</v>
      </c>
      <c r="E23" s="1" t="s">
        <v>154</v>
      </c>
      <c r="F23" s="1" t="s">
        <v>179</v>
      </c>
      <c r="G23" s="1" t="s">
        <v>1826</v>
      </c>
      <c r="H23" s="8" t="s">
        <v>119</v>
      </c>
      <c r="I23" s="8" t="s">
        <v>134</v>
      </c>
      <c r="J23" s="10" t="n">
        <v>46244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1860</v>
      </c>
      <c r="B24" s="1" t="s">
        <v>1291</v>
      </c>
      <c r="C24" s="1" t="s">
        <v>1783</v>
      </c>
      <c r="D24" s="1" t="s">
        <v>1861</v>
      </c>
      <c r="E24" s="1" t="s">
        <v>154</v>
      </c>
      <c r="F24" s="1" t="s">
        <v>179</v>
      </c>
      <c r="G24" s="1" t="s">
        <v>1826</v>
      </c>
      <c r="H24" s="8" t="s">
        <v>119</v>
      </c>
      <c r="I24" s="8" t="s">
        <v>134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1862</v>
      </c>
      <c r="B25" s="1" t="s">
        <v>182</v>
      </c>
      <c r="C25" s="1" t="s">
        <v>1246</v>
      </c>
      <c r="D25" s="1" t="s">
        <v>1863</v>
      </c>
      <c r="E25" s="1" t="s">
        <v>154</v>
      </c>
      <c r="F25" s="1" t="s">
        <v>184</v>
      </c>
      <c r="G25" s="1" t="s">
        <v>1826</v>
      </c>
      <c r="H25" s="8" t="s">
        <v>119</v>
      </c>
      <c r="I25" s="8" t="s">
        <v>134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1864</v>
      </c>
      <c r="B26" s="1" t="s">
        <v>187</v>
      </c>
      <c r="C26" s="1" t="s">
        <v>59</v>
      </c>
      <c r="D26" s="1" t="s">
        <v>1865</v>
      </c>
      <c r="E26" s="1" t="s">
        <v>154</v>
      </c>
      <c r="F26" s="1" t="s">
        <v>189</v>
      </c>
      <c r="G26" s="1" t="s">
        <v>1829</v>
      </c>
      <c r="H26" s="8" t="s">
        <v>121</v>
      </c>
      <c r="I26" s="8" t="s">
        <v>133</v>
      </c>
      <c r="J26" s="10" t="n">
        <v>46229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1867</v>
      </c>
      <c r="B27" s="1" t="s">
        <v>207</v>
      </c>
      <c r="C27" s="1" t="s">
        <v>59</v>
      </c>
      <c r="D27" s="1" t="s">
        <v>1868</v>
      </c>
      <c r="E27" s="1" t="s">
        <v>154</v>
      </c>
      <c r="F27" s="1" t="s">
        <v>195</v>
      </c>
      <c r="G27" s="1" t="s">
        <v>1869</v>
      </c>
      <c r="H27" s="8" t="s">
        <v>113</v>
      </c>
      <c r="I27" s="8" t="s">
        <v>133</v>
      </c>
      <c r="J27" s="10" t="n">
        <v>46229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1871</v>
      </c>
      <c r="B28" s="1" t="s">
        <v>211</v>
      </c>
      <c r="C28" s="1" t="s">
        <v>59</v>
      </c>
      <c r="D28" s="1" t="s">
        <v>1872</v>
      </c>
      <c r="E28" s="1" t="s">
        <v>154</v>
      </c>
      <c r="F28" s="1" t="s">
        <v>213</v>
      </c>
      <c r="G28" s="1" t="s">
        <v>1873</v>
      </c>
      <c r="H28" s="8" t="s">
        <v>119</v>
      </c>
      <c r="I28" s="8" t="s">
        <v>134</v>
      </c>
      <c r="J28" s="10" t="n">
        <v>46244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1874</v>
      </c>
      <c r="B29" s="1" t="s">
        <v>642</v>
      </c>
      <c r="C29" s="1" t="s">
        <v>59</v>
      </c>
      <c r="D29" s="1" t="s">
        <v>1875</v>
      </c>
      <c r="E29" s="1" t="s">
        <v>154</v>
      </c>
      <c r="F29" s="1" t="s">
        <v>644</v>
      </c>
      <c r="G29" s="1" t="s">
        <v>1876</v>
      </c>
      <c r="H29" s="8" t="s">
        <v>119</v>
      </c>
      <c r="I29" s="8" t="s">
        <v>134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1877</v>
      </c>
      <c r="B30" s="1" t="s">
        <v>220</v>
      </c>
      <c r="C30" s="1" t="s">
        <v>59</v>
      </c>
      <c r="D30" s="1" t="s">
        <v>1878</v>
      </c>
      <c r="E30" s="1" t="s">
        <v>222</v>
      </c>
      <c r="F30" s="1" t="s">
        <v>222</v>
      </c>
      <c r="G30" s="1" t="s">
        <v>223</v>
      </c>
      <c r="H30" s="8" t="s">
        <v>119</v>
      </c>
      <c r="I30" s="8" t="s">
        <v>134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1879</v>
      </c>
      <c r="B31" s="1" t="s">
        <v>225</v>
      </c>
      <c r="C31" s="1" t="s">
        <v>59</v>
      </c>
      <c r="D31" s="1" t="s">
        <v>1880</v>
      </c>
      <c r="E31" s="1" t="s">
        <v>154</v>
      </c>
      <c r="F31" s="1" t="s">
        <v>154</v>
      </c>
      <c r="G31" s="1" t="s">
        <v>1881</v>
      </c>
      <c r="H31" s="8" t="s">
        <v>119</v>
      </c>
      <c r="I31" s="8" t="s">
        <v>134</v>
      </c>
      <c r="J31" s="10" t="n">
        <v>46244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1884</v>
      </c>
      <c r="B9" s="12" t="s">
        <v>111</v>
      </c>
      <c r="C9" s="12" t="s">
        <v>60</v>
      </c>
      <c r="D9" s="13" t="s">
        <v>1885</v>
      </c>
      <c r="E9" s="12" t="s">
        <v>154</v>
      </c>
      <c r="F9" s="12" t="s">
        <v>155</v>
      </c>
      <c r="G9" s="13" t="s">
        <v>1886</v>
      </c>
      <c r="H9" s="12" t="s">
        <v>119</v>
      </c>
      <c r="I9" s="12" t="s">
        <v>134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1887</v>
      </c>
      <c r="B10" s="12" t="s">
        <v>1404</v>
      </c>
      <c r="C10" s="12" t="s">
        <v>60</v>
      </c>
      <c r="D10" s="13" t="s">
        <v>1888</v>
      </c>
      <c r="E10" s="12" t="s">
        <v>154</v>
      </c>
      <c r="F10" s="12" t="s">
        <v>174</v>
      </c>
      <c r="G10" s="13" t="s">
        <v>1889</v>
      </c>
      <c r="H10" s="12" t="s">
        <v>119</v>
      </c>
      <c r="I10" s="12" t="s">
        <v>134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1890</v>
      </c>
      <c r="B11" s="12" t="s">
        <v>158</v>
      </c>
      <c r="C11" s="12" t="s">
        <v>60</v>
      </c>
      <c r="D11" s="13" t="s">
        <v>1891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1892</v>
      </c>
      <c r="B12" s="12" t="s">
        <v>162</v>
      </c>
      <c r="C12" s="12" t="s">
        <v>60</v>
      </c>
      <c r="D12" s="13" t="s">
        <v>1893</v>
      </c>
      <c r="E12" s="12" t="s">
        <v>154</v>
      </c>
      <c r="F12" s="12" t="s">
        <v>164</v>
      </c>
      <c r="G12" s="13" t="s">
        <v>1894</v>
      </c>
      <c r="H12" s="12" t="s">
        <v>119</v>
      </c>
      <c r="I12" s="12" t="s">
        <v>134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1895</v>
      </c>
      <c r="B13" s="12" t="s">
        <v>167</v>
      </c>
      <c r="C13" s="12" t="s">
        <v>60</v>
      </c>
      <c r="D13" s="13" t="s">
        <v>1896</v>
      </c>
      <c r="E13" s="12" t="s">
        <v>154</v>
      </c>
      <c r="F13" s="12" t="s">
        <v>169</v>
      </c>
      <c r="G13" s="13" t="s">
        <v>1897</v>
      </c>
      <c r="H13" s="12" t="s">
        <v>119</v>
      </c>
      <c r="I13" s="12" t="s">
        <v>134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1898</v>
      </c>
      <c r="B14" s="12" t="s">
        <v>1637</v>
      </c>
      <c r="C14" s="12" t="s">
        <v>60</v>
      </c>
      <c r="D14" s="13" t="s">
        <v>1899</v>
      </c>
      <c r="E14" s="12" t="s">
        <v>154</v>
      </c>
      <c r="F14" s="12" t="s">
        <v>179</v>
      </c>
      <c r="G14" s="13" t="s">
        <v>1900</v>
      </c>
      <c r="H14" s="12" t="s">
        <v>119</v>
      </c>
      <c r="I14" s="12" t="s">
        <v>134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1901</v>
      </c>
      <c r="B15" s="12" t="s">
        <v>1754</v>
      </c>
      <c r="C15" s="12" t="s">
        <v>60</v>
      </c>
      <c r="D15" s="13" t="s">
        <v>1902</v>
      </c>
      <c r="E15" s="12" t="s">
        <v>154</v>
      </c>
      <c r="F15" s="12" t="s">
        <v>189</v>
      </c>
      <c r="G15" s="13" t="s">
        <v>1903</v>
      </c>
      <c r="H15" s="12" t="s">
        <v>121</v>
      </c>
      <c r="I15" s="12" t="s">
        <v>133</v>
      </c>
      <c r="J15" s="14" t="n">
        <v>46229</v>
      </c>
      <c r="K15" s="13" t="s">
        <v>1830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1904</v>
      </c>
      <c r="B16" s="12" t="s">
        <v>1905</v>
      </c>
      <c r="C16" s="12" t="s">
        <v>60</v>
      </c>
      <c r="D16" s="13" t="s">
        <v>1906</v>
      </c>
      <c r="E16" s="12" t="s">
        <v>154</v>
      </c>
      <c r="F16" s="12" t="s">
        <v>189</v>
      </c>
      <c r="G16" s="13" t="s">
        <v>1903</v>
      </c>
      <c r="H16" s="12" t="s">
        <v>121</v>
      </c>
      <c r="I16" s="12" t="s">
        <v>133</v>
      </c>
      <c r="J16" s="14" t="n">
        <v>46229</v>
      </c>
      <c r="K16" s="13" t="s">
        <v>1907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1908</v>
      </c>
      <c r="B17" s="12" t="s">
        <v>1909</v>
      </c>
      <c r="C17" s="12" t="s">
        <v>60</v>
      </c>
      <c r="D17" s="13" t="s">
        <v>1910</v>
      </c>
      <c r="E17" s="12" t="s">
        <v>154</v>
      </c>
      <c r="F17" s="12" t="s">
        <v>179</v>
      </c>
      <c r="G17" s="13" t="s">
        <v>1911</v>
      </c>
      <c r="H17" s="12" t="s">
        <v>119</v>
      </c>
      <c r="I17" s="12" t="s">
        <v>134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1912</v>
      </c>
      <c r="B18" s="12" t="s">
        <v>1913</v>
      </c>
      <c r="C18" s="12" t="s">
        <v>60</v>
      </c>
      <c r="D18" s="13" t="s">
        <v>1914</v>
      </c>
      <c r="E18" s="12" t="s">
        <v>154</v>
      </c>
      <c r="F18" s="12" t="s">
        <v>179</v>
      </c>
      <c r="G18" s="13" t="s">
        <v>1900</v>
      </c>
      <c r="H18" s="12" t="s">
        <v>119</v>
      </c>
      <c r="I18" s="12" t="s">
        <v>134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1915</v>
      </c>
      <c r="B19" s="12" t="s">
        <v>1916</v>
      </c>
      <c r="C19" s="12" t="s">
        <v>60</v>
      </c>
      <c r="D19" s="13" t="s">
        <v>1917</v>
      </c>
      <c r="E19" s="12" t="s">
        <v>154</v>
      </c>
      <c r="F19" s="12" t="s">
        <v>179</v>
      </c>
      <c r="G19" s="13" t="s">
        <v>1918</v>
      </c>
      <c r="H19" s="12" t="s">
        <v>119</v>
      </c>
      <c r="I19" s="12" t="s">
        <v>134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1919</v>
      </c>
      <c r="B20" s="12" t="s">
        <v>202</v>
      </c>
      <c r="C20" s="12" t="s">
        <v>60</v>
      </c>
      <c r="D20" s="13" t="s">
        <v>1920</v>
      </c>
      <c r="E20" s="12" t="s">
        <v>154</v>
      </c>
      <c r="F20" s="12" t="s">
        <v>189</v>
      </c>
      <c r="G20" s="13" t="s">
        <v>1903</v>
      </c>
      <c r="H20" s="12" t="s">
        <v>121</v>
      </c>
      <c r="I20" s="12" t="s">
        <v>133</v>
      </c>
      <c r="J20" s="14" t="n">
        <v>46229</v>
      </c>
      <c r="K20" s="13" t="s">
        <v>1921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1922</v>
      </c>
      <c r="B21" s="12" t="s">
        <v>182</v>
      </c>
      <c r="C21" s="12" t="s">
        <v>60</v>
      </c>
      <c r="D21" s="13" t="s">
        <v>1923</v>
      </c>
      <c r="E21" s="12" t="s">
        <v>154</v>
      </c>
      <c r="F21" s="12" t="s">
        <v>184</v>
      </c>
      <c r="G21" s="13" t="s">
        <v>1900</v>
      </c>
      <c r="H21" s="12" t="s">
        <v>119</v>
      </c>
      <c r="I21" s="12" t="s">
        <v>134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1924</v>
      </c>
      <c r="B22" s="12" t="s">
        <v>193</v>
      </c>
      <c r="C22" s="12" t="s">
        <v>60</v>
      </c>
      <c r="D22" s="13" t="s">
        <v>1925</v>
      </c>
      <c r="E22" s="12" t="s">
        <v>154</v>
      </c>
      <c r="F22" s="12" t="s">
        <v>179</v>
      </c>
      <c r="G22" s="13" t="s">
        <v>1911</v>
      </c>
      <c r="H22" s="12" t="s">
        <v>119</v>
      </c>
      <c r="I22" s="12" t="s">
        <v>134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1926</v>
      </c>
      <c r="B23" s="12" t="s">
        <v>94</v>
      </c>
      <c r="C23" s="12" t="s">
        <v>60</v>
      </c>
      <c r="D23" s="13" t="s">
        <v>1927</v>
      </c>
      <c r="E23" s="12" t="s">
        <v>154</v>
      </c>
      <c r="F23" s="12" t="s">
        <v>189</v>
      </c>
      <c r="G23" s="13" t="s">
        <v>1903</v>
      </c>
      <c r="H23" s="12" t="s">
        <v>121</v>
      </c>
      <c r="I23" s="12" t="s">
        <v>133</v>
      </c>
      <c r="J23" s="14" t="n">
        <v>46229</v>
      </c>
      <c r="K23" s="13" t="s">
        <v>1928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1929</v>
      </c>
      <c r="B24" s="12" t="s">
        <v>187</v>
      </c>
      <c r="C24" s="12" t="s">
        <v>60</v>
      </c>
      <c r="D24" s="13" t="s">
        <v>1930</v>
      </c>
      <c r="E24" s="12" t="s">
        <v>154</v>
      </c>
      <c r="F24" s="12" t="s">
        <v>189</v>
      </c>
      <c r="G24" s="13" t="s">
        <v>1903</v>
      </c>
      <c r="H24" s="12" t="s">
        <v>121</v>
      </c>
      <c r="I24" s="12" t="s">
        <v>133</v>
      </c>
      <c r="J24" s="14" t="n">
        <v>46229</v>
      </c>
      <c r="K24" s="13" t="s">
        <v>1931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1932</v>
      </c>
      <c r="B25" s="12" t="s">
        <v>207</v>
      </c>
      <c r="C25" s="12" t="s">
        <v>60</v>
      </c>
      <c r="D25" s="13" t="s">
        <v>1933</v>
      </c>
      <c r="E25" s="12" t="s">
        <v>154</v>
      </c>
      <c r="F25" s="12" t="s">
        <v>195</v>
      </c>
      <c r="G25" s="13" t="s">
        <v>1934</v>
      </c>
      <c r="H25" s="12" t="s">
        <v>113</v>
      </c>
      <c r="I25" s="12" t="s">
        <v>133</v>
      </c>
      <c r="J25" s="14" t="n">
        <v>46229</v>
      </c>
      <c r="K25" s="13" t="s">
        <v>1870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1935</v>
      </c>
      <c r="B26" s="12" t="s">
        <v>211</v>
      </c>
      <c r="C26" s="12" t="s">
        <v>60</v>
      </c>
      <c r="D26" s="13" t="s">
        <v>1936</v>
      </c>
      <c r="E26" s="12" t="s">
        <v>154</v>
      </c>
      <c r="F26" s="12" t="s">
        <v>213</v>
      </c>
      <c r="G26" s="13" t="s">
        <v>1937</v>
      </c>
      <c r="H26" s="12" t="s">
        <v>119</v>
      </c>
      <c r="I26" s="12" t="s">
        <v>134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1938</v>
      </c>
      <c r="B27" s="12" t="s">
        <v>216</v>
      </c>
      <c r="C27" s="12" t="s">
        <v>60</v>
      </c>
      <c r="D27" s="13" t="s">
        <v>1939</v>
      </c>
      <c r="E27" s="12" t="s">
        <v>154</v>
      </c>
      <c r="F27" s="12" t="s">
        <v>213</v>
      </c>
      <c r="G27" s="13" t="s">
        <v>1940</v>
      </c>
      <c r="H27" s="12" t="s">
        <v>119</v>
      </c>
      <c r="I27" s="12" t="s">
        <v>134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1941</v>
      </c>
      <c r="B28" s="12" t="s">
        <v>642</v>
      </c>
      <c r="C28" s="12" t="s">
        <v>60</v>
      </c>
      <c r="D28" s="13" t="s">
        <v>1942</v>
      </c>
      <c r="E28" s="12" t="s">
        <v>154</v>
      </c>
      <c r="F28" s="12" t="s">
        <v>644</v>
      </c>
      <c r="G28" s="13" t="s">
        <v>1943</v>
      </c>
      <c r="H28" s="12" t="s">
        <v>119</v>
      </c>
      <c r="I28" s="12" t="s">
        <v>134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1944</v>
      </c>
      <c r="B29" s="12" t="s">
        <v>220</v>
      </c>
      <c r="C29" s="12" t="s">
        <v>60</v>
      </c>
      <c r="D29" s="13" t="s">
        <v>1945</v>
      </c>
      <c r="E29" s="12" t="s">
        <v>222</v>
      </c>
      <c r="F29" s="12" t="s">
        <v>222</v>
      </c>
      <c r="G29" s="13" t="s">
        <v>223</v>
      </c>
      <c r="H29" s="12" t="s">
        <v>119</v>
      </c>
      <c r="I29" s="12" t="s">
        <v>134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1946</v>
      </c>
      <c r="B30" s="12" t="s">
        <v>225</v>
      </c>
      <c r="C30" s="12" t="s">
        <v>60</v>
      </c>
      <c r="D30" s="13" t="s">
        <v>1947</v>
      </c>
      <c r="E30" s="12" t="s">
        <v>154</v>
      </c>
      <c r="F30" s="12" t="s">
        <v>154</v>
      </c>
      <c r="G30" s="13" t="s">
        <v>227</v>
      </c>
      <c r="H30" s="12" t="s">
        <v>119</v>
      </c>
      <c r="I30" s="12" t="s">
        <v>134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1949</v>
      </c>
      <c r="B9" s="1" t="s">
        <v>111</v>
      </c>
      <c r="C9" s="1" t="s">
        <v>1246</v>
      </c>
      <c r="D9" s="1" t="s">
        <v>1950</v>
      </c>
      <c r="E9" s="1" t="s">
        <v>154</v>
      </c>
      <c r="F9" s="1" t="s">
        <v>155</v>
      </c>
      <c r="G9" s="1" t="s">
        <v>1951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1952</v>
      </c>
      <c r="B10" s="1" t="s">
        <v>1404</v>
      </c>
      <c r="C10" s="1" t="s">
        <v>1246</v>
      </c>
      <c r="D10" s="1" t="s">
        <v>1953</v>
      </c>
      <c r="E10" s="1" t="s">
        <v>154</v>
      </c>
      <c r="F10" s="1" t="s">
        <v>174</v>
      </c>
      <c r="G10" s="1" t="s">
        <v>1954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1955</v>
      </c>
      <c r="B11" s="1" t="s">
        <v>158</v>
      </c>
      <c r="C11" s="1" t="s">
        <v>1956</v>
      </c>
      <c r="D11" s="1" t="s">
        <v>1957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1959</v>
      </c>
      <c r="B12" s="1" t="s">
        <v>162</v>
      </c>
      <c r="C12" s="1" t="s">
        <v>1246</v>
      </c>
      <c r="D12" s="1" t="s">
        <v>1960</v>
      </c>
      <c r="E12" s="1" t="s">
        <v>154</v>
      </c>
      <c r="F12" s="1" t="s">
        <v>164</v>
      </c>
      <c r="G12" s="1" t="s">
        <v>1961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1962</v>
      </c>
      <c r="B13" s="1" t="s">
        <v>167</v>
      </c>
      <c r="C13" s="1" t="s">
        <v>1246</v>
      </c>
      <c r="D13" s="1" t="s">
        <v>1963</v>
      </c>
      <c r="E13" s="1" t="s">
        <v>154</v>
      </c>
      <c r="F13" s="1" t="s">
        <v>169</v>
      </c>
      <c r="G13" s="1" t="s">
        <v>1964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1965</v>
      </c>
      <c r="B14" s="1" t="s">
        <v>1637</v>
      </c>
      <c r="C14" s="1" t="s">
        <v>1966</v>
      </c>
      <c r="D14" s="1" t="s">
        <v>1967</v>
      </c>
      <c r="E14" s="1" t="s">
        <v>154</v>
      </c>
      <c r="F14" s="1" t="s">
        <v>179</v>
      </c>
      <c r="G14" s="1" t="s">
        <v>1968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1969</v>
      </c>
      <c r="B15" s="1" t="s">
        <v>1759</v>
      </c>
      <c r="C15" s="1" t="s">
        <v>1970</v>
      </c>
      <c r="D15" s="1" t="s">
        <v>1971</v>
      </c>
      <c r="E15" s="1" t="s">
        <v>154</v>
      </c>
      <c r="F15" s="1" t="s">
        <v>189</v>
      </c>
      <c r="G15" s="1" t="s">
        <v>1972</v>
      </c>
      <c r="H15" s="1" t="s">
        <v>121</v>
      </c>
      <c r="I15" s="1" t="s">
        <v>133</v>
      </c>
      <c r="J15" s="10" t="n">
        <v>46230</v>
      </c>
      <c r="K15" s="1" t="s">
        <v>1973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1974</v>
      </c>
      <c r="B16" s="1" t="s">
        <v>1404</v>
      </c>
      <c r="C16" s="1" t="s">
        <v>1975</v>
      </c>
      <c r="D16" s="1" t="s">
        <v>1976</v>
      </c>
      <c r="E16" s="1" t="s">
        <v>154</v>
      </c>
      <c r="F16" s="1" t="s">
        <v>189</v>
      </c>
      <c r="G16" s="1" t="s">
        <v>1972</v>
      </c>
      <c r="H16" s="1" t="s">
        <v>121</v>
      </c>
      <c r="I16" s="1" t="s">
        <v>133</v>
      </c>
      <c r="J16" s="10" t="n">
        <v>46230</v>
      </c>
      <c r="K16" s="1" t="s">
        <v>1977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1978</v>
      </c>
      <c r="B17" s="1" t="s">
        <v>1979</v>
      </c>
      <c r="C17" s="1" t="s">
        <v>1980</v>
      </c>
      <c r="D17" s="1" t="s">
        <v>1981</v>
      </c>
      <c r="E17" s="1" t="s">
        <v>154</v>
      </c>
      <c r="F17" s="1" t="s">
        <v>179</v>
      </c>
      <c r="G17" s="1" t="s">
        <v>1968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1982</v>
      </c>
      <c r="B18" s="1" t="s">
        <v>1650</v>
      </c>
      <c r="C18" s="1" t="s">
        <v>1983</v>
      </c>
      <c r="D18" s="1" t="s">
        <v>1984</v>
      </c>
      <c r="E18" s="1" t="s">
        <v>154</v>
      </c>
      <c r="F18" s="1" t="s">
        <v>179</v>
      </c>
      <c r="G18" s="1" t="s">
        <v>1985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1986</v>
      </c>
      <c r="B19" s="1" t="s">
        <v>1987</v>
      </c>
      <c r="C19" s="1" t="s">
        <v>1988</v>
      </c>
      <c r="D19" s="1" t="s">
        <v>1989</v>
      </c>
      <c r="E19" s="1" t="s">
        <v>154</v>
      </c>
      <c r="F19" s="1" t="s">
        <v>179</v>
      </c>
      <c r="G19" s="1" t="s">
        <v>1968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1990</v>
      </c>
      <c r="B20" s="1" t="s">
        <v>1644</v>
      </c>
      <c r="C20" s="1" t="s">
        <v>1478</v>
      </c>
      <c r="D20" s="1" t="s">
        <v>1991</v>
      </c>
      <c r="E20" s="1" t="s">
        <v>154</v>
      </c>
      <c r="F20" s="1" t="s">
        <v>179</v>
      </c>
      <c r="G20" s="1" t="s">
        <v>1968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1992</v>
      </c>
      <c r="B21" s="1" t="s">
        <v>202</v>
      </c>
      <c r="C21" s="1" t="s">
        <v>1993</v>
      </c>
      <c r="D21" s="1" t="s">
        <v>1994</v>
      </c>
      <c r="E21" s="1" t="s">
        <v>154</v>
      </c>
      <c r="F21" s="1" t="s">
        <v>179</v>
      </c>
      <c r="G21" s="1" t="s">
        <v>1995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1996</v>
      </c>
      <c r="B22" s="1" t="s">
        <v>193</v>
      </c>
      <c r="C22" s="1" t="s">
        <v>1970</v>
      </c>
      <c r="D22" s="1" t="s">
        <v>1997</v>
      </c>
      <c r="E22" s="1" t="s">
        <v>154</v>
      </c>
      <c r="F22" s="1" t="s">
        <v>179</v>
      </c>
      <c r="G22" s="1" t="s">
        <v>1985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1998</v>
      </c>
      <c r="B23" s="1" t="s">
        <v>1291</v>
      </c>
      <c r="C23" s="1" t="s">
        <v>1970</v>
      </c>
      <c r="D23" s="1" t="s">
        <v>1999</v>
      </c>
      <c r="E23" s="1" t="s">
        <v>154</v>
      </c>
      <c r="F23" s="1" t="s">
        <v>179</v>
      </c>
      <c r="G23" s="1" t="s">
        <v>1968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2000</v>
      </c>
      <c r="B24" s="1" t="s">
        <v>182</v>
      </c>
      <c r="C24" s="1" t="s">
        <v>1246</v>
      </c>
      <c r="D24" s="1" t="s">
        <v>2001</v>
      </c>
      <c r="E24" s="1" t="s">
        <v>154</v>
      </c>
      <c r="F24" s="1" t="s">
        <v>184</v>
      </c>
      <c r="G24" s="1" t="s">
        <v>1968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2002</v>
      </c>
      <c r="B25" s="1" t="s">
        <v>187</v>
      </c>
      <c r="C25" s="1" t="s">
        <v>1956</v>
      </c>
      <c r="D25" s="1" t="s">
        <v>2003</v>
      </c>
      <c r="E25" s="1" t="s">
        <v>154</v>
      </c>
      <c r="F25" s="1" t="s">
        <v>189</v>
      </c>
      <c r="G25" s="1" t="s">
        <v>1972</v>
      </c>
      <c r="H25" s="1" t="s">
        <v>121</v>
      </c>
      <c r="I25" s="1" t="s">
        <v>133</v>
      </c>
      <c r="J25" s="10" t="n">
        <v>46230</v>
      </c>
      <c r="K25" s="1" t="s">
        <v>2004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2005</v>
      </c>
      <c r="B26" s="1" t="s">
        <v>1644</v>
      </c>
      <c r="C26" s="1" t="s">
        <v>2006</v>
      </c>
      <c r="D26" s="1" t="s">
        <v>2007</v>
      </c>
      <c r="E26" s="1" t="s">
        <v>154</v>
      </c>
      <c r="F26" s="1" t="s">
        <v>179</v>
      </c>
      <c r="G26" s="1" t="s">
        <v>1968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2008</v>
      </c>
      <c r="B27" s="1" t="s">
        <v>207</v>
      </c>
      <c r="C27" s="1" t="s">
        <v>61</v>
      </c>
      <c r="D27" s="1" t="s">
        <v>2009</v>
      </c>
      <c r="E27" s="1" t="s">
        <v>154</v>
      </c>
      <c r="F27" s="1" t="s">
        <v>195</v>
      </c>
      <c r="G27" s="1" t="s">
        <v>2010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2011</v>
      </c>
      <c r="B28" s="1" t="s">
        <v>211</v>
      </c>
      <c r="C28" s="1" t="s">
        <v>61</v>
      </c>
      <c r="D28" s="1" t="s">
        <v>2012</v>
      </c>
      <c r="E28" s="1" t="s">
        <v>154</v>
      </c>
      <c r="F28" s="1" t="s">
        <v>213</v>
      </c>
      <c r="G28" s="1" t="s">
        <v>2013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2014</v>
      </c>
      <c r="B29" s="1" t="s">
        <v>642</v>
      </c>
      <c r="C29" s="1" t="s">
        <v>61</v>
      </c>
      <c r="D29" s="1" t="s">
        <v>2015</v>
      </c>
      <c r="E29" s="1" t="s">
        <v>154</v>
      </c>
      <c r="F29" s="1" t="s">
        <v>644</v>
      </c>
      <c r="G29" s="1" t="s">
        <v>2016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2017</v>
      </c>
      <c r="B30" s="1" t="s">
        <v>220</v>
      </c>
      <c r="C30" s="1" t="s">
        <v>61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2019</v>
      </c>
      <c r="B31" s="1" t="s">
        <v>225</v>
      </c>
      <c r="C31" s="1" t="s">
        <v>61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2022</v>
      </c>
      <c r="B9" s="1" t="s">
        <v>111</v>
      </c>
      <c r="C9" s="1" t="s">
        <v>1246</v>
      </c>
      <c r="D9" s="1" t="s">
        <v>2023</v>
      </c>
      <c r="E9" s="1" t="s">
        <v>154</v>
      </c>
      <c r="F9" s="1" t="s">
        <v>155</v>
      </c>
      <c r="G9" s="1" t="s">
        <v>2024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2025</v>
      </c>
      <c r="B10" s="1" t="s">
        <v>1404</v>
      </c>
      <c r="C10" s="1" t="s">
        <v>1246</v>
      </c>
      <c r="D10" s="1" t="s">
        <v>2026</v>
      </c>
      <c r="E10" s="1" t="s">
        <v>154</v>
      </c>
      <c r="F10" s="1" t="s">
        <v>174</v>
      </c>
      <c r="G10" s="1" t="s">
        <v>2027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2028</v>
      </c>
      <c r="B11" s="1" t="s">
        <v>158</v>
      </c>
      <c r="C11" s="1" t="s">
        <v>2029</v>
      </c>
      <c r="D11" s="1" t="s">
        <v>2030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2031</v>
      </c>
      <c r="B12" s="1" t="s">
        <v>162</v>
      </c>
      <c r="C12" s="1" t="s">
        <v>1246</v>
      </c>
      <c r="D12" s="1" t="s">
        <v>2032</v>
      </c>
      <c r="E12" s="1" t="s">
        <v>154</v>
      </c>
      <c r="F12" s="1" t="s">
        <v>164</v>
      </c>
      <c r="G12" s="1" t="s">
        <v>2033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2034</v>
      </c>
      <c r="B13" s="1" t="s">
        <v>167</v>
      </c>
      <c r="C13" s="1" t="s">
        <v>1246</v>
      </c>
      <c r="D13" s="1" t="s">
        <v>2035</v>
      </c>
      <c r="E13" s="1" t="s">
        <v>154</v>
      </c>
      <c r="F13" s="1" t="s">
        <v>169</v>
      </c>
      <c r="G13" s="1" t="s">
        <v>2036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2037</v>
      </c>
      <c r="B14" s="1" t="s">
        <v>2038</v>
      </c>
      <c r="C14" s="1" t="s">
        <v>1478</v>
      </c>
      <c r="D14" s="1" t="s">
        <v>2039</v>
      </c>
      <c r="E14" s="1" t="s">
        <v>154</v>
      </c>
      <c r="F14" s="1" t="s">
        <v>179</v>
      </c>
      <c r="G14" s="1" t="s">
        <v>2040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2041</v>
      </c>
      <c r="B15" s="1" t="s">
        <v>1759</v>
      </c>
      <c r="C15" s="1" t="s">
        <v>1970</v>
      </c>
      <c r="D15" s="1" t="s">
        <v>2042</v>
      </c>
      <c r="E15" s="1" t="s">
        <v>154</v>
      </c>
      <c r="F15" s="1" t="s">
        <v>189</v>
      </c>
      <c r="G15" s="1" t="s">
        <v>2043</v>
      </c>
      <c r="H15" s="1" t="s">
        <v>121</v>
      </c>
      <c r="I15" s="1" t="s">
        <v>133</v>
      </c>
      <c r="J15" s="10" t="n">
        <v>46230</v>
      </c>
      <c r="K15" s="1" t="s">
        <v>2044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2045</v>
      </c>
      <c r="B16" s="1" t="s">
        <v>1404</v>
      </c>
      <c r="C16" s="1" t="s">
        <v>2046</v>
      </c>
      <c r="D16" s="1" t="s">
        <v>2047</v>
      </c>
      <c r="E16" s="1" t="s">
        <v>154</v>
      </c>
      <c r="F16" s="1" t="s">
        <v>189</v>
      </c>
      <c r="G16" s="1" t="s">
        <v>2043</v>
      </c>
      <c r="H16" s="1" t="s">
        <v>121</v>
      </c>
      <c r="I16" s="1" t="s">
        <v>133</v>
      </c>
      <c r="J16" s="10" t="n">
        <v>46230</v>
      </c>
      <c r="K16" s="1" t="s">
        <v>2044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2048</v>
      </c>
      <c r="B17" s="1" t="s">
        <v>1979</v>
      </c>
      <c r="C17" s="1" t="s">
        <v>1980</v>
      </c>
      <c r="D17" s="1" t="s">
        <v>2049</v>
      </c>
      <c r="E17" s="1" t="s">
        <v>154</v>
      </c>
      <c r="F17" s="1" t="s">
        <v>179</v>
      </c>
      <c r="G17" s="1" t="s">
        <v>2040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2050</v>
      </c>
      <c r="B18" s="1" t="s">
        <v>1650</v>
      </c>
      <c r="C18" s="1" t="s">
        <v>1983</v>
      </c>
      <c r="D18" s="1" t="s">
        <v>2051</v>
      </c>
      <c r="E18" s="1" t="s">
        <v>154</v>
      </c>
      <c r="F18" s="1" t="s">
        <v>179</v>
      </c>
      <c r="G18" s="1" t="s">
        <v>2040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2052</v>
      </c>
      <c r="B19" s="1" t="s">
        <v>1987</v>
      </c>
      <c r="C19" s="1" t="s">
        <v>1988</v>
      </c>
      <c r="D19" s="1" t="s">
        <v>2053</v>
      </c>
      <c r="E19" s="1" t="s">
        <v>154</v>
      </c>
      <c r="F19" s="1" t="s">
        <v>179</v>
      </c>
      <c r="G19" s="1" t="s">
        <v>2040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2054</v>
      </c>
      <c r="B20" s="1" t="s">
        <v>1644</v>
      </c>
      <c r="C20" s="1" t="s">
        <v>2006</v>
      </c>
      <c r="D20" s="1" t="s">
        <v>2007</v>
      </c>
      <c r="E20" s="1" t="s">
        <v>154</v>
      </c>
      <c r="F20" s="1" t="s">
        <v>179</v>
      </c>
      <c r="G20" s="1" t="s">
        <v>2040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2055</v>
      </c>
      <c r="B21" s="1" t="s">
        <v>202</v>
      </c>
      <c r="C21" s="1" t="s">
        <v>2056</v>
      </c>
      <c r="D21" s="1" t="s">
        <v>2057</v>
      </c>
      <c r="E21" s="1" t="s">
        <v>154</v>
      </c>
      <c r="F21" s="1" t="s">
        <v>179</v>
      </c>
      <c r="G21" s="1" t="s">
        <v>2040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2058</v>
      </c>
      <c r="B22" s="1" t="s">
        <v>193</v>
      </c>
      <c r="C22" s="1" t="s">
        <v>1246</v>
      </c>
      <c r="D22" s="1" t="s">
        <v>2059</v>
      </c>
      <c r="E22" s="1" t="s">
        <v>154</v>
      </c>
      <c r="F22" s="1" t="s">
        <v>179</v>
      </c>
      <c r="G22" s="1" t="s">
        <v>2040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2060</v>
      </c>
      <c r="B23" s="1" t="s">
        <v>1291</v>
      </c>
      <c r="C23" s="1" t="s">
        <v>1246</v>
      </c>
      <c r="D23" s="1" t="s">
        <v>2061</v>
      </c>
      <c r="E23" s="1" t="s">
        <v>154</v>
      </c>
      <c r="F23" s="1" t="s">
        <v>179</v>
      </c>
      <c r="G23" s="1" t="s">
        <v>2040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2062</v>
      </c>
      <c r="B24" s="1" t="s">
        <v>182</v>
      </c>
      <c r="C24" s="1" t="s">
        <v>1246</v>
      </c>
      <c r="D24" s="1" t="s">
        <v>2063</v>
      </c>
      <c r="E24" s="1" t="s">
        <v>154</v>
      </c>
      <c r="F24" s="1" t="s">
        <v>184</v>
      </c>
      <c r="G24" s="1" t="s">
        <v>2040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2064</v>
      </c>
      <c r="B25" s="1" t="s">
        <v>187</v>
      </c>
      <c r="C25" s="1" t="s">
        <v>1246</v>
      </c>
      <c r="D25" s="1" t="s">
        <v>2065</v>
      </c>
      <c r="E25" s="1" t="s">
        <v>154</v>
      </c>
      <c r="F25" s="1" t="s">
        <v>189</v>
      </c>
      <c r="G25" s="1" t="s">
        <v>2043</v>
      </c>
      <c r="H25" s="1" t="s">
        <v>121</v>
      </c>
      <c r="I25" s="1" t="s">
        <v>133</v>
      </c>
      <c r="J25" s="10" t="n">
        <v>46230</v>
      </c>
      <c r="K25" s="1" t="s">
        <v>2066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2067</v>
      </c>
      <c r="B26" s="1" t="s">
        <v>2068</v>
      </c>
      <c r="C26" s="1" t="s">
        <v>1246</v>
      </c>
      <c r="D26" s="1" t="s">
        <v>2069</v>
      </c>
      <c r="E26" s="1" t="s">
        <v>154</v>
      </c>
      <c r="F26" s="1" t="s">
        <v>179</v>
      </c>
      <c r="G26" s="1" t="s">
        <v>2040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2070</v>
      </c>
      <c r="B27" s="1" t="s">
        <v>207</v>
      </c>
      <c r="C27" s="1" t="s">
        <v>62</v>
      </c>
      <c r="D27" s="1" t="s">
        <v>2009</v>
      </c>
      <c r="E27" s="1" t="s">
        <v>154</v>
      </c>
      <c r="F27" s="1" t="s">
        <v>195</v>
      </c>
      <c r="G27" s="1" t="s">
        <v>2071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2072</v>
      </c>
      <c r="B28" s="1" t="s">
        <v>211</v>
      </c>
      <c r="C28" s="1" t="s">
        <v>62</v>
      </c>
      <c r="D28" s="1" t="s">
        <v>2012</v>
      </c>
      <c r="E28" s="1" t="s">
        <v>154</v>
      </c>
      <c r="F28" s="1" t="s">
        <v>213</v>
      </c>
      <c r="G28" s="1" t="s">
        <v>2073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2074</v>
      </c>
      <c r="B29" s="1" t="s">
        <v>642</v>
      </c>
      <c r="C29" s="1" t="s">
        <v>62</v>
      </c>
      <c r="D29" s="1" t="s">
        <v>2015</v>
      </c>
      <c r="E29" s="1" t="s">
        <v>154</v>
      </c>
      <c r="F29" s="1" t="s">
        <v>644</v>
      </c>
      <c r="G29" s="1" t="s">
        <v>2075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2076</v>
      </c>
      <c r="B30" s="1" t="s">
        <v>220</v>
      </c>
      <c r="C30" s="1" t="s">
        <v>62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2077</v>
      </c>
      <c r="B31" s="1" t="s">
        <v>225</v>
      </c>
      <c r="C31" s="1" t="s">
        <v>62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2079</v>
      </c>
      <c r="B9" s="1" t="s">
        <v>111</v>
      </c>
      <c r="C9" s="1" t="s">
        <v>1246</v>
      </c>
      <c r="D9" s="1" t="s">
        <v>2080</v>
      </c>
      <c r="E9" s="1" t="s">
        <v>154</v>
      </c>
      <c r="F9" s="1" t="s">
        <v>155</v>
      </c>
      <c r="G9" s="1" t="s">
        <v>2081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2082</v>
      </c>
      <c r="B10" s="1" t="s">
        <v>1404</v>
      </c>
      <c r="C10" s="1" t="s">
        <v>1246</v>
      </c>
      <c r="D10" s="1" t="s">
        <v>2026</v>
      </c>
      <c r="E10" s="1" t="s">
        <v>154</v>
      </c>
      <c r="F10" s="1" t="s">
        <v>174</v>
      </c>
      <c r="G10" s="1" t="s">
        <v>2083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2084</v>
      </c>
      <c r="B11" s="1" t="s">
        <v>158</v>
      </c>
      <c r="C11" s="1" t="s">
        <v>63</v>
      </c>
      <c r="D11" s="1" t="s">
        <v>2030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2085</v>
      </c>
      <c r="B12" s="1" t="s">
        <v>162</v>
      </c>
      <c r="C12" s="1" t="s">
        <v>1246</v>
      </c>
      <c r="D12" s="1" t="s">
        <v>2032</v>
      </c>
      <c r="E12" s="1" t="s">
        <v>154</v>
      </c>
      <c r="F12" s="1" t="s">
        <v>164</v>
      </c>
      <c r="G12" s="1" t="s">
        <v>2086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2087</v>
      </c>
      <c r="B13" s="1" t="s">
        <v>167</v>
      </c>
      <c r="C13" s="1" t="s">
        <v>1246</v>
      </c>
      <c r="D13" s="1" t="s">
        <v>2035</v>
      </c>
      <c r="E13" s="1" t="s">
        <v>154</v>
      </c>
      <c r="F13" s="1" t="s">
        <v>169</v>
      </c>
      <c r="G13" s="1" t="s">
        <v>2088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2089</v>
      </c>
      <c r="B14" s="1" t="s">
        <v>1637</v>
      </c>
      <c r="C14" s="1" t="s">
        <v>2090</v>
      </c>
      <c r="D14" s="1" t="s">
        <v>2091</v>
      </c>
      <c r="E14" s="1" t="s">
        <v>154</v>
      </c>
      <c r="F14" s="1" t="s">
        <v>179</v>
      </c>
      <c r="G14" s="1" t="s">
        <v>2092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2093</v>
      </c>
      <c r="B15" s="1" t="s">
        <v>2094</v>
      </c>
      <c r="C15" s="1" t="s">
        <v>1445</v>
      </c>
      <c r="D15" s="1" t="s">
        <v>2095</v>
      </c>
      <c r="E15" s="1" t="s">
        <v>154</v>
      </c>
      <c r="F15" s="1" t="s">
        <v>179</v>
      </c>
      <c r="G15" s="1" t="s">
        <v>2092</v>
      </c>
      <c r="H15" s="1" t="s">
        <v>119</v>
      </c>
      <c r="I15" s="1" t="s">
        <v>134</v>
      </c>
      <c r="J15" s="10" t="n">
        <v>46230</v>
      </c>
      <c r="K15" s="1" t="s">
        <v>1830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2096</v>
      </c>
      <c r="B16" s="1" t="s">
        <v>1759</v>
      </c>
      <c r="C16" s="1" t="s">
        <v>2097</v>
      </c>
      <c r="D16" s="1" t="s">
        <v>2098</v>
      </c>
      <c r="E16" s="1" t="s">
        <v>154</v>
      </c>
      <c r="F16" s="1" t="s">
        <v>189</v>
      </c>
      <c r="G16" s="1" t="s">
        <v>2099</v>
      </c>
      <c r="H16" s="1" t="s">
        <v>121</v>
      </c>
      <c r="I16" s="1" t="s">
        <v>133</v>
      </c>
      <c r="J16" s="10" t="n">
        <v>46230</v>
      </c>
      <c r="K16" s="1" t="s">
        <v>2044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2100</v>
      </c>
      <c r="B17" s="1" t="s">
        <v>1650</v>
      </c>
      <c r="C17" s="1" t="s">
        <v>2101</v>
      </c>
      <c r="D17" s="1" t="s">
        <v>2102</v>
      </c>
      <c r="E17" s="1" t="s">
        <v>154</v>
      </c>
      <c r="F17" s="1" t="s">
        <v>179</v>
      </c>
      <c r="G17" s="1" t="s">
        <v>2092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2103</v>
      </c>
      <c r="B18" s="1" t="s">
        <v>1979</v>
      </c>
      <c r="C18" s="1" t="s">
        <v>1980</v>
      </c>
      <c r="D18" s="1" t="s">
        <v>2104</v>
      </c>
      <c r="E18" s="1" t="s">
        <v>154</v>
      </c>
      <c r="F18" s="1" t="s">
        <v>179</v>
      </c>
      <c r="G18" s="1" t="s">
        <v>2092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2105</v>
      </c>
      <c r="B19" s="1" t="s">
        <v>1987</v>
      </c>
      <c r="C19" s="1" t="s">
        <v>1988</v>
      </c>
      <c r="D19" s="1" t="s">
        <v>2106</v>
      </c>
      <c r="E19" s="1" t="s">
        <v>154</v>
      </c>
      <c r="F19" s="1" t="s">
        <v>179</v>
      </c>
      <c r="G19" s="1" t="s">
        <v>2092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2107</v>
      </c>
      <c r="B20" s="1" t="s">
        <v>1644</v>
      </c>
      <c r="C20" s="1" t="s">
        <v>2006</v>
      </c>
      <c r="D20" s="1" t="s">
        <v>2007</v>
      </c>
      <c r="E20" s="1" t="s">
        <v>154</v>
      </c>
      <c r="F20" s="1" t="s">
        <v>179</v>
      </c>
      <c r="G20" s="1" t="s">
        <v>2092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2108</v>
      </c>
      <c r="B21" s="1" t="s">
        <v>202</v>
      </c>
      <c r="C21" s="1" t="s">
        <v>2056</v>
      </c>
      <c r="D21" s="1" t="s">
        <v>2057</v>
      </c>
      <c r="E21" s="1" t="s">
        <v>154</v>
      </c>
      <c r="F21" s="1" t="s">
        <v>179</v>
      </c>
      <c r="G21" s="1" t="s">
        <v>2092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2109</v>
      </c>
      <c r="B22" s="1" t="s">
        <v>193</v>
      </c>
      <c r="C22" s="1" t="s">
        <v>1246</v>
      </c>
      <c r="D22" s="1" t="s">
        <v>2059</v>
      </c>
      <c r="E22" s="1" t="s">
        <v>154</v>
      </c>
      <c r="F22" s="1" t="s">
        <v>179</v>
      </c>
      <c r="G22" s="1" t="s">
        <v>2092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2110</v>
      </c>
      <c r="B23" s="1" t="s">
        <v>1291</v>
      </c>
      <c r="C23" s="1" t="s">
        <v>1246</v>
      </c>
      <c r="D23" s="1" t="s">
        <v>2061</v>
      </c>
      <c r="E23" s="1" t="s">
        <v>154</v>
      </c>
      <c r="F23" s="1" t="s">
        <v>179</v>
      </c>
      <c r="G23" s="1" t="s">
        <v>2092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2111</v>
      </c>
      <c r="B24" s="1" t="s">
        <v>182</v>
      </c>
      <c r="C24" s="1" t="s">
        <v>1246</v>
      </c>
      <c r="D24" s="1" t="s">
        <v>2063</v>
      </c>
      <c r="E24" s="1" t="s">
        <v>154</v>
      </c>
      <c r="F24" s="1" t="s">
        <v>184</v>
      </c>
      <c r="G24" s="1" t="s">
        <v>2092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2112</v>
      </c>
      <c r="B25" s="1" t="s">
        <v>187</v>
      </c>
      <c r="C25" s="1" t="s">
        <v>1246</v>
      </c>
      <c r="D25" s="1" t="s">
        <v>2065</v>
      </c>
      <c r="E25" s="1" t="s">
        <v>154</v>
      </c>
      <c r="F25" s="1" t="s">
        <v>189</v>
      </c>
      <c r="G25" s="1" t="s">
        <v>2099</v>
      </c>
      <c r="H25" s="1" t="s">
        <v>121</v>
      </c>
      <c r="I25" s="1" t="s">
        <v>133</v>
      </c>
      <c r="J25" s="10" t="n">
        <v>46230</v>
      </c>
      <c r="K25" s="1" t="s">
        <v>2066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2113</v>
      </c>
      <c r="B26" s="1" t="s">
        <v>2068</v>
      </c>
      <c r="C26" s="1" t="s">
        <v>1246</v>
      </c>
      <c r="D26" s="1" t="s">
        <v>2069</v>
      </c>
      <c r="E26" s="1" t="s">
        <v>154</v>
      </c>
      <c r="F26" s="1" t="s">
        <v>179</v>
      </c>
      <c r="G26" s="1" t="s">
        <v>2092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2114</v>
      </c>
      <c r="B27" s="1" t="s">
        <v>207</v>
      </c>
      <c r="C27" s="1" t="s">
        <v>63</v>
      </c>
      <c r="D27" s="1" t="s">
        <v>2009</v>
      </c>
      <c r="E27" s="1" t="s">
        <v>154</v>
      </c>
      <c r="F27" s="1" t="s">
        <v>195</v>
      </c>
      <c r="G27" s="1" t="s">
        <v>2115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2116</v>
      </c>
      <c r="B28" s="1" t="s">
        <v>211</v>
      </c>
      <c r="C28" s="1" t="s">
        <v>63</v>
      </c>
      <c r="D28" s="1" t="s">
        <v>2012</v>
      </c>
      <c r="E28" s="1" t="s">
        <v>154</v>
      </c>
      <c r="F28" s="1" t="s">
        <v>213</v>
      </c>
      <c r="G28" s="1" t="s">
        <v>2117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2118</v>
      </c>
      <c r="B29" s="1" t="s">
        <v>642</v>
      </c>
      <c r="C29" s="1" t="s">
        <v>63</v>
      </c>
      <c r="D29" s="1" t="s">
        <v>2015</v>
      </c>
      <c r="E29" s="1" t="s">
        <v>154</v>
      </c>
      <c r="F29" s="1" t="s">
        <v>644</v>
      </c>
      <c r="G29" s="1" t="s">
        <v>2119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2120</v>
      </c>
      <c r="B30" s="1" t="s">
        <v>220</v>
      </c>
      <c r="C30" s="1" t="s">
        <v>63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2121</v>
      </c>
      <c r="B31" s="1" t="s">
        <v>225</v>
      </c>
      <c r="C31" s="1" t="s">
        <v>63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1807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2123</v>
      </c>
      <c r="B9" s="1" t="s">
        <v>111</v>
      </c>
      <c r="C9" s="1" t="s">
        <v>1246</v>
      </c>
      <c r="D9" s="1" t="s">
        <v>2124</v>
      </c>
      <c r="E9" s="1" t="s">
        <v>154</v>
      </c>
      <c r="F9" s="1" t="s">
        <v>155</v>
      </c>
      <c r="G9" s="1" t="s">
        <v>2125</v>
      </c>
      <c r="H9" s="1" t="s">
        <v>119</v>
      </c>
      <c r="I9" s="1" t="s">
        <v>134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2126</v>
      </c>
      <c r="B10" s="1" t="s">
        <v>1404</v>
      </c>
      <c r="C10" s="1" t="s">
        <v>2127</v>
      </c>
      <c r="D10" s="1" t="s">
        <v>2128</v>
      </c>
      <c r="E10" s="1" t="s">
        <v>154</v>
      </c>
      <c r="F10" s="1" t="s">
        <v>174</v>
      </c>
      <c r="G10" s="1" t="s">
        <v>2129</v>
      </c>
      <c r="H10" s="1" t="s">
        <v>119</v>
      </c>
      <c r="I10" s="1" t="s">
        <v>134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2130</v>
      </c>
      <c r="B11" s="1" t="s">
        <v>158</v>
      </c>
      <c r="C11" s="1" t="s">
        <v>2131</v>
      </c>
      <c r="D11" s="1" t="s">
        <v>2132</v>
      </c>
      <c r="E11" s="1" t="s">
        <v>154</v>
      </c>
      <c r="F11" s="1" t="s">
        <v>154</v>
      </c>
      <c r="G11" s="1" t="s">
        <v>1958</v>
      </c>
      <c r="H11" s="1" t="s">
        <v>119</v>
      </c>
      <c r="I11" s="1" t="s">
        <v>134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2133</v>
      </c>
      <c r="B12" s="1" t="s">
        <v>162</v>
      </c>
      <c r="C12" s="1" t="s">
        <v>1246</v>
      </c>
      <c r="D12" s="1" t="s">
        <v>2032</v>
      </c>
      <c r="E12" s="1" t="s">
        <v>154</v>
      </c>
      <c r="F12" s="1" t="s">
        <v>164</v>
      </c>
      <c r="G12" s="1" t="s">
        <v>2134</v>
      </c>
      <c r="H12" s="1" t="s">
        <v>119</v>
      </c>
      <c r="I12" s="1" t="s">
        <v>134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2135</v>
      </c>
      <c r="B13" s="1" t="s">
        <v>167</v>
      </c>
      <c r="C13" s="1" t="s">
        <v>1246</v>
      </c>
      <c r="D13" s="1" t="s">
        <v>2035</v>
      </c>
      <c r="E13" s="1" t="s">
        <v>154</v>
      </c>
      <c r="F13" s="1" t="s">
        <v>169</v>
      </c>
      <c r="G13" s="1" t="s">
        <v>2136</v>
      </c>
      <c r="H13" s="1" t="s">
        <v>119</v>
      </c>
      <c r="I13" s="1" t="s">
        <v>134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2137</v>
      </c>
      <c r="B14" s="1" t="s">
        <v>1637</v>
      </c>
      <c r="C14" s="1" t="s">
        <v>2138</v>
      </c>
      <c r="D14" s="1" t="s">
        <v>2139</v>
      </c>
      <c r="E14" s="1" t="s">
        <v>154</v>
      </c>
      <c r="F14" s="1" t="s">
        <v>179</v>
      </c>
      <c r="G14" s="1" t="s">
        <v>2140</v>
      </c>
      <c r="H14" s="1" t="s">
        <v>119</v>
      </c>
      <c r="I14" s="1" t="s">
        <v>134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2141</v>
      </c>
      <c r="B15" s="1" t="s">
        <v>2142</v>
      </c>
      <c r="C15" s="1" t="s">
        <v>2143</v>
      </c>
      <c r="D15" s="1" t="s">
        <v>2144</v>
      </c>
      <c r="E15" s="1" t="s">
        <v>154</v>
      </c>
      <c r="F15" s="1" t="s">
        <v>179</v>
      </c>
      <c r="G15" s="1" t="s">
        <v>2140</v>
      </c>
      <c r="H15" s="1" t="s">
        <v>119</v>
      </c>
      <c r="I15" s="1" t="s">
        <v>134</v>
      </c>
      <c r="J15" s="10" t="n">
        <v>46230</v>
      </c>
      <c r="K15" s="1" t="s">
        <v>1830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2145</v>
      </c>
      <c r="B16" s="1" t="s">
        <v>1759</v>
      </c>
      <c r="C16" s="1" t="s">
        <v>2146</v>
      </c>
      <c r="D16" s="1" t="s">
        <v>2147</v>
      </c>
      <c r="E16" s="1" t="s">
        <v>154</v>
      </c>
      <c r="F16" s="1" t="s">
        <v>189</v>
      </c>
      <c r="G16" s="1" t="s">
        <v>2148</v>
      </c>
      <c r="H16" s="1" t="s">
        <v>121</v>
      </c>
      <c r="I16" s="1" t="s">
        <v>133</v>
      </c>
      <c r="J16" s="10" t="n">
        <v>46230</v>
      </c>
      <c r="K16" s="1" t="s">
        <v>2044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2149</v>
      </c>
      <c r="B17" s="1" t="s">
        <v>2094</v>
      </c>
      <c r="C17" s="1" t="s">
        <v>2150</v>
      </c>
      <c r="D17" s="1" t="s">
        <v>2151</v>
      </c>
      <c r="E17" s="1" t="s">
        <v>154</v>
      </c>
      <c r="F17" s="1" t="s">
        <v>179</v>
      </c>
      <c r="G17" s="1" t="s">
        <v>2140</v>
      </c>
      <c r="H17" s="1" t="s">
        <v>119</v>
      </c>
      <c r="I17" s="1" t="s">
        <v>134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2152</v>
      </c>
      <c r="B18" s="1" t="s">
        <v>2153</v>
      </c>
      <c r="C18" s="1" t="s">
        <v>2154</v>
      </c>
      <c r="D18" s="1" t="s">
        <v>2155</v>
      </c>
      <c r="E18" s="1" t="s">
        <v>154</v>
      </c>
      <c r="F18" s="1" t="s">
        <v>179</v>
      </c>
      <c r="G18" s="1" t="s">
        <v>2140</v>
      </c>
      <c r="H18" s="1" t="s">
        <v>119</v>
      </c>
      <c r="I18" s="1" t="s">
        <v>134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2156</v>
      </c>
      <c r="B19" s="1" t="s">
        <v>1650</v>
      </c>
      <c r="C19" s="1" t="s">
        <v>2157</v>
      </c>
      <c r="D19" s="1" t="s">
        <v>2158</v>
      </c>
      <c r="E19" s="1" t="s">
        <v>154</v>
      </c>
      <c r="F19" s="1" t="s">
        <v>179</v>
      </c>
      <c r="G19" s="1" t="s">
        <v>2140</v>
      </c>
      <c r="H19" s="1" t="s">
        <v>119</v>
      </c>
      <c r="I19" s="1" t="s">
        <v>134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2159</v>
      </c>
      <c r="B20" s="1" t="s">
        <v>1644</v>
      </c>
      <c r="C20" s="1" t="s">
        <v>2006</v>
      </c>
      <c r="D20" s="1" t="s">
        <v>2007</v>
      </c>
      <c r="E20" s="1" t="s">
        <v>154</v>
      </c>
      <c r="F20" s="1" t="s">
        <v>179</v>
      </c>
      <c r="G20" s="1" t="s">
        <v>2140</v>
      </c>
      <c r="H20" s="1" t="s">
        <v>119</v>
      </c>
      <c r="I20" s="1" t="s">
        <v>134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2160</v>
      </c>
      <c r="B21" s="1" t="s">
        <v>202</v>
      </c>
      <c r="C21" s="1" t="s">
        <v>2056</v>
      </c>
      <c r="D21" s="1" t="s">
        <v>2057</v>
      </c>
      <c r="E21" s="1" t="s">
        <v>154</v>
      </c>
      <c r="F21" s="1" t="s">
        <v>179</v>
      </c>
      <c r="G21" s="1" t="s">
        <v>2140</v>
      </c>
      <c r="H21" s="1" t="s">
        <v>119</v>
      </c>
      <c r="I21" s="1" t="s">
        <v>134</v>
      </c>
      <c r="J21" s="10" t="n">
        <v>46230</v>
      </c>
      <c r="K21" s="1" t="s">
        <v>1854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2161</v>
      </c>
      <c r="B22" s="1" t="s">
        <v>193</v>
      </c>
      <c r="C22" s="1" t="s">
        <v>1246</v>
      </c>
      <c r="D22" s="1" t="s">
        <v>2059</v>
      </c>
      <c r="E22" s="1" t="s">
        <v>154</v>
      </c>
      <c r="F22" s="1" t="s">
        <v>179</v>
      </c>
      <c r="G22" s="1" t="s">
        <v>2140</v>
      </c>
      <c r="H22" s="1" t="s">
        <v>119</v>
      </c>
      <c r="I22" s="1" t="s">
        <v>134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2162</v>
      </c>
      <c r="B23" s="1" t="s">
        <v>1291</v>
      </c>
      <c r="C23" s="1" t="s">
        <v>1246</v>
      </c>
      <c r="D23" s="1" t="s">
        <v>2061</v>
      </c>
      <c r="E23" s="1" t="s">
        <v>154</v>
      </c>
      <c r="F23" s="1" t="s">
        <v>179</v>
      </c>
      <c r="G23" s="1" t="s">
        <v>2140</v>
      </c>
      <c r="H23" s="1" t="s">
        <v>119</v>
      </c>
      <c r="I23" s="1" t="s">
        <v>134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2163</v>
      </c>
      <c r="B24" s="1" t="s">
        <v>182</v>
      </c>
      <c r="C24" s="1" t="s">
        <v>1246</v>
      </c>
      <c r="D24" s="1" t="s">
        <v>2063</v>
      </c>
      <c r="E24" s="1" t="s">
        <v>154</v>
      </c>
      <c r="F24" s="1" t="s">
        <v>184</v>
      </c>
      <c r="G24" s="1" t="s">
        <v>2140</v>
      </c>
      <c r="H24" s="1" t="s">
        <v>119</v>
      </c>
      <c r="I24" s="1" t="s">
        <v>134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2164</v>
      </c>
      <c r="B25" s="1" t="s">
        <v>187</v>
      </c>
      <c r="C25" s="1" t="s">
        <v>1246</v>
      </c>
      <c r="D25" s="1" t="s">
        <v>2165</v>
      </c>
      <c r="E25" s="1" t="s">
        <v>154</v>
      </c>
      <c r="F25" s="1" t="s">
        <v>189</v>
      </c>
      <c r="G25" s="1" t="s">
        <v>2148</v>
      </c>
      <c r="H25" s="1" t="s">
        <v>121</v>
      </c>
      <c r="I25" s="1" t="s">
        <v>133</v>
      </c>
      <c r="J25" s="10" t="n">
        <v>46230</v>
      </c>
      <c r="K25" s="1" t="s">
        <v>2066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2166</v>
      </c>
      <c r="B26" s="1" t="s">
        <v>2068</v>
      </c>
      <c r="C26" s="1" t="s">
        <v>1246</v>
      </c>
      <c r="D26" s="1" t="s">
        <v>2069</v>
      </c>
      <c r="E26" s="1" t="s">
        <v>154</v>
      </c>
      <c r="F26" s="1" t="s">
        <v>179</v>
      </c>
      <c r="G26" s="1" t="s">
        <v>2140</v>
      </c>
      <c r="H26" s="1" t="s">
        <v>119</v>
      </c>
      <c r="I26" s="1" t="s">
        <v>134</v>
      </c>
      <c r="J26" s="10" t="n">
        <v>46230</v>
      </c>
      <c r="K26" s="1" t="s">
        <v>1866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2167</v>
      </c>
      <c r="B27" s="1" t="s">
        <v>207</v>
      </c>
      <c r="C27" s="1" t="s">
        <v>64</v>
      </c>
      <c r="D27" s="1" t="s">
        <v>2009</v>
      </c>
      <c r="E27" s="1" t="s">
        <v>154</v>
      </c>
      <c r="F27" s="1" t="s">
        <v>195</v>
      </c>
      <c r="G27" s="1" t="s">
        <v>2168</v>
      </c>
      <c r="H27" s="1" t="s">
        <v>113</v>
      </c>
      <c r="I27" s="1" t="s">
        <v>133</v>
      </c>
      <c r="J27" s="10" t="n">
        <v>46230</v>
      </c>
      <c r="K27" s="1" t="s">
        <v>1870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2169</v>
      </c>
      <c r="B28" s="1" t="s">
        <v>211</v>
      </c>
      <c r="C28" s="1" t="s">
        <v>64</v>
      </c>
      <c r="D28" s="1" t="s">
        <v>2012</v>
      </c>
      <c r="E28" s="1" t="s">
        <v>154</v>
      </c>
      <c r="F28" s="1" t="s">
        <v>213</v>
      </c>
      <c r="G28" s="1" t="s">
        <v>2170</v>
      </c>
      <c r="H28" s="1" t="s">
        <v>119</v>
      </c>
      <c r="I28" s="1" t="s">
        <v>134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2171</v>
      </c>
      <c r="B29" s="1" t="s">
        <v>642</v>
      </c>
      <c r="C29" s="1" t="s">
        <v>64</v>
      </c>
      <c r="D29" s="1" t="s">
        <v>2015</v>
      </c>
      <c r="E29" s="1" t="s">
        <v>154</v>
      </c>
      <c r="F29" s="1" t="s">
        <v>644</v>
      </c>
      <c r="G29" s="1" t="s">
        <v>2172</v>
      </c>
      <c r="H29" s="1" t="s">
        <v>119</v>
      </c>
      <c r="I29" s="1" t="s">
        <v>134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2173</v>
      </c>
      <c r="B30" s="1" t="s">
        <v>220</v>
      </c>
      <c r="C30" s="1" t="s">
        <v>64</v>
      </c>
      <c r="D30" s="1" t="s">
        <v>2018</v>
      </c>
      <c r="E30" s="1" t="s">
        <v>222</v>
      </c>
      <c r="F30" s="1" t="s">
        <v>222</v>
      </c>
      <c r="G30" s="1" t="s">
        <v>223</v>
      </c>
      <c r="H30" s="1" t="s">
        <v>119</v>
      </c>
      <c r="I30" s="1" t="s">
        <v>134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2174</v>
      </c>
      <c r="B31" s="1" t="s">
        <v>225</v>
      </c>
      <c r="C31" s="1" t="s">
        <v>64</v>
      </c>
      <c r="D31" s="1" t="s">
        <v>2020</v>
      </c>
      <c r="E31" s="1" t="s">
        <v>154</v>
      </c>
      <c r="F31" s="1" t="s">
        <v>154</v>
      </c>
      <c r="G31" s="1" t="s">
        <v>227</v>
      </c>
      <c r="H31" s="1" t="s">
        <v>119</v>
      </c>
      <c r="I31" s="1" t="s">
        <v>134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137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2177</v>
      </c>
      <c r="B9" s="12" t="s">
        <v>111</v>
      </c>
      <c r="C9" s="12" t="s">
        <v>1246</v>
      </c>
      <c r="D9" s="13" t="s">
        <v>2178</v>
      </c>
      <c r="E9" s="12" t="s">
        <v>154</v>
      </c>
      <c r="F9" s="12" t="s">
        <v>155</v>
      </c>
      <c r="G9" s="13" t="s">
        <v>2179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2180</v>
      </c>
      <c r="B10" s="12" t="s">
        <v>1404</v>
      </c>
      <c r="C10" s="12" t="s">
        <v>2181</v>
      </c>
      <c r="D10" s="13" t="s">
        <v>2182</v>
      </c>
      <c r="E10" s="12" t="s">
        <v>154</v>
      </c>
      <c r="F10" s="12" t="s">
        <v>174</v>
      </c>
      <c r="G10" s="13" t="s">
        <v>2183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2184</v>
      </c>
      <c r="B11" s="12" t="s">
        <v>158</v>
      </c>
      <c r="C11" s="12" t="s">
        <v>2185</v>
      </c>
      <c r="D11" s="13" t="s">
        <v>2186</v>
      </c>
      <c r="E11" s="12" t="s">
        <v>154</v>
      </c>
      <c r="F11" s="12" t="s">
        <v>154</v>
      </c>
      <c r="G11" s="13" t="s">
        <v>1958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2187</v>
      </c>
      <c r="B12" s="12" t="s">
        <v>162</v>
      </c>
      <c r="C12" s="12" t="s">
        <v>1246</v>
      </c>
      <c r="D12" s="13" t="s">
        <v>2188</v>
      </c>
      <c r="E12" s="12" t="s">
        <v>154</v>
      </c>
      <c r="F12" s="12" t="s">
        <v>164</v>
      </c>
      <c r="G12" s="13" t="s">
        <v>2189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2190</v>
      </c>
      <c r="B13" s="12" t="s">
        <v>167</v>
      </c>
      <c r="C13" s="12" t="s">
        <v>1246</v>
      </c>
      <c r="D13" s="13" t="s">
        <v>2191</v>
      </c>
      <c r="E13" s="12" t="s">
        <v>154</v>
      </c>
      <c r="F13" s="12" t="s">
        <v>169</v>
      </c>
      <c r="G13" s="13" t="s">
        <v>2192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2193</v>
      </c>
      <c r="B14" s="12" t="s">
        <v>1637</v>
      </c>
      <c r="C14" s="12" t="s">
        <v>2181</v>
      </c>
      <c r="D14" s="13" t="s">
        <v>2194</v>
      </c>
      <c r="E14" s="12" t="s">
        <v>154</v>
      </c>
      <c r="F14" s="12" t="s">
        <v>179</v>
      </c>
      <c r="G14" s="13" t="s">
        <v>2195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2196</v>
      </c>
      <c r="B15" s="12" t="s">
        <v>1195</v>
      </c>
      <c r="C15" s="12" t="s">
        <v>823</v>
      </c>
      <c r="D15" s="13" t="s">
        <v>2197</v>
      </c>
      <c r="E15" s="12" t="s">
        <v>154</v>
      </c>
      <c r="F15" s="12" t="s">
        <v>179</v>
      </c>
      <c r="G15" s="13" t="s">
        <v>2198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2199</v>
      </c>
      <c r="B16" s="12" t="s">
        <v>1836</v>
      </c>
      <c r="C16" s="12" t="s">
        <v>1621</v>
      </c>
      <c r="D16" s="13" t="s">
        <v>2200</v>
      </c>
      <c r="E16" s="12" t="s">
        <v>154</v>
      </c>
      <c r="F16" s="12" t="s">
        <v>179</v>
      </c>
      <c r="G16" s="13" t="s">
        <v>2198</v>
      </c>
      <c r="H16" s="12" t="s">
        <v>119</v>
      </c>
      <c r="I16" s="12" t="s">
        <v>134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2201</v>
      </c>
      <c r="B17" s="12" t="s">
        <v>1759</v>
      </c>
      <c r="C17" s="12" t="s">
        <v>1246</v>
      </c>
      <c r="D17" s="13" t="s">
        <v>2202</v>
      </c>
      <c r="E17" s="12" t="s">
        <v>154</v>
      </c>
      <c r="F17" s="12" t="s">
        <v>179</v>
      </c>
      <c r="G17" s="13" t="s">
        <v>2195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2203</v>
      </c>
      <c r="B18" s="12" t="s">
        <v>1352</v>
      </c>
      <c r="C18" s="12" t="s">
        <v>823</v>
      </c>
      <c r="D18" s="13" t="s">
        <v>2204</v>
      </c>
      <c r="E18" s="12" t="s">
        <v>154</v>
      </c>
      <c r="F18" s="12" t="s">
        <v>179</v>
      </c>
      <c r="G18" s="13" t="s">
        <v>2205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2206</v>
      </c>
      <c r="B19" s="12" t="s">
        <v>1979</v>
      </c>
      <c r="C19" s="12" t="s">
        <v>2207</v>
      </c>
      <c r="D19" s="13" t="s">
        <v>2208</v>
      </c>
      <c r="E19" s="12" t="s">
        <v>154</v>
      </c>
      <c r="F19" s="12" t="s">
        <v>179</v>
      </c>
      <c r="G19" s="13" t="s">
        <v>2198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2209</v>
      </c>
      <c r="B20" s="12" t="s">
        <v>1457</v>
      </c>
      <c r="C20" s="12" t="s">
        <v>2210</v>
      </c>
      <c r="D20" s="13" t="s">
        <v>2211</v>
      </c>
      <c r="E20" s="12" t="s">
        <v>154</v>
      </c>
      <c r="F20" s="12" t="s">
        <v>179</v>
      </c>
      <c r="G20" s="13" t="s">
        <v>2195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2212</v>
      </c>
      <c r="B21" s="12" t="s">
        <v>2213</v>
      </c>
      <c r="C21" s="12" t="s">
        <v>1621</v>
      </c>
      <c r="D21" s="13" t="s">
        <v>2214</v>
      </c>
      <c r="E21" s="12" t="s">
        <v>154</v>
      </c>
      <c r="F21" s="12" t="s">
        <v>174</v>
      </c>
      <c r="G21" s="13" t="s">
        <v>2215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2216</v>
      </c>
      <c r="B22" s="12" t="s">
        <v>2217</v>
      </c>
      <c r="C22" s="12" t="s">
        <v>926</v>
      </c>
      <c r="D22" s="13" t="s">
        <v>2218</v>
      </c>
      <c r="E22" s="12" t="s">
        <v>154</v>
      </c>
      <c r="F22" s="12" t="s">
        <v>179</v>
      </c>
      <c r="G22" s="13" t="s">
        <v>2205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2219</v>
      </c>
      <c r="B23" s="12" t="s">
        <v>1148</v>
      </c>
      <c r="C23" s="12" t="s">
        <v>2220</v>
      </c>
      <c r="D23" s="13" t="s">
        <v>2221</v>
      </c>
      <c r="E23" s="12" t="s">
        <v>154</v>
      </c>
      <c r="F23" s="12" t="s">
        <v>179</v>
      </c>
      <c r="G23" s="13" t="s">
        <v>2195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2222</v>
      </c>
      <c r="B24" s="12" t="s">
        <v>202</v>
      </c>
      <c r="C24" s="12" t="s">
        <v>1246</v>
      </c>
      <c r="D24" s="13" t="s">
        <v>2223</v>
      </c>
      <c r="E24" s="12" t="s">
        <v>154</v>
      </c>
      <c r="F24" s="12" t="s">
        <v>179</v>
      </c>
      <c r="G24" s="13" t="s">
        <v>2215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2224</v>
      </c>
      <c r="B25" s="12" t="s">
        <v>2225</v>
      </c>
      <c r="C25" s="12" t="s">
        <v>823</v>
      </c>
      <c r="D25" s="13" t="s">
        <v>2226</v>
      </c>
      <c r="E25" s="12" t="s">
        <v>154</v>
      </c>
      <c r="F25" s="12" t="s">
        <v>179</v>
      </c>
      <c r="G25" s="13" t="s">
        <v>2198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2227</v>
      </c>
      <c r="B26" s="12" t="s">
        <v>1592</v>
      </c>
      <c r="C26" s="12" t="s">
        <v>823</v>
      </c>
      <c r="D26" s="13" t="s">
        <v>2228</v>
      </c>
      <c r="E26" s="12" t="s">
        <v>154</v>
      </c>
      <c r="F26" s="12" t="s">
        <v>189</v>
      </c>
      <c r="G26" s="13" t="s">
        <v>2229</v>
      </c>
      <c r="H26" s="12" t="s">
        <v>121</v>
      </c>
      <c r="I26" s="12" t="s">
        <v>133</v>
      </c>
      <c r="J26" s="14" t="n">
        <v>46230</v>
      </c>
      <c r="K26" s="13" t="s">
        <v>2230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2231</v>
      </c>
      <c r="B27" s="12" t="s">
        <v>193</v>
      </c>
      <c r="C27" s="12" t="s">
        <v>1246</v>
      </c>
      <c r="D27" s="13" t="s">
        <v>2232</v>
      </c>
      <c r="E27" s="12" t="s">
        <v>154</v>
      </c>
      <c r="F27" s="12" t="s">
        <v>179</v>
      </c>
      <c r="G27" s="13" t="s">
        <v>2198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2233</v>
      </c>
      <c r="B28" s="12" t="s">
        <v>2234</v>
      </c>
      <c r="C28" s="12" t="s">
        <v>1246</v>
      </c>
      <c r="D28" s="13" t="s">
        <v>2235</v>
      </c>
      <c r="E28" s="12" t="s">
        <v>154</v>
      </c>
      <c r="F28" s="12" t="s">
        <v>179</v>
      </c>
      <c r="G28" s="13" t="s">
        <v>2198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2236</v>
      </c>
      <c r="B29" s="12" t="s">
        <v>182</v>
      </c>
      <c r="C29" s="12" t="s">
        <v>1246</v>
      </c>
      <c r="D29" s="13" t="s">
        <v>2237</v>
      </c>
      <c r="E29" s="12" t="s">
        <v>154</v>
      </c>
      <c r="F29" s="12" t="s">
        <v>184</v>
      </c>
      <c r="G29" s="13" t="s">
        <v>2195</v>
      </c>
      <c r="H29" s="12" t="s">
        <v>119</v>
      </c>
      <c r="I29" s="12" t="s">
        <v>134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2238</v>
      </c>
      <c r="B30" s="12" t="s">
        <v>187</v>
      </c>
      <c r="C30" s="12" t="s">
        <v>1246</v>
      </c>
      <c r="D30" s="13" t="s">
        <v>2239</v>
      </c>
      <c r="E30" s="12" t="s">
        <v>154</v>
      </c>
      <c r="F30" s="12" t="s">
        <v>189</v>
      </c>
      <c r="G30" s="13" t="s">
        <v>2240</v>
      </c>
      <c r="H30" s="12" t="s">
        <v>121</v>
      </c>
      <c r="I30" s="12" t="s">
        <v>133</v>
      </c>
      <c r="J30" s="14" t="n">
        <v>46230</v>
      </c>
      <c r="K30" s="13" t="s">
        <v>2241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2242</v>
      </c>
      <c r="B31" s="12" t="s">
        <v>207</v>
      </c>
      <c r="C31" s="12" t="s">
        <v>65</v>
      </c>
      <c r="D31" s="13" t="s">
        <v>2243</v>
      </c>
      <c r="E31" s="12" t="s">
        <v>154</v>
      </c>
      <c r="F31" s="12" t="s">
        <v>195</v>
      </c>
      <c r="G31" s="13" t="s">
        <v>2244</v>
      </c>
      <c r="H31" s="12" t="s">
        <v>113</v>
      </c>
      <c r="I31" s="12" t="s">
        <v>133</v>
      </c>
      <c r="J31" s="14" t="n">
        <v>46230</v>
      </c>
      <c r="K31" s="13" t="s">
        <v>1870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2245</v>
      </c>
      <c r="B32" s="12" t="s">
        <v>211</v>
      </c>
      <c r="C32" s="12" t="s">
        <v>65</v>
      </c>
      <c r="D32" s="13" t="s">
        <v>2246</v>
      </c>
      <c r="E32" s="12" t="s">
        <v>154</v>
      </c>
      <c r="F32" s="12" t="s">
        <v>213</v>
      </c>
      <c r="G32" s="13" t="s">
        <v>2247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2248</v>
      </c>
      <c r="B33" s="12" t="s">
        <v>216</v>
      </c>
      <c r="C33" s="12" t="s">
        <v>65</v>
      </c>
      <c r="D33" s="13" t="s">
        <v>2249</v>
      </c>
      <c r="E33" s="12" t="s">
        <v>154</v>
      </c>
      <c r="F33" s="12" t="s">
        <v>213</v>
      </c>
      <c r="G33" s="13" t="s">
        <v>2250</v>
      </c>
      <c r="H33" s="12" t="s">
        <v>119</v>
      </c>
      <c r="I33" s="12" t="s">
        <v>134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2251</v>
      </c>
      <c r="B34" s="12" t="s">
        <v>642</v>
      </c>
      <c r="C34" s="12" t="s">
        <v>65</v>
      </c>
      <c r="D34" s="13" t="s">
        <v>2252</v>
      </c>
      <c r="E34" s="12" t="s">
        <v>154</v>
      </c>
      <c r="F34" s="12" t="s">
        <v>644</v>
      </c>
      <c r="G34" s="13" t="s">
        <v>2253</v>
      </c>
      <c r="H34" s="12" t="s">
        <v>119</v>
      </c>
      <c r="I34" s="12" t="s">
        <v>134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2254</v>
      </c>
      <c r="B35" s="12" t="s">
        <v>220</v>
      </c>
      <c r="C35" s="12" t="s">
        <v>65</v>
      </c>
      <c r="D35" s="13" t="s">
        <v>2255</v>
      </c>
      <c r="E35" s="12" t="s">
        <v>222</v>
      </c>
      <c r="F35" s="12" t="s">
        <v>222</v>
      </c>
      <c r="G35" s="13" t="s">
        <v>223</v>
      </c>
      <c r="H35" s="12" t="s">
        <v>119</v>
      </c>
      <c r="I35" s="12" t="s">
        <v>134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2256</v>
      </c>
      <c r="B36" s="12" t="s">
        <v>225</v>
      </c>
      <c r="C36" s="12" t="s">
        <v>65</v>
      </c>
      <c r="D36" s="13" t="s">
        <v>2257</v>
      </c>
      <c r="E36" s="12" t="s">
        <v>154</v>
      </c>
      <c r="F36" s="12" t="s">
        <v>154</v>
      </c>
      <c r="G36" s="13" t="s">
        <v>227</v>
      </c>
      <c r="H36" s="12" t="s">
        <v>119</v>
      </c>
      <c r="I36" s="12" t="s">
        <v>134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2258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2259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2260</v>
      </c>
      <c r="B9" s="12" t="s">
        <v>111</v>
      </c>
      <c r="C9" s="12" t="s">
        <v>823</v>
      </c>
      <c r="D9" s="13" t="s">
        <v>2261</v>
      </c>
      <c r="E9" s="12" t="s">
        <v>154</v>
      </c>
      <c r="F9" s="12" t="s">
        <v>155</v>
      </c>
      <c r="G9" s="13" t="s">
        <v>2262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2263</v>
      </c>
      <c r="B10" s="12" t="s">
        <v>1404</v>
      </c>
      <c r="C10" s="12" t="s">
        <v>823</v>
      </c>
      <c r="D10" s="13" t="s">
        <v>2264</v>
      </c>
      <c r="E10" s="12" t="s">
        <v>154</v>
      </c>
      <c r="F10" s="12" t="s">
        <v>174</v>
      </c>
      <c r="G10" s="13" t="s">
        <v>2265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2266</v>
      </c>
      <c r="B11" s="12" t="s">
        <v>158</v>
      </c>
      <c r="C11" s="12" t="s">
        <v>2267</v>
      </c>
      <c r="D11" s="13" t="s">
        <v>2268</v>
      </c>
      <c r="E11" s="12" t="s">
        <v>154</v>
      </c>
      <c r="F11" s="12" t="s">
        <v>154</v>
      </c>
      <c r="G11" s="13" t="s">
        <v>1958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2269</v>
      </c>
      <c r="B12" s="12" t="s">
        <v>162</v>
      </c>
      <c r="C12" s="12" t="s">
        <v>823</v>
      </c>
      <c r="D12" s="13" t="s">
        <v>2270</v>
      </c>
      <c r="E12" s="12" t="s">
        <v>154</v>
      </c>
      <c r="F12" s="12" t="s">
        <v>164</v>
      </c>
      <c r="G12" s="13" t="s">
        <v>2271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2272</v>
      </c>
      <c r="B13" s="12" t="s">
        <v>2273</v>
      </c>
      <c r="C13" s="12" t="s">
        <v>823</v>
      </c>
      <c r="D13" s="13" t="s">
        <v>2274</v>
      </c>
      <c r="E13" s="12" t="s">
        <v>154</v>
      </c>
      <c r="F13" s="12" t="s">
        <v>174</v>
      </c>
      <c r="G13" s="13" t="s">
        <v>2265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2275</v>
      </c>
      <c r="B14" s="12" t="s">
        <v>1355</v>
      </c>
      <c r="C14" s="12" t="s">
        <v>823</v>
      </c>
      <c r="D14" s="13" t="s">
        <v>2276</v>
      </c>
      <c r="E14" s="12" t="s">
        <v>154</v>
      </c>
      <c r="F14" s="12" t="s">
        <v>179</v>
      </c>
      <c r="G14" s="13" t="s">
        <v>2277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2278</v>
      </c>
      <c r="B15" s="12" t="s">
        <v>2279</v>
      </c>
      <c r="C15" s="12" t="s">
        <v>823</v>
      </c>
      <c r="D15" s="13" t="s">
        <v>2280</v>
      </c>
      <c r="E15" s="12" t="s">
        <v>154</v>
      </c>
      <c r="F15" s="12" t="s">
        <v>179</v>
      </c>
      <c r="G15" s="13" t="s">
        <v>2277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2281</v>
      </c>
      <c r="B16" s="12" t="s">
        <v>2282</v>
      </c>
      <c r="C16" s="12" t="s">
        <v>823</v>
      </c>
      <c r="D16" s="13" t="s">
        <v>2283</v>
      </c>
      <c r="E16" s="12" t="s">
        <v>154</v>
      </c>
      <c r="F16" s="12" t="s">
        <v>179</v>
      </c>
      <c r="G16" s="13" t="s">
        <v>2277</v>
      </c>
      <c r="H16" s="12" t="s">
        <v>119</v>
      </c>
      <c r="I16" s="12" t="s">
        <v>134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2284</v>
      </c>
      <c r="B17" s="12" t="s">
        <v>202</v>
      </c>
      <c r="C17" s="12" t="s">
        <v>823</v>
      </c>
      <c r="D17" s="13" t="s">
        <v>2285</v>
      </c>
      <c r="E17" s="12" t="s">
        <v>154</v>
      </c>
      <c r="F17" s="12" t="s">
        <v>179</v>
      </c>
      <c r="G17" s="13" t="s">
        <v>2286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2287</v>
      </c>
      <c r="B18" s="12" t="s">
        <v>2288</v>
      </c>
      <c r="C18" s="12" t="s">
        <v>823</v>
      </c>
      <c r="D18" s="13" t="s">
        <v>2289</v>
      </c>
      <c r="E18" s="12" t="s">
        <v>154</v>
      </c>
      <c r="F18" s="12" t="s">
        <v>179</v>
      </c>
      <c r="G18" s="13" t="s">
        <v>2277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2290</v>
      </c>
      <c r="B19" s="12" t="s">
        <v>193</v>
      </c>
      <c r="C19" s="12" t="s">
        <v>823</v>
      </c>
      <c r="D19" s="13" t="s">
        <v>2291</v>
      </c>
      <c r="E19" s="12" t="s">
        <v>154</v>
      </c>
      <c r="F19" s="12" t="s">
        <v>179</v>
      </c>
      <c r="G19" s="13" t="s">
        <v>2292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2293</v>
      </c>
      <c r="B20" s="12" t="s">
        <v>182</v>
      </c>
      <c r="C20" s="12" t="s">
        <v>823</v>
      </c>
      <c r="D20" s="13" t="s">
        <v>2294</v>
      </c>
      <c r="E20" s="12" t="s">
        <v>154</v>
      </c>
      <c r="F20" s="12" t="s">
        <v>184</v>
      </c>
      <c r="G20" s="13" t="s">
        <v>2277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2295</v>
      </c>
      <c r="B21" s="12" t="s">
        <v>187</v>
      </c>
      <c r="C21" s="12" t="s">
        <v>823</v>
      </c>
      <c r="D21" s="13" t="s">
        <v>2296</v>
      </c>
      <c r="E21" s="12" t="s">
        <v>154</v>
      </c>
      <c r="F21" s="12" t="s">
        <v>189</v>
      </c>
      <c r="G21" s="13" t="s">
        <v>2297</v>
      </c>
      <c r="H21" s="12" t="s">
        <v>121</v>
      </c>
      <c r="I21" s="12" t="s">
        <v>133</v>
      </c>
      <c r="J21" s="14" t="n">
        <v>46230</v>
      </c>
      <c r="K21" s="13" t="s">
        <v>2298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2299</v>
      </c>
      <c r="B22" s="12" t="s">
        <v>207</v>
      </c>
      <c r="C22" s="12" t="s">
        <v>66</v>
      </c>
      <c r="D22" s="13" t="s">
        <v>2300</v>
      </c>
      <c r="E22" s="12" t="s">
        <v>154</v>
      </c>
      <c r="F22" s="12" t="s">
        <v>195</v>
      </c>
      <c r="G22" s="13" t="s">
        <v>2301</v>
      </c>
      <c r="H22" s="12" t="s">
        <v>113</v>
      </c>
      <c r="I22" s="12" t="s">
        <v>133</v>
      </c>
      <c r="J22" s="14" t="n">
        <v>46230</v>
      </c>
      <c r="K22" s="13" t="s">
        <v>1870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2302</v>
      </c>
      <c r="B23" s="12" t="s">
        <v>211</v>
      </c>
      <c r="C23" s="12" t="s">
        <v>66</v>
      </c>
      <c r="D23" s="13" t="s">
        <v>2303</v>
      </c>
      <c r="E23" s="12" t="s">
        <v>154</v>
      </c>
      <c r="F23" s="12" t="s">
        <v>213</v>
      </c>
      <c r="G23" s="13" t="s">
        <v>2304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2305</v>
      </c>
      <c r="B24" s="12" t="s">
        <v>216</v>
      </c>
      <c r="C24" s="12" t="s">
        <v>66</v>
      </c>
      <c r="D24" s="13" t="s">
        <v>2306</v>
      </c>
      <c r="E24" s="12" t="s">
        <v>154</v>
      </c>
      <c r="F24" s="12" t="s">
        <v>213</v>
      </c>
      <c r="G24" s="13" t="s">
        <v>2307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2308</v>
      </c>
      <c r="B25" s="12" t="s">
        <v>642</v>
      </c>
      <c r="C25" s="12" t="s">
        <v>66</v>
      </c>
      <c r="D25" s="13" t="s">
        <v>2309</v>
      </c>
      <c r="E25" s="12" t="s">
        <v>154</v>
      </c>
      <c r="F25" s="12" t="s">
        <v>644</v>
      </c>
      <c r="G25" s="13" t="s">
        <v>2310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2311</v>
      </c>
      <c r="B26" s="12" t="s">
        <v>220</v>
      </c>
      <c r="C26" s="12" t="s">
        <v>66</v>
      </c>
      <c r="D26" s="13" t="s">
        <v>2312</v>
      </c>
      <c r="E26" s="12" t="s">
        <v>222</v>
      </c>
      <c r="F26" s="12" t="s">
        <v>222</v>
      </c>
      <c r="G26" s="13" t="s">
        <v>223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2313</v>
      </c>
      <c r="B27" s="12" t="s">
        <v>225</v>
      </c>
      <c r="C27" s="12" t="s">
        <v>66</v>
      </c>
      <c r="D27" s="13" t="s">
        <v>2314</v>
      </c>
      <c r="E27" s="12" t="s">
        <v>154</v>
      </c>
      <c r="F27" s="12" t="s">
        <v>154</v>
      </c>
      <c r="G27" s="13" t="s">
        <v>227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137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1099</v>
      </c>
      <c r="B9" s="12" t="s">
        <v>111</v>
      </c>
      <c r="C9" s="12" t="s">
        <v>823</v>
      </c>
      <c r="D9" s="13" t="s">
        <v>2317</v>
      </c>
      <c r="E9" s="12" t="s">
        <v>154</v>
      </c>
      <c r="F9" s="12" t="s">
        <v>155</v>
      </c>
      <c r="G9" s="13" t="s">
        <v>2318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1102</v>
      </c>
      <c r="B10" s="12" t="s">
        <v>1404</v>
      </c>
      <c r="C10" s="12" t="s">
        <v>1246</v>
      </c>
      <c r="D10" s="13" t="s">
        <v>2319</v>
      </c>
      <c r="E10" s="12" t="s">
        <v>154</v>
      </c>
      <c r="F10" s="12" t="s">
        <v>174</v>
      </c>
      <c r="G10" s="13" t="s">
        <v>2320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1104</v>
      </c>
      <c r="B11" s="12" t="s">
        <v>158</v>
      </c>
      <c r="C11" s="12" t="s">
        <v>1246</v>
      </c>
      <c r="D11" s="13" t="s">
        <v>2321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1107</v>
      </c>
      <c r="B12" s="12" t="s">
        <v>162</v>
      </c>
      <c r="C12" s="12" t="s">
        <v>1246</v>
      </c>
      <c r="D12" s="13" t="s">
        <v>2322</v>
      </c>
      <c r="E12" s="12" t="s">
        <v>154</v>
      </c>
      <c r="F12" s="12" t="s">
        <v>164</v>
      </c>
      <c r="G12" s="13" t="s">
        <v>2323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1110</v>
      </c>
      <c r="B13" s="12" t="s">
        <v>167</v>
      </c>
      <c r="C13" s="12" t="s">
        <v>1246</v>
      </c>
      <c r="D13" s="13" t="s">
        <v>2324</v>
      </c>
      <c r="E13" s="12" t="s">
        <v>154</v>
      </c>
      <c r="F13" s="12" t="s">
        <v>169</v>
      </c>
      <c r="G13" s="13" t="s">
        <v>2325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1113</v>
      </c>
      <c r="B14" s="12" t="s">
        <v>1637</v>
      </c>
      <c r="C14" s="12" t="s">
        <v>823</v>
      </c>
      <c r="D14" s="13" t="s">
        <v>2326</v>
      </c>
      <c r="E14" s="12" t="s">
        <v>154</v>
      </c>
      <c r="F14" s="12" t="s">
        <v>179</v>
      </c>
      <c r="G14" s="13" t="s">
        <v>2327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1116</v>
      </c>
      <c r="B15" s="12" t="s">
        <v>1754</v>
      </c>
      <c r="C15" s="12" t="s">
        <v>823</v>
      </c>
      <c r="D15" s="13" t="s">
        <v>2328</v>
      </c>
      <c r="E15" s="12" t="s">
        <v>154</v>
      </c>
      <c r="F15" s="12" t="s">
        <v>189</v>
      </c>
      <c r="G15" s="13" t="s">
        <v>2329</v>
      </c>
      <c r="H15" s="12" t="s">
        <v>121</v>
      </c>
      <c r="I15" s="12" t="s">
        <v>133</v>
      </c>
      <c r="J15" s="14" t="n">
        <v>46230</v>
      </c>
      <c r="K15" s="13" t="s">
        <v>2330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1118</v>
      </c>
      <c r="B16" s="12" t="s">
        <v>1759</v>
      </c>
      <c r="C16" s="12" t="s">
        <v>823</v>
      </c>
      <c r="D16" s="13" t="s">
        <v>2331</v>
      </c>
      <c r="E16" s="12" t="s">
        <v>154</v>
      </c>
      <c r="F16" s="12" t="s">
        <v>189</v>
      </c>
      <c r="G16" s="13" t="s">
        <v>2329</v>
      </c>
      <c r="H16" s="12" t="s">
        <v>121</v>
      </c>
      <c r="I16" s="12" t="s">
        <v>133</v>
      </c>
      <c r="J16" s="14" t="n">
        <v>46230</v>
      </c>
      <c r="K16" s="13" t="s">
        <v>2332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1122</v>
      </c>
      <c r="B17" s="12" t="s">
        <v>1235</v>
      </c>
      <c r="C17" s="12" t="s">
        <v>823</v>
      </c>
      <c r="D17" s="13" t="s">
        <v>2333</v>
      </c>
      <c r="E17" s="12" t="s">
        <v>154</v>
      </c>
      <c r="F17" s="12" t="s">
        <v>174</v>
      </c>
      <c r="G17" s="13" t="s">
        <v>2334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1126</v>
      </c>
      <c r="B18" s="12" t="s">
        <v>2335</v>
      </c>
      <c r="C18" s="12" t="s">
        <v>2336</v>
      </c>
      <c r="D18" s="13" t="s">
        <v>2337</v>
      </c>
      <c r="E18" s="12" t="s">
        <v>154</v>
      </c>
      <c r="F18" s="12" t="s">
        <v>179</v>
      </c>
      <c r="G18" s="13" t="s">
        <v>2334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1128</v>
      </c>
      <c r="B19" s="12" t="s">
        <v>2338</v>
      </c>
      <c r="C19" s="12" t="s">
        <v>1148</v>
      </c>
      <c r="D19" s="13" t="s">
        <v>2339</v>
      </c>
      <c r="E19" s="12" t="s">
        <v>154</v>
      </c>
      <c r="F19" s="12" t="s">
        <v>179</v>
      </c>
      <c r="G19" s="13" t="s">
        <v>2334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1131</v>
      </c>
      <c r="B20" s="12" t="s">
        <v>2340</v>
      </c>
      <c r="C20" s="12" t="s">
        <v>2341</v>
      </c>
      <c r="D20" s="13" t="s">
        <v>2342</v>
      </c>
      <c r="E20" s="12" t="s">
        <v>154</v>
      </c>
      <c r="F20" s="12" t="s">
        <v>179</v>
      </c>
      <c r="G20" s="13" t="s">
        <v>2343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1134</v>
      </c>
      <c r="B21" s="12" t="s">
        <v>1852</v>
      </c>
      <c r="C21" s="12" t="s">
        <v>1852</v>
      </c>
      <c r="D21" s="13" t="s">
        <v>2344</v>
      </c>
      <c r="E21" s="12" t="s">
        <v>154</v>
      </c>
      <c r="F21" s="12" t="s">
        <v>189</v>
      </c>
      <c r="G21" s="13" t="s">
        <v>2329</v>
      </c>
      <c r="H21" s="12" t="s">
        <v>121</v>
      </c>
      <c r="I21" s="12" t="s">
        <v>133</v>
      </c>
      <c r="J21" s="14" t="n">
        <v>46230</v>
      </c>
      <c r="K21" s="13" t="s">
        <v>2345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1136</v>
      </c>
      <c r="B22" s="12" t="s">
        <v>202</v>
      </c>
      <c r="C22" s="12" t="s">
        <v>2346</v>
      </c>
      <c r="D22" s="13" t="s">
        <v>2347</v>
      </c>
      <c r="E22" s="12" t="s">
        <v>154</v>
      </c>
      <c r="F22" s="12" t="s">
        <v>174</v>
      </c>
      <c r="G22" s="13" t="s">
        <v>2334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1139</v>
      </c>
      <c r="B23" s="12" t="s">
        <v>2348</v>
      </c>
      <c r="C23" s="12" t="s">
        <v>1148</v>
      </c>
      <c r="D23" s="13" t="s">
        <v>2349</v>
      </c>
      <c r="E23" s="12" t="s">
        <v>154</v>
      </c>
      <c r="F23" s="12" t="s">
        <v>179</v>
      </c>
      <c r="G23" s="13" t="s">
        <v>2350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2351</v>
      </c>
      <c r="B24" s="12" t="s">
        <v>182</v>
      </c>
      <c r="C24" s="12" t="s">
        <v>1246</v>
      </c>
      <c r="D24" s="13" t="s">
        <v>2352</v>
      </c>
      <c r="E24" s="12" t="s">
        <v>154</v>
      </c>
      <c r="F24" s="12" t="s">
        <v>184</v>
      </c>
      <c r="G24" s="13" t="s">
        <v>2327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2353</v>
      </c>
      <c r="B25" s="12" t="s">
        <v>193</v>
      </c>
      <c r="C25" s="12" t="s">
        <v>1246</v>
      </c>
      <c r="D25" s="13" t="s">
        <v>2354</v>
      </c>
      <c r="E25" s="12" t="s">
        <v>154</v>
      </c>
      <c r="F25" s="12" t="s">
        <v>179</v>
      </c>
      <c r="G25" s="13" t="s">
        <v>2355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2356</v>
      </c>
      <c r="B26" s="12" t="s">
        <v>94</v>
      </c>
      <c r="C26" s="12" t="s">
        <v>1246</v>
      </c>
      <c r="D26" s="13" t="s">
        <v>2357</v>
      </c>
      <c r="E26" s="12" t="s">
        <v>154</v>
      </c>
      <c r="F26" s="12" t="s">
        <v>189</v>
      </c>
      <c r="G26" s="13" t="s">
        <v>2329</v>
      </c>
      <c r="H26" s="12" t="s">
        <v>121</v>
      </c>
      <c r="I26" s="12" t="s">
        <v>133</v>
      </c>
      <c r="J26" s="14" t="n">
        <v>46230</v>
      </c>
      <c r="K26" s="13" t="s">
        <v>2358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2359</v>
      </c>
      <c r="B27" s="12" t="s">
        <v>187</v>
      </c>
      <c r="C27" s="12" t="s">
        <v>1246</v>
      </c>
      <c r="D27" s="13" t="s">
        <v>2360</v>
      </c>
      <c r="E27" s="12" t="s">
        <v>154</v>
      </c>
      <c r="F27" s="12" t="s">
        <v>189</v>
      </c>
      <c r="G27" s="13" t="s">
        <v>2329</v>
      </c>
      <c r="H27" s="12" t="s">
        <v>121</v>
      </c>
      <c r="I27" s="12" t="s">
        <v>133</v>
      </c>
      <c r="J27" s="14" t="n">
        <v>46230</v>
      </c>
      <c r="K27" s="13" t="s">
        <v>2361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2362</v>
      </c>
      <c r="B28" s="12" t="s">
        <v>642</v>
      </c>
      <c r="C28" s="12" t="s">
        <v>1246</v>
      </c>
      <c r="D28" s="13" t="s">
        <v>2363</v>
      </c>
      <c r="E28" s="12" t="s">
        <v>154</v>
      </c>
      <c r="F28" s="12" t="s">
        <v>644</v>
      </c>
      <c r="G28" s="13" t="s">
        <v>2364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2365</v>
      </c>
      <c r="B29" s="12" t="s">
        <v>207</v>
      </c>
      <c r="C29" s="12" t="s">
        <v>1246</v>
      </c>
      <c r="D29" s="13" t="s">
        <v>2366</v>
      </c>
      <c r="E29" s="12" t="s">
        <v>154</v>
      </c>
      <c r="F29" s="12" t="s">
        <v>195</v>
      </c>
      <c r="G29" s="13" t="s">
        <v>2367</v>
      </c>
      <c r="H29" s="12" t="s">
        <v>113</v>
      </c>
      <c r="I29" s="12" t="s">
        <v>133</v>
      </c>
      <c r="J29" s="14" t="n">
        <v>46230</v>
      </c>
      <c r="K29" s="13" t="s">
        <v>1870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2368</v>
      </c>
      <c r="B30" s="12" t="s">
        <v>211</v>
      </c>
      <c r="C30" s="12" t="s">
        <v>1246</v>
      </c>
      <c r="D30" s="13" t="s">
        <v>2369</v>
      </c>
      <c r="E30" s="12" t="s">
        <v>154</v>
      </c>
      <c r="F30" s="12" t="s">
        <v>213</v>
      </c>
      <c r="G30" s="13" t="s">
        <v>2370</v>
      </c>
      <c r="H30" s="12" t="s">
        <v>119</v>
      </c>
      <c r="I30" s="12" t="s">
        <v>134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2371</v>
      </c>
      <c r="B31" s="12" t="s">
        <v>216</v>
      </c>
      <c r="C31" s="12" t="s">
        <v>67</v>
      </c>
      <c r="D31" s="13" t="s">
        <v>2372</v>
      </c>
      <c r="E31" s="12" t="s">
        <v>154</v>
      </c>
      <c r="F31" s="12" t="s">
        <v>213</v>
      </c>
      <c r="G31" s="13" t="s">
        <v>2373</v>
      </c>
      <c r="H31" s="12" t="s">
        <v>119</v>
      </c>
      <c r="I31" s="12" t="s">
        <v>134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2374</v>
      </c>
      <c r="B32" s="12" t="s">
        <v>220</v>
      </c>
      <c r="C32" s="12" t="s">
        <v>67</v>
      </c>
      <c r="D32" s="13" t="s">
        <v>2375</v>
      </c>
      <c r="E32" s="12" t="s">
        <v>222</v>
      </c>
      <c r="F32" s="12" t="s">
        <v>222</v>
      </c>
      <c r="G32" s="13" t="s">
        <v>223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2376</v>
      </c>
      <c r="B33" s="12" t="s">
        <v>225</v>
      </c>
      <c r="C33" s="12" t="s">
        <v>67</v>
      </c>
      <c r="D33" s="13" t="s">
        <v>2377</v>
      </c>
      <c r="E33" s="12" t="s">
        <v>154</v>
      </c>
      <c r="F33" s="12" t="s">
        <v>154</v>
      </c>
      <c r="G33" s="13" t="s">
        <v>2378</v>
      </c>
      <c r="H33" s="12" t="s">
        <v>119</v>
      </c>
      <c r="I33" s="12" t="s">
        <v>134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2381</v>
      </c>
      <c r="B9" s="12" t="s">
        <v>111</v>
      </c>
      <c r="C9" s="12" t="s">
        <v>823</v>
      </c>
      <c r="D9" s="13" t="s">
        <v>2382</v>
      </c>
      <c r="E9" s="12" t="s">
        <v>154</v>
      </c>
      <c r="F9" s="12" t="s">
        <v>155</v>
      </c>
      <c r="G9" s="13" t="s">
        <v>2383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2384</v>
      </c>
      <c r="B10" s="12" t="s">
        <v>1404</v>
      </c>
      <c r="C10" s="12" t="s">
        <v>1246</v>
      </c>
      <c r="D10" s="13" t="s">
        <v>2385</v>
      </c>
      <c r="E10" s="12" t="s">
        <v>154</v>
      </c>
      <c r="F10" s="12" t="s">
        <v>174</v>
      </c>
      <c r="G10" s="13" t="s">
        <v>2386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2387</v>
      </c>
      <c r="B11" s="12" t="s">
        <v>158</v>
      </c>
      <c r="C11" s="12" t="s">
        <v>1246</v>
      </c>
      <c r="D11" s="13" t="s">
        <v>2388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2389</v>
      </c>
      <c r="B12" s="12" t="s">
        <v>162</v>
      </c>
      <c r="C12" s="12" t="s">
        <v>1246</v>
      </c>
      <c r="D12" s="13" t="s">
        <v>2390</v>
      </c>
      <c r="E12" s="12" t="s">
        <v>154</v>
      </c>
      <c r="F12" s="12" t="s">
        <v>164</v>
      </c>
      <c r="G12" s="13" t="s">
        <v>2391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2392</v>
      </c>
      <c r="B13" s="12" t="s">
        <v>167</v>
      </c>
      <c r="C13" s="12" t="s">
        <v>1246</v>
      </c>
      <c r="D13" s="13" t="s">
        <v>2393</v>
      </c>
      <c r="E13" s="12" t="s">
        <v>154</v>
      </c>
      <c r="F13" s="12" t="s">
        <v>169</v>
      </c>
      <c r="G13" s="13" t="s">
        <v>2394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2395</v>
      </c>
      <c r="B14" s="12" t="s">
        <v>1637</v>
      </c>
      <c r="C14" s="12" t="s">
        <v>823</v>
      </c>
      <c r="D14" s="13" t="s">
        <v>2396</v>
      </c>
      <c r="E14" s="12" t="s">
        <v>154</v>
      </c>
      <c r="F14" s="12" t="s">
        <v>179</v>
      </c>
      <c r="G14" s="13" t="s">
        <v>2397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2398</v>
      </c>
      <c r="B15" s="12" t="s">
        <v>1754</v>
      </c>
      <c r="C15" s="12" t="s">
        <v>823</v>
      </c>
      <c r="D15" s="13" t="s">
        <v>2399</v>
      </c>
      <c r="E15" s="12" t="s">
        <v>154</v>
      </c>
      <c r="F15" s="12" t="s">
        <v>189</v>
      </c>
      <c r="G15" s="13" t="s">
        <v>2400</v>
      </c>
      <c r="H15" s="12" t="s">
        <v>121</v>
      </c>
      <c r="I15" s="12" t="s">
        <v>133</v>
      </c>
      <c r="J15" s="14" t="n">
        <v>46230</v>
      </c>
      <c r="K15" s="13" t="s">
        <v>2330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2401</v>
      </c>
      <c r="B16" s="12" t="s">
        <v>1759</v>
      </c>
      <c r="C16" s="12" t="s">
        <v>823</v>
      </c>
      <c r="D16" s="13" t="s">
        <v>2402</v>
      </c>
      <c r="E16" s="12" t="s">
        <v>154</v>
      </c>
      <c r="F16" s="12" t="s">
        <v>189</v>
      </c>
      <c r="G16" s="13" t="s">
        <v>2400</v>
      </c>
      <c r="H16" s="12" t="s">
        <v>121</v>
      </c>
      <c r="I16" s="12" t="s">
        <v>133</v>
      </c>
      <c r="J16" s="14" t="n">
        <v>46230</v>
      </c>
      <c r="K16" s="13" t="s">
        <v>2332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2403</v>
      </c>
      <c r="B17" s="12" t="s">
        <v>2404</v>
      </c>
      <c r="C17" s="12" t="s">
        <v>914</v>
      </c>
      <c r="D17" s="13" t="s">
        <v>2405</v>
      </c>
      <c r="E17" s="12" t="s">
        <v>154</v>
      </c>
      <c r="F17" s="12" t="s">
        <v>174</v>
      </c>
      <c r="G17" s="13" t="s">
        <v>2406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2407</v>
      </c>
      <c r="B18" s="12" t="s">
        <v>2408</v>
      </c>
      <c r="C18" s="12" t="s">
        <v>914</v>
      </c>
      <c r="D18" s="13" t="s">
        <v>2409</v>
      </c>
      <c r="E18" s="12" t="s">
        <v>154</v>
      </c>
      <c r="F18" s="12" t="s">
        <v>174</v>
      </c>
      <c r="G18" s="13" t="s">
        <v>2406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2410</v>
      </c>
      <c r="B19" s="12" t="s">
        <v>2411</v>
      </c>
      <c r="C19" s="12" t="s">
        <v>823</v>
      </c>
      <c r="D19" s="13" t="s">
        <v>2412</v>
      </c>
      <c r="E19" s="12" t="s">
        <v>154</v>
      </c>
      <c r="F19" s="12" t="s">
        <v>174</v>
      </c>
      <c r="G19" s="13" t="s">
        <v>2386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2413</v>
      </c>
      <c r="B20" s="12" t="s">
        <v>2414</v>
      </c>
      <c r="C20" s="12" t="s">
        <v>1840</v>
      </c>
      <c r="D20" s="13" t="s">
        <v>2415</v>
      </c>
      <c r="E20" s="12" t="s">
        <v>154</v>
      </c>
      <c r="F20" s="12" t="s">
        <v>179</v>
      </c>
      <c r="G20" s="13" t="s">
        <v>2406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2416</v>
      </c>
      <c r="B21" s="12" t="s">
        <v>2335</v>
      </c>
      <c r="C21" s="12" t="s">
        <v>2417</v>
      </c>
      <c r="D21" s="13" t="s">
        <v>2418</v>
      </c>
      <c r="E21" s="12" t="s">
        <v>154</v>
      </c>
      <c r="F21" s="12" t="s">
        <v>179</v>
      </c>
      <c r="G21" s="13" t="s">
        <v>2406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2419</v>
      </c>
      <c r="B22" s="12" t="s">
        <v>2338</v>
      </c>
      <c r="C22" s="12" t="s">
        <v>1148</v>
      </c>
      <c r="D22" s="13" t="s">
        <v>2420</v>
      </c>
      <c r="E22" s="12" t="s">
        <v>154</v>
      </c>
      <c r="F22" s="12" t="s">
        <v>179</v>
      </c>
      <c r="G22" s="13" t="s">
        <v>2406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2421</v>
      </c>
      <c r="B23" s="12" t="s">
        <v>2340</v>
      </c>
      <c r="C23" s="12" t="s">
        <v>2422</v>
      </c>
      <c r="D23" s="13" t="s">
        <v>2423</v>
      </c>
      <c r="E23" s="12" t="s">
        <v>154</v>
      </c>
      <c r="F23" s="12" t="s">
        <v>179</v>
      </c>
      <c r="G23" s="13" t="s">
        <v>2424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2425</v>
      </c>
      <c r="B24" s="12" t="s">
        <v>1644</v>
      </c>
      <c r="C24" s="12" t="s">
        <v>1840</v>
      </c>
      <c r="D24" s="13" t="s">
        <v>2426</v>
      </c>
      <c r="E24" s="12" t="s">
        <v>154</v>
      </c>
      <c r="F24" s="12" t="s">
        <v>179</v>
      </c>
      <c r="G24" s="13" t="s">
        <v>2397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2427</v>
      </c>
      <c r="B25" s="12" t="s">
        <v>2094</v>
      </c>
      <c r="C25" s="12" t="s">
        <v>1246</v>
      </c>
      <c r="D25" s="13" t="s">
        <v>2428</v>
      </c>
      <c r="E25" s="12" t="s">
        <v>154</v>
      </c>
      <c r="F25" s="12" t="s">
        <v>189</v>
      </c>
      <c r="G25" s="13" t="s">
        <v>2429</v>
      </c>
      <c r="H25" s="12" t="s">
        <v>121</v>
      </c>
      <c r="I25" s="12" t="s">
        <v>133</v>
      </c>
      <c r="J25" s="14" t="n">
        <v>46230</v>
      </c>
      <c r="K25" s="13" t="s">
        <v>2430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2431</v>
      </c>
      <c r="B26" s="12" t="s">
        <v>202</v>
      </c>
      <c r="C26" s="12" t="s">
        <v>2432</v>
      </c>
      <c r="D26" s="13" t="s">
        <v>2433</v>
      </c>
      <c r="E26" s="12" t="s">
        <v>154</v>
      </c>
      <c r="F26" s="12" t="s">
        <v>174</v>
      </c>
      <c r="G26" s="13" t="s">
        <v>2386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2434</v>
      </c>
      <c r="B27" s="12" t="s">
        <v>2435</v>
      </c>
      <c r="C27" s="12" t="s">
        <v>1246</v>
      </c>
      <c r="D27" s="13" t="s">
        <v>2436</v>
      </c>
      <c r="E27" s="12" t="s">
        <v>154</v>
      </c>
      <c r="F27" s="12" t="s">
        <v>184</v>
      </c>
      <c r="G27" s="13" t="s">
        <v>2397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2437</v>
      </c>
      <c r="B28" s="12" t="s">
        <v>94</v>
      </c>
      <c r="C28" s="12" t="s">
        <v>1246</v>
      </c>
      <c r="D28" s="13" t="s">
        <v>2357</v>
      </c>
      <c r="E28" s="12" t="s">
        <v>154</v>
      </c>
      <c r="F28" s="12" t="s">
        <v>189</v>
      </c>
      <c r="G28" s="13" t="s">
        <v>2400</v>
      </c>
      <c r="H28" s="12" t="s">
        <v>121</v>
      </c>
      <c r="I28" s="12" t="s">
        <v>133</v>
      </c>
      <c r="J28" s="14" t="n">
        <v>46230</v>
      </c>
      <c r="K28" s="13" t="s">
        <v>2358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2438</v>
      </c>
      <c r="B29" s="12" t="s">
        <v>187</v>
      </c>
      <c r="C29" s="12" t="s">
        <v>1246</v>
      </c>
      <c r="D29" s="13" t="s">
        <v>2439</v>
      </c>
      <c r="E29" s="12" t="s">
        <v>154</v>
      </c>
      <c r="F29" s="12" t="s">
        <v>189</v>
      </c>
      <c r="G29" s="13" t="s">
        <v>2400</v>
      </c>
      <c r="H29" s="12" t="s">
        <v>121</v>
      </c>
      <c r="I29" s="12" t="s">
        <v>133</v>
      </c>
      <c r="J29" s="14" t="n">
        <v>46230</v>
      </c>
      <c r="K29" s="13" t="s">
        <v>2440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2441</v>
      </c>
      <c r="B30" s="12" t="s">
        <v>642</v>
      </c>
      <c r="C30" s="12" t="s">
        <v>1246</v>
      </c>
      <c r="D30" s="13" t="s">
        <v>2442</v>
      </c>
      <c r="E30" s="12" t="s">
        <v>154</v>
      </c>
      <c r="F30" s="12" t="s">
        <v>644</v>
      </c>
      <c r="G30" s="13" t="s">
        <v>2443</v>
      </c>
      <c r="H30" s="12" t="s">
        <v>119</v>
      </c>
      <c r="I30" s="12" t="s">
        <v>134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2444</v>
      </c>
      <c r="B31" s="12" t="s">
        <v>207</v>
      </c>
      <c r="C31" s="12" t="s">
        <v>1246</v>
      </c>
      <c r="D31" s="13" t="s">
        <v>2366</v>
      </c>
      <c r="E31" s="12" t="s">
        <v>154</v>
      </c>
      <c r="F31" s="12" t="s">
        <v>195</v>
      </c>
      <c r="G31" s="13" t="s">
        <v>2445</v>
      </c>
      <c r="H31" s="12" t="s">
        <v>113</v>
      </c>
      <c r="I31" s="12" t="s">
        <v>133</v>
      </c>
      <c r="J31" s="14" t="n">
        <v>46230</v>
      </c>
      <c r="K31" s="13" t="s">
        <v>1870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2446</v>
      </c>
      <c r="B32" s="12" t="s">
        <v>2447</v>
      </c>
      <c r="C32" s="12" t="s">
        <v>1246</v>
      </c>
      <c r="D32" s="13" t="s">
        <v>2448</v>
      </c>
      <c r="E32" s="12" t="s">
        <v>154</v>
      </c>
      <c r="F32" s="12" t="s">
        <v>213</v>
      </c>
      <c r="G32" s="13" t="s">
        <v>2449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2450</v>
      </c>
      <c r="B33" s="12" t="s">
        <v>220</v>
      </c>
      <c r="C33" s="12" t="s">
        <v>68</v>
      </c>
      <c r="D33" s="13" t="s">
        <v>2451</v>
      </c>
      <c r="E33" s="12" t="s">
        <v>222</v>
      </c>
      <c r="F33" s="12" t="s">
        <v>222</v>
      </c>
      <c r="G33" s="13" t="s">
        <v>223</v>
      </c>
      <c r="H33" s="12" t="s">
        <v>119</v>
      </c>
      <c r="I33" s="12" t="s">
        <v>134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2452</v>
      </c>
      <c r="B34" s="12" t="s">
        <v>225</v>
      </c>
      <c r="C34" s="12" t="s">
        <v>68</v>
      </c>
      <c r="D34" s="13" t="s">
        <v>2453</v>
      </c>
      <c r="E34" s="12" t="s">
        <v>154</v>
      </c>
      <c r="F34" s="12" t="s">
        <v>154</v>
      </c>
      <c r="G34" s="13" t="s">
        <v>2378</v>
      </c>
      <c r="H34" s="12" t="s">
        <v>119</v>
      </c>
      <c r="I34" s="12" t="s">
        <v>134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2455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2456</v>
      </c>
      <c r="B9" s="12" t="s">
        <v>111</v>
      </c>
      <c r="C9" s="12" t="s">
        <v>1246</v>
      </c>
      <c r="D9" s="13" t="s">
        <v>2457</v>
      </c>
      <c r="E9" s="12" t="s">
        <v>154</v>
      </c>
      <c r="F9" s="12" t="s">
        <v>155</v>
      </c>
      <c r="G9" s="13" t="s">
        <v>2458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2459</v>
      </c>
      <c r="B10" s="12" t="s">
        <v>2460</v>
      </c>
      <c r="C10" s="12" t="s">
        <v>2461</v>
      </c>
      <c r="D10" s="13" t="s">
        <v>2462</v>
      </c>
      <c r="E10" s="12" t="s">
        <v>154</v>
      </c>
      <c r="F10" s="12" t="s">
        <v>174</v>
      </c>
      <c r="G10" s="13" t="s">
        <v>2463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2464</v>
      </c>
      <c r="B11" s="12" t="s">
        <v>1404</v>
      </c>
      <c r="C11" s="12" t="s">
        <v>1246</v>
      </c>
      <c r="D11" s="13" t="s">
        <v>2465</v>
      </c>
      <c r="E11" s="12" t="s">
        <v>154</v>
      </c>
      <c r="F11" s="12" t="s">
        <v>174</v>
      </c>
      <c r="G11" s="13" t="s">
        <v>2463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2466</v>
      </c>
      <c r="B12" s="12" t="s">
        <v>158</v>
      </c>
      <c r="C12" s="12" t="s">
        <v>1246</v>
      </c>
      <c r="D12" s="13" t="s">
        <v>2467</v>
      </c>
      <c r="E12" s="12" t="s">
        <v>154</v>
      </c>
      <c r="F12" s="12" t="s">
        <v>154</v>
      </c>
      <c r="G12" s="13" t="s">
        <v>602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2468</v>
      </c>
      <c r="B13" s="12" t="s">
        <v>162</v>
      </c>
      <c r="C13" s="12" t="s">
        <v>2469</v>
      </c>
      <c r="D13" s="13" t="s">
        <v>2470</v>
      </c>
      <c r="E13" s="12" t="s">
        <v>154</v>
      </c>
      <c r="F13" s="12" t="s">
        <v>164</v>
      </c>
      <c r="G13" s="13" t="s">
        <v>2471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2472</v>
      </c>
      <c r="B14" s="12" t="s">
        <v>167</v>
      </c>
      <c r="C14" s="12" t="s">
        <v>1246</v>
      </c>
      <c r="D14" s="13" t="s">
        <v>2473</v>
      </c>
      <c r="E14" s="12" t="s">
        <v>154</v>
      </c>
      <c r="F14" s="12" t="s">
        <v>169</v>
      </c>
      <c r="G14" s="13" t="s">
        <v>2474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2475</v>
      </c>
      <c r="B15" s="12" t="s">
        <v>1637</v>
      </c>
      <c r="C15" s="12" t="s">
        <v>2476</v>
      </c>
      <c r="D15" s="13" t="s">
        <v>2477</v>
      </c>
      <c r="E15" s="12" t="s">
        <v>154</v>
      </c>
      <c r="F15" s="12" t="s">
        <v>179</v>
      </c>
      <c r="G15" s="13" t="s">
        <v>2478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2479</v>
      </c>
      <c r="B16" s="12" t="s">
        <v>162</v>
      </c>
      <c r="C16" s="12" t="s">
        <v>2480</v>
      </c>
      <c r="D16" s="13" t="s">
        <v>2481</v>
      </c>
      <c r="E16" s="12" t="s">
        <v>154</v>
      </c>
      <c r="F16" s="12" t="s">
        <v>189</v>
      </c>
      <c r="G16" s="13" t="s">
        <v>2482</v>
      </c>
      <c r="H16" s="12" t="s">
        <v>121</v>
      </c>
      <c r="I16" s="12" t="s">
        <v>133</v>
      </c>
      <c r="J16" s="14" t="n">
        <v>46230</v>
      </c>
      <c r="K16" s="13" t="s">
        <v>2483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2484</v>
      </c>
      <c r="B17" s="12" t="s">
        <v>1148</v>
      </c>
      <c r="C17" s="12" t="s">
        <v>2485</v>
      </c>
      <c r="D17" s="13" t="s">
        <v>2486</v>
      </c>
      <c r="E17" s="12" t="s">
        <v>154</v>
      </c>
      <c r="F17" s="12" t="s">
        <v>189</v>
      </c>
      <c r="G17" s="13" t="s">
        <v>2487</v>
      </c>
      <c r="H17" s="12" t="s">
        <v>121</v>
      </c>
      <c r="I17" s="12" t="s">
        <v>133</v>
      </c>
      <c r="J17" s="14" t="n">
        <v>46230</v>
      </c>
      <c r="K17" s="13" t="s">
        <v>2488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2489</v>
      </c>
      <c r="B18" s="12" t="s">
        <v>2490</v>
      </c>
      <c r="C18" s="12" t="s">
        <v>2491</v>
      </c>
      <c r="D18" s="13" t="s">
        <v>2492</v>
      </c>
      <c r="E18" s="12" t="s">
        <v>154</v>
      </c>
      <c r="F18" s="12" t="s">
        <v>179</v>
      </c>
      <c r="G18" s="13" t="s">
        <v>2478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2493</v>
      </c>
      <c r="B19" s="12" t="s">
        <v>2494</v>
      </c>
      <c r="C19" s="12" t="s">
        <v>2495</v>
      </c>
      <c r="D19" s="13" t="s">
        <v>2496</v>
      </c>
      <c r="E19" s="12" t="s">
        <v>154</v>
      </c>
      <c r="F19" s="12" t="s">
        <v>179</v>
      </c>
      <c r="G19" s="13" t="s">
        <v>2497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2498</v>
      </c>
      <c r="B20" s="12" t="s">
        <v>2499</v>
      </c>
      <c r="C20" s="12" t="s">
        <v>2153</v>
      </c>
      <c r="D20" s="13" t="s">
        <v>2500</v>
      </c>
      <c r="E20" s="12" t="s">
        <v>154</v>
      </c>
      <c r="F20" s="12" t="s">
        <v>189</v>
      </c>
      <c r="G20" s="13" t="s">
        <v>2497</v>
      </c>
      <c r="H20" s="12" t="s">
        <v>121</v>
      </c>
      <c r="I20" s="12" t="s">
        <v>133</v>
      </c>
      <c r="J20" s="14" t="n">
        <v>46230</v>
      </c>
      <c r="K20" s="13" t="s">
        <v>2501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2502</v>
      </c>
      <c r="B21" s="12" t="s">
        <v>2503</v>
      </c>
      <c r="C21" s="12" t="s">
        <v>2495</v>
      </c>
      <c r="D21" s="13" t="s">
        <v>2504</v>
      </c>
      <c r="E21" s="12" t="s">
        <v>154</v>
      </c>
      <c r="F21" s="12" t="s">
        <v>179</v>
      </c>
      <c r="G21" s="13" t="s">
        <v>2497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2505</v>
      </c>
      <c r="B22" s="12" t="s">
        <v>2506</v>
      </c>
      <c r="C22" s="12" t="s">
        <v>2507</v>
      </c>
      <c r="D22" s="13" t="s">
        <v>2508</v>
      </c>
      <c r="E22" s="12" t="s">
        <v>154</v>
      </c>
      <c r="F22" s="12" t="s">
        <v>179</v>
      </c>
      <c r="G22" s="13" t="s">
        <v>2509</v>
      </c>
      <c r="H22" s="12" t="s">
        <v>119</v>
      </c>
      <c r="I22" s="12" t="s">
        <v>134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2510</v>
      </c>
      <c r="B23" s="12" t="s">
        <v>2511</v>
      </c>
      <c r="C23" s="12" t="s">
        <v>2512</v>
      </c>
      <c r="D23" s="13" t="s">
        <v>2513</v>
      </c>
      <c r="E23" s="12" t="s">
        <v>154</v>
      </c>
      <c r="F23" s="12" t="s">
        <v>174</v>
      </c>
      <c r="G23" s="13" t="s">
        <v>2514</v>
      </c>
      <c r="H23" s="12" t="s">
        <v>119</v>
      </c>
      <c r="I23" s="12" t="s">
        <v>134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2515</v>
      </c>
      <c r="B24" s="12" t="s">
        <v>2516</v>
      </c>
      <c r="C24" s="12" t="s">
        <v>2507</v>
      </c>
      <c r="D24" s="13" t="s">
        <v>2517</v>
      </c>
      <c r="E24" s="12" t="s">
        <v>154</v>
      </c>
      <c r="F24" s="12" t="s">
        <v>184</v>
      </c>
      <c r="G24" s="13" t="s">
        <v>2478</v>
      </c>
      <c r="H24" s="12" t="s">
        <v>119</v>
      </c>
      <c r="I24" s="12" t="s">
        <v>134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2518</v>
      </c>
      <c r="B25" s="12" t="s">
        <v>1644</v>
      </c>
      <c r="C25" s="12" t="s">
        <v>2519</v>
      </c>
      <c r="D25" s="13" t="s">
        <v>2520</v>
      </c>
      <c r="E25" s="12" t="s">
        <v>154</v>
      </c>
      <c r="F25" s="12" t="s">
        <v>179</v>
      </c>
      <c r="G25" s="13" t="s">
        <v>2509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2521</v>
      </c>
      <c r="B26" s="12" t="s">
        <v>2522</v>
      </c>
      <c r="C26" s="12" t="s">
        <v>823</v>
      </c>
      <c r="D26" s="13" t="s">
        <v>2523</v>
      </c>
      <c r="E26" s="12" t="s">
        <v>154</v>
      </c>
      <c r="F26" s="12" t="s">
        <v>155</v>
      </c>
      <c r="G26" s="13" t="s">
        <v>2524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2525</v>
      </c>
      <c r="B27" s="12" t="s">
        <v>2526</v>
      </c>
      <c r="C27" s="12" t="s">
        <v>2527</v>
      </c>
      <c r="D27" s="13" t="s">
        <v>2528</v>
      </c>
      <c r="E27" s="12" t="s">
        <v>154</v>
      </c>
      <c r="F27" s="12" t="s">
        <v>174</v>
      </c>
      <c r="G27" s="13" t="s">
        <v>2529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2530</v>
      </c>
      <c r="B28" s="12" t="s">
        <v>1592</v>
      </c>
      <c r="C28" s="12" t="s">
        <v>1246</v>
      </c>
      <c r="D28" s="13" t="s">
        <v>2531</v>
      </c>
      <c r="E28" s="12" t="s">
        <v>154</v>
      </c>
      <c r="F28" s="12" t="s">
        <v>174</v>
      </c>
      <c r="G28" s="13" t="s">
        <v>2532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2533</v>
      </c>
      <c r="B29" s="12" t="s">
        <v>2534</v>
      </c>
      <c r="C29" s="12" t="s">
        <v>1246</v>
      </c>
      <c r="D29" s="13" t="s">
        <v>2535</v>
      </c>
      <c r="E29" s="12" t="s">
        <v>154</v>
      </c>
      <c r="F29" s="12" t="s">
        <v>189</v>
      </c>
      <c r="G29" s="13" t="s">
        <v>2497</v>
      </c>
      <c r="H29" s="12" t="s">
        <v>121</v>
      </c>
      <c r="I29" s="12" t="s">
        <v>133</v>
      </c>
      <c r="J29" s="14" t="n">
        <v>46230</v>
      </c>
      <c r="K29" s="13" t="s">
        <v>2536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2537</v>
      </c>
      <c r="B30" s="12" t="s">
        <v>94</v>
      </c>
      <c r="C30" s="12" t="s">
        <v>1246</v>
      </c>
      <c r="D30" s="13" t="s">
        <v>2538</v>
      </c>
      <c r="E30" s="12" t="s">
        <v>154</v>
      </c>
      <c r="F30" s="12" t="s">
        <v>189</v>
      </c>
      <c r="G30" s="13" t="s">
        <v>2482</v>
      </c>
      <c r="H30" s="12" t="s">
        <v>121</v>
      </c>
      <c r="I30" s="12" t="s">
        <v>133</v>
      </c>
      <c r="J30" s="14" t="n">
        <v>46230</v>
      </c>
      <c r="K30" s="13" t="s">
        <v>2539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2540</v>
      </c>
      <c r="B31" s="12" t="s">
        <v>2541</v>
      </c>
      <c r="C31" s="12" t="s">
        <v>2480</v>
      </c>
      <c r="D31" s="13" t="s">
        <v>2542</v>
      </c>
      <c r="E31" s="12" t="s">
        <v>154</v>
      </c>
      <c r="F31" s="12" t="s">
        <v>189</v>
      </c>
      <c r="G31" s="13" t="s">
        <v>2482</v>
      </c>
      <c r="H31" s="12" t="s">
        <v>121</v>
      </c>
      <c r="I31" s="12" t="s">
        <v>133</v>
      </c>
      <c r="J31" s="14" t="n">
        <v>46230</v>
      </c>
      <c r="K31" s="13" t="s">
        <v>2543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2544</v>
      </c>
      <c r="B32" s="12" t="s">
        <v>182</v>
      </c>
      <c r="C32" s="12" t="s">
        <v>1246</v>
      </c>
      <c r="D32" s="13" t="s">
        <v>2545</v>
      </c>
      <c r="E32" s="12" t="s">
        <v>154</v>
      </c>
      <c r="F32" s="12" t="s">
        <v>184</v>
      </c>
      <c r="G32" s="13" t="s">
        <v>2509</v>
      </c>
      <c r="H32" s="12" t="s">
        <v>119</v>
      </c>
      <c r="I32" s="12" t="s">
        <v>134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2546</v>
      </c>
      <c r="B33" s="12" t="s">
        <v>187</v>
      </c>
      <c r="C33" s="12" t="s">
        <v>1246</v>
      </c>
      <c r="D33" s="13" t="s">
        <v>2547</v>
      </c>
      <c r="E33" s="12" t="s">
        <v>154</v>
      </c>
      <c r="F33" s="12" t="s">
        <v>189</v>
      </c>
      <c r="G33" s="13" t="s">
        <v>2482</v>
      </c>
      <c r="H33" s="12" t="s">
        <v>121</v>
      </c>
      <c r="I33" s="12" t="s">
        <v>133</v>
      </c>
      <c r="J33" s="14" t="n">
        <v>46230</v>
      </c>
      <c r="K33" s="13" t="s">
        <v>2548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2549</v>
      </c>
      <c r="B34" s="12" t="s">
        <v>642</v>
      </c>
      <c r="C34" s="12" t="s">
        <v>1246</v>
      </c>
      <c r="D34" s="13" t="s">
        <v>2550</v>
      </c>
      <c r="E34" s="12" t="s">
        <v>154</v>
      </c>
      <c r="F34" s="12" t="s">
        <v>644</v>
      </c>
      <c r="G34" s="13" t="s">
        <v>2551</v>
      </c>
      <c r="H34" s="12" t="s">
        <v>119</v>
      </c>
      <c r="I34" s="12" t="s">
        <v>134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2552</v>
      </c>
      <c r="B35" s="12" t="s">
        <v>207</v>
      </c>
      <c r="C35" s="12" t="s">
        <v>1246</v>
      </c>
      <c r="D35" s="13" t="s">
        <v>2553</v>
      </c>
      <c r="E35" s="12" t="s">
        <v>154</v>
      </c>
      <c r="F35" s="12" t="s">
        <v>195</v>
      </c>
      <c r="G35" s="13" t="s">
        <v>2554</v>
      </c>
      <c r="H35" s="12" t="s">
        <v>113</v>
      </c>
      <c r="I35" s="12" t="s">
        <v>133</v>
      </c>
      <c r="J35" s="14" t="n">
        <v>46230</v>
      </c>
      <c r="K35" s="13" t="s">
        <v>1870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2555</v>
      </c>
      <c r="B36" s="12" t="s">
        <v>2447</v>
      </c>
      <c r="C36" s="12" t="s">
        <v>69</v>
      </c>
      <c r="D36" s="13" t="s">
        <v>2556</v>
      </c>
      <c r="E36" s="12" t="s">
        <v>154</v>
      </c>
      <c r="F36" s="12" t="s">
        <v>213</v>
      </c>
      <c r="G36" s="13" t="s">
        <v>2557</v>
      </c>
      <c r="H36" s="12" t="s">
        <v>119</v>
      </c>
      <c r="I36" s="12" t="s">
        <v>134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2558</v>
      </c>
      <c r="B37" s="12" t="s">
        <v>216</v>
      </c>
      <c r="C37" s="12" t="s">
        <v>69</v>
      </c>
      <c r="D37" s="13" t="s">
        <v>2559</v>
      </c>
      <c r="E37" s="12" t="s">
        <v>154</v>
      </c>
      <c r="F37" s="12" t="s">
        <v>213</v>
      </c>
      <c r="G37" s="13" t="s">
        <v>2560</v>
      </c>
      <c r="H37" s="12" t="s">
        <v>119</v>
      </c>
      <c r="I37" s="12" t="s">
        <v>134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2561</v>
      </c>
      <c r="B38" s="12" t="s">
        <v>220</v>
      </c>
      <c r="C38" s="12" t="s">
        <v>2461</v>
      </c>
      <c r="D38" s="13" t="s">
        <v>2562</v>
      </c>
      <c r="E38" s="12" t="s">
        <v>222</v>
      </c>
      <c r="F38" s="12" t="s">
        <v>222</v>
      </c>
      <c r="G38" s="13" t="s">
        <v>223</v>
      </c>
      <c r="H38" s="12" t="s">
        <v>119</v>
      </c>
      <c r="I38" s="12" t="s">
        <v>134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2563</v>
      </c>
      <c r="B39" s="12" t="s">
        <v>225</v>
      </c>
      <c r="C39" s="12" t="s">
        <v>69</v>
      </c>
      <c r="D39" s="13" t="s">
        <v>2564</v>
      </c>
      <c r="E39" s="12" t="s">
        <v>154</v>
      </c>
      <c r="F39" s="12" t="s">
        <v>154</v>
      </c>
      <c r="G39" s="13" t="s">
        <v>2565</v>
      </c>
      <c r="H39" s="12" t="s">
        <v>119</v>
      </c>
      <c r="I39" s="12" t="s">
        <v>134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137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1556</v>
      </c>
      <c r="B9" s="12" t="s">
        <v>111</v>
      </c>
      <c r="C9" s="12" t="s">
        <v>1246</v>
      </c>
      <c r="D9" s="13" t="s">
        <v>2568</v>
      </c>
      <c r="E9" s="12" t="s">
        <v>154</v>
      </c>
      <c r="F9" s="12" t="s">
        <v>155</v>
      </c>
      <c r="G9" s="13" t="s">
        <v>2569</v>
      </c>
      <c r="H9" s="12" t="s">
        <v>119</v>
      </c>
      <c r="I9" s="12" t="s">
        <v>134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1559</v>
      </c>
      <c r="B10" s="12" t="s">
        <v>2460</v>
      </c>
      <c r="C10" s="12" t="s">
        <v>1246</v>
      </c>
      <c r="D10" s="13" t="s">
        <v>2570</v>
      </c>
      <c r="E10" s="12" t="s">
        <v>154</v>
      </c>
      <c r="F10" s="12" t="s">
        <v>174</v>
      </c>
      <c r="G10" s="13" t="s">
        <v>2571</v>
      </c>
      <c r="H10" s="12" t="s">
        <v>119</v>
      </c>
      <c r="I10" s="12" t="s">
        <v>134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1563</v>
      </c>
      <c r="B11" s="12" t="s">
        <v>1404</v>
      </c>
      <c r="C11" s="12" t="s">
        <v>2572</v>
      </c>
      <c r="D11" s="13" t="s">
        <v>2573</v>
      </c>
      <c r="E11" s="12" t="s">
        <v>154</v>
      </c>
      <c r="F11" s="12" t="s">
        <v>174</v>
      </c>
      <c r="G11" s="13" t="s">
        <v>2571</v>
      </c>
      <c r="H11" s="12" t="s">
        <v>119</v>
      </c>
      <c r="I11" s="12" t="s">
        <v>134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1565</v>
      </c>
      <c r="B12" s="12" t="s">
        <v>162</v>
      </c>
      <c r="C12" s="12" t="s">
        <v>2469</v>
      </c>
      <c r="D12" s="13" t="s">
        <v>2574</v>
      </c>
      <c r="E12" s="12" t="s">
        <v>154</v>
      </c>
      <c r="F12" s="12" t="s">
        <v>164</v>
      </c>
      <c r="G12" s="13" t="s">
        <v>2575</v>
      </c>
      <c r="H12" s="12" t="s">
        <v>119</v>
      </c>
      <c r="I12" s="12" t="s">
        <v>134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1568</v>
      </c>
      <c r="B13" s="12" t="s">
        <v>158</v>
      </c>
      <c r="C13" s="12" t="s">
        <v>1246</v>
      </c>
      <c r="D13" s="13" t="s">
        <v>2576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1571</v>
      </c>
      <c r="B14" s="12" t="s">
        <v>1372</v>
      </c>
      <c r="C14" s="12" t="s">
        <v>823</v>
      </c>
      <c r="D14" s="13" t="s">
        <v>2577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1574</v>
      </c>
      <c r="B15" s="12" t="s">
        <v>1637</v>
      </c>
      <c r="C15" s="12" t="s">
        <v>823</v>
      </c>
      <c r="D15" s="13" t="s">
        <v>2578</v>
      </c>
      <c r="E15" s="12" t="s">
        <v>154</v>
      </c>
      <c r="F15" s="12" t="s">
        <v>174</v>
      </c>
      <c r="G15" s="13" t="s">
        <v>2571</v>
      </c>
      <c r="H15" s="12" t="s">
        <v>119</v>
      </c>
      <c r="I15" s="12" t="s">
        <v>134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1577</v>
      </c>
      <c r="B16" s="12" t="s">
        <v>1195</v>
      </c>
      <c r="C16" s="12" t="s">
        <v>823</v>
      </c>
      <c r="D16" s="13" t="s">
        <v>2579</v>
      </c>
      <c r="E16" s="12" t="s">
        <v>154</v>
      </c>
      <c r="F16" s="12" t="s">
        <v>179</v>
      </c>
      <c r="G16" s="13" t="s">
        <v>2580</v>
      </c>
      <c r="H16" s="12" t="s">
        <v>119</v>
      </c>
      <c r="I16" s="12" t="s">
        <v>134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1581</v>
      </c>
      <c r="B17" s="12" t="s">
        <v>682</v>
      </c>
      <c r="C17" s="12" t="s">
        <v>2581</v>
      </c>
      <c r="D17" s="13" t="s">
        <v>2582</v>
      </c>
      <c r="E17" s="12" t="s">
        <v>154</v>
      </c>
      <c r="F17" s="12" t="s">
        <v>174</v>
      </c>
      <c r="G17" s="13" t="s">
        <v>2571</v>
      </c>
      <c r="H17" s="12" t="s">
        <v>119</v>
      </c>
      <c r="I17" s="12" t="s">
        <v>134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1584</v>
      </c>
      <c r="B18" s="12" t="s">
        <v>2583</v>
      </c>
      <c r="C18" s="12" t="s">
        <v>2581</v>
      </c>
      <c r="D18" s="13" t="s">
        <v>2584</v>
      </c>
      <c r="E18" s="12" t="s">
        <v>154</v>
      </c>
      <c r="F18" s="12" t="s">
        <v>179</v>
      </c>
      <c r="G18" s="13" t="s">
        <v>2580</v>
      </c>
      <c r="H18" s="12" t="s">
        <v>119</v>
      </c>
      <c r="I18" s="12" t="s">
        <v>134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1586</v>
      </c>
      <c r="B19" s="12" t="s">
        <v>2585</v>
      </c>
      <c r="C19" s="12" t="s">
        <v>2586</v>
      </c>
      <c r="D19" s="13" t="s">
        <v>2587</v>
      </c>
      <c r="E19" s="12" t="s">
        <v>154</v>
      </c>
      <c r="F19" s="12" t="s">
        <v>179</v>
      </c>
      <c r="G19" s="13" t="s">
        <v>2580</v>
      </c>
      <c r="H19" s="12" t="s">
        <v>119</v>
      </c>
      <c r="I19" s="12" t="s">
        <v>134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1589</v>
      </c>
      <c r="B20" s="12" t="s">
        <v>193</v>
      </c>
      <c r="C20" s="12" t="s">
        <v>42</v>
      </c>
      <c r="D20" s="13" t="s">
        <v>2588</v>
      </c>
      <c r="E20" s="12" t="s">
        <v>154</v>
      </c>
      <c r="F20" s="12" t="s">
        <v>179</v>
      </c>
      <c r="G20" s="13" t="s">
        <v>2580</v>
      </c>
      <c r="H20" s="12" t="s">
        <v>119</v>
      </c>
      <c r="I20" s="12" t="s">
        <v>134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1591</v>
      </c>
      <c r="B21" s="12" t="s">
        <v>2589</v>
      </c>
      <c r="C21" s="12" t="s">
        <v>2590</v>
      </c>
      <c r="D21" s="13" t="s">
        <v>2591</v>
      </c>
      <c r="E21" s="12" t="s">
        <v>154</v>
      </c>
      <c r="F21" s="12" t="s">
        <v>179</v>
      </c>
      <c r="G21" s="13" t="s">
        <v>2580</v>
      </c>
      <c r="H21" s="12" t="s">
        <v>119</v>
      </c>
      <c r="I21" s="12" t="s">
        <v>134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1595</v>
      </c>
      <c r="B22" s="12" t="s">
        <v>2592</v>
      </c>
      <c r="C22" s="12" t="s">
        <v>1246</v>
      </c>
      <c r="D22" s="13" t="s">
        <v>2593</v>
      </c>
      <c r="E22" s="12" t="s">
        <v>154</v>
      </c>
      <c r="F22" s="12" t="s">
        <v>189</v>
      </c>
      <c r="G22" s="13" t="s">
        <v>2594</v>
      </c>
      <c r="H22" s="12" t="s">
        <v>121</v>
      </c>
      <c r="I22" s="12" t="s">
        <v>133</v>
      </c>
      <c r="J22" s="14" t="n">
        <v>46230</v>
      </c>
      <c r="K22" s="13" t="s">
        <v>2595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1598</v>
      </c>
      <c r="B23" s="12" t="s">
        <v>94</v>
      </c>
      <c r="C23" s="12" t="s">
        <v>1246</v>
      </c>
      <c r="D23" s="13" t="s">
        <v>2596</v>
      </c>
      <c r="E23" s="12" t="s">
        <v>154</v>
      </c>
      <c r="F23" s="12" t="s">
        <v>189</v>
      </c>
      <c r="G23" s="13" t="s">
        <v>2594</v>
      </c>
      <c r="H23" s="12" t="s">
        <v>121</v>
      </c>
      <c r="I23" s="12" t="s">
        <v>133</v>
      </c>
      <c r="J23" s="14" t="n">
        <v>46230</v>
      </c>
      <c r="K23" s="13" t="s">
        <v>2597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1602</v>
      </c>
      <c r="B24" s="12" t="s">
        <v>187</v>
      </c>
      <c r="C24" s="12" t="s">
        <v>1246</v>
      </c>
      <c r="D24" s="13" t="s">
        <v>2598</v>
      </c>
      <c r="E24" s="12" t="s">
        <v>154</v>
      </c>
      <c r="F24" s="12" t="s">
        <v>189</v>
      </c>
      <c r="G24" s="13" t="s">
        <v>2594</v>
      </c>
      <c r="H24" s="12" t="s">
        <v>121</v>
      </c>
      <c r="I24" s="12" t="s">
        <v>133</v>
      </c>
      <c r="J24" s="14" t="n">
        <v>46231</v>
      </c>
      <c r="K24" s="13" t="s">
        <v>2599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1605</v>
      </c>
      <c r="B25" s="12" t="s">
        <v>182</v>
      </c>
      <c r="C25" s="12" t="s">
        <v>1246</v>
      </c>
      <c r="D25" s="13" t="s">
        <v>2600</v>
      </c>
      <c r="E25" s="12" t="s">
        <v>154</v>
      </c>
      <c r="F25" s="12" t="s">
        <v>184</v>
      </c>
      <c r="G25" s="13" t="s">
        <v>2580</v>
      </c>
      <c r="H25" s="12" t="s">
        <v>119</v>
      </c>
      <c r="I25" s="12" t="s">
        <v>134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1607</v>
      </c>
      <c r="B26" s="12" t="s">
        <v>642</v>
      </c>
      <c r="C26" s="12" t="s">
        <v>1246</v>
      </c>
      <c r="D26" s="13" t="s">
        <v>2601</v>
      </c>
      <c r="E26" s="12" t="s">
        <v>154</v>
      </c>
      <c r="F26" s="12" t="s">
        <v>644</v>
      </c>
      <c r="G26" s="13" t="s">
        <v>2602</v>
      </c>
      <c r="H26" s="12" t="s">
        <v>119</v>
      </c>
      <c r="I26" s="12" t="s">
        <v>134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1609</v>
      </c>
      <c r="B27" s="12" t="s">
        <v>2447</v>
      </c>
      <c r="C27" s="12" t="s">
        <v>89</v>
      </c>
      <c r="D27" s="13" t="s">
        <v>2603</v>
      </c>
      <c r="E27" s="12" t="s">
        <v>154</v>
      </c>
      <c r="F27" s="12" t="s">
        <v>213</v>
      </c>
      <c r="G27" s="13" t="s">
        <v>2604</v>
      </c>
      <c r="H27" s="12" t="s">
        <v>119</v>
      </c>
      <c r="I27" s="12" t="s">
        <v>134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1612</v>
      </c>
      <c r="B28" s="12" t="s">
        <v>216</v>
      </c>
      <c r="C28" s="12" t="s">
        <v>89</v>
      </c>
      <c r="D28" s="13" t="s">
        <v>2605</v>
      </c>
      <c r="E28" s="12" t="s">
        <v>154</v>
      </c>
      <c r="F28" s="12" t="s">
        <v>213</v>
      </c>
      <c r="G28" s="13" t="s">
        <v>2606</v>
      </c>
      <c r="H28" s="12" t="s">
        <v>119</v>
      </c>
      <c r="I28" s="12" t="s">
        <v>134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1615</v>
      </c>
      <c r="B29" s="12" t="s">
        <v>220</v>
      </c>
      <c r="C29" s="12" t="s">
        <v>89</v>
      </c>
      <c r="D29" s="13" t="s">
        <v>2607</v>
      </c>
      <c r="E29" s="12" t="s">
        <v>222</v>
      </c>
      <c r="F29" s="12" t="s">
        <v>222</v>
      </c>
      <c r="G29" s="13" t="s">
        <v>2608</v>
      </c>
      <c r="H29" s="12" t="s">
        <v>119</v>
      </c>
      <c r="I29" s="12" t="s">
        <v>134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1617</v>
      </c>
      <c r="B30" s="12" t="s">
        <v>207</v>
      </c>
      <c r="C30" s="12" t="s">
        <v>1246</v>
      </c>
      <c r="D30" s="13" t="s">
        <v>2609</v>
      </c>
      <c r="E30" s="12" t="s">
        <v>154</v>
      </c>
      <c r="F30" s="12" t="s">
        <v>195</v>
      </c>
      <c r="G30" s="13" t="s">
        <v>2610</v>
      </c>
      <c r="H30" s="12" t="s">
        <v>113</v>
      </c>
      <c r="I30" s="12" t="s">
        <v>133</v>
      </c>
      <c r="J30" s="14" t="n">
        <v>46230</v>
      </c>
      <c r="K30" s="13" t="s">
        <v>1870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2611</v>
      </c>
      <c r="B31" s="12" t="s">
        <v>225</v>
      </c>
      <c r="C31" s="12" t="s">
        <v>89</v>
      </c>
      <c r="D31" s="13" t="s">
        <v>2612</v>
      </c>
      <c r="E31" s="12" t="s">
        <v>154</v>
      </c>
      <c r="F31" s="12" t="s">
        <v>154</v>
      </c>
      <c r="G31" s="13" t="s">
        <v>2613</v>
      </c>
      <c r="H31" s="12" t="s">
        <v>119</v>
      </c>
      <c r="I31" s="12" t="s">
        <v>134</v>
      </c>
      <c r="J31" s="14" t="n">
        <v>46231</v>
      </c>
      <c r="K31" s="13" t="s">
        <v>2614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137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2617</v>
      </c>
      <c r="B9" s="12" t="s">
        <v>111</v>
      </c>
      <c r="C9" s="12" t="s">
        <v>1246</v>
      </c>
      <c r="D9" s="13" t="s">
        <v>2618</v>
      </c>
      <c r="E9" s="12" t="s">
        <v>154</v>
      </c>
      <c r="F9" s="12" t="s">
        <v>155</v>
      </c>
      <c r="G9" s="13" t="s">
        <v>2619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2620</v>
      </c>
      <c r="B10" s="12" t="s">
        <v>2460</v>
      </c>
      <c r="C10" s="12" t="s">
        <v>1246</v>
      </c>
      <c r="D10" s="13" t="s">
        <v>2621</v>
      </c>
      <c r="E10" s="12" t="s">
        <v>154</v>
      </c>
      <c r="F10" s="12" t="s">
        <v>174</v>
      </c>
      <c r="G10" s="13" t="s">
        <v>2622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2623</v>
      </c>
      <c r="B11" s="12" t="s">
        <v>1404</v>
      </c>
      <c r="C11" s="12" t="s">
        <v>1246</v>
      </c>
      <c r="D11" s="13" t="s">
        <v>2624</v>
      </c>
      <c r="E11" s="12" t="s">
        <v>154</v>
      </c>
      <c r="F11" s="12" t="s">
        <v>174</v>
      </c>
      <c r="G11" s="13" t="s">
        <v>2622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2625</v>
      </c>
      <c r="B12" s="12" t="s">
        <v>162</v>
      </c>
      <c r="C12" s="12" t="s">
        <v>2469</v>
      </c>
      <c r="D12" s="13" t="s">
        <v>2626</v>
      </c>
      <c r="E12" s="12" t="s">
        <v>154</v>
      </c>
      <c r="F12" s="12" t="s">
        <v>164</v>
      </c>
      <c r="G12" s="13" t="s">
        <v>2627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2628</v>
      </c>
      <c r="B13" s="12" t="s">
        <v>158</v>
      </c>
      <c r="C13" s="12" t="s">
        <v>1246</v>
      </c>
      <c r="D13" s="13" t="s">
        <v>2629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2630</v>
      </c>
      <c r="B14" s="12" t="s">
        <v>1372</v>
      </c>
      <c r="C14" s="12" t="s">
        <v>1246</v>
      </c>
      <c r="D14" s="13" t="s">
        <v>2631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2632</v>
      </c>
      <c r="B15" s="12" t="s">
        <v>1637</v>
      </c>
      <c r="C15" s="12" t="s">
        <v>823</v>
      </c>
      <c r="D15" s="13" t="s">
        <v>2633</v>
      </c>
      <c r="E15" s="12" t="s">
        <v>154</v>
      </c>
      <c r="F15" s="12" t="s">
        <v>174</v>
      </c>
      <c r="G15" s="13" t="s">
        <v>2622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2634</v>
      </c>
      <c r="B16" s="12" t="s">
        <v>1195</v>
      </c>
      <c r="C16" s="12" t="s">
        <v>823</v>
      </c>
      <c r="D16" s="13" t="s">
        <v>2635</v>
      </c>
      <c r="E16" s="12" t="s">
        <v>154</v>
      </c>
      <c r="F16" s="12" t="s">
        <v>179</v>
      </c>
      <c r="G16" s="13" t="s">
        <v>2636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2637</v>
      </c>
      <c r="B17" s="12" t="s">
        <v>2638</v>
      </c>
      <c r="C17" s="12" t="s">
        <v>2639</v>
      </c>
      <c r="D17" s="13" t="s">
        <v>2640</v>
      </c>
      <c r="E17" s="12" t="s">
        <v>154</v>
      </c>
      <c r="F17" s="12" t="s">
        <v>174</v>
      </c>
      <c r="G17" s="13" t="s">
        <v>2622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2641</v>
      </c>
      <c r="B18" s="12" t="s">
        <v>1235</v>
      </c>
      <c r="C18" s="12" t="s">
        <v>2642</v>
      </c>
      <c r="D18" s="13" t="s">
        <v>2643</v>
      </c>
      <c r="E18" s="12" t="s">
        <v>154</v>
      </c>
      <c r="F18" s="12" t="s">
        <v>179</v>
      </c>
      <c r="G18" s="13" t="s">
        <v>2636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2644</v>
      </c>
      <c r="B19" s="12" t="s">
        <v>2645</v>
      </c>
      <c r="C19" s="12" t="s">
        <v>2642</v>
      </c>
      <c r="D19" s="13" t="s">
        <v>2646</v>
      </c>
      <c r="E19" s="12" t="s">
        <v>154</v>
      </c>
      <c r="F19" s="12" t="s">
        <v>179</v>
      </c>
      <c r="G19" s="13" t="s">
        <v>2636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2647</v>
      </c>
      <c r="B20" s="12" t="s">
        <v>2648</v>
      </c>
      <c r="C20" s="12" t="s">
        <v>2649</v>
      </c>
      <c r="D20" s="13" t="s">
        <v>2650</v>
      </c>
      <c r="E20" s="12" t="s">
        <v>154</v>
      </c>
      <c r="F20" s="12" t="s">
        <v>179</v>
      </c>
      <c r="G20" s="13" t="s">
        <v>2636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2651</v>
      </c>
      <c r="B21" s="12" t="s">
        <v>182</v>
      </c>
      <c r="C21" s="12" t="s">
        <v>1246</v>
      </c>
      <c r="D21" s="13" t="s">
        <v>2652</v>
      </c>
      <c r="E21" s="12" t="s">
        <v>154</v>
      </c>
      <c r="F21" s="12" t="s">
        <v>179</v>
      </c>
      <c r="G21" s="13" t="s">
        <v>2636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2653</v>
      </c>
      <c r="B22" s="12" t="s">
        <v>193</v>
      </c>
      <c r="C22" s="12" t="s">
        <v>2654</v>
      </c>
      <c r="D22" s="13" t="s">
        <v>2655</v>
      </c>
      <c r="E22" s="12" t="s">
        <v>154</v>
      </c>
      <c r="F22" s="12" t="s">
        <v>179</v>
      </c>
      <c r="G22" s="13" t="s">
        <v>2636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2656</v>
      </c>
      <c r="B23" s="12" t="s">
        <v>94</v>
      </c>
      <c r="C23" s="12" t="s">
        <v>1246</v>
      </c>
      <c r="D23" s="13" t="s">
        <v>2657</v>
      </c>
      <c r="E23" s="12" t="s">
        <v>154</v>
      </c>
      <c r="F23" s="12" t="s">
        <v>189</v>
      </c>
      <c r="G23" s="13" t="s">
        <v>2658</v>
      </c>
      <c r="H23" s="12" t="s">
        <v>117</v>
      </c>
      <c r="I23" s="12" t="s">
        <v>133</v>
      </c>
      <c r="J23" s="14" t="n">
        <v>46231</v>
      </c>
      <c r="K23" s="13" t="s">
        <v>2659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2660</v>
      </c>
      <c r="B24" s="12" t="s">
        <v>2541</v>
      </c>
      <c r="C24" s="12" t="s">
        <v>2642</v>
      </c>
      <c r="D24" s="13" t="s">
        <v>2661</v>
      </c>
      <c r="E24" s="12" t="s">
        <v>154</v>
      </c>
      <c r="F24" s="12" t="s">
        <v>195</v>
      </c>
      <c r="G24" s="13" t="s">
        <v>2662</v>
      </c>
      <c r="H24" s="12" t="s">
        <v>117</v>
      </c>
      <c r="I24" s="12" t="s">
        <v>133</v>
      </c>
      <c r="J24" s="14" t="n">
        <v>46231</v>
      </c>
      <c r="K24" s="13" t="s">
        <v>2663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2664</v>
      </c>
      <c r="B25" s="12" t="s">
        <v>187</v>
      </c>
      <c r="C25" s="12" t="s">
        <v>1246</v>
      </c>
      <c r="D25" s="13" t="s">
        <v>2665</v>
      </c>
      <c r="E25" s="12" t="s">
        <v>154</v>
      </c>
      <c r="F25" s="12" t="s">
        <v>189</v>
      </c>
      <c r="G25" s="13" t="s">
        <v>2658</v>
      </c>
      <c r="H25" s="12" t="s">
        <v>117</v>
      </c>
      <c r="I25" s="12" t="s">
        <v>133</v>
      </c>
      <c r="J25" s="14" t="n">
        <v>46231</v>
      </c>
      <c r="K25" s="13" t="s">
        <v>2666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2667</v>
      </c>
      <c r="B26" s="12" t="s">
        <v>1592</v>
      </c>
      <c r="C26" s="12" t="s">
        <v>2668</v>
      </c>
      <c r="D26" s="13" t="s">
        <v>2669</v>
      </c>
      <c r="E26" s="12" t="s">
        <v>154</v>
      </c>
      <c r="F26" s="12" t="s">
        <v>174</v>
      </c>
      <c r="G26" s="13" t="s">
        <v>2622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2670</v>
      </c>
      <c r="B27" s="12" t="s">
        <v>2447</v>
      </c>
      <c r="C27" s="12" t="s">
        <v>2671</v>
      </c>
      <c r="D27" s="13" t="s">
        <v>2672</v>
      </c>
      <c r="E27" s="12" t="s">
        <v>154</v>
      </c>
      <c r="F27" s="12" t="s">
        <v>2673</v>
      </c>
      <c r="G27" s="13" t="s">
        <v>2674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2675</v>
      </c>
      <c r="B28" s="12" t="s">
        <v>216</v>
      </c>
      <c r="C28" s="12" t="s">
        <v>2676</v>
      </c>
      <c r="D28" s="13" t="s">
        <v>2677</v>
      </c>
      <c r="E28" s="12" t="s">
        <v>154</v>
      </c>
      <c r="F28" s="12" t="s">
        <v>2673</v>
      </c>
      <c r="G28" s="13" t="s">
        <v>2678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2679</v>
      </c>
      <c r="B29" s="12" t="s">
        <v>642</v>
      </c>
      <c r="C29" s="12" t="s">
        <v>1246</v>
      </c>
      <c r="D29" s="13" t="s">
        <v>2680</v>
      </c>
      <c r="E29" s="12" t="s">
        <v>154</v>
      </c>
      <c r="F29" s="12" t="s">
        <v>644</v>
      </c>
      <c r="G29" s="13" t="s">
        <v>2681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2682</v>
      </c>
      <c r="B30" s="12" t="s">
        <v>207</v>
      </c>
      <c r="C30" s="12" t="s">
        <v>1246</v>
      </c>
      <c r="D30" s="13" t="s">
        <v>2683</v>
      </c>
      <c r="E30" s="12" t="s">
        <v>154</v>
      </c>
      <c r="F30" s="12" t="s">
        <v>195</v>
      </c>
      <c r="G30" s="13" t="s">
        <v>2662</v>
      </c>
      <c r="H30" s="12" t="s">
        <v>113</v>
      </c>
      <c r="I30" s="12" t="s">
        <v>133</v>
      </c>
      <c r="J30" s="14" t="n">
        <v>46231</v>
      </c>
      <c r="K30" s="13" t="s">
        <v>2684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2685</v>
      </c>
      <c r="B31" s="12" t="s">
        <v>220</v>
      </c>
      <c r="C31" s="12" t="s">
        <v>2686</v>
      </c>
      <c r="D31" s="13" t="s">
        <v>2687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2688</v>
      </c>
      <c r="B32" s="12" t="s">
        <v>225</v>
      </c>
      <c r="C32" s="12" t="s">
        <v>2689</v>
      </c>
      <c r="D32" s="13" t="s">
        <v>2690</v>
      </c>
      <c r="E32" s="12" t="s">
        <v>154</v>
      </c>
      <c r="F32" s="12" t="s">
        <v>154</v>
      </c>
      <c r="G32" s="13" t="s">
        <v>227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2691</v>
      </c>
      <c r="B33" s="12" t="s">
        <v>2692</v>
      </c>
      <c r="C33" s="12" t="s">
        <v>1246</v>
      </c>
      <c r="D33" s="13" t="s">
        <v>2693</v>
      </c>
      <c r="E33" s="12" t="s">
        <v>154</v>
      </c>
      <c r="F33" s="12" t="s">
        <v>2673</v>
      </c>
      <c r="G33" s="13" t="s">
        <v>2674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2695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2696</v>
      </c>
      <c r="B9" s="12" t="s">
        <v>111</v>
      </c>
      <c r="C9" s="12" t="s">
        <v>1246</v>
      </c>
      <c r="D9" s="13" t="s">
        <v>2697</v>
      </c>
      <c r="E9" s="12" t="s">
        <v>154</v>
      </c>
      <c r="F9" s="12" t="s">
        <v>155</v>
      </c>
      <c r="G9" s="13" t="s">
        <v>2698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2699</v>
      </c>
      <c r="B10" s="12" t="s">
        <v>2460</v>
      </c>
      <c r="C10" s="12" t="s">
        <v>1246</v>
      </c>
      <c r="D10" s="13" t="s">
        <v>2700</v>
      </c>
      <c r="E10" s="12" t="s">
        <v>154</v>
      </c>
      <c r="F10" s="12" t="s">
        <v>174</v>
      </c>
      <c r="G10" s="13" t="s">
        <v>2701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2702</v>
      </c>
      <c r="B11" s="12" t="s">
        <v>1404</v>
      </c>
      <c r="C11" s="12" t="s">
        <v>1246</v>
      </c>
      <c r="D11" s="13" t="s">
        <v>2703</v>
      </c>
      <c r="E11" s="12" t="s">
        <v>154</v>
      </c>
      <c r="F11" s="12" t="s">
        <v>174</v>
      </c>
      <c r="G11" s="13" t="s">
        <v>2701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2704</v>
      </c>
      <c r="B12" s="12" t="s">
        <v>162</v>
      </c>
      <c r="C12" s="12" t="s">
        <v>2469</v>
      </c>
      <c r="D12" s="13" t="s">
        <v>2705</v>
      </c>
      <c r="E12" s="12" t="s">
        <v>154</v>
      </c>
      <c r="F12" s="12" t="s">
        <v>164</v>
      </c>
      <c r="G12" s="13" t="s">
        <v>2706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2707</v>
      </c>
      <c r="B13" s="12" t="s">
        <v>158</v>
      </c>
      <c r="C13" s="12" t="s">
        <v>1246</v>
      </c>
      <c r="D13" s="13" t="s">
        <v>2708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2709</v>
      </c>
      <c r="B14" s="12" t="s">
        <v>1372</v>
      </c>
      <c r="C14" s="12" t="s">
        <v>2710</v>
      </c>
      <c r="D14" s="13" t="s">
        <v>2711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2712</v>
      </c>
      <c r="B15" s="12" t="s">
        <v>1637</v>
      </c>
      <c r="C15" s="12" t="s">
        <v>2713</v>
      </c>
      <c r="D15" s="13" t="s">
        <v>2714</v>
      </c>
      <c r="E15" s="12" t="s">
        <v>154</v>
      </c>
      <c r="F15" s="12" t="s">
        <v>174</v>
      </c>
      <c r="G15" s="13" t="s">
        <v>2701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2715</v>
      </c>
      <c r="B16" s="12" t="s">
        <v>1195</v>
      </c>
      <c r="C16" s="12" t="s">
        <v>823</v>
      </c>
      <c r="D16" s="13" t="s">
        <v>2716</v>
      </c>
      <c r="E16" s="12" t="s">
        <v>154</v>
      </c>
      <c r="F16" s="12" t="s">
        <v>179</v>
      </c>
      <c r="G16" s="13" t="s">
        <v>2717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2718</v>
      </c>
      <c r="B17" s="12" t="s">
        <v>2719</v>
      </c>
      <c r="C17" s="12" t="s">
        <v>2710</v>
      </c>
      <c r="D17" s="13" t="s">
        <v>2720</v>
      </c>
      <c r="E17" s="12" t="s">
        <v>154</v>
      </c>
      <c r="F17" s="12" t="s">
        <v>179</v>
      </c>
      <c r="G17" s="13" t="s">
        <v>2721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2722</v>
      </c>
      <c r="B18" s="12" t="s">
        <v>1979</v>
      </c>
      <c r="C18" s="12" t="s">
        <v>2723</v>
      </c>
      <c r="D18" s="13" t="s">
        <v>2724</v>
      </c>
      <c r="E18" s="12" t="s">
        <v>154</v>
      </c>
      <c r="F18" s="12" t="s">
        <v>179</v>
      </c>
      <c r="G18" s="13" t="s">
        <v>2721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2725</v>
      </c>
      <c r="B19" s="12" t="s">
        <v>2585</v>
      </c>
      <c r="C19" s="12" t="s">
        <v>2726</v>
      </c>
      <c r="D19" s="13" t="s">
        <v>2727</v>
      </c>
      <c r="E19" s="12" t="s">
        <v>154</v>
      </c>
      <c r="F19" s="12" t="s">
        <v>179</v>
      </c>
      <c r="G19" s="13" t="s">
        <v>2717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2728</v>
      </c>
      <c r="B20" s="12" t="s">
        <v>2583</v>
      </c>
      <c r="C20" s="12" t="s">
        <v>2729</v>
      </c>
      <c r="D20" s="13" t="s">
        <v>2730</v>
      </c>
      <c r="E20" s="12" t="s">
        <v>154</v>
      </c>
      <c r="F20" s="12" t="s">
        <v>174</v>
      </c>
      <c r="G20" s="13" t="s">
        <v>2701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2731</v>
      </c>
      <c r="B21" s="12" t="s">
        <v>1650</v>
      </c>
      <c r="C21" s="12" t="s">
        <v>2732</v>
      </c>
      <c r="D21" s="13" t="s">
        <v>2733</v>
      </c>
      <c r="E21" s="12" t="s">
        <v>154</v>
      </c>
      <c r="F21" s="12" t="s">
        <v>179</v>
      </c>
      <c r="G21" s="13" t="s">
        <v>2717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2734</v>
      </c>
      <c r="B22" s="12" t="s">
        <v>193</v>
      </c>
      <c r="C22" s="12" t="s">
        <v>42</v>
      </c>
      <c r="D22" s="13" t="s">
        <v>2735</v>
      </c>
      <c r="E22" s="12" t="s">
        <v>154</v>
      </c>
      <c r="F22" s="12" t="s">
        <v>179</v>
      </c>
      <c r="G22" s="13" t="s">
        <v>2717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2736</v>
      </c>
      <c r="B23" s="12" t="s">
        <v>2592</v>
      </c>
      <c r="C23" s="12" t="s">
        <v>1246</v>
      </c>
      <c r="D23" s="13" t="s">
        <v>2737</v>
      </c>
      <c r="E23" s="12" t="s">
        <v>154</v>
      </c>
      <c r="F23" s="12" t="s">
        <v>189</v>
      </c>
      <c r="G23" s="13" t="s">
        <v>2738</v>
      </c>
      <c r="H23" s="12" t="s">
        <v>117</v>
      </c>
      <c r="I23" s="12" t="s">
        <v>133</v>
      </c>
      <c r="J23" s="14" t="n">
        <v>46231</v>
      </c>
      <c r="K23" s="13" t="s">
        <v>2659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2739</v>
      </c>
      <c r="B24" s="12" t="s">
        <v>94</v>
      </c>
      <c r="C24" s="12" t="s">
        <v>1246</v>
      </c>
      <c r="D24" s="13" t="s">
        <v>2740</v>
      </c>
      <c r="E24" s="12" t="s">
        <v>154</v>
      </c>
      <c r="F24" s="12" t="s">
        <v>189</v>
      </c>
      <c r="G24" s="13" t="s">
        <v>2738</v>
      </c>
      <c r="H24" s="12" t="s">
        <v>117</v>
      </c>
      <c r="I24" s="12" t="s">
        <v>133</v>
      </c>
      <c r="J24" s="14" t="n">
        <v>46231</v>
      </c>
      <c r="K24" s="13" t="s">
        <v>2659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2741</v>
      </c>
      <c r="B25" s="12" t="s">
        <v>187</v>
      </c>
      <c r="C25" s="12" t="s">
        <v>1246</v>
      </c>
      <c r="D25" s="13" t="s">
        <v>2742</v>
      </c>
      <c r="E25" s="12" t="s">
        <v>154</v>
      </c>
      <c r="F25" s="12" t="s">
        <v>189</v>
      </c>
      <c r="G25" s="13" t="s">
        <v>2738</v>
      </c>
      <c r="H25" s="12" t="s">
        <v>117</v>
      </c>
      <c r="I25" s="12" t="s">
        <v>133</v>
      </c>
      <c r="J25" s="14" t="n">
        <v>46231</v>
      </c>
      <c r="K25" s="13" t="s">
        <v>2743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2744</v>
      </c>
      <c r="B26" s="12" t="s">
        <v>1592</v>
      </c>
      <c r="C26" s="12" t="s">
        <v>1246</v>
      </c>
      <c r="D26" s="13" t="s">
        <v>2745</v>
      </c>
      <c r="E26" s="12" t="s">
        <v>154</v>
      </c>
      <c r="F26" s="12" t="s">
        <v>174</v>
      </c>
      <c r="G26" s="13" t="s">
        <v>2746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2747</v>
      </c>
      <c r="B27" s="12" t="s">
        <v>182</v>
      </c>
      <c r="C27" s="12" t="s">
        <v>1246</v>
      </c>
      <c r="D27" s="13" t="s">
        <v>2748</v>
      </c>
      <c r="E27" s="12" t="s">
        <v>154</v>
      </c>
      <c r="F27" s="12" t="s">
        <v>184</v>
      </c>
      <c r="G27" s="13" t="s">
        <v>2717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2749</v>
      </c>
      <c r="B28" s="12" t="s">
        <v>642</v>
      </c>
      <c r="C28" s="12" t="s">
        <v>1246</v>
      </c>
      <c r="D28" s="13" t="s">
        <v>2750</v>
      </c>
      <c r="E28" s="12" t="s">
        <v>154</v>
      </c>
      <c r="F28" s="12" t="s">
        <v>644</v>
      </c>
      <c r="G28" s="13" t="s">
        <v>2751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2752</v>
      </c>
      <c r="B29" s="12" t="s">
        <v>2447</v>
      </c>
      <c r="C29" s="12" t="s">
        <v>2671</v>
      </c>
      <c r="D29" s="13" t="s">
        <v>2753</v>
      </c>
      <c r="E29" s="12" t="s">
        <v>154</v>
      </c>
      <c r="F29" s="12" t="s">
        <v>2673</v>
      </c>
      <c r="G29" s="13" t="s">
        <v>2754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2755</v>
      </c>
      <c r="B30" s="12" t="s">
        <v>216</v>
      </c>
      <c r="C30" s="12" t="s">
        <v>2676</v>
      </c>
      <c r="D30" s="13" t="s">
        <v>2756</v>
      </c>
      <c r="E30" s="12" t="s">
        <v>154</v>
      </c>
      <c r="F30" s="12" t="s">
        <v>2673</v>
      </c>
      <c r="G30" s="13" t="s">
        <v>2757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2758</v>
      </c>
      <c r="B31" s="12" t="s">
        <v>220</v>
      </c>
      <c r="C31" s="12" t="s">
        <v>1246</v>
      </c>
      <c r="D31" s="13" t="s">
        <v>2759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n">
        <v>46231</v>
      </c>
      <c r="K31" s="13" t="s">
        <v>2760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2761</v>
      </c>
      <c r="B32" s="12" t="s">
        <v>207</v>
      </c>
      <c r="C32" s="12" t="s">
        <v>1246</v>
      </c>
      <c r="D32" s="13" t="s">
        <v>2762</v>
      </c>
      <c r="E32" s="12" t="s">
        <v>154</v>
      </c>
      <c r="F32" s="12" t="s">
        <v>195</v>
      </c>
      <c r="G32" s="13" t="s">
        <v>2763</v>
      </c>
      <c r="H32" s="12" t="s">
        <v>113</v>
      </c>
      <c r="I32" s="12" t="s">
        <v>133</v>
      </c>
      <c r="J32" s="14" t="n">
        <v>46231</v>
      </c>
      <c r="K32" s="13" t="s">
        <v>1870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2764</v>
      </c>
      <c r="B33" s="12" t="s">
        <v>225</v>
      </c>
      <c r="C33" s="12" t="s">
        <v>2689</v>
      </c>
      <c r="D33" s="13" t="s">
        <v>2612</v>
      </c>
      <c r="E33" s="12" t="s">
        <v>154</v>
      </c>
      <c r="F33" s="12" t="s">
        <v>154</v>
      </c>
      <c r="G33" s="13" t="s">
        <v>2613</v>
      </c>
      <c r="H33" s="12" t="s">
        <v>119</v>
      </c>
      <c r="I33" s="12" t="s">
        <v>134</v>
      </c>
      <c r="J33" s="14" t="n">
        <v>46231</v>
      </c>
      <c r="K33" s="13" t="s">
        <v>2765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2766</v>
      </c>
      <c r="B34" s="12" t="s">
        <v>2767</v>
      </c>
      <c r="C34" s="12" t="s">
        <v>1246</v>
      </c>
      <c r="D34" s="13" t="s">
        <v>2768</v>
      </c>
      <c r="E34" s="12" t="s">
        <v>154</v>
      </c>
      <c r="F34" s="12" t="s">
        <v>2673</v>
      </c>
      <c r="G34" s="13" t="s">
        <v>2754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137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763</v>
      </c>
      <c r="B9" s="12" t="s">
        <v>111</v>
      </c>
      <c r="C9" s="12" t="s">
        <v>1246</v>
      </c>
      <c r="D9" s="13" t="s">
        <v>2771</v>
      </c>
      <c r="E9" s="12" t="s">
        <v>154</v>
      </c>
      <c r="F9" s="12" t="s">
        <v>155</v>
      </c>
      <c r="G9" s="13" t="s">
        <v>2772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766</v>
      </c>
      <c r="B10" s="12" t="s">
        <v>2460</v>
      </c>
      <c r="C10" s="12" t="s">
        <v>1246</v>
      </c>
      <c r="D10" s="13" t="s">
        <v>2773</v>
      </c>
      <c r="E10" s="12" t="s">
        <v>154</v>
      </c>
      <c r="F10" s="12" t="s">
        <v>174</v>
      </c>
      <c r="G10" s="13" t="s">
        <v>2774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767</v>
      </c>
      <c r="B11" s="12" t="s">
        <v>1404</v>
      </c>
      <c r="C11" s="12" t="s">
        <v>1246</v>
      </c>
      <c r="D11" s="13" t="s">
        <v>2775</v>
      </c>
      <c r="E11" s="12" t="s">
        <v>154</v>
      </c>
      <c r="F11" s="12" t="s">
        <v>174</v>
      </c>
      <c r="G11" s="13" t="s">
        <v>2774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769</v>
      </c>
      <c r="B12" s="12" t="s">
        <v>162</v>
      </c>
      <c r="C12" s="12" t="s">
        <v>2469</v>
      </c>
      <c r="D12" s="13" t="s">
        <v>2776</v>
      </c>
      <c r="E12" s="12" t="s">
        <v>154</v>
      </c>
      <c r="F12" s="12" t="s">
        <v>164</v>
      </c>
      <c r="G12" s="13" t="s">
        <v>2777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771</v>
      </c>
      <c r="B13" s="12" t="s">
        <v>158</v>
      </c>
      <c r="C13" s="12" t="s">
        <v>1246</v>
      </c>
      <c r="D13" s="13" t="s">
        <v>2778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 t="s">
        <v>2779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773</v>
      </c>
      <c r="B14" s="12" t="s">
        <v>1372</v>
      </c>
      <c r="C14" s="12" t="s">
        <v>2710</v>
      </c>
      <c r="D14" s="13" t="s">
        <v>2780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 t="s">
        <v>2781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775</v>
      </c>
      <c r="B15" s="12" t="s">
        <v>1637</v>
      </c>
      <c r="C15" s="12" t="s">
        <v>2713</v>
      </c>
      <c r="D15" s="13" t="s">
        <v>2714</v>
      </c>
      <c r="E15" s="12" t="s">
        <v>154</v>
      </c>
      <c r="F15" s="12" t="s">
        <v>174</v>
      </c>
      <c r="G15" s="13" t="s">
        <v>2774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777</v>
      </c>
      <c r="B16" s="12" t="s">
        <v>1195</v>
      </c>
      <c r="C16" s="12" t="s">
        <v>823</v>
      </c>
      <c r="D16" s="13" t="s">
        <v>2716</v>
      </c>
      <c r="E16" s="12" t="s">
        <v>154</v>
      </c>
      <c r="F16" s="12" t="s">
        <v>179</v>
      </c>
      <c r="G16" s="13" t="s">
        <v>2782</v>
      </c>
      <c r="H16" s="12" t="s">
        <v>119</v>
      </c>
      <c r="I16" s="12" t="s">
        <v>134</v>
      </c>
      <c r="J16" s="14" t="n">
        <v>46231</v>
      </c>
      <c r="K16" s="13" t="s">
        <v>2783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779</v>
      </c>
      <c r="B17" s="12" t="s">
        <v>2784</v>
      </c>
      <c r="C17" s="12" t="s">
        <v>2785</v>
      </c>
      <c r="D17" s="13" t="s">
        <v>2786</v>
      </c>
      <c r="E17" s="12" t="s">
        <v>154</v>
      </c>
      <c r="F17" s="12" t="s">
        <v>179</v>
      </c>
      <c r="G17" s="13" t="s">
        <v>2787</v>
      </c>
      <c r="H17" s="12" t="s">
        <v>119</v>
      </c>
      <c r="I17" s="12" t="s">
        <v>134</v>
      </c>
      <c r="J17" s="14" t="n">
        <v>46231</v>
      </c>
      <c r="K17" s="13" t="s">
        <v>2788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781</v>
      </c>
      <c r="B18" s="12" t="s">
        <v>2719</v>
      </c>
      <c r="C18" s="12" t="s">
        <v>2710</v>
      </c>
      <c r="D18" s="13" t="s">
        <v>2789</v>
      </c>
      <c r="E18" s="12" t="s">
        <v>154</v>
      </c>
      <c r="F18" s="12" t="s">
        <v>179</v>
      </c>
      <c r="G18" s="13" t="s">
        <v>2787</v>
      </c>
      <c r="H18" s="12" t="s">
        <v>119</v>
      </c>
      <c r="I18" s="12" t="s">
        <v>134</v>
      </c>
      <c r="J18" s="14" t="n">
        <v>46231</v>
      </c>
      <c r="K18" s="13" t="s">
        <v>2790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782</v>
      </c>
      <c r="B19" s="12" t="s">
        <v>2791</v>
      </c>
      <c r="C19" s="12" t="s">
        <v>2723</v>
      </c>
      <c r="D19" s="13" t="s">
        <v>2792</v>
      </c>
      <c r="E19" s="12" t="s">
        <v>154</v>
      </c>
      <c r="F19" s="12" t="s">
        <v>179</v>
      </c>
      <c r="G19" s="13" t="s">
        <v>2787</v>
      </c>
      <c r="H19" s="12" t="s">
        <v>119</v>
      </c>
      <c r="I19" s="12" t="s">
        <v>134</v>
      </c>
      <c r="J19" s="14" t="n">
        <v>46231</v>
      </c>
      <c r="K19" s="13" t="s">
        <v>2788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784</v>
      </c>
      <c r="B20" s="12" t="s">
        <v>1979</v>
      </c>
      <c r="C20" s="12" t="s">
        <v>2723</v>
      </c>
      <c r="D20" s="13" t="s">
        <v>2793</v>
      </c>
      <c r="E20" s="12" t="s">
        <v>154</v>
      </c>
      <c r="F20" s="12" t="s">
        <v>179</v>
      </c>
      <c r="G20" s="13" t="s">
        <v>2787</v>
      </c>
      <c r="H20" s="12" t="s">
        <v>119</v>
      </c>
      <c r="I20" s="12" t="s">
        <v>134</v>
      </c>
      <c r="J20" s="14" t="n">
        <v>46231</v>
      </c>
      <c r="K20" s="13" t="s">
        <v>2794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785</v>
      </c>
      <c r="B21" s="12" t="s">
        <v>2585</v>
      </c>
      <c r="C21" s="12" t="s">
        <v>2726</v>
      </c>
      <c r="D21" s="13" t="s">
        <v>2727</v>
      </c>
      <c r="E21" s="12" t="s">
        <v>154</v>
      </c>
      <c r="F21" s="12" t="s">
        <v>179</v>
      </c>
      <c r="G21" s="13" t="s">
        <v>2782</v>
      </c>
      <c r="H21" s="12" t="s">
        <v>119</v>
      </c>
      <c r="I21" s="12" t="s">
        <v>134</v>
      </c>
      <c r="J21" s="14" t="n">
        <v>46231</v>
      </c>
      <c r="K21" s="13" t="s">
        <v>2795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787</v>
      </c>
      <c r="B22" s="12" t="s">
        <v>2583</v>
      </c>
      <c r="C22" s="12" t="s">
        <v>2796</v>
      </c>
      <c r="D22" s="13" t="s">
        <v>2730</v>
      </c>
      <c r="E22" s="12" t="s">
        <v>154</v>
      </c>
      <c r="F22" s="12" t="s">
        <v>174</v>
      </c>
      <c r="G22" s="13" t="s">
        <v>2774</v>
      </c>
      <c r="H22" s="12" t="s">
        <v>119</v>
      </c>
      <c r="I22" s="12" t="s">
        <v>134</v>
      </c>
      <c r="J22" s="14" t="n">
        <v>46231</v>
      </c>
      <c r="K22" s="13" t="s">
        <v>2797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789</v>
      </c>
      <c r="B23" s="12" t="s">
        <v>1650</v>
      </c>
      <c r="C23" s="12" t="s">
        <v>2732</v>
      </c>
      <c r="D23" s="13" t="s">
        <v>2798</v>
      </c>
      <c r="E23" s="12" t="s">
        <v>154</v>
      </c>
      <c r="F23" s="12" t="s">
        <v>179</v>
      </c>
      <c r="G23" s="13" t="s">
        <v>2782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790</v>
      </c>
      <c r="B24" s="12" t="s">
        <v>193</v>
      </c>
      <c r="C24" s="12" t="s">
        <v>42</v>
      </c>
      <c r="D24" s="13" t="s">
        <v>2799</v>
      </c>
      <c r="E24" s="12" t="s">
        <v>154</v>
      </c>
      <c r="F24" s="12" t="s">
        <v>179</v>
      </c>
      <c r="G24" s="13" t="s">
        <v>2782</v>
      </c>
      <c r="H24" s="12" t="s">
        <v>119</v>
      </c>
      <c r="I24" s="12" t="s">
        <v>134</v>
      </c>
      <c r="J24" s="14" t="n">
        <v>46231</v>
      </c>
      <c r="K24" s="13" t="s">
        <v>2800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2801</v>
      </c>
      <c r="B25" s="12" t="s">
        <v>2592</v>
      </c>
      <c r="C25" s="12" t="s">
        <v>1246</v>
      </c>
      <c r="D25" s="13" t="s">
        <v>2802</v>
      </c>
      <c r="E25" s="12" t="s">
        <v>154</v>
      </c>
      <c r="F25" s="12" t="s">
        <v>189</v>
      </c>
      <c r="G25" s="13" t="s">
        <v>2803</v>
      </c>
      <c r="H25" s="12" t="s">
        <v>117</v>
      </c>
      <c r="I25" s="12" t="s">
        <v>133</v>
      </c>
      <c r="J25" s="14" t="n">
        <v>46231</v>
      </c>
      <c r="K25" s="13" t="s">
        <v>2804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2805</v>
      </c>
      <c r="B26" s="12" t="s">
        <v>94</v>
      </c>
      <c r="C26" s="12" t="s">
        <v>1246</v>
      </c>
      <c r="D26" s="13" t="s">
        <v>2806</v>
      </c>
      <c r="E26" s="12" t="s">
        <v>154</v>
      </c>
      <c r="F26" s="12" t="s">
        <v>189</v>
      </c>
      <c r="G26" s="13" t="s">
        <v>2803</v>
      </c>
      <c r="H26" s="12" t="s">
        <v>117</v>
      </c>
      <c r="I26" s="12" t="s">
        <v>133</v>
      </c>
      <c r="J26" s="14" t="n">
        <v>46231</v>
      </c>
      <c r="K26" s="13" t="s">
        <v>2659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2807</v>
      </c>
      <c r="B27" s="12" t="s">
        <v>187</v>
      </c>
      <c r="C27" s="12" t="s">
        <v>1246</v>
      </c>
      <c r="D27" s="13" t="s">
        <v>2808</v>
      </c>
      <c r="E27" s="12" t="s">
        <v>154</v>
      </c>
      <c r="F27" s="12" t="s">
        <v>189</v>
      </c>
      <c r="G27" s="13" t="s">
        <v>2803</v>
      </c>
      <c r="H27" s="12" t="s">
        <v>117</v>
      </c>
      <c r="I27" s="12" t="s">
        <v>133</v>
      </c>
      <c r="J27" s="14" t="n">
        <v>46231</v>
      </c>
      <c r="K27" s="13" t="s">
        <v>2743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2809</v>
      </c>
      <c r="B28" s="12" t="s">
        <v>1592</v>
      </c>
      <c r="C28" s="12" t="s">
        <v>1246</v>
      </c>
      <c r="D28" s="13" t="s">
        <v>2810</v>
      </c>
      <c r="E28" s="12" t="s">
        <v>154</v>
      </c>
      <c r="F28" s="12" t="s">
        <v>174</v>
      </c>
      <c r="G28" s="13" t="s">
        <v>2811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2812</v>
      </c>
      <c r="B29" s="12" t="s">
        <v>182</v>
      </c>
      <c r="C29" s="12" t="s">
        <v>1246</v>
      </c>
      <c r="D29" s="13" t="s">
        <v>2813</v>
      </c>
      <c r="E29" s="12" t="s">
        <v>154</v>
      </c>
      <c r="F29" s="12" t="s">
        <v>184</v>
      </c>
      <c r="G29" s="13" t="s">
        <v>2782</v>
      </c>
      <c r="H29" s="12" t="s">
        <v>119</v>
      </c>
      <c r="I29" s="12" t="s">
        <v>134</v>
      </c>
      <c r="J29" s="14" t="n">
        <v>46231</v>
      </c>
      <c r="K29" s="13" t="s">
        <v>2814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2815</v>
      </c>
      <c r="B30" s="12" t="s">
        <v>642</v>
      </c>
      <c r="C30" s="12" t="s">
        <v>1246</v>
      </c>
      <c r="D30" s="13" t="s">
        <v>2816</v>
      </c>
      <c r="E30" s="12" t="s">
        <v>154</v>
      </c>
      <c r="F30" s="12" t="s">
        <v>644</v>
      </c>
      <c r="G30" s="13" t="s">
        <v>2817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2818</v>
      </c>
      <c r="B31" s="12" t="s">
        <v>2447</v>
      </c>
      <c r="C31" s="12" t="s">
        <v>2671</v>
      </c>
      <c r="D31" s="13" t="s">
        <v>2819</v>
      </c>
      <c r="E31" s="12" t="s">
        <v>154</v>
      </c>
      <c r="F31" s="12" t="s">
        <v>2673</v>
      </c>
      <c r="G31" s="13" t="s">
        <v>2820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2821</v>
      </c>
      <c r="B32" s="12" t="s">
        <v>216</v>
      </c>
      <c r="C32" s="12" t="s">
        <v>2676</v>
      </c>
      <c r="D32" s="13" t="s">
        <v>2822</v>
      </c>
      <c r="E32" s="12" t="s">
        <v>154</v>
      </c>
      <c r="F32" s="12" t="s">
        <v>2673</v>
      </c>
      <c r="G32" s="13" t="s">
        <v>2823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2824</v>
      </c>
      <c r="B33" s="12" t="s">
        <v>220</v>
      </c>
      <c r="C33" s="12" t="s">
        <v>1246</v>
      </c>
      <c r="D33" s="13" t="s">
        <v>2825</v>
      </c>
      <c r="E33" s="12" t="s">
        <v>222</v>
      </c>
      <c r="F33" s="12" t="s">
        <v>222</v>
      </c>
      <c r="G33" s="13" t="s">
        <v>223</v>
      </c>
      <c r="H33" s="12" t="s">
        <v>119</v>
      </c>
      <c r="I33" s="12" t="s">
        <v>134</v>
      </c>
      <c r="J33" s="14" t="n">
        <v>46231</v>
      </c>
      <c r="K33" s="13" t="s">
        <v>2826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2827</v>
      </c>
      <c r="B34" s="12" t="s">
        <v>207</v>
      </c>
      <c r="C34" s="12" t="s">
        <v>1246</v>
      </c>
      <c r="D34" s="13" t="s">
        <v>2828</v>
      </c>
      <c r="E34" s="12" t="s">
        <v>154</v>
      </c>
      <c r="F34" s="12" t="s">
        <v>195</v>
      </c>
      <c r="G34" s="13" t="s">
        <v>2829</v>
      </c>
      <c r="H34" s="12" t="s">
        <v>113</v>
      </c>
      <c r="I34" s="12" t="s">
        <v>133</v>
      </c>
      <c r="J34" s="14" t="n">
        <v>46231</v>
      </c>
      <c r="K34" s="13" t="s">
        <v>1870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2830</v>
      </c>
      <c r="B35" s="12" t="s">
        <v>225</v>
      </c>
      <c r="C35" s="12" t="s">
        <v>2689</v>
      </c>
      <c r="D35" s="13" t="s">
        <v>2831</v>
      </c>
      <c r="E35" s="12" t="s">
        <v>154</v>
      </c>
      <c r="F35" s="12" t="s">
        <v>154</v>
      </c>
      <c r="G35" s="13" t="s">
        <v>2613</v>
      </c>
      <c r="H35" s="12" t="s">
        <v>119</v>
      </c>
      <c r="I35" s="12" t="s">
        <v>134</v>
      </c>
      <c r="J35" s="14" t="n">
        <v>46231</v>
      </c>
      <c r="K35" s="13" t="s">
        <v>2832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2833</v>
      </c>
      <c r="B36" s="12" t="s">
        <v>2767</v>
      </c>
      <c r="C36" s="12" t="s">
        <v>1246</v>
      </c>
      <c r="D36" s="13" t="s">
        <v>2834</v>
      </c>
      <c r="E36" s="12" t="s">
        <v>154</v>
      </c>
      <c r="F36" s="12" t="s">
        <v>2673</v>
      </c>
      <c r="G36" s="13" t="s">
        <v>2820</v>
      </c>
      <c r="H36" s="12" t="s">
        <v>119</v>
      </c>
      <c r="I36" s="12" t="s">
        <v>134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2837</v>
      </c>
      <c r="B9" s="12" t="s">
        <v>111</v>
      </c>
      <c r="C9" s="12" t="s">
        <v>1246</v>
      </c>
      <c r="D9" s="13" t="s">
        <v>2838</v>
      </c>
      <c r="E9" s="12" t="s">
        <v>154</v>
      </c>
      <c r="F9" s="12" t="s">
        <v>155</v>
      </c>
      <c r="G9" s="13" t="s">
        <v>2839</v>
      </c>
      <c r="H9" s="12" t="s">
        <v>119</v>
      </c>
      <c r="I9" s="12" t="s">
        <v>134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2840</v>
      </c>
      <c r="B10" s="12" t="s">
        <v>2460</v>
      </c>
      <c r="C10" s="12" t="s">
        <v>1246</v>
      </c>
      <c r="D10" s="13" t="s">
        <v>2841</v>
      </c>
      <c r="E10" s="12" t="s">
        <v>154</v>
      </c>
      <c r="F10" s="12" t="s">
        <v>174</v>
      </c>
      <c r="G10" s="13" t="s">
        <v>2842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2843</v>
      </c>
      <c r="B11" s="12" t="s">
        <v>1404</v>
      </c>
      <c r="C11" s="12" t="s">
        <v>1246</v>
      </c>
      <c r="D11" s="13" t="s">
        <v>2844</v>
      </c>
      <c r="E11" s="12" t="s">
        <v>154</v>
      </c>
      <c r="F11" s="12" t="s">
        <v>174</v>
      </c>
      <c r="G11" s="13" t="s">
        <v>2842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2845</v>
      </c>
      <c r="B12" s="12" t="s">
        <v>162</v>
      </c>
      <c r="C12" s="12" t="s">
        <v>2469</v>
      </c>
      <c r="D12" s="13" t="s">
        <v>2846</v>
      </c>
      <c r="E12" s="12" t="s">
        <v>154</v>
      </c>
      <c r="F12" s="12" t="s">
        <v>164</v>
      </c>
      <c r="G12" s="13" t="s">
        <v>2847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2848</v>
      </c>
      <c r="B13" s="12" t="s">
        <v>158</v>
      </c>
      <c r="C13" s="12" t="s">
        <v>1246</v>
      </c>
      <c r="D13" s="13" t="s">
        <v>2849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2850</v>
      </c>
      <c r="B14" s="12" t="s">
        <v>1372</v>
      </c>
      <c r="C14" s="12" t="s">
        <v>1246</v>
      </c>
      <c r="D14" s="13" t="s">
        <v>2851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2852</v>
      </c>
      <c r="B15" s="12" t="s">
        <v>1637</v>
      </c>
      <c r="C15" s="12" t="s">
        <v>823</v>
      </c>
      <c r="D15" s="13" t="s">
        <v>2853</v>
      </c>
      <c r="E15" s="12" t="s">
        <v>154</v>
      </c>
      <c r="F15" s="12" t="s">
        <v>174</v>
      </c>
      <c r="G15" s="13" t="s">
        <v>2854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2855</v>
      </c>
      <c r="B16" s="12" t="s">
        <v>1195</v>
      </c>
      <c r="C16" s="12" t="s">
        <v>823</v>
      </c>
      <c r="D16" s="13" t="s">
        <v>2856</v>
      </c>
      <c r="E16" s="12" t="s">
        <v>154</v>
      </c>
      <c r="F16" s="12" t="s">
        <v>179</v>
      </c>
      <c r="G16" s="13" t="s">
        <v>2857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2858</v>
      </c>
      <c r="B17" s="12" t="s">
        <v>2859</v>
      </c>
      <c r="C17" s="12" t="s">
        <v>914</v>
      </c>
      <c r="D17" s="13" t="s">
        <v>2860</v>
      </c>
      <c r="E17" s="12" t="s">
        <v>154</v>
      </c>
      <c r="F17" s="12" t="s">
        <v>179</v>
      </c>
      <c r="G17" s="13" t="s">
        <v>2861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2862</v>
      </c>
      <c r="B18" s="12" t="s">
        <v>2719</v>
      </c>
      <c r="C18" s="12" t="s">
        <v>914</v>
      </c>
      <c r="D18" s="13" t="s">
        <v>2863</v>
      </c>
      <c r="E18" s="12" t="s">
        <v>154</v>
      </c>
      <c r="F18" s="12" t="s">
        <v>179</v>
      </c>
      <c r="G18" s="13" t="s">
        <v>2861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2864</v>
      </c>
      <c r="B19" s="12" t="s">
        <v>1979</v>
      </c>
      <c r="C19" s="12" t="s">
        <v>914</v>
      </c>
      <c r="D19" s="13" t="s">
        <v>2865</v>
      </c>
      <c r="E19" s="12" t="s">
        <v>154</v>
      </c>
      <c r="F19" s="12" t="s">
        <v>179</v>
      </c>
      <c r="G19" s="13" t="s">
        <v>2857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2866</v>
      </c>
      <c r="B20" s="12" t="s">
        <v>2867</v>
      </c>
      <c r="C20" s="12" t="s">
        <v>2868</v>
      </c>
      <c r="D20" s="13" t="s">
        <v>2869</v>
      </c>
      <c r="E20" s="12" t="s">
        <v>154</v>
      </c>
      <c r="F20" s="12" t="s">
        <v>179</v>
      </c>
      <c r="G20" s="13" t="s">
        <v>2857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2870</v>
      </c>
      <c r="B21" s="12" t="s">
        <v>1650</v>
      </c>
      <c r="C21" s="12" t="s">
        <v>2871</v>
      </c>
      <c r="D21" s="13" t="s">
        <v>2872</v>
      </c>
      <c r="E21" s="12" t="s">
        <v>154</v>
      </c>
      <c r="F21" s="12" t="s">
        <v>179</v>
      </c>
      <c r="G21" s="13" t="s">
        <v>2857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2873</v>
      </c>
      <c r="B22" s="12" t="s">
        <v>193</v>
      </c>
      <c r="C22" s="12" t="s">
        <v>2874</v>
      </c>
      <c r="D22" s="13" t="s">
        <v>2875</v>
      </c>
      <c r="E22" s="12" t="s">
        <v>154</v>
      </c>
      <c r="F22" s="12" t="s">
        <v>179</v>
      </c>
      <c r="G22" s="13" t="s">
        <v>2857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2876</v>
      </c>
      <c r="B23" s="12" t="s">
        <v>2592</v>
      </c>
      <c r="C23" s="12" t="s">
        <v>1246</v>
      </c>
      <c r="D23" s="13" t="s">
        <v>2877</v>
      </c>
      <c r="E23" s="12" t="s">
        <v>154</v>
      </c>
      <c r="F23" s="12" t="s">
        <v>189</v>
      </c>
      <c r="G23" s="13" t="s">
        <v>2878</v>
      </c>
      <c r="H23" s="12" t="s">
        <v>117</v>
      </c>
      <c r="I23" s="12" t="s">
        <v>133</v>
      </c>
      <c r="J23" s="14" t="n">
        <v>46231</v>
      </c>
      <c r="K23" s="13" t="s">
        <v>2659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2879</v>
      </c>
      <c r="B24" s="12" t="s">
        <v>94</v>
      </c>
      <c r="C24" s="12" t="s">
        <v>1246</v>
      </c>
      <c r="D24" s="13" t="s">
        <v>2880</v>
      </c>
      <c r="E24" s="12" t="s">
        <v>154</v>
      </c>
      <c r="F24" s="12" t="s">
        <v>189</v>
      </c>
      <c r="G24" s="13" t="s">
        <v>2878</v>
      </c>
      <c r="H24" s="12" t="s">
        <v>117</v>
      </c>
      <c r="I24" s="12" t="s">
        <v>133</v>
      </c>
      <c r="J24" s="14" t="n">
        <v>46231</v>
      </c>
      <c r="K24" s="13" t="s">
        <v>2659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2881</v>
      </c>
      <c r="B25" s="12" t="s">
        <v>187</v>
      </c>
      <c r="C25" s="12" t="s">
        <v>1246</v>
      </c>
      <c r="D25" s="13" t="s">
        <v>2882</v>
      </c>
      <c r="E25" s="12" t="s">
        <v>154</v>
      </c>
      <c r="F25" s="12" t="s">
        <v>189</v>
      </c>
      <c r="G25" s="13" t="s">
        <v>2878</v>
      </c>
      <c r="H25" s="12" t="s">
        <v>117</v>
      </c>
      <c r="I25" s="12" t="s">
        <v>133</v>
      </c>
      <c r="J25" s="14" t="n">
        <v>46231</v>
      </c>
      <c r="K25" s="13" t="s">
        <v>2743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2883</v>
      </c>
      <c r="B26" s="12" t="s">
        <v>1592</v>
      </c>
      <c r="C26" s="12" t="s">
        <v>1246</v>
      </c>
      <c r="D26" s="13" t="s">
        <v>2884</v>
      </c>
      <c r="E26" s="12" t="s">
        <v>154</v>
      </c>
      <c r="F26" s="12" t="s">
        <v>174</v>
      </c>
      <c r="G26" s="13" t="s">
        <v>2885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2886</v>
      </c>
      <c r="B27" s="12" t="s">
        <v>182</v>
      </c>
      <c r="C27" s="12" t="s">
        <v>1246</v>
      </c>
      <c r="D27" s="13" t="s">
        <v>2887</v>
      </c>
      <c r="E27" s="12" t="s">
        <v>154</v>
      </c>
      <c r="F27" s="12" t="s">
        <v>184</v>
      </c>
      <c r="G27" s="13" t="s">
        <v>2857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2888</v>
      </c>
      <c r="B28" s="12" t="s">
        <v>642</v>
      </c>
      <c r="C28" s="12" t="s">
        <v>1246</v>
      </c>
      <c r="D28" s="13" t="s">
        <v>2889</v>
      </c>
      <c r="E28" s="12" t="s">
        <v>154</v>
      </c>
      <c r="F28" s="12" t="s">
        <v>644</v>
      </c>
      <c r="G28" s="13" t="s">
        <v>2890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2891</v>
      </c>
      <c r="B29" s="12" t="s">
        <v>2447</v>
      </c>
      <c r="C29" s="12" t="s">
        <v>2671</v>
      </c>
      <c r="D29" s="13" t="s">
        <v>2892</v>
      </c>
      <c r="E29" s="12" t="s">
        <v>154</v>
      </c>
      <c r="F29" s="12" t="s">
        <v>2673</v>
      </c>
      <c r="G29" s="13" t="s">
        <v>2893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2894</v>
      </c>
      <c r="B30" s="12" t="s">
        <v>216</v>
      </c>
      <c r="C30" s="12" t="s">
        <v>2676</v>
      </c>
      <c r="D30" s="13" t="s">
        <v>2895</v>
      </c>
      <c r="E30" s="12" t="s">
        <v>154</v>
      </c>
      <c r="F30" s="12" t="s">
        <v>2673</v>
      </c>
      <c r="G30" s="13" t="s">
        <v>2896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2897</v>
      </c>
      <c r="B31" s="12" t="s">
        <v>220</v>
      </c>
      <c r="C31" s="12" t="s">
        <v>1246</v>
      </c>
      <c r="D31" s="13" t="s">
        <v>2898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2899</v>
      </c>
      <c r="B32" s="12" t="s">
        <v>207</v>
      </c>
      <c r="C32" s="12" t="s">
        <v>1246</v>
      </c>
      <c r="D32" s="13" t="s">
        <v>2900</v>
      </c>
      <c r="E32" s="12" t="s">
        <v>154</v>
      </c>
      <c r="F32" s="12" t="s">
        <v>195</v>
      </c>
      <c r="G32" s="13" t="s">
        <v>2901</v>
      </c>
      <c r="H32" s="12" t="s">
        <v>113</v>
      </c>
      <c r="I32" s="12" t="s">
        <v>133</v>
      </c>
      <c r="J32" s="14" t="n">
        <v>46231</v>
      </c>
      <c r="K32" s="13" t="s">
        <v>1870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2902</v>
      </c>
      <c r="B33" s="12" t="s">
        <v>225</v>
      </c>
      <c r="C33" s="12" t="s">
        <v>2689</v>
      </c>
      <c r="D33" s="13" t="s">
        <v>2612</v>
      </c>
      <c r="E33" s="12" t="s">
        <v>154</v>
      </c>
      <c r="F33" s="12" t="s">
        <v>154</v>
      </c>
      <c r="G33" s="13" t="s">
        <v>2613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2903</v>
      </c>
      <c r="B34" s="12" t="s">
        <v>2767</v>
      </c>
      <c r="C34" s="12" t="s">
        <v>1246</v>
      </c>
      <c r="D34" s="13" t="s">
        <v>2904</v>
      </c>
      <c r="E34" s="12" t="s">
        <v>154</v>
      </c>
      <c r="F34" s="12" t="s">
        <v>2673</v>
      </c>
      <c r="G34" s="13" t="s">
        <v>2893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2907</v>
      </c>
      <c r="B9" s="12" t="s">
        <v>2908</v>
      </c>
      <c r="C9" s="12" t="s">
        <v>914</v>
      </c>
      <c r="D9" s="13" t="s">
        <v>2909</v>
      </c>
      <c r="E9" s="12" t="s">
        <v>154</v>
      </c>
      <c r="F9" s="12" t="s">
        <v>155</v>
      </c>
      <c r="G9" s="13" t="s">
        <v>2910</v>
      </c>
      <c r="H9" s="12" t="s">
        <v>119</v>
      </c>
      <c r="I9" s="12" t="s">
        <v>134</v>
      </c>
      <c r="J9" s="14" t="n">
        <v>46232</v>
      </c>
      <c r="K9" s="13" t="s">
        <v>2911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2912</v>
      </c>
      <c r="B10" s="12" t="s">
        <v>2460</v>
      </c>
      <c r="C10" s="12" t="s">
        <v>914</v>
      </c>
      <c r="D10" s="13" t="s">
        <v>2913</v>
      </c>
      <c r="E10" s="12" t="s">
        <v>154</v>
      </c>
      <c r="F10" s="12" t="s">
        <v>174</v>
      </c>
      <c r="G10" s="13" t="s">
        <v>2914</v>
      </c>
      <c r="H10" s="12" t="s">
        <v>119</v>
      </c>
      <c r="I10" s="12" t="s">
        <v>134</v>
      </c>
      <c r="J10" s="14" t="n">
        <v>46232</v>
      </c>
      <c r="K10" s="13" t="s">
        <v>2915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2916</v>
      </c>
      <c r="B11" s="12" t="s">
        <v>1404</v>
      </c>
      <c r="C11" s="12" t="s">
        <v>914</v>
      </c>
      <c r="D11" s="13" t="s">
        <v>2917</v>
      </c>
      <c r="E11" s="12" t="s">
        <v>154</v>
      </c>
      <c r="F11" s="12" t="s">
        <v>174</v>
      </c>
      <c r="G11" s="13" t="s">
        <v>2918</v>
      </c>
      <c r="H11" s="12" t="s">
        <v>119</v>
      </c>
      <c r="I11" s="12" t="s">
        <v>134</v>
      </c>
      <c r="J11" s="14" t="n">
        <v>46232</v>
      </c>
      <c r="K11" s="13" t="s">
        <v>2919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2920</v>
      </c>
      <c r="B12" s="12" t="s">
        <v>2921</v>
      </c>
      <c r="C12" s="12" t="s">
        <v>823</v>
      </c>
      <c r="D12" s="13" t="s">
        <v>2922</v>
      </c>
      <c r="E12" s="12" t="s">
        <v>179</v>
      </c>
      <c r="F12" s="12" t="s">
        <v>179</v>
      </c>
      <c r="G12" s="13" t="s">
        <v>2923</v>
      </c>
      <c r="H12" s="12" t="s">
        <v>119</v>
      </c>
      <c r="I12" s="12" t="s">
        <v>134</v>
      </c>
      <c r="J12" s="14" t="n">
        <v>46232</v>
      </c>
      <c r="K12" s="13" t="s">
        <v>2924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2925</v>
      </c>
      <c r="B13" s="12" t="s">
        <v>2926</v>
      </c>
      <c r="C13" s="12" t="s">
        <v>926</v>
      </c>
      <c r="D13" s="13" t="s">
        <v>2927</v>
      </c>
      <c r="E13" s="12" t="s">
        <v>179</v>
      </c>
      <c r="F13" s="12" t="s">
        <v>179</v>
      </c>
      <c r="G13" s="13" t="s">
        <v>2923</v>
      </c>
      <c r="H13" s="12" t="s">
        <v>119</v>
      </c>
      <c r="I13" s="12" t="s">
        <v>134</v>
      </c>
      <c r="J13" s="14" t="n">
        <v>46232</v>
      </c>
      <c r="K13" s="13" t="s">
        <v>2928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2929</v>
      </c>
      <c r="B14" s="12" t="s">
        <v>2930</v>
      </c>
      <c r="C14" s="12" t="s">
        <v>914</v>
      </c>
      <c r="D14" s="13" t="s">
        <v>2931</v>
      </c>
      <c r="E14" s="12" t="s">
        <v>179</v>
      </c>
      <c r="F14" s="12" t="s">
        <v>179</v>
      </c>
      <c r="G14" s="13" t="s">
        <v>2932</v>
      </c>
      <c r="H14" s="12" t="s">
        <v>119</v>
      </c>
      <c r="I14" s="12" t="s">
        <v>134</v>
      </c>
      <c r="J14" s="14" t="n">
        <v>46232</v>
      </c>
      <c r="K14" s="13" t="s">
        <v>2933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2934</v>
      </c>
      <c r="B15" s="12" t="s">
        <v>1644</v>
      </c>
      <c r="C15" s="12" t="s">
        <v>914</v>
      </c>
      <c r="D15" s="13" t="s">
        <v>2935</v>
      </c>
      <c r="E15" s="12" t="s">
        <v>179</v>
      </c>
      <c r="F15" s="12" t="s">
        <v>179</v>
      </c>
      <c r="G15" s="13" t="s">
        <v>2923</v>
      </c>
      <c r="H15" s="12" t="s">
        <v>119</v>
      </c>
      <c r="I15" s="12" t="s">
        <v>134</v>
      </c>
      <c r="J15" s="14" t="n">
        <v>46232</v>
      </c>
      <c r="K15" s="13" t="s">
        <v>2936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2937</v>
      </c>
      <c r="B16" s="12" t="s">
        <v>2938</v>
      </c>
      <c r="C16" s="12" t="s">
        <v>914</v>
      </c>
      <c r="D16" s="13" t="s">
        <v>2939</v>
      </c>
      <c r="E16" s="12" t="s">
        <v>179</v>
      </c>
      <c r="F16" s="12" t="s">
        <v>179</v>
      </c>
      <c r="G16" s="13" t="s">
        <v>2923</v>
      </c>
      <c r="H16" s="12" t="s">
        <v>119</v>
      </c>
      <c r="I16" s="12" t="s">
        <v>134</v>
      </c>
      <c r="J16" s="14" t="n">
        <v>46232</v>
      </c>
      <c r="K16" s="13" t="s">
        <v>2940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2941</v>
      </c>
      <c r="B17" s="12" t="s">
        <v>2942</v>
      </c>
      <c r="C17" s="12" t="s">
        <v>926</v>
      </c>
      <c r="D17" s="13" t="s">
        <v>2943</v>
      </c>
      <c r="E17" s="12" t="s">
        <v>179</v>
      </c>
      <c r="F17" s="12" t="s">
        <v>179</v>
      </c>
      <c r="G17" s="13" t="s">
        <v>2923</v>
      </c>
      <c r="H17" s="12" t="s">
        <v>119</v>
      </c>
      <c r="I17" s="12" t="s">
        <v>134</v>
      </c>
      <c r="J17" s="14" t="n">
        <v>46232</v>
      </c>
      <c r="K17" s="13" t="s">
        <v>2944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2945</v>
      </c>
      <c r="B18" s="12" t="s">
        <v>2946</v>
      </c>
      <c r="C18" s="12" t="s">
        <v>823</v>
      </c>
      <c r="D18" s="13" t="s">
        <v>2947</v>
      </c>
      <c r="E18" s="12" t="s">
        <v>179</v>
      </c>
      <c r="F18" s="12" t="s">
        <v>179</v>
      </c>
      <c r="G18" s="13" t="s">
        <v>2923</v>
      </c>
      <c r="H18" s="12" t="s">
        <v>119</v>
      </c>
      <c r="I18" s="12" t="s">
        <v>134</v>
      </c>
      <c r="J18" s="14" t="n">
        <v>46232</v>
      </c>
      <c r="K18" s="13" t="s">
        <v>2948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2949</v>
      </c>
      <c r="B19" s="12" t="s">
        <v>158</v>
      </c>
      <c r="C19" s="12" t="s">
        <v>74</v>
      </c>
      <c r="D19" s="13" t="s">
        <v>2950</v>
      </c>
      <c r="E19" s="12" t="s">
        <v>154</v>
      </c>
      <c r="F19" s="12" t="s">
        <v>154</v>
      </c>
      <c r="G19" s="13" t="s">
        <v>2951</v>
      </c>
      <c r="H19" s="12" t="s">
        <v>119</v>
      </c>
      <c r="I19" s="12" t="s">
        <v>134</v>
      </c>
      <c r="J19" s="14" t="n">
        <v>46232</v>
      </c>
      <c r="K19" s="13" t="s">
        <v>2952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2953</v>
      </c>
      <c r="B20" s="12" t="s">
        <v>162</v>
      </c>
      <c r="C20" s="12" t="s">
        <v>2469</v>
      </c>
      <c r="D20" s="13" t="s">
        <v>2954</v>
      </c>
      <c r="E20" s="12" t="s">
        <v>154</v>
      </c>
      <c r="F20" s="12" t="s">
        <v>164</v>
      </c>
      <c r="G20" s="13" t="s">
        <v>2955</v>
      </c>
      <c r="H20" s="12" t="s">
        <v>119</v>
      </c>
      <c r="I20" s="12" t="s">
        <v>134</v>
      </c>
      <c r="J20" s="14" t="n">
        <v>46232</v>
      </c>
      <c r="K20" s="13" t="s">
        <v>2956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2957</v>
      </c>
      <c r="B21" s="12" t="s">
        <v>1372</v>
      </c>
      <c r="C21" s="12" t="s">
        <v>914</v>
      </c>
      <c r="D21" s="13" t="s">
        <v>2958</v>
      </c>
      <c r="E21" s="12" t="s">
        <v>154</v>
      </c>
      <c r="F21" s="12" t="s">
        <v>154</v>
      </c>
      <c r="G21" s="13" t="s">
        <v>1374</v>
      </c>
      <c r="H21" s="12" t="s">
        <v>119</v>
      </c>
      <c r="I21" s="12" t="s">
        <v>134</v>
      </c>
      <c r="J21" s="14" t="n">
        <v>46232</v>
      </c>
      <c r="K21" s="13" t="s">
        <v>2959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2960</v>
      </c>
      <c r="B22" s="12" t="s">
        <v>167</v>
      </c>
      <c r="C22" s="12" t="s">
        <v>914</v>
      </c>
      <c r="D22" s="13" t="s">
        <v>2961</v>
      </c>
      <c r="E22" s="12" t="s">
        <v>154</v>
      </c>
      <c r="F22" s="12" t="s">
        <v>169</v>
      </c>
      <c r="G22" s="13" t="s">
        <v>2962</v>
      </c>
      <c r="H22" s="12" t="s">
        <v>119</v>
      </c>
      <c r="I22" s="12" t="s">
        <v>134</v>
      </c>
      <c r="J22" s="14" t="n">
        <v>46232</v>
      </c>
      <c r="K22" s="13" t="s">
        <v>2963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2964</v>
      </c>
      <c r="B23" s="12" t="s">
        <v>1754</v>
      </c>
      <c r="C23" s="12" t="s">
        <v>914</v>
      </c>
      <c r="D23" s="13" t="s">
        <v>2965</v>
      </c>
      <c r="E23" s="12" t="s">
        <v>179</v>
      </c>
      <c r="F23" s="12" t="s">
        <v>189</v>
      </c>
      <c r="G23" s="13" t="s">
        <v>2966</v>
      </c>
      <c r="H23" s="12" t="s">
        <v>119</v>
      </c>
      <c r="I23" s="12" t="s">
        <v>134</v>
      </c>
      <c r="J23" s="14" t="n">
        <v>46232</v>
      </c>
      <c r="K23" s="13" t="s">
        <v>2967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2968</v>
      </c>
      <c r="B24" s="12" t="s">
        <v>2969</v>
      </c>
      <c r="C24" s="12" t="s">
        <v>914</v>
      </c>
      <c r="D24" s="13" t="s">
        <v>2970</v>
      </c>
      <c r="E24" s="12" t="s">
        <v>179</v>
      </c>
      <c r="F24" s="12" t="s">
        <v>189</v>
      </c>
      <c r="G24" s="13" t="s">
        <v>2966</v>
      </c>
      <c r="H24" s="12" t="s">
        <v>119</v>
      </c>
      <c r="I24" s="12" t="s">
        <v>134</v>
      </c>
      <c r="J24" s="14" t="n">
        <v>46232</v>
      </c>
      <c r="K24" s="13" t="s">
        <v>2971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2972</v>
      </c>
      <c r="B25" s="12" t="s">
        <v>2973</v>
      </c>
      <c r="C25" s="12" t="s">
        <v>2974</v>
      </c>
      <c r="D25" s="13" t="s">
        <v>2975</v>
      </c>
      <c r="E25" s="12" t="s">
        <v>179</v>
      </c>
      <c r="F25" s="12" t="s">
        <v>189</v>
      </c>
      <c r="G25" s="13" t="s">
        <v>2966</v>
      </c>
      <c r="H25" s="12" t="s">
        <v>119</v>
      </c>
      <c r="I25" s="12" t="s">
        <v>134</v>
      </c>
      <c r="J25" s="14" t="n">
        <v>46232</v>
      </c>
      <c r="K25" s="13" t="s">
        <v>2976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2977</v>
      </c>
      <c r="B26" s="12" t="s">
        <v>2978</v>
      </c>
      <c r="C26" s="12" t="s">
        <v>914</v>
      </c>
      <c r="D26" s="13" t="s">
        <v>2979</v>
      </c>
      <c r="E26" s="12" t="s">
        <v>154</v>
      </c>
      <c r="F26" s="12" t="s">
        <v>174</v>
      </c>
      <c r="G26" s="13" t="s">
        <v>2918</v>
      </c>
      <c r="H26" s="12" t="s">
        <v>119</v>
      </c>
      <c r="I26" s="12" t="s">
        <v>134</v>
      </c>
      <c r="J26" s="14" t="n">
        <v>46232</v>
      </c>
      <c r="K26" s="13" t="s">
        <v>2980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2981</v>
      </c>
      <c r="B27" s="12" t="s">
        <v>2982</v>
      </c>
      <c r="C27" s="12" t="s">
        <v>2983</v>
      </c>
      <c r="D27" s="13" t="s">
        <v>2984</v>
      </c>
      <c r="E27" s="12" t="s">
        <v>179</v>
      </c>
      <c r="F27" s="12" t="s">
        <v>179</v>
      </c>
      <c r="G27" s="13" t="s">
        <v>2985</v>
      </c>
      <c r="H27" s="12" t="s">
        <v>119</v>
      </c>
      <c r="I27" s="12" t="s">
        <v>134</v>
      </c>
      <c r="J27" s="14" t="n">
        <v>46232</v>
      </c>
      <c r="K27" s="13" t="s">
        <v>2986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2987</v>
      </c>
      <c r="B28" s="12" t="s">
        <v>193</v>
      </c>
      <c r="C28" s="12" t="s">
        <v>914</v>
      </c>
      <c r="D28" s="13" t="s">
        <v>2988</v>
      </c>
      <c r="E28" s="12" t="s">
        <v>179</v>
      </c>
      <c r="F28" s="12" t="s">
        <v>179</v>
      </c>
      <c r="G28" s="13" t="s">
        <v>2966</v>
      </c>
      <c r="H28" s="12" t="s">
        <v>119</v>
      </c>
      <c r="I28" s="12" t="s">
        <v>134</v>
      </c>
      <c r="J28" s="14" t="n">
        <v>46232</v>
      </c>
      <c r="K28" s="13" t="s">
        <v>2989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2990</v>
      </c>
      <c r="B29" s="12" t="s">
        <v>2592</v>
      </c>
      <c r="C29" s="12" t="s">
        <v>914</v>
      </c>
      <c r="D29" s="13" t="s">
        <v>2991</v>
      </c>
      <c r="E29" s="12" t="s">
        <v>179</v>
      </c>
      <c r="F29" s="12" t="s">
        <v>179</v>
      </c>
      <c r="G29" s="13" t="s">
        <v>2966</v>
      </c>
      <c r="H29" s="12" t="s">
        <v>119</v>
      </c>
      <c r="I29" s="12" t="s">
        <v>134</v>
      </c>
      <c r="J29" s="14" t="n">
        <v>46232</v>
      </c>
      <c r="K29" s="13" t="s">
        <v>2992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2993</v>
      </c>
      <c r="B30" s="12" t="s">
        <v>2994</v>
      </c>
      <c r="C30" s="12" t="s">
        <v>914</v>
      </c>
      <c r="D30" s="13" t="s">
        <v>2995</v>
      </c>
      <c r="E30" s="12" t="s">
        <v>179</v>
      </c>
      <c r="F30" s="12" t="s">
        <v>189</v>
      </c>
      <c r="G30" s="13" t="s">
        <v>2966</v>
      </c>
      <c r="H30" s="12" t="s">
        <v>119</v>
      </c>
      <c r="I30" s="12" t="s">
        <v>134</v>
      </c>
      <c r="J30" s="14" t="n">
        <v>46232</v>
      </c>
      <c r="K30" s="13" t="s">
        <v>2996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2997</v>
      </c>
      <c r="B31" s="12" t="s">
        <v>1592</v>
      </c>
      <c r="C31" s="12" t="s">
        <v>914</v>
      </c>
      <c r="D31" s="13" t="s">
        <v>2998</v>
      </c>
      <c r="E31" s="12" t="s">
        <v>154</v>
      </c>
      <c r="F31" s="12" t="s">
        <v>174</v>
      </c>
      <c r="G31" s="13" t="s">
        <v>2999</v>
      </c>
      <c r="H31" s="12" t="s">
        <v>119</v>
      </c>
      <c r="I31" s="12" t="s">
        <v>134</v>
      </c>
      <c r="J31" s="14" t="n">
        <v>46232</v>
      </c>
      <c r="K31" s="13" t="s">
        <v>3000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3001</v>
      </c>
      <c r="B32" s="12" t="s">
        <v>182</v>
      </c>
      <c r="C32" s="12" t="s">
        <v>914</v>
      </c>
      <c r="D32" s="13" t="s">
        <v>3002</v>
      </c>
      <c r="E32" s="12" t="s">
        <v>179</v>
      </c>
      <c r="F32" s="12" t="s">
        <v>184</v>
      </c>
      <c r="G32" s="13" t="s">
        <v>2923</v>
      </c>
      <c r="H32" s="12" t="s">
        <v>119</v>
      </c>
      <c r="I32" s="12" t="s">
        <v>134</v>
      </c>
      <c r="J32" s="14" t="n">
        <v>46232</v>
      </c>
      <c r="K32" s="13" t="s">
        <v>3003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3004</v>
      </c>
      <c r="B33" s="12" t="s">
        <v>642</v>
      </c>
      <c r="C33" s="12" t="s">
        <v>914</v>
      </c>
      <c r="D33" s="13" t="s">
        <v>3005</v>
      </c>
      <c r="E33" s="12" t="s">
        <v>154</v>
      </c>
      <c r="F33" s="12" t="s">
        <v>644</v>
      </c>
      <c r="G33" s="13" t="s">
        <v>3006</v>
      </c>
      <c r="H33" s="12" t="s">
        <v>119</v>
      </c>
      <c r="I33" s="12" t="s">
        <v>134</v>
      </c>
      <c r="J33" s="14" t="n">
        <v>46232</v>
      </c>
      <c r="K33" s="13" t="s">
        <v>3007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3008</v>
      </c>
      <c r="B34" s="12" t="s">
        <v>3009</v>
      </c>
      <c r="C34" s="12" t="s">
        <v>914</v>
      </c>
      <c r="D34" s="13" t="s">
        <v>3010</v>
      </c>
      <c r="E34" s="12" t="s">
        <v>179</v>
      </c>
      <c r="F34" s="12" t="s">
        <v>189</v>
      </c>
      <c r="G34" s="13" t="s">
        <v>3011</v>
      </c>
      <c r="H34" s="12" t="s">
        <v>121</v>
      </c>
      <c r="I34" s="12" t="s">
        <v>133</v>
      </c>
      <c r="J34" s="14" t="n">
        <v>46232</v>
      </c>
      <c r="K34" s="13" t="s">
        <v>3012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3013</v>
      </c>
      <c r="B35" s="12" t="s">
        <v>2447</v>
      </c>
      <c r="C35" s="12" t="s">
        <v>3014</v>
      </c>
      <c r="D35" s="13" t="s">
        <v>3015</v>
      </c>
      <c r="E35" s="12" t="s">
        <v>154</v>
      </c>
      <c r="F35" s="12" t="s">
        <v>2673</v>
      </c>
      <c r="G35" s="13" t="s">
        <v>3016</v>
      </c>
      <c r="H35" s="12" t="s">
        <v>119</v>
      </c>
      <c r="I35" s="12" t="s">
        <v>134</v>
      </c>
      <c r="J35" s="14" t="n">
        <v>46232</v>
      </c>
      <c r="K35" s="13" t="s">
        <v>3017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3018</v>
      </c>
      <c r="B36" s="12" t="s">
        <v>220</v>
      </c>
      <c r="C36" s="12" t="s">
        <v>914</v>
      </c>
      <c r="D36" s="13" t="s">
        <v>3019</v>
      </c>
      <c r="E36" s="12" t="s">
        <v>222</v>
      </c>
      <c r="F36" s="12" t="s">
        <v>222</v>
      </c>
      <c r="G36" s="13" t="s">
        <v>223</v>
      </c>
      <c r="H36" s="12" t="s">
        <v>119</v>
      </c>
      <c r="I36" s="12" t="s">
        <v>134</v>
      </c>
      <c r="J36" s="14" t="n">
        <v>46232</v>
      </c>
      <c r="K36" s="13" t="s">
        <v>3020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3021</v>
      </c>
      <c r="B37" s="12" t="s">
        <v>207</v>
      </c>
      <c r="C37" s="12" t="s">
        <v>914</v>
      </c>
      <c r="D37" s="13" t="s">
        <v>3022</v>
      </c>
      <c r="E37" s="12" t="s">
        <v>3023</v>
      </c>
      <c r="F37" s="12" t="s">
        <v>195</v>
      </c>
      <c r="G37" s="13" t="s">
        <v>3024</v>
      </c>
      <c r="H37" s="12" t="s">
        <v>113</v>
      </c>
      <c r="I37" s="12" t="s">
        <v>133</v>
      </c>
      <c r="J37" s="14"/>
      <c r="K37" s="13" t="s">
        <v>3025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3026</v>
      </c>
      <c r="B38" s="12" t="s">
        <v>225</v>
      </c>
      <c r="C38" s="12" t="s">
        <v>2689</v>
      </c>
      <c r="D38" s="13" t="s">
        <v>3027</v>
      </c>
      <c r="E38" s="12" t="s">
        <v>154</v>
      </c>
      <c r="F38" s="12" t="s">
        <v>154</v>
      </c>
      <c r="G38" s="13" t="s">
        <v>3028</v>
      </c>
      <c r="H38" s="12" t="s">
        <v>119</v>
      </c>
      <c r="I38" s="12" t="s">
        <v>134</v>
      </c>
      <c r="J38" s="14" t="n">
        <v>46232</v>
      </c>
      <c r="K38" s="13" t="s">
        <v>3029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3030</v>
      </c>
      <c r="B39" s="12" t="s">
        <v>2767</v>
      </c>
      <c r="C39" s="12" t="s">
        <v>914</v>
      </c>
      <c r="D39" s="13" t="s">
        <v>3031</v>
      </c>
      <c r="E39" s="12" t="s">
        <v>154</v>
      </c>
      <c r="F39" s="12" t="s">
        <v>2673</v>
      </c>
      <c r="G39" s="13" t="s">
        <v>3032</v>
      </c>
      <c r="H39" s="12" t="s">
        <v>119</v>
      </c>
      <c r="I39" s="12" t="s">
        <v>134</v>
      </c>
      <c r="J39" s="14" t="n">
        <v>46232</v>
      </c>
      <c r="K39" s="13" t="s">
        <v>3033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137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3036</v>
      </c>
      <c r="B9" s="12" t="s">
        <v>111</v>
      </c>
      <c r="C9" s="12" t="s">
        <v>823</v>
      </c>
      <c r="D9" s="13" t="s">
        <v>3037</v>
      </c>
      <c r="E9" s="12" t="s">
        <v>154</v>
      </c>
      <c r="F9" s="12" t="s">
        <v>155</v>
      </c>
      <c r="G9" s="13" t="s">
        <v>3038</v>
      </c>
      <c r="H9" s="12" t="s">
        <v>119</v>
      </c>
      <c r="I9" s="12" t="s">
        <v>134</v>
      </c>
      <c r="J9" s="14" t="n">
        <v>46231</v>
      </c>
      <c r="K9" s="13" t="s">
        <v>3039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3040</v>
      </c>
      <c r="B10" s="12" t="s">
        <v>2460</v>
      </c>
      <c r="C10" s="12" t="s">
        <v>823</v>
      </c>
      <c r="D10" s="13" t="s">
        <v>3041</v>
      </c>
      <c r="E10" s="12" t="s">
        <v>154</v>
      </c>
      <c r="F10" s="12" t="s">
        <v>174</v>
      </c>
      <c r="G10" s="13" t="s">
        <v>3042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3043</v>
      </c>
      <c r="B11" s="12" t="s">
        <v>1404</v>
      </c>
      <c r="C11" s="12" t="s">
        <v>823</v>
      </c>
      <c r="D11" s="13" t="s">
        <v>3044</v>
      </c>
      <c r="E11" s="12" t="s">
        <v>154</v>
      </c>
      <c r="F11" s="12" t="s">
        <v>174</v>
      </c>
      <c r="G11" s="13" t="s">
        <v>3042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3045</v>
      </c>
      <c r="B12" s="12" t="s">
        <v>162</v>
      </c>
      <c r="C12" s="12" t="s">
        <v>2469</v>
      </c>
      <c r="D12" s="13" t="s">
        <v>3046</v>
      </c>
      <c r="E12" s="12" t="s">
        <v>154</v>
      </c>
      <c r="F12" s="12" t="s">
        <v>164</v>
      </c>
      <c r="G12" s="13" t="s">
        <v>3047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3048</v>
      </c>
      <c r="B13" s="12" t="s">
        <v>158</v>
      </c>
      <c r="C13" s="12" t="s">
        <v>823</v>
      </c>
      <c r="D13" s="13" t="s">
        <v>3049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3050</v>
      </c>
      <c r="B14" s="12" t="s">
        <v>1372</v>
      </c>
      <c r="C14" s="12" t="s">
        <v>823</v>
      </c>
      <c r="D14" s="13" t="s">
        <v>3051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3052</v>
      </c>
      <c r="B15" s="12" t="s">
        <v>1355</v>
      </c>
      <c r="C15" s="12" t="s">
        <v>823</v>
      </c>
      <c r="D15" s="13" t="s">
        <v>3053</v>
      </c>
      <c r="E15" s="12" t="s">
        <v>154</v>
      </c>
      <c r="F15" s="12" t="s">
        <v>179</v>
      </c>
      <c r="G15" s="13" t="s">
        <v>3054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3055</v>
      </c>
      <c r="B16" s="12" t="s">
        <v>1754</v>
      </c>
      <c r="C16" s="12" t="s">
        <v>823</v>
      </c>
      <c r="D16" s="13" t="s">
        <v>3056</v>
      </c>
      <c r="E16" s="12" t="s">
        <v>154</v>
      </c>
      <c r="F16" s="12" t="s">
        <v>179</v>
      </c>
      <c r="G16" s="13" t="s">
        <v>3057</v>
      </c>
      <c r="H16" s="12" t="s">
        <v>119</v>
      </c>
      <c r="I16" s="12" t="s">
        <v>134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3058</v>
      </c>
      <c r="B17" s="12" t="s">
        <v>3059</v>
      </c>
      <c r="C17" s="12" t="s">
        <v>823</v>
      </c>
      <c r="D17" s="13" t="s">
        <v>3060</v>
      </c>
      <c r="E17" s="12" t="s">
        <v>154</v>
      </c>
      <c r="F17" s="12" t="s">
        <v>179</v>
      </c>
      <c r="G17" s="13" t="s">
        <v>3057</v>
      </c>
      <c r="H17" s="12" t="s">
        <v>119</v>
      </c>
      <c r="I17" s="12" t="s">
        <v>134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3061</v>
      </c>
      <c r="B18" s="12" t="s">
        <v>3062</v>
      </c>
      <c r="C18" s="12" t="s">
        <v>823</v>
      </c>
      <c r="D18" s="13" t="s">
        <v>3063</v>
      </c>
      <c r="E18" s="12" t="s">
        <v>154</v>
      </c>
      <c r="F18" s="12" t="s">
        <v>179</v>
      </c>
      <c r="G18" s="13" t="s">
        <v>3057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3064</v>
      </c>
      <c r="B19" s="12" t="s">
        <v>1148</v>
      </c>
      <c r="C19" s="12" t="s">
        <v>3065</v>
      </c>
      <c r="D19" s="13" t="s">
        <v>3066</v>
      </c>
      <c r="E19" s="12" t="s">
        <v>154</v>
      </c>
      <c r="F19" s="12" t="s">
        <v>179</v>
      </c>
      <c r="G19" s="13" t="s">
        <v>3057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3067</v>
      </c>
      <c r="B20" s="12" t="s">
        <v>202</v>
      </c>
      <c r="C20" s="12" t="s">
        <v>823</v>
      </c>
      <c r="D20" s="13" t="s">
        <v>3068</v>
      </c>
      <c r="E20" s="12" t="s">
        <v>154</v>
      </c>
      <c r="F20" s="12" t="s">
        <v>174</v>
      </c>
      <c r="G20" s="13" t="s">
        <v>3042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3069</v>
      </c>
      <c r="B21" s="12" t="s">
        <v>682</v>
      </c>
      <c r="C21" s="12" t="s">
        <v>3070</v>
      </c>
      <c r="D21" s="13" t="s">
        <v>3071</v>
      </c>
      <c r="E21" s="12" t="s">
        <v>154</v>
      </c>
      <c r="F21" s="12" t="s">
        <v>179</v>
      </c>
      <c r="G21" s="13" t="s">
        <v>3057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3072</v>
      </c>
      <c r="B22" s="12" t="s">
        <v>182</v>
      </c>
      <c r="C22" s="12" t="s">
        <v>3070</v>
      </c>
      <c r="D22" s="13" t="s">
        <v>3073</v>
      </c>
      <c r="E22" s="12" t="s">
        <v>154</v>
      </c>
      <c r="F22" s="12" t="s">
        <v>184</v>
      </c>
      <c r="G22" s="13" t="s">
        <v>3057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3074</v>
      </c>
      <c r="B23" s="12" t="s">
        <v>193</v>
      </c>
      <c r="C23" s="12" t="s">
        <v>823</v>
      </c>
      <c r="D23" s="13" t="s">
        <v>3075</v>
      </c>
      <c r="E23" s="12" t="s">
        <v>154</v>
      </c>
      <c r="F23" s="12" t="s">
        <v>179</v>
      </c>
      <c r="G23" s="13" t="s">
        <v>3057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3076</v>
      </c>
      <c r="B24" s="12" t="s">
        <v>2592</v>
      </c>
      <c r="C24" s="12" t="s">
        <v>3070</v>
      </c>
      <c r="D24" s="13" t="s">
        <v>3077</v>
      </c>
      <c r="E24" s="12" t="s">
        <v>154</v>
      </c>
      <c r="F24" s="12" t="s">
        <v>189</v>
      </c>
      <c r="G24" s="13" t="s">
        <v>3078</v>
      </c>
      <c r="H24" s="12" t="s">
        <v>117</v>
      </c>
      <c r="I24" s="12" t="s">
        <v>133</v>
      </c>
      <c r="J24" s="14" t="n">
        <v>46231</v>
      </c>
      <c r="K24" s="13" t="s">
        <v>3079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3080</v>
      </c>
      <c r="B25" s="12" t="s">
        <v>94</v>
      </c>
      <c r="C25" s="12" t="s">
        <v>823</v>
      </c>
      <c r="D25" s="13" t="s">
        <v>3081</v>
      </c>
      <c r="E25" s="12" t="s">
        <v>154</v>
      </c>
      <c r="F25" s="12" t="s">
        <v>189</v>
      </c>
      <c r="G25" s="13" t="s">
        <v>3078</v>
      </c>
      <c r="H25" s="12" t="s">
        <v>117</v>
      </c>
      <c r="I25" s="12" t="s">
        <v>133</v>
      </c>
      <c r="J25" s="14" t="n">
        <v>46231</v>
      </c>
      <c r="K25" s="13" t="s">
        <v>3082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3083</v>
      </c>
      <c r="B26" s="12" t="s">
        <v>2541</v>
      </c>
      <c r="C26" s="12" t="s">
        <v>823</v>
      </c>
      <c r="D26" s="13" t="s">
        <v>3084</v>
      </c>
      <c r="E26" s="12" t="s">
        <v>154</v>
      </c>
      <c r="F26" s="12" t="s">
        <v>189</v>
      </c>
      <c r="G26" s="13" t="s">
        <v>3085</v>
      </c>
      <c r="H26" s="12" t="s">
        <v>117</v>
      </c>
      <c r="I26" s="12" t="s">
        <v>133</v>
      </c>
      <c r="J26" s="14" t="n">
        <v>46231</v>
      </c>
      <c r="K26" s="13" t="s">
        <v>3086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3087</v>
      </c>
      <c r="B27" s="12" t="s">
        <v>1592</v>
      </c>
      <c r="C27" s="12" t="s">
        <v>823</v>
      </c>
      <c r="D27" s="13" t="s">
        <v>3088</v>
      </c>
      <c r="E27" s="12" t="s">
        <v>154</v>
      </c>
      <c r="F27" s="12" t="s">
        <v>174</v>
      </c>
      <c r="G27" s="13" t="s">
        <v>3089</v>
      </c>
      <c r="H27" s="12" t="s">
        <v>119</v>
      </c>
      <c r="I27" s="12" t="s">
        <v>134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3090</v>
      </c>
      <c r="B28" s="12" t="s">
        <v>642</v>
      </c>
      <c r="C28" s="12" t="s">
        <v>823</v>
      </c>
      <c r="D28" s="13" t="s">
        <v>3091</v>
      </c>
      <c r="E28" s="12" t="s">
        <v>154</v>
      </c>
      <c r="F28" s="12" t="s">
        <v>644</v>
      </c>
      <c r="G28" s="13" t="s">
        <v>3092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3093</v>
      </c>
      <c r="B29" s="12" t="s">
        <v>2447</v>
      </c>
      <c r="C29" s="12" t="s">
        <v>2671</v>
      </c>
      <c r="D29" s="13" t="s">
        <v>3094</v>
      </c>
      <c r="E29" s="12" t="s">
        <v>154</v>
      </c>
      <c r="F29" s="12" t="s">
        <v>2673</v>
      </c>
      <c r="G29" s="13" t="s">
        <v>3095</v>
      </c>
      <c r="H29" s="12" t="s">
        <v>119</v>
      </c>
      <c r="I29" s="12" t="s">
        <v>134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3096</v>
      </c>
      <c r="B30" s="12" t="s">
        <v>216</v>
      </c>
      <c r="C30" s="12" t="s">
        <v>2676</v>
      </c>
      <c r="D30" s="13" t="s">
        <v>3097</v>
      </c>
      <c r="E30" s="12" t="s">
        <v>154</v>
      </c>
      <c r="F30" s="12" t="s">
        <v>2673</v>
      </c>
      <c r="G30" s="13" t="s">
        <v>3098</v>
      </c>
      <c r="H30" s="12" t="s">
        <v>119</v>
      </c>
      <c r="I30" s="12" t="s">
        <v>134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3099</v>
      </c>
      <c r="B31" s="12" t="s">
        <v>220</v>
      </c>
      <c r="C31" s="12" t="s">
        <v>823</v>
      </c>
      <c r="D31" s="13" t="s">
        <v>3100</v>
      </c>
      <c r="E31" s="12" t="s">
        <v>222</v>
      </c>
      <c r="F31" s="12" t="s">
        <v>222</v>
      </c>
      <c r="G31" s="13" t="s">
        <v>223</v>
      </c>
      <c r="H31" s="12" t="s">
        <v>119</v>
      </c>
      <c r="I31" s="12" t="s">
        <v>134</v>
      </c>
      <c r="J31" s="14" t="s">
        <v>3101</v>
      </c>
      <c r="K31" s="13" t="s">
        <v>3102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3103</v>
      </c>
      <c r="B32" s="12" t="s">
        <v>187</v>
      </c>
      <c r="C32" s="12" t="s">
        <v>3070</v>
      </c>
      <c r="D32" s="13" t="s">
        <v>3104</v>
      </c>
      <c r="E32" s="12" t="s">
        <v>154</v>
      </c>
      <c r="F32" s="12" t="s">
        <v>189</v>
      </c>
      <c r="G32" s="13" t="s">
        <v>3078</v>
      </c>
      <c r="H32" s="12" t="s">
        <v>117</v>
      </c>
      <c r="I32" s="12" t="s">
        <v>133</v>
      </c>
      <c r="J32" s="14" t="n">
        <v>46231</v>
      </c>
      <c r="K32" s="13" t="s">
        <v>3105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3106</v>
      </c>
      <c r="B33" s="12" t="s">
        <v>207</v>
      </c>
      <c r="C33" s="12" t="s">
        <v>3070</v>
      </c>
      <c r="D33" s="13" t="s">
        <v>3107</v>
      </c>
      <c r="E33" s="12" t="s">
        <v>154</v>
      </c>
      <c r="F33" s="12" t="s">
        <v>195</v>
      </c>
      <c r="G33" s="13" t="s">
        <v>3108</v>
      </c>
      <c r="H33" s="12" t="s">
        <v>113</v>
      </c>
      <c r="I33" s="12" t="s">
        <v>133</v>
      </c>
      <c r="J33" s="14"/>
      <c r="K33" s="13" t="s">
        <v>1870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3109</v>
      </c>
      <c r="B34" s="12" t="s">
        <v>225</v>
      </c>
      <c r="C34" s="12" t="s">
        <v>2689</v>
      </c>
      <c r="D34" s="13" t="s">
        <v>3110</v>
      </c>
      <c r="E34" s="12" t="s">
        <v>154</v>
      </c>
      <c r="F34" s="12" t="s">
        <v>154</v>
      </c>
      <c r="G34" s="13" t="s">
        <v>2613</v>
      </c>
      <c r="H34" s="12" t="s">
        <v>119</v>
      </c>
      <c r="I34" s="12" t="s">
        <v>134</v>
      </c>
      <c r="J34" s="14" t="s">
        <v>3101</v>
      </c>
      <c r="K34" s="13" t="s">
        <v>3111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137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1808</v>
      </c>
      <c r="B9" s="12" t="s">
        <v>111</v>
      </c>
      <c r="C9" s="12" t="s">
        <v>1246</v>
      </c>
      <c r="D9" s="13" t="s">
        <v>3114</v>
      </c>
      <c r="E9" s="12" t="s">
        <v>154</v>
      </c>
      <c r="F9" s="12" t="s">
        <v>155</v>
      </c>
      <c r="G9" s="13" t="s">
        <v>3115</v>
      </c>
      <c r="H9" s="12" t="s">
        <v>119</v>
      </c>
      <c r="I9" s="12" t="s">
        <v>134</v>
      </c>
      <c r="J9" s="14" t="n">
        <v>46231</v>
      </c>
      <c r="K9" s="13" t="s">
        <v>3116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1811</v>
      </c>
      <c r="B10" s="12" t="s">
        <v>2460</v>
      </c>
      <c r="C10" s="12" t="s">
        <v>2469</v>
      </c>
      <c r="D10" s="13" t="s">
        <v>3117</v>
      </c>
      <c r="E10" s="12" t="s">
        <v>154</v>
      </c>
      <c r="F10" s="12" t="s">
        <v>174</v>
      </c>
      <c r="G10" s="13" t="s">
        <v>3118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1815</v>
      </c>
      <c r="B11" s="12" t="s">
        <v>1404</v>
      </c>
      <c r="C11" s="12" t="s">
        <v>1246</v>
      </c>
      <c r="D11" s="13" t="s">
        <v>3119</v>
      </c>
      <c r="E11" s="12" t="s">
        <v>154</v>
      </c>
      <c r="F11" s="12" t="s">
        <v>174</v>
      </c>
      <c r="G11" s="13" t="s">
        <v>3118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1817</v>
      </c>
      <c r="B12" s="12" t="s">
        <v>162</v>
      </c>
      <c r="C12" s="12" t="s">
        <v>2469</v>
      </c>
      <c r="D12" s="13" t="s">
        <v>3120</v>
      </c>
      <c r="E12" s="12" t="s">
        <v>154</v>
      </c>
      <c r="F12" s="12" t="s">
        <v>164</v>
      </c>
      <c r="G12" s="13" t="s">
        <v>3121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1820</v>
      </c>
      <c r="B13" s="12" t="s">
        <v>158</v>
      </c>
      <c r="C13" s="12" t="s">
        <v>1246</v>
      </c>
      <c r="D13" s="13" t="s">
        <v>3122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1823</v>
      </c>
      <c r="B14" s="12" t="s">
        <v>1372</v>
      </c>
      <c r="C14" s="12" t="s">
        <v>1246</v>
      </c>
      <c r="D14" s="13" t="s">
        <v>3123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1827</v>
      </c>
      <c r="B15" s="12" t="s">
        <v>1637</v>
      </c>
      <c r="C15" s="12" t="s">
        <v>823</v>
      </c>
      <c r="D15" s="13" t="s">
        <v>3124</v>
      </c>
      <c r="E15" s="12" t="s">
        <v>154</v>
      </c>
      <c r="F15" s="12" t="s">
        <v>179</v>
      </c>
      <c r="G15" s="13" t="s">
        <v>3125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1831</v>
      </c>
      <c r="B16" s="12" t="s">
        <v>1754</v>
      </c>
      <c r="C16" s="12" t="s">
        <v>823</v>
      </c>
      <c r="D16" s="13" t="s">
        <v>3126</v>
      </c>
      <c r="E16" s="12" t="s">
        <v>154</v>
      </c>
      <c r="F16" s="12" t="s">
        <v>189</v>
      </c>
      <c r="G16" s="13" t="s">
        <v>3127</v>
      </c>
      <c r="H16" s="12" t="s">
        <v>117</v>
      </c>
      <c r="I16" s="12" t="s">
        <v>133</v>
      </c>
      <c r="J16" s="14" t="n">
        <v>46231</v>
      </c>
      <c r="K16" s="13" t="s">
        <v>3128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1835</v>
      </c>
      <c r="B17" s="12" t="s">
        <v>1759</v>
      </c>
      <c r="C17" s="12" t="s">
        <v>3129</v>
      </c>
      <c r="D17" s="13" t="s">
        <v>3130</v>
      </c>
      <c r="E17" s="12" t="s">
        <v>154</v>
      </c>
      <c r="F17" s="12" t="s">
        <v>189</v>
      </c>
      <c r="G17" s="13" t="s">
        <v>3127</v>
      </c>
      <c r="H17" s="12" t="s">
        <v>117</v>
      </c>
      <c r="I17" s="12" t="s">
        <v>133</v>
      </c>
      <c r="J17" s="14" t="n">
        <v>46231</v>
      </c>
      <c r="K17" s="13" t="s">
        <v>3131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1839</v>
      </c>
      <c r="B18" s="12" t="s">
        <v>3132</v>
      </c>
      <c r="C18" s="12" t="s">
        <v>21</v>
      </c>
      <c r="D18" s="13" t="s">
        <v>3133</v>
      </c>
      <c r="E18" s="12" t="s">
        <v>154</v>
      </c>
      <c r="F18" s="12" t="s">
        <v>174</v>
      </c>
      <c r="G18" s="13" t="s">
        <v>3134</v>
      </c>
      <c r="H18" s="12" t="s">
        <v>119</v>
      </c>
      <c r="I18" s="12" t="s">
        <v>134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1843</v>
      </c>
      <c r="B19" s="12" t="s">
        <v>3135</v>
      </c>
      <c r="C19" s="12" t="s">
        <v>33</v>
      </c>
      <c r="D19" s="13" t="s">
        <v>3136</v>
      </c>
      <c r="E19" s="12" t="s">
        <v>154</v>
      </c>
      <c r="F19" s="12" t="s">
        <v>179</v>
      </c>
      <c r="G19" s="13" t="s">
        <v>3125</v>
      </c>
      <c r="H19" s="12" t="s">
        <v>119</v>
      </c>
      <c r="I19" s="12" t="s">
        <v>134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1847</v>
      </c>
      <c r="B20" s="12" t="s">
        <v>3137</v>
      </c>
      <c r="C20" s="12" t="s">
        <v>3138</v>
      </c>
      <c r="D20" s="13" t="s">
        <v>3139</v>
      </c>
      <c r="E20" s="12" t="s">
        <v>154</v>
      </c>
      <c r="F20" s="12" t="s">
        <v>174</v>
      </c>
      <c r="G20" s="13" t="s">
        <v>3118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1851</v>
      </c>
      <c r="B21" s="12" t="s">
        <v>3140</v>
      </c>
      <c r="C21" s="12" t="s">
        <v>3141</v>
      </c>
      <c r="D21" s="13" t="s">
        <v>3142</v>
      </c>
      <c r="E21" s="12" t="s">
        <v>154</v>
      </c>
      <c r="F21" s="12" t="s">
        <v>174</v>
      </c>
      <c r="G21" s="13" t="s">
        <v>3118</v>
      </c>
      <c r="H21" s="12" t="s">
        <v>119</v>
      </c>
      <c r="I21" s="12" t="s">
        <v>134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1855</v>
      </c>
      <c r="B22" s="12" t="s">
        <v>3143</v>
      </c>
      <c r="C22" s="12" t="s">
        <v>3141</v>
      </c>
      <c r="D22" s="13" t="s">
        <v>3144</v>
      </c>
      <c r="E22" s="12" t="s">
        <v>154</v>
      </c>
      <c r="F22" s="12" t="s">
        <v>179</v>
      </c>
      <c r="G22" s="13" t="s">
        <v>3125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1857</v>
      </c>
      <c r="B23" s="12" t="s">
        <v>1644</v>
      </c>
      <c r="C23" s="12" t="s">
        <v>3145</v>
      </c>
      <c r="D23" s="13" t="s">
        <v>3146</v>
      </c>
      <c r="E23" s="12" t="s">
        <v>154</v>
      </c>
      <c r="F23" s="12" t="s">
        <v>179</v>
      </c>
      <c r="G23" s="13" t="s">
        <v>3147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1860</v>
      </c>
      <c r="B24" s="12" t="s">
        <v>2094</v>
      </c>
      <c r="C24" s="12" t="s">
        <v>3148</v>
      </c>
      <c r="D24" s="13" t="s">
        <v>3149</v>
      </c>
      <c r="E24" s="12" t="s">
        <v>154</v>
      </c>
      <c r="F24" s="12" t="s">
        <v>179</v>
      </c>
      <c r="G24" s="13" t="s">
        <v>3125</v>
      </c>
      <c r="H24" s="12" t="s">
        <v>119</v>
      </c>
      <c r="I24" s="12" t="s">
        <v>134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1862</v>
      </c>
      <c r="B25" s="12" t="s">
        <v>202</v>
      </c>
      <c r="C25" s="12" t="s">
        <v>3129</v>
      </c>
      <c r="D25" s="13" t="s">
        <v>3150</v>
      </c>
      <c r="E25" s="12" t="s">
        <v>154</v>
      </c>
      <c r="F25" s="12" t="s">
        <v>174</v>
      </c>
      <c r="G25" s="13" t="s">
        <v>3151</v>
      </c>
      <c r="H25" s="12" t="s">
        <v>119</v>
      </c>
      <c r="I25" s="12" t="s">
        <v>134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1864</v>
      </c>
      <c r="B26" s="12" t="s">
        <v>193</v>
      </c>
      <c r="C26" s="12" t="s">
        <v>823</v>
      </c>
      <c r="D26" s="13" t="s">
        <v>3152</v>
      </c>
      <c r="E26" s="12" t="s">
        <v>154</v>
      </c>
      <c r="F26" s="12" t="s">
        <v>179</v>
      </c>
      <c r="G26" s="13" t="s">
        <v>3125</v>
      </c>
      <c r="H26" s="12" t="s">
        <v>119</v>
      </c>
      <c r="I26" s="12" t="s">
        <v>134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1867</v>
      </c>
      <c r="B27" s="12" t="s">
        <v>2592</v>
      </c>
      <c r="C27" s="12" t="s">
        <v>3129</v>
      </c>
      <c r="D27" s="13" t="s">
        <v>3153</v>
      </c>
      <c r="E27" s="12" t="s">
        <v>154</v>
      </c>
      <c r="F27" s="12" t="s">
        <v>189</v>
      </c>
      <c r="G27" s="13" t="s">
        <v>3154</v>
      </c>
      <c r="H27" s="12" t="s">
        <v>117</v>
      </c>
      <c r="I27" s="12" t="s">
        <v>133</v>
      </c>
      <c r="J27" s="14" t="n">
        <v>46231</v>
      </c>
      <c r="K27" s="13" t="s">
        <v>3155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1871</v>
      </c>
      <c r="B28" s="12" t="s">
        <v>182</v>
      </c>
      <c r="C28" s="12" t="s">
        <v>1246</v>
      </c>
      <c r="D28" s="13" t="s">
        <v>3156</v>
      </c>
      <c r="E28" s="12" t="s">
        <v>154</v>
      </c>
      <c r="F28" s="12" t="s">
        <v>184</v>
      </c>
      <c r="G28" s="13" t="s">
        <v>3125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1874</v>
      </c>
      <c r="B29" s="12" t="s">
        <v>94</v>
      </c>
      <c r="C29" s="12" t="s">
        <v>1246</v>
      </c>
      <c r="D29" s="13" t="s">
        <v>3157</v>
      </c>
      <c r="E29" s="12" t="s">
        <v>154</v>
      </c>
      <c r="F29" s="12" t="s">
        <v>189</v>
      </c>
      <c r="G29" s="13" t="s">
        <v>3127</v>
      </c>
      <c r="H29" s="12" t="s">
        <v>117</v>
      </c>
      <c r="I29" s="12" t="s">
        <v>133</v>
      </c>
      <c r="J29" s="14" t="n">
        <v>46231</v>
      </c>
      <c r="K29" s="13" t="s">
        <v>3082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1877</v>
      </c>
      <c r="B30" s="12" t="s">
        <v>2541</v>
      </c>
      <c r="C30" s="12" t="s">
        <v>1246</v>
      </c>
      <c r="D30" s="13" t="s">
        <v>3158</v>
      </c>
      <c r="E30" s="12" t="s">
        <v>154</v>
      </c>
      <c r="F30" s="12" t="s">
        <v>189</v>
      </c>
      <c r="G30" s="13" t="s">
        <v>3159</v>
      </c>
      <c r="H30" s="12" t="s">
        <v>117</v>
      </c>
      <c r="I30" s="12" t="s">
        <v>133</v>
      </c>
      <c r="J30" s="14" t="n">
        <v>46231</v>
      </c>
      <c r="K30" s="13" t="s">
        <v>3160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1879</v>
      </c>
      <c r="B31" s="12" t="s">
        <v>1592</v>
      </c>
      <c r="C31" s="12" t="s">
        <v>1246</v>
      </c>
      <c r="D31" s="13" t="s">
        <v>3161</v>
      </c>
      <c r="E31" s="12" t="s">
        <v>154</v>
      </c>
      <c r="F31" s="12" t="s">
        <v>2673</v>
      </c>
      <c r="G31" s="13" t="s">
        <v>3162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3163</v>
      </c>
      <c r="B32" s="12" t="s">
        <v>642</v>
      </c>
      <c r="C32" s="12" t="s">
        <v>1246</v>
      </c>
      <c r="D32" s="13" t="s">
        <v>3164</v>
      </c>
      <c r="E32" s="12" t="s">
        <v>154</v>
      </c>
      <c r="F32" s="12" t="s">
        <v>644</v>
      </c>
      <c r="G32" s="13" t="s">
        <v>3165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3166</v>
      </c>
      <c r="B33" s="12" t="s">
        <v>2447</v>
      </c>
      <c r="C33" s="12" t="s">
        <v>2671</v>
      </c>
      <c r="D33" s="13" t="s">
        <v>3167</v>
      </c>
      <c r="E33" s="12" t="s">
        <v>154</v>
      </c>
      <c r="F33" s="12" t="s">
        <v>2673</v>
      </c>
      <c r="G33" s="13" t="s">
        <v>3168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3169</v>
      </c>
      <c r="B34" s="12" t="s">
        <v>216</v>
      </c>
      <c r="C34" s="12" t="s">
        <v>2676</v>
      </c>
      <c r="D34" s="13" t="s">
        <v>3170</v>
      </c>
      <c r="E34" s="12" t="s">
        <v>154</v>
      </c>
      <c r="F34" s="12" t="s">
        <v>2673</v>
      </c>
      <c r="G34" s="13" t="s">
        <v>3171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3172</v>
      </c>
      <c r="B35" s="12" t="s">
        <v>220</v>
      </c>
      <c r="C35" s="12" t="s">
        <v>1246</v>
      </c>
      <c r="D35" s="13" t="s">
        <v>3173</v>
      </c>
      <c r="E35" s="12" t="s">
        <v>222</v>
      </c>
      <c r="F35" s="12" t="s">
        <v>222</v>
      </c>
      <c r="G35" s="13" t="s">
        <v>223</v>
      </c>
      <c r="H35" s="12" t="s">
        <v>119</v>
      </c>
      <c r="I35" s="12" t="s">
        <v>134</v>
      </c>
      <c r="J35" s="14" t="n">
        <v>46231</v>
      </c>
      <c r="K35" s="13" t="s">
        <v>3174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3175</v>
      </c>
      <c r="B36" s="12" t="s">
        <v>187</v>
      </c>
      <c r="C36" s="12" t="s">
        <v>1246</v>
      </c>
      <c r="D36" s="13" t="s">
        <v>3176</v>
      </c>
      <c r="E36" s="12" t="s">
        <v>154</v>
      </c>
      <c r="F36" s="12" t="s">
        <v>189</v>
      </c>
      <c r="G36" s="13" t="s">
        <v>3127</v>
      </c>
      <c r="H36" s="12" t="s">
        <v>117</v>
      </c>
      <c r="I36" s="12" t="s">
        <v>133</v>
      </c>
      <c r="J36" s="14" t="n">
        <v>46231</v>
      </c>
      <c r="K36" s="13" t="s">
        <v>3105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3177</v>
      </c>
      <c r="B37" s="12" t="s">
        <v>207</v>
      </c>
      <c r="C37" s="12" t="s">
        <v>1246</v>
      </c>
      <c r="D37" s="13" t="s">
        <v>3178</v>
      </c>
      <c r="E37" s="12" t="s">
        <v>154</v>
      </c>
      <c r="F37" s="12" t="s">
        <v>195</v>
      </c>
      <c r="G37" s="13" t="s">
        <v>3179</v>
      </c>
      <c r="H37" s="12" t="s">
        <v>113</v>
      </c>
      <c r="I37" s="12" t="s">
        <v>133</v>
      </c>
      <c r="J37" s="14"/>
      <c r="K37" s="13" t="s">
        <v>1870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3180</v>
      </c>
      <c r="B38" s="12" t="s">
        <v>225</v>
      </c>
      <c r="C38" s="12" t="s">
        <v>2689</v>
      </c>
      <c r="D38" s="13" t="s">
        <v>3181</v>
      </c>
      <c r="E38" s="12" t="s">
        <v>154</v>
      </c>
      <c r="F38" s="12" t="s">
        <v>154</v>
      </c>
      <c r="G38" s="13" t="s">
        <v>2613</v>
      </c>
      <c r="H38" s="12" t="s">
        <v>119</v>
      </c>
      <c r="I38" s="12" t="s">
        <v>134</v>
      </c>
      <c r="J38" s="14" t="n">
        <v>46231</v>
      </c>
      <c r="K38" s="13" t="s">
        <v>3182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3185</v>
      </c>
      <c r="B9" s="12" t="s">
        <v>111</v>
      </c>
      <c r="C9" s="12" t="s">
        <v>1246</v>
      </c>
      <c r="D9" s="13" t="s">
        <v>3186</v>
      </c>
      <c r="E9" s="12" t="s">
        <v>154</v>
      </c>
      <c r="F9" s="12" t="s">
        <v>155</v>
      </c>
      <c r="G9" s="13" t="s">
        <v>3187</v>
      </c>
      <c r="H9" s="12" t="s">
        <v>119</v>
      </c>
      <c r="I9" s="12" t="s">
        <v>134</v>
      </c>
      <c r="J9" s="14" t="n">
        <v>46231</v>
      </c>
      <c r="K9" s="13" t="s">
        <v>3116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3188</v>
      </c>
      <c r="B10" s="12" t="s">
        <v>2460</v>
      </c>
      <c r="C10" s="12" t="s">
        <v>2469</v>
      </c>
      <c r="D10" s="13" t="s">
        <v>3189</v>
      </c>
      <c r="E10" s="12" t="s">
        <v>154</v>
      </c>
      <c r="F10" s="12" t="s">
        <v>174</v>
      </c>
      <c r="G10" s="13" t="s">
        <v>3190</v>
      </c>
      <c r="H10" s="12" t="s">
        <v>119</v>
      </c>
      <c r="I10" s="12" t="s">
        <v>134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3191</v>
      </c>
      <c r="B11" s="12" t="s">
        <v>1404</v>
      </c>
      <c r="C11" s="12" t="s">
        <v>3192</v>
      </c>
      <c r="D11" s="13" t="s">
        <v>3193</v>
      </c>
      <c r="E11" s="12" t="s">
        <v>154</v>
      </c>
      <c r="F11" s="12" t="s">
        <v>174</v>
      </c>
      <c r="G11" s="13" t="s">
        <v>3190</v>
      </c>
      <c r="H11" s="12" t="s">
        <v>119</v>
      </c>
      <c r="I11" s="12" t="s">
        <v>134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3194</v>
      </c>
      <c r="B12" s="12" t="s">
        <v>162</v>
      </c>
      <c r="C12" s="12" t="s">
        <v>2469</v>
      </c>
      <c r="D12" s="13" t="s">
        <v>3195</v>
      </c>
      <c r="E12" s="12" t="s">
        <v>154</v>
      </c>
      <c r="F12" s="12" t="s">
        <v>164</v>
      </c>
      <c r="G12" s="13" t="s">
        <v>3196</v>
      </c>
      <c r="H12" s="12" t="s">
        <v>119</v>
      </c>
      <c r="I12" s="12" t="s">
        <v>134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3197</v>
      </c>
      <c r="B13" s="12" t="s">
        <v>158</v>
      </c>
      <c r="C13" s="12" t="s">
        <v>1246</v>
      </c>
      <c r="D13" s="13" t="s">
        <v>3198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3199</v>
      </c>
      <c r="B14" s="12" t="s">
        <v>1372</v>
      </c>
      <c r="C14" s="12" t="s">
        <v>1246</v>
      </c>
      <c r="D14" s="13" t="s">
        <v>3200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3201</v>
      </c>
      <c r="B15" s="12" t="s">
        <v>1637</v>
      </c>
      <c r="C15" s="12" t="s">
        <v>823</v>
      </c>
      <c r="D15" s="13" t="s">
        <v>3202</v>
      </c>
      <c r="E15" s="12" t="s">
        <v>154</v>
      </c>
      <c r="F15" s="12" t="s">
        <v>179</v>
      </c>
      <c r="G15" s="13" t="s">
        <v>3203</v>
      </c>
      <c r="H15" s="12" t="s">
        <v>119</v>
      </c>
      <c r="I15" s="12" t="s">
        <v>134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3204</v>
      </c>
      <c r="B16" s="12" t="s">
        <v>1754</v>
      </c>
      <c r="C16" s="12" t="s">
        <v>823</v>
      </c>
      <c r="D16" s="13" t="s">
        <v>3205</v>
      </c>
      <c r="E16" s="12" t="s">
        <v>154</v>
      </c>
      <c r="F16" s="12" t="s">
        <v>189</v>
      </c>
      <c r="G16" s="13" t="s">
        <v>3206</v>
      </c>
      <c r="H16" s="12" t="s">
        <v>117</v>
      </c>
      <c r="I16" s="12" t="s">
        <v>133</v>
      </c>
      <c r="J16" s="14" t="n">
        <v>46231</v>
      </c>
      <c r="K16" s="13" t="s">
        <v>3128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3207</v>
      </c>
      <c r="B17" s="12" t="s">
        <v>3208</v>
      </c>
      <c r="C17" s="12" t="s">
        <v>823</v>
      </c>
      <c r="D17" s="13" t="s">
        <v>3209</v>
      </c>
      <c r="E17" s="12" t="s">
        <v>154</v>
      </c>
      <c r="F17" s="12" t="s">
        <v>189</v>
      </c>
      <c r="G17" s="13" t="s">
        <v>3206</v>
      </c>
      <c r="H17" s="12" t="s">
        <v>117</v>
      </c>
      <c r="I17" s="12" t="s">
        <v>133</v>
      </c>
      <c r="J17" s="14" t="n">
        <v>46231</v>
      </c>
      <c r="K17" s="13" t="s">
        <v>3210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3211</v>
      </c>
      <c r="B18" s="12" t="s">
        <v>1759</v>
      </c>
      <c r="C18" s="12" t="s">
        <v>3212</v>
      </c>
      <c r="D18" s="13" t="s">
        <v>3213</v>
      </c>
      <c r="E18" s="12" t="s">
        <v>154</v>
      </c>
      <c r="F18" s="12" t="s">
        <v>189</v>
      </c>
      <c r="G18" s="13" t="s">
        <v>3214</v>
      </c>
      <c r="H18" s="12" t="s">
        <v>117</v>
      </c>
      <c r="I18" s="12" t="s">
        <v>133</v>
      </c>
      <c r="J18" s="14" t="n">
        <v>46231</v>
      </c>
      <c r="K18" s="13" t="s">
        <v>3215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3216</v>
      </c>
      <c r="B19" s="12" t="s">
        <v>3217</v>
      </c>
      <c r="C19" s="12" t="s">
        <v>823</v>
      </c>
      <c r="D19" s="13" t="s">
        <v>3218</v>
      </c>
      <c r="E19" s="12" t="s">
        <v>154</v>
      </c>
      <c r="F19" s="12" t="s">
        <v>189</v>
      </c>
      <c r="G19" s="13" t="s">
        <v>3206</v>
      </c>
      <c r="H19" s="12" t="s">
        <v>117</v>
      </c>
      <c r="I19" s="12" t="s">
        <v>133</v>
      </c>
      <c r="J19" s="14" t="n">
        <v>46231</v>
      </c>
      <c r="K19" s="13" t="s">
        <v>3219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3220</v>
      </c>
      <c r="B20" s="12" t="s">
        <v>3221</v>
      </c>
      <c r="C20" s="12" t="s">
        <v>3221</v>
      </c>
      <c r="D20" s="13" t="s">
        <v>3222</v>
      </c>
      <c r="E20" s="12" t="s">
        <v>154</v>
      </c>
      <c r="F20" s="12" t="s">
        <v>179</v>
      </c>
      <c r="G20" s="13" t="s">
        <v>3203</v>
      </c>
      <c r="H20" s="12" t="s">
        <v>119</v>
      </c>
      <c r="I20" s="12" t="s">
        <v>134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3223</v>
      </c>
      <c r="B21" s="12" t="s">
        <v>3224</v>
      </c>
      <c r="C21" s="12" t="s">
        <v>3225</v>
      </c>
      <c r="D21" s="13" t="s">
        <v>3226</v>
      </c>
      <c r="E21" s="12" t="s">
        <v>154</v>
      </c>
      <c r="F21" s="12" t="s">
        <v>189</v>
      </c>
      <c r="G21" s="13" t="s">
        <v>3206</v>
      </c>
      <c r="H21" s="12" t="s">
        <v>117</v>
      </c>
      <c r="I21" s="12" t="s">
        <v>133</v>
      </c>
      <c r="J21" s="14" t="n">
        <v>46231</v>
      </c>
      <c r="K21" s="13" t="s">
        <v>3227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3228</v>
      </c>
      <c r="B22" s="12" t="s">
        <v>3229</v>
      </c>
      <c r="C22" s="12" t="s">
        <v>3230</v>
      </c>
      <c r="D22" s="13" t="s">
        <v>3231</v>
      </c>
      <c r="E22" s="12" t="s">
        <v>154</v>
      </c>
      <c r="F22" s="12" t="s">
        <v>179</v>
      </c>
      <c r="G22" s="13" t="s">
        <v>3203</v>
      </c>
      <c r="H22" s="12" t="s">
        <v>119</v>
      </c>
      <c r="I22" s="12" t="s">
        <v>134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3232</v>
      </c>
      <c r="B23" s="12" t="s">
        <v>2335</v>
      </c>
      <c r="C23" s="12" t="s">
        <v>3230</v>
      </c>
      <c r="D23" s="13" t="s">
        <v>3233</v>
      </c>
      <c r="E23" s="12" t="s">
        <v>154</v>
      </c>
      <c r="F23" s="12" t="s">
        <v>174</v>
      </c>
      <c r="G23" s="13" t="s">
        <v>3234</v>
      </c>
      <c r="H23" s="12" t="s">
        <v>119</v>
      </c>
      <c r="I23" s="12" t="s">
        <v>134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3235</v>
      </c>
      <c r="B24" s="12" t="s">
        <v>202</v>
      </c>
      <c r="C24" s="12" t="s">
        <v>1246</v>
      </c>
      <c r="D24" s="13" t="s">
        <v>3236</v>
      </c>
      <c r="E24" s="12" t="s">
        <v>154</v>
      </c>
      <c r="F24" s="12" t="s">
        <v>174</v>
      </c>
      <c r="G24" s="13" t="s">
        <v>3190</v>
      </c>
      <c r="H24" s="12" t="s">
        <v>119</v>
      </c>
      <c r="I24" s="12" t="s">
        <v>134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3237</v>
      </c>
      <c r="B25" s="12" t="s">
        <v>193</v>
      </c>
      <c r="C25" s="12" t="s">
        <v>3225</v>
      </c>
      <c r="D25" s="13" t="s">
        <v>3238</v>
      </c>
      <c r="E25" s="12" t="s">
        <v>154</v>
      </c>
      <c r="F25" s="12" t="s">
        <v>179</v>
      </c>
      <c r="G25" s="13" t="s">
        <v>3203</v>
      </c>
      <c r="H25" s="12" t="s">
        <v>119</v>
      </c>
      <c r="I25" s="12" t="s">
        <v>134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3239</v>
      </c>
      <c r="B26" s="12" t="s">
        <v>2645</v>
      </c>
      <c r="C26" s="12" t="s">
        <v>3225</v>
      </c>
      <c r="D26" s="13" t="s">
        <v>3240</v>
      </c>
      <c r="E26" s="12" t="s">
        <v>154</v>
      </c>
      <c r="F26" s="12" t="s">
        <v>189</v>
      </c>
      <c r="G26" s="13" t="s">
        <v>3214</v>
      </c>
      <c r="H26" s="12" t="s">
        <v>117</v>
      </c>
      <c r="I26" s="12" t="s">
        <v>133</v>
      </c>
      <c r="J26" s="14" t="n">
        <v>46231</v>
      </c>
      <c r="K26" s="13" t="s">
        <v>3241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3242</v>
      </c>
      <c r="B27" s="12" t="s">
        <v>2592</v>
      </c>
      <c r="C27" s="12" t="s">
        <v>1246</v>
      </c>
      <c r="D27" s="13" t="s">
        <v>3243</v>
      </c>
      <c r="E27" s="12" t="s">
        <v>154</v>
      </c>
      <c r="F27" s="12" t="s">
        <v>189</v>
      </c>
      <c r="G27" s="13" t="s">
        <v>3214</v>
      </c>
      <c r="H27" s="12" t="s">
        <v>117</v>
      </c>
      <c r="I27" s="12" t="s">
        <v>133</v>
      </c>
      <c r="J27" s="14" t="n">
        <v>46231</v>
      </c>
      <c r="K27" s="13" t="s">
        <v>3244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3245</v>
      </c>
      <c r="B28" s="12" t="s">
        <v>182</v>
      </c>
      <c r="C28" s="12" t="s">
        <v>1246</v>
      </c>
      <c r="D28" s="13" t="s">
        <v>3246</v>
      </c>
      <c r="E28" s="12" t="s">
        <v>154</v>
      </c>
      <c r="F28" s="12" t="s">
        <v>184</v>
      </c>
      <c r="G28" s="13" t="s">
        <v>3203</v>
      </c>
      <c r="H28" s="12" t="s">
        <v>119</v>
      </c>
      <c r="I28" s="12" t="s">
        <v>134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3247</v>
      </c>
      <c r="B29" s="12" t="s">
        <v>94</v>
      </c>
      <c r="C29" s="12" t="s">
        <v>1246</v>
      </c>
      <c r="D29" s="13" t="s">
        <v>3248</v>
      </c>
      <c r="E29" s="12" t="s">
        <v>154</v>
      </c>
      <c r="F29" s="12" t="s">
        <v>189</v>
      </c>
      <c r="G29" s="13" t="s">
        <v>3206</v>
      </c>
      <c r="H29" s="12" t="s">
        <v>117</v>
      </c>
      <c r="I29" s="12" t="s">
        <v>133</v>
      </c>
      <c r="J29" s="14" t="n">
        <v>46231</v>
      </c>
      <c r="K29" s="13" t="s">
        <v>3082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3249</v>
      </c>
      <c r="B30" s="12" t="s">
        <v>2541</v>
      </c>
      <c r="C30" s="12" t="s">
        <v>1246</v>
      </c>
      <c r="D30" s="13" t="s">
        <v>3250</v>
      </c>
      <c r="E30" s="12" t="s">
        <v>154</v>
      </c>
      <c r="F30" s="12" t="s">
        <v>195</v>
      </c>
      <c r="G30" s="13" t="s">
        <v>3251</v>
      </c>
      <c r="H30" s="12" t="s">
        <v>117</v>
      </c>
      <c r="I30" s="12" t="s">
        <v>133</v>
      </c>
      <c r="J30" s="14" t="n">
        <v>46231</v>
      </c>
      <c r="K30" s="13" t="s">
        <v>3252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3253</v>
      </c>
      <c r="B31" s="12" t="s">
        <v>1592</v>
      </c>
      <c r="C31" s="12" t="s">
        <v>1246</v>
      </c>
      <c r="D31" s="13" t="s">
        <v>3254</v>
      </c>
      <c r="E31" s="12" t="s">
        <v>154</v>
      </c>
      <c r="F31" s="12" t="s">
        <v>2673</v>
      </c>
      <c r="G31" s="13" t="s">
        <v>3255</v>
      </c>
      <c r="H31" s="12" t="s">
        <v>119</v>
      </c>
      <c r="I31" s="12" t="s">
        <v>134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3256</v>
      </c>
      <c r="B32" s="12" t="s">
        <v>2767</v>
      </c>
      <c r="C32" s="12" t="s">
        <v>3257</v>
      </c>
      <c r="D32" s="13" t="s">
        <v>3258</v>
      </c>
      <c r="E32" s="12" t="s">
        <v>154</v>
      </c>
      <c r="F32" s="12" t="s">
        <v>2673</v>
      </c>
      <c r="G32" s="13" t="s">
        <v>3255</v>
      </c>
      <c r="H32" s="12" t="s">
        <v>119</v>
      </c>
      <c r="I32" s="12" t="s">
        <v>134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3259</v>
      </c>
      <c r="B33" s="12" t="s">
        <v>642</v>
      </c>
      <c r="C33" s="12" t="s">
        <v>1246</v>
      </c>
      <c r="D33" s="13" t="s">
        <v>3260</v>
      </c>
      <c r="E33" s="12" t="s">
        <v>154</v>
      </c>
      <c r="F33" s="12" t="s">
        <v>644</v>
      </c>
      <c r="G33" s="13" t="s">
        <v>3261</v>
      </c>
      <c r="H33" s="12" t="s">
        <v>119</v>
      </c>
      <c r="I33" s="12" t="s">
        <v>134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3262</v>
      </c>
      <c r="B34" s="12" t="s">
        <v>2447</v>
      </c>
      <c r="C34" s="12" t="s">
        <v>2671</v>
      </c>
      <c r="D34" s="13" t="s">
        <v>3263</v>
      </c>
      <c r="E34" s="12" t="s">
        <v>154</v>
      </c>
      <c r="F34" s="12" t="s">
        <v>2673</v>
      </c>
      <c r="G34" s="13" t="s">
        <v>3264</v>
      </c>
      <c r="H34" s="12" t="s">
        <v>119</v>
      </c>
      <c r="I34" s="12" t="s">
        <v>134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3265</v>
      </c>
      <c r="B35" s="12" t="s">
        <v>216</v>
      </c>
      <c r="C35" s="12" t="s">
        <v>2676</v>
      </c>
      <c r="D35" s="13" t="s">
        <v>3266</v>
      </c>
      <c r="E35" s="12" t="s">
        <v>154</v>
      </c>
      <c r="F35" s="12" t="s">
        <v>2673</v>
      </c>
      <c r="G35" s="13" t="s">
        <v>3267</v>
      </c>
      <c r="H35" s="12" t="s">
        <v>119</v>
      </c>
      <c r="I35" s="12" t="s">
        <v>134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3268</v>
      </c>
      <c r="B36" s="12" t="s">
        <v>220</v>
      </c>
      <c r="C36" s="12" t="s">
        <v>1246</v>
      </c>
      <c r="D36" s="13" t="s">
        <v>3269</v>
      </c>
      <c r="E36" s="12" t="s">
        <v>222</v>
      </c>
      <c r="F36" s="12" t="s">
        <v>222</v>
      </c>
      <c r="G36" s="13" t="s">
        <v>223</v>
      </c>
      <c r="H36" s="12" t="s">
        <v>119</v>
      </c>
      <c r="I36" s="12" t="s">
        <v>134</v>
      </c>
      <c r="J36" s="14" t="n">
        <v>46231</v>
      </c>
      <c r="K36" s="13" t="s">
        <v>3174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3270</v>
      </c>
      <c r="B37" s="12" t="s">
        <v>187</v>
      </c>
      <c r="C37" s="12" t="s">
        <v>1246</v>
      </c>
      <c r="D37" s="13" t="s">
        <v>3271</v>
      </c>
      <c r="E37" s="12" t="s">
        <v>154</v>
      </c>
      <c r="F37" s="12" t="s">
        <v>189</v>
      </c>
      <c r="G37" s="13" t="s">
        <v>3206</v>
      </c>
      <c r="H37" s="12" t="s">
        <v>117</v>
      </c>
      <c r="I37" s="12" t="s">
        <v>133</v>
      </c>
      <c r="J37" s="14" t="n">
        <v>46231</v>
      </c>
      <c r="K37" s="13" t="s">
        <v>3105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3272</v>
      </c>
      <c r="B38" s="12" t="s">
        <v>207</v>
      </c>
      <c r="C38" s="12" t="s">
        <v>1246</v>
      </c>
      <c r="D38" s="13" t="s">
        <v>3273</v>
      </c>
      <c r="E38" s="12" t="s">
        <v>154</v>
      </c>
      <c r="F38" s="12" t="s">
        <v>195</v>
      </c>
      <c r="G38" s="13" t="s">
        <v>3251</v>
      </c>
      <c r="H38" s="12" t="s">
        <v>113</v>
      </c>
      <c r="I38" s="12" t="s">
        <v>133</v>
      </c>
      <c r="J38" s="14"/>
      <c r="K38" s="13" t="s">
        <v>1870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3274</v>
      </c>
      <c r="B39" s="12" t="s">
        <v>225</v>
      </c>
      <c r="C39" s="12" t="s">
        <v>2689</v>
      </c>
      <c r="D39" s="13" t="s">
        <v>3275</v>
      </c>
      <c r="E39" s="12" t="s">
        <v>154</v>
      </c>
      <c r="F39" s="12" t="s">
        <v>154</v>
      </c>
      <c r="G39" s="13" t="s">
        <v>2613</v>
      </c>
      <c r="H39" s="12" t="s">
        <v>119</v>
      </c>
      <c r="I39" s="12" t="s">
        <v>134</v>
      </c>
      <c r="J39" s="14" t="n">
        <v>46231</v>
      </c>
      <c r="K39" s="13" t="s">
        <v>3276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1143</v>
      </c>
      <c r="B9" s="12" t="s">
        <v>151</v>
      </c>
      <c r="C9" s="12" t="s">
        <v>3279</v>
      </c>
      <c r="D9" s="13" t="s">
        <v>3280</v>
      </c>
      <c r="E9" s="12" t="s">
        <v>154</v>
      </c>
      <c r="F9" s="12" t="s">
        <v>155</v>
      </c>
      <c r="G9" s="13" t="s">
        <v>3281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1147</v>
      </c>
      <c r="B10" s="12" t="s">
        <v>1404</v>
      </c>
      <c r="C10" s="12" t="s">
        <v>1246</v>
      </c>
      <c r="D10" s="13" t="s">
        <v>3283</v>
      </c>
      <c r="E10" s="12" t="s">
        <v>154</v>
      </c>
      <c r="F10" s="12" t="s">
        <v>174</v>
      </c>
      <c r="G10" s="13" t="s">
        <v>3284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1151</v>
      </c>
      <c r="B11" s="12" t="s">
        <v>158</v>
      </c>
      <c r="C11" s="12" t="s">
        <v>78</v>
      </c>
      <c r="D11" s="13" t="s">
        <v>3285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1155</v>
      </c>
      <c r="B12" s="12" t="s">
        <v>162</v>
      </c>
      <c r="C12" s="12" t="s">
        <v>1451</v>
      </c>
      <c r="D12" s="13" t="s">
        <v>3286</v>
      </c>
      <c r="E12" s="12" t="s">
        <v>154</v>
      </c>
      <c r="F12" s="12" t="s">
        <v>164</v>
      </c>
      <c r="G12" s="13" t="s">
        <v>3287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1157</v>
      </c>
      <c r="B13" s="12" t="s">
        <v>167</v>
      </c>
      <c r="C13" s="12" t="s">
        <v>3288</v>
      </c>
      <c r="D13" s="13" t="s">
        <v>1455</v>
      </c>
      <c r="E13" s="12" t="s">
        <v>154</v>
      </c>
      <c r="F13" s="12" t="s">
        <v>169</v>
      </c>
      <c r="G13" s="13" t="s">
        <v>3289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1160</v>
      </c>
      <c r="B14" s="12" t="s">
        <v>3290</v>
      </c>
      <c r="C14" s="12" t="s">
        <v>3291</v>
      </c>
      <c r="D14" s="13" t="s">
        <v>3292</v>
      </c>
      <c r="E14" s="12" t="s">
        <v>179</v>
      </c>
      <c r="F14" s="12" t="s">
        <v>179</v>
      </c>
      <c r="G14" s="13" t="s">
        <v>3293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1163</v>
      </c>
      <c r="B15" s="12" t="s">
        <v>1979</v>
      </c>
      <c r="C15" s="12" t="s">
        <v>3294</v>
      </c>
      <c r="D15" s="13" t="s">
        <v>3295</v>
      </c>
      <c r="E15" s="12" t="s">
        <v>179</v>
      </c>
      <c r="F15" s="12" t="s">
        <v>179</v>
      </c>
      <c r="G15" s="13" t="s">
        <v>3293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1166</v>
      </c>
      <c r="B16" s="12" t="s">
        <v>3296</v>
      </c>
      <c r="C16" s="12" t="s">
        <v>3297</v>
      </c>
      <c r="D16" s="13" t="s">
        <v>3298</v>
      </c>
      <c r="E16" s="12" t="s">
        <v>154</v>
      </c>
      <c r="F16" s="12" t="s">
        <v>174</v>
      </c>
      <c r="G16" s="13" t="s">
        <v>3284</v>
      </c>
      <c r="H16" s="12" t="s">
        <v>119</v>
      </c>
      <c r="I16" s="12" t="s">
        <v>134</v>
      </c>
      <c r="J16" s="14" t="s">
        <v>3282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1169</v>
      </c>
      <c r="B17" s="12" t="s">
        <v>1650</v>
      </c>
      <c r="C17" s="12" t="s">
        <v>3299</v>
      </c>
      <c r="D17" s="13" t="s">
        <v>3300</v>
      </c>
      <c r="E17" s="12" t="s">
        <v>3023</v>
      </c>
      <c r="F17" s="12" t="s">
        <v>189</v>
      </c>
      <c r="G17" s="13" t="s">
        <v>3301</v>
      </c>
      <c r="H17" s="12" t="s">
        <v>117</v>
      </c>
      <c r="I17" s="12" t="s">
        <v>133</v>
      </c>
      <c r="J17" s="14" t="s">
        <v>3302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1172</v>
      </c>
      <c r="B18" s="12" t="s">
        <v>1195</v>
      </c>
      <c r="C18" s="12" t="s">
        <v>3303</v>
      </c>
      <c r="D18" s="13" t="s">
        <v>3304</v>
      </c>
      <c r="E18" s="12" t="s">
        <v>179</v>
      </c>
      <c r="F18" s="12" t="s">
        <v>179</v>
      </c>
      <c r="G18" s="13" t="s">
        <v>3293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1175</v>
      </c>
      <c r="B19" s="12" t="s">
        <v>3305</v>
      </c>
      <c r="C19" s="12" t="s">
        <v>1148</v>
      </c>
      <c r="D19" s="13" t="s">
        <v>3306</v>
      </c>
      <c r="E19" s="12" t="s">
        <v>179</v>
      </c>
      <c r="F19" s="12" t="s">
        <v>179</v>
      </c>
      <c r="G19" s="13" t="s">
        <v>3293</v>
      </c>
      <c r="H19" s="12" t="s">
        <v>119</v>
      </c>
      <c r="I19" s="12" t="s">
        <v>134</v>
      </c>
      <c r="J19" s="14" t="s">
        <v>3282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1177</v>
      </c>
      <c r="B20" s="12" t="s">
        <v>3307</v>
      </c>
      <c r="C20" s="12" t="s">
        <v>1148</v>
      </c>
      <c r="D20" s="13" t="s">
        <v>3308</v>
      </c>
      <c r="E20" s="12" t="s">
        <v>3023</v>
      </c>
      <c r="F20" s="12" t="s">
        <v>195</v>
      </c>
      <c r="G20" s="13" t="s">
        <v>3309</v>
      </c>
      <c r="H20" s="12" t="s">
        <v>117</v>
      </c>
      <c r="I20" s="12" t="s">
        <v>133</v>
      </c>
      <c r="J20" s="14" t="s">
        <v>3302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1180</v>
      </c>
      <c r="B21" s="12" t="s">
        <v>182</v>
      </c>
      <c r="C21" s="12" t="s">
        <v>1246</v>
      </c>
      <c r="D21" s="13" t="s">
        <v>3310</v>
      </c>
      <c r="E21" s="12" t="s">
        <v>179</v>
      </c>
      <c r="F21" s="12" t="s">
        <v>184</v>
      </c>
      <c r="G21" s="13" t="s">
        <v>3293</v>
      </c>
      <c r="H21" s="12" t="s">
        <v>119</v>
      </c>
      <c r="I21" s="12" t="s">
        <v>134</v>
      </c>
      <c r="J21" s="14" t="s">
        <v>3282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1183</v>
      </c>
      <c r="B22" s="12" t="s">
        <v>94</v>
      </c>
      <c r="C22" s="12" t="s">
        <v>1246</v>
      </c>
      <c r="D22" s="13" t="s">
        <v>3311</v>
      </c>
      <c r="E22" s="12" t="s">
        <v>3023</v>
      </c>
      <c r="F22" s="12" t="s">
        <v>189</v>
      </c>
      <c r="G22" s="13" t="s">
        <v>3301</v>
      </c>
      <c r="H22" s="12" t="s">
        <v>117</v>
      </c>
      <c r="I22" s="12" t="s">
        <v>133</v>
      </c>
      <c r="J22" s="14" t="s">
        <v>3302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1185</v>
      </c>
      <c r="B23" s="12" t="s">
        <v>193</v>
      </c>
      <c r="C23" s="12" t="s">
        <v>3312</v>
      </c>
      <c r="D23" s="13" t="s">
        <v>3313</v>
      </c>
      <c r="E23" s="12" t="s">
        <v>3023</v>
      </c>
      <c r="F23" s="12" t="s">
        <v>195</v>
      </c>
      <c r="G23" s="13" t="s">
        <v>3309</v>
      </c>
      <c r="H23" s="12" t="s">
        <v>117</v>
      </c>
      <c r="I23" s="12" t="s">
        <v>133</v>
      </c>
      <c r="J23" s="14" t="s">
        <v>3302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1187</v>
      </c>
      <c r="B24" s="12" t="s">
        <v>2592</v>
      </c>
      <c r="C24" s="12" t="s">
        <v>3312</v>
      </c>
      <c r="D24" s="13" t="s">
        <v>3314</v>
      </c>
      <c r="E24" s="12" t="s">
        <v>3023</v>
      </c>
      <c r="F24" s="12" t="s">
        <v>189</v>
      </c>
      <c r="G24" s="13" t="s">
        <v>3301</v>
      </c>
      <c r="H24" s="12" t="s">
        <v>117</v>
      </c>
      <c r="I24" s="12" t="s">
        <v>133</v>
      </c>
      <c r="J24" s="14" t="s">
        <v>3302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3315</v>
      </c>
      <c r="B25" s="12" t="s">
        <v>1592</v>
      </c>
      <c r="C25" s="12" t="s">
        <v>3303</v>
      </c>
      <c r="D25" s="13" t="s">
        <v>3316</v>
      </c>
      <c r="E25" s="12" t="s">
        <v>3023</v>
      </c>
      <c r="F25" s="12" t="s">
        <v>195</v>
      </c>
      <c r="G25" s="13" t="s">
        <v>3309</v>
      </c>
      <c r="H25" s="12" t="s">
        <v>117</v>
      </c>
      <c r="I25" s="12" t="s">
        <v>133</v>
      </c>
      <c r="J25" s="14" t="s">
        <v>3302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3317</v>
      </c>
      <c r="B26" s="12" t="s">
        <v>2447</v>
      </c>
      <c r="C26" s="12" t="s">
        <v>78</v>
      </c>
      <c r="D26" s="13" t="s">
        <v>3318</v>
      </c>
      <c r="E26" s="12" t="s">
        <v>154</v>
      </c>
      <c r="F26" s="12" t="s">
        <v>213</v>
      </c>
      <c r="G26" s="13" t="s">
        <v>3319</v>
      </c>
      <c r="H26" s="12" t="s">
        <v>119</v>
      </c>
      <c r="I26" s="12" t="s">
        <v>134</v>
      </c>
      <c r="J26" s="14" t="s">
        <v>3282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3320</v>
      </c>
      <c r="B27" s="12" t="s">
        <v>220</v>
      </c>
      <c r="C27" s="12" t="s">
        <v>78</v>
      </c>
      <c r="D27" s="13" t="s">
        <v>3321</v>
      </c>
      <c r="E27" s="12" t="s">
        <v>222</v>
      </c>
      <c r="F27" s="12" t="s">
        <v>222</v>
      </c>
      <c r="G27" s="13" t="s">
        <v>3322</v>
      </c>
      <c r="H27" s="12" t="s">
        <v>119</v>
      </c>
      <c r="I27" s="12" t="s">
        <v>134</v>
      </c>
      <c r="J27" s="14" t="s">
        <v>3282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3323</v>
      </c>
      <c r="B28" s="12" t="s">
        <v>225</v>
      </c>
      <c r="C28" s="12" t="s">
        <v>78</v>
      </c>
      <c r="D28" s="13" t="s">
        <v>3324</v>
      </c>
      <c r="E28" s="12" t="s">
        <v>222</v>
      </c>
      <c r="F28" s="12" t="s">
        <v>154</v>
      </c>
      <c r="G28" s="13" t="s">
        <v>3325</v>
      </c>
      <c r="H28" s="12" t="s">
        <v>119</v>
      </c>
      <c r="I28" s="12" t="s">
        <v>134</v>
      </c>
      <c r="J28" s="14" t="s">
        <v>3282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3326</v>
      </c>
      <c r="B29" s="12" t="s">
        <v>207</v>
      </c>
      <c r="C29" s="12" t="s">
        <v>1246</v>
      </c>
      <c r="D29" s="13" t="s">
        <v>3327</v>
      </c>
      <c r="E29" s="12" t="s">
        <v>3023</v>
      </c>
      <c r="F29" s="12" t="s">
        <v>195</v>
      </c>
      <c r="G29" s="13" t="s">
        <v>3309</v>
      </c>
      <c r="H29" s="12" t="s">
        <v>117</v>
      </c>
      <c r="I29" s="12" t="s">
        <v>133</v>
      </c>
      <c r="J29" s="14" t="s">
        <v>3302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3328</v>
      </c>
      <c r="B30" s="12" t="s">
        <v>187</v>
      </c>
      <c r="C30" s="12" t="s">
        <v>1246</v>
      </c>
      <c r="D30" s="13" t="s">
        <v>3329</v>
      </c>
      <c r="E30" s="12" t="s">
        <v>3023</v>
      </c>
      <c r="F30" s="12" t="s">
        <v>189</v>
      </c>
      <c r="G30" s="13" t="s">
        <v>3301</v>
      </c>
      <c r="H30" s="12" t="s">
        <v>117</v>
      </c>
      <c r="I30" s="12" t="s">
        <v>133</v>
      </c>
      <c r="J30" s="14" t="s">
        <v>3302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3332</v>
      </c>
      <c r="B9" s="12" t="s">
        <v>151</v>
      </c>
      <c r="C9" s="12" t="s">
        <v>823</v>
      </c>
      <c r="D9" s="13" t="s">
        <v>3333</v>
      </c>
      <c r="E9" s="12" t="s">
        <v>154</v>
      </c>
      <c r="F9" s="12" t="s">
        <v>155</v>
      </c>
      <c r="G9" s="13" t="s">
        <v>3334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3335</v>
      </c>
      <c r="B10" s="12" t="s">
        <v>1404</v>
      </c>
      <c r="C10" s="12" t="s">
        <v>1246</v>
      </c>
      <c r="D10" s="13" t="s">
        <v>3336</v>
      </c>
      <c r="E10" s="12" t="s">
        <v>154</v>
      </c>
      <c r="F10" s="12" t="s">
        <v>174</v>
      </c>
      <c r="G10" s="13" t="s">
        <v>3337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3338</v>
      </c>
      <c r="B11" s="12" t="s">
        <v>158</v>
      </c>
      <c r="C11" s="12" t="s">
        <v>3339</v>
      </c>
      <c r="D11" s="13" t="s">
        <v>3340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3341</v>
      </c>
      <c r="B12" s="12" t="s">
        <v>162</v>
      </c>
      <c r="C12" s="12" t="s">
        <v>1451</v>
      </c>
      <c r="D12" s="13" t="s">
        <v>3286</v>
      </c>
      <c r="E12" s="12" t="s">
        <v>154</v>
      </c>
      <c r="F12" s="12" t="s">
        <v>164</v>
      </c>
      <c r="G12" s="13" t="s">
        <v>3342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3343</v>
      </c>
      <c r="B13" s="12" t="s">
        <v>167</v>
      </c>
      <c r="C13" s="12" t="s">
        <v>1246</v>
      </c>
      <c r="D13" s="13" t="s">
        <v>3344</v>
      </c>
      <c r="E13" s="12" t="s">
        <v>154</v>
      </c>
      <c r="F13" s="12" t="s">
        <v>169</v>
      </c>
      <c r="G13" s="13" t="s">
        <v>3345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3346</v>
      </c>
      <c r="B14" s="12" t="s">
        <v>3347</v>
      </c>
      <c r="C14" s="12" t="s">
        <v>3348</v>
      </c>
      <c r="D14" s="13" t="s">
        <v>3349</v>
      </c>
      <c r="E14" s="12" t="s">
        <v>179</v>
      </c>
      <c r="F14" s="12" t="s">
        <v>179</v>
      </c>
      <c r="G14" s="13" t="s">
        <v>3350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3351</v>
      </c>
      <c r="B15" s="12" t="s">
        <v>1470</v>
      </c>
      <c r="C15" s="12" t="s">
        <v>3297</v>
      </c>
      <c r="D15" s="13" t="s">
        <v>3352</v>
      </c>
      <c r="E15" s="12" t="s">
        <v>179</v>
      </c>
      <c r="F15" s="12" t="s">
        <v>179</v>
      </c>
      <c r="G15" s="13" t="s">
        <v>3350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3353</v>
      </c>
      <c r="B16" s="12" t="s">
        <v>1650</v>
      </c>
      <c r="C16" s="12" t="s">
        <v>1246</v>
      </c>
      <c r="D16" s="13" t="s">
        <v>3354</v>
      </c>
      <c r="E16" s="12" t="s">
        <v>3023</v>
      </c>
      <c r="F16" s="12" t="s">
        <v>189</v>
      </c>
      <c r="G16" s="13" t="s">
        <v>3355</v>
      </c>
      <c r="H16" s="12" t="s">
        <v>121</v>
      </c>
      <c r="I16" s="12" t="s">
        <v>133</v>
      </c>
      <c r="J16" s="14" t="s">
        <v>3356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3357</v>
      </c>
      <c r="B17" s="12" t="s">
        <v>1195</v>
      </c>
      <c r="C17" s="12" t="s">
        <v>823</v>
      </c>
      <c r="D17" s="13" t="s">
        <v>3358</v>
      </c>
      <c r="E17" s="12" t="s">
        <v>179</v>
      </c>
      <c r="F17" s="12" t="s">
        <v>179</v>
      </c>
      <c r="G17" s="13" t="s">
        <v>3350</v>
      </c>
      <c r="H17" s="12" t="s">
        <v>119</v>
      </c>
      <c r="I17" s="12" t="s">
        <v>134</v>
      </c>
      <c r="J17" s="14" t="s">
        <v>3282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3359</v>
      </c>
      <c r="B18" s="12" t="s">
        <v>182</v>
      </c>
      <c r="C18" s="12" t="s">
        <v>1246</v>
      </c>
      <c r="D18" s="13" t="s">
        <v>3360</v>
      </c>
      <c r="E18" s="12" t="s">
        <v>179</v>
      </c>
      <c r="F18" s="12" t="s">
        <v>184</v>
      </c>
      <c r="G18" s="13" t="s">
        <v>3350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3361</v>
      </c>
      <c r="B19" s="12" t="s">
        <v>94</v>
      </c>
      <c r="C19" s="12" t="s">
        <v>1246</v>
      </c>
      <c r="D19" s="13" t="s">
        <v>3362</v>
      </c>
      <c r="E19" s="12" t="s">
        <v>3023</v>
      </c>
      <c r="F19" s="12" t="s">
        <v>189</v>
      </c>
      <c r="G19" s="13" t="s">
        <v>3355</v>
      </c>
      <c r="H19" s="12" t="s">
        <v>121</v>
      </c>
      <c r="I19" s="12" t="s">
        <v>133</v>
      </c>
      <c r="J19" s="14" t="s">
        <v>3356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3363</v>
      </c>
      <c r="B20" s="12" t="s">
        <v>193</v>
      </c>
      <c r="C20" s="12" t="s">
        <v>823</v>
      </c>
      <c r="D20" s="13" t="s">
        <v>3364</v>
      </c>
      <c r="E20" s="12" t="s">
        <v>3023</v>
      </c>
      <c r="F20" s="12" t="s">
        <v>195</v>
      </c>
      <c r="G20" s="13" t="s">
        <v>3365</v>
      </c>
      <c r="H20" s="12" t="s">
        <v>117</v>
      </c>
      <c r="I20" s="12" t="s">
        <v>133</v>
      </c>
      <c r="J20" s="14" t="s">
        <v>3366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3367</v>
      </c>
      <c r="B21" s="12" t="s">
        <v>2592</v>
      </c>
      <c r="C21" s="12" t="s">
        <v>3368</v>
      </c>
      <c r="D21" s="13" t="s">
        <v>3369</v>
      </c>
      <c r="E21" s="12" t="s">
        <v>3023</v>
      </c>
      <c r="F21" s="12" t="s">
        <v>189</v>
      </c>
      <c r="G21" s="13" t="s">
        <v>3355</v>
      </c>
      <c r="H21" s="12" t="s">
        <v>121</v>
      </c>
      <c r="I21" s="12" t="s">
        <v>133</v>
      </c>
      <c r="J21" s="14" t="s">
        <v>3356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3370</v>
      </c>
      <c r="B22" s="12" t="s">
        <v>1592</v>
      </c>
      <c r="C22" s="12" t="s">
        <v>823</v>
      </c>
      <c r="D22" s="13" t="s">
        <v>3316</v>
      </c>
      <c r="E22" s="12" t="s">
        <v>3023</v>
      </c>
      <c r="F22" s="12" t="s">
        <v>195</v>
      </c>
      <c r="G22" s="13" t="s">
        <v>3365</v>
      </c>
      <c r="H22" s="12" t="s">
        <v>121</v>
      </c>
      <c r="I22" s="12" t="s">
        <v>133</v>
      </c>
      <c r="J22" s="14" t="s">
        <v>3356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3371</v>
      </c>
      <c r="B23" s="12" t="s">
        <v>2447</v>
      </c>
      <c r="C23" s="12" t="s">
        <v>3339</v>
      </c>
      <c r="D23" s="13" t="s">
        <v>3372</v>
      </c>
      <c r="E23" s="12" t="s">
        <v>154</v>
      </c>
      <c r="F23" s="12" t="s">
        <v>213</v>
      </c>
      <c r="G23" s="13" t="s">
        <v>3373</v>
      </c>
      <c r="H23" s="12" t="s">
        <v>119</v>
      </c>
      <c r="I23" s="12" t="s">
        <v>134</v>
      </c>
      <c r="J23" s="14" t="s">
        <v>3282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3374</v>
      </c>
      <c r="B24" s="12" t="s">
        <v>220</v>
      </c>
      <c r="C24" s="12" t="s">
        <v>3339</v>
      </c>
      <c r="D24" s="13" t="s">
        <v>3375</v>
      </c>
      <c r="E24" s="12" t="s">
        <v>222</v>
      </c>
      <c r="F24" s="12" t="s">
        <v>222</v>
      </c>
      <c r="G24" s="13" t="s">
        <v>3322</v>
      </c>
      <c r="H24" s="12" t="s">
        <v>119</v>
      </c>
      <c r="I24" s="12" t="s">
        <v>134</v>
      </c>
      <c r="J24" s="14" t="s">
        <v>3376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3377</v>
      </c>
      <c r="B25" s="12" t="s">
        <v>225</v>
      </c>
      <c r="C25" s="12" t="s">
        <v>3339</v>
      </c>
      <c r="D25" s="13" t="s">
        <v>3324</v>
      </c>
      <c r="E25" s="12" t="s">
        <v>222</v>
      </c>
      <c r="F25" s="12" t="s">
        <v>154</v>
      </c>
      <c r="G25" s="13" t="s">
        <v>3325</v>
      </c>
      <c r="H25" s="12" t="s">
        <v>119</v>
      </c>
      <c r="I25" s="12" t="s">
        <v>134</v>
      </c>
      <c r="J25" s="14" t="s">
        <v>3376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3378</v>
      </c>
      <c r="B26" s="12" t="s">
        <v>207</v>
      </c>
      <c r="C26" s="12" t="s">
        <v>1246</v>
      </c>
      <c r="D26" s="13" t="s">
        <v>3379</v>
      </c>
      <c r="E26" s="12" t="s">
        <v>3023</v>
      </c>
      <c r="F26" s="12" t="s">
        <v>195</v>
      </c>
      <c r="G26" s="13" t="s">
        <v>3365</v>
      </c>
      <c r="H26" s="12" t="s">
        <v>117</v>
      </c>
      <c r="I26" s="12" t="s">
        <v>133</v>
      </c>
      <c r="J26" s="14" t="s">
        <v>3366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3380</v>
      </c>
      <c r="B27" s="12" t="s">
        <v>187</v>
      </c>
      <c r="C27" s="12" t="s">
        <v>1246</v>
      </c>
      <c r="D27" s="13" t="s">
        <v>3381</v>
      </c>
      <c r="E27" s="12" t="s">
        <v>3023</v>
      </c>
      <c r="F27" s="12" t="s">
        <v>189</v>
      </c>
      <c r="G27" s="13" t="s">
        <v>3355</v>
      </c>
      <c r="H27" s="12" t="s">
        <v>121</v>
      </c>
      <c r="I27" s="12" t="s">
        <v>133</v>
      </c>
      <c r="J27" s="14" t="s">
        <v>3356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3384</v>
      </c>
      <c r="B9" s="12" t="s">
        <v>151</v>
      </c>
      <c r="C9" s="12" t="s">
        <v>823</v>
      </c>
      <c r="D9" s="13" t="s">
        <v>3385</v>
      </c>
      <c r="E9" s="12" t="s">
        <v>154</v>
      </c>
      <c r="F9" s="12" t="s">
        <v>155</v>
      </c>
      <c r="G9" s="13" t="s">
        <v>3386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3387</v>
      </c>
      <c r="B10" s="12" t="s">
        <v>1404</v>
      </c>
      <c r="C10" s="12" t="s">
        <v>1246</v>
      </c>
      <c r="D10" s="13" t="s">
        <v>3388</v>
      </c>
      <c r="E10" s="12" t="s">
        <v>154</v>
      </c>
      <c r="F10" s="12" t="s">
        <v>174</v>
      </c>
      <c r="G10" s="13" t="s">
        <v>3389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3390</v>
      </c>
      <c r="B11" s="12" t="s">
        <v>158</v>
      </c>
      <c r="C11" s="12" t="s">
        <v>3391</v>
      </c>
      <c r="D11" s="13" t="s">
        <v>3392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3393</v>
      </c>
      <c r="B12" s="12" t="s">
        <v>162</v>
      </c>
      <c r="C12" s="12" t="s">
        <v>1451</v>
      </c>
      <c r="D12" s="13" t="s">
        <v>3394</v>
      </c>
      <c r="E12" s="12" t="s">
        <v>154</v>
      </c>
      <c r="F12" s="12" t="s">
        <v>164</v>
      </c>
      <c r="G12" s="13" t="s">
        <v>3395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3396</v>
      </c>
      <c r="B13" s="12" t="s">
        <v>167</v>
      </c>
      <c r="C13" s="12" t="s">
        <v>3397</v>
      </c>
      <c r="D13" s="13" t="s">
        <v>3398</v>
      </c>
      <c r="E13" s="12" t="s">
        <v>154</v>
      </c>
      <c r="F13" s="12" t="s">
        <v>169</v>
      </c>
      <c r="G13" s="13" t="s">
        <v>3399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3400</v>
      </c>
      <c r="B14" s="12" t="s">
        <v>3401</v>
      </c>
      <c r="C14" s="12" t="s">
        <v>3402</v>
      </c>
      <c r="D14" s="13" t="s">
        <v>3403</v>
      </c>
      <c r="E14" s="12" t="s">
        <v>179</v>
      </c>
      <c r="F14" s="12" t="s">
        <v>179</v>
      </c>
      <c r="G14" s="13" t="s">
        <v>3404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3405</v>
      </c>
      <c r="B15" s="12" t="s">
        <v>1470</v>
      </c>
      <c r="C15" s="12" t="s">
        <v>3297</v>
      </c>
      <c r="D15" s="13" t="s">
        <v>3406</v>
      </c>
      <c r="E15" s="12" t="s">
        <v>179</v>
      </c>
      <c r="F15" s="12" t="s">
        <v>179</v>
      </c>
      <c r="G15" s="13" t="s">
        <v>3404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3407</v>
      </c>
      <c r="B16" s="12" t="s">
        <v>2645</v>
      </c>
      <c r="C16" s="12" t="s">
        <v>32</v>
      </c>
      <c r="D16" s="13" t="s">
        <v>3408</v>
      </c>
      <c r="E16" s="12" t="s">
        <v>179</v>
      </c>
      <c r="F16" s="12" t="s">
        <v>179</v>
      </c>
      <c r="G16" s="13" t="s">
        <v>3404</v>
      </c>
      <c r="H16" s="12" t="s">
        <v>119</v>
      </c>
      <c r="I16" s="12" t="s">
        <v>134</v>
      </c>
      <c r="J16" s="14" t="s">
        <v>3282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3409</v>
      </c>
      <c r="B17" s="12" t="s">
        <v>1650</v>
      </c>
      <c r="C17" s="12" t="s">
        <v>1246</v>
      </c>
      <c r="D17" s="13" t="s">
        <v>3410</v>
      </c>
      <c r="E17" s="12" t="s">
        <v>3023</v>
      </c>
      <c r="F17" s="12" t="s">
        <v>189</v>
      </c>
      <c r="G17" s="13" t="s">
        <v>3411</v>
      </c>
      <c r="H17" s="12" t="s">
        <v>121</v>
      </c>
      <c r="I17" s="12" t="s">
        <v>133</v>
      </c>
      <c r="J17" s="14" t="s">
        <v>3356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3412</v>
      </c>
      <c r="B18" s="12" t="s">
        <v>1195</v>
      </c>
      <c r="C18" s="12" t="s">
        <v>3413</v>
      </c>
      <c r="D18" s="13" t="s">
        <v>3414</v>
      </c>
      <c r="E18" s="12" t="s">
        <v>179</v>
      </c>
      <c r="F18" s="12" t="s">
        <v>179</v>
      </c>
      <c r="G18" s="13" t="s">
        <v>3404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3415</v>
      </c>
      <c r="B19" s="12" t="s">
        <v>182</v>
      </c>
      <c r="C19" s="12" t="s">
        <v>3297</v>
      </c>
      <c r="D19" s="13" t="s">
        <v>3416</v>
      </c>
      <c r="E19" s="12" t="s">
        <v>179</v>
      </c>
      <c r="F19" s="12" t="s">
        <v>184</v>
      </c>
      <c r="G19" s="13" t="s">
        <v>3404</v>
      </c>
      <c r="H19" s="12" t="s">
        <v>119</v>
      </c>
      <c r="I19" s="12" t="s">
        <v>134</v>
      </c>
      <c r="J19" s="14" t="s">
        <v>3282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3417</v>
      </c>
      <c r="B20" s="12" t="s">
        <v>94</v>
      </c>
      <c r="C20" s="12" t="s">
        <v>1246</v>
      </c>
      <c r="D20" s="13" t="s">
        <v>3362</v>
      </c>
      <c r="E20" s="12" t="s">
        <v>3023</v>
      </c>
      <c r="F20" s="12" t="s">
        <v>189</v>
      </c>
      <c r="G20" s="13" t="s">
        <v>3411</v>
      </c>
      <c r="H20" s="12" t="s">
        <v>121</v>
      </c>
      <c r="I20" s="12" t="s">
        <v>133</v>
      </c>
      <c r="J20" s="14" t="s">
        <v>3356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3418</v>
      </c>
      <c r="B21" s="12" t="s">
        <v>193</v>
      </c>
      <c r="C21" s="12" t="s">
        <v>98</v>
      </c>
      <c r="D21" s="13" t="s">
        <v>3419</v>
      </c>
      <c r="E21" s="12" t="s">
        <v>3023</v>
      </c>
      <c r="F21" s="12" t="s">
        <v>195</v>
      </c>
      <c r="G21" s="13" t="s">
        <v>3420</v>
      </c>
      <c r="H21" s="12" t="s">
        <v>117</v>
      </c>
      <c r="I21" s="12" t="s">
        <v>133</v>
      </c>
      <c r="J21" s="14" t="s">
        <v>3366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3421</v>
      </c>
      <c r="B22" s="12" t="s">
        <v>2592</v>
      </c>
      <c r="C22" s="12" t="s">
        <v>98</v>
      </c>
      <c r="D22" s="13" t="s">
        <v>3422</v>
      </c>
      <c r="E22" s="12" t="s">
        <v>3023</v>
      </c>
      <c r="F22" s="12" t="s">
        <v>189</v>
      </c>
      <c r="G22" s="13" t="s">
        <v>3411</v>
      </c>
      <c r="H22" s="12" t="s">
        <v>121</v>
      </c>
      <c r="I22" s="12" t="s">
        <v>133</v>
      </c>
      <c r="J22" s="14" t="s">
        <v>3356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3423</v>
      </c>
      <c r="B23" s="12" t="s">
        <v>1592</v>
      </c>
      <c r="C23" s="12" t="s">
        <v>32</v>
      </c>
      <c r="D23" s="13" t="s">
        <v>3424</v>
      </c>
      <c r="E23" s="12" t="s">
        <v>3023</v>
      </c>
      <c r="F23" s="12" t="s">
        <v>195</v>
      </c>
      <c r="G23" s="13" t="s">
        <v>3420</v>
      </c>
      <c r="H23" s="12" t="s">
        <v>121</v>
      </c>
      <c r="I23" s="12" t="s">
        <v>133</v>
      </c>
      <c r="J23" s="14" t="s">
        <v>3356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3425</v>
      </c>
      <c r="B24" s="12" t="s">
        <v>2447</v>
      </c>
      <c r="C24" s="12" t="s">
        <v>3391</v>
      </c>
      <c r="D24" s="13" t="s">
        <v>3372</v>
      </c>
      <c r="E24" s="12" t="s">
        <v>154</v>
      </c>
      <c r="F24" s="12" t="s">
        <v>213</v>
      </c>
      <c r="G24" s="13" t="s">
        <v>3426</v>
      </c>
      <c r="H24" s="12" t="s">
        <v>119</v>
      </c>
      <c r="I24" s="12" t="s">
        <v>134</v>
      </c>
      <c r="J24" s="14" t="s">
        <v>3282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3427</v>
      </c>
      <c r="B25" s="12" t="s">
        <v>220</v>
      </c>
      <c r="C25" s="12" t="s">
        <v>3391</v>
      </c>
      <c r="D25" s="13" t="s">
        <v>3428</v>
      </c>
      <c r="E25" s="12" t="s">
        <v>222</v>
      </c>
      <c r="F25" s="12" t="s">
        <v>222</v>
      </c>
      <c r="G25" s="13" t="s">
        <v>3322</v>
      </c>
      <c r="H25" s="12" t="s">
        <v>119</v>
      </c>
      <c r="I25" s="12" t="s">
        <v>134</v>
      </c>
      <c r="J25" s="14" t="s">
        <v>3376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3429</v>
      </c>
      <c r="B26" s="12" t="s">
        <v>225</v>
      </c>
      <c r="C26" s="12" t="s">
        <v>3391</v>
      </c>
      <c r="D26" s="13" t="s">
        <v>3324</v>
      </c>
      <c r="E26" s="12" t="s">
        <v>222</v>
      </c>
      <c r="F26" s="12" t="s">
        <v>154</v>
      </c>
      <c r="G26" s="13" t="s">
        <v>3325</v>
      </c>
      <c r="H26" s="12" t="s">
        <v>119</v>
      </c>
      <c r="I26" s="12" t="s">
        <v>134</v>
      </c>
      <c r="J26" s="14" t="s">
        <v>3376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3430</v>
      </c>
      <c r="B27" s="12" t="s">
        <v>207</v>
      </c>
      <c r="C27" s="12" t="s">
        <v>1246</v>
      </c>
      <c r="D27" s="13" t="s">
        <v>3431</v>
      </c>
      <c r="E27" s="12" t="s">
        <v>3023</v>
      </c>
      <c r="F27" s="12" t="s">
        <v>195</v>
      </c>
      <c r="G27" s="13" t="s">
        <v>3420</v>
      </c>
      <c r="H27" s="12" t="s">
        <v>117</v>
      </c>
      <c r="I27" s="12" t="s">
        <v>133</v>
      </c>
      <c r="J27" s="14" t="s">
        <v>3366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3432</v>
      </c>
      <c r="B28" s="12" t="s">
        <v>187</v>
      </c>
      <c r="C28" s="12" t="s">
        <v>1246</v>
      </c>
      <c r="D28" s="13" t="s">
        <v>3381</v>
      </c>
      <c r="E28" s="12" t="s">
        <v>3023</v>
      </c>
      <c r="F28" s="12" t="s">
        <v>189</v>
      </c>
      <c r="G28" s="13" t="s">
        <v>3411</v>
      </c>
      <c r="H28" s="12" t="s">
        <v>121</v>
      </c>
      <c r="I28" s="12" t="s">
        <v>133</v>
      </c>
      <c r="J28" s="14" t="s">
        <v>3356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3435</v>
      </c>
      <c r="B9" s="12" t="s">
        <v>151</v>
      </c>
      <c r="C9" s="12" t="s">
        <v>823</v>
      </c>
      <c r="D9" s="13" t="s">
        <v>3436</v>
      </c>
      <c r="E9" s="12" t="s">
        <v>154</v>
      </c>
      <c r="F9" s="12" t="s">
        <v>155</v>
      </c>
      <c r="G9" s="13" t="s">
        <v>3437</v>
      </c>
      <c r="H9" s="12" t="s">
        <v>119</v>
      </c>
      <c r="I9" s="12" t="s">
        <v>134</v>
      </c>
      <c r="J9" s="14" t="s">
        <v>3282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3438</v>
      </c>
      <c r="B10" s="12" t="s">
        <v>1404</v>
      </c>
      <c r="C10" s="12" t="s">
        <v>1246</v>
      </c>
      <c r="D10" s="13" t="s">
        <v>3439</v>
      </c>
      <c r="E10" s="12" t="s">
        <v>154</v>
      </c>
      <c r="F10" s="12" t="s">
        <v>174</v>
      </c>
      <c r="G10" s="13" t="s">
        <v>3440</v>
      </c>
      <c r="H10" s="12" t="s">
        <v>119</v>
      </c>
      <c r="I10" s="12" t="s">
        <v>134</v>
      </c>
      <c r="J10" s="14" t="s">
        <v>3282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3441</v>
      </c>
      <c r="B11" s="12" t="s">
        <v>158</v>
      </c>
      <c r="C11" s="12" t="s">
        <v>3442</v>
      </c>
      <c r="D11" s="13" t="s">
        <v>3443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s">
        <v>3282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3444</v>
      </c>
      <c r="B12" s="12" t="s">
        <v>162</v>
      </c>
      <c r="C12" s="12" t="s">
        <v>1451</v>
      </c>
      <c r="D12" s="13" t="s">
        <v>3445</v>
      </c>
      <c r="E12" s="12" t="s">
        <v>154</v>
      </c>
      <c r="F12" s="12" t="s">
        <v>164</v>
      </c>
      <c r="G12" s="13" t="s">
        <v>3446</v>
      </c>
      <c r="H12" s="12" t="s">
        <v>119</v>
      </c>
      <c r="I12" s="12" t="s">
        <v>134</v>
      </c>
      <c r="J12" s="14" t="s">
        <v>3282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3447</v>
      </c>
      <c r="B13" s="12" t="s">
        <v>167</v>
      </c>
      <c r="C13" s="12" t="s">
        <v>1246</v>
      </c>
      <c r="D13" s="13" t="s">
        <v>3448</v>
      </c>
      <c r="E13" s="12" t="s">
        <v>154</v>
      </c>
      <c r="F13" s="12" t="s">
        <v>169</v>
      </c>
      <c r="G13" s="13" t="s">
        <v>3449</v>
      </c>
      <c r="H13" s="12" t="s">
        <v>119</v>
      </c>
      <c r="I13" s="12" t="s">
        <v>134</v>
      </c>
      <c r="J13" s="14" t="s">
        <v>3282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3450</v>
      </c>
      <c r="B14" s="12" t="s">
        <v>3451</v>
      </c>
      <c r="C14" s="12" t="s">
        <v>3452</v>
      </c>
      <c r="D14" s="13" t="s">
        <v>3453</v>
      </c>
      <c r="E14" s="12" t="s">
        <v>179</v>
      </c>
      <c r="F14" s="12" t="s">
        <v>179</v>
      </c>
      <c r="G14" s="13" t="s">
        <v>3454</v>
      </c>
      <c r="H14" s="12" t="s">
        <v>119</v>
      </c>
      <c r="I14" s="12" t="s">
        <v>134</v>
      </c>
      <c r="J14" s="14" t="s">
        <v>3282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3455</v>
      </c>
      <c r="B15" s="12" t="s">
        <v>1470</v>
      </c>
      <c r="C15" s="12" t="s">
        <v>3297</v>
      </c>
      <c r="D15" s="13" t="s">
        <v>3456</v>
      </c>
      <c r="E15" s="12" t="s">
        <v>179</v>
      </c>
      <c r="F15" s="12" t="s">
        <v>179</v>
      </c>
      <c r="G15" s="13" t="s">
        <v>3454</v>
      </c>
      <c r="H15" s="12" t="s">
        <v>119</v>
      </c>
      <c r="I15" s="12" t="s">
        <v>134</v>
      </c>
      <c r="J15" s="14" t="s">
        <v>3282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3457</v>
      </c>
      <c r="B16" s="12" t="s">
        <v>2645</v>
      </c>
      <c r="C16" s="12" t="s">
        <v>36</v>
      </c>
      <c r="D16" s="13" t="s">
        <v>3458</v>
      </c>
      <c r="E16" s="12" t="s">
        <v>179</v>
      </c>
      <c r="F16" s="12" t="s">
        <v>179</v>
      </c>
      <c r="G16" s="13" t="s">
        <v>3454</v>
      </c>
      <c r="H16" s="12" t="s">
        <v>119</v>
      </c>
      <c r="I16" s="12" t="s">
        <v>134</v>
      </c>
      <c r="J16" s="14" t="s">
        <v>3282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3459</v>
      </c>
      <c r="B17" s="12" t="s">
        <v>1650</v>
      </c>
      <c r="C17" s="12" t="s">
        <v>1246</v>
      </c>
      <c r="D17" s="13" t="s">
        <v>3460</v>
      </c>
      <c r="E17" s="12" t="s">
        <v>3023</v>
      </c>
      <c r="F17" s="12" t="s">
        <v>189</v>
      </c>
      <c r="G17" s="13" t="s">
        <v>3461</v>
      </c>
      <c r="H17" s="12" t="s">
        <v>121</v>
      </c>
      <c r="I17" s="12" t="s">
        <v>133</v>
      </c>
      <c r="J17" s="14" t="s">
        <v>3356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3462</v>
      </c>
      <c r="B18" s="12" t="s">
        <v>1195</v>
      </c>
      <c r="C18" s="12" t="s">
        <v>823</v>
      </c>
      <c r="D18" s="13" t="s">
        <v>3358</v>
      </c>
      <c r="E18" s="12" t="s">
        <v>179</v>
      </c>
      <c r="F18" s="12" t="s">
        <v>179</v>
      </c>
      <c r="G18" s="13" t="s">
        <v>3454</v>
      </c>
      <c r="H18" s="12" t="s">
        <v>119</v>
      </c>
      <c r="I18" s="12" t="s">
        <v>134</v>
      </c>
      <c r="J18" s="14" t="s">
        <v>3282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3463</v>
      </c>
      <c r="B19" s="12" t="s">
        <v>182</v>
      </c>
      <c r="C19" s="12" t="s">
        <v>3464</v>
      </c>
      <c r="D19" s="13" t="s">
        <v>3465</v>
      </c>
      <c r="E19" s="12" t="s">
        <v>179</v>
      </c>
      <c r="F19" s="12" t="s">
        <v>184</v>
      </c>
      <c r="G19" s="13" t="s">
        <v>3454</v>
      </c>
      <c r="H19" s="12" t="s">
        <v>119</v>
      </c>
      <c r="I19" s="12" t="s">
        <v>134</v>
      </c>
      <c r="J19" s="14" t="s">
        <v>3282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3466</v>
      </c>
      <c r="B20" s="12" t="s">
        <v>94</v>
      </c>
      <c r="C20" s="12" t="s">
        <v>1246</v>
      </c>
      <c r="D20" s="13" t="s">
        <v>3362</v>
      </c>
      <c r="E20" s="12" t="s">
        <v>3023</v>
      </c>
      <c r="F20" s="12" t="s">
        <v>189</v>
      </c>
      <c r="G20" s="13" t="s">
        <v>3461</v>
      </c>
      <c r="H20" s="12" t="s">
        <v>121</v>
      </c>
      <c r="I20" s="12" t="s">
        <v>133</v>
      </c>
      <c r="J20" s="14" t="s">
        <v>3356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3467</v>
      </c>
      <c r="B21" s="12" t="s">
        <v>193</v>
      </c>
      <c r="C21" s="12" t="s">
        <v>823</v>
      </c>
      <c r="D21" s="13" t="s">
        <v>3468</v>
      </c>
      <c r="E21" s="12" t="s">
        <v>3023</v>
      </c>
      <c r="F21" s="12" t="s">
        <v>195</v>
      </c>
      <c r="G21" s="13" t="s">
        <v>3469</v>
      </c>
      <c r="H21" s="12" t="s">
        <v>117</v>
      </c>
      <c r="I21" s="12" t="s">
        <v>133</v>
      </c>
      <c r="J21" s="14" t="s">
        <v>3366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3470</v>
      </c>
      <c r="B22" s="12" t="s">
        <v>2592</v>
      </c>
      <c r="C22" s="12" t="s">
        <v>3471</v>
      </c>
      <c r="D22" s="13" t="s">
        <v>3472</v>
      </c>
      <c r="E22" s="12" t="s">
        <v>3023</v>
      </c>
      <c r="F22" s="12" t="s">
        <v>189</v>
      </c>
      <c r="G22" s="13" t="s">
        <v>3461</v>
      </c>
      <c r="H22" s="12" t="s">
        <v>121</v>
      </c>
      <c r="I22" s="12" t="s">
        <v>133</v>
      </c>
      <c r="J22" s="14" t="s">
        <v>3356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3473</v>
      </c>
      <c r="B23" s="12" t="s">
        <v>1592</v>
      </c>
      <c r="C23" s="12" t="s">
        <v>823</v>
      </c>
      <c r="D23" s="13" t="s">
        <v>3474</v>
      </c>
      <c r="E23" s="12" t="s">
        <v>3023</v>
      </c>
      <c r="F23" s="12" t="s">
        <v>195</v>
      </c>
      <c r="G23" s="13" t="s">
        <v>3469</v>
      </c>
      <c r="H23" s="12" t="s">
        <v>121</v>
      </c>
      <c r="I23" s="12" t="s">
        <v>133</v>
      </c>
      <c r="J23" s="14" t="s">
        <v>3356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3475</v>
      </c>
      <c r="B24" s="12" t="s">
        <v>2447</v>
      </c>
      <c r="C24" s="12" t="s">
        <v>3442</v>
      </c>
      <c r="D24" s="13" t="s">
        <v>3372</v>
      </c>
      <c r="E24" s="12" t="s">
        <v>154</v>
      </c>
      <c r="F24" s="12" t="s">
        <v>213</v>
      </c>
      <c r="G24" s="13" t="s">
        <v>3476</v>
      </c>
      <c r="H24" s="12" t="s">
        <v>119</v>
      </c>
      <c r="I24" s="12" t="s">
        <v>134</v>
      </c>
      <c r="J24" s="14" t="s">
        <v>3282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3477</v>
      </c>
      <c r="B25" s="12" t="s">
        <v>220</v>
      </c>
      <c r="C25" s="12" t="s">
        <v>3442</v>
      </c>
      <c r="D25" s="13" t="s">
        <v>3478</v>
      </c>
      <c r="E25" s="12" t="s">
        <v>222</v>
      </c>
      <c r="F25" s="12" t="s">
        <v>222</v>
      </c>
      <c r="G25" s="13" t="s">
        <v>3322</v>
      </c>
      <c r="H25" s="12" t="s">
        <v>119</v>
      </c>
      <c r="I25" s="12" t="s">
        <v>134</v>
      </c>
      <c r="J25" s="14" t="s">
        <v>3376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3479</v>
      </c>
      <c r="B26" s="12" t="s">
        <v>225</v>
      </c>
      <c r="C26" s="12" t="s">
        <v>3442</v>
      </c>
      <c r="D26" s="13" t="s">
        <v>3324</v>
      </c>
      <c r="E26" s="12" t="s">
        <v>222</v>
      </c>
      <c r="F26" s="12" t="s">
        <v>154</v>
      </c>
      <c r="G26" s="13" t="s">
        <v>3325</v>
      </c>
      <c r="H26" s="12" t="s">
        <v>119</v>
      </c>
      <c r="I26" s="12" t="s">
        <v>134</v>
      </c>
      <c r="J26" s="14" t="s">
        <v>3376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3480</v>
      </c>
      <c r="B27" s="12" t="s">
        <v>207</v>
      </c>
      <c r="C27" s="12" t="s">
        <v>1246</v>
      </c>
      <c r="D27" s="13" t="s">
        <v>3481</v>
      </c>
      <c r="E27" s="12" t="s">
        <v>3023</v>
      </c>
      <c r="F27" s="12" t="s">
        <v>195</v>
      </c>
      <c r="G27" s="13" t="s">
        <v>3469</v>
      </c>
      <c r="H27" s="12" t="s">
        <v>117</v>
      </c>
      <c r="I27" s="12" t="s">
        <v>133</v>
      </c>
      <c r="J27" s="14" t="s">
        <v>3366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3482</v>
      </c>
      <c r="B28" s="12" t="s">
        <v>187</v>
      </c>
      <c r="C28" s="12" t="s">
        <v>1246</v>
      </c>
      <c r="D28" s="13" t="s">
        <v>3381</v>
      </c>
      <c r="E28" s="12" t="s">
        <v>3023</v>
      </c>
      <c r="F28" s="12" t="s">
        <v>189</v>
      </c>
      <c r="G28" s="13" t="s">
        <v>3461</v>
      </c>
      <c r="H28" s="12" t="s">
        <v>121</v>
      </c>
      <c r="I28" s="12" t="s">
        <v>133</v>
      </c>
      <c r="J28" s="14" t="s">
        <v>3356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3484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3485</v>
      </c>
      <c r="B9" s="12" t="s">
        <v>151</v>
      </c>
      <c r="C9" s="12" t="s">
        <v>1451</v>
      </c>
      <c r="D9" s="13" t="s">
        <v>3486</v>
      </c>
      <c r="E9" s="12" t="s">
        <v>154</v>
      </c>
      <c r="F9" s="12" t="s">
        <v>155</v>
      </c>
      <c r="G9" s="13" t="s">
        <v>3487</v>
      </c>
      <c r="H9" s="12" t="s">
        <v>119</v>
      </c>
      <c r="I9" s="12" t="s">
        <v>134</v>
      </c>
      <c r="J9" s="14" t="s">
        <v>3488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3489</v>
      </c>
      <c r="B10" s="12" t="s">
        <v>1404</v>
      </c>
      <c r="C10" s="12" t="s">
        <v>1246</v>
      </c>
      <c r="D10" s="13" t="s">
        <v>3490</v>
      </c>
      <c r="E10" s="12" t="s">
        <v>154</v>
      </c>
      <c r="F10" s="12" t="s">
        <v>174</v>
      </c>
      <c r="G10" s="13" t="s">
        <v>3491</v>
      </c>
      <c r="H10" s="12" t="s">
        <v>119</v>
      </c>
      <c r="I10" s="12" t="s">
        <v>134</v>
      </c>
      <c r="J10" s="14" t="s">
        <v>3492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3493</v>
      </c>
      <c r="B11" s="12" t="s">
        <v>158</v>
      </c>
      <c r="C11" s="12" t="s">
        <v>82</v>
      </c>
      <c r="D11" s="13" t="s">
        <v>3494</v>
      </c>
      <c r="E11" s="12" t="s">
        <v>154</v>
      </c>
      <c r="F11" s="12" t="s">
        <v>154</v>
      </c>
      <c r="G11" s="13" t="s">
        <v>3495</v>
      </c>
      <c r="H11" s="12" t="s">
        <v>119</v>
      </c>
      <c r="I11" s="12" t="s">
        <v>134</v>
      </c>
      <c r="J11" s="14" t="s">
        <v>3496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3497</v>
      </c>
      <c r="B12" s="12" t="s">
        <v>162</v>
      </c>
      <c r="C12" s="12" t="s">
        <v>1451</v>
      </c>
      <c r="D12" s="13" t="s">
        <v>3498</v>
      </c>
      <c r="E12" s="12" t="s">
        <v>154</v>
      </c>
      <c r="F12" s="12" t="s">
        <v>164</v>
      </c>
      <c r="G12" s="13" t="s">
        <v>3499</v>
      </c>
      <c r="H12" s="12" t="s">
        <v>119</v>
      </c>
      <c r="I12" s="12" t="s">
        <v>134</v>
      </c>
      <c r="J12" s="14" t="s">
        <v>3500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3501</v>
      </c>
      <c r="B13" s="12" t="s">
        <v>167</v>
      </c>
      <c r="C13" s="12" t="s">
        <v>1246</v>
      </c>
      <c r="D13" s="13" t="s">
        <v>3502</v>
      </c>
      <c r="E13" s="12" t="s">
        <v>154</v>
      </c>
      <c r="F13" s="12" t="s">
        <v>169</v>
      </c>
      <c r="G13" s="13" t="s">
        <v>3503</v>
      </c>
      <c r="H13" s="12" t="s">
        <v>119</v>
      </c>
      <c r="I13" s="12" t="s">
        <v>134</v>
      </c>
      <c r="J13" s="14" t="s">
        <v>3504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3505</v>
      </c>
      <c r="B14" s="12" t="s">
        <v>3506</v>
      </c>
      <c r="C14" s="12" t="s">
        <v>1682</v>
      </c>
      <c r="D14" s="13" t="s">
        <v>3507</v>
      </c>
      <c r="E14" s="12" t="s">
        <v>179</v>
      </c>
      <c r="F14" s="12" t="s">
        <v>179</v>
      </c>
      <c r="G14" s="13" t="s">
        <v>3508</v>
      </c>
      <c r="H14" s="12" t="s">
        <v>119</v>
      </c>
      <c r="I14" s="12" t="s">
        <v>134</v>
      </c>
      <c r="J14" s="14" t="s">
        <v>3509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3510</v>
      </c>
      <c r="B15" s="12" t="s">
        <v>32</v>
      </c>
      <c r="C15" s="12" t="s">
        <v>3511</v>
      </c>
      <c r="D15" s="13" t="s">
        <v>3512</v>
      </c>
      <c r="E15" s="12" t="s">
        <v>179</v>
      </c>
      <c r="F15" s="12" t="s">
        <v>179</v>
      </c>
      <c r="G15" s="13" t="s">
        <v>3508</v>
      </c>
      <c r="H15" s="12" t="s">
        <v>119</v>
      </c>
      <c r="I15" s="12" t="s">
        <v>134</v>
      </c>
      <c r="J15" s="14" t="s">
        <v>3513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3514</v>
      </c>
      <c r="B16" s="12" t="s">
        <v>3515</v>
      </c>
      <c r="C16" s="12" t="s">
        <v>823</v>
      </c>
      <c r="D16" s="13" t="s">
        <v>3516</v>
      </c>
      <c r="E16" s="12" t="s">
        <v>154</v>
      </c>
      <c r="F16" s="12" t="s">
        <v>174</v>
      </c>
      <c r="G16" s="13" t="s">
        <v>3491</v>
      </c>
      <c r="H16" s="12" t="s">
        <v>119</v>
      </c>
      <c r="I16" s="12" t="s">
        <v>134</v>
      </c>
      <c r="J16" s="14" t="s">
        <v>3517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3518</v>
      </c>
      <c r="B17" s="12" t="s">
        <v>1195</v>
      </c>
      <c r="C17" s="12" t="s">
        <v>823</v>
      </c>
      <c r="D17" s="13" t="s">
        <v>3519</v>
      </c>
      <c r="E17" s="12" t="s">
        <v>179</v>
      </c>
      <c r="F17" s="12" t="s">
        <v>179</v>
      </c>
      <c r="G17" s="13" t="s">
        <v>3508</v>
      </c>
      <c r="H17" s="12" t="s">
        <v>119</v>
      </c>
      <c r="I17" s="12" t="s">
        <v>134</v>
      </c>
      <c r="J17" s="14" t="s">
        <v>3520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3521</v>
      </c>
      <c r="B18" s="12" t="s">
        <v>1148</v>
      </c>
      <c r="C18" s="12" t="s">
        <v>3522</v>
      </c>
      <c r="D18" s="13" t="s">
        <v>3523</v>
      </c>
      <c r="E18" s="12" t="s">
        <v>154</v>
      </c>
      <c r="F18" s="12" t="s">
        <v>174</v>
      </c>
      <c r="G18" s="13" t="s">
        <v>3491</v>
      </c>
      <c r="H18" s="12" t="s">
        <v>119</v>
      </c>
      <c r="I18" s="12" t="s">
        <v>134</v>
      </c>
      <c r="J18" s="14" t="s">
        <v>3524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3525</v>
      </c>
      <c r="B19" s="12" t="s">
        <v>94</v>
      </c>
      <c r="C19" s="12" t="s">
        <v>1246</v>
      </c>
      <c r="D19" s="13" t="s">
        <v>3526</v>
      </c>
      <c r="E19" s="12" t="s">
        <v>3023</v>
      </c>
      <c r="F19" s="12" t="s">
        <v>189</v>
      </c>
      <c r="G19" s="13" t="s">
        <v>3527</v>
      </c>
      <c r="H19" s="12" t="s">
        <v>121</v>
      </c>
      <c r="I19" s="12" t="s">
        <v>133</v>
      </c>
      <c r="J19" s="14" t="s">
        <v>3528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3529</v>
      </c>
      <c r="B20" s="12" t="s">
        <v>193</v>
      </c>
      <c r="C20" s="12" t="s">
        <v>3530</v>
      </c>
      <c r="D20" s="13" t="s">
        <v>3531</v>
      </c>
      <c r="E20" s="12" t="s">
        <v>3023</v>
      </c>
      <c r="F20" s="12" t="s">
        <v>189</v>
      </c>
      <c r="G20" s="13" t="s">
        <v>3527</v>
      </c>
      <c r="H20" s="12" t="s">
        <v>121</v>
      </c>
      <c r="I20" s="12" t="s">
        <v>133</v>
      </c>
      <c r="J20" s="14" t="s">
        <v>3532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3533</v>
      </c>
      <c r="B21" s="12" t="s">
        <v>182</v>
      </c>
      <c r="C21" s="12" t="s">
        <v>3511</v>
      </c>
      <c r="D21" s="13" t="s">
        <v>3534</v>
      </c>
      <c r="E21" s="12" t="s">
        <v>179</v>
      </c>
      <c r="F21" s="12" t="s">
        <v>184</v>
      </c>
      <c r="G21" s="13" t="s">
        <v>3508</v>
      </c>
      <c r="H21" s="12" t="s">
        <v>119</v>
      </c>
      <c r="I21" s="12" t="s">
        <v>134</v>
      </c>
      <c r="J21" s="14" t="s">
        <v>3535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3536</v>
      </c>
      <c r="B22" s="12" t="s">
        <v>207</v>
      </c>
      <c r="C22" s="12" t="s">
        <v>82</v>
      </c>
      <c r="D22" s="13" t="s">
        <v>3537</v>
      </c>
      <c r="E22" s="12" t="s">
        <v>3023</v>
      </c>
      <c r="F22" s="12" t="s">
        <v>195</v>
      </c>
      <c r="G22" s="13" t="s">
        <v>3538</v>
      </c>
      <c r="H22" s="12" t="s">
        <v>117</v>
      </c>
      <c r="I22" s="12" t="s">
        <v>133</v>
      </c>
      <c r="J22" s="14" t="s">
        <v>3539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3540</v>
      </c>
      <c r="B23" s="12" t="s">
        <v>2447</v>
      </c>
      <c r="C23" s="12" t="s">
        <v>82</v>
      </c>
      <c r="D23" s="13" t="s">
        <v>3541</v>
      </c>
      <c r="E23" s="12" t="s">
        <v>154</v>
      </c>
      <c r="F23" s="12" t="s">
        <v>213</v>
      </c>
      <c r="G23" s="13" t="s">
        <v>3542</v>
      </c>
      <c r="H23" s="12" t="s">
        <v>119</v>
      </c>
      <c r="I23" s="12" t="s">
        <v>134</v>
      </c>
      <c r="J23" s="14" t="s">
        <v>3543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3544</v>
      </c>
      <c r="B24" s="12" t="s">
        <v>220</v>
      </c>
      <c r="C24" s="12" t="s">
        <v>1451</v>
      </c>
      <c r="D24" s="13" t="s">
        <v>3545</v>
      </c>
      <c r="E24" s="12" t="s">
        <v>222</v>
      </c>
      <c r="F24" s="12" t="s">
        <v>222</v>
      </c>
      <c r="G24" s="13" t="s">
        <v>2608</v>
      </c>
      <c r="H24" s="12" t="s">
        <v>119</v>
      </c>
      <c r="I24" s="12" t="s">
        <v>134</v>
      </c>
      <c r="J24" s="14" t="s">
        <v>3546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3547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3549</v>
      </c>
      <c r="B9" s="12" t="s">
        <v>151</v>
      </c>
      <c r="C9" s="12" t="s">
        <v>1621</v>
      </c>
      <c r="D9" s="13" t="s">
        <v>3550</v>
      </c>
      <c r="E9" s="12" t="s">
        <v>154</v>
      </c>
      <c r="F9" s="12" t="s">
        <v>155</v>
      </c>
      <c r="G9" s="13" t="s">
        <v>3551</v>
      </c>
      <c r="H9" s="12" t="s">
        <v>119</v>
      </c>
      <c r="I9" s="12" t="s">
        <v>134</v>
      </c>
      <c r="J9" s="14" t="s">
        <v>3488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3552</v>
      </c>
      <c r="B10" s="12" t="s">
        <v>1404</v>
      </c>
      <c r="C10" s="12" t="s">
        <v>1621</v>
      </c>
      <c r="D10" s="13" t="s">
        <v>3553</v>
      </c>
      <c r="E10" s="12" t="s">
        <v>154</v>
      </c>
      <c r="F10" s="12" t="s">
        <v>174</v>
      </c>
      <c r="G10" s="13" t="s">
        <v>3554</v>
      </c>
      <c r="H10" s="12" t="s">
        <v>119</v>
      </c>
      <c r="I10" s="12" t="s">
        <v>134</v>
      </c>
      <c r="J10" s="14" t="s">
        <v>3492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3555</v>
      </c>
      <c r="B11" s="12" t="s">
        <v>158</v>
      </c>
      <c r="C11" s="12" t="s">
        <v>83</v>
      </c>
      <c r="D11" s="13" t="s">
        <v>3556</v>
      </c>
      <c r="E11" s="12" t="s">
        <v>154</v>
      </c>
      <c r="F11" s="12" t="s">
        <v>154</v>
      </c>
      <c r="G11" s="13" t="s">
        <v>3495</v>
      </c>
      <c r="H11" s="12" t="s">
        <v>119</v>
      </c>
      <c r="I11" s="12" t="s">
        <v>134</v>
      </c>
      <c r="J11" s="14" t="s">
        <v>3496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3557</v>
      </c>
      <c r="B12" s="12" t="s">
        <v>162</v>
      </c>
      <c r="C12" s="12" t="s">
        <v>1621</v>
      </c>
      <c r="D12" s="13" t="s">
        <v>3558</v>
      </c>
      <c r="E12" s="12" t="s">
        <v>154</v>
      </c>
      <c r="F12" s="12" t="s">
        <v>164</v>
      </c>
      <c r="G12" s="13" t="s">
        <v>3559</v>
      </c>
      <c r="H12" s="12" t="s">
        <v>119</v>
      </c>
      <c r="I12" s="12" t="s">
        <v>134</v>
      </c>
      <c r="J12" s="14" t="s">
        <v>3500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3560</v>
      </c>
      <c r="B13" s="12" t="s">
        <v>167</v>
      </c>
      <c r="C13" s="12" t="s">
        <v>1621</v>
      </c>
      <c r="D13" s="13" t="s">
        <v>3561</v>
      </c>
      <c r="E13" s="12" t="s">
        <v>154</v>
      </c>
      <c r="F13" s="12" t="s">
        <v>169</v>
      </c>
      <c r="G13" s="13" t="s">
        <v>3562</v>
      </c>
      <c r="H13" s="12" t="s">
        <v>119</v>
      </c>
      <c r="I13" s="12" t="s">
        <v>134</v>
      </c>
      <c r="J13" s="14" t="s">
        <v>3504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3563</v>
      </c>
      <c r="B14" s="12" t="s">
        <v>682</v>
      </c>
      <c r="C14" s="12" t="s">
        <v>823</v>
      </c>
      <c r="D14" s="13" t="s">
        <v>3564</v>
      </c>
      <c r="E14" s="12" t="s">
        <v>179</v>
      </c>
      <c r="F14" s="12" t="s">
        <v>179</v>
      </c>
      <c r="G14" s="13" t="s">
        <v>3565</v>
      </c>
      <c r="H14" s="12" t="s">
        <v>119</v>
      </c>
      <c r="I14" s="12" t="s">
        <v>134</v>
      </c>
      <c r="J14" s="14" t="s">
        <v>3566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3567</v>
      </c>
      <c r="B15" s="12" t="s">
        <v>3568</v>
      </c>
      <c r="C15" s="12" t="s">
        <v>1621</v>
      </c>
      <c r="D15" s="13" t="s">
        <v>3569</v>
      </c>
      <c r="E15" s="12" t="s">
        <v>179</v>
      </c>
      <c r="F15" s="12" t="s">
        <v>179</v>
      </c>
      <c r="G15" s="13" t="s">
        <v>3565</v>
      </c>
      <c r="H15" s="12" t="s">
        <v>119</v>
      </c>
      <c r="I15" s="12" t="s">
        <v>134</v>
      </c>
      <c r="J15" s="14" t="s">
        <v>3570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3571</v>
      </c>
      <c r="B16" s="12" t="s">
        <v>32</v>
      </c>
      <c r="C16" s="12" t="s">
        <v>823</v>
      </c>
      <c r="D16" s="13" t="s">
        <v>3572</v>
      </c>
      <c r="E16" s="12" t="s">
        <v>179</v>
      </c>
      <c r="F16" s="12" t="s">
        <v>179</v>
      </c>
      <c r="G16" s="13" t="s">
        <v>3565</v>
      </c>
      <c r="H16" s="12" t="s">
        <v>119</v>
      </c>
      <c r="I16" s="12" t="s">
        <v>134</v>
      </c>
      <c r="J16" s="14" t="s">
        <v>3573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3574</v>
      </c>
      <c r="B17" s="12" t="s">
        <v>3515</v>
      </c>
      <c r="C17" s="12" t="s">
        <v>823</v>
      </c>
      <c r="D17" s="13" t="s">
        <v>3575</v>
      </c>
      <c r="E17" s="12" t="s">
        <v>154</v>
      </c>
      <c r="F17" s="12" t="s">
        <v>174</v>
      </c>
      <c r="G17" s="13" t="s">
        <v>3554</v>
      </c>
      <c r="H17" s="12" t="s">
        <v>119</v>
      </c>
      <c r="I17" s="12" t="s">
        <v>134</v>
      </c>
      <c r="J17" s="14" t="s">
        <v>3517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3576</v>
      </c>
      <c r="B18" s="12" t="s">
        <v>1195</v>
      </c>
      <c r="C18" s="12" t="s">
        <v>823</v>
      </c>
      <c r="D18" s="13" t="s">
        <v>3577</v>
      </c>
      <c r="E18" s="12" t="s">
        <v>179</v>
      </c>
      <c r="F18" s="12" t="s">
        <v>179</v>
      </c>
      <c r="G18" s="13" t="s">
        <v>3565</v>
      </c>
      <c r="H18" s="12" t="s">
        <v>119</v>
      </c>
      <c r="I18" s="12" t="s">
        <v>134</v>
      </c>
      <c r="J18" s="14" t="s">
        <v>3520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3578</v>
      </c>
      <c r="B19" s="12" t="s">
        <v>3579</v>
      </c>
      <c r="C19" s="12" t="s">
        <v>926</v>
      </c>
      <c r="D19" s="13" t="s">
        <v>3580</v>
      </c>
      <c r="E19" s="12" t="s">
        <v>154</v>
      </c>
      <c r="F19" s="12" t="s">
        <v>174</v>
      </c>
      <c r="G19" s="13" t="s">
        <v>3554</v>
      </c>
      <c r="H19" s="12" t="s">
        <v>119</v>
      </c>
      <c r="I19" s="12" t="s">
        <v>134</v>
      </c>
      <c r="J19" s="14" t="s">
        <v>3581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3582</v>
      </c>
      <c r="B20" s="12" t="s">
        <v>94</v>
      </c>
      <c r="C20" s="12" t="s">
        <v>1621</v>
      </c>
      <c r="D20" s="13" t="s">
        <v>3526</v>
      </c>
      <c r="E20" s="12" t="s">
        <v>3023</v>
      </c>
      <c r="F20" s="12" t="s">
        <v>189</v>
      </c>
      <c r="G20" s="13" t="s">
        <v>3583</v>
      </c>
      <c r="H20" s="12" t="s">
        <v>121</v>
      </c>
      <c r="I20" s="12" t="s">
        <v>133</v>
      </c>
      <c r="J20" s="14" t="s">
        <v>3584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3585</v>
      </c>
      <c r="B21" s="12" t="s">
        <v>193</v>
      </c>
      <c r="C21" s="12" t="s">
        <v>1621</v>
      </c>
      <c r="D21" s="13" t="s">
        <v>3586</v>
      </c>
      <c r="E21" s="12" t="s">
        <v>3023</v>
      </c>
      <c r="F21" s="12" t="s">
        <v>189</v>
      </c>
      <c r="G21" s="13" t="s">
        <v>3583</v>
      </c>
      <c r="H21" s="12" t="s">
        <v>121</v>
      </c>
      <c r="I21" s="12" t="s">
        <v>133</v>
      </c>
      <c r="J21" s="14" t="s">
        <v>3587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3588</v>
      </c>
      <c r="B22" s="12" t="s">
        <v>182</v>
      </c>
      <c r="C22" s="12" t="s">
        <v>1621</v>
      </c>
      <c r="D22" s="13" t="s">
        <v>3589</v>
      </c>
      <c r="E22" s="12" t="s">
        <v>179</v>
      </c>
      <c r="F22" s="12" t="s">
        <v>184</v>
      </c>
      <c r="G22" s="13" t="s">
        <v>3565</v>
      </c>
      <c r="H22" s="12" t="s">
        <v>119</v>
      </c>
      <c r="I22" s="12" t="s">
        <v>134</v>
      </c>
      <c r="J22" s="14" t="s">
        <v>3535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3590</v>
      </c>
      <c r="B23" s="12" t="s">
        <v>207</v>
      </c>
      <c r="C23" s="12" t="s">
        <v>83</v>
      </c>
      <c r="D23" s="13" t="s">
        <v>3591</v>
      </c>
      <c r="E23" s="12" t="s">
        <v>3023</v>
      </c>
      <c r="F23" s="12" t="s">
        <v>195</v>
      </c>
      <c r="G23" s="13" t="s">
        <v>3592</v>
      </c>
      <c r="H23" s="12" t="s">
        <v>117</v>
      </c>
      <c r="I23" s="12" t="s">
        <v>133</v>
      </c>
      <c r="J23" s="14" t="s">
        <v>3593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3594</v>
      </c>
      <c r="B24" s="12" t="s">
        <v>2447</v>
      </c>
      <c r="C24" s="12" t="s">
        <v>83</v>
      </c>
      <c r="D24" s="13" t="s">
        <v>3595</v>
      </c>
      <c r="E24" s="12" t="s">
        <v>154</v>
      </c>
      <c r="F24" s="12" t="s">
        <v>213</v>
      </c>
      <c r="G24" s="13" t="s">
        <v>3596</v>
      </c>
      <c r="H24" s="12" t="s">
        <v>119</v>
      </c>
      <c r="I24" s="12" t="s">
        <v>134</v>
      </c>
      <c r="J24" s="14" t="s">
        <v>3543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3597</v>
      </c>
      <c r="B25" s="12" t="s">
        <v>220</v>
      </c>
      <c r="C25" s="12" t="s">
        <v>1621</v>
      </c>
      <c r="D25" s="13" t="s">
        <v>3598</v>
      </c>
      <c r="E25" s="12" t="s">
        <v>222</v>
      </c>
      <c r="F25" s="12" t="s">
        <v>222</v>
      </c>
      <c r="G25" s="13" t="s">
        <v>2608</v>
      </c>
      <c r="H25" s="12" t="s">
        <v>119</v>
      </c>
      <c r="I25" s="12" t="s">
        <v>134</v>
      </c>
      <c r="J25" s="14" t="s">
        <v>3546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3600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137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3601</v>
      </c>
      <c r="B9" s="12" t="s">
        <v>111</v>
      </c>
      <c r="C9" s="12" t="s">
        <v>1246</v>
      </c>
      <c r="D9" s="13" t="s">
        <v>3602</v>
      </c>
      <c r="E9" s="12" t="s">
        <v>154</v>
      </c>
      <c r="F9" s="12" t="s">
        <v>155</v>
      </c>
      <c r="G9" s="13" t="s">
        <v>3603</v>
      </c>
      <c r="H9" s="12" t="s">
        <v>119</v>
      </c>
      <c r="I9" s="12" t="s">
        <v>134</v>
      </c>
      <c r="J9" s="14" t="n">
        <v>46232</v>
      </c>
      <c r="K9" s="13" t="s">
        <v>3604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3605</v>
      </c>
      <c r="B10" s="12" t="s">
        <v>2460</v>
      </c>
      <c r="C10" s="12" t="s">
        <v>1246</v>
      </c>
      <c r="D10" s="13" t="s">
        <v>3606</v>
      </c>
      <c r="E10" s="12" t="s">
        <v>154</v>
      </c>
      <c r="F10" s="12" t="s">
        <v>174</v>
      </c>
      <c r="G10" s="13" t="s">
        <v>3607</v>
      </c>
      <c r="H10" s="12" t="s">
        <v>119</v>
      </c>
      <c r="I10" s="12" t="s">
        <v>134</v>
      </c>
      <c r="J10" s="14" t="n">
        <v>46232</v>
      </c>
      <c r="K10" s="13" t="s">
        <v>3492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3608</v>
      </c>
      <c r="B11" s="12" t="s">
        <v>1404</v>
      </c>
      <c r="C11" s="12" t="s">
        <v>1246</v>
      </c>
      <c r="D11" s="13" t="s">
        <v>3609</v>
      </c>
      <c r="E11" s="12" t="s">
        <v>154</v>
      </c>
      <c r="F11" s="12" t="s">
        <v>174</v>
      </c>
      <c r="G11" s="13" t="s">
        <v>3607</v>
      </c>
      <c r="H11" s="12" t="s">
        <v>119</v>
      </c>
      <c r="I11" s="12" t="s">
        <v>134</v>
      </c>
      <c r="J11" s="14" t="n">
        <v>46232</v>
      </c>
      <c r="K11" s="13" t="s">
        <v>3610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3611</v>
      </c>
      <c r="B12" s="12" t="s">
        <v>162</v>
      </c>
      <c r="C12" s="12" t="s">
        <v>2469</v>
      </c>
      <c r="D12" s="13" t="s">
        <v>3612</v>
      </c>
      <c r="E12" s="12" t="s">
        <v>154</v>
      </c>
      <c r="F12" s="12" t="s">
        <v>164</v>
      </c>
      <c r="G12" s="13" t="s">
        <v>3613</v>
      </c>
      <c r="H12" s="12" t="s">
        <v>119</v>
      </c>
      <c r="I12" s="12" t="s">
        <v>134</v>
      </c>
      <c r="J12" s="14" t="n">
        <v>46232</v>
      </c>
      <c r="K12" s="13" t="s">
        <v>3614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3615</v>
      </c>
      <c r="B13" s="12" t="s">
        <v>158</v>
      </c>
      <c r="C13" s="12" t="s">
        <v>1246</v>
      </c>
      <c r="D13" s="13" t="s">
        <v>3616</v>
      </c>
      <c r="E13" s="12" t="s">
        <v>154</v>
      </c>
      <c r="F13" s="12" t="s">
        <v>154</v>
      </c>
      <c r="G13" s="13" t="s">
        <v>2951</v>
      </c>
      <c r="H13" s="12" t="s">
        <v>119</v>
      </c>
      <c r="I13" s="12" t="s">
        <v>134</v>
      </c>
      <c r="J13" s="14" t="n">
        <v>46232</v>
      </c>
      <c r="K13" s="13" t="s">
        <v>3617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3618</v>
      </c>
      <c r="B14" s="12" t="s">
        <v>1372</v>
      </c>
      <c r="C14" s="12" t="s">
        <v>3619</v>
      </c>
      <c r="D14" s="13" t="s">
        <v>3620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46232</v>
      </c>
      <c r="K14" s="13" t="s">
        <v>3621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3622</v>
      </c>
      <c r="B15" s="12" t="s">
        <v>167</v>
      </c>
      <c r="C15" s="12" t="s">
        <v>1246</v>
      </c>
      <c r="D15" s="13" t="s">
        <v>3623</v>
      </c>
      <c r="E15" s="12" t="s">
        <v>154</v>
      </c>
      <c r="F15" s="12" t="s">
        <v>169</v>
      </c>
      <c r="G15" s="13" t="s">
        <v>3624</v>
      </c>
      <c r="H15" s="12" t="s">
        <v>119</v>
      </c>
      <c r="I15" s="12" t="s">
        <v>134</v>
      </c>
      <c r="J15" s="14" t="n">
        <v>46232</v>
      </c>
      <c r="K15" s="13" t="s">
        <v>3625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3626</v>
      </c>
      <c r="B16" s="12" t="s">
        <v>3627</v>
      </c>
      <c r="C16" s="12" t="s">
        <v>3628</v>
      </c>
      <c r="D16" s="13" t="s">
        <v>3629</v>
      </c>
      <c r="E16" s="12" t="s">
        <v>179</v>
      </c>
      <c r="F16" s="12" t="s">
        <v>179</v>
      </c>
      <c r="G16" s="13" t="s">
        <v>3630</v>
      </c>
      <c r="H16" s="12" t="s">
        <v>119</v>
      </c>
      <c r="I16" s="12" t="s">
        <v>134</v>
      </c>
      <c r="J16" s="14" t="n">
        <v>46232</v>
      </c>
      <c r="K16" s="13" t="s">
        <v>3631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3632</v>
      </c>
      <c r="B17" s="12" t="s">
        <v>3633</v>
      </c>
      <c r="C17" s="12" t="s">
        <v>3634</v>
      </c>
      <c r="D17" s="13" t="s">
        <v>3635</v>
      </c>
      <c r="E17" s="12" t="s">
        <v>179</v>
      </c>
      <c r="F17" s="12" t="s">
        <v>179</v>
      </c>
      <c r="G17" s="13" t="s">
        <v>3636</v>
      </c>
      <c r="H17" s="12" t="s">
        <v>119</v>
      </c>
      <c r="I17" s="12" t="s">
        <v>134</v>
      </c>
      <c r="J17" s="14" t="n">
        <v>46232</v>
      </c>
      <c r="K17" s="13" t="s">
        <v>3637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3638</v>
      </c>
      <c r="B18" s="12" t="s">
        <v>3639</v>
      </c>
      <c r="C18" s="12" t="s">
        <v>3640</v>
      </c>
      <c r="D18" s="13" t="s">
        <v>3641</v>
      </c>
      <c r="E18" s="12" t="s">
        <v>179</v>
      </c>
      <c r="F18" s="12" t="s">
        <v>179</v>
      </c>
      <c r="G18" s="13" t="s">
        <v>3630</v>
      </c>
      <c r="H18" s="12" t="s">
        <v>119</v>
      </c>
      <c r="I18" s="12" t="s">
        <v>134</v>
      </c>
      <c r="J18" s="14" t="n">
        <v>46232</v>
      </c>
      <c r="K18" s="13" t="s">
        <v>3642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3643</v>
      </c>
      <c r="B19" s="12" t="s">
        <v>3644</v>
      </c>
      <c r="C19" s="12" t="s">
        <v>3645</v>
      </c>
      <c r="D19" s="13" t="s">
        <v>3646</v>
      </c>
      <c r="E19" s="12" t="s">
        <v>179</v>
      </c>
      <c r="F19" s="12" t="s">
        <v>179</v>
      </c>
      <c r="G19" s="13" t="s">
        <v>3647</v>
      </c>
      <c r="H19" s="12" t="s">
        <v>119</v>
      </c>
      <c r="I19" s="12" t="s">
        <v>134</v>
      </c>
      <c r="J19" s="14" t="n">
        <v>46232</v>
      </c>
      <c r="K19" s="13" t="s">
        <v>3648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3649</v>
      </c>
      <c r="B20" s="12" t="s">
        <v>1650</v>
      </c>
      <c r="C20" s="12" t="s">
        <v>3650</v>
      </c>
      <c r="D20" s="13" t="s">
        <v>3651</v>
      </c>
      <c r="E20" s="12" t="s">
        <v>154</v>
      </c>
      <c r="F20" s="12" t="s">
        <v>174</v>
      </c>
      <c r="G20" s="13" t="s">
        <v>3652</v>
      </c>
      <c r="H20" s="12" t="s">
        <v>119</v>
      </c>
      <c r="I20" s="12" t="s">
        <v>134</v>
      </c>
      <c r="J20" s="14" t="n">
        <v>46232</v>
      </c>
      <c r="K20" s="13" t="s">
        <v>3653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3654</v>
      </c>
      <c r="B21" s="12" t="s">
        <v>1754</v>
      </c>
      <c r="C21" s="12" t="s">
        <v>3640</v>
      </c>
      <c r="D21" s="13" t="s">
        <v>3655</v>
      </c>
      <c r="E21" s="12" t="s">
        <v>179</v>
      </c>
      <c r="F21" s="12" t="s">
        <v>189</v>
      </c>
      <c r="G21" s="13" t="s">
        <v>3656</v>
      </c>
      <c r="H21" s="12" t="s">
        <v>119</v>
      </c>
      <c r="I21" s="12" t="s">
        <v>134</v>
      </c>
      <c r="J21" s="14" t="n">
        <v>46232</v>
      </c>
      <c r="K21" s="13" t="s">
        <v>3657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3658</v>
      </c>
      <c r="B22" s="12" t="s">
        <v>3659</v>
      </c>
      <c r="C22" s="12" t="s">
        <v>3660</v>
      </c>
      <c r="D22" s="13" t="s">
        <v>3661</v>
      </c>
      <c r="E22" s="12" t="s">
        <v>179</v>
      </c>
      <c r="F22" s="12" t="s">
        <v>179</v>
      </c>
      <c r="G22" s="13" t="s">
        <v>3662</v>
      </c>
      <c r="H22" s="12" t="s">
        <v>119</v>
      </c>
      <c r="I22" s="12" t="s">
        <v>134</v>
      </c>
      <c r="J22" s="14" t="n">
        <v>46232</v>
      </c>
      <c r="K22" s="13" t="s">
        <v>3663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3664</v>
      </c>
      <c r="B23" s="12" t="s">
        <v>3665</v>
      </c>
      <c r="C23" s="12" t="s">
        <v>3666</v>
      </c>
      <c r="D23" s="13" t="s">
        <v>3667</v>
      </c>
      <c r="E23" s="12" t="s">
        <v>179</v>
      </c>
      <c r="F23" s="12" t="s">
        <v>189</v>
      </c>
      <c r="G23" s="13" t="s">
        <v>3656</v>
      </c>
      <c r="H23" s="12" t="s">
        <v>119</v>
      </c>
      <c r="I23" s="12" t="s">
        <v>134</v>
      </c>
      <c r="J23" s="14" t="n">
        <v>46232</v>
      </c>
      <c r="K23" s="13" t="s">
        <v>3668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3669</v>
      </c>
      <c r="B24" s="12" t="s">
        <v>193</v>
      </c>
      <c r="C24" s="12" t="s">
        <v>3129</v>
      </c>
      <c r="D24" s="13" t="s">
        <v>3670</v>
      </c>
      <c r="E24" s="12" t="s">
        <v>179</v>
      </c>
      <c r="F24" s="12" t="s">
        <v>179</v>
      </c>
      <c r="G24" s="13" t="s">
        <v>3630</v>
      </c>
      <c r="H24" s="12" t="s">
        <v>119</v>
      </c>
      <c r="I24" s="12" t="s">
        <v>134</v>
      </c>
      <c r="J24" s="14" t="n">
        <v>46232</v>
      </c>
      <c r="K24" s="13" t="s">
        <v>3671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3672</v>
      </c>
      <c r="B25" s="12" t="s">
        <v>2592</v>
      </c>
      <c r="C25" s="12" t="s">
        <v>1246</v>
      </c>
      <c r="D25" s="13" t="s">
        <v>3673</v>
      </c>
      <c r="E25" s="12" t="s">
        <v>179</v>
      </c>
      <c r="F25" s="12" t="s">
        <v>179</v>
      </c>
      <c r="G25" s="13" t="s">
        <v>3630</v>
      </c>
      <c r="H25" s="12" t="s">
        <v>119</v>
      </c>
      <c r="I25" s="12" t="s">
        <v>134</v>
      </c>
      <c r="J25" s="14" t="n">
        <v>46232</v>
      </c>
      <c r="K25" s="13" t="s">
        <v>3674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3675</v>
      </c>
      <c r="B26" s="12" t="s">
        <v>2994</v>
      </c>
      <c r="C26" s="12" t="s">
        <v>1246</v>
      </c>
      <c r="D26" s="13" t="s">
        <v>3676</v>
      </c>
      <c r="E26" s="12" t="s">
        <v>179</v>
      </c>
      <c r="F26" s="12" t="s">
        <v>189</v>
      </c>
      <c r="G26" s="13" t="s">
        <v>3656</v>
      </c>
      <c r="H26" s="12" t="s">
        <v>119</v>
      </c>
      <c r="I26" s="12" t="s">
        <v>134</v>
      </c>
      <c r="J26" s="14" t="n">
        <v>46232</v>
      </c>
      <c r="K26" s="13" t="s">
        <v>3677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3678</v>
      </c>
      <c r="B27" s="12" t="s">
        <v>1592</v>
      </c>
      <c r="C27" s="12" t="s">
        <v>1246</v>
      </c>
      <c r="D27" s="13" t="s">
        <v>3679</v>
      </c>
      <c r="E27" s="12" t="s">
        <v>154</v>
      </c>
      <c r="F27" s="12" t="s">
        <v>174</v>
      </c>
      <c r="G27" s="13" t="s">
        <v>3680</v>
      </c>
      <c r="H27" s="12" t="s">
        <v>119</v>
      </c>
      <c r="I27" s="12" t="s">
        <v>134</v>
      </c>
      <c r="J27" s="14" t="n">
        <v>46232</v>
      </c>
      <c r="K27" s="13" t="s">
        <v>3681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3682</v>
      </c>
      <c r="B28" s="12" t="s">
        <v>182</v>
      </c>
      <c r="C28" s="12" t="s">
        <v>3683</v>
      </c>
      <c r="D28" s="13" t="s">
        <v>3684</v>
      </c>
      <c r="E28" s="12" t="s">
        <v>179</v>
      </c>
      <c r="F28" s="12" t="s">
        <v>184</v>
      </c>
      <c r="G28" s="13" t="s">
        <v>3636</v>
      </c>
      <c r="H28" s="12" t="s">
        <v>119</v>
      </c>
      <c r="I28" s="12" t="s">
        <v>134</v>
      </c>
      <c r="J28" s="14" t="n">
        <v>46232</v>
      </c>
      <c r="K28" s="13" t="s">
        <v>3685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3686</v>
      </c>
      <c r="B29" s="12" t="s">
        <v>642</v>
      </c>
      <c r="C29" s="12" t="s">
        <v>1246</v>
      </c>
      <c r="D29" s="13" t="s">
        <v>3687</v>
      </c>
      <c r="E29" s="12" t="s">
        <v>154</v>
      </c>
      <c r="F29" s="12" t="s">
        <v>644</v>
      </c>
      <c r="G29" s="13" t="s">
        <v>3688</v>
      </c>
      <c r="H29" s="12" t="s">
        <v>119</v>
      </c>
      <c r="I29" s="12" t="s">
        <v>134</v>
      </c>
      <c r="J29" s="14" t="n">
        <v>46232</v>
      </c>
      <c r="K29" s="13" t="s">
        <v>3689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3690</v>
      </c>
      <c r="B30" s="12" t="s">
        <v>3009</v>
      </c>
      <c r="C30" s="12" t="s">
        <v>1246</v>
      </c>
      <c r="D30" s="13" t="s">
        <v>3691</v>
      </c>
      <c r="E30" s="12" t="s">
        <v>179</v>
      </c>
      <c r="F30" s="12" t="s">
        <v>189</v>
      </c>
      <c r="G30" s="13" t="s">
        <v>3692</v>
      </c>
      <c r="H30" s="12" t="s">
        <v>119</v>
      </c>
      <c r="I30" s="12" t="s">
        <v>134</v>
      </c>
      <c r="J30" s="14" t="n">
        <v>46232</v>
      </c>
      <c r="K30" s="13" t="s">
        <v>3693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3694</v>
      </c>
      <c r="B31" s="12" t="s">
        <v>2447</v>
      </c>
      <c r="C31" s="12" t="s">
        <v>2671</v>
      </c>
      <c r="D31" s="13" t="s">
        <v>3695</v>
      </c>
      <c r="E31" s="12" t="s">
        <v>154</v>
      </c>
      <c r="F31" s="12" t="s">
        <v>2673</v>
      </c>
      <c r="G31" s="13" t="s">
        <v>3696</v>
      </c>
      <c r="H31" s="12" t="s">
        <v>119</v>
      </c>
      <c r="I31" s="12" t="s">
        <v>134</v>
      </c>
      <c r="J31" s="14" t="n">
        <v>46232</v>
      </c>
      <c r="K31" s="13" t="s">
        <v>3697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3698</v>
      </c>
      <c r="B32" s="12" t="s">
        <v>216</v>
      </c>
      <c r="C32" s="12" t="s">
        <v>2676</v>
      </c>
      <c r="D32" s="13" t="s">
        <v>3699</v>
      </c>
      <c r="E32" s="12" t="s">
        <v>154</v>
      </c>
      <c r="F32" s="12" t="s">
        <v>2673</v>
      </c>
      <c r="G32" s="13" t="s">
        <v>3700</v>
      </c>
      <c r="H32" s="12" t="s">
        <v>119</v>
      </c>
      <c r="I32" s="12" t="s">
        <v>134</v>
      </c>
      <c r="J32" s="14" t="n">
        <v>46232</v>
      </c>
      <c r="K32" s="13" t="s">
        <v>3701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3702</v>
      </c>
      <c r="B33" s="12" t="s">
        <v>220</v>
      </c>
      <c r="C33" s="12" t="s">
        <v>3703</v>
      </c>
      <c r="D33" s="13" t="s">
        <v>3704</v>
      </c>
      <c r="E33" s="12" t="s">
        <v>222</v>
      </c>
      <c r="F33" s="12" t="s">
        <v>222</v>
      </c>
      <c r="G33" s="13" t="s">
        <v>223</v>
      </c>
      <c r="H33" s="12" t="s">
        <v>119</v>
      </c>
      <c r="I33" s="12" t="s">
        <v>134</v>
      </c>
      <c r="J33" s="14" t="n">
        <v>46232</v>
      </c>
      <c r="K33" s="13" t="s">
        <v>3705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3706</v>
      </c>
      <c r="B34" s="12" t="s">
        <v>207</v>
      </c>
      <c r="C34" s="12" t="s">
        <v>1246</v>
      </c>
      <c r="D34" s="13" t="s">
        <v>3707</v>
      </c>
      <c r="E34" s="12" t="s">
        <v>3023</v>
      </c>
      <c r="F34" s="12" t="s">
        <v>195</v>
      </c>
      <c r="G34" s="13" t="s">
        <v>3708</v>
      </c>
      <c r="H34" s="12" t="s">
        <v>113</v>
      </c>
      <c r="I34" s="12" t="s">
        <v>133</v>
      </c>
      <c r="J34" s="14" t="n">
        <v>46232</v>
      </c>
      <c r="K34" s="13" t="s">
        <v>3709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3710</v>
      </c>
      <c r="B35" s="12" t="s">
        <v>225</v>
      </c>
      <c r="C35" s="12" t="s">
        <v>2689</v>
      </c>
      <c r="D35" s="13" t="s">
        <v>3711</v>
      </c>
      <c r="E35" s="12" t="s">
        <v>154</v>
      </c>
      <c r="F35" s="12" t="s">
        <v>154</v>
      </c>
      <c r="G35" s="13" t="s">
        <v>227</v>
      </c>
      <c r="H35" s="12" t="s">
        <v>119</v>
      </c>
      <c r="I35" s="12" t="s">
        <v>134</v>
      </c>
      <c r="J35" s="14" t="n">
        <v>46232</v>
      </c>
      <c r="K35" s="13" t="s">
        <v>3712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3713</v>
      </c>
      <c r="B36" s="12" t="s">
        <v>2767</v>
      </c>
      <c r="C36" s="12" t="s">
        <v>1246</v>
      </c>
      <c r="D36" s="13" t="s">
        <v>3714</v>
      </c>
      <c r="E36" s="12" t="s">
        <v>154</v>
      </c>
      <c r="F36" s="12" t="s">
        <v>2673</v>
      </c>
      <c r="G36" s="13" t="s">
        <v>3696</v>
      </c>
      <c r="H36" s="12" t="s">
        <v>119</v>
      </c>
      <c r="I36" s="12" t="s">
        <v>134</v>
      </c>
      <c r="J36" s="14" t="n">
        <v>46232</v>
      </c>
      <c r="K36" s="13" t="s">
        <v>3033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3716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3485</v>
      </c>
      <c r="B9" s="12" t="s">
        <v>111</v>
      </c>
      <c r="C9" s="12" t="s">
        <v>3717</v>
      </c>
      <c r="D9" s="13" t="s">
        <v>3718</v>
      </c>
      <c r="E9" s="12" t="s">
        <v>154</v>
      </c>
      <c r="F9" s="12" t="s">
        <v>155</v>
      </c>
      <c r="G9" s="13" t="s">
        <v>3719</v>
      </c>
      <c r="H9" s="12" t="s">
        <v>119</v>
      </c>
      <c r="I9" s="12" t="s">
        <v>134</v>
      </c>
      <c r="J9" s="14" t="n">
        <v>46232</v>
      </c>
      <c r="K9" s="13" t="s">
        <v>3720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3489</v>
      </c>
      <c r="B10" s="12" t="s">
        <v>1404</v>
      </c>
      <c r="C10" s="12" t="s">
        <v>3717</v>
      </c>
      <c r="D10" s="13" t="s">
        <v>3721</v>
      </c>
      <c r="E10" s="12" t="s">
        <v>154</v>
      </c>
      <c r="F10" s="12" t="s">
        <v>174</v>
      </c>
      <c r="G10" s="13" t="s">
        <v>3722</v>
      </c>
      <c r="H10" s="12" t="s">
        <v>119</v>
      </c>
      <c r="I10" s="12" t="s">
        <v>134</v>
      </c>
      <c r="J10" s="14" t="n">
        <v>46232</v>
      </c>
      <c r="K10" s="13" t="s">
        <v>3723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3493</v>
      </c>
      <c r="B11" s="12" t="s">
        <v>158</v>
      </c>
      <c r="C11" s="12" t="s">
        <v>3724</v>
      </c>
      <c r="D11" s="13" t="s">
        <v>3725</v>
      </c>
      <c r="E11" s="12" t="s">
        <v>154</v>
      </c>
      <c r="F11" s="12" t="s">
        <v>154</v>
      </c>
      <c r="G11" s="13" t="s">
        <v>2951</v>
      </c>
      <c r="H11" s="12" t="s">
        <v>119</v>
      </c>
      <c r="I11" s="12" t="s">
        <v>134</v>
      </c>
      <c r="J11" s="14" t="n">
        <v>46232</v>
      </c>
      <c r="K11" s="13" t="s">
        <v>3726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3497</v>
      </c>
      <c r="B12" s="12" t="s">
        <v>162</v>
      </c>
      <c r="C12" s="12" t="s">
        <v>3717</v>
      </c>
      <c r="D12" s="13" t="s">
        <v>3727</v>
      </c>
      <c r="E12" s="12" t="s">
        <v>154</v>
      </c>
      <c r="F12" s="12" t="s">
        <v>164</v>
      </c>
      <c r="G12" s="13" t="s">
        <v>3728</v>
      </c>
      <c r="H12" s="12" t="s">
        <v>119</v>
      </c>
      <c r="I12" s="12" t="s">
        <v>134</v>
      </c>
      <c r="J12" s="14" t="n">
        <v>46232</v>
      </c>
      <c r="K12" s="13" t="s">
        <v>3729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3501</v>
      </c>
      <c r="B13" s="12" t="s">
        <v>1372</v>
      </c>
      <c r="C13" s="12" t="s">
        <v>3717</v>
      </c>
      <c r="D13" s="13" t="s">
        <v>3730</v>
      </c>
      <c r="E13" s="12" t="s">
        <v>154</v>
      </c>
      <c r="F13" s="12" t="s">
        <v>154</v>
      </c>
      <c r="G13" s="13" t="s">
        <v>602</v>
      </c>
      <c r="H13" s="12" t="s">
        <v>119</v>
      </c>
      <c r="I13" s="12" t="s">
        <v>134</v>
      </c>
      <c r="J13" s="14" t="n">
        <v>46232</v>
      </c>
      <c r="K13" s="13" t="s">
        <v>3731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3505</v>
      </c>
      <c r="B14" s="12" t="s">
        <v>167</v>
      </c>
      <c r="C14" s="12" t="s">
        <v>823</v>
      </c>
      <c r="D14" s="13" t="s">
        <v>3732</v>
      </c>
      <c r="E14" s="12" t="s">
        <v>154</v>
      </c>
      <c r="F14" s="12" t="s">
        <v>169</v>
      </c>
      <c r="G14" s="13" t="s">
        <v>3733</v>
      </c>
      <c r="H14" s="12" t="s">
        <v>119</v>
      </c>
      <c r="I14" s="12" t="s">
        <v>134</v>
      </c>
      <c r="J14" s="14" t="n">
        <v>46232</v>
      </c>
      <c r="K14" s="13" t="s">
        <v>3734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3510</v>
      </c>
      <c r="B15" s="12" t="s">
        <v>3735</v>
      </c>
      <c r="C15" s="12" t="s">
        <v>823</v>
      </c>
      <c r="D15" s="13" t="s">
        <v>3736</v>
      </c>
      <c r="E15" s="12" t="s">
        <v>179</v>
      </c>
      <c r="F15" s="12" t="s">
        <v>179</v>
      </c>
      <c r="G15" s="13" t="s">
        <v>3737</v>
      </c>
      <c r="H15" s="12" t="s">
        <v>119</v>
      </c>
      <c r="I15" s="12" t="s">
        <v>134</v>
      </c>
      <c r="J15" s="14" t="n">
        <v>46232</v>
      </c>
      <c r="K15" s="13" t="s">
        <v>3738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3514</v>
      </c>
      <c r="B16" s="12" t="s">
        <v>1844</v>
      </c>
      <c r="C16" s="12" t="s">
        <v>3717</v>
      </c>
      <c r="D16" s="13" t="s">
        <v>3739</v>
      </c>
      <c r="E16" s="12" t="s">
        <v>179</v>
      </c>
      <c r="F16" s="12" t="s">
        <v>179</v>
      </c>
      <c r="G16" s="13" t="s">
        <v>3740</v>
      </c>
      <c r="H16" s="12" t="s">
        <v>119</v>
      </c>
      <c r="I16" s="12" t="s">
        <v>134</v>
      </c>
      <c r="J16" s="14" t="n">
        <v>46232</v>
      </c>
      <c r="K16" s="13" t="s">
        <v>3741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3518</v>
      </c>
      <c r="B17" s="12" t="s">
        <v>3742</v>
      </c>
      <c r="C17" s="12" t="s">
        <v>3717</v>
      </c>
      <c r="D17" s="13" t="s">
        <v>3743</v>
      </c>
      <c r="E17" s="12" t="s">
        <v>179</v>
      </c>
      <c r="F17" s="12" t="s">
        <v>179</v>
      </c>
      <c r="G17" s="13" t="s">
        <v>3737</v>
      </c>
      <c r="H17" s="12" t="s">
        <v>119</v>
      </c>
      <c r="I17" s="12" t="s">
        <v>134</v>
      </c>
      <c r="J17" s="14" t="n">
        <v>46232</v>
      </c>
      <c r="K17" s="13" t="s">
        <v>3744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3521</v>
      </c>
      <c r="B18" s="12" t="s">
        <v>202</v>
      </c>
      <c r="C18" s="12" t="s">
        <v>3717</v>
      </c>
      <c r="D18" s="13" t="s">
        <v>3745</v>
      </c>
      <c r="E18" s="12" t="s">
        <v>179</v>
      </c>
      <c r="F18" s="12" t="s">
        <v>179</v>
      </c>
      <c r="G18" s="13" t="s">
        <v>3746</v>
      </c>
      <c r="H18" s="12" t="s">
        <v>119</v>
      </c>
      <c r="I18" s="12" t="s">
        <v>134</v>
      </c>
      <c r="J18" s="14" t="n">
        <v>46232</v>
      </c>
      <c r="K18" s="13" t="s">
        <v>2980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3525</v>
      </c>
      <c r="B19" s="12" t="s">
        <v>3747</v>
      </c>
      <c r="C19" s="12" t="s">
        <v>823</v>
      </c>
      <c r="D19" s="13" t="s">
        <v>3748</v>
      </c>
      <c r="E19" s="12" t="s">
        <v>179</v>
      </c>
      <c r="F19" s="12" t="s">
        <v>179</v>
      </c>
      <c r="G19" s="13" t="s">
        <v>3749</v>
      </c>
      <c r="H19" s="12" t="s">
        <v>119</v>
      </c>
      <c r="I19" s="12" t="s">
        <v>134</v>
      </c>
      <c r="J19" s="14" t="n">
        <v>46232</v>
      </c>
      <c r="K19" s="13" t="s">
        <v>3750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3529</v>
      </c>
      <c r="B20" s="12" t="s">
        <v>3751</v>
      </c>
      <c r="C20" s="12" t="s">
        <v>823</v>
      </c>
      <c r="D20" s="13" t="s">
        <v>3752</v>
      </c>
      <c r="E20" s="12" t="s">
        <v>179</v>
      </c>
      <c r="F20" s="12" t="s">
        <v>179</v>
      </c>
      <c r="G20" s="13" t="s">
        <v>3749</v>
      </c>
      <c r="H20" s="12" t="s">
        <v>119</v>
      </c>
      <c r="I20" s="12" t="s">
        <v>134</v>
      </c>
      <c r="J20" s="14" t="n">
        <v>46232</v>
      </c>
      <c r="K20" s="13" t="s">
        <v>3753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3533</v>
      </c>
      <c r="B21" s="12" t="s">
        <v>182</v>
      </c>
      <c r="C21" s="12" t="s">
        <v>3717</v>
      </c>
      <c r="D21" s="13" t="s">
        <v>3754</v>
      </c>
      <c r="E21" s="12" t="s">
        <v>179</v>
      </c>
      <c r="F21" s="12" t="s">
        <v>184</v>
      </c>
      <c r="G21" s="13" t="s">
        <v>3737</v>
      </c>
      <c r="H21" s="12" t="s">
        <v>119</v>
      </c>
      <c r="I21" s="12" t="s">
        <v>134</v>
      </c>
      <c r="J21" s="14" t="n">
        <v>46232</v>
      </c>
      <c r="K21" s="13" t="s">
        <v>3755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3536</v>
      </c>
      <c r="B22" s="12" t="s">
        <v>187</v>
      </c>
      <c r="C22" s="12" t="s">
        <v>823</v>
      </c>
      <c r="D22" s="13" t="s">
        <v>3756</v>
      </c>
      <c r="E22" s="12" t="s">
        <v>179</v>
      </c>
      <c r="F22" s="12" t="s">
        <v>189</v>
      </c>
      <c r="G22" s="13" t="s">
        <v>3757</v>
      </c>
      <c r="H22" s="12" t="s">
        <v>121</v>
      </c>
      <c r="I22" s="12" t="s">
        <v>133</v>
      </c>
      <c r="J22" s="14" t="n">
        <v>46232</v>
      </c>
      <c r="K22" s="13" t="s">
        <v>3758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3540</v>
      </c>
      <c r="B23" s="12" t="s">
        <v>642</v>
      </c>
      <c r="C23" s="12" t="s">
        <v>3724</v>
      </c>
      <c r="D23" s="13" t="s">
        <v>3759</v>
      </c>
      <c r="E23" s="12" t="s">
        <v>154</v>
      </c>
      <c r="F23" s="12" t="s">
        <v>644</v>
      </c>
      <c r="G23" s="13" t="s">
        <v>3760</v>
      </c>
      <c r="H23" s="12" t="s">
        <v>119</v>
      </c>
      <c r="I23" s="12" t="s">
        <v>134</v>
      </c>
      <c r="J23" s="14" t="n">
        <v>46232</v>
      </c>
      <c r="K23" s="13" t="s">
        <v>3761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3544</v>
      </c>
      <c r="B24" s="12" t="s">
        <v>211</v>
      </c>
      <c r="C24" s="12" t="s">
        <v>3724</v>
      </c>
      <c r="D24" s="13" t="s">
        <v>3762</v>
      </c>
      <c r="E24" s="12" t="s">
        <v>154</v>
      </c>
      <c r="F24" s="12" t="s">
        <v>213</v>
      </c>
      <c r="G24" s="13" t="s">
        <v>3763</v>
      </c>
      <c r="H24" s="12" t="s">
        <v>119</v>
      </c>
      <c r="I24" s="12" t="s">
        <v>134</v>
      </c>
      <c r="J24" s="14" t="n">
        <v>46232</v>
      </c>
      <c r="K24" s="13" t="s">
        <v>3764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3765</v>
      </c>
      <c r="B25" s="12" t="s">
        <v>216</v>
      </c>
      <c r="C25" s="12" t="s">
        <v>3724</v>
      </c>
      <c r="D25" s="13" t="s">
        <v>3766</v>
      </c>
      <c r="E25" s="12" t="s">
        <v>154</v>
      </c>
      <c r="F25" s="12" t="s">
        <v>213</v>
      </c>
      <c r="G25" s="13" t="s">
        <v>3767</v>
      </c>
      <c r="H25" s="12" t="s">
        <v>119</v>
      </c>
      <c r="I25" s="12" t="s">
        <v>134</v>
      </c>
      <c r="J25" s="14" t="n">
        <v>46232</v>
      </c>
      <c r="K25" s="13" t="s">
        <v>3768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3769</v>
      </c>
      <c r="B26" s="12" t="s">
        <v>220</v>
      </c>
      <c r="C26" s="12" t="s">
        <v>3717</v>
      </c>
      <c r="D26" s="13" t="s">
        <v>3770</v>
      </c>
      <c r="E26" s="12" t="s">
        <v>222</v>
      </c>
      <c r="F26" s="12" t="s">
        <v>222</v>
      </c>
      <c r="G26" s="13" t="s">
        <v>223</v>
      </c>
      <c r="H26" s="12" t="s">
        <v>119</v>
      </c>
      <c r="I26" s="12" t="s">
        <v>134</v>
      </c>
      <c r="J26" s="14" t="n">
        <v>46232</v>
      </c>
      <c r="K26" s="13" t="s">
        <v>3771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3772</v>
      </c>
      <c r="B27" s="12" t="s">
        <v>207</v>
      </c>
      <c r="C27" s="12" t="s">
        <v>3724</v>
      </c>
      <c r="D27" s="13" t="s">
        <v>3773</v>
      </c>
      <c r="E27" s="12" t="s">
        <v>154</v>
      </c>
      <c r="F27" s="12" t="s">
        <v>195</v>
      </c>
      <c r="G27" s="13" t="s">
        <v>3774</v>
      </c>
      <c r="H27" s="12" t="s">
        <v>113</v>
      </c>
      <c r="I27" s="12" t="s">
        <v>133</v>
      </c>
      <c r="J27" s="14" t="n">
        <v>46232</v>
      </c>
      <c r="K27" s="13" t="s">
        <v>3775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3776</v>
      </c>
      <c r="B28" s="12" t="s">
        <v>225</v>
      </c>
      <c r="C28" s="12" t="s">
        <v>3724</v>
      </c>
      <c r="D28" s="13" t="s">
        <v>2314</v>
      </c>
      <c r="E28" s="12" t="s">
        <v>154</v>
      </c>
      <c r="F28" s="12" t="s">
        <v>154</v>
      </c>
      <c r="G28" s="13" t="s">
        <v>227</v>
      </c>
      <c r="H28" s="12" t="s">
        <v>119</v>
      </c>
      <c r="I28" s="12" t="s">
        <v>134</v>
      </c>
      <c r="J28" s="14" t="n">
        <v>46232</v>
      </c>
      <c r="K28" s="13" t="s">
        <v>3777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3780</v>
      </c>
      <c r="B9" s="12" t="s">
        <v>111</v>
      </c>
      <c r="C9" s="12" t="s">
        <v>86</v>
      </c>
      <c r="D9" s="13" t="s">
        <v>3781</v>
      </c>
      <c r="E9" s="12" t="s">
        <v>154</v>
      </c>
      <c r="F9" s="12" t="s">
        <v>155</v>
      </c>
      <c r="G9" s="13" t="s">
        <v>3782</v>
      </c>
      <c r="H9" s="12" t="s">
        <v>119</v>
      </c>
      <c r="I9" s="12" t="s">
        <v>134</v>
      </c>
      <c r="J9" s="14" t="n">
        <v>46232</v>
      </c>
      <c r="K9" s="13" t="s">
        <v>3783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3784</v>
      </c>
      <c r="B10" s="12" t="s">
        <v>1404</v>
      </c>
      <c r="C10" s="12" t="s">
        <v>823</v>
      </c>
      <c r="D10" s="13" t="s">
        <v>3785</v>
      </c>
      <c r="E10" s="12" t="s">
        <v>154</v>
      </c>
      <c r="F10" s="12" t="s">
        <v>174</v>
      </c>
      <c r="G10" s="13" t="s">
        <v>3786</v>
      </c>
      <c r="H10" s="12" t="s">
        <v>119</v>
      </c>
      <c r="I10" s="12" t="s">
        <v>134</v>
      </c>
      <c r="J10" s="14" t="n">
        <v>46232</v>
      </c>
      <c r="K10" s="13" t="s">
        <v>3787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3788</v>
      </c>
      <c r="B11" s="12" t="s">
        <v>158</v>
      </c>
      <c r="C11" s="12" t="s">
        <v>86</v>
      </c>
      <c r="D11" s="13" t="s">
        <v>3789</v>
      </c>
      <c r="E11" s="12" t="s">
        <v>154</v>
      </c>
      <c r="F11" s="12" t="s">
        <v>154</v>
      </c>
      <c r="G11" s="13" t="s">
        <v>2951</v>
      </c>
      <c r="H11" s="12" t="s">
        <v>119</v>
      </c>
      <c r="I11" s="12" t="s">
        <v>134</v>
      </c>
      <c r="J11" s="14" t="n">
        <v>46232</v>
      </c>
      <c r="K11" s="13" t="s">
        <v>3790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3791</v>
      </c>
      <c r="B12" s="12" t="s">
        <v>162</v>
      </c>
      <c r="C12" s="12" t="s">
        <v>2469</v>
      </c>
      <c r="D12" s="13" t="s">
        <v>3792</v>
      </c>
      <c r="E12" s="12" t="s">
        <v>154</v>
      </c>
      <c r="F12" s="12" t="s">
        <v>164</v>
      </c>
      <c r="G12" s="13" t="s">
        <v>3793</v>
      </c>
      <c r="H12" s="12" t="s">
        <v>119</v>
      </c>
      <c r="I12" s="12" t="s">
        <v>134</v>
      </c>
      <c r="J12" s="14" t="n">
        <v>46232</v>
      </c>
      <c r="K12" s="13" t="s">
        <v>3794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3795</v>
      </c>
      <c r="B13" s="12" t="s">
        <v>1372</v>
      </c>
      <c r="C13" s="12" t="s">
        <v>823</v>
      </c>
      <c r="D13" s="13" t="s">
        <v>3796</v>
      </c>
      <c r="E13" s="12" t="s">
        <v>154</v>
      </c>
      <c r="F13" s="12" t="s">
        <v>154</v>
      </c>
      <c r="G13" s="13" t="s">
        <v>1374</v>
      </c>
      <c r="H13" s="12" t="s">
        <v>119</v>
      </c>
      <c r="I13" s="12" t="s">
        <v>134</v>
      </c>
      <c r="J13" s="14" t="n">
        <v>46232</v>
      </c>
      <c r="K13" s="13" t="s">
        <v>3797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3798</v>
      </c>
      <c r="B14" s="12" t="s">
        <v>167</v>
      </c>
      <c r="C14" s="12" t="s">
        <v>823</v>
      </c>
      <c r="D14" s="13" t="s">
        <v>3799</v>
      </c>
      <c r="E14" s="12" t="s">
        <v>154</v>
      </c>
      <c r="F14" s="12" t="s">
        <v>169</v>
      </c>
      <c r="G14" s="13" t="s">
        <v>3800</v>
      </c>
      <c r="H14" s="12" t="s">
        <v>119</v>
      </c>
      <c r="I14" s="12" t="s">
        <v>134</v>
      </c>
      <c r="J14" s="14" t="n">
        <v>46232</v>
      </c>
      <c r="K14" s="13" t="s">
        <v>3801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3802</v>
      </c>
      <c r="B15" s="12" t="s">
        <v>3803</v>
      </c>
      <c r="C15" s="12" t="s">
        <v>823</v>
      </c>
      <c r="D15" s="13" t="s">
        <v>3804</v>
      </c>
      <c r="E15" s="12" t="s">
        <v>179</v>
      </c>
      <c r="F15" s="12" t="s">
        <v>179</v>
      </c>
      <c r="G15" s="13" t="s">
        <v>3805</v>
      </c>
      <c r="H15" s="12" t="s">
        <v>119</v>
      </c>
      <c r="I15" s="12" t="s">
        <v>134</v>
      </c>
      <c r="J15" s="14" t="n">
        <v>46232</v>
      </c>
      <c r="K15" s="13" t="s">
        <v>3806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3807</v>
      </c>
      <c r="B16" s="12" t="s">
        <v>3808</v>
      </c>
      <c r="C16" s="12" t="s">
        <v>823</v>
      </c>
      <c r="D16" s="13" t="s">
        <v>3809</v>
      </c>
      <c r="E16" s="12" t="s">
        <v>179</v>
      </c>
      <c r="F16" s="12" t="s">
        <v>179</v>
      </c>
      <c r="G16" s="13" t="s">
        <v>3805</v>
      </c>
      <c r="H16" s="12" t="s">
        <v>119</v>
      </c>
      <c r="I16" s="12" t="s">
        <v>134</v>
      </c>
      <c r="J16" s="14" t="n">
        <v>46232</v>
      </c>
      <c r="K16" s="13" t="s">
        <v>3810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3811</v>
      </c>
      <c r="B17" s="12" t="s">
        <v>3812</v>
      </c>
      <c r="C17" s="12" t="s">
        <v>3070</v>
      </c>
      <c r="D17" s="13" t="s">
        <v>3813</v>
      </c>
      <c r="E17" s="12" t="s">
        <v>179</v>
      </c>
      <c r="F17" s="12" t="s">
        <v>179</v>
      </c>
      <c r="G17" s="13" t="s">
        <v>3805</v>
      </c>
      <c r="H17" s="12" t="s">
        <v>119</v>
      </c>
      <c r="I17" s="12" t="s">
        <v>134</v>
      </c>
      <c r="J17" s="14" t="n">
        <v>46232</v>
      </c>
      <c r="K17" s="13" t="s">
        <v>3814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3815</v>
      </c>
      <c r="B18" s="12" t="s">
        <v>3816</v>
      </c>
      <c r="C18" s="12" t="s">
        <v>3070</v>
      </c>
      <c r="D18" s="13" t="s">
        <v>3817</v>
      </c>
      <c r="E18" s="12" t="s">
        <v>179</v>
      </c>
      <c r="F18" s="12" t="s">
        <v>184</v>
      </c>
      <c r="G18" s="13" t="s">
        <v>3805</v>
      </c>
      <c r="H18" s="12" t="s">
        <v>119</v>
      </c>
      <c r="I18" s="12" t="s">
        <v>134</v>
      </c>
      <c r="J18" s="14" t="n">
        <v>46232</v>
      </c>
      <c r="K18" s="13" t="s">
        <v>3818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3819</v>
      </c>
      <c r="B19" s="12" t="s">
        <v>202</v>
      </c>
      <c r="C19" s="12" t="s">
        <v>3820</v>
      </c>
      <c r="D19" s="13" t="s">
        <v>3821</v>
      </c>
      <c r="E19" s="12" t="s">
        <v>179</v>
      </c>
      <c r="F19" s="12" t="s">
        <v>179</v>
      </c>
      <c r="G19" s="13" t="s">
        <v>3805</v>
      </c>
      <c r="H19" s="12" t="s">
        <v>119</v>
      </c>
      <c r="I19" s="12" t="s">
        <v>134</v>
      </c>
      <c r="J19" s="14" t="n">
        <v>46232</v>
      </c>
      <c r="K19" s="13" t="s">
        <v>3822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3823</v>
      </c>
      <c r="B20" s="12" t="s">
        <v>3824</v>
      </c>
      <c r="C20" s="12" t="s">
        <v>823</v>
      </c>
      <c r="D20" s="13" t="s">
        <v>3825</v>
      </c>
      <c r="E20" s="12" t="s">
        <v>154</v>
      </c>
      <c r="F20" s="12" t="s">
        <v>174</v>
      </c>
      <c r="G20" s="13" t="s">
        <v>3786</v>
      </c>
      <c r="H20" s="12" t="s">
        <v>119</v>
      </c>
      <c r="I20" s="12" t="s">
        <v>134</v>
      </c>
      <c r="J20" s="14" t="n">
        <v>46232</v>
      </c>
      <c r="K20" s="13" t="s">
        <v>3826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3827</v>
      </c>
      <c r="B21" s="12" t="s">
        <v>2978</v>
      </c>
      <c r="C21" s="12" t="s">
        <v>823</v>
      </c>
      <c r="D21" s="13" t="s">
        <v>3828</v>
      </c>
      <c r="E21" s="12" t="s">
        <v>154</v>
      </c>
      <c r="F21" s="12" t="s">
        <v>174</v>
      </c>
      <c r="G21" s="13" t="s">
        <v>3829</v>
      </c>
      <c r="H21" s="12" t="s">
        <v>119</v>
      </c>
      <c r="I21" s="12" t="s">
        <v>134</v>
      </c>
      <c r="J21" s="14" t="n">
        <v>46232</v>
      </c>
      <c r="K21" s="13" t="s">
        <v>3830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3831</v>
      </c>
      <c r="B22" s="12" t="s">
        <v>2534</v>
      </c>
      <c r="C22" s="12" t="s">
        <v>3070</v>
      </c>
      <c r="D22" s="13" t="s">
        <v>3832</v>
      </c>
      <c r="E22" s="12" t="s">
        <v>179</v>
      </c>
      <c r="F22" s="12" t="s">
        <v>179</v>
      </c>
      <c r="G22" s="13" t="s">
        <v>3833</v>
      </c>
      <c r="H22" s="12" t="s">
        <v>119</v>
      </c>
      <c r="I22" s="12" t="s">
        <v>134</v>
      </c>
      <c r="J22" s="14" t="n">
        <v>46232</v>
      </c>
      <c r="K22" s="13" t="s">
        <v>3834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3835</v>
      </c>
      <c r="B23" s="12" t="s">
        <v>182</v>
      </c>
      <c r="C23" s="12" t="s">
        <v>3070</v>
      </c>
      <c r="D23" s="13" t="s">
        <v>3836</v>
      </c>
      <c r="E23" s="12" t="s">
        <v>179</v>
      </c>
      <c r="F23" s="12" t="s">
        <v>184</v>
      </c>
      <c r="G23" s="13" t="s">
        <v>3805</v>
      </c>
      <c r="H23" s="12" t="s">
        <v>119</v>
      </c>
      <c r="I23" s="12" t="s">
        <v>134</v>
      </c>
      <c r="J23" s="14" t="n">
        <v>46232</v>
      </c>
      <c r="K23" s="13" t="s">
        <v>3837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3838</v>
      </c>
      <c r="B24" s="12" t="s">
        <v>642</v>
      </c>
      <c r="C24" s="12" t="s">
        <v>86</v>
      </c>
      <c r="D24" s="13" t="s">
        <v>3839</v>
      </c>
      <c r="E24" s="12" t="s">
        <v>154</v>
      </c>
      <c r="F24" s="12" t="s">
        <v>644</v>
      </c>
      <c r="G24" s="13" t="s">
        <v>3840</v>
      </c>
      <c r="H24" s="12" t="s">
        <v>119</v>
      </c>
      <c r="I24" s="12" t="s">
        <v>134</v>
      </c>
      <c r="J24" s="14" t="n">
        <v>46232</v>
      </c>
      <c r="K24" s="13" t="s">
        <v>3841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3842</v>
      </c>
      <c r="B25" s="12" t="s">
        <v>187</v>
      </c>
      <c r="C25" s="12" t="s">
        <v>3070</v>
      </c>
      <c r="D25" s="13" t="s">
        <v>3843</v>
      </c>
      <c r="E25" s="12" t="s">
        <v>179</v>
      </c>
      <c r="F25" s="12" t="s">
        <v>189</v>
      </c>
      <c r="G25" s="13" t="s">
        <v>3844</v>
      </c>
      <c r="H25" s="12" t="s">
        <v>121</v>
      </c>
      <c r="I25" s="12" t="s">
        <v>133</v>
      </c>
      <c r="J25" s="14" t="n">
        <v>46232</v>
      </c>
      <c r="K25" s="13" t="s">
        <v>3845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3846</v>
      </c>
      <c r="B26" s="12" t="s">
        <v>2447</v>
      </c>
      <c r="C26" s="12" t="s">
        <v>2671</v>
      </c>
      <c r="D26" s="13" t="s">
        <v>3847</v>
      </c>
      <c r="E26" s="12" t="s">
        <v>154</v>
      </c>
      <c r="F26" s="12" t="s">
        <v>2673</v>
      </c>
      <c r="G26" s="13" t="s">
        <v>3848</v>
      </c>
      <c r="H26" s="12" t="s">
        <v>119</v>
      </c>
      <c r="I26" s="12" t="s">
        <v>134</v>
      </c>
      <c r="J26" s="14" t="n">
        <v>46232</v>
      </c>
      <c r="K26" s="13" t="s">
        <v>3849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3850</v>
      </c>
      <c r="B27" s="12" t="s">
        <v>216</v>
      </c>
      <c r="C27" s="12" t="s">
        <v>2676</v>
      </c>
      <c r="D27" s="13" t="s">
        <v>3851</v>
      </c>
      <c r="E27" s="12" t="s">
        <v>154</v>
      </c>
      <c r="F27" s="12" t="s">
        <v>2673</v>
      </c>
      <c r="G27" s="13" t="s">
        <v>3852</v>
      </c>
      <c r="H27" s="12" t="s">
        <v>119</v>
      </c>
      <c r="I27" s="12" t="s">
        <v>134</v>
      </c>
      <c r="J27" s="14" t="n">
        <v>46232</v>
      </c>
      <c r="K27" s="13" t="s">
        <v>3768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3853</v>
      </c>
      <c r="B28" s="12" t="s">
        <v>220</v>
      </c>
      <c r="C28" s="12" t="s">
        <v>823</v>
      </c>
      <c r="D28" s="13" t="s">
        <v>3854</v>
      </c>
      <c r="E28" s="12" t="s">
        <v>222</v>
      </c>
      <c r="F28" s="12" t="s">
        <v>222</v>
      </c>
      <c r="G28" s="13" t="s">
        <v>3855</v>
      </c>
      <c r="H28" s="12" t="s">
        <v>119</v>
      </c>
      <c r="I28" s="12" t="s">
        <v>134</v>
      </c>
      <c r="J28" s="14" t="n">
        <v>46232</v>
      </c>
      <c r="K28" s="13" t="s">
        <v>3856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3857</v>
      </c>
      <c r="B29" s="12" t="s">
        <v>207</v>
      </c>
      <c r="C29" s="12" t="s">
        <v>86</v>
      </c>
      <c r="D29" s="13" t="s">
        <v>3858</v>
      </c>
      <c r="E29" s="12" t="s">
        <v>154</v>
      </c>
      <c r="F29" s="12" t="s">
        <v>195</v>
      </c>
      <c r="G29" s="13" t="s">
        <v>3859</v>
      </c>
      <c r="H29" s="12" t="s">
        <v>113</v>
      </c>
      <c r="I29" s="12" t="s">
        <v>133</v>
      </c>
      <c r="J29" s="14"/>
      <c r="K29" s="13" t="s">
        <v>3860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3861</v>
      </c>
      <c r="B30" s="12" t="s">
        <v>225</v>
      </c>
      <c r="C30" s="12" t="s">
        <v>86</v>
      </c>
      <c r="D30" s="13" t="s">
        <v>3862</v>
      </c>
      <c r="E30" s="12" t="s">
        <v>154</v>
      </c>
      <c r="F30" s="12" t="s">
        <v>154</v>
      </c>
      <c r="G30" s="13" t="s">
        <v>227</v>
      </c>
      <c r="H30" s="12" t="s">
        <v>119</v>
      </c>
      <c r="I30" s="12" t="s">
        <v>134</v>
      </c>
      <c r="J30" s="14" t="n">
        <v>46232</v>
      </c>
      <c r="K30" s="13" t="s">
        <v>3863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3864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3779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3865</v>
      </c>
      <c r="B9" s="12" t="s">
        <v>111</v>
      </c>
      <c r="C9" s="12" t="s">
        <v>87</v>
      </c>
      <c r="D9" s="13" t="s">
        <v>3866</v>
      </c>
      <c r="E9" s="12" t="s">
        <v>154</v>
      </c>
      <c r="F9" s="12" t="s">
        <v>155</v>
      </c>
      <c r="G9" s="13" t="s">
        <v>3867</v>
      </c>
      <c r="H9" s="12" t="s">
        <v>119</v>
      </c>
      <c r="I9" s="12" t="s">
        <v>134</v>
      </c>
      <c r="J9" s="14" t="n">
        <v>46232</v>
      </c>
      <c r="K9" s="13" t="s">
        <v>3783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3868</v>
      </c>
      <c r="B10" s="12" t="s">
        <v>1404</v>
      </c>
      <c r="C10" s="12" t="s">
        <v>823</v>
      </c>
      <c r="D10" s="13" t="s">
        <v>3869</v>
      </c>
      <c r="E10" s="12" t="s">
        <v>154</v>
      </c>
      <c r="F10" s="12" t="s">
        <v>174</v>
      </c>
      <c r="G10" s="13" t="s">
        <v>3870</v>
      </c>
      <c r="H10" s="12" t="s">
        <v>119</v>
      </c>
      <c r="I10" s="12" t="s">
        <v>134</v>
      </c>
      <c r="J10" s="14" t="n">
        <v>46232</v>
      </c>
      <c r="K10" s="13" t="s">
        <v>3787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3871</v>
      </c>
      <c r="B11" s="12" t="s">
        <v>158</v>
      </c>
      <c r="C11" s="12" t="s">
        <v>87</v>
      </c>
      <c r="D11" s="13" t="s">
        <v>3872</v>
      </c>
      <c r="E11" s="12" t="s">
        <v>154</v>
      </c>
      <c r="F11" s="12" t="s">
        <v>154</v>
      </c>
      <c r="G11" s="13" t="s">
        <v>2951</v>
      </c>
      <c r="H11" s="12" t="s">
        <v>119</v>
      </c>
      <c r="I11" s="12" t="s">
        <v>134</v>
      </c>
      <c r="J11" s="14" t="n">
        <v>46232</v>
      </c>
      <c r="K11" s="13" t="s">
        <v>3790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3873</v>
      </c>
      <c r="B12" s="12" t="s">
        <v>162</v>
      </c>
      <c r="C12" s="12" t="s">
        <v>2469</v>
      </c>
      <c r="D12" s="13" t="s">
        <v>3792</v>
      </c>
      <c r="E12" s="12" t="s">
        <v>154</v>
      </c>
      <c r="F12" s="12" t="s">
        <v>164</v>
      </c>
      <c r="G12" s="13" t="s">
        <v>3874</v>
      </c>
      <c r="H12" s="12" t="s">
        <v>119</v>
      </c>
      <c r="I12" s="12" t="s">
        <v>134</v>
      </c>
      <c r="J12" s="14" t="n">
        <v>46232</v>
      </c>
      <c r="K12" s="13" t="s">
        <v>3794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3875</v>
      </c>
      <c r="B13" s="12" t="s">
        <v>1372</v>
      </c>
      <c r="C13" s="12" t="s">
        <v>823</v>
      </c>
      <c r="D13" s="13" t="s">
        <v>3876</v>
      </c>
      <c r="E13" s="12" t="s">
        <v>154</v>
      </c>
      <c r="F13" s="12" t="s">
        <v>154</v>
      </c>
      <c r="G13" s="13" t="s">
        <v>1374</v>
      </c>
      <c r="H13" s="12" t="s">
        <v>119</v>
      </c>
      <c r="I13" s="12" t="s">
        <v>134</v>
      </c>
      <c r="J13" s="14" t="n">
        <v>46232</v>
      </c>
      <c r="K13" s="13" t="s">
        <v>3797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3877</v>
      </c>
      <c r="B14" s="12" t="s">
        <v>167</v>
      </c>
      <c r="C14" s="12" t="s">
        <v>823</v>
      </c>
      <c r="D14" s="13" t="s">
        <v>3878</v>
      </c>
      <c r="E14" s="12" t="s">
        <v>154</v>
      </c>
      <c r="F14" s="12" t="s">
        <v>169</v>
      </c>
      <c r="G14" s="13" t="s">
        <v>3879</v>
      </c>
      <c r="H14" s="12" t="s">
        <v>119</v>
      </c>
      <c r="I14" s="12" t="s">
        <v>134</v>
      </c>
      <c r="J14" s="14" t="n">
        <v>46232</v>
      </c>
      <c r="K14" s="13" t="s">
        <v>3801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3880</v>
      </c>
      <c r="B15" s="12" t="s">
        <v>3803</v>
      </c>
      <c r="C15" s="12" t="s">
        <v>823</v>
      </c>
      <c r="D15" s="13" t="s">
        <v>3881</v>
      </c>
      <c r="E15" s="12" t="s">
        <v>179</v>
      </c>
      <c r="F15" s="12" t="s">
        <v>179</v>
      </c>
      <c r="G15" s="13" t="s">
        <v>3882</v>
      </c>
      <c r="H15" s="12" t="s">
        <v>119</v>
      </c>
      <c r="I15" s="12" t="s">
        <v>134</v>
      </c>
      <c r="J15" s="14" t="n">
        <v>46232</v>
      </c>
      <c r="K15" s="13" t="s">
        <v>3806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3883</v>
      </c>
      <c r="B16" s="12" t="s">
        <v>3808</v>
      </c>
      <c r="C16" s="12" t="s">
        <v>823</v>
      </c>
      <c r="D16" s="13" t="s">
        <v>3809</v>
      </c>
      <c r="E16" s="12" t="s">
        <v>179</v>
      </c>
      <c r="F16" s="12" t="s">
        <v>179</v>
      </c>
      <c r="G16" s="13" t="s">
        <v>3882</v>
      </c>
      <c r="H16" s="12" t="s">
        <v>119</v>
      </c>
      <c r="I16" s="12" t="s">
        <v>134</v>
      </c>
      <c r="J16" s="14" t="n">
        <v>46232</v>
      </c>
      <c r="K16" s="13" t="s">
        <v>3810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3884</v>
      </c>
      <c r="B17" s="12" t="s">
        <v>3812</v>
      </c>
      <c r="C17" s="12" t="s">
        <v>3070</v>
      </c>
      <c r="D17" s="13" t="s">
        <v>3885</v>
      </c>
      <c r="E17" s="12" t="s">
        <v>179</v>
      </c>
      <c r="F17" s="12" t="s">
        <v>179</v>
      </c>
      <c r="G17" s="13" t="s">
        <v>3882</v>
      </c>
      <c r="H17" s="12" t="s">
        <v>119</v>
      </c>
      <c r="I17" s="12" t="s">
        <v>134</v>
      </c>
      <c r="J17" s="14" t="n">
        <v>46232</v>
      </c>
      <c r="K17" s="13" t="s">
        <v>3814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3886</v>
      </c>
      <c r="B18" s="12" t="s">
        <v>3816</v>
      </c>
      <c r="C18" s="12" t="s">
        <v>3070</v>
      </c>
      <c r="D18" s="13" t="s">
        <v>3817</v>
      </c>
      <c r="E18" s="12" t="s">
        <v>179</v>
      </c>
      <c r="F18" s="12" t="s">
        <v>184</v>
      </c>
      <c r="G18" s="13" t="s">
        <v>3882</v>
      </c>
      <c r="H18" s="12" t="s">
        <v>119</v>
      </c>
      <c r="I18" s="12" t="s">
        <v>134</v>
      </c>
      <c r="J18" s="14" t="n">
        <v>46232</v>
      </c>
      <c r="K18" s="13" t="s">
        <v>3818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3887</v>
      </c>
      <c r="B19" s="12" t="s">
        <v>202</v>
      </c>
      <c r="C19" s="12" t="s">
        <v>3888</v>
      </c>
      <c r="D19" s="13" t="s">
        <v>3889</v>
      </c>
      <c r="E19" s="12" t="s">
        <v>179</v>
      </c>
      <c r="F19" s="12" t="s">
        <v>179</v>
      </c>
      <c r="G19" s="13" t="s">
        <v>3882</v>
      </c>
      <c r="H19" s="12" t="s">
        <v>119</v>
      </c>
      <c r="I19" s="12" t="s">
        <v>134</v>
      </c>
      <c r="J19" s="14" t="n">
        <v>46232</v>
      </c>
      <c r="K19" s="13" t="s">
        <v>3822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3890</v>
      </c>
      <c r="B20" s="12" t="s">
        <v>3824</v>
      </c>
      <c r="C20" s="12" t="s">
        <v>823</v>
      </c>
      <c r="D20" s="13" t="s">
        <v>3825</v>
      </c>
      <c r="E20" s="12" t="s">
        <v>154</v>
      </c>
      <c r="F20" s="12" t="s">
        <v>174</v>
      </c>
      <c r="G20" s="13" t="s">
        <v>3870</v>
      </c>
      <c r="H20" s="12" t="s">
        <v>119</v>
      </c>
      <c r="I20" s="12" t="s">
        <v>134</v>
      </c>
      <c r="J20" s="14" t="n">
        <v>46232</v>
      </c>
      <c r="K20" s="13" t="s">
        <v>3826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3891</v>
      </c>
      <c r="B21" s="12" t="s">
        <v>2978</v>
      </c>
      <c r="C21" s="12" t="s">
        <v>823</v>
      </c>
      <c r="D21" s="13" t="s">
        <v>3828</v>
      </c>
      <c r="E21" s="12" t="s">
        <v>154</v>
      </c>
      <c r="F21" s="12" t="s">
        <v>174</v>
      </c>
      <c r="G21" s="13" t="s">
        <v>3892</v>
      </c>
      <c r="H21" s="12" t="s">
        <v>119</v>
      </c>
      <c r="I21" s="12" t="s">
        <v>134</v>
      </c>
      <c r="J21" s="14" t="n">
        <v>46232</v>
      </c>
      <c r="K21" s="13" t="s">
        <v>3830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3893</v>
      </c>
      <c r="B22" s="12" t="s">
        <v>2534</v>
      </c>
      <c r="C22" s="12" t="s">
        <v>3070</v>
      </c>
      <c r="D22" s="13" t="s">
        <v>3832</v>
      </c>
      <c r="E22" s="12" t="s">
        <v>179</v>
      </c>
      <c r="F22" s="12" t="s">
        <v>179</v>
      </c>
      <c r="G22" s="13" t="s">
        <v>3894</v>
      </c>
      <c r="H22" s="12" t="s">
        <v>119</v>
      </c>
      <c r="I22" s="12" t="s">
        <v>134</v>
      </c>
      <c r="J22" s="14" t="n">
        <v>46232</v>
      </c>
      <c r="K22" s="13" t="s">
        <v>3834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3895</v>
      </c>
      <c r="B23" s="12" t="s">
        <v>182</v>
      </c>
      <c r="C23" s="12" t="s">
        <v>3070</v>
      </c>
      <c r="D23" s="13" t="s">
        <v>3836</v>
      </c>
      <c r="E23" s="12" t="s">
        <v>179</v>
      </c>
      <c r="F23" s="12" t="s">
        <v>184</v>
      </c>
      <c r="G23" s="13" t="s">
        <v>3882</v>
      </c>
      <c r="H23" s="12" t="s">
        <v>119</v>
      </c>
      <c r="I23" s="12" t="s">
        <v>134</v>
      </c>
      <c r="J23" s="14" t="n">
        <v>46232</v>
      </c>
      <c r="K23" s="13" t="s">
        <v>3837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3896</v>
      </c>
      <c r="B24" s="12" t="s">
        <v>642</v>
      </c>
      <c r="C24" s="12" t="s">
        <v>87</v>
      </c>
      <c r="D24" s="13" t="s">
        <v>3839</v>
      </c>
      <c r="E24" s="12" t="s">
        <v>154</v>
      </c>
      <c r="F24" s="12" t="s">
        <v>644</v>
      </c>
      <c r="G24" s="13" t="s">
        <v>3897</v>
      </c>
      <c r="H24" s="12" t="s">
        <v>119</v>
      </c>
      <c r="I24" s="12" t="s">
        <v>134</v>
      </c>
      <c r="J24" s="14" t="n">
        <v>46232</v>
      </c>
      <c r="K24" s="13" t="s">
        <v>3841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3898</v>
      </c>
      <c r="B25" s="12" t="s">
        <v>187</v>
      </c>
      <c r="C25" s="12" t="s">
        <v>3070</v>
      </c>
      <c r="D25" s="13" t="s">
        <v>3843</v>
      </c>
      <c r="E25" s="12" t="s">
        <v>179</v>
      </c>
      <c r="F25" s="12" t="s">
        <v>189</v>
      </c>
      <c r="G25" s="13" t="s">
        <v>3899</v>
      </c>
      <c r="H25" s="12" t="s">
        <v>121</v>
      </c>
      <c r="I25" s="12" t="s">
        <v>133</v>
      </c>
      <c r="J25" s="14" t="n">
        <v>46232</v>
      </c>
      <c r="K25" s="13" t="s">
        <v>3845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3900</v>
      </c>
      <c r="B26" s="12" t="s">
        <v>2447</v>
      </c>
      <c r="C26" s="12" t="s">
        <v>2671</v>
      </c>
      <c r="D26" s="13" t="s">
        <v>3847</v>
      </c>
      <c r="E26" s="12" t="s">
        <v>154</v>
      </c>
      <c r="F26" s="12" t="s">
        <v>2673</v>
      </c>
      <c r="G26" s="13" t="s">
        <v>3901</v>
      </c>
      <c r="H26" s="12" t="s">
        <v>119</v>
      </c>
      <c r="I26" s="12" t="s">
        <v>134</v>
      </c>
      <c r="J26" s="14" t="n">
        <v>46232</v>
      </c>
      <c r="K26" s="13" t="s">
        <v>3849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3902</v>
      </c>
      <c r="B27" s="12" t="s">
        <v>216</v>
      </c>
      <c r="C27" s="12" t="s">
        <v>2676</v>
      </c>
      <c r="D27" s="13" t="s">
        <v>3903</v>
      </c>
      <c r="E27" s="12" t="s">
        <v>154</v>
      </c>
      <c r="F27" s="12" t="s">
        <v>2673</v>
      </c>
      <c r="G27" s="13" t="s">
        <v>3904</v>
      </c>
      <c r="H27" s="12" t="s">
        <v>119</v>
      </c>
      <c r="I27" s="12" t="s">
        <v>134</v>
      </c>
      <c r="J27" s="14" t="n">
        <v>46232</v>
      </c>
      <c r="K27" s="13" t="s">
        <v>3768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3905</v>
      </c>
      <c r="B28" s="12" t="s">
        <v>220</v>
      </c>
      <c r="C28" s="12" t="s">
        <v>823</v>
      </c>
      <c r="D28" s="13" t="s">
        <v>3906</v>
      </c>
      <c r="E28" s="12" t="s">
        <v>222</v>
      </c>
      <c r="F28" s="12" t="s">
        <v>222</v>
      </c>
      <c r="G28" s="13" t="s">
        <v>3855</v>
      </c>
      <c r="H28" s="12" t="s">
        <v>119</v>
      </c>
      <c r="I28" s="12" t="s">
        <v>134</v>
      </c>
      <c r="J28" s="14" t="n">
        <v>46232</v>
      </c>
      <c r="K28" s="13" t="s">
        <v>3856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3907</v>
      </c>
      <c r="B29" s="12" t="s">
        <v>207</v>
      </c>
      <c r="C29" s="12" t="s">
        <v>87</v>
      </c>
      <c r="D29" s="13" t="s">
        <v>3858</v>
      </c>
      <c r="E29" s="12" t="s">
        <v>154</v>
      </c>
      <c r="F29" s="12" t="s">
        <v>195</v>
      </c>
      <c r="G29" s="13" t="s">
        <v>3908</v>
      </c>
      <c r="H29" s="12" t="s">
        <v>113</v>
      </c>
      <c r="I29" s="12" t="s">
        <v>133</v>
      </c>
      <c r="J29" s="14"/>
      <c r="K29" s="13" t="s">
        <v>3860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3909</v>
      </c>
      <c r="B30" s="12" t="s">
        <v>225</v>
      </c>
      <c r="C30" s="12" t="s">
        <v>87</v>
      </c>
      <c r="D30" s="13" t="s">
        <v>3862</v>
      </c>
      <c r="E30" s="12" t="s">
        <v>154</v>
      </c>
      <c r="F30" s="12" t="s">
        <v>154</v>
      </c>
      <c r="G30" s="13" t="s">
        <v>227</v>
      </c>
      <c r="H30" s="12" t="s">
        <v>119</v>
      </c>
      <c r="I30" s="12" t="s">
        <v>134</v>
      </c>
      <c r="J30" s="14" t="n">
        <v>46232</v>
      </c>
      <c r="K30" s="13" t="s">
        <v>3863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3910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3911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137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1681</v>
      </c>
      <c r="B9" s="12" t="s">
        <v>2908</v>
      </c>
      <c r="C9" s="12" t="s">
        <v>3912</v>
      </c>
      <c r="D9" s="13" t="s">
        <v>3913</v>
      </c>
      <c r="E9" s="12" t="s">
        <v>154</v>
      </c>
      <c r="F9" s="12" t="s">
        <v>155</v>
      </c>
      <c r="G9" s="13" t="s">
        <v>3914</v>
      </c>
      <c r="H9" s="12" t="s">
        <v>119</v>
      </c>
      <c r="I9" s="12" t="s">
        <v>134</v>
      </c>
      <c r="J9" s="14" t="n">
        <v>46232</v>
      </c>
      <c r="K9" s="13" t="s">
        <v>2911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1685</v>
      </c>
      <c r="B10" s="12" t="s">
        <v>2460</v>
      </c>
      <c r="C10" s="12" t="s">
        <v>3915</v>
      </c>
      <c r="D10" s="13" t="s">
        <v>3916</v>
      </c>
      <c r="E10" s="12" t="s">
        <v>154</v>
      </c>
      <c r="F10" s="12" t="s">
        <v>174</v>
      </c>
      <c r="G10" s="13" t="s">
        <v>3917</v>
      </c>
      <c r="H10" s="12" t="s">
        <v>119</v>
      </c>
      <c r="I10" s="12" t="s">
        <v>134</v>
      </c>
      <c r="J10" s="14" t="n">
        <v>46232</v>
      </c>
      <c r="K10" s="13" t="s">
        <v>3918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1688</v>
      </c>
      <c r="B11" s="12" t="s">
        <v>1404</v>
      </c>
      <c r="C11" s="12" t="s">
        <v>3912</v>
      </c>
      <c r="D11" s="13" t="s">
        <v>3919</v>
      </c>
      <c r="E11" s="12" t="s">
        <v>154</v>
      </c>
      <c r="F11" s="12" t="s">
        <v>174</v>
      </c>
      <c r="G11" s="13" t="s">
        <v>3920</v>
      </c>
      <c r="H11" s="12" t="s">
        <v>119</v>
      </c>
      <c r="I11" s="12" t="s">
        <v>134</v>
      </c>
      <c r="J11" s="14" t="n">
        <v>46232</v>
      </c>
      <c r="K11" s="13" t="s">
        <v>3921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1690</v>
      </c>
      <c r="B12" s="12" t="s">
        <v>1235</v>
      </c>
      <c r="C12" s="12" t="s">
        <v>823</v>
      </c>
      <c r="D12" s="13" t="s">
        <v>3922</v>
      </c>
      <c r="E12" s="12" t="s">
        <v>179</v>
      </c>
      <c r="F12" s="12" t="s">
        <v>179</v>
      </c>
      <c r="G12" s="13" t="s">
        <v>3923</v>
      </c>
      <c r="H12" s="12" t="s">
        <v>119</v>
      </c>
      <c r="I12" s="12" t="s">
        <v>134</v>
      </c>
      <c r="J12" s="14" t="n">
        <v>46232</v>
      </c>
      <c r="K12" s="13" t="s">
        <v>3924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1693</v>
      </c>
      <c r="B13" s="12" t="s">
        <v>3925</v>
      </c>
      <c r="C13" s="12" t="s">
        <v>1148</v>
      </c>
      <c r="D13" s="13" t="s">
        <v>3926</v>
      </c>
      <c r="E13" s="12" t="s">
        <v>179</v>
      </c>
      <c r="F13" s="12" t="s">
        <v>179</v>
      </c>
      <c r="G13" s="13" t="s">
        <v>3927</v>
      </c>
      <c r="H13" s="12" t="s">
        <v>119</v>
      </c>
      <c r="I13" s="12" t="s">
        <v>134</v>
      </c>
      <c r="J13" s="14" t="n">
        <v>46232</v>
      </c>
      <c r="K13" s="13" t="s">
        <v>3928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1696</v>
      </c>
      <c r="B14" s="12" t="s">
        <v>3929</v>
      </c>
      <c r="C14" s="12" t="s">
        <v>2490</v>
      </c>
      <c r="D14" s="13" t="s">
        <v>3930</v>
      </c>
      <c r="E14" s="12" t="s">
        <v>179</v>
      </c>
      <c r="F14" s="12" t="s">
        <v>179</v>
      </c>
      <c r="G14" s="13" t="s">
        <v>3931</v>
      </c>
      <c r="H14" s="12" t="s">
        <v>119</v>
      </c>
      <c r="I14" s="12" t="s">
        <v>134</v>
      </c>
      <c r="J14" s="14" t="n">
        <v>46232</v>
      </c>
      <c r="K14" s="13" t="s">
        <v>3932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1699</v>
      </c>
      <c r="B15" s="12" t="s">
        <v>3933</v>
      </c>
      <c r="C15" s="12" t="s">
        <v>1148</v>
      </c>
      <c r="D15" s="13" t="s">
        <v>3934</v>
      </c>
      <c r="E15" s="12" t="s">
        <v>179</v>
      </c>
      <c r="F15" s="12" t="s">
        <v>179</v>
      </c>
      <c r="G15" s="13" t="s">
        <v>3935</v>
      </c>
      <c r="H15" s="12" t="s">
        <v>119</v>
      </c>
      <c r="I15" s="12" t="s">
        <v>134</v>
      </c>
      <c r="J15" s="14" t="n">
        <v>46232</v>
      </c>
      <c r="K15" s="13" t="s">
        <v>3936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1701</v>
      </c>
      <c r="B16" s="12" t="s">
        <v>3937</v>
      </c>
      <c r="C16" s="12" t="s">
        <v>3938</v>
      </c>
      <c r="D16" s="13" t="s">
        <v>3939</v>
      </c>
      <c r="E16" s="12" t="s">
        <v>179</v>
      </c>
      <c r="F16" s="12" t="s">
        <v>179</v>
      </c>
      <c r="G16" s="13" t="s">
        <v>3935</v>
      </c>
      <c r="H16" s="12" t="s">
        <v>119</v>
      </c>
      <c r="I16" s="12" t="s">
        <v>134</v>
      </c>
      <c r="J16" s="14" t="n">
        <v>46232</v>
      </c>
      <c r="K16" s="13" t="s">
        <v>3940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1703</v>
      </c>
      <c r="B17" s="12" t="s">
        <v>1644</v>
      </c>
      <c r="C17" s="12" t="s">
        <v>1148</v>
      </c>
      <c r="D17" s="13" t="s">
        <v>3941</v>
      </c>
      <c r="E17" s="12" t="s">
        <v>179</v>
      </c>
      <c r="F17" s="12" t="s">
        <v>179</v>
      </c>
      <c r="G17" s="13" t="s">
        <v>3935</v>
      </c>
      <c r="H17" s="12" t="s">
        <v>119</v>
      </c>
      <c r="I17" s="12" t="s">
        <v>134</v>
      </c>
      <c r="J17" s="14" t="n">
        <v>46232</v>
      </c>
      <c r="K17" s="13" t="s">
        <v>3942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1706</v>
      </c>
      <c r="B18" s="12" t="s">
        <v>1291</v>
      </c>
      <c r="C18" s="12" t="s">
        <v>3943</v>
      </c>
      <c r="D18" s="13" t="s">
        <v>3944</v>
      </c>
      <c r="E18" s="12" t="s">
        <v>179</v>
      </c>
      <c r="F18" s="12" t="s">
        <v>179</v>
      </c>
      <c r="G18" s="13" t="s">
        <v>3945</v>
      </c>
      <c r="H18" s="12" t="s">
        <v>119</v>
      </c>
      <c r="I18" s="12" t="s">
        <v>134</v>
      </c>
      <c r="J18" s="14" t="n">
        <v>46232</v>
      </c>
      <c r="K18" s="13" t="s">
        <v>3946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1708</v>
      </c>
      <c r="B19" s="12" t="s">
        <v>3947</v>
      </c>
      <c r="C19" s="12" t="s">
        <v>823</v>
      </c>
      <c r="D19" s="13" t="s">
        <v>3948</v>
      </c>
      <c r="E19" s="12" t="s">
        <v>179</v>
      </c>
      <c r="F19" s="12" t="s">
        <v>179</v>
      </c>
      <c r="G19" s="13" t="s">
        <v>3923</v>
      </c>
      <c r="H19" s="12" t="s">
        <v>119</v>
      </c>
      <c r="I19" s="12" t="s">
        <v>134</v>
      </c>
      <c r="J19" s="14" t="n">
        <v>46232</v>
      </c>
      <c r="K19" s="13" t="s">
        <v>3949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1710</v>
      </c>
      <c r="B20" s="12" t="s">
        <v>3950</v>
      </c>
      <c r="C20" s="12" t="s">
        <v>1148</v>
      </c>
      <c r="D20" s="13" t="s">
        <v>3951</v>
      </c>
      <c r="E20" s="12" t="s">
        <v>222</v>
      </c>
      <c r="F20" s="12" t="s">
        <v>222</v>
      </c>
      <c r="G20" s="13" t="s">
        <v>3952</v>
      </c>
      <c r="H20" s="12" t="s">
        <v>119</v>
      </c>
      <c r="I20" s="12" t="s">
        <v>134</v>
      </c>
      <c r="J20" s="14" t="n">
        <v>46232</v>
      </c>
      <c r="K20" s="13" t="s">
        <v>3953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1712</v>
      </c>
      <c r="B21" s="12" t="s">
        <v>3954</v>
      </c>
      <c r="C21" s="12" t="s">
        <v>823</v>
      </c>
      <c r="D21" s="13" t="s">
        <v>3955</v>
      </c>
      <c r="E21" s="12" t="s">
        <v>154</v>
      </c>
      <c r="F21" s="12" t="s">
        <v>164</v>
      </c>
      <c r="G21" s="13" t="s">
        <v>3956</v>
      </c>
      <c r="H21" s="12" t="s">
        <v>119</v>
      </c>
      <c r="I21" s="12" t="s">
        <v>134</v>
      </c>
      <c r="J21" s="14" t="n">
        <v>46232</v>
      </c>
      <c r="K21" s="13" t="s">
        <v>3957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1714</v>
      </c>
      <c r="B22" s="12" t="s">
        <v>158</v>
      </c>
      <c r="C22" s="12" t="s">
        <v>88</v>
      </c>
      <c r="D22" s="13" t="s">
        <v>3958</v>
      </c>
      <c r="E22" s="12" t="s">
        <v>154</v>
      </c>
      <c r="F22" s="12" t="s">
        <v>154</v>
      </c>
      <c r="G22" s="13" t="s">
        <v>3959</v>
      </c>
      <c r="H22" s="12" t="s">
        <v>119</v>
      </c>
      <c r="I22" s="12" t="s">
        <v>134</v>
      </c>
      <c r="J22" s="14" t="n">
        <v>46232</v>
      </c>
      <c r="K22" s="13" t="s">
        <v>3960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1716</v>
      </c>
      <c r="B23" s="12" t="s">
        <v>162</v>
      </c>
      <c r="C23" s="12" t="s">
        <v>2469</v>
      </c>
      <c r="D23" s="13" t="s">
        <v>3961</v>
      </c>
      <c r="E23" s="12" t="s">
        <v>154</v>
      </c>
      <c r="F23" s="12" t="s">
        <v>164</v>
      </c>
      <c r="G23" s="13" t="s">
        <v>3962</v>
      </c>
      <c r="H23" s="12" t="s">
        <v>119</v>
      </c>
      <c r="I23" s="12" t="s">
        <v>134</v>
      </c>
      <c r="J23" s="14" t="n">
        <v>46232</v>
      </c>
      <c r="K23" s="13" t="s">
        <v>2956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1720</v>
      </c>
      <c r="B24" s="12" t="s">
        <v>1372</v>
      </c>
      <c r="C24" s="12" t="s">
        <v>3912</v>
      </c>
      <c r="D24" s="13" t="s">
        <v>3963</v>
      </c>
      <c r="E24" s="12" t="s">
        <v>154</v>
      </c>
      <c r="F24" s="12" t="s">
        <v>154</v>
      </c>
      <c r="G24" s="13" t="s">
        <v>3964</v>
      </c>
      <c r="H24" s="12" t="s">
        <v>119</v>
      </c>
      <c r="I24" s="12" t="s">
        <v>134</v>
      </c>
      <c r="J24" s="14" t="n">
        <v>46232</v>
      </c>
      <c r="K24" s="13" t="s">
        <v>2959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1724</v>
      </c>
      <c r="B25" s="12" t="s">
        <v>167</v>
      </c>
      <c r="C25" s="12" t="s">
        <v>3912</v>
      </c>
      <c r="D25" s="13" t="s">
        <v>3965</v>
      </c>
      <c r="E25" s="12" t="s">
        <v>154</v>
      </c>
      <c r="F25" s="12" t="s">
        <v>169</v>
      </c>
      <c r="G25" s="13" t="s">
        <v>3966</v>
      </c>
      <c r="H25" s="12" t="s">
        <v>119</v>
      </c>
      <c r="I25" s="12" t="s">
        <v>134</v>
      </c>
      <c r="J25" s="14" t="n">
        <v>46232</v>
      </c>
      <c r="K25" s="13" t="s">
        <v>3967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1726</v>
      </c>
      <c r="B26" s="12" t="s">
        <v>1754</v>
      </c>
      <c r="C26" s="12" t="s">
        <v>823</v>
      </c>
      <c r="D26" s="13" t="s">
        <v>3968</v>
      </c>
      <c r="E26" s="12" t="s">
        <v>179</v>
      </c>
      <c r="F26" s="12" t="s">
        <v>189</v>
      </c>
      <c r="G26" s="13" t="s">
        <v>3945</v>
      </c>
      <c r="H26" s="12" t="s">
        <v>119</v>
      </c>
      <c r="I26" s="12" t="s">
        <v>134</v>
      </c>
      <c r="J26" s="14" t="n">
        <v>46232</v>
      </c>
      <c r="K26" s="13" t="s">
        <v>3969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1728</v>
      </c>
      <c r="B27" s="12" t="s">
        <v>3970</v>
      </c>
      <c r="C27" s="12" t="s">
        <v>3912</v>
      </c>
      <c r="D27" s="13" t="s">
        <v>3971</v>
      </c>
      <c r="E27" s="12" t="s">
        <v>179</v>
      </c>
      <c r="F27" s="12" t="s">
        <v>189</v>
      </c>
      <c r="G27" s="13" t="s">
        <v>3972</v>
      </c>
      <c r="H27" s="12" t="s">
        <v>119</v>
      </c>
      <c r="I27" s="12" t="s">
        <v>134</v>
      </c>
      <c r="J27" s="14" t="n">
        <v>46232</v>
      </c>
      <c r="K27" s="13" t="s">
        <v>3973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1730</v>
      </c>
      <c r="B28" s="12" t="s">
        <v>3974</v>
      </c>
      <c r="C28" s="12" t="s">
        <v>3975</v>
      </c>
      <c r="D28" s="13" t="s">
        <v>3976</v>
      </c>
      <c r="E28" s="12" t="s">
        <v>179</v>
      </c>
      <c r="F28" s="12" t="s">
        <v>189</v>
      </c>
      <c r="G28" s="13" t="s">
        <v>3972</v>
      </c>
      <c r="H28" s="12" t="s">
        <v>119</v>
      </c>
      <c r="I28" s="12" t="s">
        <v>134</v>
      </c>
      <c r="J28" s="14" t="n">
        <v>46232</v>
      </c>
      <c r="K28" s="13" t="s">
        <v>3977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3978</v>
      </c>
      <c r="B29" s="12" t="s">
        <v>2978</v>
      </c>
      <c r="C29" s="12" t="s">
        <v>1246</v>
      </c>
      <c r="D29" s="13" t="s">
        <v>3979</v>
      </c>
      <c r="E29" s="12" t="s">
        <v>154</v>
      </c>
      <c r="F29" s="12" t="s">
        <v>174</v>
      </c>
      <c r="G29" s="13" t="s">
        <v>3917</v>
      </c>
      <c r="H29" s="12" t="s">
        <v>119</v>
      </c>
      <c r="I29" s="12" t="s">
        <v>134</v>
      </c>
      <c r="J29" s="14" t="n">
        <v>46232</v>
      </c>
      <c r="K29" s="13" t="s">
        <v>3980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3981</v>
      </c>
      <c r="B30" s="12" t="s">
        <v>193</v>
      </c>
      <c r="C30" s="12" t="s">
        <v>3938</v>
      </c>
      <c r="D30" s="13" t="s">
        <v>3982</v>
      </c>
      <c r="E30" s="12" t="s">
        <v>179</v>
      </c>
      <c r="F30" s="12" t="s">
        <v>179</v>
      </c>
      <c r="G30" s="13" t="s">
        <v>3945</v>
      </c>
      <c r="H30" s="12" t="s">
        <v>119</v>
      </c>
      <c r="I30" s="12" t="s">
        <v>134</v>
      </c>
      <c r="J30" s="14" t="n">
        <v>46232</v>
      </c>
      <c r="K30" s="13" t="s">
        <v>3983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3984</v>
      </c>
      <c r="B31" s="12" t="s">
        <v>2994</v>
      </c>
      <c r="C31" s="12" t="s">
        <v>3912</v>
      </c>
      <c r="D31" s="13" t="s">
        <v>3985</v>
      </c>
      <c r="E31" s="12" t="s">
        <v>179</v>
      </c>
      <c r="F31" s="12" t="s">
        <v>189</v>
      </c>
      <c r="G31" s="13" t="s">
        <v>3972</v>
      </c>
      <c r="H31" s="12" t="s">
        <v>119</v>
      </c>
      <c r="I31" s="12" t="s">
        <v>134</v>
      </c>
      <c r="J31" s="14" t="n">
        <v>46232</v>
      </c>
      <c r="K31" s="13" t="s">
        <v>3986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3987</v>
      </c>
      <c r="B32" s="12" t="s">
        <v>1592</v>
      </c>
      <c r="C32" s="12" t="s">
        <v>3912</v>
      </c>
      <c r="D32" s="13" t="s">
        <v>3988</v>
      </c>
      <c r="E32" s="12" t="s">
        <v>154</v>
      </c>
      <c r="F32" s="12" t="s">
        <v>174</v>
      </c>
      <c r="G32" s="13" t="s">
        <v>3989</v>
      </c>
      <c r="H32" s="12" t="s">
        <v>119</v>
      </c>
      <c r="I32" s="12" t="s">
        <v>134</v>
      </c>
      <c r="J32" s="14" t="n">
        <v>46232</v>
      </c>
      <c r="K32" s="13" t="s">
        <v>3990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3991</v>
      </c>
      <c r="B33" s="12" t="s">
        <v>182</v>
      </c>
      <c r="C33" s="12" t="s">
        <v>3912</v>
      </c>
      <c r="D33" s="13" t="s">
        <v>3992</v>
      </c>
      <c r="E33" s="12" t="s">
        <v>179</v>
      </c>
      <c r="F33" s="12" t="s">
        <v>184</v>
      </c>
      <c r="G33" s="13" t="s">
        <v>3935</v>
      </c>
      <c r="H33" s="12" t="s">
        <v>119</v>
      </c>
      <c r="I33" s="12" t="s">
        <v>134</v>
      </c>
      <c r="J33" s="14" t="n">
        <v>46232</v>
      </c>
      <c r="K33" s="13" t="s">
        <v>3993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3994</v>
      </c>
      <c r="B34" s="12" t="s">
        <v>642</v>
      </c>
      <c r="C34" s="12" t="s">
        <v>1246</v>
      </c>
      <c r="D34" s="13" t="s">
        <v>3995</v>
      </c>
      <c r="E34" s="12" t="s">
        <v>154</v>
      </c>
      <c r="F34" s="12" t="s">
        <v>644</v>
      </c>
      <c r="G34" s="13" t="s">
        <v>3996</v>
      </c>
      <c r="H34" s="12" t="s">
        <v>119</v>
      </c>
      <c r="I34" s="12" t="s">
        <v>134</v>
      </c>
      <c r="J34" s="14" t="n">
        <v>46232</v>
      </c>
      <c r="K34" s="13" t="s">
        <v>3997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3998</v>
      </c>
      <c r="B35" s="12" t="s">
        <v>3009</v>
      </c>
      <c r="C35" s="12" t="s">
        <v>1246</v>
      </c>
      <c r="D35" s="13" t="s">
        <v>3999</v>
      </c>
      <c r="E35" s="12" t="s">
        <v>179</v>
      </c>
      <c r="F35" s="12" t="s">
        <v>189</v>
      </c>
      <c r="G35" s="13" t="s">
        <v>4000</v>
      </c>
      <c r="H35" s="12" t="s">
        <v>121</v>
      </c>
      <c r="I35" s="12" t="s">
        <v>133</v>
      </c>
      <c r="J35" s="14" t="n">
        <v>46232</v>
      </c>
      <c r="K35" s="13" t="s">
        <v>4001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4002</v>
      </c>
      <c r="B36" s="12" t="s">
        <v>2447</v>
      </c>
      <c r="C36" s="12" t="s">
        <v>3014</v>
      </c>
      <c r="D36" s="13" t="s">
        <v>4003</v>
      </c>
      <c r="E36" s="12" t="s">
        <v>154</v>
      </c>
      <c r="F36" s="12" t="s">
        <v>2673</v>
      </c>
      <c r="G36" s="13" t="s">
        <v>4004</v>
      </c>
      <c r="H36" s="12" t="s">
        <v>119</v>
      </c>
      <c r="I36" s="12" t="s">
        <v>134</v>
      </c>
      <c r="J36" s="14" t="n">
        <v>46232</v>
      </c>
      <c r="K36" s="13" t="s">
        <v>3017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4005</v>
      </c>
      <c r="B37" s="12" t="s">
        <v>220</v>
      </c>
      <c r="C37" s="12" t="s">
        <v>3912</v>
      </c>
      <c r="D37" s="13" t="s">
        <v>4006</v>
      </c>
      <c r="E37" s="12" t="s">
        <v>222</v>
      </c>
      <c r="F37" s="12" t="s">
        <v>222</v>
      </c>
      <c r="G37" s="13" t="s">
        <v>4007</v>
      </c>
      <c r="H37" s="12" t="s">
        <v>119</v>
      </c>
      <c r="I37" s="12" t="s">
        <v>134</v>
      </c>
      <c r="J37" s="14" t="n">
        <v>46232</v>
      </c>
      <c r="K37" s="13" t="s">
        <v>4008</v>
      </c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4009</v>
      </c>
      <c r="B38" s="12" t="s">
        <v>207</v>
      </c>
      <c r="C38" s="12" t="s">
        <v>3912</v>
      </c>
      <c r="D38" s="13" t="s">
        <v>4010</v>
      </c>
      <c r="E38" s="12" t="s">
        <v>3023</v>
      </c>
      <c r="F38" s="12" t="s">
        <v>195</v>
      </c>
      <c r="G38" s="13" t="s">
        <v>4011</v>
      </c>
      <c r="H38" s="12" t="s">
        <v>113</v>
      </c>
      <c r="I38" s="12" t="s">
        <v>133</v>
      </c>
      <c r="J38" s="14"/>
      <c r="K38" s="13" t="s">
        <v>4012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4013</v>
      </c>
      <c r="B39" s="12" t="s">
        <v>225</v>
      </c>
      <c r="C39" s="12" t="s">
        <v>2689</v>
      </c>
      <c r="D39" s="13" t="s">
        <v>4014</v>
      </c>
      <c r="E39" s="12" t="s">
        <v>154</v>
      </c>
      <c r="F39" s="12" t="s">
        <v>154</v>
      </c>
      <c r="G39" s="13" t="s">
        <v>3028</v>
      </c>
      <c r="H39" s="12" t="s">
        <v>119</v>
      </c>
      <c r="I39" s="12" t="s">
        <v>134</v>
      </c>
      <c r="J39" s="14" t="n">
        <v>46232</v>
      </c>
      <c r="K39" s="13" t="s">
        <v>4015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4017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4018</v>
      </c>
      <c r="B9" s="12" t="s">
        <v>111</v>
      </c>
      <c r="C9" s="12" t="s">
        <v>1246</v>
      </c>
      <c r="D9" s="13" t="s">
        <v>4019</v>
      </c>
      <c r="E9" s="12" t="s">
        <v>154</v>
      </c>
      <c r="F9" s="12" t="s">
        <v>155</v>
      </c>
      <c r="G9" s="13" t="s">
        <v>4020</v>
      </c>
      <c r="H9" s="12" t="s">
        <v>119</v>
      </c>
      <c r="I9" s="12" t="s">
        <v>134</v>
      </c>
      <c r="J9" s="14" t="n">
        <v>46230</v>
      </c>
      <c r="K9" s="13" t="s">
        <v>4021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4022</v>
      </c>
      <c r="B10" s="12" t="s">
        <v>2460</v>
      </c>
      <c r="C10" s="12" t="s">
        <v>1246</v>
      </c>
      <c r="D10" s="13" t="s">
        <v>4023</v>
      </c>
      <c r="E10" s="12" t="s">
        <v>154</v>
      </c>
      <c r="F10" s="12" t="s">
        <v>174</v>
      </c>
      <c r="G10" s="13" t="s">
        <v>4024</v>
      </c>
      <c r="H10" s="12" t="s">
        <v>119</v>
      </c>
      <c r="I10" s="12" t="s">
        <v>134</v>
      </c>
      <c r="J10" s="14" t="n">
        <v>46230</v>
      </c>
      <c r="K10" s="13" t="s">
        <v>4025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4026</v>
      </c>
      <c r="B11" s="12" t="s">
        <v>1404</v>
      </c>
      <c r="C11" s="12" t="s">
        <v>1246</v>
      </c>
      <c r="D11" s="13" t="s">
        <v>4027</v>
      </c>
      <c r="E11" s="12" t="s">
        <v>154</v>
      </c>
      <c r="F11" s="12" t="s">
        <v>174</v>
      </c>
      <c r="G11" s="13" t="s">
        <v>4024</v>
      </c>
      <c r="H11" s="12" t="s">
        <v>119</v>
      </c>
      <c r="I11" s="12" t="s">
        <v>134</v>
      </c>
      <c r="J11" s="14" t="n">
        <v>46230</v>
      </c>
      <c r="K11" s="13" t="s">
        <v>4028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4029</v>
      </c>
      <c r="B12" s="12" t="s">
        <v>162</v>
      </c>
      <c r="C12" s="12" t="s">
        <v>2469</v>
      </c>
      <c r="D12" s="13" t="s">
        <v>4030</v>
      </c>
      <c r="E12" s="12" t="s">
        <v>154</v>
      </c>
      <c r="F12" s="12" t="s">
        <v>164</v>
      </c>
      <c r="G12" s="13" t="s">
        <v>4031</v>
      </c>
      <c r="H12" s="12" t="s">
        <v>119</v>
      </c>
      <c r="I12" s="12" t="s">
        <v>134</v>
      </c>
      <c r="J12" s="14" t="n">
        <v>46230</v>
      </c>
      <c r="K12" s="13" t="s">
        <v>4032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4033</v>
      </c>
      <c r="B13" s="12" t="s">
        <v>158</v>
      </c>
      <c r="C13" s="12" t="s">
        <v>90</v>
      </c>
      <c r="D13" s="13" t="s">
        <v>4034</v>
      </c>
      <c r="E13" s="12" t="s">
        <v>154</v>
      </c>
      <c r="F13" s="12" t="s">
        <v>154</v>
      </c>
      <c r="G13" s="13" t="s">
        <v>2951</v>
      </c>
      <c r="H13" s="12" t="s">
        <v>119</v>
      </c>
      <c r="I13" s="12" t="s">
        <v>134</v>
      </c>
      <c r="J13" s="14" t="n">
        <v>46230</v>
      </c>
      <c r="K13" s="13" t="s">
        <v>4035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4036</v>
      </c>
      <c r="B14" s="12" t="s">
        <v>1372</v>
      </c>
      <c r="C14" s="12" t="s">
        <v>823</v>
      </c>
      <c r="D14" s="13" t="s">
        <v>4037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46230</v>
      </c>
      <c r="K14" s="13" t="s">
        <v>4038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4039</v>
      </c>
      <c r="B15" s="12" t="s">
        <v>1637</v>
      </c>
      <c r="C15" s="12" t="s">
        <v>823</v>
      </c>
      <c r="D15" s="13" t="s">
        <v>4040</v>
      </c>
      <c r="E15" s="12" t="s">
        <v>154</v>
      </c>
      <c r="F15" s="12" t="s">
        <v>174</v>
      </c>
      <c r="G15" s="13" t="s">
        <v>4024</v>
      </c>
      <c r="H15" s="12" t="s">
        <v>119</v>
      </c>
      <c r="I15" s="12" t="s">
        <v>134</v>
      </c>
      <c r="J15" s="14" t="n">
        <v>46230</v>
      </c>
      <c r="K15" s="13" t="s">
        <v>4041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4042</v>
      </c>
      <c r="B16" s="12" t="s">
        <v>3506</v>
      </c>
      <c r="C16" s="12" t="s">
        <v>4043</v>
      </c>
      <c r="D16" s="13" t="s">
        <v>4044</v>
      </c>
      <c r="E16" s="12" t="s">
        <v>179</v>
      </c>
      <c r="F16" s="12" t="s">
        <v>179</v>
      </c>
      <c r="G16" s="13" t="s">
        <v>4045</v>
      </c>
      <c r="H16" s="12" t="s">
        <v>119</v>
      </c>
      <c r="I16" s="12" t="s">
        <v>134</v>
      </c>
      <c r="J16" s="14" t="n">
        <v>46230</v>
      </c>
      <c r="K16" s="13" t="s">
        <v>4046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4047</v>
      </c>
      <c r="B17" s="12" t="s">
        <v>1650</v>
      </c>
      <c r="C17" s="12" t="s">
        <v>4043</v>
      </c>
      <c r="D17" s="13" t="s">
        <v>4048</v>
      </c>
      <c r="E17" s="12" t="s">
        <v>179</v>
      </c>
      <c r="F17" s="12" t="s">
        <v>189</v>
      </c>
      <c r="G17" s="13" t="s">
        <v>4049</v>
      </c>
      <c r="H17" s="12" t="s">
        <v>119</v>
      </c>
      <c r="I17" s="12" t="s">
        <v>134</v>
      </c>
      <c r="J17" s="14" t="n">
        <v>46230</v>
      </c>
      <c r="K17" s="13" t="s">
        <v>4050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4051</v>
      </c>
      <c r="B18" s="12" t="s">
        <v>1195</v>
      </c>
      <c r="C18" s="12" t="s">
        <v>823</v>
      </c>
      <c r="D18" s="13" t="s">
        <v>4052</v>
      </c>
      <c r="E18" s="12" t="s">
        <v>179</v>
      </c>
      <c r="F18" s="12" t="s">
        <v>179</v>
      </c>
      <c r="G18" s="13" t="s">
        <v>4045</v>
      </c>
      <c r="H18" s="12" t="s">
        <v>119</v>
      </c>
      <c r="I18" s="12" t="s">
        <v>134</v>
      </c>
      <c r="J18" s="14" t="n">
        <v>46230</v>
      </c>
      <c r="K18" s="13" t="s">
        <v>4053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4054</v>
      </c>
      <c r="B19" s="12" t="s">
        <v>1291</v>
      </c>
      <c r="C19" s="12" t="s">
        <v>4055</v>
      </c>
      <c r="D19" s="13" t="s">
        <v>4056</v>
      </c>
      <c r="E19" s="12" t="s">
        <v>179</v>
      </c>
      <c r="F19" s="12" t="s">
        <v>179</v>
      </c>
      <c r="G19" s="13" t="s">
        <v>4045</v>
      </c>
      <c r="H19" s="12" t="s">
        <v>119</v>
      </c>
      <c r="I19" s="12" t="s">
        <v>134</v>
      </c>
      <c r="J19" s="14" t="n">
        <v>46230</v>
      </c>
      <c r="K19" s="13" t="s">
        <v>4057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4058</v>
      </c>
      <c r="B20" s="12" t="s">
        <v>4059</v>
      </c>
      <c r="C20" s="12" t="s">
        <v>4059</v>
      </c>
      <c r="D20" s="13" t="s">
        <v>4060</v>
      </c>
      <c r="E20" s="12" t="s">
        <v>154</v>
      </c>
      <c r="F20" s="12" t="s">
        <v>174</v>
      </c>
      <c r="G20" s="13" t="s">
        <v>4061</v>
      </c>
      <c r="H20" s="12" t="s">
        <v>119</v>
      </c>
      <c r="I20" s="12" t="s">
        <v>134</v>
      </c>
      <c r="J20" s="14" t="n">
        <v>46230</v>
      </c>
      <c r="K20" s="13" t="s">
        <v>4062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4063</v>
      </c>
      <c r="B21" s="12" t="s">
        <v>4064</v>
      </c>
      <c r="C21" s="12" t="s">
        <v>4065</v>
      </c>
      <c r="D21" s="13" t="s">
        <v>4066</v>
      </c>
      <c r="E21" s="12" t="s">
        <v>179</v>
      </c>
      <c r="F21" s="12" t="s">
        <v>179</v>
      </c>
      <c r="G21" s="13" t="s">
        <v>4045</v>
      </c>
      <c r="H21" s="12" t="s">
        <v>119</v>
      </c>
      <c r="I21" s="12" t="s">
        <v>134</v>
      </c>
      <c r="J21" s="14" t="n">
        <v>46230</v>
      </c>
      <c r="K21" s="13" t="s">
        <v>4067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4068</v>
      </c>
      <c r="B22" s="12" t="s">
        <v>193</v>
      </c>
      <c r="C22" s="12" t="s">
        <v>1246</v>
      </c>
      <c r="D22" s="13" t="s">
        <v>4069</v>
      </c>
      <c r="E22" s="12" t="s">
        <v>179</v>
      </c>
      <c r="F22" s="12" t="s">
        <v>189</v>
      </c>
      <c r="G22" s="13" t="s">
        <v>4049</v>
      </c>
      <c r="H22" s="12" t="s">
        <v>119</v>
      </c>
      <c r="I22" s="12" t="s">
        <v>134</v>
      </c>
      <c r="J22" s="14" t="n">
        <v>46230</v>
      </c>
      <c r="K22" s="13" t="s">
        <v>4070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4071</v>
      </c>
      <c r="B23" s="12" t="s">
        <v>2541</v>
      </c>
      <c r="C23" s="12" t="s">
        <v>4055</v>
      </c>
      <c r="D23" s="13" t="s">
        <v>4072</v>
      </c>
      <c r="E23" s="12" t="s">
        <v>179</v>
      </c>
      <c r="F23" s="12" t="s">
        <v>189</v>
      </c>
      <c r="G23" s="13" t="s">
        <v>4073</v>
      </c>
      <c r="H23" s="12" t="s">
        <v>119</v>
      </c>
      <c r="I23" s="12" t="s">
        <v>134</v>
      </c>
      <c r="J23" s="14" t="n">
        <v>46230</v>
      </c>
      <c r="K23" s="13" t="s">
        <v>4074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4075</v>
      </c>
      <c r="B24" s="12" t="s">
        <v>182</v>
      </c>
      <c r="C24" s="12" t="s">
        <v>823</v>
      </c>
      <c r="D24" s="13" t="s">
        <v>4076</v>
      </c>
      <c r="E24" s="12" t="s">
        <v>179</v>
      </c>
      <c r="F24" s="12" t="s">
        <v>184</v>
      </c>
      <c r="G24" s="13" t="s">
        <v>4045</v>
      </c>
      <c r="H24" s="12" t="s">
        <v>119</v>
      </c>
      <c r="I24" s="12" t="s">
        <v>134</v>
      </c>
      <c r="J24" s="14" t="n">
        <v>46230</v>
      </c>
      <c r="K24" s="13" t="s">
        <v>4077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4078</v>
      </c>
      <c r="B25" s="12" t="s">
        <v>642</v>
      </c>
      <c r="C25" s="12" t="s">
        <v>90</v>
      </c>
      <c r="D25" s="13" t="s">
        <v>4079</v>
      </c>
      <c r="E25" s="12" t="s">
        <v>154</v>
      </c>
      <c r="F25" s="12" t="s">
        <v>644</v>
      </c>
      <c r="G25" s="13" t="s">
        <v>4080</v>
      </c>
      <c r="H25" s="12" t="s">
        <v>119</v>
      </c>
      <c r="I25" s="12" t="s">
        <v>134</v>
      </c>
      <c r="J25" s="14" t="n">
        <v>46230</v>
      </c>
      <c r="K25" s="13" t="s">
        <v>4081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4082</v>
      </c>
      <c r="B26" s="12" t="s">
        <v>2447</v>
      </c>
      <c r="C26" s="12" t="s">
        <v>90</v>
      </c>
      <c r="D26" s="13" t="s">
        <v>4083</v>
      </c>
      <c r="E26" s="12" t="s">
        <v>154</v>
      </c>
      <c r="F26" s="12" t="s">
        <v>213</v>
      </c>
      <c r="G26" s="13" t="s">
        <v>4084</v>
      </c>
      <c r="H26" s="12" t="s">
        <v>119</v>
      </c>
      <c r="I26" s="12" t="s">
        <v>134</v>
      </c>
      <c r="J26" s="14" t="n">
        <v>46230</v>
      </c>
      <c r="K26" s="13" t="s">
        <v>3543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4085</v>
      </c>
      <c r="B27" s="12" t="s">
        <v>216</v>
      </c>
      <c r="C27" s="12" t="s">
        <v>90</v>
      </c>
      <c r="D27" s="13" t="s">
        <v>4086</v>
      </c>
      <c r="E27" s="12" t="s">
        <v>154</v>
      </c>
      <c r="F27" s="12" t="s">
        <v>213</v>
      </c>
      <c r="G27" s="13" t="s">
        <v>4087</v>
      </c>
      <c r="H27" s="12" t="s">
        <v>119</v>
      </c>
      <c r="I27" s="12" t="s">
        <v>134</v>
      </c>
      <c r="J27" s="14" t="n">
        <v>46230</v>
      </c>
      <c r="K27" s="13" t="s">
        <v>4088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4089</v>
      </c>
      <c r="B28" s="12" t="s">
        <v>220</v>
      </c>
      <c r="C28" s="12" t="s">
        <v>90</v>
      </c>
      <c r="D28" s="13" t="s">
        <v>4090</v>
      </c>
      <c r="E28" s="12" t="s">
        <v>222</v>
      </c>
      <c r="F28" s="12" t="s">
        <v>222</v>
      </c>
      <c r="G28" s="13" t="s">
        <v>2608</v>
      </c>
      <c r="H28" s="12" t="s">
        <v>119</v>
      </c>
      <c r="I28" s="12" t="s">
        <v>134</v>
      </c>
      <c r="J28" s="14" t="n">
        <v>46230</v>
      </c>
      <c r="K28" s="13" t="s">
        <v>4091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4092</v>
      </c>
      <c r="B29" s="12" t="s">
        <v>207</v>
      </c>
      <c r="C29" s="12" t="s">
        <v>90</v>
      </c>
      <c r="D29" s="13" t="s">
        <v>4093</v>
      </c>
      <c r="E29" s="12" t="s">
        <v>3023</v>
      </c>
      <c r="F29" s="12" t="s">
        <v>195</v>
      </c>
      <c r="G29" s="13" t="s">
        <v>4094</v>
      </c>
      <c r="H29" s="12" t="s">
        <v>113</v>
      </c>
      <c r="I29" s="12" t="s">
        <v>133</v>
      </c>
      <c r="J29" s="14" t="n">
        <v>46230</v>
      </c>
      <c r="K29" s="13" t="s">
        <v>1870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4095</v>
      </c>
      <c r="B30" s="12" t="s">
        <v>225</v>
      </c>
      <c r="C30" s="12" t="s">
        <v>90</v>
      </c>
      <c r="D30" s="13" t="s">
        <v>2612</v>
      </c>
      <c r="E30" s="12" t="s">
        <v>154</v>
      </c>
      <c r="F30" s="12" t="s">
        <v>154</v>
      </c>
      <c r="G30" s="13" t="s">
        <v>4096</v>
      </c>
      <c r="H30" s="12" t="s">
        <v>119</v>
      </c>
      <c r="I30" s="12" t="s">
        <v>134</v>
      </c>
      <c r="J30" s="14" t="n">
        <v>46230</v>
      </c>
      <c r="K30" s="13" t="s">
        <v>4097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4099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137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4100</v>
      </c>
      <c r="B9" s="12" t="s">
        <v>111</v>
      </c>
      <c r="C9" s="12" t="s">
        <v>1246</v>
      </c>
      <c r="D9" s="13" t="s">
        <v>4101</v>
      </c>
      <c r="E9" s="12" t="s">
        <v>154</v>
      </c>
      <c r="F9" s="12" t="s">
        <v>155</v>
      </c>
      <c r="G9" s="13" t="s">
        <v>4102</v>
      </c>
      <c r="H9" s="12" t="s">
        <v>119</v>
      </c>
      <c r="I9" s="12" t="s">
        <v>134</v>
      </c>
      <c r="J9" s="14" t="n">
        <v>46230</v>
      </c>
      <c r="K9" s="13" t="s">
        <v>4021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4103</v>
      </c>
      <c r="B10" s="12" t="s">
        <v>2460</v>
      </c>
      <c r="C10" s="12" t="s">
        <v>1246</v>
      </c>
      <c r="D10" s="13" t="s">
        <v>4104</v>
      </c>
      <c r="E10" s="12" t="s">
        <v>154</v>
      </c>
      <c r="F10" s="12" t="s">
        <v>174</v>
      </c>
      <c r="G10" s="13" t="s">
        <v>4105</v>
      </c>
      <c r="H10" s="12" t="s">
        <v>119</v>
      </c>
      <c r="I10" s="12" t="s">
        <v>134</v>
      </c>
      <c r="J10" s="14" t="n">
        <v>46230</v>
      </c>
      <c r="K10" s="13" t="s">
        <v>4025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4106</v>
      </c>
      <c r="B11" s="12" t="s">
        <v>1404</v>
      </c>
      <c r="C11" s="12" t="s">
        <v>1246</v>
      </c>
      <c r="D11" s="13" t="s">
        <v>4107</v>
      </c>
      <c r="E11" s="12" t="s">
        <v>154</v>
      </c>
      <c r="F11" s="12" t="s">
        <v>174</v>
      </c>
      <c r="G11" s="13" t="s">
        <v>4105</v>
      </c>
      <c r="H11" s="12" t="s">
        <v>119</v>
      </c>
      <c r="I11" s="12" t="s">
        <v>134</v>
      </c>
      <c r="J11" s="14" t="n">
        <v>46230</v>
      </c>
      <c r="K11" s="13" t="s">
        <v>4108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4109</v>
      </c>
      <c r="B12" s="12" t="s">
        <v>162</v>
      </c>
      <c r="C12" s="12" t="s">
        <v>2469</v>
      </c>
      <c r="D12" s="13" t="s">
        <v>4110</v>
      </c>
      <c r="E12" s="12" t="s">
        <v>154</v>
      </c>
      <c r="F12" s="12" t="s">
        <v>164</v>
      </c>
      <c r="G12" s="13" t="s">
        <v>4111</v>
      </c>
      <c r="H12" s="12" t="s">
        <v>119</v>
      </c>
      <c r="I12" s="12" t="s">
        <v>134</v>
      </c>
      <c r="J12" s="14" t="n">
        <v>46230</v>
      </c>
      <c r="K12" s="13" t="s">
        <v>4112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4113</v>
      </c>
      <c r="B13" s="12" t="s">
        <v>158</v>
      </c>
      <c r="C13" s="12" t="s">
        <v>91</v>
      </c>
      <c r="D13" s="13" t="s">
        <v>4114</v>
      </c>
      <c r="E13" s="12" t="s">
        <v>154</v>
      </c>
      <c r="F13" s="12" t="s">
        <v>154</v>
      </c>
      <c r="G13" s="13" t="s">
        <v>2951</v>
      </c>
      <c r="H13" s="12" t="s">
        <v>119</v>
      </c>
      <c r="I13" s="12" t="s">
        <v>134</v>
      </c>
      <c r="J13" s="14" t="n">
        <v>46230</v>
      </c>
      <c r="K13" s="13" t="s">
        <v>4035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4115</v>
      </c>
      <c r="B14" s="12" t="s">
        <v>1372</v>
      </c>
      <c r="C14" s="12" t="s">
        <v>823</v>
      </c>
      <c r="D14" s="13" t="s">
        <v>4116</v>
      </c>
      <c r="E14" s="12" t="s">
        <v>154</v>
      </c>
      <c r="F14" s="12" t="s">
        <v>154</v>
      </c>
      <c r="G14" s="13" t="s">
        <v>1374</v>
      </c>
      <c r="H14" s="12" t="s">
        <v>119</v>
      </c>
      <c r="I14" s="12" t="s">
        <v>134</v>
      </c>
      <c r="J14" s="14" t="n">
        <v>46230</v>
      </c>
      <c r="K14" s="13" t="s">
        <v>4038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4117</v>
      </c>
      <c r="B15" s="12" t="s">
        <v>1637</v>
      </c>
      <c r="C15" s="12" t="s">
        <v>823</v>
      </c>
      <c r="D15" s="13" t="s">
        <v>4118</v>
      </c>
      <c r="E15" s="12" t="s">
        <v>154</v>
      </c>
      <c r="F15" s="12" t="s">
        <v>174</v>
      </c>
      <c r="G15" s="13" t="s">
        <v>4105</v>
      </c>
      <c r="H15" s="12" t="s">
        <v>119</v>
      </c>
      <c r="I15" s="12" t="s">
        <v>134</v>
      </c>
      <c r="J15" s="14" t="n">
        <v>46230</v>
      </c>
      <c r="K15" s="13" t="s">
        <v>4041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4119</v>
      </c>
      <c r="B16" s="12" t="s">
        <v>3506</v>
      </c>
      <c r="C16" s="12" t="s">
        <v>4043</v>
      </c>
      <c r="D16" s="13" t="s">
        <v>4044</v>
      </c>
      <c r="E16" s="12" t="s">
        <v>179</v>
      </c>
      <c r="F16" s="12" t="s">
        <v>179</v>
      </c>
      <c r="G16" s="13" t="s">
        <v>4120</v>
      </c>
      <c r="H16" s="12" t="s">
        <v>119</v>
      </c>
      <c r="I16" s="12" t="s">
        <v>134</v>
      </c>
      <c r="J16" s="14" t="n">
        <v>46230</v>
      </c>
      <c r="K16" s="13" t="s">
        <v>4046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4121</v>
      </c>
      <c r="B17" s="12" t="s">
        <v>1355</v>
      </c>
      <c r="C17" s="12" t="s">
        <v>4122</v>
      </c>
      <c r="D17" s="13" t="s">
        <v>4123</v>
      </c>
      <c r="E17" s="12" t="s">
        <v>179</v>
      </c>
      <c r="F17" s="12" t="s">
        <v>179</v>
      </c>
      <c r="G17" s="13" t="s">
        <v>4120</v>
      </c>
      <c r="H17" s="12" t="s">
        <v>119</v>
      </c>
      <c r="I17" s="12" t="s">
        <v>134</v>
      </c>
      <c r="J17" s="14" t="n">
        <v>46230</v>
      </c>
      <c r="K17" s="13" t="s">
        <v>4124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4125</v>
      </c>
      <c r="B18" s="12" t="s">
        <v>1195</v>
      </c>
      <c r="C18" s="12" t="s">
        <v>823</v>
      </c>
      <c r="D18" s="13" t="s">
        <v>4126</v>
      </c>
      <c r="E18" s="12" t="s">
        <v>179</v>
      </c>
      <c r="F18" s="12" t="s">
        <v>179</v>
      </c>
      <c r="G18" s="13" t="s">
        <v>4120</v>
      </c>
      <c r="H18" s="12" t="s">
        <v>119</v>
      </c>
      <c r="I18" s="12" t="s">
        <v>134</v>
      </c>
      <c r="J18" s="14" t="n">
        <v>46230</v>
      </c>
      <c r="K18" s="13" t="s">
        <v>4053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4127</v>
      </c>
      <c r="B19" s="12" t="s">
        <v>1291</v>
      </c>
      <c r="C19" s="12" t="s">
        <v>4122</v>
      </c>
      <c r="D19" s="13" t="s">
        <v>4128</v>
      </c>
      <c r="E19" s="12" t="s">
        <v>179</v>
      </c>
      <c r="F19" s="12" t="s">
        <v>179</v>
      </c>
      <c r="G19" s="13" t="s">
        <v>4120</v>
      </c>
      <c r="H19" s="12" t="s">
        <v>119</v>
      </c>
      <c r="I19" s="12" t="s">
        <v>134</v>
      </c>
      <c r="J19" s="14" t="n">
        <v>46230</v>
      </c>
      <c r="K19" s="13" t="s">
        <v>4129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4130</v>
      </c>
      <c r="B20" s="12" t="s">
        <v>1650</v>
      </c>
      <c r="C20" s="12" t="s">
        <v>1852</v>
      </c>
      <c r="D20" s="13" t="s">
        <v>4131</v>
      </c>
      <c r="E20" s="12" t="s">
        <v>179</v>
      </c>
      <c r="F20" s="12" t="s">
        <v>189</v>
      </c>
      <c r="G20" s="13" t="s">
        <v>4132</v>
      </c>
      <c r="H20" s="12" t="s">
        <v>119</v>
      </c>
      <c r="I20" s="12" t="s">
        <v>134</v>
      </c>
      <c r="J20" s="14" t="n">
        <v>46230</v>
      </c>
      <c r="K20" s="13" t="s">
        <v>4050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4133</v>
      </c>
      <c r="B21" s="12" t="s">
        <v>4064</v>
      </c>
      <c r="C21" s="12" t="s">
        <v>4065</v>
      </c>
      <c r="D21" s="13" t="s">
        <v>4066</v>
      </c>
      <c r="E21" s="12" t="s">
        <v>179</v>
      </c>
      <c r="F21" s="12" t="s">
        <v>179</v>
      </c>
      <c r="G21" s="13" t="s">
        <v>4120</v>
      </c>
      <c r="H21" s="12" t="s">
        <v>119</v>
      </c>
      <c r="I21" s="12" t="s">
        <v>134</v>
      </c>
      <c r="J21" s="14" t="n">
        <v>46230</v>
      </c>
      <c r="K21" s="13" t="s">
        <v>4134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4135</v>
      </c>
      <c r="B22" s="12" t="s">
        <v>193</v>
      </c>
      <c r="C22" s="12" t="s">
        <v>1246</v>
      </c>
      <c r="D22" s="13" t="s">
        <v>4136</v>
      </c>
      <c r="E22" s="12" t="s">
        <v>179</v>
      </c>
      <c r="F22" s="12" t="s">
        <v>189</v>
      </c>
      <c r="G22" s="13" t="s">
        <v>4132</v>
      </c>
      <c r="H22" s="12" t="s">
        <v>119</v>
      </c>
      <c r="I22" s="12" t="s">
        <v>134</v>
      </c>
      <c r="J22" s="14" t="n">
        <v>46230</v>
      </c>
      <c r="K22" s="13" t="s">
        <v>4070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4137</v>
      </c>
      <c r="B23" s="12" t="s">
        <v>2541</v>
      </c>
      <c r="C23" s="12" t="s">
        <v>4122</v>
      </c>
      <c r="D23" s="13" t="s">
        <v>4138</v>
      </c>
      <c r="E23" s="12" t="s">
        <v>179</v>
      </c>
      <c r="F23" s="12" t="s">
        <v>189</v>
      </c>
      <c r="G23" s="13" t="s">
        <v>4139</v>
      </c>
      <c r="H23" s="12" t="s">
        <v>119</v>
      </c>
      <c r="I23" s="12" t="s">
        <v>134</v>
      </c>
      <c r="J23" s="14" t="n">
        <v>46230</v>
      </c>
      <c r="K23" s="13" t="s">
        <v>4074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4140</v>
      </c>
      <c r="B24" s="12" t="s">
        <v>182</v>
      </c>
      <c r="C24" s="12" t="s">
        <v>4141</v>
      </c>
      <c r="D24" s="13" t="s">
        <v>4142</v>
      </c>
      <c r="E24" s="12" t="s">
        <v>179</v>
      </c>
      <c r="F24" s="12" t="s">
        <v>184</v>
      </c>
      <c r="G24" s="13" t="s">
        <v>4120</v>
      </c>
      <c r="H24" s="12" t="s">
        <v>119</v>
      </c>
      <c r="I24" s="12" t="s">
        <v>134</v>
      </c>
      <c r="J24" s="14" t="n">
        <v>46230</v>
      </c>
      <c r="K24" s="13" t="s">
        <v>4077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4143</v>
      </c>
      <c r="B25" s="12" t="s">
        <v>642</v>
      </c>
      <c r="C25" s="12" t="s">
        <v>91</v>
      </c>
      <c r="D25" s="13" t="s">
        <v>4079</v>
      </c>
      <c r="E25" s="12" t="s">
        <v>154</v>
      </c>
      <c r="F25" s="12" t="s">
        <v>644</v>
      </c>
      <c r="G25" s="13" t="s">
        <v>4144</v>
      </c>
      <c r="H25" s="12" t="s">
        <v>119</v>
      </c>
      <c r="I25" s="12" t="s">
        <v>134</v>
      </c>
      <c r="J25" s="14" t="n">
        <v>46230</v>
      </c>
      <c r="K25" s="13" t="s">
        <v>4081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4145</v>
      </c>
      <c r="B26" s="12" t="s">
        <v>2447</v>
      </c>
      <c r="C26" s="12" t="s">
        <v>91</v>
      </c>
      <c r="D26" s="13" t="s">
        <v>4146</v>
      </c>
      <c r="E26" s="12" t="s">
        <v>154</v>
      </c>
      <c r="F26" s="12" t="s">
        <v>213</v>
      </c>
      <c r="G26" s="13" t="s">
        <v>4147</v>
      </c>
      <c r="H26" s="12" t="s">
        <v>119</v>
      </c>
      <c r="I26" s="12" t="s">
        <v>134</v>
      </c>
      <c r="J26" s="14" t="n">
        <v>46230</v>
      </c>
      <c r="K26" s="13" t="s">
        <v>3543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4148</v>
      </c>
      <c r="B27" s="12" t="s">
        <v>216</v>
      </c>
      <c r="C27" s="12" t="s">
        <v>91</v>
      </c>
      <c r="D27" s="13" t="s">
        <v>4149</v>
      </c>
      <c r="E27" s="12" t="s">
        <v>154</v>
      </c>
      <c r="F27" s="12" t="s">
        <v>213</v>
      </c>
      <c r="G27" s="13" t="s">
        <v>4150</v>
      </c>
      <c r="H27" s="12" t="s">
        <v>119</v>
      </c>
      <c r="I27" s="12" t="s">
        <v>134</v>
      </c>
      <c r="J27" s="14" t="n">
        <v>46230</v>
      </c>
      <c r="K27" s="13" t="s">
        <v>4088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4151</v>
      </c>
      <c r="B28" s="12" t="s">
        <v>220</v>
      </c>
      <c r="C28" s="12" t="s">
        <v>91</v>
      </c>
      <c r="D28" s="13" t="s">
        <v>4152</v>
      </c>
      <c r="E28" s="12" t="s">
        <v>222</v>
      </c>
      <c r="F28" s="12" t="s">
        <v>222</v>
      </c>
      <c r="G28" s="13" t="s">
        <v>2608</v>
      </c>
      <c r="H28" s="12" t="s">
        <v>119</v>
      </c>
      <c r="I28" s="12" t="s">
        <v>134</v>
      </c>
      <c r="J28" s="14" t="n">
        <v>46230</v>
      </c>
      <c r="K28" s="13" t="s">
        <v>4091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4153</v>
      </c>
      <c r="B29" s="12" t="s">
        <v>207</v>
      </c>
      <c r="C29" s="12" t="s">
        <v>91</v>
      </c>
      <c r="D29" s="13" t="s">
        <v>4093</v>
      </c>
      <c r="E29" s="12" t="s">
        <v>3023</v>
      </c>
      <c r="F29" s="12" t="s">
        <v>195</v>
      </c>
      <c r="G29" s="13" t="s">
        <v>4154</v>
      </c>
      <c r="H29" s="12" t="s">
        <v>113</v>
      </c>
      <c r="I29" s="12" t="s">
        <v>133</v>
      </c>
      <c r="J29" s="14" t="n">
        <v>46230</v>
      </c>
      <c r="K29" s="13" t="s">
        <v>1870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4155</v>
      </c>
      <c r="B30" s="12" t="s">
        <v>225</v>
      </c>
      <c r="C30" s="12" t="s">
        <v>91</v>
      </c>
      <c r="D30" s="13" t="s">
        <v>2612</v>
      </c>
      <c r="E30" s="12" t="s">
        <v>154</v>
      </c>
      <c r="F30" s="12" t="s">
        <v>154</v>
      </c>
      <c r="G30" s="13" t="s">
        <v>4096</v>
      </c>
      <c r="H30" s="12" t="s">
        <v>119</v>
      </c>
      <c r="I30" s="12" t="s">
        <v>134</v>
      </c>
      <c r="J30" s="14" t="n">
        <v>46230</v>
      </c>
      <c r="K30" s="13" t="s">
        <v>4097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conditionalFormatting sqref="H9:H30">
    <cfRule type="expression" priority="2" aboveAverage="0" equalAverage="0" bottom="0" percent="0" rank="0" text="" dxfId="12">
      <formula>H9="verified"</formula>
    </cfRule>
  </conditionalFormatting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4157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137</v>
      </c>
      <c r="E4" s="6" t="n">
        <f aca="false">SUM(M9:M33)</f>
        <v>16</v>
      </c>
      <c r="G4" s="5" t="s">
        <v>14</v>
      </c>
      <c r="H4" s="7" t="n">
        <f aca="false">IF(B4=0,0,E4/B4)</f>
        <v>0.64</v>
      </c>
      <c r="J4" s="5" t="s">
        <v>15</v>
      </c>
      <c r="K4" s="6" t="str">
        <f aca="false">IF(COUNTIFS(E9:E33,"package",M9:M33,0)&gt;0,"open","complete")</f>
        <v>complete</v>
      </c>
    </row>
    <row r="5" customFormat="false" ht="17.25" hidden="false" customHeight="true" outlineLevel="0" collapsed="false">
      <c r="A5" s="5" t="s">
        <v>138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open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54" hidden="false" customHeight="true" outlineLevel="0" collapsed="false">
      <c r="A9" s="12" t="s">
        <v>4158</v>
      </c>
      <c r="B9" s="12" t="s">
        <v>111</v>
      </c>
      <c r="C9" s="12" t="s">
        <v>1246</v>
      </c>
      <c r="D9" s="13" t="s">
        <v>4159</v>
      </c>
      <c r="E9" s="12" t="s">
        <v>154</v>
      </c>
      <c r="F9" s="12" t="s">
        <v>155</v>
      </c>
      <c r="G9" s="13" t="s">
        <v>4160</v>
      </c>
      <c r="H9" s="12" t="s">
        <v>119</v>
      </c>
      <c r="I9" s="12" t="s">
        <v>134</v>
      </c>
      <c r="J9" s="14" t="n">
        <v>46241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4161</v>
      </c>
      <c r="B10" s="12" t="s">
        <v>2460</v>
      </c>
      <c r="C10" s="12" t="s">
        <v>1246</v>
      </c>
      <c r="D10" s="13" t="s">
        <v>4162</v>
      </c>
      <c r="E10" s="12" t="s">
        <v>154</v>
      </c>
      <c r="F10" s="12" t="s">
        <v>174</v>
      </c>
      <c r="G10" s="13" t="s">
        <v>4163</v>
      </c>
      <c r="H10" s="12" t="s">
        <v>119</v>
      </c>
      <c r="I10" s="12" t="s">
        <v>134</v>
      </c>
      <c r="J10" s="14" t="n">
        <v>46241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4164</v>
      </c>
      <c r="B11" s="12" t="s">
        <v>1404</v>
      </c>
      <c r="C11" s="12" t="s">
        <v>1246</v>
      </c>
      <c r="D11" s="13" t="s">
        <v>4165</v>
      </c>
      <c r="E11" s="12" t="s">
        <v>154</v>
      </c>
      <c r="F11" s="12" t="s">
        <v>174</v>
      </c>
      <c r="G11" s="13" t="s">
        <v>4163</v>
      </c>
      <c r="H11" s="12" t="s">
        <v>119</v>
      </c>
      <c r="I11" s="12" t="s">
        <v>134</v>
      </c>
      <c r="J11" s="14" t="n">
        <v>46241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4166</v>
      </c>
      <c r="B12" s="12" t="s">
        <v>162</v>
      </c>
      <c r="C12" s="12" t="s">
        <v>2469</v>
      </c>
      <c r="D12" s="13" t="s">
        <v>4167</v>
      </c>
      <c r="E12" s="12" t="s">
        <v>154</v>
      </c>
      <c r="F12" s="12" t="s">
        <v>164</v>
      </c>
      <c r="G12" s="13" t="s">
        <v>4168</v>
      </c>
      <c r="H12" s="12" t="s">
        <v>119</v>
      </c>
      <c r="I12" s="12" t="s">
        <v>134</v>
      </c>
      <c r="J12" s="14" t="n">
        <v>46241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4169</v>
      </c>
      <c r="B13" s="12" t="s">
        <v>158</v>
      </c>
      <c r="C13" s="12" t="s">
        <v>1246</v>
      </c>
      <c r="D13" s="13" t="s">
        <v>4170</v>
      </c>
      <c r="E13" s="12" t="s">
        <v>154</v>
      </c>
      <c r="F13" s="12" t="s">
        <v>154</v>
      </c>
      <c r="G13" s="13" t="s">
        <v>160</v>
      </c>
      <c r="H13" s="12" t="s">
        <v>119</v>
      </c>
      <c r="I13" s="12" t="s">
        <v>134</v>
      </c>
      <c r="J13" s="14" t="n">
        <v>46241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4171</v>
      </c>
      <c r="B14" s="12" t="s">
        <v>4172</v>
      </c>
      <c r="C14" s="12" t="s">
        <v>4173</v>
      </c>
      <c r="D14" s="13" t="s">
        <v>4174</v>
      </c>
      <c r="E14" s="12" t="s">
        <v>154</v>
      </c>
      <c r="F14" s="12" t="s">
        <v>154</v>
      </c>
      <c r="G14" s="13" t="s">
        <v>4175</v>
      </c>
      <c r="H14" s="12" t="s">
        <v>119</v>
      </c>
      <c r="I14" s="12" t="s">
        <v>134</v>
      </c>
      <c r="J14" s="14" t="n">
        <v>46241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4176</v>
      </c>
      <c r="B15" s="12" t="s">
        <v>1637</v>
      </c>
      <c r="C15" s="12" t="s">
        <v>823</v>
      </c>
      <c r="D15" s="13" t="s">
        <v>4177</v>
      </c>
      <c r="E15" s="12" t="s">
        <v>154</v>
      </c>
      <c r="F15" s="12" t="s">
        <v>174</v>
      </c>
      <c r="G15" s="13" t="s">
        <v>4163</v>
      </c>
      <c r="H15" s="12" t="s">
        <v>119</v>
      </c>
      <c r="I15" s="12" t="s">
        <v>134</v>
      </c>
      <c r="J15" s="14" t="n">
        <v>46241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4178</v>
      </c>
      <c r="B16" s="12" t="s">
        <v>2642</v>
      </c>
      <c r="C16" s="12" t="s">
        <v>4179</v>
      </c>
      <c r="D16" s="13" t="s">
        <v>4180</v>
      </c>
      <c r="E16" s="12" t="s">
        <v>154</v>
      </c>
      <c r="F16" s="12" t="s">
        <v>179</v>
      </c>
      <c r="G16" s="13" t="s">
        <v>4181</v>
      </c>
      <c r="H16" s="12" t="s">
        <v>119</v>
      </c>
      <c r="I16" s="12" t="s">
        <v>134</v>
      </c>
      <c r="J16" s="14" t="n">
        <v>46241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4182</v>
      </c>
      <c r="B17" s="12" t="s">
        <v>4183</v>
      </c>
      <c r="C17" s="12" t="s">
        <v>4184</v>
      </c>
      <c r="D17" s="13" t="s">
        <v>4185</v>
      </c>
      <c r="E17" s="12" t="s">
        <v>154</v>
      </c>
      <c r="F17" s="12" t="s">
        <v>179</v>
      </c>
      <c r="G17" s="13" t="s">
        <v>4181</v>
      </c>
      <c r="H17" s="12" t="s">
        <v>119</v>
      </c>
      <c r="I17" s="12" t="s">
        <v>134</v>
      </c>
      <c r="J17" s="14" t="n">
        <v>46241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4186</v>
      </c>
      <c r="B18" s="12" t="s">
        <v>1979</v>
      </c>
      <c r="C18" s="12" t="s">
        <v>3627</v>
      </c>
      <c r="D18" s="13" t="s">
        <v>4187</v>
      </c>
      <c r="E18" s="12" t="s">
        <v>154</v>
      </c>
      <c r="F18" s="12" t="s">
        <v>179</v>
      </c>
      <c r="G18" s="13" t="s">
        <v>4181</v>
      </c>
      <c r="H18" s="12" t="s">
        <v>119</v>
      </c>
      <c r="I18" s="12" t="s">
        <v>134</v>
      </c>
      <c r="J18" s="14" t="n">
        <v>46241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4188</v>
      </c>
      <c r="B19" s="12" t="s">
        <v>2719</v>
      </c>
      <c r="C19" s="12" t="s">
        <v>2649</v>
      </c>
      <c r="D19" s="13" t="s">
        <v>4189</v>
      </c>
      <c r="E19" s="12" t="s">
        <v>154</v>
      </c>
      <c r="F19" s="12" t="s">
        <v>179</v>
      </c>
      <c r="G19" s="13" t="s">
        <v>4181</v>
      </c>
      <c r="H19" s="12" t="s">
        <v>119</v>
      </c>
      <c r="I19" s="12" t="s">
        <v>134</v>
      </c>
      <c r="J19" s="14" t="n">
        <v>46241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4190</v>
      </c>
      <c r="B20" s="12" t="s">
        <v>4191</v>
      </c>
      <c r="C20" s="12" t="s">
        <v>4192</v>
      </c>
      <c r="D20" s="13" t="s">
        <v>4193</v>
      </c>
      <c r="E20" s="12" t="s">
        <v>154</v>
      </c>
      <c r="F20" s="12" t="s">
        <v>179</v>
      </c>
      <c r="G20" s="13" t="s">
        <v>4181</v>
      </c>
      <c r="H20" s="12" t="s">
        <v>119</v>
      </c>
      <c r="I20" s="12" t="s">
        <v>134</v>
      </c>
      <c r="J20" s="14" t="n">
        <v>46241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4194</v>
      </c>
      <c r="B21" s="12" t="s">
        <v>182</v>
      </c>
      <c r="C21" s="12" t="s">
        <v>4195</v>
      </c>
      <c r="D21" s="13" t="s">
        <v>4196</v>
      </c>
      <c r="E21" s="12" t="s">
        <v>154</v>
      </c>
      <c r="F21" s="12" t="s">
        <v>174</v>
      </c>
      <c r="G21" s="13" t="s">
        <v>4163</v>
      </c>
      <c r="H21" s="12" t="s">
        <v>119</v>
      </c>
      <c r="I21" s="12" t="s">
        <v>134</v>
      </c>
      <c r="J21" s="14" t="n">
        <v>46241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4197</v>
      </c>
      <c r="B22" s="12" t="s">
        <v>182</v>
      </c>
      <c r="C22" s="12" t="s">
        <v>2642</v>
      </c>
      <c r="D22" s="13" t="s">
        <v>4198</v>
      </c>
      <c r="E22" s="12" t="s">
        <v>154</v>
      </c>
      <c r="F22" s="12" t="s">
        <v>179</v>
      </c>
      <c r="G22" s="13" t="s">
        <v>4181</v>
      </c>
      <c r="H22" s="12" t="s">
        <v>119</v>
      </c>
      <c r="I22" s="12" t="s">
        <v>134</v>
      </c>
      <c r="J22" s="14" t="n">
        <v>46241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4199</v>
      </c>
      <c r="B23" s="12" t="s">
        <v>182</v>
      </c>
      <c r="C23" s="12" t="s">
        <v>4200</v>
      </c>
      <c r="D23" s="13" t="s">
        <v>4201</v>
      </c>
      <c r="E23" s="12" t="s">
        <v>154</v>
      </c>
      <c r="F23" s="12" t="s">
        <v>179</v>
      </c>
      <c r="G23" s="13" t="s">
        <v>4181</v>
      </c>
      <c r="H23" s="12" t="s">
        <v>119</v>
      </c>
      <c r="I23" s="12" t="s">
        <v>134</v>
      </c>
      <c r="J23" s="14" t="n">
        <v>46241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4202</v>
      </c>
      <c r="B24" s="12" t="s">
        <v>1195</v>
      </c>
      <c r="C24" s="12" t="s">
        <v>823</v>
      </c>
      <c r="D24" s="13" t="s">
        <v>4203</v>
      </c>
      <c r="E24" s="12" t="s">
        <v>644</v>
      </c>
      <c r="F24" s="12" t="s">
        <v>189</v>
      </c>
      <c r="G24" s="13" t="s">
        <v>4204</v>
      </c>
      <c r="H24" s="12" t="s">
        <v>117</v>
      </c>
      <c r="I24" s="12" t="s">
        <v>133</v>
      </c>
      <c r="J24" s="14"/>
      <c r="K24" s="13"/>
      <c r="L24" s="12" t="n">
        <v>0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4205</v>
      </c>
      <c r="B25" s="12" t="s">
        <v>4206</v>
      </c>
      <c r="C25" s="12" t="s">
        <v>823</v>
      </c>
      <c r="D25" s="13" t="s">
        <v>4207</v>
      </c>
      <c r="E25" s="12" t="s">
        <v>644</v>
      </c>
      <c r="F25" s="12" t="s">
        <v>189</v>
      </c>
      <c r="G25" s="13" t="s">
        <v>4204</v>
      </c>
      <c r="H25" s="12" t="s">
        <v>117</v>
      </c>
      <c r="I25" s="12" t="s">
        <v>133</v>
      </c>
      <c r="J25" s="14"/>
      <c r="K25" s="13"/>
      <c r="L25" s="12" t="n">
        <v>0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4208</v>
      </c>
      <c r="B26" s="12" t="s">
        <v>94</v>
      </c>
      <c r="C26" s="12" t="s">
        <v>1246</v>
      </c>
      <c r="D26" s="13" t="s">
        <v>4209</v>
      </c>
      <c r="E26" s="12" t="s">
        <v>644</v>
      </c>
      <c r="F26" s="12" t="s">
        <v>189</v>
      </c>
      <c r="G26" s="13" t="s">
        <v>4204</v>
      </c>
      <c r="H26" s="12" t="s">
        <v>117</v>
      </c>
      <c r="I26" s="12" t="s">
        <v>133</v>
      </c>
      <c r="J26" s="14"/>
      <c r="K26" s="13"/>
      <c r="L26" s="12" t="n">
        <v>0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4210</v>
      </c>
      <c r="B27" s="12" t="s">
        <v>2348</v>
      </c>
      <c r="C27" s="12" t="s">
        <v>1246</v>
      </c>
      <c r="D27" s="13" t="s">
        <v>4211</v>
      </c>
      <c r="E27" s="12" t="s">
        <v>195</v>
      </c>
      <c r="F27" s="12" t="s">
        <v>195</v>
      </c>
      <c r="G27" s="13" t="s">
        <v>4212</v>
      </c>
      <c r="H27" s="12" t="s">
        <v>113</v>
      </c>
      <c r="I27" s="12" t="s">
        <v>133</v>
      </c>
      <c r="J27" s="14"/>
      <c r="K27" s="13"/>
      <c r="L27" s="12" t="n">
        <v>0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4213</v>
      </c>
      <c r="B28" s="12" t="s">
        <v>1291</v>
      </c>
      <c r="C28" s="12" t="s">
        <v>1246</v>
      </c>
      <c r="D28" s="13" t="s">
        <v>4214</v>
      </c>
      <c r="E28" s="12" t="s">
        <v>195</v>
      </c>
      <c r="F28" s="12" t="s">
        <v>195</v>
      </c>
      <c r="G28" s="13" t="s">
        <v>4212</v>
      </c>
      <c r="H28" s="12" t="s">
        <v>113</v>
      </c>
      <c r="I28" s="12" t="s">
        <v>133</v>
      </c>
      <c r="J28" s="14"/>
      <c r="K28" s="13"/>
      <c r="L28" s="12" t="n">
        <v>0</v>
      </c>
      <c r="M28" s="12" t="n">
        <f aca="false">IF(OR(AND(I28="yes",H28="verified"),AND(I28="no",OR(H28="tested",H28="verified")),AND(H28="not applicable",K28&lt;&gt;"")),1,0)</f>
        <v>0</v>
      </c>
    </row>
    <row r="29" customFormat="false" ht="54" hidden="false" customHeight="true" outlineLevel="0" collapsed="false">
      <c r="A29" s="12" t="s">
        <v>4215</v>
      </c>
      <c r="B29" s="12" t="s">
        <v>4216</v>
      </c>
      <c r="C29" s="12" t="s">
        <v>1246</v>
      </c>
      <c r="D29" s="13" t="s">
        <v>4217</v>
      </c>
      <c r="E29" s="12" t="s">
        <v>195</v>
      </c>
      <c r="F29" s="12" t="s">
        <v>195</v>
      </c>
      <c r="G29" s="13" t="s">
        <v>4212</v>
      </c>
      <c r="H29" s="12" t="s">
        <v>113</v>
      </c>
      <c r="I29" s="12" t="s">
        <v>133</v>
      </c>
      <c r="J29" s="14"/>
      <c r="K29" s="13"/>
      <c r="L29" s="12" t="n">
        <v>0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4218</v>
      </c>
      <c r="B30" s="12" t="s">
        <v>4219</v>
      </c>
      <c r="C30" s="12" t="s">
        <v>2642</v>
      </c>
      <c r="D30" s="13" t="s">
        <v>4220</v>
      </c>
      <c r="E30" s="12" t="s">
        <v>195</v>
      </c>
      <c r="F30" s="12" t="s">
        <v>195</v>
      </c>
      <c r="G30" s="13" t="s">
        <v>4212</v>
      </c>
      <c r="H30" s="12" t="s">
        <v>113</v>
      </c>
      <c r="I30" s="12" t="s">
        <v>133</v>
      </c>
      <c r="J30" s="14"/>
      <c r="K30" s="13"/>
      <c r="L30" s="12" t="n">
        <v>0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4221</v>
      </c>
      <c r="B31" s="12" t="s">
        <v>4222</v>
      </c>
      <c r="C31" s="12" t="s">
        <v>1246</v>
      </c>
      <c r="D31" s="13" t="s">
        <v>4223</v>
      </c>
      <c r="E31" s="12" t="s">
        <v>195</v>
      </c>
      <c r="F31" s="12" t="s">
        <v>195</v>
      </c>
      <c r="G31" s="13" t="s">
        <v>4212</v>
      </c>
      <c r="H31" s="12" t="s">
        <v>113</v>
      </c>
      <c r="I31" s="12" t="s">
        <v>133</v>
      </c>
      <c r="J31" s="14"/>
      <c r="K31" s="13"/>
      <c r="L31" s="12" t="n">
        <v>0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4224</v>
      </c>
      <c r="B32" s="12" t="s">
        <v>4225</v>
      </c>
      <c r="C32" s="12" t="s">
        <v>1979</v>
      </c>
      <c r="D32" s="13" t="s">
        <v>4226</v>
      </c>
      <c r="E32" s="12" t="s">
        <v>154</v>
      </c>
      <c r="F32" s="12" t="s">
        <v>2673</v>
      </c>
      <c r="G32" s="13" t="s">
        <v>4227</v>
      </c>
      <c r="H32" s="12" t="s">
        <v>119</v>
      </c>
      <c r="I32" s="12" t="s">
        <v>134</v>
      </c>
      <c r="J32" s="14" t="n">
        <v>46241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4228</v>
      </c>
      <c r="B33" s="12" t="s">
        <v>220</v>
      </c>
      <c r="C33" s="12" t="s">
        <v>202</v>
      </c>
      <c r="D33" s="13" t="s">
        <v>4229</v>
      </c>
      <c r="E33" s="12" t="s">
        <v>222</v>
      </c>
      <c r="F33" s="12" t="s">
        <v>222</v>
      </c>
      <c r="G33" s="13" t="s">
        <v>4230</v>
      </c>
      <c r="H33" s="12" t="s">
        <v>117</v>
      </c>
      <c r="I33" s="12" t="s">
        <v>134</v>
      </c>
      <c r="J33" s="14"/>
      <c r="K33" s="13"/>
      <c r="L33" s="12" t="n">
        <v>0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4231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4232</v>
      </c>
      <c r="B9" s="12" t="s">
        <v>151</v>
      </c>
      <c r="C9" s="12" t="s">
        <v>1621</v>
      </c>
      <c r="D9" s="13" t="s">
        <v>4233</v>
      </c>
      <c r="E9" s="12" t="s">
        <v>154</v>
      </c>
      <c r="F9" s="12" t="s">
        <v>155</v>
      </c>
      <c r="G9" s="13" t="s">
        <v>4234</v>
      </c>
      <c r="H9" s="12" t="s">
        <v>119</v>
      </c>
      <c r="I9" s="12" t="s">
        <v>134</v>
      </c>
      <c r="J9" s="14" t="n">
        <v>46244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4235</v>
      </c>
      <c r="B10" s="12" t="s">
        <v>1404</v>
      </c>
      <c r="C10" s="12" t="s">
        <v>1621</v>
      </c>
      <c r="D10" s="13" t="s">
        <v>4236</v>
      </c>
      <c r="E10" s="12" t="s">
        <v>154</v>
      </c>
      <c r="F10" s="12" t="s">
        <v>174</v>
      </c>
      <c r="G10" s="13" t="s">
        <v>4237</v>
      </c>
      <c r="H10" s="12" t="s">
        <v>119</v>
      </c>
      <c r="I10" s="12" t="s">
        <v>134</v>
      </c>
      <c r="J10" s="14" t="n">
        <v>46244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4238</v>
      </c>
      <c r="B11" s="12" t="s">
        <v>158</v>
      </c>
      <c r="C11" s="12" t="s">
        <v>93</v>
      </c>
      <c r="D11" s="13" t="s">
        <v>4239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46244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4240</v>
      </c>
      <c r="B12" s="12" t="s">
        <v>162</v>
      </c>
      <c r="C12" s="12" t="s">
        <v>1621</v>
      </c>
      <c r="D12" s="13" t="s">
        <v>4241</v>
      </c>
      <c r="E12" s="12" t="s">
        <v>154</v>
      </c>
      <c r="F12" s="12" t="s">
        <v>164</v>
      </c>
      <c r="G12" s="13" t="s">
        <v>4242</v>
      </c>
      <c r="H12" s="12" t="s">
        <v>119</v>
      </c>
      <c r="I12" s="12" t="s">
        <v>134</v>
      </c>
      <c r="J12" s="14" t="n">
        <v>46244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4243</v>
      </c>
      <c r="B13" s="12" t="s">
        <v>167</v>
      </c>
      <c r="C13" s="12" t="s">
        <v>1621</v>
      </c>
      <c r="D13" s="13" t="s">
        <v>4244</v>
      </c>
      <c r="E13" s="12" t="s">
        <v>154</v>
      </c>
      <c r="F13" s="12" t="s">
        <v>169</v>
      </c>
      <c r="G13" s="13" t="s">
        <v>4245</v>
      </c>
      <c r="H13" s="12" t="s">
        <v>119</v>
      </c>
      <c r="I13" s="12" t="s">
        <v>134</v>
      </c>
      <c r="J13" s="14" t="n">
        <v>46244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4246</v>
      </c>
      <c r="B14" s="12" t="s">
        <v>172</v>
      </c>
      <c r="C14" s="12" t="s">
        <v>1621</v>
      </c>
      <c r="D14" s="13" t="s">
        <v>4247</v>
      </c>
      <c r="E14" s="12" t="s">
        <v>154</v>
      </c>
      <c r="F14" s="12" t="s">
        <v>174</v>
      </c>
      <c r="G14" s="13" t="s">
        <v>4237</v>
      </c>
      <c r="H14" s="12" t="s">
        <v>119</v>
      </c>
      <c r="I14" s="12" t="s">
        <v>134</v>
      </c>
      <c r="J14" s="14" t="n">
        <v>46244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4248</v>
      </c>
      <c r="B15" s="12" t="s">
        <v>177</v>
      </c>
      <c r="C15" s="12" t="s">
        <v>1621</v>
      </c>
      <c r="D15" s="13" t="s">
        <v>4249</v>
      </c>
      <c r="E15" s="12" t="s">
        <v>154</v>
      </c>
      <c r="F15" s="12" t="s">
        <v>179</v>
      </c>
      <c r="G15" s="13" t="s">
        <v>4250</v>
      </c>
      <c r="H15" s="12" t="s">
        <v>119</v>
      </c>
      <c r="I15" s="12" t="s">
        <v>134</v>
      </c>
      <c r="J15" s="14" t="n">
        <v>46244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4251</v>
      </c>
      <c r="B16" s="12" t="s">
        <v>4206</v>
      </c>
      <c r="C16" s="12" t="s">
        <v>926</v>
      </c>
      <c r="D16" s="13" t="s">
        <v>4252</v>
      </c>
      <c r="E16" s="12" t="s">
        <v>154</v>
      </c>
      <c r="F16" s="12" t="s">
        <v>189</v>
      </c>
      <c r="G16" s="13" t="s">
        <v>4253</v>
      </c>
      <c r="H16" s="12" t="s">
        <v>121</v>
      </c>
      <c r="I16" s="12" t="s">
        <v>133</v>
      </c>
      <c r="J16" s="14" t="n">
        <v>46244</v>
      </c>
      <c r="K16" s="13" t="s">
        <v>4254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4255</v>
      </c>
      <c r="B17" s="12" t="s">
        <v>202</v>
      </c>
      <c r="C17" s="12" t="s">
        <v>926</v>
      </c>
      <c r="D17" s="13" t="s">
        <v>4256</v>
      </c>
      <c r="E17" s="12" t="s">
        <v>154</v>
      </c>
      <c r="F17" s="12" t="s">
        <v>179</v>
      </c>
      <c r="G17" s="13" t="s">
        <v>4250</v>
      </c>
      <c r="H17" s="12" t="s">
        <v>119</v>
      </c>
      <c r="I17" s="12" t="s">
        <v>134</v>
      </c>
      <c r="J17" s="14" t="n">
        <v>46244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4257</v>
      </c>
      <c r="B18" s="12" t="s">
        <v>182</v>
      </c>
      <c r="C18" s="12" t="s">
        <v>1621</v>
      </c>
      <c r="D18" s="13" t="s">
        <v>4258</v>
      </c>
      <c r="E18" s="12" t="s">
        <v>154</v>
      </c>
      <c r="F18" s="12" t="s">
        <v>184</v>
      </c>
      <c r="G18" s="13" t="s">
        <v>4250</v>
      </c>
      <c r="H18" s="12" t="s">
        <v>119</v>
      </c>
      <c r="I18" s="12" t="s">
        <v>134</v>
      </c>
      <c r="J18" s="14" t="n">
        <v>46244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4259</v>
      </c>
      <c r="B19" s="12" t="s">
        <v>193</v>
      </c>
      <c r="C19" s="12" t="s">
        <v>1621</v>
      </c>
      <c r="D19" s="13" t="s">
        <v>4260</v>
      </c>
      <c r="E19" s="12" t="s">
        <v>154</v>
      </c>
      <c r="F19" s="12" t="s">
        <v>195</v>
      </c>
      <c r="G19" s="13" t="s">
        <v>4261</v>
      </c>
      <c r="H19" s="12" t="s">
        <v>117</v>
      </c>
      <c r="I19" s="12" t="s">
        <v>133</v>
      </c>
      <c r="J19" s="14"/>
      <c r="K19" s="13" t="s">
        <v>4262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4263</v>
      </c>
      <c r="B20" s="12" t="s">
        <v>207</v>
      </c>
      <c r="C20" s="12" t="s">
        <v>93</v>
      </c>
      <c r="D20" s="13" t="s">
        <v>4264</v>
      </c>
      <c r="E20" s="12" t="s">
        <v>154</v>
      </c>
      <c r="F20" s="12" t="s">
        <v>195</v>
      </c>
      <c r="G20" s="13" t="s">
        <v>4261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4266</v>
      </c>
      <c r="B21" s="12" t="s">
        <v>211</v>
      </c>
      <c r="C21" s="12" t="s">
        <v>93</v>
      </c>
      <c r="D21" s="13" t="s">
        <v>4267</v>
      </c>
      <c r="E21" s="12" t="s">
        <v>154</v>
      </c>
      <c r="F21" s="12" t="s">
        <v>213</v>
      </c>
      <c r="G21" s="13" t="s">
        <v>4268</v>
      </c>
      <c r="H21" s="12" t="s">
        <v>119</v>
      </c>
      <c r="I21" s="12" t="s">
        <v>134</v>
      </c>
      <c r="J21" s="14" t="n">
        <v>46244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4269</v>
      </c>
      <c r="B22" s="12" t="s">
        <v>216</v>
      </c>
      <c r="C22" s="12" t="s">
        <v>93</v>
      </c>
      <c r="D22" s="13" t="s">
        <v>4270</v>
      </c>
      <c r="E22" s="12" t="s">
        <v>154</v>
      </c>
      <c r="F22" s="12" t="s">
        <v>213</v>
      </c>
      <c r="G22" s="13" t="s">
        <v>4271</v>
      </c>
      <c r="H22" s="12" t="s">
        <v>119</v>
      </c>
      <c r="I22" s="12" t="s">
        <v>134</v>
      </c>
      <c r="J22" s="14" t="n">
        <v>46244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4272</v>
      </c>
      <c r="B23" s="12" t="s">
        <v>220</v>
      </c>
      <c r="C23" s="12" t="s">
        <v>93</v>
      </c>
      <c r="D23" s="13" t="s">
        <v>4273</v>
      </c>
      <c r="E23" s="12" t="s">
        <v>222</v>
      </c>
      <c r="F23" s="12" t="s">
        <v>222</v>
      </c>
      <c r="G23" s="13" t="s">
        <v>4274</v>
      </c>
      <c r="H23" s="12" t="s">
        <v>119</v>
      </c>
      <c r="I23" s="12" t="s">
        <v>134</v>
      </c>
      <c r="J23" s="14" t="n">
        <v>46244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4275</v>
      </c>
      <c r="B24" s="12" t="s">
        <v>225</v>
      </c>
      <c r="C24" s="12" t="s">
        <v>93</v>
      </c>
      <c r="D24" s="13" t="s">
        <v>4276</v>
      </c>
      <c r="E24" s="12" t="s">
        <v>154</v>
      </c>
      <c r="F24" s="12" t="s">
        <v>154</v>
      </c>
      <c r="G24" s="13" t="s">
        <v>594</v>
      </c>
      <c r="H24" s="12" t="s">
        <v>117</v>
      </c>
      <c r="I24" s="12" t="s">
        <v>133</v>
      </c>
      <c r="J24" s="14" t="n">
        <v>46244</v>
      </c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4277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4278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4279</v>
      </c>
      <c r="B9" s="12" t="s">
        <v>151</v>
      </c>
      <c r="C9" s="12" t="s">
        <v>2767</v>
      </c>
      <c r="D9" s="13" t="s">
        <v>4280</v>
      </c>
      <c r="E9" s="12" t="s">
        <v>154</v>
      </c>
      <c r="F9" s="12" t="s">
        <v>155</v>
      </c>
      <c r="G9" s="13" t="s">
        <v>4281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4282</v>
      </c>
      <c r="B10" s="12" t="s">
        <v>158</v>
      </c>
      <c r="C10" s="12" t="s">
        <v>94</v>
      </c>
      <c r="D10" s="13" t="s">
        <v>4283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4284</v>
      </c>
      <c r="B11" s="12" t="s">
        <v>162</v>
      </c>
      <c r="C11" s="12" t="s">
        <v>2469</v>
      </c>
      <c r="D11" s="13" t="s">
        <v>4285</v>
      </c>
      <c r="E11" s="12" t="s">
        <v>154</v>
      </c>
      <c r="F11" s="12" t="s">
        <v>164</v>
      </c>
      <c r="G11" s="13" t="s">
        <v>4286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4287</v>
      </c>
      <c r="B12" s="12" t="s">
        <v>167</v>
      </c>
      <c r="C12" s="12" t="s">
        <v>2767</v>
      </c>
      <c r="D12" s="13" t="s">
        <v>4288</v>
      </c>
      <c r="E12" s="12" t="s">
        <v>154</v>
      </c>
      <c r="F12" s="12" t="s">
        <v>169</v>
      </c>
      <c r="G12" s="13" t="s">
        <v>4289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4290</v>
      </c>
      <c r="B13" s="12" t="s">
        <v>172</v>
      </c>
      <c r="C13" s="12" t="s">
        <v>2767</v>
      </c>
      <c r="D13" s="13" t="s">
        <v>4291</v>
      </c>
      <c r="E13" s="12" t="s">
        <v>154</v>
      </c>
      <c r="F13" s="12" t="s">
        <v>174</v>
      </c>
      <c r="G13" s="13" t="s">
        <v>4292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4293</v>
      </c>
      <c r="B14" s="12" t="s">
        <v>177</v>
      </c>
      <c r="C14" s="12" t="s">
        <v>4294</v>
      </c>
      <c r="D14" s="13" t="s">
        <v>4295</v>
      </c>
      <c r="E14" s="12" t="s">
        <v>154</v>
      </c>
      <c r="F14" s="12" t="s">
        <v>179</v>
      </c>
      <c r="G14" s="13" t="s">
        <v>4296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4297</v>
      </c>
      <c r="B15" s="12" t="s">
        <v>4298</v>
      </c>
      <c r="C15" s="12" t="s">
        <v>4299</v>
      </c>
      <c r="D15" s="13" t="s">
        <v>4300</v>
      </c>
      <c r="E15" s="12" t="s">
        <v>154</v>
      </c>
      <c r="F15" s="12" t="s">
        <v>179</v>
      </c>
      <c r="G15" s="13" t="s">
        <v>4296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4301</v>
      </c>
      <c r="B16" s="12" t="s">
        <v>199</v>
      </c>
      <c r="C16" s="12" t="s">
        <v>4302</v>
      </c>
      <c r="D16" s="13" t="s">
        <v>4303</v>
      </c>
      <c r="E16" s="12" t="s">
        <v>154</v>
      </c>
      <c r="F16" s="12" t="s">
        <v>179</v>
      </c>
      <c r="G16" s="13" t="s">
        <v>4304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4305</v>
      </c>
      <c r="B17" s="12" t="s">
        <v>182</v>
      </c>
      <c r="C17" s="12" t="s">
        <v>2767</v>
      </c>
      <c r="D17" s="13" t="s">
        <v>4306</v>
      </c>
      <c r="E17" s="12" t="s">
        <v>154</v>
      </c>
      <c r="F17" s="12" t="s">
        <v>184</v>
      </c>
      <c r="G17" s="13" t="s">
        <v>4307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4308</v>
      </c>
      <c r="B18" s="12" t="s">
        <v>187</v>
      </c>
      <c r="C18" s="12" t="s">
        <v>4309</v>
      </c>
      <c r="D18" s="13" t="s">
        <v>4310</v>
      </c>
      <c r="E18" s="12" t="s">
        <v>154</v>
      </c>
      <c r="F18" s="12" t="s">
        <v>189</v>
      </c>
      <c r="G18" s="13" t="s">
        <v>4311</v>
      </c>
      <c r="H18" s="12" t="s">
        <v>117</v>
      </c>
      <c r="I18" s="12" t="s">
        <v>133</v>
      </c>
      <c r="J18" s="14"/>
      <c r="K18" s="13" t="s">
        <v>4312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4313</v>
      </c>
      <c r="B19" s="12" t="s">
        <v>193</v>
      </c>
      <c r="C19" s="12" t="s">
        <v>4309</v>
      </c>
      <c r="D19" s="13" t="s">
        <v>4314</v>
      </c>
      <c r="E19" s="12" t="s">
        <v>154</v>
      </c>
      <c r="F19" s="12" t="s">
        <v>195</v>
      </c>
      <c r="G19" s="13" t="s">
        <v>4315</v>
      </c>
      <c r="H19" s="12" t="s">
        <v>117</v>
      </c>
      <c r="I19" s="12" t="s">
        <v>133</v>
      </c>
      <c r="J19" s="14"/>
      <c r="K19" s="13" t="s">
        <v>4316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4317</v>
      </c>
      <c r="B20" s="12" t="s">
        <v>207</v>
      </c>
      <c r="C20" s="12" t="s">
        <v>94</v>
      </c>
      <c r="D20" s="13" t="s">
        <v>4318</v>
      </c>
      <c r="E20" s="12" t="s">
        <v>154</v>
      </c>
      <c r="F20" s="12" t="s">
        <v>195</v>
      </c>
      <c r="G20" s="13" t="s">
        <v>4315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4319</v>
      </c>
      <c r="B21" s="12" t="s">
        <v>211</v>
      </c>
      <c r="C21" s="12" t="s">
        <v>94</v>
      </c>
      <c r="D21" s="13" t="s">
        <v>4320</v>
      </c>
      <c r="E21" s="12" t="s">
        <v>154</v>
      </c>
      <c r="F21" s="12" t="s">
        <v>213</v>
      </c>
      <c r="G21" s="13" t="s">
        <v>4321</v>
      </c>
      <c r="H21" s="12" t="s">
        <v>119</v>
      </c>
      <c r="I21" s="12" t="s">
        <v>134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4322</v>
      </c>
      <c r="B22" s="12" t="s">
        <v>4225</v>
      </c>
      <c r="C22" s="12" t="s">
        <v>1979</v>
      </c>
      <c r="D22" s="13" t="s">
        <v>4323</v>
      </c>
      <c r="E22" s="12" t="s">
        <v>154</v>
      </c>
      <c r="F22" s="12" t="s">
        <v>2673</v>
      </c>
      <c r="G22" s="13" t="s">
        <v>4324</v>
      </c>
      <c r="H22" s="12" t="s">
        <v>119</v>
      </c>
      <c r="I22" s="12" t="s">
        <v>134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4325</v>
      </c>
      <c r="B23" s="12" t="s">
        <v>216</v>
      </c>
      <c r="C23" s="12" t="s">
        <v>94</v>
      </c>
      <c r="D23" s="13" t="s">
        <v>4326</v>
      </c>
      <c r="E23" s="12" t="s">
        <v>154</v>
      </c>
      <c r="F23" s="12" t="s">
        <v>213</v>
      </c>
      <c r="G23" s="13" t="s">
        <v>4327</v>
      </c>
      <c r="H23" s="12" t="s">
        <v>119</v>
      </c>
      <c r="I23" s="12" t="s">
        <v>134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4328</v>
      </c>
      <c r="B24" s="12" t="s">
        <v>220</v>
      </c>
      <c r="C24" s="12" t="s">
        <v>94</v>
      </c>
      <c r="D24" s="13" t="s">
        <v>4329</v>
      </c>
      <c r="E24" s="12" t="s">
        <v>222</v>
      </c>
      <c r="F24" s="12" t="s">
        <v>222</v>
      </c>
      <c r="G24" s="13" t="s">
        <v>4230</v>
      </c>
      <c r="H24" s="12" t="s">
        <v>125</v>
      </c>
      <c r="I24" s="12" t="s">
        <v>134</v>
      </c>
      <c r="J24" s="14"/>
      <c r="K24" s="13" t="s">
        <v>4330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4331</v>
      </c>
      <c r="B25" s="12" t="s">
        <v>225</v>
      </c>
      <c r="C25" s="12" t="s">
        <v>94</v>
      </c>
      <c r="D25" s="13" t="s">
        <v>4332</v>
      </c>
      <c r="E25" s="12" t="s">
        <v>154</v>
      </c>
      <c r="F25" s="12" t="s">
        <v>154</v>
      </c>
      <c r="G25" s="13" t="s">
        <v>4333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4335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4336</v>
      </c>
      <c r="B9" s="12" t="s">
        <v>151</v>
      </c>
      <c r="C9" s="12" t="s">
        <v>95</v>
      </c>
      <c r="D9" s="13" t="s">
        <v>4337</v>
      </c>
      <c r="E9" s="12" t="s">
        <v>154</v>
      </c>
      <c r="F9" s="12" t="s">
        <v>155</v>
      </c>
      <c r="G9" s="13" t="s">
        <v>4338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4339</v>
      </c>
      <c r="B10" s="12" t="s">
        <v>158</v>
      </c>
      <c r="C10" s="12" t="s">
        <v>95</v>
      </c>
      <c r="D10" s="13" t="s">
        <v>4340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4341</v>
      </c>
      <c r="B11" s="12" t="s">
        <v>162</v>
      </c>
      <c r="C11" s="12" t="s">
        <v>2469</v>
      </c>
      <c r="D11" s="13" t="s">
        <v>4342</v>
      </c>
      <c r="E11" s="12" t="s">
        <v>154</v>
      </c>
      <c r="F11" s="12" t="s">
        <v>164</v>
      </c>
      <c r="G11" s="13" t="s">
        <v>4343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4344</v>
      </c>
      <c r="B12" s="12" t="s">
        <v>167</v>
      </c>
      <c r="C12" s="12" t="s">
        <v>95</v>
      </c>
      <c r="D12" s="13" t="s">
        <v>4345</v>
      </c>
      <c r="E12" s="12" t="s">
        <v>154</v>
      </c>
      <c r="F12" s="12" t="s">
        <v>169</v>
      </c>
      <c r="G12" s="13" t="s">
        <v>4346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4347</v>
      </c>
      <c r="B13" s="12" t="s">
        <v>172</v>
      </c>
      <c r="C13" s="12" t="s">
        <v>95</v>
      </c>
      <c r="D13" s="13" t="s">
        <v>4348</v>
      </c>
      <c r="E13" s="12" t="s">
        <v>154</v>
      </c>
      <c r="F13" s="12" t="s">
        <v>174</v>
      </c>
      <c r="G13" s="13" t="s">
        <v>4349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4350</v>
      </c>
      <c r="B14" s="12" t="s">
        <v>177</v>
      </c>
      <c r="C14" s="12" t="s">
        <v>3639</v>
      </c>
      <c r="D14" s="13" t="s">
        <v>4351</v>
      </c>
      <c r="E14" s="12" t="s">
        <v>154</v>
      </c>
      <c r="F14" s="12" t="s">
        <v>179</v>
      </c>
      <c r="G14" s="13" t="s">
        <v>4352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4353</v>
      </c>
      <c r="B15" s="12" t="s">
        <v>202</v>
      </c>
      <c r="C15" s="12" t="s">
        <v>4354</v>
      </c>
      <c r="D15" s="13" t="s">
        <v>4355</v>
      </c>
      <c r="E15" s="12" t="s">
        <v>154</v>
      </c>
      <c r="F15" s="12" t="s">
        <v>179</v>
      </c>
      <c r="G15" s="13" t="s">
        <v>4352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4356</v>
      </c>
      <c r="B16" s="12" t="s">
        <v>4357</v>
      </c>
      <c r="C16" s="12" t="s">
        <v>95</v>
      </c>
      <c r="D16" s="13" t="s">
        <v>4358</v>
      </c>
      <c r="E16" s="12" t="s">
        <v>154</v>
      </c>
      <c r="F16" s="12" t="s">
        <v>179</v>
      </c>
      <c r="G16" s="13" t="s">
        <v>4352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4359</v>
      </c>
      <c r="B17" s="12" t="s">
        <v>182</v>
      </c>
      <c r="C17" s="12" t="s">
        <v>95</v>
      </c>
      <c r="D17" s="13" t="s">
        <v>4360</v>
      </c>
      <c r="E17" s="12" t="s">
        <v>154</v>
      </c>
      <c r="F17" s="12" t="s">
        <v>184</v>
      </c>
      <c r="G17" s="13" t="s">
        <v>4352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4361</v>
      </c>
      <c r="B18" s="12" t="s">
        <v>187</v>
      </c>
      <c r="C18" s="12" t="s">
        <v>3639</v>
      </c>
      <c r="D18" s="13" t="s">
        <v>4362</v>
      </c>
      <c r="E18" s="12" t="s">
        <v>154</v>
      </c>
      <c r="F18" s="12" t="s">
        <v>189</v>
      </c>
      <c r="G18" s="13" t="s">
        <v>4363</v>
      </c>
      <c r="H18" s="12" t="s">
        <v>117</v>
      </c>
      <c r="I18" s="12" t="s">
        <v>133</v>
      </c>
      <c r="J18" s="14"/>
      <c r="K18" s="13" t="s">
        <v>4312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4364</v>
      </c>
      <c r="B19" s="12" t="s">
        <v>193</v>
      </c>
      <c r="C19" s="12" t="s">
        <v>95</v>
      </c>
      <c r="D19" s="13" t="s">
        <v>4365</v>
      </c>
      <c r="E19" s="12" t="s">
        <v>154</v>
      </c>
      <c r="F19" s="12" t="s">
        <v>195</v>
      </c>
      <c r="G19" s="13" t="s">
        <v>4366</v>
      </c>
      <c r="H19" s="12" t="s">
        <v>117</v>
      </c>
      <c r="I19" s="12" t="s">
        <v>133</v>
      </c>
      <c r="J19" s="14"/>
      <c r="K19" s="13" t="s">
        <v>4367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4368</v>
      </c>
      <c r="B20" s="12" t="s">
        <v>207</v>
      </c>
      <c r="C20" s="12" t="s">
        <v>95</v>
      </c>
      <c r="D20" s="13" t="s">
        <v>4369</v>
      </c>
      <c r="E20" s="12" t="s">
        <v>154</v>
      </c>
      <c r="F20" s="12" t="s">
        <v>195</v>
      </c>
      <c r="G20" s="13" t="s">
        <v>4366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4370</v>
      </c>
      <c r="B21" s="12" t="s">
        <v>211</v>
      </c>
      <c r="C21" s="12" t="s">
        <v>95</v>
      </c>
      <c r="D21" s="13" t="s">
        <v>4371</v>
      </c>
      <c r="E21" s="12" t="s">
        <v>154</v>
      </c>
      <c r="F21" s="12" t="s">
        <v>213</v>
      </c>
      <c r="G21" s="13" t="s">
        <v>4372</v>
      </c>
      <c r="H21" s="12" t="s">
        <v>119</v>
      </c>
      <c r="I21" s="12" t="s">
        <v>134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4373</v>
      </c>
      <c r="B22" s="12" t="s">
        <v>216</v>
      </c>
      <c r="C22" s="12" t="s">
        <v>95</v>
      </c>
      <c r="D22" s="13" t="s">
        <v>4374</v>
      </c>
      <c r="E22" s="12" t="s">
        <v>154</v>
      </c>
      <c r="F22" s="12" t="s">
        <v>213</v>
      </c>
      <c r="G22" s="13" t="s">
        <v>4375</v>
      </c>
      <c r="H22" s="12" t="s">
        <v>119</v>
      </c>
      <c r="I22" s="12" t="s">
        <v>134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4376</v>
      </c>
      <c r="B23" s="12" t="s">
        <v>220</v>
      </c>
      <c r="C23" s="12" t="s">
        <v>95</v>
      </c>
      <c r="D23" s="13" t="s">
        <v>4377</v>
      </c>
      <c r="E23" s="12" t="s">
        <v>222</v>
      </c>
      <c r="F23" s="12" t="s">
        <v>222</v>
      </c>
      <c r="G23" s="13" t="s">
        <v>4230</v>
      </c>
      <c r="H23" s="12" t="s">
        <v>125</v>
      </c>
      <c r="I23" s="12" t="s">
        <v>134</v>
      </c>
      <c r="J23" s="14"/>
      <c r="K23" s="13" t="s">
        <v>4378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4379</v>
      </c>
      <c r="B24" s="12" t="s">
        <v>225</v>
      </c>
      <c r="C24" s="12" t="s">
        <v>95</v>
      </c>
      <c r="D24" s="13" t="s">
        <v>4380</v>
      </c>
      <c r="E24" s="12" t="s">
        <v>154</v>
      </c>
      <c r="F24" s="12" t="s">
        <v>154</v>
      </c>
      <c r="G24" s="13" t="s">
        <v>4333</v>
      </c>
      <c r="H24" s="12" t="s">
        <v>117</v>
      </c>
      <c r="I24" s="12" t="s">
        <v>133</v>
      </c>
      <c r="J24" s="14"/>
      <c r="K24" s="13" t="s">
        <v>845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/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4381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4382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137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4383</v>
      </c>
      <c r="B9" s="12" t="s">
        <v>151</v>
      </c>
      <c r="C9" s="12" t="s">
        <v>96</v>
      </c>
      <c r="D9" s="13" t="s">
        <v>4384</v>
      </c>
      <c r="E9" s="12" t="s">
        <v>154</v>
      </c>
      <c r="F9" s="12" t="s">
        <v>155</v>
      </c>
      <c r="G9" s="13" t="s">
        <v>4385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4386</v>
      </c>
      <c r="B10" s="12" t="s">
        <v>158</v>
      </c>
      <c r="C10" s="12" t="s">
        <v>96</v>
      </c>
      <c r="D10" s="13" t="s">
        <v>4387</v>
      </c>
      <c r="E10" s="12" t="s">
        <v>154</v>
      </c>
      <c r="F10" s="12" t="s">
        <v>154</v>
      </c>
      <c r="G10" s="13" t="s">
        <v>602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4388</v>
      </c>
      <c r="B11" s="12" t="s">
        <v>162</v>
      </c>
      <c r="C11" s="12" t="s">
        <v>2469</v>
      </c>
      <c r="D11" s="13" t="s">
        <v>4389</v>
      </c>
      <c r="E11" s="12" t="s">
        <v>154</v>
      </c>
      <c r="F11" s="12" t="s">
        <v>164</v>
      </c>
      <c r="G11" s="13" t="s">
        <v>4390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4391</v>
      </c>
      <c r="B12" s="12" t="s">
        <v>167</v>
      </c>
      <c r="C12" s="12" t="s">
        <v>4392</v>
      </c>
      <c r="D12" s="13" t="s">
        <v>4393</v>
      </c>
      <c r="E12" s="12" t="s">
        <v>154</v>
      </c>
      <c r="F12" s="12" t="s">
        <v>169</v>
      </c>
      <c r="G12" s="13" t="s">
        <v>4394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4395</v>
      </c>
      <c r="B13" s="12" t="s">
        <v>172</v>
      </c>
      <c r="C13" s="12" t="s">
        <v>96</v>
      </c>
      <c r="D13" s="13" t="s">
        <v>4396</v>
      </c>
      <c r="E13" s="12" t="s">
        <v>154</v>
      </c>
      <c r="F13" s="12" t="s">
        <v>174</v>
      </c>
      <c r="G13" s="13" t="s">
        <v>4397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4398</v>
      </c>
      <c r="B14" s="12" t="s">
        <v>177</v>
      </c>
      <c r="C14" s="12" t="s">
        <v>4399</v>
      </c>
      <c r="D14" s="13" t="s">
        <v>4400</v>
      </c>
      <c r="E14" s="12" t="s">
        <v>154</v>
      </c>
      <c r="F14" s="12" t="s">
        <v>179</v>
      </c>
      <c r="G14" s="13" t="s">
        <v>4401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4402</v>
      </c>
      <c r="B15" s="12" t="s">
        <v>193</v>
      </c>
      <c r="C15" s="12" t="s">
        <v>4392</v>
      </c>
      <c r="D15" s="13" t="s">
        <v>4403</v>
      </c>
      <c r="E15" s="12" t="s">
        <v>154</v>
      </c>
      <c r="F15" s="12" t="s">
        <v>179</v>
      </c>
      <c r="G15" s="13" t="s">
        <v>4401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4404</v>
      </c>
      <c r="B16" s="12" t="s">
        <v>4405</v>
      </c>
      <c r="C16" s="12" t="s">
        <v>96</v>
      </c>
      <c r="D16" s="13" t="s">
        <v>4406</v>
      </c>
      <c r="E16" s="12" t="s">
        <v>154</v>
      </c>
      <c r="F16" s="12" t="s">
        <v>179</v>
      </c>
      <c r="G16" s="13" t="s">
        <v>4401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4407</v>
      </c>
      <c r="B17" s="12" t="s">
        <v>202</v>
      </c>
      <c r="C17" s="12" t="s">
        <v>4408</v>
      </c>
      <c r="D17" s="13" t="s">
        <v>4409</v>
      </c>
      <c r="E17" s="12" t="s">
        <v>154</v>
      </c>
      <c r="F17" s="12" t="s">
        <v>179</v>
      </c>
      <c r="G17" s="13" t="s">
        <v>4410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4411</v>
      </c>
      <c r="B18" s="12" t="s">
        <v>182</v>
      </c>
      <c r="C18" s="12" t="s">
        <v>96</v>
      </c>
      <c r="D18" s="13" t="s">
        <v>4412</v>
      </c>
      <c r="E18" s="12" t="s">
        <v>154</v>
      </c>
      <c r="F18" s="12" t="s">
        <v>184</v>
      </c>
      <c r="G18" s="13" t="s">
        <v>4401</v>
      </c>
      <c r="H18" s="12" t="s">
        <v>119</v>
      </c>
      <c r="I18" s="12" t="s">
        <v>134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4413</v>
      </c>
      <c r="B19" s="12" t="s">
        <v>187</v>
      </c>
      <c r="C19" s="12" t="s">
        <v>4392</v>
      </c>
      <c r="D19" s="13" t="s">
        <v>4414</v>
      </c>
      <c r="E19" s="12" t="s">
        <v>154</v>
      </c>
      <c r="F19" s="12" t="s">
        <v>189</v>
      </c>
      <c r="G19" s="13" t="s">
        <v>4415</v>
      </c>
      <c r="H19" s="12" t="s">
        <v>117</v>
      </c>
      <c r="I19" s="12" t="s">
        <v>133</v>
      </c>
      <c r="J19" s="14"/>
      <c r="K19" s="13" t="s">
        <v>4312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4416</v>
      </c>
      <c r="B20" s="12" t="s">
        <v>207</v>
      </c>
      <c r="C20" s="12" t="s">
        <v>96</v>
      </c>
      <c r="D20" s="13" t="s">
        <v>4417</v>
      </c>
      <c r="E20" s="12" t="s">
        <v>154</v>
      </c>
      <c r="F20" s="12" t="s">
        <v>195</v>
      </c>
      <c r="G20" s="13" t="s">
        <v>4418</v>
      </c>
      <c r="H20" s="12" t="s">
        <v>117</v>
      </c>
      <c r="I20" s="12" t="s">
        <v>133</v>
      </c>
      <c r="J20" s="14"/>
      <c r="K20" s="13" t="s">
        <v>4265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4419</v>
      </c>
      <c r="B21" s="12" t="s">
        <v>211</v>
      </c>
      <c r="C21" s="12" t="s">
        <v>96</v>
      </c>
      <c r="D21" s="13" t="s">
        <v>4420</v>
      </c>
      <c r="E21" s="12" t="s">
        <v>154</v>
      </c>
      <c r="F21" s="12" t="s">
        <v>213</v>
      </c>
      <c r="G21" s="13" t="s">
        <v>4421</v>
      </c>
      <c r="H21" s="12" t="s">
        <v>119</v>
      </c>
      <c r="I21" s="12" t="s">
        <v>134</v>
      </c>
      <c r="J21" s="14" t="n">
        <v>46257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4422</v>
      </c>
      <c r="B22" s="12" t="s">
        <v>4225</v>
      </c>
      <c r="C22" s="12" t="s">
        <v>1979</v>
      </c>
      <c r="D22" s="13" t="s">
        <v>4423</v>
      </c>
      <c r="E22" s="12" t="s">
        <v>154</v>
      </c>
      <c r="F22" s="12" t="s">
        <v>2673</v>
      </c>
      <c r="G22" s="13" t="s">
        <v>4424</v>
      </c>
      <c r="H22" s="12" t="s">
        <v>119</v>
      </c>
      <c r="I22" s="12" t="s">
        <v>134</v>
      </c>
      <c r="J22" s="14" t="n">
        <v>46257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4425</v>
      </c>
      <c r="B23" s="12" t="s">
        <v>216</v>
      </c>
      <c r="C23" s="12" t="s">
        <v>96</v>
      </c>
      <c r="D23" s="13" t="s">
        <v>4426</v>
      </c>
      <c r="E23" s="12" t="s">
        <v>154</v>
      </c>
      <c r="F23" s="12" t="s">
        <v>213</v>
      </c>
      <c r="G23" s="13" t="s">
        <v>4427</v>
      </c>
      <c r="H23" s="12" t="s">
        <v>119</v>
      </c>
      <c r="I23" s="12" t="s">
        <v>134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4428</v>
      </c>
      <c r="B24" s="12" t="s">
        <v>220</v>
      </c>
      <c r="C24" s="12" t="s">
        <v>96</v>
      </c>
      <c r="D24" s="13" t="s">
        <v>4429</v>
      </c>
      <c r="E24" s="12" t="s">
        <v>222</v>
      </c>
      <c r="F24" s="12" t="s">
        <v>222</v>
      </c>
      <c r="G24" s="13" t="s">
        <v>4230</v>
      </c>
      <c r="H24" s="12" t="s">
        <v>125</v>
      </c>
      <c r="I24" s="12" t="s">
        <v>134</v>
      </c>
      <c r="J24" s="14"/>
      <c r="K24" s="13" t="s">
        <v>4430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4431</v>
      </c>
      <c r="B25" s="12" t="s">
        <v>225</v>
      </c>
      <c r="C25" s="12" t="s">
        <v>96</v>
      </c>
      <c r="D25" s="13" t="s">
        <v>4380</v>
      </c>
      <c r="E25" s="12" t="s">
        <v>154</v>
      </c>
      <c r="F25" s="12" t="s">
        <v>154</v>
      </c>
      <c r="G25" s="13" t="s">
        <v>4333</v>
      </c>
      <c r="H25" s="12" t="s">
        <v>117</v>
      </c>
      <c r="I25" s="12" t="s">
        <v>133</v>
      </c>
      <c r="J25" s="14"/>
      <c r="K25" s="13" t="s">
        <v>845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4433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137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54" hidden="false" customHeight="true" outlineLevel="0" collapsed="false">
      <c r="A9" s="12" t="s">
        <v>4434</v>
      </c>
      <c r="B9" s="12" t="s">
        <v>111</v>
      </c>
      <c r="C9" s="12" t="s">
        <v>1246</v>
      </c>
      <c r="D9" s="13" t="s">
        <v>4435</v>
      </c>
      <c r="E9" s="12" t="s">
        <v>154</v>
      </c>
      <c r="F9" s="12" t="s">
        <v>155</v>
      </c>
      <c r="G9" s="13" t="s">
        <v>4436</v>
      </c>
      <c r="H9" s="12" t="s">
        <v>119</v>
      </c>
      <c r="I9" s="12" t="s">
        <v>134</v>
      </c>
      <c r="J9" s="14" t="n">
        <v>46257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4437</v>
      </c>
      <c r="B10" s="12" t="s">
        <v>1404</v>
      </c>
      <c r="C10" s="12" t="s">
        <v>1246</v>
      </c>
      <c r="D10" s="13" t="s">
        <v>4438</v>
      </c>
      <c r="E10" s="12" t="s">
        <v>154</v>
      </c>
      <c r="F10" s="12" t="s">
        <v>174</v>
      </c>
      <c r="G10" s="13" t="s">
        <v>4439</v>
      </c>
      <c r="H10" s="12" t="s">
        <v>119</v>
      </c>
      <c r="I10" s="12" t="s">
        <v>134</v>
      </c>
      <c r="J10" s="14" t="n">
        <v>46257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4440</v>
      </c>
      <c r="B11" s="12" t="s">
        <v>158</v>
      </c>
      <c r="C11" s="12" t="s">
        <v>1246</v>
      </c>
      <c r="D11" s="13" t="s">
        <v>4441</v>
      </c>
      <c r="E11" s="12" t="s">
        <v>154</v>
      </c>
      <c r="F11" s="12" t="s">
        <v>154</v>
      </c>
      <c r="G11" s="13" t="s">
        <v>160</v>
      </c>
      <c r="H11" s="12" t="s">
        <v>119</v>
      </c>
      <c r="I11" s="12" t="s">
        <v>134</v>
      </c>
      <c r="J11" s="14" t="n">
        <v>46257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4442</v>
      </c>
      <c r="B12" s="12" t="s">
        <v>162</v>
      </c>
      <c r="C12" s="12" t="s">
        <v>2469</v>
      </c>
      <c r="D12" s="13" t="s">
        <v>4443</v>
      </c>
      <c r="E12" s="12" t="s">
        <v>154</v>
      </c>
      <c r="F12" s="12" t="s">
        <v>164</v>
      </c>
      <c r="G12" s="13" t="s">
        <v>4444</v>
      </c>
      <c r="H12" s="12" t="s">
        <v>119</v>
      </c>
      <c r="I12" s="12" t="s">
        <v>134</v>
      </c>
      <c r="J12" s="14" t="n">
        <v>46257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4445</v>
      </c>
      <c r="B13" s="12" t="s">
        <v>167</v>
      </c>
      <c r="C13" s="12" t="s">
        <v>1246</v>
      </c>
      <c r="D13" s="13" t="s">
        <v>4446</v>
      </c>
      <c r="E13" s="12" t="s">
        <v>154</v>
      </c>
      <c r="F13" s="12" t="s">
        <v>169</v>
      </c>
      <c r="G13" s="13" t="s">
        <v>4447</v>
      </c>
      <c r="H13" s="12" t="s">
        <v>119</v>
      </c>
      <c r="I13" s="12" t="s">
        <v>134</v>
      </c>
      <c r="J13" s="14" t="n">
        <v>46257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4448</v>
      </c>
      <c r="B14" s="12" t="s">
        <v>172</v>
      </c>
      <c r="C14" s="12" t="s">
        <v>1246</v>
      </c>
      <c r="D14" s="13" t="s">
        <v>4449</v>
      </c>
      <c r="E14" s="12" t="s">
        <v>154</v>
      </c>
      <c r="F14" s="12" t="s">
        <v>174</v>
      </c>
      <c r="G14" s="13" t="s">
        <v>4439</v>
      </c>
      <c r="H14" s="12" t="s">
        <v>119</v>
      </c>
      <c r="I14" s="12" t="s">
        <v>134</v>
      </c>
      <c r="J14" s="14" t="n">
        <v>46257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4450</v>
      </c>
      <c r="B15" s="12" t="s">
        <v>4451</v>
      </c>
      <c r="C15" s="12" t="s">
        <v>4452</v>
      </c>
      <c r="D15" s="13" t="s">
        <v>4453</v>
      </c>
      <c r="E15" s="12" t="s">
        <v>154</v>
      </c>
      <c r="F15" s="12" t="s">
        <v>179</v>
      </c>
      <c r="G15" s="13" t="s">
        <v>4454</v>
      </c>
      <c r="H15" s="12" t="s">
        <v>119</v>
      </c>
      <c r="I15" s="12" t="s">
        <v>134</v>
      </c>
      <c r="J15" s="14" t="n">
        <v>46257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4455</v>
      </c>
      <c r="B16" s="12" t="s">
        <v>1644</v>
      </c>
      <c r="C16" s="12" t="s">
        <v>4456</v>
      </c>
      <c r="D16" s="13" t="s">
        <v>4457</v>
      </c>
      <c r="E16" s="12" t="s">
        <v>154</v>
      </c>
      <c r="F16" s="12" t="s">
        <v>179</v>
      </c>
      <c r="G16" s="13" t="s">
        <v>4454</v>
      </c>
      <c r="H16" s="12" t="s">
        <v>119</v>
      </c>
      <c r="I16" s="12" t="s">
        <v>134</v>
      </c>
      <c r="J16" s="14" t="n">
        <v>46257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4458</v>
      </c>
      <c r="B17" s="12" t="s">
        <v>4459</v>
      </c>
      <c r="C17" s="12" t="s">
        <v>4456</v>
      </c>
      <c r="D17" s="13" t="s">
        <v>4460</v>
      </c>
      <c r="E17" s="12" t="s">
        <v>154</v>
      </c>
      <c r="F17" s="12" t="s">
        <v>179</v>
      </c>
      <c r="G17" s="13" t="s">
        <v>4454</v>
      </c>
      <c r="H17" s="12" t="s">
        <v>119</v>
      </c>
      <c r="I17" s="12" t="s">
        <v>134</v>
      </c>
      <c r="J17" s="14" t="n">
        <v>46257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4461</v>
      </c>
      <c r="B18" s="12" t="s">
        <v>1355</v>
      </c>
      <c r="C18" s="12" t="s">
        <v>926</v>
      </c>
      <c r="D18" s="13" t="s">
        <v>4462</v>
      </c>
      <c r="E18" s="12" t="s">
        <v>154</v>
      </c>
      <c r="F18" s="12" t="s">
        <v>179</v>
      </c>
      <c r="G18" s="13" t="s">
        <v>4454</v>
      </c>
      <c r="H18" s="12" t="s">
        <v>119</v>
      </c>
      <c r="I18" s="12" t="s">
        <v>134</v>
      </c>
      <c r="J18" s="14" t="n">
        <v>46257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4463</v>
      </c>
      <c r="B19" s="12" t="s">
        <v>1291</v>
      </c>
      <c r="C19" s="12" t="s">
        <v>1621</v>
      </c>
      <c r="D19" s="13" t="s">
        <v>4464</v>
      </c>
      <c r="E19" s="12" t="s">
        <v>154</v>
      </c>
      <c r="F19" s="12" t="s">
        <v>179</v>
      </c>
      <c r="G19" s="13" t="s">
        <v>4454</v>
      </c>
      <c r="H19" s="12" t="s">
        <v>119</v>
      </c>
      <c r="I19" s="12" t="s">
        <v>134</v>
      </c>
      <c r="J19" s="14" t="n">
        <v>46257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4465</v>
      </c>
      <c r="B20" s="12" t="s">
        <v>182</v>
      </c>
      <c r="C20" s="12" t="s">
        <v>1246</v>
      </c>
      <c r="D20" s="13" t="s">
        <v>4466</v>
      </c>
      <c r="E20" s="12" t="s">
        <v>154</v>
      </c>
      <c r="F20" s="12" t="s">
        <v>184</v>
      </c>
      <c r="G20" s="13" t="s">
        <v>4454</v>
      </c>
      <c r="H20" s="12" t="s">
        <v>119</v>
      </c>
      <c r="I20" s="12" t="s">
        <v>134</v>
      </c>
      <c r="J20" s="14" t="n">
        <v>46257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4467</v>
      </c>
      <c r="B21" s="12" t="s">
        <v>187</v>
      </c>
      <c r="C21" s="12" t="s">
        <v>1246</v>
      </c>
      <c r="D21" s="13" t="s">
        <v>4468</v>
      </c>
      <c r="E21" s="12" t="s">
        <v>154</v>
      </c>
      <c r="F21" s="12" t="s">
        <v>189</v>
      </c>
      <c r="G21" s="13" t="s">
        <v>4469</v>
      </c>
      <c r="H21" s="12" t="s">
        <v>121</v>
      </c>
      <c r="I21" s="12" t="s">
        <v>133</v>
      </c>
      <c r="J21" s="14" t="n">
        <v>46257</v>
      </c>
      <c r="K21" s="13" t="s">
        <v>4470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4471</v>
      </c>
      <c r="B22" s="12" t="s">
        <v>207</v>
      </c>
      <c r="C22" s="12" t="s">
        <v>4472</v>
      </c>
      <c r="D22" s="13" t="s">
        <v>4473</v>
      </c>
      <c r="E22" s="12" t="s">
        <v>154</v>
      </c>
      <c r="F22" s="12" t="s">
        <v>195</v>
      </c>
      <c r="G22" s="13" t="s">
        <v>4474</v>
      </c>
      <c r="H22" s="12" t="s">
        <v>117</v>
      </c>
      <c r="I22" s="12" t="s">
        <v>133</v>
      </c>
      <c r="J22" s="14"/>
      <c r="K22" s="13" t="s">
        <v>4475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4476</v>
      </c>
      <c r="B23" s="12" t="s">
        <v>211</v>
      </c>
      <c r="C23" s="12" t="s">
        <v>97</v>
      </c>
      <c r="D23" s="13" t="s">
        <v>4477</v>
      </c>
      <c r="E23" s="12" t="s">
        <v>154</v>
      </c>
      <c r="F23" s="12" t="s">
        <v>213</v>
      </c>
      <c r="G23" s="13" t="s">
        <v>4478</v>
      </c>
      <c r="H23" s="12" t="s">
        <v>119</v>
      </c>
      <c r="I23" s="12" t="s">
        <v>134</v>
      </c>
      <c r="J23" s="14" t="n">
        <v>46257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4479</v>
      </c>
      <c r="B24" s="12" t="s">
        <v>4225</v>
      </c>
      <c r="C24" s="12" t="s">
        <v>1979</v>
      </c>
      <c r="D24" s="13" t="s">
        <v>4480</v>
      </c>
      <c r="E24" s="12" t="s">
        <v>154</v>
      </c>
      <c r="F24" s="12" t="s">
        <v>2673</v>
      </c>
      <c r="G24" s="13" t="s">
        <v>4481</v>
      </c>
      <c r="H24" s="12" t="s">
        <v>119</v>
      </c>
      <c r="I24" s="12" t="s">
        <v>134</v>
      </c>
      <c r="J24" s="14" t="n">
        <v>46257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4482</v>
      </c>
      <c r="B25" s="12" t="s">
        <v>216</v>
      </c>
      <c r="C25" s="12" t="s">
        <v>97</v>
      </c>
      <c r="D25" s="13" t="s">
        <v>4483</v>
      </c>
      <c r="E25" s="12" t="s">
        <v>154</v>
      </c>
      <c r="F25" s="12" t="s">
        <v>213</v>
      </c>
      <c r="G25" s="13" t="s">
        <v>4484</v>
      </c>
      <c r="H25" s="12" t="s">
        <v>119</v>
      </c>
      <c r="I25" s="12" t="s">
        <v>134</v>
      </c>
      <c r="J25" s="14" t="n">
        <v>46257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4485</v>
      </c>
      <c r="B26" s="12" t="s">
        <v>220</v>
      </c>
      <c r="C26" s="12" t="s">
        <v>202</v>
      </c>
      <c r="D26" s="13" t="s">
        <v>4486</v>
      </c>
      <c r="E26" s="12" t="s">
        <v>222</v>
      </c>
      <c r="F26" s="12" t="s">
        <v>222</v>
      </c>
      <c r="G26" s="13" t="s">
        <v>223</v>
      </c>
      <c r="H26" s="12" t="s">
        <v>119</v>
      </c>
      <c r="I26" s="12" t="s">
        <v>134</v>
      </c>
      <c r="J26" s="14" t="n">
        <v>46257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4487</v>
      </c>
      <c r="B27" s="12" t="s">
        <v>225</v>
      </c>
      <c r="C27" s="12" t="s">
        <v>97</v>
      </c>
      <c r="D27" s="13" t="s">
        <v>4488</v>
      </c>
      <c r="E27" s="12" t="s">
        <v>154</v>
      </c>
      <c r="F27" s="12" t="s">
        <v>154</v>
      </c>
      <c r="G27" s="13" t="s">
        <v>594</v>
      </c>
      <c r="H27" s="12" t="s">
        <v>117</v>
      </c>
      <c r="I27" s="12" t="s">
        <v>133</v>
      </c>
      <c r="J27" s="14"/>
      <c r="K27" s="13" t="s">
        <v>4489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</sheetData>
  <autoFilter ref="A8:M27"/>
  <mergeCells count="2">
    <mergeCell ref="A1:M1"/>
    <mergeCell ref="A2:M2"/>
  </mergeCells>
  <conditionalFormatting sqref="H9:H27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4490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4491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137</v>
      </c>
      <c r="E4" s="6" t="n">
        <f aca="false">SUM(M9:M24)</f>
        <v>11</v>
      </c>
      <c r="G4" s="5" t="s">
        <v>14</v>
      </c>
      <c r="H4" s="7" t="n">
        <f aca="false">IF(B4=0,0,E4/B4)</f>
        <v>0.6875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1" t="s">
        <v>139</v>
      </c>
      <c r="B8" s="1" t="s">
        <v>140</v>
      </c>
      <c r="C8" s="1" t="s">
        <v>141</v>
      </c>
      <c r="D8" s="1" t="s">
        <v>142</v>
      </c>
      <c r="E8" s="1" t="s">
        <v>143</v>
      </c>
      <c r="F8" s="1" t="s">
        <v>144</v>
      </c>
      <c r="G8" s="1" t="s">
        <v>145</v>
      </c>
      <c r="H8" s="1" t="s">
        <v>104</v>
      </c>
      <c r="I8" s="1" t="s">
        <v>146</v>
      </c>
      <c r="J8" s="10" t="s">
        <v>147</v>
      </c>
      <c r="K8" s="1" t="s">
        <v>148</v>
      </c>
      <c r="L8" s="1" t="s">
        <v>149</v>
      </c>
      <c r="M8" s="1" t="s">
        <v>137</v>
      </c>
    </row>
    <row r="9" customFormat="false" ht="42" hidden="false" customHeight="true" outlineLevel="0" collapsed="false">
      <c r="A9" s="1" t="s">
        <v>4492</v>
      </c>
      <c r="B9" s="1" t="s">
        <v>151</v>
      </c>
      <c r="C9" s="1" t="s">
        <v>4493</v>
      </c>
      <c r="D9" s="1" t="s">
        <v>4494</v>
      </c>
      <c r="E9" s="1" t="s">
        <v>154</v>
      </c>
      <c r="F9" s="1" t="s">
        <v>155</v>
      </c>
      <c r="G9" s="1" t="s">
        <v>4495</v>
      </c>
      <c r="H9" s="8" t="s">
        <v>119</v>
      </c>
      <c r="I9" s="8" t="s">
        <v>134</v>
      </c>
      <c r="J9" s="10" t="n">
        <v>46262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4496</v>
      </c>
      <c r="B10" s="1" t="s">
        <v>158</v>
      </c>
      <c r="C10" s="1" t="s">
        <v>4497</v>
      </c>
      <c r="D10" s="1" t="s">
        <v>4498</v>
      </c>
      <c r="E10" s="1" t="s">
        <v>154</v>
      </c>
      <c r="F10" s="1" t="s">
        <v>154</v>
      </c>
      <c r="G10" s="1" t="s">
        <v>160</v>
      </c>
      <c r="H10" s="8" t="s">
        <v>119</v>
      </c>
      <c r="I10" s="8" t="s">
        <v>134</v>
      </c>
      <c r="J10" s="10" t="n">
        <v>46262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4499</v>
      </c>
      <c r="B11" s="1" t="s">
        <v>162</v>
      </c>
      <c r="C11" s="1" t="s">
        <v>4493</v>
      </c>
      <c r="D11" s="1" t="s">
        <v>4500</v>
      </c>
      <c r="E11" s="1" t="s">
        <v>154</v>
      </c>
      <c r="F11" s="1" t="s">
        <v>164</v>
      </c>
      <c r="G11" s="1" t="s">
        <v>4501</v>
      </c>
      <c r="H11" s="8" t="s">
        <v>119</v>
      </c>
      <c r="I11" s="8" t="s">
        <v>134</v>
      </c>
      <c r="J11" s="10" t="n">
        <v>46262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4502</v>
      </c>
      <c r="B12" s="1" t="s">
        <v>167</v>
      </c>
      <c r="C12" s="1" t="s">
        <v>4493</v>
      </c>
      <c r="D12" s="1" t="s">
        <v>4503</v>
      </c>
      <c r="E12" s="1" t="s">
        <v>154</v>
      </c>
      <c r="F12" s="1" t="s">
        <v>169</v>
      </c>
      <c r="G12" s="1" t="s">
        <v>4504</v>
      </c>
      <c r="H12" s="8" t="s">
        <v>119</v>
      </c>
      <c r="I12" s="8" t="s">
        <v>134</v>
      </c>
      <c r="J12" s="10" t="n">
        <v>46262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4505</v>
      </c>
      <c r="B13" s="1" t="s">
        <v>172</v>
      </c>
      <c r="C13" s="1" t="s">
        <v>4493</v>
      </c>
      <c r="D13" s="1" t="s">
        <v>4506</v>
      </c>
      <c r="E13" s="1" t="s">
        <v>154</v>
      </c>
      <c r="F13" s="1" t="s">
        <v>174</v>
      </c>
      <c r="G13" s="1" t="s">
        <v>4507</v>
      </c>
      <c r="H13" s="8" t="s">
        <v>119</v>
      </c>
      <c r="I13" s="8" t="s">
        <v>134</v>
      </c>
      <c r="J13" s="10" t="n">
        <v>46262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4508</v>
      </c>
      <c r="B14" s="1" t="s">
        <v>177</v>
      </c>
      <c r="C14" s="1" t="s">
        <v>4493</v>
      </c>
      <c r="D14" s="1" t="s">
        <v>4509</v>
      </c>
      <c r="E14" s="1" t="s">
        <v>154</v>
      </c>
      <c r="F14" s="1" t="s">
        <v>179</v>
      </c>
      <c r="G14" s="1" t="s">
        <v>4510</v>
      </c>
      <c r="H14" s="8" t="s">
        <v>119</v>
      </c>
      <c r="I14" s="8" t="s">
        <v>134</v>
      </c>
      <c r="J14" s="10" t="n">
        <v>46262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4511</v>
      </c>
      <c r="B15" s="1" t="s">
        <v>182</v>
      </c>
      <c r="C15" s="1" t="s">
        <v>4493</v>
      </c>
      <c r="D15" s="1" t="s">
        <v>4512</v>
      </c>
      <c r="E15" s="1" t="s">
        <v>154</v>
      </c>
      <c r="F15" s="1" t="s">
        <v>184</v>
      </c>
      <c r="G15" s="1" t="s">
        <v>4510</v>
      </c>
      <c r="H15" s="8" t="s">
        <v>119</v>
      </c>
      <c r="I15" s="8" t="s">
        <v>134</v>
      </c>
      <c r="J15" s="10" t="n">
        <v>46262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4513</v>
      </c>
      <c r="B16" s="1" t="s">
        <v>187</v>
      </c>
      <c r="C16" s="1" t="s">
        <v>4493</v>
      </c>
      <c r="D16" s="1" t="s">
        <v>4514</v>
      </c>
      <c r="E16" s="1" t="s">
        <v>154</v>
      </c>
      <c r="F16" s="1" t="s">
        <v>189</v>
      </c>
      <c r="G16" s="1" t="s">
        <v>4515</v>
      </c>
      <c r="H16" s="8" t="s">
        <v>119</v>
      </c>
      <c r="I16" s="8" t="s">
        <v>133</v>
      </c>
      <c r="J16" s="10" t="n">
        <v>46262</v>
      </c>
      <c r="K16" s="1" t="s">
        <v>2659</v>
      </c>
      <c r="L16" s="1" t="n">
        <v>1</v>
      </c>
      <c r="M16" s="1" t="n">
        <f aca="false">IF(OR(AND(I16="yes",H16="verified"),AND(I16="no",OR(H16="tested",H16="verified")),AND(H16="not applicable",K16&lt;&gt;"")),1,0)</f>
        <v>0</v>
      </c>
    </row>
    <row r="17" customFormat="false" ht="42" hidden="false" customHeight="true" outlineLevel="0" collapsed="false">
      <c r="A17" s="1" t="s">
        <v>4516</v>
      </c>
      <c r="B17" s="1" t="s">
        <v>193</v>
      </c>
      <c r="C17" s="1" t="s">
        <v>4493</v>
      </c>
      <c r="D17" s="1" t="s">
        <v>4517</v>
      </c>
      <c r="E17" s="1" t="s">
        <v>154</v>
      </c>
      <c r="F17" s="1" t="s">
        <v>195</v>
      </c>
      <c r="G17" s="1" t="s">
        <v>4518</v>
      </c>
      <c r="H17" s="8" t="s">
        <v>113</v>
      </c>
      <c r="I17" s="8" t="s">
        <v>133</v>
      </c>
      <c r="K17" s="1" t="s">
        <v>4519</v>
      </c>
      <c r="L17" s="1" t="n">
        <v>1</v>
      </c>
      <c r="M17" s="1" t="n">
        <f aca="false">IF(OR(AND(I17="yes",H17="verified"),AND(I17="no",OR(H17="tested",H17="verified")),AND(H17="not applicable",K17&lt;&gt;"")),1,0)</f>
        <v>0</v>
      </c>
    </row>
    <row r="18" customFormat="false" ht="42" hidden="false" customHeight="true" outlineLevel="0" collapsed="false">
      <c r="A18" s="1" t="s">
        <v>4520</v>
      </c>
      <c r="B18" s="1" t="s">
        <v>199</v>
      </c>
      <c r="C18" s="1" t="s">
        <v>4493</v>
      </c>
      <c r="D18" s="1" t="s">
        <v>4521</v>
      </c>
      <c r="E18" s="1" t="s">
        <v>154</v>
      </c>
      <c r="F18" s="1" t="s">
        <v>195</v>
      </c>
      <c r="G18" s="1" t="s">
        <v>4518</v>
      </c>
      <c r="H18" s="8" t="s">
        <v>113</v>
      </c>
      <c r="I18" s="8" t="s">
        <v>133</v>
      </c>
      <c r="K18" s="1" t="s">
        <v>4519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2" hidden="false" customHeight="true" outlineLevel="0" collapsed="false">
      <c r="A19" s="1" t="s">
        <v>4522</v>
      </c>
      <c r="B19" s="1" t="s">
        <v>202</v>
      </c>
      <c r="C19" s="1" t="s">
        <v>4493</v>
      </c>
      <c r="D19" s="1" t="s">
        <v>4523</v>
      </c>
      <c r="E19" s="1" t="s">
        <v>154</v>
      </c>
      <c r="F19" s="1" t="s">
        <v>195</v>
      </c>
      <c r="G19" s="1" t="s">
        <v>4524</v>
      </c>
      <c r="H19" s="8" t="s">
        <v>119</v>
      </c>
      <c r="I19" s="8" t="s">
        <v>133</v>
      </c>
      <c r="J19" s="10" t="n">
        <v>46262</v>
      </c>
      <c r="K19" s="1" t="s">
        <v>4525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2" hidden="false" customHeight="true" outlineLevel="0" collapsed="false">
      <c r="A20" s="1" t="s">
        <v>4526</v>
      </c>
      <c r="B20" s="1" t="s">
        <v>207</v>
      </c>
      <c r="C20" s="1" t="s">
        <v>4493</v>
      </c>
      <c r="D20" s="1" t="s">
        <v>4527</v>
      </c>
      <c r="E20" s="1" t="s">
        <v>154</v>
      </c>
      <c r="F20" s="1" t="s">
        <v>195</v>
      </c>
      <c r="G20" s="1" t="s">
        <v>4518</v>
      </c>
      <c r="H20" s="8" t="s">
        <v>113</v>
      </c>
      <c r="I20" s="8" t="s">
        <v>133</v>
      </c>
      <c r="K20" s="1" t="s">
        <v>4528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2" hidden="false" customHeight="true" outlineLevel="0" collapsed="false">
      <c r="A21" s="1" t="s">
        <v>4529</v>
      </c>
      <c r="B21" s="1" t="s">
        <v>211</v>
      </c>
      <c r="C21" s="1" t="s">
        <v>4497</v>
      </c>
      <c r="D21" s="1" t="s">
        <v>4530</v>
      </c>
      <c r="E21" s="1" t="s">
        <v>154</v>
      </c>
      <c r="F21" s="1" t="s">
        <v>213</v>
      </c>
      <c r="G21" s="1" t="s">
        <v>4531</v>
      </c>
      <c r="H21" s="8" t="s">
        <v>119</v>
      </c>
      <c r="I21" s="8" t="s">
        <v>134</v>
      </c>
      <c r="J21" s="10" t="n">
        <v>46262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4532</v>
      </c>
      <c r="B22" s="1" t="s">
        <v>216</v>
      </c>
      <c r="C22" s="1" t="s">
        <v>4497</v>
      </c>
      <c r="D22" s="1" t="s">
        <v>4533</v>
      </c>
      <c r="E22" s="1" t="s">
        <v>154</v>
      </c>
      <c r="F22" s="1" t="s">
        <v>213</v>
      </c>
      <c r="G22" s="1" t="s">
        <v>4534</v>
      </c>
      <c r="H22" s="8" t="s">
        <v>119</v>
      </c>
      <c r="I22" s="8" t="s">
        <v>134</v>
      </c>
      <c r="J22" s="10" t="n">
        <v>46262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4535</v>
      </c>
      <c r="B23" s="1" t="s">
        <v>220</v>
      </c>
      <c r="C23" s="1" t="s">
        <v>4497</v>
      </c>
      <c r="D23" s="1" t="s">
        <v>4536</v>
      </c>
      <c r="E23" s="1" t="s">
        <v>222</v>
      </c>
      <c r="F23" s="1" t="s">
        <v>222</v>
      </c>
      <c r="G23" s="1" t="s">
        <v>223</v>
      </c>
      <c r="H23" s="8" t="s">
        <v>119</v>
      </c>
      <c r="I23" s="8" t="s">
        <v>134</v>
      </c>
      <c r="J23" s="10" t="n">
        <v>46262</v>
      </c>
      <c r="K23" s="1" t="s">
        <v>4537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4538</v>
      </c>
      <c r="B24" s="1" t="s">
        <v>225</v>
      </c>
      <c r="C24" s="1" t="s">
        <v>4497</v>
      </c>
      <c r="D24" s="1" t="s">
        <v>4539</v>
      </c>
      <c r="E24" s="1" t="s">
        <v>154</v>
      </c>
      <c r="F24" s="1" t="s">
        <v>154</v>
      </c>
      <c r="G24" s="1" t="s">
        <v>227</v>
      </c>
      <c r="H24" s="8" t="s">
        <v>119</v>
      </c>
      <c r="I24" s="8" t="s">
        <v>134</v>
      </c>
      <c r="J24" s="10" t="n">
        <v>46262</v>
      </c>
      <c r="K24" s="1" t="s">
        <v>4540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4542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4543</v>
      </c>
      <c r="B9" s="1" t="s">
        <v>151</v>
      </c>
      <c r="C9" s="13" t="s">
        <v>100</v>
      </c>
      <c r="D9" s="13" t="s">
        <v>4544</v>
      </c>
      <c r="E9" s="1" t="s">
        <v>154</v>
      </c>
      <c r="F9" s="1" t="s">
        <v>155</v>
      </c>
      <c r="G9" s="13" t="s">
        <v>4545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4546</v>
      </c>
      <c r="B10" s="1" t="s">
        <v>1404</v>
      </c>
      <c r="C10" s="13" t="s">
        <v>100</v>
      </c>
      <c r="D10" s="13" t="s">
        <v>4547</v>
      </c>
      <c r="E10" s="1" t="s">
        <v>154</v>
      </c>
      <c r="F10" s="1" t="s">
        <v>174</v>
      </c>
      <c r="G10" s="13" t="s">
        <v>4548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4549</v>
      </c>
      <c r="B11" s="1" t="s">
        <v>158</v>
      </c>
      <c r="C11" s="13" t="s">
        <v>100</v>
      </c>
      <c r="D11" s="13" t="s">
        <v>4550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4551</v>
      </c>
      <c r="B12" s="1" t="s">
        <v>162</v>
      </c>
      <c r="C12" s="13" t="s">
        <v>100</v>
      </c>
      <c r="D12" s="13" t="s">
        <v>4552</v>
      </c>
      <c r="E12" s="1" t="s">
        <v>154</v>
      </c>
      <c r="F12" s="1" t="s">
        <v>164</v>
      </c>
      <c r="G12" s="13" t="s">
        <v>4553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4554</v>
      </c>
      <c r="B13" s="1" t="s">
        <v>167</v>
      </c>
      <c r="C13" s="13" t="s">
        <v>100</v>
      </c>
      <c r="D13" s="13" t="s">
        <v>4555</v>
      </c>
      <c r="E13" s="1" t="s">
        <v>154</v>
      </c>
      <c r="F13" s="1" t="s">
        <v>169</v>
      </c>
      <c r="G13" s="13" t="s">
        <v>4556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4557</v>
      </c>
      <c r="B14" s="1" t="s">
        <v>4558</v>
      </c>
      <c r="C14" s="13" t="s">
        <v>100</v>
      </c>
      <c r="D14" s="13" t="s">
        <v>4559</v>
      </c>
      <c r="E14" s="1" t="s">
        <v>154</v>
      </c>
      <c r="F14" s="1" t="s">
        <v>174</v>
      </c>
      <c r="G14" s="13" t="s">
        <v>4548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4560</v>
      </c>
      <c r="B15" s="1" t="s">
        <v>193</v>
      </c>
      <c r="C15" s="13" t="s">
        <v>100</v>
      </c>
      <c r="D15" s="13" t="s">
        <v>4561</v>
      </c>
      <c r="E15" s="1" t="s">
        <v>154</v>
      </c>
      <c r="F15" s="1" t="s">
        <v>179</v>
      </c>
      <c r="G15" s="13" t="s">
        <v>4562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4563</v>
      </c>
      <c r="B16" s="1" t="s">
        <v>202</v>
      </c>
      <c r="C16" s="13" t="s">
        <v>100</v>
      </c>
      <c r="D16" s="13" t="s">
        <v>4564</v>
      </c>
      <c r="E16" s="1" t="s">
        <v>154</v>
      </c>
      <c r="F16" s="1" t="s">
        <v>174</v>
      </c>
      <c r="G16" s="13" t="s">
        <v>4565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4566</v>
      </c>
      <c r="B17" s="1" t="s">
        <v>182</v>
      </c>
      <c r="C17" s="13" t="s">
        <v>100</v>
      </c>
      <c r="D17" s="13" t="s">
        <v>4567</v>
      </c>
      <c r="E17" s="1" t="s">
        <v>154</v>
      </c>
      <c r="F17" s="1" t="s">
        <v>184</v>
      </c>
      <c r="G17" s="13" t="s">
        <v>4562</v>
      </c>
      <c r="H17" s="8" t="s">
        <v>119</v>
      </c>
      <c r="I17" s="8" t="s">
        <v>134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4568</v>
      </c>
      <c r="B18" s="1" t="s">
        <v>187</v>
      </c>
      <c r="C18" s="13" t="s">
        <v>100</v>
      </c>
      <c r="D18" s="13" t="s">
        <v>4569</v>
      </c>
      <c r="E18" s="1" t="s">
        <v>154</v>
      </c>
      <c r="F18" s="1" t="s">
        <v>189</v>
      </c>
      <c r="G18" s="13" t="s">
        <v>4570</v>
      </c>
      <c r="H18" s="8" t="s">
        <v>115</v>
      </c>
      <c r="I18" s="8" t="s">
        <v>133</v>
      </c>
      <c r="J18" s="10" t="n">
        <v>46262</v>
      </c>
      <c r="K18" s="13" t="s">
        <v>4571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4572</v>
      </c>
      <c r="B19" s="1" t="s">
        <v>4573</v>
      </c>
      <c r="C19" s="13" t="s">
        <v>100</v>
      </c>
      <c r="D19" s="13" t="s">
        <v>4574</v>
      </c>
      <c r="E19" s="1" t="s">
        <v>154</v>
      </c>
      <c r="F19" s="1" t="s">
        <v>195</v>
      </c>
      <c r="G19" s="13" t="s">
        <v>4575</v>
      </c>
      <c r="H19" s="8" t="s">
        <v>113</v>
      </c>
      <c r="I19" s="8" t="s">
        <v>133</v>
      </c>
      <c r="K19" s="13" t="s">
        <v>4576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4577</v>
      </c>
      <c r="B20" s="1" t="s">
        <v>199</v>
      </c>
      <c r="C20" s="13" t="s">
        <v>100</v>
      </c>
      <c r="D20" s="13" t="s">
        <v>4578</v>
      </c>
      <c r="E20" s="1" t="s">
        <v>154</v>
      </c>
      <c r="F20" s="1" t="s">
        <v>195</v>
      </c>
      <c r="G20" s="13" t="s">
        <v>4575</v>
      </c>
      <c r="H20" s="8" t="s">
        <v>113</v>
      </c>
      <c r="I20" s="8" t="s">
        <v>133</v>
      </c>
      <c r="K20" s="13" t="s">
        <v>4579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4580</v>
      </c>
      <c r="B21" s="1" t="s">
        <v>207</v>
      </c>
      <c r="C21" s="13" t="s">
        <v>100</v>
      </c>
      <c r="D21" s="13" t="s">
        <v>4581</v>
      </c>
      <c r="E21" s="1" t="s">
        <v>154</v>
      </c>
      <c r="F21" s="1" t="s">
        <v>195</v>
      </c>
      <c r="G21" s="13" t="s">
        <v>4575</v>
      </c>
      <c r="H21" s="8" t="s">
        <v>113</v>
      </c>
      <c r="I21" s="8" t="s">
        <v>133</v>
      </c>
      <c r="K21" s="13" t="s">
        <v>4528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4582</v>
      </c>
      <c r="B22" s="1" t="s">
        <v>642</v>
      </c>
      <c r="C22" s="13" t="s">
        <v>100</v>
      </c>
      <c r="D22" s="13" t="s">
        <v>4583</v>
      </c>
      <c r="E22" s="1" t="s">
        <v>154</v>
      </c>
      <c r="F22" s="1" t="s">
        <v>644</v>
      </c>
      <c r="G22" s="13" t="s">
        <v>4584</v>
      </c>
      <c r="H22" s="8" t="s">
        <v>119</v>
      </c>
      <c r="I22" s="8" t="s">
        <v>134</v>
      </c>
      <c r="J22" s="10" t="n">
        <v>46262</v>
      </c>
      <c r="K22" s="13"/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8" hidden="false" customHeight="true" outlineLevel="0" collapsed="false">
      <c r="A23" s="1" t="s">
        <v>4585</v>
      </c>
      <c r="B23" s="1" t="s">
        <v>211</v>
      </c>
      <c r="C23" s="13" t="s">
        <v>100</v>
      </c>
      <c r="D23" s="13" t="s">
        <v>4586</v>
      </c>
      <c r="E23" s="1" t="s">
        <v>154</v>
      </c>
      <c r="F23" s="1" t="s">
        <v>213</v>
      </c>
      <c r="G23" s="13" t="s">
        <v>4587</v>
      </c>
      <c r="H23" s="8" t="s">
        <v>119</v>
      </c>
      <c r="I23" s="8" t="s">
        <v>134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4588</v>
      </c>
      <c r="B24" s="1" t="s">
        <v>4225</v>
      </c>
      <c r="C24" s="13" t="s">
        <v>100</v>
      </c>
      <c r="D24" s="13" t="s">
        <v>4589</v>
      </c>
      <c r="E24" s="1" t="s">
        <v>154</v>
      </c>
      <c r="F24" s="1" t="s">
        <v>213</v>
      </c>
      <c r="G24" s="13" t="s">
        <v>4590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4591</v>
      </c>
      <c r="B25" s="1" t="s">
        <v>216</v>
      </c>
      <c r="C25" s="13" t="s">
        <v>100</v>
      </c>
      <c r="D25" s="13" t="s">
        <v>4592</v>
      </c>
      <c r="E25" s="1" t="s">
        <v>154</v>
      </c>
      <c r="F25" s="1" t="s">
        <v>213</v>
      </c>
      <c r="G25" s="13" t="s">
        <v>4593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4594</v>
      </c>
      <c r="B26" s="1" t="s">
        <v>220</v>
      </c>
      <c r="C26" s="13" t="s">
        <v>100</v>
      </c>
      <c r="D26" s="13" t="s">
        <v>4595</v>
      </c>
      <c r="E26" s="1" t="s">
        <v>222</v>
      </c>
      <c r="F26" s="1" t="s">
        <v>222</v>
      </c>
      <c r="G26" s="13" t="s">
        <v>223</v>
      </c>
      <c r="H26" s="8" t="s">
        <v>113</v>
      </c>
      <c r="I26" s="8" t="s">
        <v>134</v>
      </c>
      <c r="K26" s="13" t="s">
        <v>4596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48" hidden="false" customHeight="true" outlineLevel="0" collapsed="false">
      <c r="A27" s="1" t="s">
        <v>4597</v>
      </c>
      <c r="B27" s="1" t="s">
        <v>225</v>
      </c>
      <c r="C27" s="13" t="s">
        <v>100</v>
      </c>
      <c r="D27" s="13" t="s">
        <v>4598</v>
      </c>
      <c r="E27" s="1" t="s">
        <v>154</v>
      </c>
      <c r="F27" s="1" t="s">
        <v>154</v>
      </c>
      <c r="G27" s="13" t="s">
        <v>227</v>
      </c>
      <c r="H27" s="8" t="s">
        <v>123</v>
      </c>
      <c r="I27" s="8" t="s">
        <v>134</v>
      </c>
      <c r="J27" s="10" t="n">
        <v>46262</v>
      </c>
      <c r="K27" s="13" t="s">
        <v>4599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4600</v>
      </c>
      <c r="B28" s="1" t="s">
        <v>111</v>
      </c>
      <c r="C28" s="13" t="s">
        <v>100</v>
      </c>
      <c r="D28" s="13" t="s">
        <v>4601</v>
      </c>
      <c r="E28" s="1" t="s">
        <v>154</v>
      </c>
      <c r="F28" s="1" t="s">
        <v>213</v>
      </c>
      <c r="G28" s="13" t="s">
        <v>4602</v>
      </c>
      <c r="H28" s="8" t="s">
        <v>119</v>
      </c>
      <c r="I28" s="8" t="s">
        <v>134</v>
      </c>
      <c r="J28" s="10" t="n">
        <v>46262</v>
      </c>
      <c r="K28" s="13"/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4605</v>
      </c>
      <c r="B9" s="1" t="s">
        <v>151</v>
      </c>
      <c r="C9" s="13" t="s">
        <v>4606</v>
      </c>
      <c r="D9" s="13" t="s">
        <v>4607</v>
      </c>
      <c r="E9" s="1" t="s">
        <v>154</v>
      </c>
      <c r="F9" s="1" t="s">
        <v>155</v>
      </c>
      <c r="G9" s="13" t="s">
        <v>4608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4609</v>
      </c>
      <c r="B10" s="1" t="s">
        <v>1404</v>
      </c>
      <c r="C10" s="13" t="s">
        <v>4606</v>
      </c>
      <c r="D10" s="13" t="s">
        <v>4610</v>
      </c>
      <c r="E10" s="1" t="s">
        <v>154</v>
      </c>
      <c r="F10" s="1" t="s">
        <v>174</v>
      </c>
      <c r="G10" s="13" t="s">
        <v>4611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4612</v>
      </c>
      <c r="B11" s="1" t="s">
        <v>158</v>
      </c>
      <c r="C11" s="13" t="s">
        <v>4613</v>
      </c>
      <c r="D11" s="13" t="s">
        <v>4614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4615</v>
      </c>
      <c r="B12" s="1" t="s">
        <v>162</v>
      </c>
      <c r="C12" s="13" t="s">
        <v>4606</v>
      </c>
      <c r="D12" s="13" t="s">
        <v>4616</v>
      </c>
      <c r="E12" s="1" t="s">
        <v>154</v>
      </c>
      <c r="F12" s="1" t="s">
        <v>164</v>
      </c>
      <c r="G12" s="13" t="s">
        <v>4617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4618</v>
      </c>
      <c r="B13" s="1" t="s">
        <v>167</v>
      </c>
      <c r="C13" s="13" t="s">
        <v>4606</v>
      </c>
      <c r="D13" s="13" t="s">
        <v>4619</v>
      </c>
      <c r="E13" s="1" t="s">
        <v>154</v>
      </c>
      <c r="F13" s="1" t="s">
        <v>169</v>
      </c>
      <c r="G13" s="13" t="s">
        <v>4620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4621</v>
      </c>
      <c r="B14" s="1" t="s">
        <v>1637</v>
      </c>
      <c r="C14" s="13" t="s">
        <v>823</v>
      </c>
      <c r="D14" s="13" t="s">
        <v>4622</v>
      </c>
      <c r="E14" s="1" t="s">
        <v>154</v>
      </c>
      <c r="F14" s="1" t="s">
        <v>174</v>
      </c>
      <c r="G14" s="13" t="s">
        <v>4611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4623</v>
      </c>
      <c r="B15" s="1" t="s">
        <v>1195</v>
      </c>
      <c r="C15" s="13" t="s">
        <v>914</v>
      </c>
      <c r="D15" s="13" t="s">
        <v>4624</v>
      </c>
      <c r="E15" s="1" t="s">
        <v>154</v>
      </c>
      <c r="F15" s="1" t="s">
        <v>174</v>
      </c>
      <c r="G15" s="13" t="s">
        <v>4611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4625</v>
      </c>
      <c r="B16" s="1" t="s">
        <v>193</v>
      </c>
      <c r="C16" s="13" t="s">
        <v>914</v>
      </c>
      <c r="D16" s="13" t="s">
        <v>4626</v>
      </c>
      <c r="E16" s="1" t="s">
        <v>154</v>
      </c>
      <c r="F16" s="1" t="s">
        <v>179</v>
      </c>
      <c r="G16" s="13" t="s">
        <v>4627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4628</v>
      </c>
      <c r="B17" s="1" t="s">
        <v>182</v>
      </c>
      <c r="C17" s="13" t="s">
        <v>4629</v>
      </c>
      <c r="D17" s="13" t="s">
        <v>4630</v>
      </c>
      <c r="E17" s="1" t="s">
        <v>154</v>
      </c>
      <c r="F17" s="1" t="s">
        <v>184</v>
      </c>
      <c r="G17" s="13" t="s">
        <v>4627</v>
      </c>
      <c r="H17" s="8" t="s">
        <v>119</v>
      </c>
      <c r="I17" s="8" t="s">
        <v>134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4631</v>
      </c>
      <c r="B18" s="1" t="s">
        <v>187</v>
      </c>
      <c r="C18" s="13" t="s">
        <v>4613</v>
      </c>
      <c r="D18" s="13" t="s">
        <v>4632</v>
      </c>
      <c r="E18" s="1" t="s">
        <v>154</v>
      </c>
      <c r="F18" s="1" t="s">
        <v>189</v>
      </c>
      <c r="G18" s="13" t="s">
        <v>4633</v>
      </c>
      <c r="H18" s="8" t="s">
        <v>115</v>
      </c>
      <c r="I18" s="8" t="s">
        <v>133</v>
      </c>
      <c r="J18" s="10" t="n">
        <v>46262</v>
      </c>
      <c r="K18" s="13" t="s">
        <v>4634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4635</v>
      </c>
      <c r="B19" s="1" t="s">
        <v>4573</v>
      </c>
      <c r="C19" s="13" t="s">
        <v>914</v>
      </c>
      <c r="D19" s="13" t="s">
        <v>4636</v>
      </c>
      <c r="E19" s="1" t="s">
        <v>154</v>
      </c>
      <c r="F19" s="1" t="s">
        <v>195</v>
      </c>
      <c r="G19" s="13" t="s">
        <v>4637</v>
      </c>
      <c r="H19" s="8" t="s">
        <v>113</v>
      </c>
      <c r="I19" s="8" t="s">
        <v>133</v>
      </c>
      <c r="K19" s="13" t="s">
        <v>4638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4639</v>
      </c>
      <c r="B20" s="1" t="s">
        <v>199</v>
      </c>
      <c r="C20" s="13" t="s">
        <v>4629</v>
      </c>
      <c r="D20" s="13" t="s">
        <v>4640</v>
      </c>
      <c r="E20" s="1" t="s">
        <v>154</v>
      </c>
      <c r="F20" s="1" t="s">
        <v>195</v>
      </c>
      <c r="G20" s="13" t="s">
        <v>4637</v>
      </c>
      <c r="H20" s="8" t="s">
        <v>113</v>
      </c>
      <c r="I20" s="8" t="s">
        <v>133</v>
      </c>
      <c r="K20" s="13" t="s">
        <v>4579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4641</v>
      </c>
      <c r="B21" s="1" t="s">
        <v>202</v>
      </c>
      <c r="C21" s="13" t="s">
        <v>4642</v>
      </c>
      <c r="D21" s="13" t="s">
        <v>4643</v>
      </c>
      <c r="E21" s="1" t="s">
        <v>154</v>
      </c>
      <c r="F21" s="1" t="s">
        <v>195</v>
      </c>
      <c r="G21" s="13" t="s">
        <v>4644</v>
      </c>
      <c r="H21" s="8" t="s">
        <v>117</v>
      </c>
      <c r="I21" s="8" t="s">
        <v>133</v>
      </c>
      <c r="J21" s="10" t="n">
        <v>46262</v>
      </c>
      <c r="K21" s="13" t="s">
        <v>4645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4646</v>
      </c>
      <c r="B22" s="1" t="s">
        <v>207</v>
      </c>
      <c r="C22" s="13" t="s">
        <v>4613</v>
      </c>
      <c r="D22" s="13" t="s">
        <v>4647</v>
      </c>
      <c r="E22" s="1" t="s">
        <v>154</v>
      </c>
      <c r="F22" s="1" t="s">
        <v>195</v>
      </c>
      <c r="G22" s="13" t="s">
        <v>4637</v>
      </c>
      <c r="H22" s="8" t="s">
        <v>113</v>
      </c>
      <c r="I22" s="8" t="s">
        <v>133</v>
      </c>
      <c r="K22" s="13" t="s">
        <v>4528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4648</v>
      </c>
      <c r="B23" s="1" t="s">
        <v>642</v>
      </c>
      <c r="C23" s="13" t="s">
        <v>4613</v>
      </c>
      <c r="D23" s="13" t="s">
        <v>4649</v>
      </c>
      <c r="E23" s="1" t="s">
        <v>154</v>
      </c>
      <c r="F23" s="1" t="s">
        <v>644</v>
      </c>
      <c r="G23" s="13" t="s">
        <v>4650</v>
      </c>
      <c r="H23" s="8" t="s">
        <v>119</v>
      </c>
      <c r="I23" s="8" t="s">
        <v>134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4651</v>
      </c>
      <c r="B24" s="1" t="s">
        <v>211</v>
      </c>
      <c r="C24" s="13" t="s">
        <v>4613</v>
      </c>
      <c r="D24" s="13" t="s">
        <v>4652</v>
      </c>
      <c r="E24" s="1" t="s">
        <v>154</v>
      </c>
      <c r="F24" s="1" t="s">
        <v>213</v>
      </c>
      <c r="G24" s="13" t="s">
        <v>4653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4654</v>
      </c>
      <c r="B25" s="1" t="s">
        <v>4225</v>
      </c>
      <c r="C25" s="13" t="s">
        <v>4613</v>
      </c>
      <c r="D25" s="13" t="s">
        <v>4655</v>
      </c>
      <c r="E25" s="1" t="s">
        <v>154</v>
      </c>
      <c r="F25" s="1" t="s">
        <v>213</v>
      </c>
      <c r="G25" s="13" t="s">
        <v>4656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4657</v>
      </c>
      <c r="B26" s="1" t="s">
        <v>216</v>
      </c>
      <c r="C26" s="13" t="s">
        <v>4613</v>
      </c>
      <c r="D26" s="13" t="s">
        <v>4658</v>
      </c>
      <c r="E26" s="1" t="s">
        <v>154</v>
      </c>
      <c r="F26" s="1" t="s">
        <v>213</v>
      </c>
      <c r="G26" s="13" t="s">
        <v>4659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4660</v>
      </c>
      <c r="B27" s="1" t="s">
        <v>220</v>
      </c>
      <c r="C27" s="13" t="s">
        <v>4613</v>
      </c>
      <c r="D27" s="13" t="s">
        <v>4661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4662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4663</v>
      </c>
      <c r="B28" s="1" t="s">
        <v>225</v>
      </c>
      <c r="C28" s="13" t="s">
        <v>4613</v>
      </c>
      <c r="D28" s="13" t="s">
        <v>4598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4665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14</v>
      </c>
      <c r="G4" s="5" t="s">
        <v>14</v>
      </c>
      <c r="H4" s="7" t="n">
        <f aca="false">IF(B4=0,0,E4/B4)</f>
        <v>0.7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4666</v>
      </c>
      <c r="B9" s="1" t="s">
        <v>151</v>
      </c>
      <c r="C9" s="13" t="s">
        <v>4667</v>
      </c>
      <c r="D9" s="13" t="s">
        <v>4668</v>
      </c>
      <c r="E9" s="1" t="s">
        <v>154</v>
      </c>
      <c r="F9" s="1" t="s">
        <v>155</v>
      </c>
      <c r="G9" s="13" t="s">
        <v>4669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4670</v>
      </c>
      <c r="B10" s="1" t="s">
        <v>1404</v>
      </c>
      <c r="C10" s="13" t="s">
        <v>4667</v>
      </c>
      <c r="D10" s="13" t="s">
        <v>4671</v>
      </c>
      <c r="E10" s="1" t="s">
        <v>154</v>
      </c>
      <c r="F10" s="1" t="s">
        <v>174</v>
      </c>
      <c r="G10" s="13" t="s">
        <v>4672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4673</v>
      </c>
      <c r="B11" s="1" t="s">
        <v>158</v>
      </c>
      <c r="C11" s="13" t="s">
        <v>4674</v>
      </c>
      <c r="D11" s="13" t="s">
        <v>4675</v>
      </c>
      <c r="E11" s="1" t="s">
        <v>154</v>
      </c>
      <c r="F11" s="1" t="s">
        <v>154</v>
      </c>
      <c r="G11" s="13" t="s">
        <v>602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4676</v>
      </c>
      <c r="B12" s="1" t="s">
        <v>162</v>
      </c>
      <c r="C12" s="13" t="s">
        <v>4667</v>
      </c>
      <c r="D12" s="13" t="s">
        <v>4677</v>
      </c>
      <c r="E12" s="1" t="s">
        <v>154</v>
      </c>
      <c r="F12" s="1" t="s">
        <v>164</v>
      </c>
      <c r="G12" s="13" t="s">
        <v>4678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4679</v>
      </c>
      <c r="B13" s="1" t="s">
        <v>167</v>
      </c>
      <c r="C13" s="13" t="s">
        <v>4667</v>
      </c>
      <c r="D13" s="13" t="s">
        <v>4680</v>
      </c>
      <c r="E13" s="1" t="s">
        <v>154</v>
      </c>
      <c r="F13" s="1" t="s">
        <v>169</v>
      </c>
      <c r="G13" s="13" t="s">
        <v>4681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4682</v>
      </c>
      <c r="B14" s="1" t="s">
        <v>1637</v>
      </c>
      <c r="C14" s="13" t="s">
        <v>4683</v>
      </c>
      <c r="D14" s="13" t="s">
        <v>4684</v>
      </c>
      <c r="E14" s="1" t="s">
        <v>154</v>
      </c>
      <c r="F14" s="1" t="s">
        <v>174</v>
      </c>
      <c r="G14" s="13" t="s">
        <v>4672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4685</v>
      </c>
      <c r="B15" s="1" t="s">
        <v>4686</v>
      </c>
      <c r="C15" s="13" t="s">
        <v>4683</v>
      </c>
      <c r="D15" s="13" t="s">
        <v>4687</v>
      </c>
      <c r="E15" s="1" t="s">
        <v>154</v>
      </c>
      <c r="F15" s="1" t="s">
        <v>179</v>
      </c>
      <c r="G15" s="13" t="s">
        <v>4688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4689</v>
      </c>
      <c r="B16" s="1" t="s">
        <v>4690</v>
      </c>
      <c r="C16" s="13" t="s">
        <v>4691</v>
      </c>
      <c r="D16" s="13" t="s">
        <v>4692</v>
      </c>
      <c r="E16" s="1" t="s">
        <v>154</v>
      </c>
      <c r="F16" s="1" t="s">
        <v>179</v>
      </c>
      <c r="G16" s="13" t="s">
        <v>4693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4694</v>
      </c>
      <c r="B17" s="1" t="s">
        <v>202</v>
      </c>
      <c r="C17" s="13" t="s">
        <v>33</v>
      </c>
      <c r="D17" s="13" t="s">
        <v>4695</v>
      </c>
      <c r="E17" s="1" t="s">
        <v>154</v>
      </c>
      <c r="F17" s="1" t="s">
        <v>174</v>
      </c>
      <c r="G17" s="13" t="s">
        <v>4672</v>
      </c>
      <c r="H17" s="8" t="s">
        <v>119</v>
      </c>
      <c r="I17" s="8" t="s">
        <v>134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4696</v>
      </c>
      <c r="B18" s="1" t="s">
        <v>182</v>
      </c>
      <c r="C18" s="13" t="s">
        <v>4667</v>
      </c>
      <c r="D18" s="13" t="s">
        <v>4697</v>
      </c>
      <c r="E18" s="1" t="s">
        <v>154</v>
      </c>
      <c r="F18" s="1" t="s">
        <v>184</v>
      </c>
      <c r="G18" s="13" t="s">
        <v>4688</v>
      </c>
      <c r="H18" s="8" t="s">
        <v>119</v>
      </c>
      <c r="I18" s="8" t="s">
        <v>134</v>
      </c>
      <c r="J18" s="10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4698</v>
      </c>
      <c r="B19" s="1" t="s">
        <v>187</v>
      </c>
      <c r="C19" s="13" t="s">
        <v>4674</v>
      </c>
      <c r="D19" s="13" t="s">
        <v>4699</v>
      </c>
      <c r="E19" s="1" t="s">
        <v>154</v>
      </c>
      <c r="F19" s="1" t="s">
        <v>189</v>
      </c>
      <c r="G19" s="13" t="s">
        <v>4700</v>
      </c>
      <c r="H19" s="8" t="s">
        <v>119</v>
      </c>
      <c r="I19" s="8" t="s">
        <v>133</v>
      </c>
      <c r="J19" s="10" t="n">
        <v>46262</v>
      </c>
      <c r="K19" s="13" t="s">
        <v>1664</v>
      </c>
      <c r="L19" s="1" t="n">
        <v>1</v>
      </c>
      <c r="M19" s="1" t="n">
        <f aca="false">IF(OR(AND(I19="yes",H19="verified"),AND(I19="no",OR(H19="tested",H19="verified")),AND(H19="not applicable",K19&lt;&gt;"")),1,0)</f>
        <v>0</v>
      </c>
    </row>
    <row r="20" customFormat="false" ht="48" hidden="false" customHeight="true" outlineLevel="0" collapsed="false">
      <c r="A20" s="1" t="s">
        <v>4701</v>
      </c>
      <c r="B20" s="1" t="s">
        <v>4573</v>
      </c>
      <c r="C20" s="13" t="s">
        <v>4674</v>
      </c>
      <c r="D20" s="13" t="s">
        <v>4702</v>
      </c>
      <c r="E20" s="1" t="s">
        <v>154</v>
      </c>
      <c r="F20" s="1" t="s">
        <v>195</v>
      </c>
      <c r="G20" s="13" t="s">
        <v>4703</v>
      </c>
      <c r="H20" s="8" t="s">
        <v>113</v>
      </c>
      <c r="I20" s="8" t="s">
        <v>133</v>
      </c>
      <c r="K20" s="13" t="s">
        <v>4704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4705</v>
      </c>
      <c r="B21" s="1" t="s">
        <v>4706</v>
      </c>
      <c r="C21" s="13" t="s">
        <v>33</v>
      </c>
      <c r="D21" s="13" t="s">
        <v>4707</v>
      </c>
      <c r="E21" s="1" t="s">
        <v>154</v>
      </c>
      <c r="F21" s="1" t="s">
        <v>195</v>
      </c>
      <c r="G21" s="13" t="s">
        <v>4703</v>
      </c>
      <c r="H21" s="8" t="s">
        <v>113</v>
      </c>
      <c r="I21" s="8" t="s">
        <v>133</v>
      </c>
      <c r="K21" s="13" t="s">
        <v>4708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4709</v>
      </c>
      <c r="B22" s="1" t="s">
        <v>207</v>
      </c>
      <c r="C22" s="13" t="s">
        <v>4674</v>
      </c>
      <c r="D22" s="13" t="s">
        <v>4710</v>
      </c>
      <c r="E22" s="1" t="s">
        <v>154</v>
      </c>
      <c r="F22" s="1" t="s">
        <v>195</v>
      </c>
      <c r="G22" s="13" t="s">
        <v>4703</v>
      </c>
      <c r="H22" s="8" t="s">
        <v>113</v>
      </c>
      <c r="I22" s="8" t="s">
        <v>133</v>
      </c>
      <c r="K22" s="13" t="s">
        <v>4528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4711</v>
      </c>
      <c r="B23" s="1" t="s">
        <v>642</v>
      </c>
      <c r="C23" s="13" t="s">
        <v>4674</v>
      </c>
      <c r="D23" s="13" t="s">
        <v>4712</v>
      </c>
      <c r="E23" s="1" t="s">
        <v>154</v>
      </c>
      <c r="F23" s="1" t="s">
        <v>644</v>
      </c>
      <c r="G23" s="13" t="s">
        <v>4713</v>
      </c>
      <c r="H23" s="8" t="s">
        <v>119</v>
      </c>
      <c r="I23" s="8" t="s">
        <v>134</v>
      </c>
      <c r="J23" s="10" t="n">
        <v>46262</v>
      </c>
      <c r="K23" s="13"/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8" hidden="false" customHeight="true" outlineLevel="0" collapsed="false">
      <c r="A24" s="1" t="s">
        <v>4714</v>
      </c>
      <c r="B24" s="1" t="s">
        <v>211</v>
      </c>
      <c r="C24" s="13" t="s">
        <v>4674</v>
      </c>
      <c r="D24" s="13" t="s">
        <v>4715</v>
      </c>
      <c r="E24" s="1" t="s">
        <v>154</v>
      </c>
      <c r="F24" s="1" t="s">
        <v>213</v>
      </c>
      <c r="G24" s="13" t="s">
        <v>4716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4717</v>
      </c>
      <c r="B25" s="1" t="s">
        <v>4225</v>
      </c>
      <c r="C25" s="13" t="s">
        <v>4674</v>
      </c>
      <c r="D25" s="13" t="s">
        <v>4718</v>
      </c>
      <c r="E25" s="1" t="s">
        <v>154</v>
      </c>
      <c r="F25" s="1" t="s">
        <v>213</v>
      </c>
      <c r="G25" s="13" t="s">
        <v>4719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4720</v>
      </c>
      <c r="B26" s="1" t="s">
        <v>216</v>
      </c>
      <c r="C26" s="13" t="s">
        <v>4674</v>
      </c>
      <c r="D26" s="13" t="s">
        <v>4721</v>
      </c>
      <c r="E26" s="1" t="s">
        <v>154</v>
      </c>
      <c r="F26" s="1" t="s">
        <v>213</v>
      </c>
      <c r="G26" s="13" t="s">
        <v>4722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4723</v>
      </c>
      <c r="B27" s="1" t="s">
        <v>220</v>
      </c>
      <c r="C27" s="13" t="s">
        <v>4674</v>
      </c>
      <c r="D27" s="13" t="s">
        <v>4724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4725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4726</v>
      </c>
      <c r="B28" s="1" t="s">
        <v>225</v>
      </c>
      <c r="C28" s="13" t="s">
        <v>4674</v>
      </c>
      <c r="D28" s="13" t="s">
        <v>4727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4730</v>
      </c>
      <c r="B9" s="1" t="s">
        <v>151</v>
      </c>
      <c r="C9" s="13" t="s">
        <v>914</v>
      </c>
      <c r="D9" s="13" t="s">
        <v>4731</v>
      </c>
      <c r="E9" s="1" t="s">
        <v>154</v>
      </c>
      <c r="F9" s="1" t="s">
        <v>155</v>
      </c>
      <c r="G9" s="13" t="s">
        <v>4732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4733</v>
      </c>
      <c r="B10" s="1" t="s">
        <v>1404</v>
      </c>
      <c r="C10" s="13" t="s">
        <v>4734</v>
      </c>
      <c r="D10" s="13" t="s">
        <v>4735</v>
      </c>
      <c r="E10" s="1" t="s">
        <v>154</v>
      </c>
      <c r="F10" s="1" t="s">
        <v>174</v>
      </c>
      <c r="G10" s="13" t="s">
        <v>4736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4737</v>
      </c>
      <c r="B11" s="1" t="s">
        <v>158</v>
      </c>
      <c r="C11" s="13" t="s">
        <v>4738</v>
      </c>
      <c r="D11" s="13" t="s">
        <v>4739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4740</v>
      </c>
      <c r="B12" s="1" t="s">
        <v>162</v>
      </c>
      <c r="C12" s="13" t="s">
        <v>4741</v>
      </c>
      <c r="D12" s="13" t="s">
        <v>4742</v>
      </c>
      <c r="E12" s="1" t="s">
        <v>154</v>
      </c>
      <c r="F12" s="1" t="s">
        <v>164</v>
      </c>
      <c r="G12" s="13" t="s">
        <v>4743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4744</v>
      </c>
      <c r="B13" s="1" t="s">
        <v>167</v>
      </c>
      <c r="C13" s="13" t="s">
        <v>4741</v>
      </c>
      <c r="D13" s="13" t="s">
        <v>4745</v>
      </c>
      <c r="E13" s="1" t="s">
        <v>154</v>
      </c>
      <c r="F13" s="1" t="s">
        <v>169</v>
      </c>
      <c r="G13" s="13" t="s">
        <v>4746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4747</v>
      </c>
      <c r="B14" s="1" t="s">
        <v>1637</v>
      </c>
      <c r="C14" s="13" t="s">
        <v>914</v>
      </c>
      <c r="D14" s="13" t="s">
        <v>4748</v>
      </c>
      <c r="E14" s="1" t="s">
        <v>154</v>
      </c>
      <c r="F14" s="1" t="s">
        <v>174</v>
      </c>
      <c r="G14" s="13" t="s">
        <v>4736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4749</v>
      </c>
      <c r="B15" s="1" t="s">
        <v>1195</v>
      </c>
      <c r="C15" s="13" t="s">
        <v>914</v>
      </c>
      <c r="D15" s="13" t="s">
        <v>4750</v>
      </c>
      <c r="E15" s="1" t="s">
        <v>154</v>
      </c>
      <c r="F15" s="1" t="s">
        <v>174</v>
      </c>
      <c r="G15" s="13" t="s">
        <v>4736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4751</v>
      </c>
      <c r="B16" s="1" t="s">
        <v>1979</v>
      </c>
      <c r="C16" s="13" t="s">
        <v>914</v>
      </c>
      <c r="D16" s="13" t="s">
        <v>4752</v>
      </c>
      <c r="E16" s="1" t="s">
        <v>154</v>
      </c>
      <c r="F16" s="1" t="s">
        <v>179</v>
      </c>
      <c r="G16" s="13" t="s">
        <v>4753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4754</v>
      </c>
      <c r="B17" s="1" t="s">
        <v>1852</v>
      </c>
      <c r="C17" s="13" t="s">
        <v>1852</v>
      </c>
      <c r="D17" s="13" t="s">
        <v>4755</v>
      </c>
      <c r="E17" s="1" t="s">
        <v>154</v>
      </c>
      <c r="F17" s="1" t="s">
        <v>179</v>
      </c>
      <c r="G17" s="13" t="s">
        <v>4756</v>
      </c>
      <c r="H17" s="8" t="s">
        <v>119</v>
      </c>
      <c r="I17" s="8" t="s">
        <v>134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4757</v>
      </c>
      <c r="B18" s="1" t="s">
        <v>4758</v>
      </c>
      <c r="C18" s="13" t="s">
        <v>926</v>
      </c>
      <c r="D18" s="13" t="s">
        <v>4759</v>
      </c>
      <c r="E18" s="1" t="s">
        <v>154</v>
      </c>
      <c r="F18" s="1" t="s">
        <v>179</v>
      </c>
      <c r="G18" s="13" t="s">
        <v>4756</v>
      </c>
      <c r="H18" s="8" t="s">
        <v>119</v>
      </c>
      <c r="I18" s="8" t="s">
        <v>134</v>
      </c>
      <c r="J18" s="10" t="n">
        <v>46262</v>
      </c>
      <c r="K18" s="13"/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8" hidden="false" customHeight="true" outlineLevel="0" collapsed="false">
      <c r="A19" s="1" t="s">
        <v>4760</v>
      </c>
      <c r="B19" s="1" t="s">
        <v>182</v>
      </c>
      <c r="C19" s="13" t="s">
        <v>4741</v>
      </c>
      <c r="D19" s="13" t="s">
        <v>4761</v>
      </c>
      <c r="E19" s="1" t="s">
        <v>154</v>
      </c>
      <c r="F19" s="1" t="s">
        <v>184</v>
      </c>
      <c r="G19" s="13" t="s">
        <v>4756</v>
      </c>
      <c r="H19" s="8" t="s">
        <v>119</v>
      </c>
      <c r="I19" s="8" t="s">
        <v>134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4762</v>
      </c>
      <c r="B20" s="1" t="s">
        <v>187</v>
      </c>
      <c r="C20" s="13" t="s">
        <v>4738</v>
      </c>
      <c r="D20" s="13" t="s">
        <v>4763</v>
      </c>
      <c r="E20" s="1" t="s">
        <v>154</v>
      </c>
      <c r="F20" s="1" t="s">
        <v>189</v>
      </c>
      <c r="G20" s="13" t="s">
        <v>4764</v>
      </c>
      <c r="H20" s="8" t="s">
        <v>119</v>
      </c>
      <c r="I20" s="8" t="s">
        <v>133</v>
      </c>
      <c r="J20" s="10" t="n">
        <v>46262</v>
      </c>
      <c r="K20" s="13" t="s">
        <v>1664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4765</v>
      </c>
      <c r="B21" s="1" t="s">
        <v>1650</v>
      </c>
      <c r="C21" s="13" t="s">
        <v>914</v>
      </c>
      <c r="D21" s="13" t="s">
        <v>4766</v>
      </c>
      <c r="E21" s="1" t="s">
        <v>154</v>
      </c>
      <c r="F21" s="1" t="s">
        <v>195</v>
      </c>
      <c r="G21" s="13" t="s">
        <v>4767</v>
      </c>
      <c r="H21" s="8" t="s">
        <v>113</v>
      </c>
      <c r="I21" s="8" t="s">
        <v>133</v>
      </c>
      <c r="K21" s="13" t="s">
        <v>4768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4769</v>
      </c>
      <c r="B22" s="1" t="s">
        <v>4573</v>
      </c>
      <c r="C22" s="13" t="s">
        <v>4741</v>
      </c>
      <c r="D22" s="13" t="s">
        <v>4770</v>
      </c>
      <c r="E22" s="1" t="s">
        <v>154</v>
      </c>
      <c r="F22" s="1" t="s">
        <v>195</v>
      </c>
      <c r="G22" s="13" t="s">
        <v>4767</v>
      </c>
      <c r="H22" s="8" t="s">
        <v>113</v>
      </c>
      <c r="I22" s="8" t="s">
        <v>133</v>
      </c>
      <c r="K22" s="13" t="s">
        <v>4638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4771</v>
      </c>
      <c r="B23" s="1" t="s">
        <v>4772</v>
      </c>
      <c r="C23" s="13" t="s">
        <v>4741</v>
      </c>
      <c r="D23" s="13" t="s">
        <v>4773</v>
      </c>
      <c r="E23" s="1" t="s">
        <v>154</v>
      </c>
      <c r="F23" s="1" t="s">
        <v>195</v>
      </c>
      <c r="G23" s="13" t="s">
        <v>4767</v>
      </c>
      <c r="H23" s="8" t="s">
        <v>113</v>
      </c>
      <c r="I23" s="8" t="s">
        <v>133</v>
      </c>
      <c r="K23" s="13" t="s">
        <v>4774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4775</v>
      </c>
      <c r="B24" s="1" t="s">
        <v>207</v>
      </c>
      <c r="C24" s="13" t="s">
        <v>4738</v>
      </c>
      <c r="D24" s="13" t="s">
        <v>4776</v>
      </c>
      <c r="E24" s="1" t="s">
        <v>154</v>
      </c>
      <c r="F24" s="1" t="s">
        <v>195</v>
      </c>
      <c r="G24" s="13" t="s">
        <v>4767</v>
      </c>
      <c r="H24" s="8" t="s">
        <v>113</v>
      </c>
      <c r="I24" s="8" t="s">
        <v>133</v>
      </c>
      <c r="K24" s="13" t="s">
        <v>4528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48" hidden="false" customHeight="true" outlineLevel="0" collapsed="false">
      <c r="A25" s="1" t="s">
        <v>4777</v>
      </c>
      <c r="B25" s="1" t="s">
        <v>211</v>
      </c>
      <c r="C25" s="13" t="s">
        <v>4738</v>
      </c>
      <c r="D25" s="13" t="s">
        <v>4778</v>
      </c>
      <c r="E25" s="1" t="s">
        <v>154</v>
      </c>
      <c r="F25" s="1" t="s">
        <v>213</v>
      </c>
      <c r="G25" s="13" t="s">
        <v>4779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4780</v>
      </c>
      <c r="B26" s="1" t="s">
        <v>4225</v>
      </c>
      <c r="C26" s="13" t="s">
        <v>4738</v>
      </c>
      <c r="D26" s="13" t="s">
        <v>4781</v>
      </c>
      <c r="E26" s="1" t="s">
        <v>154</v>
      </c>
      <c r="F26" s="1" t="s">
        <v>213</v>
      </c>
      <c r="G26" s="13" t="s">
        <v>4782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4783</v>
      </c>
      <c r="B27" s="1" t="s">
        <v>220</v>
      </c>
      <c r="C27" s="13" t="s">
        <v>4738</v>
      </c>
      <c r="D27" s="13" t="s">
        <v>4784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4785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4786</v>
      </c>
      <c r="B28" s="1" t="s">
        <v>225</v>
      </c>
      <c r="C28" s="13" t="s">
        <v>4738</v>
      </c>
      <c r="D28" s="13" t="s">
        <v>4598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4787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4788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137</v>
      </c>
      <c r="E4" s="6" t="n">
        <f aca="false">SUM(M9:M28)</f>
        <v>13</v>
      </c>
      <c r="G4" s="5" t="s">
        <v>14</v>
      </c>
      <c r="H4" s="7" t="n">
        <f aca="false">IF(B4=0,0,E4/B4)</f>
        <v>0.65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138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open</v>
      </c>
    </row>
    <row r="8" customFormat="false" ht="15" hidden="false" customHeight="true" outlineLevel="0" collapsed="false">
      <c r="A8" s="8" t="s">
        <v>139</v>
      </c>
      <c r="B8" s="8" t="s">
        <v>140</v>
      </c>
      <c r="C8" s="8" t="s">
        <v>141</v>
      </c>
      <c r="D8" s="8" t="s">
        <v>142</v>
      </c>
      <c r="E8" s="8" t="s">
        <v>143</v>
      </c>
      <c r="F8" s="8" t="s">
        <v>144</v>
      </c>
      <c r="G8" s="8" t="s">
        <v>145</v>
      </c>
      <c r="H8" s="8" t="s">
        <v>104</v>
      </c>
      <c r="I8" s="8" t="s">
        <v>146</v>
      </c>
      <c r="J8" s="11" t="s">
        <v>147</v>
      </c>
      <c r="K8" s="8" t="s">
        <v>148</v>
      </c>
      <c r="L8" s="8" t="s">
        <v>149</v>
      </c>
      <c r="M8" s="8" t="s">
        <v>137</v>
      </c>
    </row>
    <row r="9" customFormat="false" ht="48" hidden="false" customHeight="true" outlineLevel="0" collapsed="false">
      <c r="A9" s="1" t="s">
        <v>4789</v>
      </c>
      <c r="B9" s="1" t="s">
        <v>151</v>
      </c>
      <c r="C9" s="13" t="s">
        <v>4790</v>
      </c>
      <c r="D9" s="13" t="s">
        <v>4791</v>
      </c>
      <c r="E9" s="1" t="s">
        <v>154</v>
      </c>
      <c r="F9" s="1" t="s">
        <v>155</v>
      </c>
      <c r="G9" s="13" t="s">
        <v>4792</v>
      </c>
      <c r="H9" s="8" t="s">
        <v>119</v>
      </c>
      <c r="I9" s="8" t="s">
        <v>134</v>
      </c>
      <c r="J9" s="10" t="n">
        <v>46262</v>
      </c>
      <c r="K9" s="13"/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8" hidden="false" customHeight="true" outlineLevel="0" collapsed="false">
      <c r="A10" s="1" t="s">
        <v>4793</v>
      </c>
      <c r="B10" s="1" t="s">
        <v>1404</v>
      </c>
      <c r="C10" s="13" t="s">
        <v>4790</v>
      </c>
      <c r="D10" s="13" t="s">
        <v>4794</v>
      </c>
      <c r="E10" s="1" t="s">
        <v>154</v>
      </c>
      <c r="F10" s="1" t="s">
        <v>174</v>
      </c>
      <c r="G10" s="13" t="s">
        <v>4795</v>
      </c>
      <c r="H10" s="8" t="s">
        <v>119</v>
      </c>
      <c r="I10" s="8" t="s">
        <v>134</v>
      </c>
      <c r="J10" s="10" t="n">
        <v>46262</v>
      </c>
      <c r="K10" s="13"/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8" hidden="false" customHeight="true" outlineLevel="0" collapsed="false">
      <c r="A11" s="1" t="s">
        <v>4796</v>
      </c>
      <c r="B11" s="1" t="s">
        <v>158</v>
      </c>
      <c r="C11" s="13" t="s">
        <v>104</v>
      </c>
      <c r="D11" s="13" t="s">
        <v>4797</v>
      </c>
      <c r="E11" s="1" t="s">
        <v>154</v>
      </c>
      <c r="F11" s="1" t="s">
        <v>154</v>
      </c>
      <c r="G11" s="13" t="s">
        <v>160</v>
      </c>
      <c r="H11" s="8" t="s">
        <v>119</v>
      </c>
      <c r="I11" s="8" t="s">
        <v>134</v>
      </c>
      <c r="J11" s="10" t="n">
        <v>46262</v>
      </c>
      <c r="K11" s="13"/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8" hidden="false" customHeight="true" outlineLevel="0" collapsed="false">
      <c r="A12" s="1" t="s">
        <v>4798</v>
      </c>
      <c r="B12" s="1" t="s">
        <v>162</v>
      </c>
      <c r="C12" s="13" t="s">
        <v>4790</v>
      </c>
      <c r="D12" s="13" t="s">
        <v>4799</v>
      </c>
      <c r="E12" s="1" t="s">
        <v>154</v>
      </c>
      <c r="F12" s="1" t="s">
        <v>164</v>
      </c>
      <c r="G12" s="13" t="s">
        <v>4800</v>
      </c>
      <c r="H12" s="8" t="s">
        <v>119</v>
      </c>
      <c r="I12" s="8" t="s">
        <v>134</v>
      </c>
      <c r="J12" s="10" t="n">
        <v>46262</v>
      </c>
      <c r="K12" s="13"/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8" hidden="false" customHeight="true" outlineLevel="0" collapsed="false">
      <c r="A13" s="1" t="s">
        <v>4801</v>
      </c>
      <c r="B13" s="1" t="s">
        <v>167</v>
      </c>
      <c r="C13" s="13" t="s">
        <v>4790</v>
      </c>
      <c r="D13" s="13" t="s">
        <v>4802</v>
      </c>
      <c r="E13" s="1" t="s">
        <v>154</v>
      </c>
      <c r="F13" s="1" t="s">
        <v>169</v>
      </c>
      <c r="G13" s="13" t="s">
        <v>4803</v>
      </c>
      <c r="H13" s="8" t="s">
        <v>119</v>
      </c>
      <c r="I13" s="8" t="s">
        <v>134</v>
      </c>
      <c r="J13" s="10" t="n">
        <v>46262</v>
      </c>
      <c r="K13" s="13"/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8" hidden="false" customHeight="true" outlineLevel="0" collapsed="false">
      <c r="A14" s="1" t="s">
        <v>4804</v>
      </c>
      <c r="B14" s="1" t="s">
        <v>1637</v>
      </c>
      <c r="C14" s="13" t="s">
        <v>823</v>
      </c>
      <c r="D14" s="13" t="s">
        <v>4805</v>
      </c>
      <c r="E14" s="1" t="s">
        <v>154</v>
      </c>
      <c r="F14" s="1" t="s">
        <v>174</v>
      </c>
      <c r="G14" s="13" t="s">
        <v>4795</v>
      </c>
      <c r="H14" s="8" t="s">
        <v>119</v>
      </c>
      <c r="I14" s="8" t="s">
        <v>134</v>
      </c>
      <c r="J14" s="10" t="n">
        <v>46262</v>
      </c>
      <c r="K14" s="13"/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8" hidden="false" customHeight="true" outlineLevel="0" collapsed="false">
      <c r="A15" s="1" t="s">
        <v>4806</v>
      </c>
      <c r="B15" s="1" t="s">
        <v>1195</v>
      </c>
      <c r="C15" s="13" t="s">
        <v>4043</v>
      </c>
      <c r="D15" s="13" t="s">
        <v>4807</v>
      </c>
      <c r="E15" s="1" t="s">
        <v>154</v>
      </c>
      <c r="F15" s="1" t="s">
        <v>174</v>
      </c>
      <c r="G15" s="13" t="s">
        <v>4795</v>
      </c>
      <c r="H15" s="8" t="s">
        <v>119</v>
      </c>
      <c r="I15" s="8" t="s">
        <v>134</v>
      </c>
      <c r="J15" s="10" t="n">
        <v>46262</v>
      </c>
      <c r="K15" s="13"/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8" hidden="false" customHeight="true" outlineLevel="0" collapsed="false">
      <c r="A16" s="1" t="s">
        <v>4808</v>
      </c>
      <c r="B16" s="1" t="s">
        <v>682</v>
      </c>
      <c r="C16" s="13" t="s">
        <v>4809</v>
      </c>
      <c r="D16" s="13" t="s">
        <v>4810</v>
      </c>
      <c r="E16" s="1" t="s">
        <v>154</v>
      </c>
      <c r="F16" s="1" t="s">
        <v>179</v>
      </c>
      <c r="G16" s="13" t="s">
        <v>4811</v>
      </c>
      <c r="H16" s="8" t="s">
        <v>119</v>
      </c>
      <c r="I16" s="8" t="s">
        <v>134</v>
      </c>
      <c r="J16" s="10" t="n">
        <v>46262</v>
      </c>
      <c r="K16" s="13"/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8" hidden="false" customHeight="true" outlineLevel="0" collapsed="false">
      <c r="A17" s="1" t="s">
        <v>4812</v>
      </c>
      <c r="B17" s="1" t="s">
        <v>182</v>
      </c>
      <c r="C17" s="13" t="s">
        <v>4790</v>
      </c>
      <c r="D17" s="13" t="s">
        <v>4813</v>
      </c>
      <c r="E17" s="1" t="s">
        <v>154</v>
      </c>
      <c r="F17" s="1" t="s">
        <v>184</v>
      </c>
      <c r="G17" s="13" t="s">
        <v>4814</v>
      </c>
      <c r="H17" s="8" t="s">
        <v>119</v>
      </c>
      <c r="I17" s="8" t="s">
        <v>134</v>
      </c>
      <c r="J17" s="10" t="n">
        <v>46262</v>
      </c>
      <c r="K17" s="13"/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8" hidden="false" customHeight="true" outlineLevel="0" collapsed="false">
      <c r="A18" s="1" t="s">
        <v>4815</v>
      </c>
      <c r="B18" s="1" t="s">
        <v>187</v>
      </c>
      <c r="C18" s="13" t="s">
        <v>104</v>
      </c>
      <c r="D18" s="13" t="s">
        <v>4632</v>
      </c>
      <c r="E18" s="1" t="s">
        <v>154</v>
      </c>
      <c r="F18" s="1" t="s">
        <v>189</v>
      </c>
      <c r="G18" s="13" t="s">
        <v>4816</v>
      </c>
      <c r="H18" s="8" t="s">
        <v>115</v>
      </c>
      <c r="I18" s="8" t="s">
        <v>133</v>
      </c>
      <c r="J18" s="10" t="n">
        <v>46262</v>
      </c>
      <c r="K18" s="13" t="s">
        <v>4817</v>
      </c>
      <c r="L18" s="1" t="n">
        <v>1</v>
      </c>
      <c r="M18" s="1" t="n">
        <f aca="false">IF(OR(AND(I18="yes",H18="verified"),AND(I18="no",OR(H18="tested",H18="verified")),AND(H18="not applicable",K18&lt;&gt;"")),1,0)</f>
        <v>0</v>
      </c>
    </row>
    <row r="19" customFormat="false" ht="48" hidden="false" customHeight="true" outlineLevel="0" collapsed="false">
      <c r="A19" s="1" t="s">
        <v>4818</v>
      </c>
      <c r="B19" s="1" t="s">
        <v>4819</v>
      </c>
      <c r="C19" s="13" t="s">
        <v>4043</v>
      </c>
      <c r="D19" s="13" t="s">
        <v>4820</v>
      </c>
      <c r="E19" s="1" t="s">
        <v>154</v>
      </c>
      <c r="F19" s="1" t="s">
        <v>174</v>
      </c>
      <c r="G19" s="13" t="s">
        <v>4795</v>
      </c>
      <c r="H19" s="8" t="s">
        <v>119</v>
      </c>
      <c r="I19" s="8" t="s">
        <v>134</v>
      </c>
      <c r="J19" s="10" t="n">
        <v>46262</v>
      </c>
      <c r="K19" s="13"/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8" hidden="false" customHeight="true" outlineLevel="0" collapsed="false">
      <c r="A20" s="1" t="s">
        <v>4821</v>
      </c>
      <c r="B20" s="1" t="s">
        <v>4573</v>
      </c>
      <c r="C20" s="13" t="s">
        <v>3225</v>
      </c>
      <c r="D20" s="13" t="s">
        <v>4822</v>
      </c>
      <c r="E20" s="1" t="s">
        <v>154</v>
      </c>
      <c r="F20" s="1" t="s">
        <v>195</v>
      </c>
      <c r="G20" s="13" t="s">
        <v>4823</v>
      </c>
      <c r="H20" s="8" t="s">
        <v>113</v>
      </c>
      <c r="I20" s="8" t="s">
        <v>133</v>
      </c>
      <c r="K20" s="13" t="s">
        <v>4638</v>
      </c>
      <c r="L20" s="1" t="n">
        <v>1</v>
      </c>
      <c r="M20" s="1" t="n">
        <f aca="false">IF(OR(AND(I20="yes",H20="verified"),AND(I20="no",OR(H20="tested",H20="verified")),AND(H20="not applicable",K20&lt;&gt;"")),1,0)</f>
        <v>0</v>
      </c>
    </row>
    <row r="21" customFormat="false" ht="48" hidden="false" customHeight="true" outlineLevel="0" collapsed="false">
      <c r="A21" s="1" t="s">
        <v>4824</v>
      </c>
      <c r="B21" s="1" t="s">
        <v>199</v>
      </c>
      <c r="C21" s="13" t="s">
        <v>4790</v>
      </c>
      <c r="D21" s="13" t="s">
        <v>4825</v>
      </c>
      <c r="E21" s="1" t="s">
        <v>154</v>
      </c>
      <c r="F21" s="1" t="s">
        <v>195</v>
      </c>
      <c r="G21" s="13" t="s">
        <v>4823</v>
      </c>
      <c r="H21" s="8" t="s">
        <v>113</v>
      </c>
      <c r="I21" s="8" t="s">
        <v>133</v>
      </c>
      <c r="K21" s="13" t="s">
        <v>4579</v>
      </c>
      <c r="L21" s="1" t="n">
        <v>1</v>
      </c>
      <c r="M21" s="1" t="n">
        <f aca="false">IF(OR(AND(I21="yes",H21="verified"),AND(I21="no",OR(H21="tested",H21="verified")),AND(H21="not applicable",K21&lt;&gt;"")),1,0)</f>
        <v>0</v>
      </c>
    </row>
    <row r="22" customFormat="false" ht="48" hidden="false" customHeight="true" outlineLevel="0" collapsed="false">
      <c r="A22" s="1" t="s">
        <v>4826</v>
      </c>
      <c r="B22" s="1" t="s">
        <v>4827</v>
      </c>
      <c r="C22" s="13" t="s">
        <v>823</v>
      </c>
      <c r="D22" s="13" t="s">
        <v>4828</v>
      </c>
      <c r="E22" s="1" t="s">
        <v>154</v>
      </c>
      <c r="F22" s="1" t="s">
        <v>195</v>
      </c>
      <c r="G22" s="13" t="s">
        <v>4829</v>
      </c>
      <c r="H22" s="8" t="s">
        <v>117</v>
      </c>
      <c r="I22" s="8" t="s">
        <v>133</v>
      </c>
      <c r="J22" s="10" t="n">
        <v>46262</v>
      </c>
      <c r="K22" s="13" t="s">
        <v>4830</v>
      </c>
      <c r="L22" s="1" t="n">
        <v>1</v>
      </c>
      <c r="M22" s="1" t="n">
        <f aca="false">IF(OR(AND(I22="yes",H22="verified"),AND(I22="no",OR(H22="tested",H22="verified")),AND(H22="not applicable",K22&lt;&gt;"")),1,0)</f>
        <v>0</v>
      </c>
    </row>
    <row r="23" customFormat="false" ht="48" hidden="false" customHeight="true" outlineLevel="0" collapsed="false">
      <c r="A23" s="1" t="s">
        <v>4831</v>
      </c>
      <c r="B23" s="1" t="s">
        <v>207</v>
      </c>
      <c r="C23" s="13" t="s">
        <v>104</v>
      </c>
      <c r="D23" s="13" t="s">
        <v>4832</v>
      </c>
      <c r="E23" s="1" t="s">
        <v>154</v>
      </c>
      <c r="F23" s="1" t="s">
        <v>195</v>
      </c>
      <c r="G23" s="13" t="s">
        <v>4823</v>
      </c>
      <c r="H23" s="8" t="s">
        <v>113</v>
      </c>
      <c r="I23" s="8" t="s">
        <v>133</v>
      </c>
      <c r="K23" s="13" t="s">
        <v>4528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8" hidden="false" customHeight="true" outlineLevel="0" collapsed="false">
      <c r="A24" s="1" t="s">
        <v>4833</v>
      </c>
      <c r="B24" s="1" t="s">
        <v>642</v>
      </c>
      <c r="C24" s="13" t="s">
        <v>104</v>
      </c>
      <c r="D24" s="13" t="s">
        <v>4834</v>
      </c>
      <c r="E24" s="1" t="s">
        <v>154</v>
      </c>
      <c r="F24" s="1" t="s">
        <v>644</v>
      </c>
      <c r="G24" s="13" t="s">
        <v>4835</v>
      </c>
      <c r="H24" s="8" t="s">
        <v>119</v>
      </c>
      <c r="I24" s="8" t="s">
        <v>134</v>
      </c>
      <c r="J24" s="10" t="n">
        <v>46262</v>
      </c>
      <c r="K24" s="13"/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8" hidden="false" customHeight="true" outlineLevel="0" collapsed="false">
      <c r="A25" s="1" t="s">
        <v>4836</v>
      </c>
      <c r="B25" s="1" t="s">
        <v>211</v>
      </c>
      <c r="C25" s="13" t="s">
        <v>104</v>
      </c>
      <c r="D25" s="13" t="s">
        <v>4837</v>
      </c>
      <c r="E25" s="1" t="s">
        <v>154</v>
      </c>
      <c r="F25" s="1" t="s">
        <v>213</v>
      </c>
      <c r="G25" s="13" t="s">
        <v>4838</v>
      </c>
      <c r="H25" s="8" t="s">
        <v>119</v>
      </c>
      <c r="I25" s="8" t="s">
        <v>134</v>
      </c>
      <c r="J25" s="10" t="n">
        <v>46262</v>
      </c>
      <c r="K25" s="13"/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8" hidden="false" customHeight="true" outlineLevel="0" collapsed="false">
      <c r="A26" s="1" t="s">
        <v>4839</v>
      </c>
      <c r="B26" s="1" t="s">
        <v>4225</v>
      </c>
      <c r="C26" s="13" t="s">
        <v>104</v>
      </c>
      <c r="D26" s="13" t="s">
        <v>4840</v>
      </c>
      <c r="E26" s="1" t="s">
        <v>154</v>
      </c>
      <c r="F26" s="1" t="s">
        <v>213</v>
      </c>
      <c r="G26" s="13" t="s">
        <v>4841</v>
      </c>
      <c r="H26" s="8" t="s">
        <v>119</v>
      </c>
      <c r="I26" s="8" t="s">
        <v>134</v>
      </c>
      <c r="J26" s="10" t="n">
        <v>46262</v>
      </c>
      <c r="K26" s="13"/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8" hidden="false" customHeight="true" outlineLevel="0" collapsed="false">
      <c r="A27" s="1" t="s">
        <v>4842</v>
      </c>
      <c r="B27" s="1" t="s">
        <v>220</v>
      </c>
      <c r="C27" s="13" t="s">
        <v>104</v>
      </c>
      <c r="D27" s="13" t="s">
        <v>4843</v>
      </c>
      <c r="E27" s="1" t="s">
        <v>222</v>
      </c>
      <c r="F27" s="1" t="s">
        <v>222</v>
      </c>
      <c r="G27" s="13" t="s">
        <v>223</v>
      </c>
      <c r="H27" s="8" t="s">
        <v>113</v>
      </c>
      <c r="I27" s="8" t="s">
        <v>134</v>
      </c>
      <c r="K27" s="13" t="s">
        <v>4844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8" hidden="false" customHeight="true" outlineLevel="0" collapsed="false">
      <c r="A28" s="1" t="s">
        <v>4845</v>
      </c>
      <c r="B28" s="1" t="s">
        <v>225</v>
      </c>
      <c r="C28" s="13" t="s">
        <v>104</v>
      </c>
      <c r="D28" s="13" t="s">
        <v>4598</v>
      </c>
      <c r="E28" s="1" t="s">
        <v>154</v>
      </c>
      <c r="F28" s="1" t="s">
        <v>154</v>
      </c>
      <c r="G28" s="13" t="s">
        <v>227</v>
      </c>
      <c r="H28" s="8" t="s">
        <v>123</v>
      </c>
      <c r="I28" s="8" t="s">
        <v>134</v>
      </c>
      <c r="J28" s="10" t="n">
        <v>46262</v>
      </c>
      <c r="K28" s="13" t="s">
        <v>4599</v>
      </c>
      <c r="L28" s="1" t="n">
        <v>1</v>
      </c>
      <c r="M28" s="1" t="n">
        <f aca="false">IF(OR(AND(I28="yes",H28="verified"),AND(I28="no",OR(H28="tested",H28="verified")),AND(H28="not applicable",K28&lt;&gt;"")),1,0)</f>
        <v>0</v>
      </c>
    </row>
  </sheetData>
  <autoFilter ref="A8:M28"/>
  <mergeCells count="2">
    <mergeCell ref="A1:M1"/>
    <mergeCell ref="A2:M2"/>
  </mergeCells>
  <conditionalFormatting sqref="H9:H2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2026-08-28T17:41:38Z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