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utton" sheetId="3" state="visible" r:id="rId3"/>
    <sheet xmlns:r="http://schemas.openxmlformats.org/officeDocument/2006/relationships" name="Card" sheetId="4" state="visible" r:id="rId4"/>
    <sheet xmlns:r="http://schemas.openxmlformats.org/officeDocument/2006/relationships" name="Dialog" sheetId="5" state="visible" r:id="rId5"/>
    <sheet xmlns:r="http://schemas.openxmlformats.org/officeDocument/2006/relationships" name="_Lists" sheetId="6" state="hidden" r:id="rId6"/>
    <sheet xmlns:r="http://schemas.openxmlformats.org/officeDocument/2006/relationships" name="AlertDialog" sheetId="7" state="visible" r:id="rId7"/>
    <sheet xmlns:r="http://schemas.openxmlformats.org/officeDocument/2006/relationships" name="Drawer" sheetId="8" state="visible" r:id="rId8"/>
    <sheet xmlns:r="http://schemas.openxmlformats.org/officeDocument/2006/relationships" name="Badge" sheetId="9" state="visible" r:id="rId9"/>
    <sheet xmlns:r="http://schemas.openxmlformats.org/officeDocument/2006/relationships" name="Avatar" sheetId="10" state="visible" r:id="rId10"/>
    <sheet xmlns:r="http://schemas.openxmlformats.org/officeDocument/2006/relationships" name="Toggle" sheetId="11" state="visible" r:id="rId11"/>
    <sheet xmlns:r="http://schemas.openxmlformats.org/officeDocument/2006/relationships" name="IconButton" sheetId="12" state="visible" r:id="rId12"/>
    <sheet xmlns:r="http://schemas.openxmlformats.org/officeDocument/2006/relationships" name="AppBar" sheetId="13" state="visible" r:id="rId13"/>
    <sheet xmlns:r="http://schemas.openxmlformats.org/officeDocument/2006/relationships" name="Tooltip" sheetId="14" state="visible" r:id="rId14"/>
    <sheet xmlns:r="http://schemas.openxmlformats.org/officeDocument/2006/relationships" name="HoverCard" sheetId="15" state="visible" r:id="rId15"/>
    <sheet xmlns:r="http://schemas.openxmlformats.org/officeDocument/2006/relationships" name="Popover" sheetId="16" state="visible" r:id="rId16"/>
    <sheet xmlns:r="http://schemas.openxmlformats.org/officeDocument/2006/relationships" name="Form Foundation" sheetId="17" state="visible" r:id="rId17"/>
    <sheet xmlns:r="http://schemas.openxmlformats.org/officeDocument/2006/relationships" name="Checkbox Family" sheetId="18" state="visible" r:id="rId18"/>
  </sheets>
  <definedNames>
    <definedName name="_xlnm._FilterDatabase" localSheetId="0" hidden="1">'Index'!$A$7:$N$20</definedName>
    <definedName name="_xlnm.Print_Area" localSheetId="0">'Index'!$A$1:$M$22</definedName>
    <definedName name="_xlnm._FilterDatabase" localSheetId="1" hidden="1">'Instructions'!$A$4:$B$18</definedName>
    <definedName name="_xlnm.Print_Area" localSheetId="1">'Instructions'!$A$1:$B$17</definedName>
    <definedName name="_xlnm._FilterDatabase" localSheetId="2" hidden="1">'Button'!$A$8:$M$34</definedName>
    <definedName name="_xlnm.Print_Titles" localSheetId="2">'Button'!$1:$8</definedName>
    <definedName name="_xlnm.Print_Area" localSheetId="2">'Button'!$A$1:$M$33</definedName>
    <definedName name="_xlnm._FilterDatabase" localSheetId="3" hidden="1">'Card'!$A$8:$M$34</definedName>
    <definedName name="_xlnm.Print_Titles" localSheetId="3">'Card'!$1:$8</definedName>
    <definedName name="_xlnm.Print_Area" localSheetId="3">'Card'!$A$1:$M$40</definedName>
    <definedName name="_xlnm._FilterDatabase" localSheetId="4" hidden="1">'Dialog'!$A$8:$M$45</definedName>
    <definedName name="_xlnm.Print_Titles" localSheetId="4">'Dialog'!$1:$8</definedName>
    <definedName name="_xlnm.Print_Area" localSheetId="4">'Dialog'!$A$1:$M$44</definedName>
    <definedName name="_xlnm._FilterDatabase" localSheetId="6" hidden="1">'AlertDialog'!$A$8:$M$47</definedName>
    <definedName name="_xlnm.Print_Area" localSheetId="6">'AlertDialog'!$A$1:$M$46</definedName>
    <definedName name="_xlnm._FilterDatabase" localSheetId="7" hidden="1">'Drawer'!$A$8:$M$47</definedName>
    <definedName name="_xlnm.Print_Area" localSheetId="7">'Drawer'!$A$1:$M$46</definedName>
    <definedName name="_xlnm._FilterDatabase" localSheetId="8" hidden="1">'Badge'!$A$8:$M$47</definedName>
    <definedName name="_xlnm.Print_Area" localSheetId="8">'Badge'!$A$1:$M$46</definedName>
    <definedName name="_xlnm._FilterDatabase" localSheetId="9" hidden="1">'Avatar'!$A$8:$M$47</definedName>
    <definedName name="_xlnm.Print_Area" localSheetId="9">'Avatar'!$A$1:$M$46</definedName>
    <definedName name="_xlnm.Print_Area" localSheetId="10">'Toggle'!$A$1:$M$46</definedName>
    <definedName name="_xlnm.Print_Area" localSheetId="11">'IconButton'!$A$1:$M$46</definedName>
    <definedName name="_xlnm.Print_Area" localSheetId="12">'AppBar'!$A$1:$M$46</definedName>
    <definedName name="_xlnm.Print_Area" localSheetId="13">'Tooltip'!$A$1:$M$46</definedName>
    <definedName name="_xlnm.Print_Area" localSheetId="14">'HoverCard'!$A$1:$M$46</definedName>
    <definedName name="_xlnm.Print_Area" localSheetId="15">'Popover'!$A$1:$M$46</definedName>
    <definedName name="_xlnm.Print_Area" localSheetId="16">'Form Foundation'!$A$1:$M$45</definedName>
    <definedName name="_xlnm.Print_Area" localSheetId="17">'Checkbox Family'!$A$1:$M$46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0"/>
      <b val="1"/>
      <color rgb="FFFFFFFF"/>
      <sz val="20"/>
    </font>
    <font>
      <name val="Aptos"/>
      <charset val="1"/>
      <family val="0"/>
      <color rgb="FF526072"/>
      <sz val="10"/>
    </font>
    <font>
      <name val="Aptos"/>
      <charset val="1"/>
      <family val="0"/>
      <b val="1"/>
      <color rgb="FF526072"/>
      <sz val="9"/>
    </font>
    <font>
      <name val="Aptos Display"/>
      <charset val="1"/>
      <family val="0"/>
      <b val="1"/>
      <color rgb="FF172033"/>
      <sz val="12"/>
    </font>
    <font>
      <name val="Aptos"/>
      <charset val="1"/>
      <family val="0"/>
      <b val="1"/>
      <color rgb="FFFFFFFF"/>
      <sz val="10"/>
    </font>
    <font>
      <name val="Aptos"/>
      <charset val="1"/>
      <family val="0"/>
      <color rgb="FF172033"/>
      <sz val="9"/>
    </font>
    <font>
      <name val="Aptos"/>
      <charset val="1"/>
      <family val="0"/>
      <b val="1"/>
      <color rgb="FF172033"/>
      <sz val="10"/>
    </font>
    <font>
      <name val="Aptos"/>
      <charset val="1"/>
      <family val="0"/>
      <color rgb="FF172033"/>
      <sz val="10"/>
    </font>
    <font>
      <name val="Aptos"/>
      <charset val="1"/>
      <family val="0"/>
      <i val="1"/>
      <color rgb="FF526072"/>
      <sz val="9"/>
    </font>
    <font>
      <name val="Calibri"/>
      <charset val="1"/>
      <family val="2"/>
      <color theme="10"/>
      <sz val="12"/>
    </font>
  </fonts>
  <fills count="5">
    <fill>
      <patternFill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9" fontId="9" fillId="0" borderId="1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 wrapText="1"/>
    </xf>
    <xf numFmtId="0" fontId="9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9" fontId="9" fillId="0" borderId="1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 wrapText="1"/>
    </xf>
    <xf numFmtId="0" fontId="9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verageIndex" displayName="CoverageIndex" ref="A7:M22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2.xml><?xml version="1.0" encoding="utf-8"?>
<table xmlns="http://schemas.openxmlformats.org/spreadsheetml/2006/main" id="2" name="InstructionsTable" displayName="InstructionsTable" ref="A4:B17" headerRowCount="1" totalsRowCount="0" totalsRowShown="0">
  <autoFilter ref="A4:B18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ButtonEvidence" displayName="ButtonEvidence" ref="A8:M33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CardEvidence" displayName="CardEvidence" ref="A8:M40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DialogEvidence" displayName="DialogEvidence" ref="A8:M44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heckboxFamilyEvidence" displayName="CheckboxFamilyEvidence" ref="A8:M46" headerRowCount="1" totalsRowCount="0" totalsRowShown="0">
  <autoFilter ref="A8:M47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8" customWidth="1" style="21" min="1" max="1"/>
    <col width="14" customWidth="1" style="21" min="2" max="3"/>
    <col width="10" customWidth="1" style="21" min="4" max="4"/>
    <col width="14" customWidth="1" style="21" min="5" max="5"/>
    <col width="10" customWidth="1" style="21" min="6" max="8"/>
    <col width="16" customWidth="1" style="21" min="9" max="9"/>
    <col width="13" customWidth="1" style="21" min="10" max="10"/>
    <col width="15" customWidth="1" style="21" min="11" max="12"/>
    <col width="14" customWidth="1" style="21" min="13" max="13"/>
  </cols>
  <sheetData>
    <row r="1" ht="33.75" customHeight="1" s="22">
      <c r="A1" s="23" t="inlineStr">
        <is>
          <t>Brick Component Coverage Index</t>
        </is>
      </c>
    </row>
    <row r="2" ht="33.75" customHeight="1" s="22">
      <c r="A2" s="24" t="inlineStr">
        <is>
          <t>Formula-driven foundation tracker. Package and Consumer evidence remain independent completion gates.</t>
        </is>
      </c>
    </row>
    <row r="3"/>
    <row r="4" ht="15" customHeight="1" s="22">
      <c r="A4" s="25" t="inlineStr">
        <is>
          <t>Reference components</t>
        </is>
      </c>
      <c r="B4" s="26">
        <f>COUNTA(A8:A22)</f>
        <v/>
      </c>
      <c r="C4" s="25" t="inlineStr">
        <is>
          <t>Complete</t>
        </is>
      </c>
      <c r="D4" s="26">
        <f>COUNTIF(M8:M22,"complete")</f>
        <v/>
      </c>
      <c r="E4" s="25" t="inlineStr">
        <is>
          <t>Blocked</t>
        </is>
      </c>
      <c r="F4" s="26">
        <f>SUM(H8:H22)</f>
        <v/>
      </c>
      <c r="G4" s="25" t="inlineStr">
        <is>
          <t>Overall</t>
        </is>
      </c>
      <c r="H4" s="27">
        <f>IFERROR(SUMPRODUCT(B8:B22,J8:J22)/SUM(B8:B22),0)</f>
        <v/>
      </c>
    </row>
    <row r="5"/>
    <row r="6"/>
    <row r="7" ht="33.75" customHeight="1" s="22">
      <c r="A7" s="28" t="inlineStr">
        <is>
          <t>Component</t>
        </is>
      </c>
      <c r="B7" s="28" t="inlineStr">
        <is>
          <t>Requirements</t>
        </is>
      </c>
      <c r="C7" s="28" t="inlineStr">
        <is>
          <t>Not started</t>
        </is>
      </c>
      <c r="D7" s="28" t="inlineStr">
        <is>
          <t>Partial</t>
        </is>
      </c>
      <c r="E7" s="28" t="inlineStr">
        <is>
          <t>Implemented</t>
        </is>
      </c>
      <c r="F7" s="28" t="inlineStr">
        <is>
          <t>Tested</t>
        </is>
      </c>
      <c r="G7" s="28" t="inlineStr">
        <is>
          <t>Verified</t>
        </is>
      </c>
      <c r="H7" s="28" t="inlineStr">
        <is>
          <t>Blocked</t>
        </is>
      </c>
      <c r="I7" s="28" t="inlineStr">
        <is>
          <t>Not applicable</t>
        </is>
      </c>
      <c r="J7" s="28" t="inlineStr">
        <is>
          <t>Completion</t>
        </is>
      </c>
      <c r="K7" s="28" t="inlineStr">
        <is>
          <t>Package gate</t>
        </is>
      </c>
      <c r="L7" s="28" t="inlineStr">
        <is>
          <t>Consumer gate</t>
        </is>
      </c>
      <c r="M7" s="28" t="inlineStr">
        <is>
          <t>Status</t>
        </is>
      </c>
    </row>
    <row r="8" ht="27.75" customHeight="1" s="22">
      <c r="A8" s="29" t="inlineStr">
        <is>
          <t>Button</t>
        </is>
      </c>
      <c r="B8" s="29">
        <f>COUNTA('Button'!A9:A33)</f>
        <v/>
      </c>
      <c r="C8" s="29">
        <f>COUNTIF('Button'!H9:H33,"not started")</f>
        <v/>
      </c>
      <c r="D8" s="29">
        <f>COUNTIF('Button'!H9:H33,"partial")</f>
        <v/>
      </c>
      <c r="E8" s="29">
        <f>COUNTIF('Button'!H9:H33,"implemented")</f>
        <v/>
      </c>
      <c r="F8" s="29">
        <f>COUNTIF('Button'!H9:H33,"tested")</f>
        <v/>
      </c>
      <c r="G8" s="29">
        <f>COUNTIF('Button'!H9:H33,"verified")</f>
        <v/>
      </c>
      <c r="H8" s="29">
        <f>COUNTIF('Button'!H9:H33,"blocked")</f>
        <v/>
      </c>
      <c r="I8" s="29">
        <f>COUNTIF('Button'!H9:H33,"not applicable")</f>
        <v/>
      </c>
      <c r="J8" s="30">
        <f>IFERROR(SUM('Button'!M9:M33)/SUM('Button'!L9:L33),0)</f>
        <v/>
      </c>
      <c r="K8" s="29">
        <f>IF(COUNTIFS('Button'!E9:E33,"package",'Button'!M9:M33,"&lt;1")=0,"complete","open")</f>
        <v/>
      </c>
      <c r="L8" s="29">
        <f>IF(COUNTIFS('Button'!E9:E33,"consumer",'Button'!M9:M33,"&lt;1")=0,"complete","open")</f>
        <v/>
      </c>
      <c r="M8" s="29">
        <f>IF(COUNTIF('Button'!H9:H33,"blocked")&gt;0,"blocked",IF(AND(J8=1,K8="complete",L8="complete"),"complete",IF(J8=0,"not started","in progress")))</f>
        <v/>
      </c>
    </row>
    <row r="9" ht="27.75" customHeight="1" s="22">
      <c r="A9" s="29" t="inlineStr">
        <is>
          <t>Card</t>
        </is>
      </c>
      <c r="B9" s="29">
        <f>COUNTA('Card'!A9:A40)</f>
        <v/>
      </c>
      <c r="C9" s="29">
        <f>COUNTIF('Card'!H9:H40,"not started")</f>
        <v/>
      </c>
      <c r="D9" s="29">
        <f>COUNTIF('Card'!H9:H40,"partial")</f>
        <v/>
      </c>
      <c r="E9" s="29">
        <f>COUNTIF('Card'!H9:H40,"implemented")</f>
        <v/>
      </c>
      <c r="F9" s="29">
        <f>COUNTIF('Card'!H9:H40,"tested")</f>
        <v/>
      </c>
      <c r="G9" s="29">
        <f>COUNTIF('Card'!H9:H40,"verified")</f>
        <v/>
      </c>
      <c r="H9" s="29">
        <f>COUNTIF('Card'!H9:H40,"blocked")</f>
        <v/>
      </c>
      <c r="I9" s="29">
        <f>COUNTIF('Card'!H9:H40,"not applicable")</f>
        <v/>
      </c>
      <c r="J9" s="30">
        <f>IFERROR(SUM('Card'!M9:M40)/SUM('Card'!L9:L40),0)</f>
        <v/>
      </c>
      <c r="K9" s="29">
        <f>IF(COUNTIFS('Card'!E9:E40,"package",'Card'!M9:M40,"&lt;1")=0,"complete","open")</f>
        <v/>
      </c>
      <c r="L9" s="29">
        <f>IF(COUNTIFS('Card'!E9:E40,"consumer",'Card'!M9:M40,"&lt;1")=0,"complete","open")</f>
        <v/>
      </c>
      <c r="M9" s="29">
        <f>IF(COUNTIF('Card'!H9:H40,"blocked")&gt;0,"blocked",IF(AND(J9=1,K9="complete",L9="complete"),"complete",IF(J9=0,"not started","in progress")))</f>
        <v/>
      </c>
    </row>
    <row r="10" ht="27.75" customHeight="1" s="22">
      <c r="A10" s="29" t="inlineStr">
        <is>
          <t>Dialog</t>
        </is>
      </c>
      <c r="B10" s="29">
        <f>COUNTA('Dialog'!A9:A44)</f>
        <v/>
      </c>
      <c r="C10" s="29">
        <f>COUNTIF('Dialog'!H9:H44,"not started")</f>
        <v/>
      </c>
      <c r="D10" s="29">
        <f>COUNTIF('Dialog'!H9:H44,"partial")</f>
        <v/>
      </c>
      <c r="E10" s="29">
        <f>COUNTIF('Dialog'!H9:H44,"implemented")</f>
        <v/>
      </c>
      <c r="F10" s="29">
        <f>COUNTIF('Dialog'!H9:H44,"tested")</f>
        <v/>
      </c>
      <c r="G10" s="29">
        <f>COUNTIF('Dialog'!H9:H44,"verified")</f>
        <v/>
      </c>
      <c r="H10" s="29">
        <f>COUNTIF('Dialog'!H9:H44,"blocked")</f>
        <v/>
      </c>
      <c r="I10" s="29">
        <f>COUNTIF('Dialog'!H9:H44,"not applicable")</f>
        <v/>
      </c>
      <c r="J10" s="30">
        <f>IFERROR(SUM('Dialog'!M9:M44)/SUM('Dialog'!L9:L44),0)</f>
        <v/>
      </c>
      <c r="K10" s="29">
        <f>IF(COUNTIFS('Dialog'!E9:E44,"package",'Dialog'!M9:M44,"&lt;1")=0,"complete","open")</f>
        <v/>
      </c>
      <c r="L10" s="29">
        <f>IF(COUNTIFS('Dialog'!E9:E44,"consumer",'Dialog'!M9:M44,"&lt;1")=0,"complete","open")</f>
        <v/>
      </c>
      <c r="M10" s="29">
        <f>IF(COUNTIF('Dialog'!H9:H44,"blocked")&gt;0,"blocked",IF(AND(J10=1,K10="complete",L10="complete"),"complete",IF(J10=0,"not started","in progress")))</f>
        <v/>
      </c>
    </row>
    <row r="11" ht="27.75" customHeight="1" s="22">
      <c r="A11" s="29" t="inlineStr">
        <is>
          <t>AlertDialog</t>
        </is>
      </c>
      <c r="B11" s="29">
        <f>COUNTA('AlertDialog'!A9:A46)</f>
        <v/>
      </c>
      <c r="C11" s="29">
        <f>COUNTIF('AlertDialog'!H9:H46,"not started")</f>
        <v/>
      </c>
      <c r="D11" s="29">
        <f>COUNTIF('AlertDialog'!H9:H46,"partial")</f>
        <v/>
      </c>
      <c r="E11" s="29">
        <f>COUNTIF('AlertDialog'!H9:H46,"implemented")</f>
        <v/>
      </c>
      <c r="F11" s="29">
        <f>COUNTIF('AlertDialog'!H9:H46,"tested")</f>
        <v/>
      </c>
      <c r="G11" s="29">
        <f>COUNTIF('AlertDialog'!H9:H46,"verified")</f>
        <v/>
      </c>
      <c r="H11" s="29">
        <f>COUNTIF('AlertDialog'!H9:H46,"blocked")</f>
        <v/>
      </c>
      <c r="I11" s="29">
        <f>COUNTIF('AlertDialog'!H9:H46,"not applicable")</f>
        <v/>
      </c>
      <c r="J11" s="30">
        <f>IFERROR(SUM('AlertDialog'!M9:M46)/SUM('AlertDialog'!L9:L46),0)</f>
        <v/>
      </c>
      <c r="K11" s="29">
        <f>IF(COUNTIFS('AlertDialog'!E9:E46,"package",'AlertDialog'!M9:M46,"&lt;1")=0,"complete","open")</f>
        <v/>
      </c>
      <c r="L11" s="29">
        <f>IF(COUNTIFS('AlertDialog'!E9:E46,"consumer",'AlertDialog'!M9:M46,"&lt;1")=0,"complete","open")</f>
        <v/>
      </c>
      <c r="M11" s="21">
        <f>IF(COUNTIF('AlertDialog'!H9:H46,"blocked")&gt;0,"blocked",IF(AND(J11=1,K11="complete",L11="complete"),"complete",IF(J11=0,"not started","in progress")))</f>
        <v/>
      </c>
    </row>
    <row r="12" ht="15" customHeight="1" s="22">
      <c r="A12" s="29" t="inlineStr">
        <is>
          <t>Drawer</t>
        </is>
      </c>
      <c r="B12" s="29">
        <f>COUNTA('Drawer'!A9:A46)</f>
        <v/>
      </c>
      <c r="C12" s="29">
        <f>COUNTIF('Drawer'!H9:H46,"not started")</f>
        <v/>
      </c>
      <c r="D12" s="29">
        <f>COUNTIF('Drawer'!H9:H46,"partial")</f>
        <v/>
      </c>
      <c r="E12" s="29">
        <f>COUNTIF('Drawer'!H9:H46,"implemented")</f>
        <v/>
      </c>
      <c r="F12" s="29">
        <f>COUNTIF('Drawer'!H9:H46,"tested")</f>
        <v/>
      </c>
      <c r="G12" s="29">
        <f>COUNTIF('Drawer'!H9:H46,"verified")</f>
        <v/>
      </c>
      <c r="H12" s="29">
        <f>COUNTIF('Drawer'!H9:H46,"blocked")</f>
        <v/>
      </c>
      <c r="I12" s="29">
        <f>COUNTIF('Drawer'!H9:H46,"not applicable")</f>
        <v/>
      </c>
      <c r="J12" s="30">
        <f>IFERROR(SUM('Drawer'!M9:M46)/SUM('Drawer'!L9:L46),0)</f>
        <v/>
      </c>
      <c r="K12" s="29">
        <f>IF(COUNTIFS('Drawer'!E9:E46,"package",'Drawer'!M9:M46,"&lt;1")=0,"complete","open")</f>
        <v/>
      </c>
      <c r="L12" s="29">
        <f>IF(COUNTIFS('Drawer'!E9:E46,"consumer",'Drawer'!M9:M46,"&lt;1")=0,"complete","open")</f>
        <v/>
      </c>
      <c r="M12" s="21">
        <f>IF(COUNTIF('Drawer'!H9:H46,"blocked")&gt;0,"blocked",IF(AND(J12=1,K12="complete",L12="complete"),"complete",IF(J12=0,"not started","in progress")))</f>
        <v/>
      </c>
    </row>
    <row r="13" ht="15" customHeight="1" s="22">
      <c r="A13" s="29" t="inlineStr">
        <is>
          <t>Badge</t>
        </is>
      </c>
      <c r="B13" s="29">
        <f>COUNTA('Badge'!A9:A46)</f>
        <v/>
      </c>
      <c r="C13" s="29">
        <f>COUNTIF('Badge'!H9:H46,"not started")</f>
        <v/>
      </c>
      <c r="D13" s="29">
        <f>COUNTIF('Badge'!H9:H46,"partial")</f>
        <v/>
      </c>
      <c r="E13" s="29">
        <f>COUNTIF('Badge'!H9:H46,"implemented")</f>
        <v/>
      </c>
      <c r="F13" s="29">
        <f>COUNTIF('Badge'!H9:H46,"tested")</f>
        <v/>
      </c>
      <c r="G13" s="29">
        <f>COUNTIF('Badge'!H9:H46,"verified")</f>
        <v/>
      </c>
      <c r="H13" s="29">
        <f>COUNTIF('Badge'!H9:H46,"blocked")</f>
        <v/>
      </c>
      <c r="I13" s="29">
        <f>COUNTIF('Badge'!H9:H46,"not applicable")</f>
        <v/>
      </c>
      <c r="J13" s="30">
        <f>IFERROR(SUM('Badge'!M9:M46)/SUM('Badge'!L9:L46),0)</f>
        <v/>
      </c>
      <c r="K13" s="29">
        <f>IF(COUNTIFS('Badge'!E9:E46,"package",'Badge'!M9:M46,"&lt;1")=0,"complete","open")</f>
        <v/>
      </c>
      <c r="L13" s="29">
        <f>IF(COUNTIFS('Badge'!E9:E46,"consumer",'Badge'!M9:M46,"&lt;1")=0,"complete","open")</f>
        <v/>
      </c>
      <c r="M13" s="21">
        <f>IF(COUNTIF('Badge'!H9:H46,"blocked")&gt;0,"blocked",IF(AND(J13=1,K13="complete",L13="complete"),"complete",IF(J13=0,"not started","in progress")))</f>
        <v/>
      </c>
    </row>
    <row r="14" ht="15" customHeight="1" s="22">
      <c r="A14" s="29" t="inlineStr">
        <is>
          <t>Avatar</t>
        </is>
      </c>
      <c r="B14" s="29">
        <f>COUNTA('Avatar'!A9:A46)</f>
        <v/>
      </c>
      <c r="C14" s="29">
        <f>COUNTIF('Avatar'!H9:H46,"not started")</f>
        <v/>
      </c>
      <c r="D14" s="29">
        <f>COUNTIF('Avatar'!H9:H46,"partial")</f>
        <v/>
      </c>
      <c r="E14" s="29">
        <f>COUNTIF('Avatar'!H9:H46,"implemented")</f>
        <v/>
      </c>
      <c r="F14" s="29">
        <f>COUNTIF('Avatar'!H9:H46,"tested")</f>
        <v/>
      </c>
      <c r="G14" s="29">
        <f>COUNTIF('Avatar'!H9:H46,"verified")</f>
        <v/>
      </c>
      <c r="H14" s="29">
        <f>COUNTIF('Avatar'!H9:H46,"blocked")</f>
        <v/>
      </c>
      <c r="I14" s="29">
        <f>COUNTIF('Avatar'!H9:H46,"not applicable")</f>
        <v/>
      </c>
      <c r="J14" s="30">
        <f>IFERROR(SUM('Avatar'!M9:M46)/SUM('Avatar'!L9:L46),0)</f>
        <v/>
      </c>
      <c r="K14" s="29">
        <f>IF(COUNTIFS('Avatar'!E9:E46,"package",'Avatar'!M9:M46,"&lt;1")=0,"complete","open")</f>
        <v/>
      </c>
      <c r="L14" s="29">
        <f>IF(COUNTIFS('Avatar'!E9:E46,"consumer",'Avatar'!M9:M46,"&lt;1")=0,"complete","open")</f>
        <v/>
      </c>
      <c r="M14" s="21">
        <f>IF(COUNTIF('Avatar'!H9:H46,"blocked")&gt;0,"blocked",IF(AND(J14=1,K14="complete",L14="complete"),"complete",IF(J14=0,"not started","in progress")))</f>
        <v/>
      </c>
    </row>
    <row r="15" ht="15" customHeight="1" s="22">
      <c r="A15" s="29" t="inlineStr">
        <is>
          <t>Toggle</t>
        </is>
      </c>
      <c r="B15" s="29">
        <f>COUNTA('Toggle'!A9:A46)</f>
        <v/>
      </c>
      <c r="C15" s="29">
        <f>COUNTIF('Toggle'!H9:H46,"not started")</f>
        <v/>
      </c>
      <c r="D15" s="29">
        <f>COUNTIF('Toggle'!H9:H46,"partial")</f>
        <v/>
      </c>
      <c r="E15" s="29">
        <f>COUNTIF('Toggle'!H9:H46,"implemented")</f>
        <v/>
      </c>
      <c r="F15" s="29">
        <f>COUNTIF('Toggle'!H9:H46,"tested")</f>
        <v/>
      </c>
      <c r="G15" s="29">
        <f>COUNTIF('Toggle'!H9:H46,"verified")</f>
        <v/>
      </c>
      <c r="H15" s="29">
        <f>COUNTIF('Toggle'!H9:H46,"blocked")</f>
        <v/>
      </c>
      <c r="I15" s="29">
        <f>COUNTIF('Toggle'!H9:H46,"not applicable")</f>
        <v/>
      </c>
      <c r="J15" s="30">
        <f>IFERROR(SUM('Toggle'!M9:M46)/SUM('Toggle'!L9:L46),0)</f>
        <v/>
      </c>
      <c r="K15" s="29">
        <f>IF(COUNTIFS('Toggle'!E9:E46,"package",'Toggle'!M9:M46,"&lt;1")=0,"complete","open")</f>
        <v/>
      </c>
      <c r="L15" s="29">
        <f>IF(COUNTIFS('Toggle'!E9:E46,"consumer",'Toggle'!M9:M46,"&lt;1")=0,"complete","open")</f>
        <v/>
      </c>
      <c r="M15" s="21">
        <f>IF(COUNTIF('Toggle'!H9:H46,"blocked")&gt;0,"blocked",IF(AND(J15=1,K15="complete",L15="complete"),"complete",IF(J15=0,"not started","in progress")))</f>
        <v/>
      </c>
    </row>
    <row r="16" ht="15" customHeight="1" s="22">
      <c r="A16" s="29" t="inlineStr">
        <is>
          <t>IconButton</t>
        </is>
      </c>
      <c r="B16" s="29">
        <f>COUNTA('IconButton'!A9:A46)</f>
        <v/>
      </c>
      <c r="C16" s="29">
        <f>COUNTIF('IconButton'!H9:H46,"not started")</f>
        <v/>
      </c>
      <c r="D16" s="29">
        <f>COUNTIF('IconButton'!H9:H46,"partial")</f>
        <v/>
      </c>
      <c r="E16" s="29">
        <f>COUNTIF('IconButton'!H9:H46,"implemented")</f>
        <v/>
      </c>
      <c r="F16" s="29">
        <f>COUNTIF('IconButton'!H9:H46,"tested")</f>
        <v/>
      </c>
      <c r="G16" s="29">
        <f>COUNTIF('IconButton'!H9:H46,"verified")</f>
        <v/>
      </c>
      <c r="H16" s="29">
        <f>COUNTIF('IconButton'!H9:H46,"blocked")</f>
        <v/>
      </c>
      <c r="I16" s="29">
        <f>COUNTIF('IconButton'!H9:H46,"not applicable")</f>
        <v/>
      </c>
      <c r="J16" s="30">
        <f>IFERROR(SUM('IconButton'!M9:M46)/SUM('IconButton'!L9:L46),0)</f>
        <v/>
      </c>
      <c r="K16" s="29">
        <f>IF(COUNTIFS('IconButton'!E9:E46,"package",'IconButton'!M9:M46,"&lt;1")=0,"complete","open")</f>
        <v/>
      </c>
      <c r="L16" s="29">
        <f>IF(COUNTIFS('IconButton'!E9:E46,"consumer",'IconButton'!M9:M46,"&lt;1")=0,"complete","open")</f>
        <v/>
      </c>
      <c r="M16" s="21">
        <f>IF(COUNTIF('IconButton'!H9:H46,"blocked")&gt;0,"blocked",IF(AND(J16=1,K16="complete",L16="complete"),"complete",IF(J16=0,"not started","in progress")))</f>
        <v/>
      </c>
    </row>
    <row r="17" ht="15" customHeight="1" s="22">
      <c r="A17" s="29" t="inlineStr">
        <is>
          <t>AppBar</t>
        </is>
      </c>
      <c r="B17" s="29">
        <f>COUNTA('AppBar'!A9:A46)</f>
        <v/>
      </c>
      <c r="C17" s="29">
        <f>COUNTIF('AppBar'!H9:H46,"not started")</f>
        <v/>
      </c>
      <c r="D17" s="29">
        <f>COUNTIF('AppBar'!H9:H46,"partial")</f>
        <v/>
      </c>
      <c r="E17" s="29">
        <f>COUNTIF('AppBar'!H9:H46,"implemented")</f>
        <v/>
      </c>
      <c r="F17" s="29">
        <f>COUNTIF('AppBar'!H9:H46,"tested")</f>
        <v/>
      </c>
      <c r="G17" s="29">
        <f>COUNTIF('AppBar'!H9:H46,"verified")</f>
        <v/>
      </c>
      <c r="H17" s="29">
        <f>COUNTIF('AppBar'!H9:H46,"blocked")</f>
        <v/>
      </c>
      <c r="I17" s="29">
        <f>COUNTIF('AppBar'!H9:H46,"not applicable")</f>
        <v/>
      </c>
      <c r="J17" s="30">
        <f>IFERROR(SUM('AppBar'!M9:M46)/SUM('AppBar'!L9:L46),0)</f>
        <v/>
      </c>
      <c r="K17" s="29">
        <f>IF(COUNTIFS('AppBar'!E9:E46,"package",'AppBar'!M9:M46,"&lt;1")=0,"complete","open")</f>
        <v/>
      </c>
      <c r="L17" s="29">
        <f>IF(COUNTIFS('AppBar'!E9:E46,"consumer",'AppBar'!M9:M46,"&lt;1")=0,"complete","open")</f>
        <v/>
      </c>
      <c r="M17" s="21">
        <f>IF(COUNTIF('AppBar'!H9:H46,"blocked")&gt;0,"blocked",IF(AND(J17=1,K17="complete",L17="complete"),"complete",IF(J17=0,"not started","in progress")))</f>
        <v/>
      </c>
    </row>
    <row r="18" ht="15" customHeight="1" s="22">
      <c r="A18" s="29" t="inlineStr">
        <is>
          <t>Tooltip</t>
        </is>
      </c>
      <c r="B18" s="29">
        <f>COUNTA('Tooltip'!A9:A46)</f>
        <v/>
      </c>
      <c r="C18" s="29">
        <f>COUNTIF('Tooltip'!H9:H46,"not started")</f>
        <v/>
      </c>
      <c r="D18" s="29">
        <f>COUNTIF('Tooltip'!H9:H46,"partial")</f>
        <v/>
      </c>
      <c r="E18" s="29">
        <f>COUNTIF('Tooltip'!H9:H46,"implemented")</f>
        <v/>
      </c>
      <c r="F18" s="29">
        <f>COUNTIF('Tooltip'!H9:H46,"tested")</f>
        <v/>
      </c>
      <c r="G18" s="29">
        <f>COUNTIF('Tooltip'!H9:H46,"verified")</f>
        <v/>
      </c>
      <c r="H18" s="29">
        <f>COUNTIF('Tooltip'!H9:H46,"blocked")</f>
        <v/>
      </c>
      <c r="I18" s="29">
        <f>COUNTIF('Tooltip'!H9:H46,"not applicable")</f>
        <v/>
      </c>
      <c r="J18" s="30">
        <f>IFERROR(SUM('Tooltip'!M9:M46)/SUM('Tooltip'!L9:L46),0)</f>
        <v/>
      </c>
      <c r="K18" s="29">
        <f>IF(COUNTIFS('Tooltip'!E9:E46,"package",'Tooltip'!M9:M46,"&lt;1")=0,"complete","open")</f>
        <v/>
      </c>
      <c r="L18" s="29">
        <f>IF(COUNTIFS('Tooltip'!E9:E46,"consumer",'Tooltip'!M9:M46,"&lt;1")=0,"complete","open")</f>
        <v/>
      </c>
      <c r="M18" s="21">
        <f>IF(COUNTIF('Tooltip'!H9:H46,"blocked")&gt;0,"blocked",IF(AND(J18=1,K18="complete",L18="complete"),"complete",IF(J18=0,"not started","in progress")))</f>
        <v/>
      </c>
    </row>
    <row r="19" ht="15" customHeight="1" s="22">
      <c r="A19" s="29" t="inlineStr">
        <is>
          <t>HoverCard</t>
        </is>
      </c>
      <c r="B19" s="29">
        <f>COUNTA('HoverCard'!A9:A46)</f>
        <v/>
      </c>
      <c r="C19" s="29">
        <f>COUNTIF('HoverCard'!H9:H46,"not started")</f>
        <v/>
      </c>
      <c r="D19" s="29">
        <f>COUNTIF('HoverCard'!H9:H46,"partial")</f>
        <v/>
      </c>
      <c r="E19" s="29">
        <f>COUNTIF('HoverCard'!H9:H46,"implemented")</f>
        <v/>
      </c>
      <c r="F19" s="29">
        <f>COUNTIF('HoverCard'!H9:H46,"tested")</f>
        <v/>
      </c>
      <c r="G19" s="29">
        <f>COUNTIF('HoverCard'!H9:H46,"verified")</f>
        <v/>
      </c>
      <c r="H19" s="29">
        <f>COUNTIF('HoverCard'!H9:H46,"blocked")</f>
        <v/>
      </c>
      <c r="I19" s="29">
        <f>COUNTIF('HoverCard'!H9:H46,"not applicable")</f>
        <v/>
      </c>
      <c r="J19" s="30">
        <f>IFERROR(SUM('HoverCard'!M9:M46)/SUM('HoverCard'!L9:L46),0)</f>
        <v/>
      </c>
      <c r="K19" s="29">
        <f>IF(COUNTIFS('HoverCard'!E9:E46,"package",'HoverCard'!M9:M46,"&lt;1")=0,"complete","open")</f>
        <v/>
      </c>
      <c r="L19" s="29">
        <f>IF(COUNTIFS('HoverCard'!E9:E46,"consumer",'HoverCard'!M9:M46,"&lt;1")=0,"complete","open")</f>
        <v/>
      </c>
      <c r="M19" s="21">
        <f>IF(COUNTIF('HoverCard'!H9:H46,"blocked")&gt;0,"blocked",IF(AND(J19=1,K19="complete",L19="complete"),"complete",IF(J19=0,"not started","in progress")))</f>
        <v/>
      </c>
    </row>
    <row r="20" ht="15" customHeight="1" s="22">
      <c r="A20" s="29" t="inlineStr">
        <is>
          <t>Popover</t>
        </is>
      </c>
      <c r="B20" s="29">
        <f>COUNTA('Popover'!A9:A46)</f>
        <v/>
      </c>
      <c r="C20" s="29">
        <f>COUNTIF('Popover'!H9:H46,"not started")</f>
        <v/>
      </c>
      <c r="D20" s="29">
        <f>COUNTIF('Popover'!H9:H46,"partial")</f>
        <v/>
      </c>
      <c r="E20" s="29">
        <f>COUNTIF('Popover'!H9:H46,"implemented")</f>
        <v/>
      </c>
      <c r="F20" s="29">
        <f>COUNTIF('Popover'!H9:H46,"tested")</f>
        <v/>
      </c>
      <c r="G20" s="29">
        <f>COUNTIF('Popover'!H9:H46,"verified")</f>
        <v/>
      </c>
      <c r="H20" s="29">
        <f>COUNTIF('Popover'!H9:H46,"blocked")</f>
        <v/>
      </c>
      <c r="I20" s="29">
        <f>COUNTIF('Popover'!H9:H46,"not applicable")</f>
        <v/>
      </c>
      <c r="J20" s="30">
        <f>IFERROR(SUM('Popover'!M9:M46)/SUM('Popover'!L9:L46),0)</f>
        <v/>
      </c>
      <c r="K20" s="29">
        <f>IF(COUNTIFS('Popover'!E9:E46,"package",'Popover'!M9:M46,"&lt;1")=0,"complete","open")</f>
        <v/>
      </c>
      <c r="L20" s="29">
        <f>IF(COUNTIFS('Popover'!E9:E46,"consumer",'Popover'!M9:M46,"&lt;1")=0,"complete","open")</f>
        <v/>
      </c>
      <c r="M20" s="21">
        <f>IF(COUNTIF('Popover'!H9:H46,"blocked")&gt;0,"blocked",IF(AND(J20=1,K20="complete",L20="complete"),"complete",IF(J20=0,"not started","in progress")))</f>
        <v/>
      </c>
    </row>
    <row r="21" ht="15" customHeight="1" s="22">
      <c r="A21" s="29" t="inlineStr">
        <is>
          <t>Form Foundation</t>
        </is>
      </c>
      <c r="B21" s="29">
        <f>COUNTA('Form Foundation'!A9:A45)</f>
        <v/>
      </c>
      <c r="C21" s="29">
        <f>COUNTIF('Form Foundation'!H9:H45,"not started")</f>
        <v/>
      </c>
      <c r="D21" s="29">
        <f>COUNTIF('Form Foundation'!H9:H45,"partial")</f>
        <v/>
      </c>
      <c r="E21" s="29">
        <f>COUNTIF('Form Foundation'!H9:H45,"implemented")</f>
        <v/>
      </c>
      <c r="F21" s="29">
        <f>COUNTIF('Form Foundation'!H9:H45,"tested")</f>
        <v/>
      </c>
      <c r="G21" s="29">
        <f>COUNTIF('Form Foundation'!H9:H45,"verified")</f>
        <v/>
      </c>
      <c r="H21" s="29">
        <f>COUNTIF('Form Foundation'!H9:H45,"blocked")</f>
        <v/>
      </c>
      <c r="I21" s="29">
        <f>COUNTIF('Form Foundation'!H9:H45,"not applicable")</f>
        <v/>
      </c>
      <c r="J21" s="30">
        <f>IFERROR(SUM('Form Foundation'!M9:M45)/SUM('Form Foundation'!L9:L45),0)</f>
        <v/>
      </c>
      <c r="K21" s="29">
        <f>IF(COUNTIFS('Form Foundation'!E9:E45,"package",'Form Foundation'!M9:M45,"&lt;1")=0,"complete","open")</f>
        <v/>
      </c>
      <c r="L21" s="29">
        <f>IF(COUNTIFS('Form Foundation'!E9:E45,"consumer",'Form Foundation'!M9:M45,"&lt;1")=0,"complete","open")</f>
        <v/>
      </c>
      <c r="M21" s="21">
        <f>IF(COUNTIF('Form Foundation'!H9:H45,"blocked")&gt;0,"blocked",IF(AND(J21=1,K21="complete",L21="complete"),"complete",IF(J21=0,"not started","in progress")))</f>
        <v/>
      </c>
    </row>
    <row r="22" ht="15" customHeight="1" s="22">
      <c r="A22" s="29" t="inlineStr">
        <is>
          <t>Checkbox Family</t>
        </is>
      </c>
      <c r="B22" s="29">
        <f>COUNTA('Checkbox Family'!A9:A46)</f>
        <v/>
      </c>
      <c r="C22" s="29">
        <f>COUNTIF('Checkbox Family'!H9:H46,"not started")</f>
        <v/>
      </c>
      <c r="D22" s="29">
        <f>COUNTIF('Checkbox Family'!H9:H46,"partial")</f>
        <v/>
      </c>
      <c r="E22" s="29">
        <f>COUNTIF('Checkbox Family'!H9:H46,"implemented")</f>
        <v/>
      </c>
      <c r="F22" s="29">
        <f>COUNTIF('Checkbox Family'!H9:H46,"tested")</f>
        <v/>
      </c>
      <c r="G22" s="29">
        <f>COUNTIF('Checkbox Family'!H9:H46,"verified")</f>
        <v/>
      </c>
      <c r="H22" s="29">
        <f>COUNTIF('Checkbox Family'!H9:H46,"blocked")</f>
        <v/>
      </c>
      <c r="I22" s="29">
        <f>COUNTIF('Checkbox Family'!H9:H46,"not applicable")</f>
        <v/>
      </c>
      <c r="J22" s="30">
        <f>IFERROR(SUM('Checkbox Family'!M9:M46)/SUM('Checkbox Family'!L9:L46),0)</f>
        <v/>
      </c>
      <c r="K22" s="29">
        <f>IF(COUNTIFS('Checkbox Family'!E9:E46,"package",'Checkbox Family'!M9:M46,"&lt;1")=0,"complete","open")</f>
        <v/>
      </c>
      <c r="L22" s="29">
        <f>IF(COUNTIFS('Checkbox Family'!E9:E46,"consumer",'Checkbox Family'!M9:M46,"&lt;1")=0,"complete","open")</f>
        <v/>
      </c>
      <c r="M22" s="21">
        <f>IF(COUNTIF('Checkbox Family'!H9:H46,"blocked")&gt;0,"blocked",IF(AND(J22=1,K22="complete",L22="complete"),"complete",IF(J22=0,"not started","in progress")))</f>
        <v/>
      </c>
    </row>
  </sheetData>
  <autoFilter ref="A7:N20"/>
  <mergeCells count="2">
    <mergeCell ref="A2:M2"/>
    <mergeCell ref="A1:M1"/>
  </mergeCells>
  <conditionalFormatting sqref="M8:M22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  <hyperlink ref="A15" location="'Toggle'!A1" display="Toggle"/>
    <hyperlink ref="A16" location="'IconButton'!A1" display="IconButton"/>
    <hyperlink ref="A17" location="'AppBar'!A1" display="AppBar"/>
    <hyperlink ref="A18" location="'Tooltip'!A1" display="Tooltip"/>
    <hyperlink ref="A19" location="'HoverCard'!A1" display="HoverCard"/>
    <hyperlink ref="A20" location="'Popover'!A1" display="Popover"/>
    <hyperlink ref="A21" location="'Form Foundation'!A1" display="Form Foundation"/>
    <hyperlink ref="A22" location="'Checkbox Family'!A1" display="Checkbox Family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046875" defaultRowHeight="15" customHeight="0" zeroHeight="0" outlineLevelRow="0"/>
  <cols>
    <col width="22" customWidth="1" style="21" min="1" max="1"/>
    <col width="95" customWidth="1" style="21" min="2" max="2"/>
  </cols>
  <sheetData>
    <row r="1" ht="33.75" customHeight="1" s="22">
      <c r="A1" s="23" t="inlineStr">
        <is>
          <t>Brick Component Coverage</t>
        </is>
      </c>
    </row>
    <row r="2" ht="33.75" customHeight="1" s="22">
      <c r="A2" s="24" t="inlineStr">
        <is>
          <t>A review index for implementation, automated evidence, human verification, and Consumer composition.</t>
        </is>
      </c>
    </row>
    <row r="3"/>
    <row r="4" ht="15" customHeight="1" s="22">
      <c r="A4" s="28" t="inlineStr">
        <is>
          <t>Topic</t>
        </is>
      </c>
      <c r="B4" s="28" t="inlineStr">
        <is>
          <t>Rule</t>
        </is>
      </c>
    </row>
    <row r="5" ht="30" customHeight="1" s="22">
      <c r="A5" s="31" t="inlineStr">
        <is>
          <t>Purpose</t>
        </is>
      </c>
      <c r="B5" s="32" t="inlineStr">
        <is>
          <t>The workbook makes missing component evidence visible. Source, tests, protocols, and component documentation remain authoritative.</t>
        </is>
      </c>
    </row>
    <row r="6" ht="30" customHeight="1" s="22">
      <c r="A6" s="33" t="inlineStr">
        <is>
          <t>Status</t>
        </is>
      </c>
      <c r="B6" s="34" t="inlineStr">
        <is>
          <t>not started — required evidence does not exist yet</t>
        </is>
      </c>
    </row>
    <row r="7" ht="30" customHeight="1" s="22">
      <c r="A7" s="31" t="inlineStr">
        <is>
          <t>Status</t>
        </is>
      </c>
      <c r="B7" s="32" t="inlineStr">
        <is>
          <t>partial — some evidence exists but the requirement is incomplete</t>
        </is>
      </c>
    </row>
    <row r="8" ht="30" customHeight="1" s="22">
      <c r="A8" s="33" t="inlineStr">
        <is>
          <t>Status</t>
        </is>
      </c>
      <c r="B8" s="34" t="inlineStr">
        <is>
          <t>implemented — the required implementation or evidence exists</t>
        </is>
      </c>
    </row>
    <row r="9" ht="30" customHeight="1" s="22">
      <c r="A9" s="31" t="inlineStr">
        <is>
          <t>Status</t>
        </is>
      </c>
      <c r="B9" s="32" t="inlineStr">
        <is>
          <t>tested — the automated or repeatable check passes</t>
        </is>
      </c>
    </row>
    <row r="10" ht="30" customHeight="1" s="22">
      <c r="A10" s="33" t="inlineStr">
        <is>
          <t>Status</t>
        </is>
      </c>
      <c r="B10" s="34" t="inlineStr">
        <is>
          <t>verified — required human review also passed</t>
        </is>
      </c>
    </row>
    <row r="11" ht="30" customHeight="1" s="22">
      <c r="A11" s="31" t="inlineStr">
        <is>
          <t>Status</t>
        </is>
      </c>
      <c r="B11" s="32" t="inlineStr">
        <is>
          <t>blocked — progress requires a documented decision, dependency, or fix</t>
        </is>
      </c>
    </row>
    <row r="12" ht="30" customHeight="1" s="22">
      <c r="A12" s="33" t="inlineStr">
        <is>
          <t>Status</t>
        </is>
      </c>
      <c r="B12" s="34" t="inlineStr">
        <is>
          <t>not applicable — the approved brief excludes the requirement; record the reason</t>
        </is>
      </c>
    </row>
    <row r="13" ht="30" customHeight="1" s="22">
      <c r="A13" s="31" t="inlineStr">
        <is>
          <t>Completion</t>
        </is>
      </c>
      <c r="B13" s="32" t="inlineStr">
        <is>
          <t>Human-review rows resolve only at verified. Other rows resolve at tested or verified. A documented not-applicable row also resolves.</t>
        </is>
      </c>
    </row>
    <row r="14" ht="30" customHeight="1" s="22">
      <c r="A14" s="33" t="inlineStr">
        <is>
          <t>Package gate</t>
        </is>
      </c>
      <c r="B14" s="34" t="inlineStr">
        <is>
          <t>Implementation, playground, automated tests, manual evidence, and documentation are complete; every tested or verified claim has been sampled against its exact assertion.</t>
        </is>
      </c>
    </row>
    <row r="15" ht="30" customHeight="1" s="22">
      <c r="A15" s="31" t="inlineStr">
        <is>
          <t>Consumer gate</t>
        </is>
      </c>
      <c r="B15" s="32" t="inlineStr">
        <is>
          <t>The repository Consumer uses the finished Brick component and its integration is verified.</t>
        </is>
      </c>
    </row>
    <row r="16" ht="30" customHeight="1" s="22">
      <c r="A16" s="31" t="inlineStr">
        <is>
          <t>Anatomy</t>
        </is>
      </c>
      <c r="B16" s="32" t="inlineStr">
        <is>
          <t>Replace generic Component parts and add part-specific rows after the component brief is adopted.</t>
        </is>
      </c>
    </row>
    <row r="17" ht="30" customHeight="1" s="22">
      <c r="A17" s="33" t="inlineStr">
        <is>
          <t>Editing</t>
        </is>
      </c>
      <c r="B17" s="34" t="inlineStr">
        <is>
          <t>Use list values; classify Atom, Brick adapter, browser, and manual ownership; keep claims assertion-specific; record blocker and not-applicable reasons; recalculate; and visually inspect every changed sheet.</t>
        </is>
      </c>
    </row>
    <row r="18" ht="30" customHeight="1" s="22"/>
  </sheetData>
  <autoFilter ref="A4:B18"/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Button Evidence Matrix</t>
        </is>
      </c>
    </row>
    <row r="2" ht="33.75" customHeight="1" s="22">
      <c r="A2" s="24" t="inlineStr">
        <is>
          <t>Evidence gates for the adopted Button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COUNTA(A9:A33)</f>
        <v/>
      </c>
      <c r="C4" s="25" t="inlineStr">
        <is>
          <t>Resolved</t>
        </is>
      </c>
      <c r="D4" s="26">
        <f>SUM(M9:M33)</f>
        <v/>
      </c>
      <c r="E4" s="25" t="inlineStr">
        <is>
          <t>Completion</t>
        </is>
      </c>
      <c r="F4" s="27">
        <f>IFERROR(D4/SUM(L9:L33),0)</f>
        <v/>
      </c>
      <c r="G4" s="25" t="inlineStr">
        <is>
          <t>Blocked</t>
        </is>
      </c>
      <c r="H4" s="26">
        <f>COUNTIF(H9:H33,"blocked")</f>
        <v/>
      </c>
      <c r="I4" s="25" t="inlineStr">
        <is>
          <t>Package gate</t>
        </is>
      </c>
      <c r="J4" s="26">
        <f>IF(COUNTIFS(E9:E33,"package",M9:M33,"&lt;1")=0,"complete","open")</f>
        <v/>
      </c>
      <c r="K4" s="25" t="inlineStr">
        <is>
          <t>Consumer gate</t>
        </is>
      </c>
      <c r="L4" s="26">
        <f>IF(COUNTIFS(E9:E33,"consumer",M9:M33,"&lt;1")=0,"complete","open")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.75" customHeight="1" s="22">
      <c r="A9" s="36" t="inlineStr">
        <is>
          <t>BUT-01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uses public Atom 0.2.1 behavior without local headless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../src/components/button/Button.tsx</t>
        </is>
      </c>
      <c r="H9" s="36" t="inlineStr">
        <is>
          <t>tested</t>
        </is>
      </c>
      <c r="I9" s="36" t="inlineStr">
        <is>
          <t>no</t>
        </is>
      </c>
      <c r="J9" s="38" t="n">
        <v>46219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.75" customHeight="1" s="22">
      <c r="A10" s="36" t="inlineStr">
        <is>
          <t>BUT-02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Atom 0.2.1 capability audit covers pointer, keyboard, touch, constrained layouts, native links, asChild, and render; every Atom-owned gap is resolved in the released dependency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../../docs/button-component-brief.md</t>
        </is>
      </c>
      <c r="H10" s="36" t="inlineStr">
        <is>
          <t>verified</t>
        </is>
      </c>
      <c r="I10" s="36" t="inlineStr">
        <is>
          <t>yes</t>
        </is>
      </c>
      <c r="J10" s="38" t="n">
        <v>46219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.75" customHeight="1" s="22">
      <c r="A11" s="36" t="inlineStr">
        <is>
          <t>BUT-03</t>
        </is>
      </c>
      <c r="B11" s="36" t="inlineStr">
        <is>
          <t>Public API</t>
        </is>
      </c>
      <c r="C11" s="36" t="inlineStr">
        <is>
          <t>Component</t>
        </is>
      </c>
      <c r="D11" s="36" t="inlineStr">
        <is>
          <t>Direct Button export, declarations, defaults, and closed prop unions match the approved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../src/button.ts</t>
        </is>
      </c>
      <c r="H11" s="36" t="inlineStr">
        <is>
          <t>tested</t>
        </is>
      </c>
      <c r="I11" s="36" t="inlineStr">
        <is>
          <t>no</t>
        </is>
      </c>
      <c r="J11" s="38" t="n">
        <v>46219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.75" customHeight="1" s="22">
      <c r="A12" s="36" t="inlineStr">
        <is>
          <t>BUT-04</t>
        </is>
      </c>
      <c r="B12" s="36" t="inlineStr">
        <is>
          <t>Public API</t>
        </is>
      </c>
      <c r="C12" s="36" t="inlineStr">
        <is>
          <t>Component</t>
        </is>
      </c>
      <c r="D12" s="36" t="inlineStr">
        <is>
          <t>Native props, HTMLElement ref, Atom composition, icons, loading, and the public Button slot follow the adopted API contract</t>
        </is>
      </c>
      <c r="E12" s="36" t="inlineStr">
        <is>
          <t>package</t>
        </is>
      </c>
      <c r="F12" s="36" t="inlineStr">
        <is>
          <t>types</t>
        </is>
      </c>
      <c r="G12" s="37" t="inlineStr">
        <is>
          <t>../test/components/button.test.tsx</t>
        </is>
      </c>
      <c r="H12" s="36" t="inlineStr">
        <is>
          <t>tested</t>
        </is>
      </c>
      <c r="I12" s="36" t="inlineStr">
        <is>
          <t>no</t>
        </is>
      </c>
      <c r="J12" s="38" t="n">
        <v>46219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.75" customHeight="1" s="22">
      <c r="A13" s="36" t="inlineStr">
        <is>
          <t>BUT-05</t>
        </is>
      </c>
      <c r="B13" s="36" t="inlineStr">
        <is>
          <t>Visual system</t>
        </is>
      </c>
      <c r="C13" s="36" t="inlineStr">
        <is>
          <t>Component</t>
        </is>
      </c>
      <c r="D13" s="36" t="inlineStr">
        <is>
          <t>Compiled CSS uses public brick classes, variables, layers, and semantic tokens</t>
        </is>
      </c>
      <c r="E13" s="36" t="inlineStr">
        <is>
          <t>package</t>
        </is>
      </c>
      <c r="F13" s="36" t="inlineStr">
        <is>
          <t>source</t>
        </is>
      </c>
      <c r="G13" s="37" t="inlineStr">
        <is>
          <t>../src/components/button/button.css</t>
        </is>
      </c>
      <c r="H13" s="36" t="inlineStr">
        <is>
          <t>tested</t>
        </is>
      </c>
      <c r="I13" s="36" t="inlineStr">
        <is>
          <t>no</t>
        </is>
      </c>
      <c r="J13" s="38" t="n">
        <v>46219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.75" customHeight="1" s="22">
      <c r="A14" s="36" t="inlineStr">
        <is>
          <t>BUT-06</t>
        </is>
      </c>
      <c r="B14" s="36" t="inlineStr">
        <is>
          <t>Visual system</t>
        </is>
      </c>
      <c r="C14" s="36" t="inlineStr">
        <is>
          <t>Component</t>
        </is>
      </c>
      <c r="D14" s="36" t="inlineStr">
        <is>
          <t>Four variants, six tones, five sizes, three shapes, fullWidth, loading, and every required interaction state are implemented</t>
        </is>
      </c>
      <c r="E14" s="36" t="inlineStr">
        <is>
          <t>package</t>
        </is>
      </c>
      <c r="F14" s="36" t="inlineStr">
        <is>
          <t>source</t>
        </is>
      </c>
      <c r="G14" s="37" t="inlineStr">
        <is>
          <t>../playground/manual-tests/button.md</t>
        </is>
      </c>
      <c r="H14" s="36" t="inlineStr">
        <is>
          <t>verified</t>
        </is>
      </c>
      <c r="I14" s="36" t="inlineStr">
        <is>
          <t>yes</t>
        </is>
      </c>
      <c r="J14" s="38" t="n">
        <v>46219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.75" customHeight="1" s="22">
      <c r="A15" s="36" t="inlineStr">
        <is>
          <t>BUT-07</t>
        </is>
      </c>
      <c r="B15" s="36" t="inlineStr">
        <is>
          <t>Playground</t>
        </is>
      </c>
      <c r="C15" s="36" t="inlineStr">
        <is>
          <t>Component</t>
        </is>
      </c>
      <c r="D15" s="36" t="inlineStr">
        <is>
          <t>Canonical overview and shortest finished state</t>
        </is>
      </c>
      <c r="E15" s="36" t="inlineStr">
        <is>
          <t>package</t>
        </is>
      </c>
      <c r="F15" s="36" t="inlineStr">
        <is>
          <t>playground</t>
        </is>
      </c>
      <c r="G15" s="37" t="inlineStr">
        <is>
          <t>manual-tests/button.md</t>
        </is>
      </c>
      <c r="H15" s="36" t="inlineStr">
        <is>
          <t>verified</t>
        </is>
      </c>
      <c r="I15" s="36" t="inlineStr">
        <is>
          <t>yes</t>
        </is>
      </c>
      <c r="J15" s="38" t="n">
        <v>46219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.75" customHeight="1" s="22">
      <c r="A16" s="36" t="inlineStr">
        <is>
          <t>BUT-08</t>
        </is>
      </c>
      <c r="B16" s="36" t="inlineStr">
        <is>
          <t>Playground</t>
        </is>
      </c>
      <c r="C16" s="36" t="inlineStr">
        <is>
          <t>Component</t>
        </is>
      </c>
      <c r="D16" s="36" t="inlineStr">
        <is>
          <t>Every variant, tone, size, shape, width mode, composition path, and important state is shown</t>
        </is>
      </c>
      <c r="E16" s="36" t="inlineStr">
        <is>
          <t>package</t>
        </is>
      </c>
      <c r="F16" s="36" t="inlineStr">
        <is>
          <t>playground</t>
        </is>
      </c>
      <c r="G16" s="37" t="inlineStr">
        <is>
          <t>manual-tests/button.md</t>
        </is>
      </c>
      <c r="H16" s="36" t="inlineStr">
        <is>
          <t>verified</t>
        </is>
      </c>
      <c r="I16" s="36" t="inlineStr">
        <is>
          <t>yes</t>
        </is>
      </c>
      <c r="J16" s="38" t="n">
        <v>46219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.75" customHeight="1" s="22">
      <c r="A17" s="36" t="inlineStr">
        <is>
          <t>BUT-09</t>
        </is>
      </c>
      <c r="B17" s="36" t="inlineStr">
        <is>
          <t>Playground</t>
        </is>
      </c>
      <c r="C17" s="36" t="inlineStr">
        <is>
          <t>Component</t>
        </is>
      </c>
      <c r="D17" s="36" t="inlineStr">
        <is>
          <t>Mobile-first constrained viewport and intentional wide layout</t>
        </is>
      </c>
      <c r="E17" s="36" t="inlineStr">
        <is>
          <t>package</t>
        </is>
      </c>
      <c r="F17" s="36" t="inlineStr">
        <is>
          <t>playground</t>
        </is>
      </c>
      <c r="G17" s="37" t="inlineStr">
        <is>
          <t>manual-tests/button.md</t>
        </is>
      </c>
      <c r="H17" s="36" t="inlineStr">
        <is>
          <t>verified</t>
        </is>
      </c>
      <c r="I17" s="36" t="inlineStr">
        <is>
          <t>yes</t>
        </is>
      </c>
      <c r="J17" s="38" t="n">
        <v>46219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.75" customHeight="1" s="22">
      <c r="A18" s="36" t="inlineStr">
        <is>
          <t>BUT-10</t>
        </is>
      </c>
      <c r="B18" s="36" t="inlineStr">
        <is>
          <t>Playground</t>
        </is>
      </c>
      <c r="C18" s="36" t="inlineStr">
        <is>
          <t>Component</t>
        </is>
      </c>
      <c r="D18" s="36" t="inlineStr">
        <is>
          <t>Light, dark, forced-colors, reduced-motion, and relevant preference modes</t>
        </is>
      </c>
      <c r="E18" s="36" t="inlineStr">
        <is>
          <t>package</t>
        </is>
      </c>
      <c r="F18" s="36" t="inlineStr">
        <is>
          <t>playground</t>
        </is>
      </c>
      <c r="G18" s="37" t="inlineStr">
        <is>
          <t>tests/preferences.spec.ts</t>
        </is>
      </c>
      <c r="H18" s="36" t="inlineStr">
        <is>
          <t>verified</t>
        </is>
      </c>
      <c r="I18" s="36" t="inlineStr">
        <is>
          <t>yes</t>
        </is>
      </c>
      <c r="J18" s="38" t="n">
        <v>46219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.75" customHeight="1" s="22">
      <c r="A19" s="36" t="inlineStr">
        <is>
          <t>BUT-11</t>
        </is>
      </c>
      <c r="B19" s="36" t="inlineStr">
        <is>
          <t>Playground</t>
        </is>
      </c>
      <c r="C19" s="36" t="inlineStr">
        <is>
          <t>Component</t>
        </is>
      </c>
      <c r="D19" s="36" t="inlineStr">
        <is>
          <t>Long content, localization, zoom, and RTL stress</t>
        </is>
      </c>
      <c r="E19" s="36" t="inlineStr">
        <is>
          <t>package</t>
        </is>
      </c>
      <c r="F19" s="36" t="inlineStr">
        <is>
          <t>playground</t>
        </is>
      </c>
      <c r="G19" s="37" t="inlineStr">
        <is>
          <t>manual-tests/button.md</t>
        </is>
      </c>
      <c r="H19" s="36" t="inlineStr">
        <is>
          <t>verified</t>
        </is>
      </c>
      <c r="I19" s="36" t="inlineStr">
        <is>
          <t>yes</t>
        </is>
      </c>
      <c r="J19" s="38" t="n">
        <v>46219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.75" customHeight="1" s="22">
      <c r="A20" s="36" t="inlineStr">
        <is>
          <t>BUT-12</t>
        </is>
      </c>
      <c r="B20" s="36" t="inlineStr">
        <is>
          <t>Playground</t>
        </is>
      </c>
      <c r="C20" s="36" t="inlineStr">
        <is>
          <t>Component</t>
        </is>
      </c>
      <c r="D20" s="36" t="inlineStr">
        <is>
          <t>Semantic tokens, public Button tokens, className, style, data attributes, and the Button slot customization contract</t>
        </is>
      </c>
      <c r="E20" s="36" t="inlineStr">
        <is>
          <t>package</t>
        </is>
      </c>
      <c r="F20" s="36" t="inlineStr">
        <is>
          <t>playground</t>
        </is>
      </c>
      <c r="G20" s="37" t="inlineStr">
        <is>
          <t>manual-tests/button.md</t>
        </is>
      </c>
      <c r="H20" s="36" t="inlineStr">
        <is>
          <t>verified</t>
        </is>
      </c>
      <c r="I20" s="36" t="inlineStr">
        <is>
          <t>yes</t>
        </is>
      </c>
      <c r="J20" s="38" t="n">
        <v>46219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.75" customHeight="1" s="22">
      <c r="A21" s="36" t="inlineStr">
        <is>
          <t>BUT-13</t>
        </is>
      </c>
      <c r="B21" s="36" t="inlineStr">
        <is>
          <t>Playground</t>
        </is>
      </c>
      <c r="C21" s="36" t="inlineStr">
        <is>
          <t>Component</t>
        </is>
      </c>
      <c r="D21" s="36" t="inlineStr">
        <is>
          <t>Stable route and deterministic state inputs for browser tests</t>
        </is>
      </c>
      <c r="E21" s="36" t="inlineStr">
        <is>
          <t>package</t>
        </is>
      </c>
      <c r="F21" s="36" t="inlineStr">
        <is>
          <t>playground</t>
        </is>
      </c>
      <c r="G21" s="37" t="inlineStr">
        <is>
          <t>tests/button.spec.ts</t>
        </is>
      </c>
      <c r="H21" s="36" t="inlineStr">
        <is>
          <t>tested</t>
        </is>
      </c>
      <c r="I21" s="36" t="inlineStr">
        <is>
          <t>no</t>
        </is>
      </c>
      <c r="J21" s="38" t="n">
        <v>46219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.75" customHeight="1" s="22">
      <c r="A22" s="36" t="inlineStr">
        <is>
          <t>BUT-14</t>
        </is>
      </c>
      <c r="B22" s="36" t="inlineStr">
        <is>
          <t>Automated tests</t>
        </is>
      </c>
      <c r="C22" s="36" t="inlineStr">
        <is>
          <t>Component</t>
        </is>
      </c>
      <c r="D22" s="36" t="inlineStr">
        <is>
          <t>Vitest and Testing Library component contract tests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../test/components/button.test.tsx</t>
        </is>
      </c>
      <c r="H22" s="36" t="inlineStr">
        <is>
          <t>tested</t>
        </is>
      </c>
      <c r="I22" s="36" t="inlineStr">
        <is>
          <t>no</t>
        </is>
      </c>
      <c r="J22" s="38" t="n">
        <v>46219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.75" customHeight="1" s="22">
      <c r="A23" s="36" t="inlineStr">
        <is>
          <t>BUT-15</t>
        </is>
      </c>
      <c r="B23" s="36" t="inlineStr">
        <is>
          <t>Automated tests</t>
        </is>
      </c>
      <c r="C23" s="36" t="inlineStr">
        <is>
          <t>Component</t>
        </is>
      </c>
      <c r="D23" s="36" t="inlineStr">
        <is>
          <t>Public prop unions, defaults, composition conflicts, native props, ref, and declaration fixtures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../test/types/public-api.test.ts</t>
        </is>
      </c>
      <c r="H23" s="36" t="inlineStr">
        <is>
          <t>tested</t>
        </is>
      </c>
      <c r="I23" s="36" t="inlineStr">
        <is>
          <t>no</t>
        </is>
      </c>
      <c r="J23" s="38" t="n">
        <v>46219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.75" customHeight="1" s="22">
      <c r="A24" s="36" t="inlineStr">
        <is>
          <t>BUT-16</t>
        </is>
      </c>
      <c r="B24" s="36" t="inlineStr">
        <is>
          <t>Automated tests</t>
        </is>
      </c>
      <c r="C24" s="36" t="inlineStr">
        <is>
          <t>Component</t>
        </is>
      </c>
      <c r="D24" s="36" t="inlineStr">
        <is>
          <t>Playwright keyboard, pointer, focus, and state interactions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tests/button.spec.ts</t>
        </is>
      </c>
      <c r="H24" s="36" t="inlineStr">
        <is>
          <t>tested</t>
        </is>
      </c>
      <c r="I24" s="36" t="inlineStr">
        <is>
          <t>no</t>
        </is>
      </c>
      <c r="J24" s="38" t="n">
        <v>46219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.75" customHeight="1" s="22">
      <c r="A25" s="36" t="inlineStr">
        <is>
          <t>BUT-17</t>
        </is>
      </c>
      <c r="B25" s="36" t="inlineStr">
        <is>
          <t>Automated tests</t>
        </is>
      </c>
      <c r="C25" s="36" t="inlineStr">
        <is>
          <t>Component</t>
        </is>
      </c>
      <c r="D25" s="36" t="inlineStr">
        <is>
          <t>Axe checks for canonical browser states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tests/foundation.spec.ts</t>
        </is>
      </c>
      <c r="H25" s="36" t="inlineStr">
        <is>
          <t>tested</t>
        </is>
      </c>
      <c r="I25" s="36" t="inlineStr">
        <is>
          <t>no</t>
        </is>
      </c>
      <c r="J25" s="38" t="n">
        <v>46219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.75" customHeight="1" s="22">
      <c r="A26" s="36" t="inlineStr">
        <is>
          <t>BUT-18</t>
        </is>
      </c>
      <c r="B26" s="36" t="inlineStr">
        <is>
          <t>Automated tests</t>
        </is>
      </c>
      <c r="C26" s="36" t="inlineStr">
        <is>
          <t>Component</t>
        </is>
      </c>
      <c r="D26" s="36" t="inlineStr">
        <is>
          <t>Risk-based Chromium visual baselines reviewed</t>
        </is>
      </c>
      <c r="E26" s="36" t="inlineStr">
        <is>
          <t>package</t>
        </is>
      </c>
      <c r="F26" s="36" t="inlineStr">
        <is>
          <t>test</t>
        </is>
      </c>
      <c r="G26" s="36" t="inlineStr">
        <is>
          <t>tests/visual.spec.ts</t>
        </is>
      </c>
      <c r="H26" s="36" t="inlineStr">
        <is>
          <t>verified</t>
        </is>
      </c>
      <c r="I26" s="36" t="inlineStr">
        <is>
          <t>yes</t>
        </is>
      </c>
      <c r="J26" s="40" t="n">
        <v>46219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.75" customHeight="1" s="22">
      <c r="A27" s="36" t="inlineStr">
        <is>
          <t>BUT-19</t>
        </is>
      </c>
      <c r="B27" s="36" t="inlineStr">
        <is>
          <t>Automated tests</t>
        </is>
      </c>
      <c r="C27" s="36" t="inlineStr">
        <is>
          <t>Component</t>
        </is>
      </c>
      <c r="D27" s="36" t="inlineStr">
        <is>
          <t>Relevant Chromium, Firefox, WebKit, and mobile-profile checks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../../playwright.config.ts</t>
        </is>
      </c>
      <c r="H27" s="36" t="inlineStr">
        <is>
          <t>tested</t>
        </is>
      </c>
      <c r="I27" s="36" t="inlineStr">
        <is>
          <t>no</t>
        </is>
      </c>
      <c r="J27" s="38" t="n">
        <v>46219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.75" customHeight="1" s="22">
      <c r="A28" s="36" t="inlineStr">
        <is>
          <t>BUT-20</t>
        </is>
      </c>
      <c r="B28" s="36" t="inlineStr">
        <is>
          <t>Automated tests</t>
        </is>
      </c>
      <c r="C28" s="36" t="inlineStr">
        <is>
          <t>Component</t>
        </is>
      </c>
      <c r="D28" s="36" t="inlineStr">
        <is>
          <t>Server-render boundary and server-safe consumer behavior are verified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../scripts/verify-consumers.mjs</t>
        </is>
      </c>
      <c r="H28" s="36" t="inlineStr">
        <is>
          <t>tested</t>
        </is>
      </c>
      <c r="I28" s="36" t="inlineStr">
        <is>
          <t>no</t>
        </is>
      </c>
      <c r="J28" s="38" t="n">
        <v>46219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.75" customHeight="1" s="22">
      <c r="A29" s="36" t="inlineStr">
        <is>
          <t>BUT-21</t>
        </is>
      </c>
      <c r="B29" s="36" t="inlineStr">
        <is>
          <t>Manual evidence</t>
        </is>
      </c>
      <c r="C29" s="36" t="inlineStr">
        <is>
          <t>Component</t>
        </is>
      </c>
      <c r="D29" s="36" t="inlineStr">
        <is>
          <t>Numbered component manual-test protocol is complete</t>
        </is>
      </c>
      <c r="E29" s="36" t="inlineStr">
        <is>
          <t>package</t>
        </is>
      </c>
      <c r="F29" s="36" t="inlineStr">
        <is>
          <t>manual</t>
        </is>
      </c>
      <c r="G29" s="37" t="inlineStr">
        <is>
          <t>manual-tests/button.md</t>
        </is>
      </c>
      <c r="H29" s="36" t="inlineStr">
        <is>
          <t>tested</t>
        </is>
      </c>
      <c r="I29" s="36" t="inlineStr">
        <is>
          <t>no</t>
        </is>
      </c>
      <c r="J29" s="38" t="n">
        <v>46219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.75" customHeight="1" s="22">
      <c r="A30" s="36" t="inlineStr">
        <is>
          <t>BUT-22</t>
        </is>
      </c>
      <c r="B30" s="36" t="inlineStr">
        <is>
          <t>Manual evidence</t>
        </is>
      </c>
      <c r="C30" s="36" t="inlineStr">
        <is>
          <t>Component</t>
        </is>
      </c>
      <c r="D30" s="36" t="inlineStr">
        <is>
          <t>Latest required manual run is recorded and passes</t>
        </is>
      </c>
      <c r="E30" s="36" t="inlineStr">
        <is>
          <t>package</t>
        </is>
      </c>
      <c r="F30" s="36" t="inlineStr">
        <is>
          <t>manual</t>
        </is>
      </c>
      <c r="G30" s="36" t="inlineStr">
        <is>
          <t>manual-tests/button.md</t>
        </is>
      </c>
      <c r="H30" s="36" t="inlineStr">
        <is>
          <t>verified</t>
        </is>
      </c>
      <c r="I30" s="36" t="inlineStr">
        <is>
          <t>yes</t>
        </is>
      </c>
      <c r="J30" s="40" t="n">
        <v>46219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.75" customHeight="1" s="22">
      <c r="A31" s="36" t="inlineStr">
        <is>
          <t>BUT-23</t>
        </is>
      </c>
      <c r="B31" s="36" t="inlineStr">
        <is>
          <t>Documentation</t>
        </is>
      </c>
      <c r="C31" s="36" t="inlineStr">
        <is>
          <t>Component</t>
        </is>
      </c>
      <c r="D31" s="36" t="inlineStr">
        <is>
          <t>Public component documentation follows the standard template</t>
        </is>
      </c>
      <c r="E31" s="36" t="inlineStr">
        <is>
          <t>package</t>
        </is>
      </c>
      <c r="F31" s="36" t="inlineStr">
        <is>
          <t>docs</t>
        </is>
      </c>
      <c r="G31" s="37" t="inlineStr">
        <is>
          <t>../docs/components/button/README.md</t>
        </is>
      </c>
      <c r="H31" s="36" t="inlineStr">
        <is>
          <t>verified</t>
        </is>
      </c>
      <c r="I31" s="36" t="inlineStr">
        <is>
          <t>yes</t>
        </is>
      </c>
      <c r="J31" s="38" t="n">
        <v>46219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.75" customHeight="1" s="22">
      <c r="A32" s="36" t="inlineStr">
        <is>
          <t>BUT-24</t>
        </is>
      </c>
      <c r="B32" s="36" t="inlineStr">
        <is>
          <t>Documentation</t>
        </is>
      </c>
      <c r="C32" s="36" t="inlineStr">
        <is>
          <t>Component</t>
        </is>
      </c>
      <c r="D32" s="36" t="inlineStr">
        <is>
          <t>Component changelog and applicable package release notes are updated</t>
        </is>
      </c>
      <c r="E32" s="36" t="inlineStr">
        <is>
          <t>package</t>
        </is>
      </c>
      <c r="F32" s="36" t="inlineStr">
        <is>
          <t>docs</t>
        </is>
      </c>
      <c r="G32" s="37" t="inlineStr">
        <is>
          <t>../docs/components/button/CHANGELOG.md</t>
        </is>
      </c>
      <c r="H32" s="36" t="inlineStr">
        <is>
          <t>tested</t>
        </is>
      </c>
      <c r="I32" s="36" t="inlineStr">
        <is>
          <t>no</t>
        </is>
      </c>
      <c r="J32" s="38" t="n">
        <v>46219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.75" customHeight="1" s="22">
      <c r="A33" s="36" t="inlineStr">
        <is>
          <t>BUT-25</t>
        </is>
      </c>
      <c r="B33" s="36" t="inlineStr">
        <is>
          <t>Consumer</t>
        </is>
      </c>
      <c r="C33" s="36" t="inlineStr">
        <is>
          <t>Component</t>
        </is>
      </c>
      <c r="D33" s="36" t="inlineStr">
        <is>
          <t>Live Consumer integration is verified</t>
        </is>
      </c>
      <c r="E33" s="36" t="inlineStr">
        <is>
          <t>consumer</t>
        </is>
      </c>
      <c r="F33" s="36" t="inlineStr">
        <is>
          <t>consumer</t>
        </is>
      </c>
      <c r="G33" s="36" t="inlineStr">
        <is>
          <t>../apps/consumer/tests/consumer.spec.ts</t>
        </is>
      </c>
      <c r="H33" s="36" t="inlineStr">
        <is>
          <t>verified</t>
        </is>
      </c>
      <c r="I33" s="36" t="inlineStr">
        <is>
          <t>yes</t>
        </is>
      </c>
      <c r="J33" s="40" t="n">
        <v>46219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.75" customHeight="1" s="22"/>
    <row r="35"/>
  </sheetData>
  <autoFilter ref="A8:M34"/>
  <mergeCells count="3">
    <mergeCell ref="A2:M2"/>
    <mergeCell ref="A6:M6"/>
    <mergeCell ref="A1:M1"/>
  </mergeCells>
  <conditionalFormatting sqref="H9:H33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33" showDropDown="0" showInputMessage="0" showErrorMessage="0" allowBlank="0" type="list" errorStyle="stop" operator="between">
      <formula1>_Lists!$A$1:$A$7</formula1>
      <formula2>0</formula2>
    </dataValidation>
    <dataValidation sqref="I9:I33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Card Evidence Matrix</t>
        </is>
      </c>
    </row>
    <row r="2" ht="33.75" customHeight="1" s="22">
      <c r="A2" s="24" t="inlineStr">
        <is>
          <t>Evidence gates for the adopted Card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COUNTA(A9:A40)</f>
        <v/>
      </c>
      <c r="C4" s="25" t="inlineStr">
        <is>
          <t>Resolved</t>
        </is>
      </c>
      <c r="D4" s="26">
        <f>SUM(M9:M40)</f>
        <v/>
      </c>
      <c r="E4" s="25" t="inlineStr">
        <is>
          <t>Completion</t>
        </is>
      </c>
      <c r="F4" s="27">
        <f>IFERROR(D4/SUM(L9:L40),0)</f>
        <v/>
      </c>
      <c r="G4" s="25" t="inlineStr">
        <is>
          <t>Blocked</t>
        </is>
      </c>
      <c r="H4" s="26">
        <f>COUNTIF(H9:H40,"blocked")</f>
        <v/>
      </c>
      <c r="I4" s="25" t="inlineStr">
        <is>
          <t>Package gate</t>
        </is>
      </c>
      <c r="J4" s="26">
        <f>IF(COUNTIFS(E9:E40,"package",M9:M40,"&lt;1")=0,"complete","open")</f>
        <v/>
      </c>
      <c r="K4" s="25" t="inlineStr">
        <is>
          <t>Consumer gate</t>
        </is>
      </c>
      <c r="L4" s="26">
        <f>IF(COUNTIFS(E9:E40,"consumer",M9:M40,"&lt;1")=0,"complete","open")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.75" customHeight="1" s="22">
      <c r="A9" s="36" t="inlineStr">
        <is>
          <t>CAR-01</t>
        </is>
      </c>
      <c r="B9" s="36" t="inlineStr">
        <is>
          <t>Public API</t>
        </is>
      </c>
      <c r="C9" s="36" t="inlineStr">
        <is>
          <t>Namespace</t>
        </is>
      </c>
      <c r="D9" s="36" t="inlineStr">
        <is>
          <t>Static Card namespace implementation has no application or local behavior wrapper</t>
        </is>
      </c>
      <c r="E9" s="36" t="inlineStr">
        <is>
          <t>package</t>
        </is>
      </c>
      <c r="F9" s="36" t="inlineStr">
        <is>
          <t>source</t>
        </is>
      </c>
      <c r="G9" s="36" t="inlineStr">
        <is>
          <t>../src/components/card/Card.tsx</t>
        </is>
      </c>
      <c r="H9" s="36" t="inlineStr">
        <is>
          <t>tested</t>
        </is>
      </c>
      <c r="I9" s="36" t="inlineStr">
        <is>
          <t>no</t>
        </is>
      </c>
      <c r="J9" s="38" t="n">
        <v>46220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.75" customHeight="1" s="22">
      <c r="A10" s="36" t="inlineStr">
        <is>
          <t>CAR-02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Atom capability audit confirms Card owns no behavior and requires no Atom patch or local workaround</t>
        </is>
      </c>
      <c r="E10" s="36" t="inlineStr">
        <is>
          <t>package</t>
        </is>
      </c>
      <c r="F10" s="36" t="inlineStr">
        <is>
          <t>decision</t>
        </is>
      </c>
      <c r="G10" s="36" t="inlineStr">
        <is>
          <t>../../docs/card-component-brief.md</t>
        </is>
      </c>
      <c r="H10" s="36" t="inlineStr">
        <is>
          <t>verified</t>
        </is>
      </c>
      <c r="I10" s="36" t="inlineStr">
        <is>
          <t>yes</t>
        </is>
      </c>
      <c r="J10" s="38" t="n">
        <v>46220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.75" customHeight="1" s="22">
      <c r="A11" s="36" t="inlineStr">
        <is>
          <t>CAR-03</t>
        </is>
      </c>
      <c r="B11" s="36" t="inlineStr">
        <is>
          <t>Public API</t>
        </is>
      </c>
      <c r="C11" s="36" t="inlineStr">
        <is>
          <t>Namespace</t>
        </is>
      </c>
      <c r="D11" s="36" t="inlineStr">
        <is>
          <t>Root and card subpath exports, declarations, defaults, and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6" t="inlineStr">
        <is>
          <t>../src/card.ts</t>
        </is>
      </c>
      <c r="H11" s="36" t="inlineStr">
        <is>
          <t>tested</t>
        </is>
      </c>
      <c r="I11" s="36" t="inlineStr">
        <is>
          <t>no</t>
        </is>
      </c>
      <c r="J11" s="38" t="n">
        <v>46220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.75" customHeight="1" s="22">
      <c r="A12" s="36" t="inlineStr">
        <is>
          <t>CAR-04</t>
        </is>
      </c>
      <c r="B12" s="36" t="inlineStr">
        <is>
          <t>Public API</t>
        </is>
      </c>
      <c r="C12" s="36" t="inlineStr">
        <is>
          <t>All parts</t>
        </is>
      </c>
      <c r="D12" s="36" t="inlineStr">
        <is>
          <t>Native props, refs, className, style, events, children, and overridable slots forward on every public part</t>
        </is>
      </c>
      <c r="E12" s="36" t="inlineStr">
        <is>
          <t>package</t>
        </is>
      </c>
      <c r="F12" s="36" t="inlineStr">
        <is>
          <t>test</t>
        </is>
      </c>
      <c r="G12" s="36" t="inlineStr">
        <is>
          <t>../test/components/card.test.tsx</t>
        </is>
      </c>
      <c r="H12" s="36" t="inlineStr">
        <is>
          <t>tested</t>
        </is>
      </c>
      <c r="I12" s="36" t="inlineStr">
        <is>
          <t>no</t>
        </is>
      </c>
      <c r="J12" s="38" t="n">
        <v>46220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.75" customHeight="1" s="22">
      <c r="A13" s="36" t="inlineStr">
        <is>
          <t>CAR-05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Neutral div default, restricted semantic elements, variant and size defaults, and no invented role or focus state</t>
        </is>
      </c>
      <c r="E13" s="36" t="inlineStr">
        <is>
          <t>package</t>
        </is>
      </c>
      <c r="F13" s="36" t="inlineStr">
        <is>
          <t>test</t>
        </is>
      </c>
      <c r="G13" s="36" t="inlineStr">
        <is>
          <t>../test/components/card.test.tsx</t>
        </is>
      </c>
      <c r="H13" s="36" t="inlineStr">
        <is>
          <t>tested</t>
        </is>
      </c>
      <c r="I13" s="36" t="inlineStr">
        <is>
          <t>no</t>
        </is>
      </c>
      <c r="J13" s="38" t="n">
        <v>46220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.75" customHeight="1" s="22">
      <c r="A14" s="36" t="inlineStr">
        <is>
          <t>CAR-06</t>
        </is>
      </c>
      <c r="B14" s="36" t="inlineStr">
        <is>
          <t>Anatomy</t>
        </is>
      </c>
      <c r="C14" s="36" t="inlineStr">
        <is>
          <t>Header</t>
        </is>
      </c>
      <c r="D14" s="36" t="inlineStr">
        <is>
          <t>Title, description, and compact trailing action preserve source order and resilient narrow-screen layout</t>
        </is>
      </c>
      <c r="E14" s="36" t="inlineStr">
        <is>
          <t>package</t>
        </is>
      </c>
      <c r="F14" s="36" t="inlineStr">
        <is>
          <t>manual</t>
        </is>
      </c>
      <c r="G14" s="36" t="inlineStr">
        <is>
          <t>manual-tests/card.md</t>
        </is>
      </c>
      <c r="H14" s="36" t="inlineStr">
        <is>
          <t>verified</t>
        </is>
      </c>
      <c r="I14" s="36" t="inlineStr">
        <is>
          <t>yes</t>
        </is>
      </c>
      <c r="J14" s="38" t="n">
        <v>46220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.75" customHeight="1" s="22">
      <c r="A15" s="36" t="inlineStr">
        <is>
          <t>CAR-07</t>
        </is>
      </c>
      <c r="B15" s="36" t="inlineStr">
        <is>
          <t>Anatomy</t>
        </is>
      </c>
      <c r="C15" s="36" t="inlineStr">
        <is>
          <t>Title</t>
        </is>
      </c>
      <c r="D15" s="36" t="inlineStr">
        <is>
          <t>Heading defaults to h3 and supports only h1 through h6 with native heading semantics</t>
        </is>
      </c>
      <c r="E15" s="36" t="inlineStr">
        <is>
          <t>package</t>
        </is>
      </c>
      <c r="F15" s="36" t="inlineStr">
        <is>
          <t>test</t>
        </is>
      </c>
      <c r="G15" s="36" t="inlineStr">
        <is>
          <t>../test/components/card.test.tsx</t>
        </is>
      </c>
      <c r="H15" s="36" t="inlineStr">
        <is>
          <t>tested</t>
        </is>
      </c>
      <c r="I15" s="36" t="inlineStr">
        <is>
          <t>no</t>
        </is>
      </c>
      <c r="J15" s="38" t="n">
        <v>46220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.75" customHeight="1" s="22">
      <c r="A16" s="36" t="inlineStr">
        <is>
          <t>CAR-08</t>
        </is>
      </c>
      <c r="B16" s="36" t="inlineStr">
        <is>
          <t>Anatomy</t>
        </is>
      </c>
      <c r="C16" s="36" t="inlineStr">
        <is>
          <t>Description</t>
        </is>
      </c>
      <c r="D16" s="36" t="inlineStr">
        <is>
          <t>Supporting text renders as a native paragraph and forwards its complete public DOM contract</t>
        </is>
      </c>
      <c r="E16" s="36" t="inlineStr">
        <is>
          <t>package</t>
        </is>
      </c>
      <c r="F16" s="36" t="inlineStr">
        <is>
          <t>test</t>
        </is>
      </c>
      <c r="G16" s="36" t="inlineStr">
        <is>
          <t>../test/components/card.test.tsx</t>
        </is>
      </c>
      <c r="H16" s="36" t="inlineStr">
        <is>
          <t>tested</t>
        </is>
      </c>
      <c r="I16" s="36" t="inlineStr">
        <is>
          <t>no</t>
        </is>
      </c>
      <c r="J16" s="38" t="n">
        <v>46220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.75" customHeight="1" s="22">
      <c r="A17" s="36" t="inlineStr">
        <is>
          <t>CAR-09</t>
        </is>
      </c>
      <c r="B17" s="36" t="inlineStr">
        <is>
          <t>Anatomy</t>
        </is>
      </c>
      <c r="C17" s="36" t="inlineStr">
        <is>
          <t>Action</t>
        </is>
      </c>
      <c r="D17" s="36" t="inlineStr">
        <is>
          <t>Compact trailing layout creates no role, focus, click, keyboard, or generated control behavior</t>
        </is>
      </c>
      <c r="E17" s="36" t="inlineStr">
        <is>
          <t>package</t>
        </is>
      </c>
      <c r="F17" s="36" t="inlineStr">
        <is>
          <t>test</t>
        </is>
      </c>
      <c r="G17" s="36" t="inlineStr">
        <is>
          <t>tests/card.spec.ts</t>
        </is>
      </c>
      <c r="H17" s="36" t="inlineStr">
        <is>
          <t>tested</t>
        </is>
      </c>
      <c r="I17" s="36" t="inlineStr">
        <is>
          <t>no</t>
        </is>
      </c>
      <c r="J17" s="38" t="n">
        <v>46220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.75" customHeight="1" s="22">
      <c r="A18" s="36" t="inlineStr">
        <is>
          <t>CAR-10</t>
        </is>
      </c>
      <c r="B18" s="36" t="inlineStr">
        <is>
          <t>Anatomy</t>
        </is>
      </c>
      <c r="C18" s="36" t="inlineStr">
        <is>
          <t>Content</t>
        </is>
      </c>
      <c r="D18" s="36" t="inlineStr">
        <is>
          <t>Optional body region renders one native element and omitted anatomy creates no empty regions</t>
        </is>
      </c>
      <c r="E18" s="36" t="inlineStr">
        <is>
          <t>package</t>
        </is>
      </c>
      <c r="F18" s="36" t="inlineStr">
        <is>
          <t>test</t>
        </is>
      </c>
      <c r="G18" s="36" t="inlineStr">
        <is>
          <t>../test/components/card.test.tsx</t>
        </is>
      </c>
      <c r="H18" s="36" t="inlineStr">
        <is>
          <t>tested</t>
        </is>
      </c>
      <c r="I18" s="36" t="inlineStr">
        <is>
          <t>no</t>
        </is>
      </c>
      <c r="J18" s="38" t="n">
        <v>46220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.75" customHeight="1" s="22">
      <c r="A19" s="36" t="inlineStr">
        <is>
          <t>CAR-11</t>
        </is>
      </c>
      <c r="B19" s="36" t="inlineStr">
        <is>
          <t>Anatomy</t>
        </is>
      </c>
      <c r="C19" s="36" t="inlineStr">
        <is>
          <t>Footer</t>
        </is>
      </c>
      <c r="D19" s="36" t="inlineStr">
        <is>
          <t>Optional footer preserves explicit controls, logical order, wrapping, and visible focus at narrow widths</t>
        </is>
      </c>
      <c r="E19" s="36" t="inlineStr">
        <is>
          <t>package</t>
        </is>
      </c>
      <c r="F19" s="36" t="inlineStr">
        <is>
          <t>manual</t>
        </is>
      </c>
      <c r="G19" s="36" t="inlineStr">
        <is>
          <t>manual-tests/card.md</t>
        </is>
      </c>
      <c r="H19" s="36" t="inlineStr">
        <is>
          <t>verified</t>
        </is>
      </c>
      <c r="I19" s="36" t="inlineStr">
        <is>
          <t>yes</t>
        </is>
      </c>
      <c r="J19" s="38" t="n">
        <v>46220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.75" customHeight="1" s="22">
      <c r="A20" s="36" t="inlineStr">
        <is>
          <t>CAR-12</t>
        </is>
      </c>
      <c r="B20" s="36" t="inlineStr">
        <is>
          <t>Visual system</t>
        </is>
      </c>
      <c r="C20" s="36" t="inlineStr">
        <is>
          <t>All parts</t>
        </is>
      </c>
      <c r="D20" s="36" t="inlineStr">
        <is>
          <t>Compiled CSS uses public brick classes, component tokens, layers, logical properties, and semantic roles</t>
        </is>
      </c>
      <c r="E20" s="36" t="inlineStr">
        <is>
          <t>package</t>
        </is>
      </c>
      <c r="F20" s="36" t="inlineStr">
        <is>
          <t>source</t>
        </is>
      </c>
      <c r="G20" s="36" t="inlineStr">
        <is>
          <t>../src/components/card/card.css</t>
        </is>
      </c>
      <c r="H20" s="36" t="inlineStr">
        <is>
          <t>tested</t>
        </is>
      </c>
      <c r="I20" s="36" t="inlineStr">
        <is>
          <t>no</t>
        </is>
      </c>
      <c r="J20" s="38" t="n">
        <v>46220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.75" customHeight="1" s="22">
      <c r="A21" s="36" t="inlineStr">
        <is>
          <t>CAR-13</t>
        </is>
      </c>
      <c r="B21" s="36" t="inlineStr">
        <is>
          <t>Visual system</t>
        </is>
      </c>
      <c r="C21" s="36" t="inlineStr">
        <is>
          <t>Root</t>
        </is>
      </c>
      <c r="D21" s="36" t="inlineStr">
        <is>
          <t>Outline, elevated, and subtle variants plus small, medium, and large density recipes remain distinct in light and dark</t>
        </is>
      </c>
      <c r="E21" s="36" t="inlineStr">
        <is>
          <t>package</t>
        </is>
      </c>
      <c r="F21" s="36" t="inlineStr">
        <is>
          <t>manual</t>
        </is>
      </c>
      <c r="G21" s="36" t="inlineStr">
        <is>
          <t>manual-tests/card.md</t>
        </is>
      </c>
      <c r="H21" s="36" t="inlineStr">
        <is>
          <t>verified</t>
        </is>
      </c>
      <c r="I21" s="36" t="inlineStr">
        <is>
          <t>yes</t>
        </is>
      </c>
      <c r="J21" s="38" t="n">
        <v>46220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.75" customHeight="1" s="22">
      <c r="A22" s="36" t="inlineStr">
        <is>
          <t>CAR-14</t>
        </is>
      </c>
      <c r="B22" s="36" t="inlineStr">
        <is>
          <t>Playground</t>
        </is>
      </c>
      <c r="C22" s="36" t="inlineStr">
        <is>
          <t>All parts</t>
        </is>
      </c>
      <c r="D22" s="36" t="inlineStr">
        <is>
          <t>Canonical article and every partial anatomy are built from public Card parts and Brick Button</t>
        </is>
      </c>
      <c r="E22" s="36" t="inlineStr">
        <is>
          <t>package</t>
        </is>
      </c>
      <c r="F22" s="36" t="inlineStr">
        <is>
          <t>playground</t>
        </is>
      </c>
      <c r="G22" s="36" t="inlineStr">
        <is>
          <t>manual-tests/card.md</t>
        </is>
      </c>
      <c r="H22" s="36" t="inlineStr">
        <is>
          <t>verified</t>
        </is>
      </c>
      <c r="I22" s="36" t="inlineStr">
        <is>
          <t>yes</t>
        </is>
      </c>
      <c r="J22" s="38" t="n">
        <v>46220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.75" customHeight="1" s="22">
      <c r="A23" s="36" t="inlineStr">
        <is>
          <t>CAR-15</t>
        </is>
      </c>
      <c r="B23" s="36" t="inlineStr">
        <is>
          <t>Playground</t>
        </is>
      </c>
      <c r="C23" s="36" t="inlineStr">
        <is>
          <t>Root</t>
        </is>
      </c>
      <c r="D23" s="36" t="inlineStr">
        <is>
          <t>Every variant and size plus media and single-action-link composition are represented</t>
        </is>
      </c>
      <c r="E23" s="36" t="inlineStr">
        <is>
          <t>package</t>
        </is>
      </c>
      <c r="F23" s="36" t="inlineStr">
        <is>
          <t>playground</t>
        </is>
      </c>
      <c r="G23" s="36" t="inlineStr">
        <is>
          <t>tests/card.spec.ts</t>
        </is>
      </c>
      <c r="H23" s="36" t="inlineStr">
        <is>
          <t>verified</t>
        </is>
      </c>
      <c r="I23" s="36" t="inlineStr">
        <is>
          <t>yes</t>
        </is>
      </c>
      <c r="J23" s="38" t="n">
        <v>46220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.75" customHeight="1" s="22">
      <c r="A24" s="36" t="inlineStr">
        <is>
          <t>CAR-16</t>
        </is>
      </c>
      <c r="B24" s="36" t="inlineStr">
        <is>
          <t>Playground</t>
        </is>
      </c>
      <c r="C24" s="36" t="inlineStr">
        <is>
          <t>All parts</t>
        </is>
      </c>
      <c r="D24" s="36" t="inlineStr">
        <is>
          <t>Mobile-first constrained layouts and intentional wide layouts preserve natural Card height and containment</t>
        </is>
      </c>
      <c r="E24" s="36" t="inlineStr">
        <is>
          <t>package</t>
        </is>
      </c>
      <c r="F24" s="36" t="inlineStr">
        <is>
          <t>manual</t>
        </is>
      </c>
      <c r="G24" s="36" t="inlineStr">
        <is>
          <t>manual-tests/card.md</t>
        </is>
      </c>
      <c r="H24" s="36" t="inlineStr">
        <is>
          <t>verified</t>
        </is>
      </c>
      <c r="I24" s="36" t="inlineStr">
        <is>
          <t>yes</t>
        </is>
      </c>
      <c r="J24" s="38" t="n">
        <v>46220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.75" customHeight="1" s="22">
      <c r="A25" s="36" t="inlineStr">
        <is>
          <t>CAR-17</t>
        </is>
      </c>
      <c r="B25" s="36" t="inlineStr">
        <is>
          <t>Playground</t>
        </is>
      </c>
      <c r="C25" s="36" t="inlineStr">
        <is>
          <t>Root</t>
        </is>
      </c>
      <c r="D25" s="36" t="inlineStr">
        <is>
          <t>Light, dark, scoped appearance, forced colors, and reduced motion retain hierarchy and boundaries</t>
        </is>
      </c>
      <c r="E25" s="36" t="inlineStr">
        <is>
          <t>package</t>
        </is>
      </c>
      <c r="F25" s="36" t="inlineStr">
        <is>
          <t>test</t>
        </is>
      </c>
      <c r="G25" s="36" t="inlineStr">
        <is>
          <t>tests/preferences.spec.ts</t>
        </is>
      </c>
      <c r="H25" s="36" t="inlineStr">
        <is>
          <t>verified</t>
        </is>
      </c>
      <c r="I25" s="36" t="inlineStr">
        <is>
          <t>yes</t>
        </is>
      </c>
      <c r="J25" s="38" t="n">
        <v>46220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.75" customHeight="1" s="22">
      <c r="A26" s="36" t="inlineStr">
        <is>
          <t>CAR-18</t>
        </is>
      </c>
      <c r="B26" s="36" t="inlineStr">
        <is>
          <t>Playground</t>
        </is>
      </c>
      <c r="C26" s="36" t="inlineStr">
        <is>
          <t>All parts</t>
        </is>
      </c>
      <c r="D26" s="36" t="inlineStr">
        <is>
          <t>Long content, unbroken text, localization, 400 percent zoom, and RTL remain contained and readable</t>
        </is>
      </c>
      <c r="E26" s="36" t="inlineStr">
        <is>
          <t>package</t>
        </is>
      </c>
      <c r="F26" s="36" t="inlineStr">
        <is>
          <t>manual</t>
        </is>
      </c>
      <c r="G26" s="36" t="inlineStr">
        <is>
          <t>manual-tests/card.md</t>
        </is>
      </c>
      <c r="H26" s="36" t="inlineStr">
        <is>
          <t>verified</t>
        </is>
      </c>
      <c r="I26" s="36" t="inlineStr">
        <is>
          <t>yes</t>
        </is>
      </c>
      <c r="J26" s="38" t="n">
        <v>46220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.75" customHeight="1" s="22">
      <c r="A27" s="36" t="inlineStr">
        <is>
          <t>CAR-19</t>
        </is>
      </c>
      <c r="B27" s="36" t="inlineStr">
        <is>
          <t>Playground</t>
        </is>
      </c>
      <c r="C27" s="36" t="inlineStr">
        <is>
          <t>All parts</t>
        </is>
      </c>
      <c r="D27" s="36" t="inlineStr">
        <is>
          <t>Public Card tokens, stable classes, style, data attributes, and overridable part slots are inspectable</t>
        </is>
      </c>
      <c r="E27" s="36" t="inlineStr">
        <is>
          <t>package</t>
        </is>
      </c>
      <c r="F27" s="36" t="inlineStr">
        <is>
          <t>manual</t>
        </is>
      </c>
      <c r="G27" s="36" t="inlineStr">
        <is>
          <t>manual-tests/card.md</t>
        </is>
      </c>
      <c r="H27" s="36" t="inlineStr">
        <is>
          <t>verified</t>
        </is>
      </c>
      <c r="I27" s="36" t="inlineStr">
        <is>
          <t>yes</t>
        </is>
      </c>
      <c r="J27" s="38" t="n">
        <v>46220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.75" customHeight="1" s="22">
      <c r="A28" s="36" t="inlineStr">
        <is>
          <t>CAR-20</t>
        </is>
      </c>
      <c r="B28" s="36" t="inlineStr">
        <is>
          <t>Playground</t>
        </is>
      </c>
      <c r="C28" s="36" t="inlineStr">
        <is>
          <t>Component</t>
        </is>
      </c>
      <c r="D28" s="36" t="inlineStr">
        <is>
          <t>Stable Card route and deterministic scenario selectors support repeatable browser tests</t>
        </is>
      </c>
      <c r="E28" s="36" t="inlineStr">
        <is>
          <t>package</t>
        </is>
      </c>
      <c r="F28" s="36" t="inlineStr">
        <is>
          <t>playground</t>
        </is>
      </c>
      <c r="G28" s="36" t="inlineStr">
        <is>
          <t>tests/card.spec.ts</t>
        </is>
      </c>
      <c r="H28" s="36" t="inlineStr">
        <is>
          <t>tested</t>
        </is>
      </c>
      <c r="I28" s="36" t="inlineStr">
        <is>
          <t>no</t>
        </is>
      </c>
      <c r="J28" s="38" t="n">
        <v>46220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.75" customHeight="1" s="22">
      <c r="A29" s="36" t="inlineStr">
        <is>
          <t>CAR-21</t>
        </is>
      </c>
      <c r="B29" s="36" t="inlineStr">
        <is>
          <t>Automated tests</t>
        </is>
      </c>
      <c r="C29" s="36" t="inlineStr">
        <is>
          <t>All parts</t>
        </is>
      </c>
      <c r="D29" s="36" t="inlineStr">
        <is>
          <t>Vitest and Testing Library cover the complete component and native DOM contract</t>
        </is>
      </c>
      <c r="E29" s="36" t="inlineStr">
        <is>
          <t>package</t>
        </is>
      </c>
      <c r="F29" s="36" t="inlineStr">
        <is>
          <t>test</t>
        </is>
      </c>
      <c r="G29" s="36" t="inlineStr">
        <is>
          <t>../test/components/card.test.tsx</t>
        </is>
      </c>
      <c r="H29" s="36" t="inlineStr">
        <is>
          <t>tested</t>
        </is>
      </c>
      <c r="I29" s="36" t="inlineStr">
        <is>
          <t>no</t>
        </is>
      </c>
      <c r="J29" s="38" t="n">
        <v>46220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.75" customHeight="1" s="22">
      <c r="A30" s="36" t="inlineStr">
        <is>
          <t>CAR-22</t>
        </is>
      </c>
      <c r="B30" s="36" t="inlineStr">
        <is>
          <t>Automated tests</t>
        </is>
      </c>
      <c r="C30" s="36" t="inlineStr">
        <is>
          <t>Namespace</t>
        </is>
      </c>
      <c r="D30" s="36" t="inlineStr">
        <is>
          <t>Public type, declaration, invalid-prop, root export, and card-subpath fixtures pass</t>
        </is>
      </c>
      <c r="E30" s="36" t="inlineStr">
        <is>
          <t>package</t>
        </is>
      </c>
      <c r="F30" s="36" t="inlineStr">
        <is>
          <t>test</t>
        </is>
      </c>
      <c r="G30" s="36" t="inlineStr">
        <is>
          <t>../test/types/public-api.test.ts</t>
        </is>
      </c>
      <c r="H30" s="36" t="inlineStr">
        <is>
          <t>tested</t>
        </is>
      </c>
      <c r="I30" s="36" t="inlineStr">
        <is>
          <t>no</t>
        </is>
      </c>
      <c r="J30" s="38" t="n">
        <v>46220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.75" customHeight="1" s="22">
      <c r="A31" s="36" t="inlineStr">
        <is>
          <t>CAR-23</t>
        </is>
      </c>
      <c r="B31" s="36" t="inlineStr">
        <is>
          <t>Automated tests</t>
        </is>
      </c>
      <c r="C31" s="36" t="inlineStr">
        <is>
          <t>Root</t>
        </is>
      </c>
      <c r="D31" s="36" t="inlineStr">
        <is>
          <t>Playwright verifies static semantics, explicit-control focus, accessible link naming, reflow, and zoom</t>
        </is>
      </c>
      <c r="E31" s="36" t="inlineStr">
        <is>
          <t>package</t>
        </is>
      </c>
      <c r="F31" s="36" t="inlineStr">
        <is>
          <t>test</t>
        </is>
      </c>
      <c r="G31" s="36" t="inlineStr">
        <is>
          <t>tests/card.spec.ts</t>
        </is>
      </c>
      <c r="H31" s="36" t="inlineStr">
        <is>
          <t>tested</t>
        </is>
      </c>
      <c r="I31" s="36" t="inlineStr">
        <is>
          <t>no</t>
        </is>
      </c>
      <c r="J31" s="38" t="n">
        <v>46220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.75" customHeight="1" s="22">
      <c r="A32" s="36" t="inlineStr">
        <is>
          <t>CAR-24</t>
        </is>
      </c>
      <c r="B32" s="36" t="inlineStr">
        <is>
          <t>Automated tests</t>
        </is>
      </c>
      <c r="C32" s="36" t="inlineStr">
        <is>
          <t>Root</t>
        </is>
      </c>
      <c r="D32" s="36" t="inlineStr">
        <is>
          <t>Axe reports no automatically detectable violations for canonical Card states</t>
        </is>
      </c>
      <c r="E32" s="36" t="inlineStr">
        <is>
          <t>package</t>
        </is>
      </c>
      <c r="F32" s="36" t="inlineStr">
        <is>
          <t>test</t>
        </is>
      </c>
      <c r="G32" s="36" t="inlineStr">
        <is>
          <t>tests/foundation.spec.ts</t>
        </is>
      </c>
      <c r="H32" s="36" t="inlineStr">
        <is>
          <t>tested</t>
        </is>
      </c>
      <c r="I32" s="36" t="inlineStr">
        <is>
          <t>no</t>
        </is>
      </c>
      <c r="J32" s="38" t="n">
        <v>46220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.75" customHeight="1" s="22">
      <c r="A33" s="36" t="inlineStr">
        <is>
          <t>CAR-25</t>
        </is>
      </c>
      <c r="B33" s="36" t="inlineStr">
        <is>
          <t>Automated tests</t>
        </is>
      </c>
      <c r="C33" s="36" t="inlineStr">
        <is>
          <t>Root</t>
        </is>
      </c>
      <c r="D33" s="36" t="inlineStr">
        <is>
          <t>Six deterministic Chromium visual baselines are reviewed</t>
        </is>
      </c>
      <c r="E33" s="36" t="inlineStr">
        <is>
          <t>package</t>
        </is>
      </c>
      <c r="F33" s="36" t="inlineStr">
        <is>
          <t>test</t>
        </is>
      </c>
      <c r="G33" s="36" t="inlineStr">
        <is>
          <t>tests/visual.spec.ts</t>
        </is>
      </c>
      <c r="H33" s="36" t="inlineStr">
        <is>
          <t>verified</t>
        </is>
      </c>
      <c r="I33" s="36" t="inlineStr">
        <is>
          <t>yes</t>
        </is>
      </c>
      <c r="J33" s="38" t="n">
        <v>46220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.75" customHeight="1" s="22">
      <c r="A34" s="36" t="inlineStr">
        <is>
          <t>CAR-26</t>
        </is>
      </c>
      <c r="B34" s="36" t="inlineStr">
        <is>
          <t>Automated tests</t>
        </is>
      </c>
      <c r="C34" s="36" t="inlineStr">
        <is>
          <t>All parts</t>
        </is>
      </c>
      <c r="D34" s="36" t="inlineStr">
        <is>
          <t>Chromium, Firefox, WebKit, Pixel, and iPhone release matrix records 73 passes and 42 intentional skips</t>
        </is>
      </c>
      <c r="E34" s="36" t="inlineStr">
        <is>
          <t>package</t>
        </is>
      </c>
      <c r="F34" s="36" t="inlineStr">
        <is>
          <t>test</t>
        </is>
      </c>
      <c r="G34" s="36" t="inlineStr">
        <is>
          <t>../playwright.config.ts</t>
        </is>
      </c>
      <c r="H34" s="36" t="inlineStr">
        <is>
          <t>tested</t>
        </is>
      </c>
      <c r="I34" s="36" t="inlineStr">
        <is>
          <t>no</t>
        </is>
      </c>
      <c r="J34" s="38" t="n">
        <v>46220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26.25" customHeight="1" s="22">
      <c r="A35" s="36" t="inlineStr">
        <is>
          <t>CAR-27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SSR, package boundary, tarball, and clean React 18 and React 19 consumer verification pass</t>
        </is>
      </c>
      <c r="E35" s="36" t="inlineStr">
        <is>
          <t>package</t>
        </is>
      </c>
      <c r="F35" s="36" t="inlineStr">
        <is>
          <t>test</t>
        </is>
      </c>
      <c r="G35" s="36" t="inlineStr">
        <is>
          <t>../test/package/ssr.test.mjs</t>
        </is>
      </c>
      <c r="H35" s="36" t="inlineStr">
        <is>
          <t>tested</t>
        </is>
      </c>
      <c r="I35" s="36" t="inlineStr">
        <is>
          <t>no</t>
        </is>
      </c>
      <c r="J35" s="38" t="n">
        <v>46220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15" customHeight="1" s="22">
      <c r="A36" s="36" t="inlineStr">
        <is>
          <t>CAR-28</t>
        </is>
      </c>
      <c r="B36" s="36" t="inlineStr">
        <is>
          <t>Manual evidence</t>
        </is>
      </c>
      <c r="C36" s="36" t="inlineStr">
        <is>
          <t>Component</t>
        </is>
      </c>
      <c r="D36" s="36" t="inlineStr">
        <is>
          <t>Numbered ten-step Card manual-test protocol is complete</t>
        </is>
      </c>
      <c r="E36" s="36" t="inlineStr">
        <is>
          <t>package</t>
        </is>
      </c>
      <c r="F36" s="36" t="inlineStr">
        <is>
          <t>manual</t>
        </is>
      </c>
      <c r="G36" s="36" t="inlineStr">
        <is>
          <t>manual-tests/card.md</t>
        </is>
      </c>
      <c r="H36" s="36" t="inlineStr">
        <is>
          <t>tested</t>
        </is>
      </c>
      <c r="I36" s="36" t="inlineStr">
        <is>
          <t>no</t>
        </is>
      </c>
      <c r="J36" s="38" t="n">
        <v>46220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26.25" customHeight="1" s="22">
      <c r="A37" s="36" t="inlineStr">
        <is>
          <t>CAR-29</t>
        </is>
      </c>
      <c r="B37" s="36" t="inlineStr">
        <is>
          <t>Manual evidence</t>
        </is>
      </c>
      <c r="C37" s="36" t="inlineStr">
        <is>
          <t>All parts</t>
        </is>
      </c>
      <c r="D37" s="36" t="inlineStr">
        <is>
          <t>Latest owner run is recorded and passes after every discovered finding was corrected and retested</t>
        </is>
      </c>
      <c r="E37" s="36" t="inlineStr">
        <is>
          <t>package</t>
        </is>
      </c>
      <c r="F37" s="36" t="inlineStr">
        <is>
          <t>manual</t>
        </is>
      </c>
      <c r="G37" s="36" t="inlineStr">
        <is>
          <t>manual-tests/card.md</t>
        </is>
      </c>
      <c r="H37" s="36" t="inlineStr">
        <is>
          <t>verified</t>
        </is>
      </c>
      <c r="I37" s="36" t="inlineStr">
        <is>
          <t>yes</t>
        </is>
      </c>
      <c r="J37" s="38" t="n">
        <v>46220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26.25" customHeight="1" s="22">
      <c r="A38" s="36" t="inlineStr">
        <is>
          <t>CAR-30</t>
        </is>
      </c>
      <c r="B38" s="36" t="inlineStr">
        <is>
          <t>Documentation</t>
        </is>
      </c>
      <c r="C38" s="36" t="inlineStr">
        <is>
          <t>Component</t>
        </is>
      </c>
      <c r="D38" s="36" t="inlineStr">
        <is>
          <t>Public Card documentation follows the standard template and documents whole-card accessibility</t>
        </is>
      </c>
      <c r="E38" s="36" t="inlineStr">
        <is>
          <t>package</t>
        </is>
      </c>
      <c r="F38" s="36" t="inlineStr">
        <is>
          <t>docs</t>
        </is>
      </c>
      <c r="G38" s="36" t="inlineStr">
        <is>
          <t>../docs/components/card/README.md</t>
        </is>
      </c>
      <c r="H38" s="36" t="inlineStr">
        <is>
          <t>verified</t>
        </is>
      </c>
      <c r="I38" s="36" t="inlineStr">
        <is>
          <t>yes</t>
        </is>
      </c>
      <c r="J38" s="38" t="n">
        <v>46220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26.25" customHeight="1" s="22">
      <c r="A39" s="36" t="inlineStr">
        <is>
          <t>CAR-31</t>
        </is>
      </c>
      <c r="B39" s="36" t="inlineStr">
        <is>
          <t>Documentation</t>
        </is>
      </c>
      <c r="C39" s="36" t="inlineStr">
        <is>
          <t>Component</t>
        </is>
      </c>
      <c r="D39" s="36" t="inlineStr">
        <is>
          <t>Card changelog and package release notes record the initial contract and dark-elevation correction</t>
        </is>
      </c>
      <c r="E39" s="36" t="inlineStr">
        <is>
          <t>package</t>
        </is>
      </c>
      <c r="F39" s="36" t="inlineStr">
        <is>
          <t>docs</t>
        </is>
      </c>
      <c r="G39" s="36" t="inlineStr">
        <is>
          <t>../docs/components/card/CHANGELOG.md</t>
        </is>
      </c>
      <c r="H39" s="36" t="inlineStr">
        <is>
          <t>tested</t>
        </is>
      </c>
      <c r="I39" s="36" t="inlineStr">
        <is>
          <t>no</t>
        </is>
      </c>
      <c r="J39" s="38" t="n">
        <v>46220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26.25" customHeight="1" s="22">
      <c r="A40" s="36" t="inlineStr">
        <is>
          <t>CAR-32</t>
        </is>
      </c>
      <c r="B40" s="36" t="inlineStr">
        <is>
          <t>Consumer</t>
        </is>
      </c>
      <c r="C40" s="36" t="inlineStr">
        <is>
          <t>Component</t>
        </is>
      </c>
      <c r="D40" s="36" t="inlineStr">
        <is>
          <t>Independent consumer uses public Card for project, checklist, and invitation surfaces and passes ten browser checks</t>
        </is>
      </c>
      <c r="E40" s="36" t="inlineStr">
        <is>
          <t>consumer</t>
        </is>
      </c>
      <c r="F40" s="36" t="inlineStr">
        <is>
          <t>consumer</t>
        </is>
      </c>
      <c r="G40" s="36" t="inlineStr">
        <is>
          <t>../apps/consumer/tests/consumer.spec.ts</t>
        </is>
      </c>
      <c r="H40" s="36" t="inlineStr">
        <is>
          <t>verified</t>
        </is>
      </c>
      <c r="I40" s="36" t="inlineStr">
        <is>
          <t>yes</t>
        </is>
      </c>
      <c r="J40" s="38" t="n">
        <v>46220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26.25" customHeight="1" s="22"/>
    <row r="42"/>
  </sheetData>
  <autoFilter ref="A8:M34"/>
  <mergeCells count="3">
    <mergeCell ref="A2:M2"/>
    <mergeCell ref="A6:M6"/>
    <mergeCell ref="A1:M1"/>
  </mergeCells>
  <conditionalFormatting sqref="H9:H40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0" showDropDown="0" showInputMessage="0" showErrorMessage="0" allowBlank="0" type="list" errorStyle="stop" operator="between">
      <formula1>_Lists!$A$1:$A$7</formula1>
      <formula2>0</formula2>
    </dataValidation>
    <dataValidation sqref="I9:I40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Dialog Evidence Matrix</t>
        </is>
      </c>
    </row>
    <row r="2" ht="33.75" customHeight="1" s="22">
      <c r="A2" s="24" t="inlineStr">
        <is>
          <t>Evidence gates for the adopted Dialog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COUNTA(A9:A44)</f>
        <v/>
      </c>
      <c r="C4" s="25" t="inlineStr">
        <is>
          <t>Resolved</t>
        </is>
      </c>
      <c r="D4" s="26">
        <f>SUM(M9:M44)</f>
        <v/>
      </c>
      <c r="E4" s="25" t="inlineStr">
        <is>
          <t>Completion</t>
        </is>
      </c>
      <c r="F4" s="27">
        <f>IFERROR(D4/SUM(L9:L44),0)</f>
        <v/>
      </c>
      <c r="G4" s="25" t="inlineStr">
        <is>
          <t>Blocked</t>
        </is>
      </c>
      <c r="H4" s="26">
        <f>COUNTIF(H9:H44,"blocked")</f>
        <v/>
      </c>
      <c r="I4" s="25" t="inlineStr">
        <is>
          <t>Package gate</t>
        </is>
      </c>
      <c r="J4" s="26">
        <f>IF(COUNTIFS(E9:E44,"package",M9:M44,"&lt;1")=0,"complete","open")</f>
        <v/>
      </c>
      <c r="K4" s="25" t="inlineStr">
        <is>
          <t>Consumer gate</t>
        </is>
      </c>
      <c r="L4" s="26">
        <f>IF(COUNTIFS(E9:E44,"consumer",M9:M44,"&lt;1")=0,"complete","open")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DIA-01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directly composes public Atom 0.3.2 behavior without local headless wrappers</t>
        </is>
      </c>
      <c r="E9" s="36" t="inlineStr">
        <is>
          <t>package</t>
        </is>
      </c>
      <c r="F9" s="36" t="inlineStr">
        <is>
          <t>source</t>
        </is>
      </c>
      <c r="G9" s="36" t="inlineStr">
        <is>
          <t>../src/components/dialog/Dialog.tsx</t>
        </is>
      </c>
      <c r="H9" s="36" t="inlineStr">
        <is>
          <t>tested</t>
        </is>
      </c>
      <c r="I9" s="36" t="inlineStr">
        <is>
          <t>no</t>
        </is>
      </c>
      <c r="J9" s="40" t="n">
        <v>46220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DIA-02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Adopted capability audit covers focus, nested layers, portals, isolation, scrolling, touch focus, presence, and dismissal; released Atom gaps are resolved</t>
        </is>
      </c>
      <c r="E10" s="36" t="inlineStr">
        <is>
          <t>package</t>
        </is>
      </c>
      <c r="F10" s="36" t="inlineStr">
        <is>
          <t>decision</t>
        </is>
      </c>
      <c r="G10" s="36" t="inlineStr">
        <is>
          <t>../../docs/dialog-component-brief.md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46220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DIA-03</t>
        </is>
      </c>
      <c r="B11" s="36" t="inlineStr">
        <is>
          <t>Public API</t>
        </is>
      </c>
      <c r="C11" s="36" t="inlineStr">
        <is>
          <t>Namespace</t>
        </is>
      </c>
      <c r="D11" s="36" t="inlineStr">
        <is>
          <t>Root and dialog-subpath namespaces, direct part exports, declarations, and closed prop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6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46220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DIA-04</t>
        </is>
      </c>
      <c r="B12" s="36" t="inlineStr">
        <is>
          <t>Anatomy</t>
        </is>
      </c>
      <c r="C12" s="36" t="inlineStr">
        <is>
          <t>Root</t>
        </is>
      </c>
      <c r="D12" s="36" t="inlineStr">
        <is>
          <t>Atom owns exhaustive controlled and uncontrolled state and modal policy; Brick verifies disabled Root forwarding and representative close-reason preservation</t>
        </is>
      </c>
      <c r="E12" s="36" t="inlineStr">
        <is>
          <t>package</t>
        </is>
      </c>
      <c r="F12" s="36" t="inlineStr">
        <is>
          <t>test</t>
        </is>
      </c>
      <c r="G12" s="36" t="inlineStr">
        <is>
          <t>../test/components/dialog.test.tsx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DIA-05</t>
        </is>
      </c>
      <c r="B13" s="36" t="inlineStr">
        <is>
          <t>Anatomy</t>
        </is>
      </c>
      <c r="C13" s="36" t="inlineStr">
        <is>
          <t>Trigger</t>
        </is>
      </c>
      <c r="D13" s="36" t="inlineStr">
        <is>
          <t>Trigger preserves disabled state, native props, ref, stable Brick hooks, and representative Atom asChild and render composition</t>
        </is>
      </c>
      <c r="E13" s="36" t="inlineStr">
        <is>
          <t>package</t>
        </is>
      </c>
      <c r="F13" s="36" t="inlineStr">
        <is>
          <t>test</t>
        </is>
      </c>
      <c r="G13" s="36" t="inlineStr">
        <is>
          <t>../test/components/dialog.test.tsx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DIA-06</t>
        </is>
      </c>
      <c r="B14" s="36" t="inlineStr">
        <is>
          <t>Anatomy</t>
        </is>
      </c>
      <c r="C14" s="36" t="inlineStr">
        <is>
          <t>Portal</t>
        </is>
      </c>
      <c r="D14" s="36" t="inlineStr">
        <is>
          <t>Portal preserves default body, inline disabled, and custom-container composition without copying behavior into Brick</t>
        </is>
      </c>
      <c r="E14" s="36" t="inlineStr">
        <is>
          <t>package</t>
        </is>
      </c>
      <c r="F14" s="36" t="inlineStr">
        <is>
          <t>test</t>
        </is>
      </c>
      <c r="G14" s="36" t="inlineStr">
        <is>
          <t>../test/components/dialog.test.tsx + tests/dialog.spec.ts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DIA-07</t>
        </is>
      </c>
      <c r="B15" s="36" t="inlineStr">
        <is>
          <t>Anatomy</t>
        </is>
      </c>
      <c r="C15" s="36" t="inlineStr">
        <is>
          <t>Overlay</t>
        </is>
      </c>
      <c r="D15" s="36" t="inlineStr">
        <is>
          <t>Overlay remains a sibling of Content, exposes the semantic scrim, and preserves exact-target and disabled dismissal behavior</t>
        </is>
      </c>
      <c r="E15" s="36" t="inlineStr">
        <is>
          <t>package</t>
        </is>
      </c>
      <c r="F15" s="36" t="inlineStr">
        <is>
          <t>test</t>
        </is>
      </c>
      <c r="G15" s="36" t="inlineStr">
        <is>
          <t>tests/dialog.spec.ts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DIA-08</t>
        </is>
      </c>
      <c r="B16" s="36" t="inlineStr">
        <is>
          <t>Anatomy</t>
        </is>
      </c>
      <c r="C16" s="36" t="inlineStr">
        <is>
          <t>Content</t>
        </is>
      </c>
      <c r="D16" s="36" t="inlineStr">
        <is>
          <t>Modal semantics, ARIA ownership, focus scope, native props, ref, stable hooks, and sm, md, and lg sizes follow the adopted contract</t>
        </is>
      </c>
      <c r="E16" s="36" t="inlineStr">
        <is>
          <t>package</t>
        </is>
      </c>
      <c r="F16" s="36" t="inlineStr">
        <is>
          <t>test</t>
        </is>
      </c>
      <c r="G16" s="36" t="inlineStr">
        <is>
          <t>../test/components/dialog.test.tsx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46220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DIA-09</t>
        </is>
      </c>
      <c r="B17" s="36" t="inlineStr">
        <is>
          <t>Anatomy</t>
        </is>
      </c>
      <c r="C17" s="36" t="inlineStr">
        <is>
          <t>Header</t>
        </is>
      </c>
      <c r="D17" s="36" t="inlineStr">
        <is>
          <t>Header renders one native visual region for title, description, and optional explicit controls without generated behavior</t>
        </is>
      </c>
      <c r="E17" s="36" t="inlineStr">
        <is>
          <t>package</t>
        </is>
      </c>
      <c r="F17" s="36" t="inlineStr">
        <is>
          <t>test</t>
        </is>
      </c>
      <c r="G17" s="36" t="inlineStr">
        <is>
          <t>../test/components/dialog.test.tsx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46220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DIA-10</t>
        </is>
      </c>
      <c r="B18" s="36" t="inlineStr">
        <is>
          <t>Anatomy</t>
        </is>
      </c>
      <c r="C18" s="36" t="inlineStr">
        <is>
          <t>Title</t>
        </is>
      </c>
      <c r="D18" s="36" t="inlineStr">
        <is>
          <t>Visible accessible naming, the default h2, and a representative h1 override preserve Atom ARIA relationships and heading forwarding</t>
        </is>
      </c>
      <c r="E18" s="36" t="inlineStr">
        <is>
          <t>package</t>
        </is>
      </c>
      <c r="F18" s="36" t="inlineStr">
        <is>
          <t>test</t>
        </is>
      </c>
      <c r="G18" s="36" t="inlineStr">
        <is>
          <t>../test/components/dialog.test.tsx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DIA-11</t>
        </is>
      </c>
      <c r="B19" s="36" t="inlineStr">
        <is>
          <t>Anatomy</t>
        </is>
      </c>
      <c r="C19" s="36" t="inlineStr">
        <is>
          <t>Description</t>
        </is>
      </c>
      <c r="D19" s="36" t="inlineStr">
        <is>
          <t>Optional paragraph content supplies the accessible description without inventing copy or empty relationships</t>
        </is>
      </c>
      <c r="E19" s="36" t="inlineStr">
        <is>
          <t>package</t>
        </is>
      </c>
      <c r="F19" s="36" t="inlineStr">
        <is>
          <t>test</t>
        </is>
      </c>
      <c r="G19" s="36" t="inlineStr">
        <is>
          <t>../test/components/dialog.test.tsx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46220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DIA-12</t>
        </is>
      </c>
      <c r="B20" s="36" t="inlineStr">
        <is>
          <t>Anatomy</t>
        </is>
      </c>
      <c r="C20" s="36" t="inlineStr">
        <is>
          <t>Body</t>
        </is>
      </c>
      <c r="D20" s="36" t="inlineStr">
        <is>
          <t>Bounded body scrolling keeps long content readable without moving Header, Footer, or the background page</t>
        </is>
      </c>
      <c r="E20" s="36" t="inlineStr">
        <is>
          <t>package</t>
        </is>
      </c>
      <c r="F20" s="36" t="inlineStr">
        <is>
          <t>manual</t>
        </is>
      </c>
      <c r="G20" s="36" t="inlineStr">
        <is>
          <t>manual-tests/dialog.md</t>
        </is>
      </c>
      <c r="H20" s="36" t="inlineStr">
        <is>
          <t>verified</t>
        </is>
      </c>
      <c r="I20" s="36" t="inlineStr">
        <is>
          <t>yes</t>
        </is>
      </c>
      <c r="J20" s="40" t="n">
        <v>46220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DIA-13</t>
        </is>
      </c>
      <c r="B21" s="36" t="inlineStr">
        <is>
          <t>Anatomy</t>
        </is>
      </c>
      <c r="C21" s="36" t="inlineStr">
        <is>
          <t>Footer</t>
        </is>
      </c>
      <c r="D21" s="36" t="inlineStr">
        <is>
          <t>Consumer-selected actions preserve source order, wrap logically, and remain reachable at narrow and keyboard-constrained heights</t>
        </is>
      </c>
      <c r="E21" s="36" t="inlineStr">
        <is>
          <t>package</t>
        </is>
      </c>
      <c r="F21" s="36" t="inlineStr">
        <is>
          <t>manual</t>
        </is>
      </c>
      <c r="G21" s="36" t="inlineStr">
        <is>
          <t>manual-tests/dialog.md</t>
        </is>
      </c>
      <c r="H21" s="36" t="inlineStr">
        <is>
          <t>verified</t>
        </is>
      </c>
      <c r="I21" s="36" t="inlineStr">
        <is>
          <t>yes</t>
        </is>
      </c>
      <c r="J21" s="40" t="n">
        <v>46220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DIA-14</t>
        </is>
      </c>
      <c r="B22" s="36" t="inlineStr">
        <is>
          <t>Anatomy</t>
        </is>
      </c>
      <c r="C22" s="36" t="inlineStr">
        <is>
          <t>Close</t>
        </is>
      </c>
      <c r="D22" s="36" t="inlineStr">
        <is>
          <t>Close preserves native props, ref, stable Brick hooks, representative asChild and render composition, and the closeClick reason</t>
        </is>
      </c>
      <c r="E22" s="36" t="inlineStr">
        <is>
          <t>package</t>
        </is>
      </c>
      <c r="F22" s="36" t="inlineStr">
        <is>
          <t>test</t>
        </is>
      </c>
      <c r="G22" s="36" t="inlineStr">
        <is>
          <t>../test/components/dialog.test.tsx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DIA-15</t>
        </is>
      </c>
      <c r="B23" s="36" t="inlineStr">
        <is>
          <t>Anatomy</t>
        </is>
      </c>
      <c r="C23" s="36" t="inlineStr">
        <is>
          <t>Branch</t>
        </is>
      </c>
      <c r="D23" s="36" t="inlineStr">
        <is>
          <t>Branch preserves Atom registration ownership while Brick verifies render composition, native forwarding, ref wiring, and stable styling hooks</t>
        </is>
      </c>
      <c r="E23" s="36" t="inlineStr">
        <is>
          <t>package</t>
        </is>
      </c>
      <c r="F23" s="36" t="inlineStr">
        <is>
          <t>test</t>
        </is>
      </c>
      <c r="G23" s="36" t="inlineStr">
        <is>
          <t>../test/components/dialog.test.tsx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DIA-16</t>
        </is>
      </c>
      <c r="B24" s="36" t="inlineStr">
        <is>
          <t>Visual system</t>
        </is>
      </c>
      <c r="C24" s="36" t="inlineStr">
        <is>
          <t>All parts</t>
        </is>
      </c>
      <c r="D24" s="36" t="inlineStr">
        <is>
          <t>Compiled CSS uses public Brick classes, component tokens, layers, logical properties, semantic roles, and direction-neutral centering</t>
        </is>
      </c>
      <c r="E24" s="36" t="inlineStr">
        <is>
          <t>package</t>
        </is>
      </c>
      <c r="F24" s="36" t="inlineStr">
        <is>
          <t>source</t>
        </is>
      </c>
      <c r="G24" s="36" t="inlineStr">
        <is>
          <t>../src/components/dialog/dialog.css</t>
        </is>
      </c>
      <c r="H24" s="36" t="inlineStr">
        <is>
          <t>tested</t>
        </is>
      </c>
      <c r="I24" s="36" t="inlineStr">
        <is>
          <t>no</t>
        </is>
      </c>
      <c r="J24" s="40" t="n">
        <v>46220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DIA-17</t>
        </is>
      </c>
      <c r="B25" s="36" t="inlineStr">
        <is>
          <t>Visual system</t>
        </is>
      </c>
      <c r="C25" s="36" t="inlineStr">
        <is>
          <t>Content</t>
        </is>
      </c>
      <c r="D25" s="36" t="inlineStr">
        <is>
          <t>The semantic overlay recipe, border, elevation, spacing, three sizes, and reduced-motion states remain distinct and coherent</t>
        </is>
      </c>
      <c r="E25" s="36" t="inlineStr">
        <is>
          <t>package</t>
        </is>
      </c>
      <c r="F25" s="36" t="inlineStr">
        <is>
          <t>manual</t>
        </is>
      </c>
      <c r="G25" s="36" t="inlineStr">
        <is>
          <t>manual-tests/dialog.md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46220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DIA-18</t>
        </is>
      </c>
      <c r="B26" s="36" t="inlineStr">
        <is>
          <t>Playground</t>
        </is>
      </c>
      <c r="C26" s="36" t="inlineStr">
        <is>
          <t>All parts</t>
        </is>
      </c>
      <c r="D26" s="36" t="inlineStr">
        <is>
          <t>The nine-section deterministic workbench uses public Dialog anatomy and Brick Button composition</t>
        </is>
      </c>
      <c r="E26" s="36" t="inlineStr">
        <is>
          <t>package</t>
        </is>
      </c>
      <c r="F26" s="36" t="inlineStr">
        <is>
          <t>playground</t>
        </is>
      </c>
      <c r="G26" s="36" t="inlineStr">
        <is>
          <t>manual-tests/dialog.md</t>
        </is>
      </c>
      <c r="H26" s="36" t="inlineStr">
        <is>
          <t>verified</t>
        </is>
      </c>
      <c r="I26" s="36" t="inlineStr">
        <is>
          <t>yes</t>
        </is>
      </c>
      <c r="J26" s="40" t="n">
        <v>46220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DIA-19</t>
        </is>
      </c>
      <c r="B27" s="36" t="inlineStr">
        <is>
          <t>Playground</t>
        </is>
      </c>
      <c r="C27" s="36" t="inlineStr">
        <is>
          <t>Component</t>
        </is>
      </c>
      <c r="D27" s="36" t="inlineStr">
        <is>
          <t>Overview, sizes, anatomy, dismissal, nesting, scoped appearance, customization, long content, and RTL scenarios are represented</t>
        </is>
      </c>
      <c r="E27" s="36" t="inlineStr">
        <is>
          <t>package</t>
        </is>
      </c>
      <c r="F27" s="36" t="inlineStr">
        <is>
          <t>playground</t>
        </is>
      </c>
      <c r="G27" s="36" t="inlineStr">
        <is>
          <t>tests/dialog.spec.ts</t>
        </is>
      </c>
      <c r="H27" s="36" t="inlineStr">
        <is>
          <t>verified</t>
        </is>
      </c>
      <c r="I27" s="36" t="inlineStr">
        <is>
          <t>yes</t>
        </is>
      </c>
      <c r="J27" s="40" t="n">
        <v>46220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DIA-20</t>
        </is>
      </c>
      <c r="B28" s="36" t="inlineStr">
        <is>
          <t>Playground</t>
        </is>
      </c>
      <c r="C28" s="36" t="inlineStr">
        <is>
          <t>Content</t>
        </is>
      </c>
      <c r="D28" s="36" t="inlineStr">
        <is>
          <t>Mobile-first constrained and intentional wide layouts preserve viewport gaps, bounded height, body scrolling, and reachable actions</t>
        </is>
      </c>
      <c r="E28" s="36" t="inlineStr">
        <is>
          <t>package</t>
        </is>
      </c>
      <c r="F28" s="36" t="inlineStr">
        <is>
          <t>manual</t>
        </is>
      </c>
      <c r="G28" s="36" t="inlineStr">
        <is>
          <t>manual-tests/dialog.md</t>
        </is>
      </c>
      <c r="H28" s="36" t="inlineStr">
        <is>
          <t>verified</t>
        </is>
      </c>
      <c r="I28" s="36" t="inlineStr">
        <is>
          <t>yes</t>
        </is>
      </c>
      <c r="J28" s="40" t="n">
        <v>46220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DIA-21</t>
        </is>
      </c>
      <c r="B29" s="36" t="inlineStr">
        <is>
          <t>Playground</t>
        </is>
      </c>
      <c r="C29" s="36" t="inlineStr">
        <is>
          <t>All parts</t>
        </is>
      </c>
      <c r="D29" s="36" t="inlineStr">
        <is>
          <t>Light, dark, scoped appearance, forced colors, and reduced motion retain hierarchy, boundaries, and focus visibility</t>
        </is>
      </c>
      <c r="E29" s="36" t="inlineStr">
        <is>
          <t>package</t>
        </is>
      </c>
      <c r="F29" s="36" t="inlineStr">
        <is>
          <t>test</t>
        </is>
      </c>
      <c r="G29" s="36" t="inlineStr">
        <is>
          <t>tests/visual.spec.ts</t>
        </is>
      </c>
      <c r="H29" s="36" t="inlineStr">
        <is>
          <t>verified</t>
        </is>
      </c>
      <c r="I29" s="36" t="inlineStr">
        <is>
          <t>yes</t>
        </is>
      </c>
      <c r="J29" s="40" t="n">
        <v>46220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DIA-22</t>
        </is>
      </c>
      <c r="B30" s="36" t="inlineStr">
        <is>
          <t>Playground</t>
        </is>
      </c>
      <c r="C30" s="36" t="inlineStr">
        <is>
          <t>All parts</t>
        </is>
      </c>
      <c r="D30" s="36" t="inlineStr">
        <is>
          <t>Long content, unbroken text, localization, 200 and 400 percent zoom, narrow widths, and RTL remain contained and readable</t>
        </is>
      </c>
      <c r="E30" s="36" t="inlineStr">
        <is>
          <t>package</t>
        </is>
      </c>
      <c r="F30" s="36" t="inlineStr">
        <is>
          <t>manual</t>
        </is>
      </c>
      <c r="G30" s="36" t="inlineStr">
        <is>
          <t>manual-tests/dialog.md</t>
        </is>
      </c>
      <c r="H30" s="36" t="inlineStr">
        <is>
          <t>verified</t>
        </is>
      </c>
      <c r="I30" s="36" t="inlineStr">
        <is>
          <t>yes</t>
        </is>
      </c>
      <c r="J30" s="40" t="n">
        <v>46220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DIA-23</t>
        </is>
      </c>
      <c r="B31" s="36" t="inlineStr">
        <is>
          <t>Playground</t>
        </is>
      </c>
      <c r="C31" s="36" t="inlineStr">
        <is>
          <t>All parts</t>
        </is>
      </c>
      <c r="D31" s="36" t="inlineStr">
        <is>
          <t>Public Dialog tokens, stable classes, style, data attributes, and overridable part slots remain local and inspectable</t>
        </is>
      </c>
      <c r="E31" s="36" t="inlineStr">
        <is>
          <t>package</t>
        </is>
      </c>
      <c r="F31" s="36" t="inlineStr">
        <is>
          <t>manual</t>
        </is>
      </c>
      <c r="G31" s="36" t="inlineStr">
        <is>
          <t>manual-tests/dialog.md</t>
        </is>
      </c>
      <c r="H31" s="36" t="inlineStr">
        <is>
          <t>verified</t>
        </is>
      </c>
      <c r="I31" s="36" t="inlineStr">
        <is>
          <t>yes</t>
        </is>
      </c>
      <c r="J31" s="40" t="n">
        <v>46220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DIA-24</t>
        </is>
      </c>
      <c r="B32" s="36" t="inlineStr">
        <is>
          <t>Playground</t>
        </is>
      </c>
      <c r="C32" s="36" t="inlineStr">
        <is>
          <t>Component</t>
        </is>
      </c>
      <c r="D32" s="36" t="inlineStr">
        <is>
          <t>Stable Dialog route and deterministic selectors support repeatable browser and visual checks</t>
        </is>
      </c>
      <c r="E32" s="36" t="inlineStr">
        <is>
          <t>package</t>
        </is>
      </c>
      <c r="F32" s="36" t="inlineStr">
        <is>
          <t>playground</t>
        </is>
      </c>
      <c r="G32" s="36" t="inlineStr">
        <is>
          <t>tests/dialog.spec.ts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46220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DIA-25</t>
        </is>
      </c>
      <c r="B33" s="36" t="inlineStr">
        <is>
          <t>Automated tests</t>
        </is>
      </c>
      <c r="C33" s="36" t="inlineStr">
        <is>
          <t>All parts</t>
        </is>
      </c>
      <c r="D33" s="36" t="inlineStr">
        <is>
          <t>Vitest and Testing Library cover default DOM, native contracts, disabled Root, asChild and render composition, portal container, heading override, sizes, ARIA, close reason, and namespace identity</t>
        </is>
      </c>
      <c r="E33" s="36" t="inlineStr">
        <is>
          <t>package</t>
        </is>
      </c>
      <c r="F33" s="36" t="inlineStr">
        <is>
          <t>test</t>
        </is>
      </c>
      <c r="G33" s="36" t="inlineStr">
        <is>
          <t>../test/components/dialog.test.tsx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DIA-26</t>
        </is>
      </c>
      <c r="B34" s="36" t="inlineStr">
        <is>
          <t>Automated tests</t>
        </is>
      </c>
      <c r="C34" s="36" t="inlineStr">
        <is>
          <t>Namespace</t>
        </is>
      </c>
      <c r="D34" s="36" t="inlineStr">
        <is>
          <t>Public types, declarations, invalid size and flat-call exclusions, root exports, and dialog-subpath fixtures pass</t>
        </is>
      </c>
      <c r="E34" s="36" t="inlineStr">
        <is>
          <t>package</t>
        </is>
      </c>
      <c r="F34" s="36" t="inlineStr">
        <is>
          <t>test</t>
        </is>
      </c>
      <c r="G34" s="36" t="inlineStr">
        <is>
          <t>../test/types/public-api.test.ts</t>
        </is>
      </c>
      <c r="H34" s="36" t="inlineStr">
        <is>
          <t>tested</t>
        </is>
      </c>
      <c r="I34" s="36" t="inlineStr">
        <is>
          <t>no</t>
        </is>
      </c>
      <c r="J34" s="40" t="n">
        <v>46220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DIA-27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Playwright verifies modal anatomy, focus containment and restoration, dismissal, disabled Trigger and Overlay paths, nested cleanup, RTL, and mobile geometry</t>
        </is>
      </c>
      <c r="E35" s="36" t="inlineStr">
        <is>
          <t>package</t>
        </is>
      </c>
      <c r="F35" s="36" t="inlineStr">
        <is>
          <t>test</t>
        </is>
      </c>
      <c r="G35" s="36" t="inlineStr">
        <is>
          <t>tests/dialog.spec.ts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DIA-28</t>
        </is>
      </c>
      <c r="B36" s="36" t="inlineStr">
        <is>
          <t>Automated tests</t>
        </is>
      </c>
      <c r="C36" s="36" t="inlineStr">
        <is>
          <t>Content</t>
        </is>
      </c>
      <c r="D36" s="36" t="inlineStr">
        <is>
          <t>Axe reports no automatically detectable violations for the canonical open Dialog state</t>
        </is>
      </c>
      <c r="E36" s="36" t="inlineStr">
        <is>
          <t>package</t>
        </is>
      </c>
      <c r="F36" s="36" t="inlineStr">
        <is>
          <t>test</t>
        </is>
      </c>
      <c r="G36" s="36" t="inlineStr">
        <is>
          <t>tests/dialog.spec.ts</t>
        </is>
      </c>
      <c r="H36" s="36" t="inlineStr">
        <is>
          <t>tested</t>
        </is>
      </c>
      <c r="I36" s="36" t="inlineStr">
        <is>
          <t>no</t>
        </is>
      </c>
      <c r="J36" s="40" t="n">
        <v>46220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DIA-29</t>
        </is>
      </c>
      <c r="B37" s="36" t="inlineStr">
        <is>
          <t>Automated tests</t>
        </is>
      </c>
      <c r="C37" s="36" t="inlineStr">
        <is>
          <t>All parts</t>
        </is>
      </c>
      <c r="D37" s="36" t="inlineStr">
        <is>
          <t>Four deterministic Chromium visual baselines covering light, dark, mobile RTL, and forced colors are reviewed</t>
        </is>
      </c>
      <c r="E37" s="36" t="inlineStr">
        <is>
          <t>package</t>
        </is>
      </c>
      <c r="F37" s="36" t="inlineStr">
        <is>
          <t>test</t>
        </is>
      </c>
      <c r="G37" s="36" t="inlineStr">
        <is>
          <t>tests/visual.spec.ts</t>
        </is>
      </c>
      <c r="H37" s="36" t="inlineStr">
        <is>
          <t>verified</t>
        </is>
      </c>
      <c r="I37" s="36" t="inlineStr">
        <is>
          <t>yes</t>
        </is>
      </c>
      <c r="J37" s="40" t="n">
        <v>46220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DIA-30</t>
        </is>
      </c>
      <c r="B38" s="36" t="inlineStr">
        <is>
          <t>Automated tests</t>
        </is>
      </c>
      <c r="C38" s="36" t="inlineStr">
        <is>
          <t>All parts</t>
        </is>
      </c>
      <c r="D38" s="36" t="inlineStr">
        <is>
          <t>Chromium, Firefox, WebKit, Pixel, and iPhone Dialog release matrix records 40 passing Dialog checks</t>
        </is>
      </c>
      <c r="E38" s="36" t="inlineStr">
        <is>
          <t>package</t>
        </is>
      </c>
      <c r="F38" s="36" t="inlineStr">
        <is>
          <t>test</t>
        </is>
      </c>
      <c r="G38" s="36" t="inlineStr">
        <is>
          <t>../playwright.config.ts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DIA-31</t>
        </is>
      </c>
      <c r="B39" s="36" t="inlineStr">
        <is>
          <t>Automated tests</t>
        </is>
      </c>
      <c r="C39" s="36" t="inlineStr">
        <is>
          <t>Component</t>
        </is>
      </c>
      <c r="D39" s="36" t="inlineStr">
        <is>
          <t>SSR, package boundary, tarball, and clean React 18 and React 19 consumer verification pass</t>
        </is>
      </c>
      <c r="E39" s="36" t="inlineStr">
        <is>
          <t>package</t>
        </is>
      </c>
      <c r="F39" s="36" t="inlineStr">
        <is>
          <t>test</t>
        </is>
      </c>
      <c r="G39" s="36" t="inlineStr">
        <is>
          <t>../scripts/verify-consumers.mjs</t>
        </is>
      </c>
      <c r="H39" s="36" t="inlineStr">
        <is>
          <t>tested</t>
        </is>
      </c>
      <c r="I39" s="36" t="inlineStr">
        <is>
          <t>no</t>
        </is>
      </c>
      <c r="J39" s="40" t="n">
        <v>46220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DIA-32</t>
        </is>
      </c>
      <c r="B40" s="36" t="inlineStr">
        <is>
          <t>Manual evidence</t>
        </is>
      </c>
      <c r="C40" s="36" t="inlineStr">
        <is>
          <t>Component</t>
        </is>
      </c>
      <c r="D40" s="36" t="inlineStr">
        <is>
          <t>Numbered nine-step Dialog manual-test protocol is complete</t>
        </is>
      </c>
      <c r="E40" s="36" t="inlineStr">
        <is>
          <t>package</t>
        </is>
      </c>
      <c r="F40" s="36" t="inlineStr">
        <is>
          <t>manual</t>
        </is>
      </c>
      <c r="G40" s="36" t="inlineStr">
        <is>
          <t>manual-tests/dialog.md</t>
        </is>
      </c>
      <c r="H40" s="36" t="inlineStr">
        <is>
          <t>tested</t>
        </is>
      </c>
      <c r="I40" s="36" t="inlineStr">
        <is>
          <t>no</t>
        </is>
      </c>
      <c r="J40" s="40" t="n">
        <v>46220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DIA-33</t>
        </is>
      </c>
      <c r="B41" s="36" t="inlineStr">
        <is>
          <t>Manual evidence</t>
        </is>
      </c>
      <c r="C41" s="36" t="inlineStr">
        <is>
          <t>All parts</t>
        </is>
      </c>
      <c r="D41" s="36" t="inlineStr">
        <is>
          <t>Latest owner run passes after nested isolation, portalled RTL direction, and direction-neutral centering findings were corrected and retested</t>
        </is>
      </c>
      <c r="E41" s="36" t="inlineStr">
        <is>
          <t>package</t>
        </is>
      </c>
      <c r="F41" s="36" t="inlineStr">
        <is>
          <t>manual</t>
        </is>
      </c>
      <c r="G41" s="36" t="inlineStr">
        <is>
          <t>manual-tests/dialog.md</t>
        </is>
      </c>
      <c r="H41" s="36" t="inlineStr">
        <is>
          <t>verified</t>
        </is>
      </c>
      <c r="I41" s="36" t="inlineStr">
        <is>
          <t>yes</t>
        </is>
      </c>
      <c r="J41" s="40" t="n">
        <v>46220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DIA-34</t>
        </is>
      </c>
      <c r="B42" s="36" t="inlineStr">
        <is>
          <t>Documentation</t>
        </is>
      </c>
      <c r="C42" s="36" t="inlineStr">
        <is>
          <t>Component</t>
        </is>
      </c>
      <c r="D42" s="36" t="inlineStr">
        <is>
          <t>Public Dialog documentation follows the standard template and covers use boundaries, anatomy, API, states, accessibility, responsive behavior, portals, Branch, tokens, composition, and customization</t>
        </is>
      </c>
      <c r="E42" s="36" t="inlineStr">
        <is>
          <t>package</t>
        </is>
      </c>
      <c r="F42" s="36" t="inlineStr">
        <is>
          <t>docs</t>
        </is>
      </c>
      <c r="G42" s="36" t="inlineStr">
        <is>
          <t>../docs/components/dialog/README.md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DIA-35</t>
        </is>
      </c>
      <c r="B43" s="36" t="inlineStr">
        <is>
          <t>Documentation</t>
        </is>
      </c>
      <c r="C43" s="36" t="inlineStr">
        <is>
          <t>Component</t>
        </is>
      </c>
      <c r="D43" s="36" t="inlineStr">
        <is>
          <t>Dialog component changelog records the initial contract and post-review evidence corrections</t>
        </is>
      </c>
      <c r="E43" s="36" t="inlineStr">
        <is>
          <t>package</t>
        </is>
      </c>
      <c r="F43" s="36" t="inlineStr">
        <is>
          <t>docs</t>
        </is>
      </c>
      <c r="G43" s="36" t="inlineStr">
        <is>
          <t>../docs/components/dialog/CHANGELOG.md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DIA-36</t>
        </is>
      </c>
      <c r="B44" s="36" t="inlineStr">
        <is>
          <t>Consumer</t>
        </is>
      </c>
      <c r="C44" s="36" t="inlineStr">
        <is>
          <t>Component</t>
        </is>
      </c>
      <c r="D44" s="36" t="inlineStr">
        <is>
          <t>Independent Brick Consumer uses Dialog through public package exports and passes production, interaction, layout, and axe gates</t>
        </is>
      </c>
      <c r="E44" s="36" t="inlineStr">
        <is>
          <t>consumer</t>
        </is>
      </c>
      <c r="F44" s="36" t="inlineStr">
        <is>
          <t>consumer</t>
        </is>
      </c>
      <c r="G44" s="36" t="inlineStr">
        <is>
          <t>../apps/consumer/tests/consumer.spec.ts</t>
        </is>
      </c>
      <c r="H44" s="36" t="inlineStr">
        <is>
          <t>verified</t>
        </is>
      </c>
      <c r="I44" s="36" t="inlineStr">
        <is>
          <t>yes</t>
        </is>
      </c>
      <c r="J44" s="40" t="n">
        <v>46220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/>
    <row r="46"/>
  </sheetData>
  <autoFilter ref="A8:M45"/>
  <mergeCells count="3">
    <mergeCell ref="A2:M2"/>
    <mergeCell ref="A6:M6"/>
    <mergeCell ref="A1:M1"/>
  </mergeCells>
  <conditionalFormatting sqref="H9:H44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4" showDropDown="0" showInputMessage="0" showErrorMessage="0" allowBlank="0" type="list" errorStyle="stop" operator="between">
      <formula1>_Lists!$A$1:$A$7</formula1>
      <formula2>0</formula2>
    </dataValidation>
    <dataValidation sqref="I9:I44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sheetData>
    <row r="1" ht="15" customHeight="1" s="22">
      <c r="A1" s="21" t="inlineStr">
        <is>
          <t>not started</t>
        </is>
      </c>
      <c r="B1" s="21" t="inlineStr">
        <is>
          <t>yes</t>
        </is>
      </c>
    </row>
    <row r="2" ht="15" customHeight="1" s="22">
      <c r="A2" s="21" t="inlineStr">
        <is>
          <t>partial</t>
        </is>
      </c>
      <c r="B2" s="21" t="inlineStr">
        <is>
          <t>no</t>
        </is>
      </c>
    </row>
    <row r="3" ht="15" customHeight="1" s="22">
      <c r="A3" s="21" t="inlineStr">
        <is>
          <t>implemented</t>
        </is>
      </c>
    </row>
    <row r="4" ht="15" customHeight="1" s="22">
      <c r="A4" s="21" t="inlineStr">
        <is>
          <t>tested</t>
        </is>
      </c>
    </row>
    <row r="5" ht="15" customHeight="1" s="22">
      <c r="A5" s="21" t="inlineStr">
        <is>
          <t>verified</t>
        </is>
      </c>
    </row>
    <row r="6" ht="15" customHeight="1" s="22">
      <c r="A6" s="21" t="inlineStr">
        <is>
          <t>blocked</t>
        </is>
      </c>
    </row>
    <row r="7" ht="15" customHeight="1" s="22">
      <c r="A7" s="21" t="inlineStr">
        <is>
          <t>not applicable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AlertDialog Evidence Matrix</t>
        </is>
      </c>
    </row>
    <row r="2" ht="33.75" customHeight="1" s="22">
      <c r="A2" s="24" t="inlineStr">
        <is>
          <t>Evidence gates for the adopted AlertDialog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ALD-01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directly composes public Atom 0.3.2 AlertDialog behavior without local headless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../src/components/alert-dialog/AlertDialog.tsx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ALD-02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Adopted capability audit covers alert semantics, required message, safe Cancel focus, modal layers, portals, isolation, scrolling, presence, and dismissal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../../docs/alert-dialog-component-brief.md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ALD-03</t>
        </is>
      </c>
      <c r="B11" s="36" t="inlineStr">
        <is>
          <t>Public API</t>
        </is>
      </c>
      <c r="C11" s="36" t="inlineStr">
        <is>
          <t>Namespace</t>
        </is>
      </c>
      <c r="D11" s="36" t="inlineStr">
        <is>
          <t>Root and alert-dialog-subpath namespaces, direct part exports, declarations, and closed prop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ALD-04</t>
        </is>
      </c>
      <c r="B12" s="36" t="inlineStr">
        <is>
          <t>Anatomy</t>
        </is>
      </c>
      <c r="C12" s="36" t="inlineStr">
        <is>
          <t>Root</t>
        </is>
      </c>
      <c r="D12" s="36" t="inlineStr">
        <is>
          <t>Atom owns controlled and uncontrolled state, Escape policy, disabled state, close reasons, and modal ownership; Brick forwards the public contract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../test/components/alert-dialog.test.tsx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ALD-05</t>
        </is>
      </c>
      <c r="B13" s="36" t="inlineStr">
        <is>
          <t>Anatomy</t>
        </is>
      </c>
      <c r="C13" s="36" t="inlineStr">
        <is>
          <t>Trigger</t>
        </is>
      </c>
      <c r="D13" s="36" t="inlineStr">
        <is>
          <t>Trigger preserves disabled state, native props, ref, stable Brick hooks, and representative Atom asChild and render composition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../test/components/alert-dialog.test.tsx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ALD-06</t>
        </is>
      </c>
      <c r="B14" s="36" t="inlineStr">
        <is>
          <t>Anatomy</t>
        </is>
      </c>
      <c r="C14" s="36" t="inlineStr">
        <is>
          <t>Portal</t>
        </is>
      </c>
      <c r="D14" s="36" t="inlineStr">
        <is>
          <t>Portal preserves default body, inline disabled, and custom-container composition without copying behavior into Brick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../test/components/alert-dialog.test.tsx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ALD-07</t>
        </is>
      </c>
      <c r="B15" s="36" t="inlineStr">
        <is>
          <t>Anatomy</t>
        </is>
      </c>
      <c r="C15" s="36" t="inlineStr">
        <is>
          <t>Overlay</t>
        </is>
      </c>
      <c r="D15" s="36" t="inlineStr">
        <is>
          <t>Overlay remains a sibling of Content, exposes the semantic scrim, never dismisses, and exposes no redundant disabled prop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tests/alert-dialog.spec.ts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ALD-08</t>
        </is>
      </c>
      <c r="B16" s="36" t="inlineStr">
        <is>
          <t>Anatomy</t>
        </is>
      </c>
      <c r="C16" s="36" t="inlineStr">
        <is>
          <t>Content</t>
        </is>
      </c>
      <c r="D16" s="36" t="inlineStr">
        <is>
          <t>Alertdialog semantics, ARIA ownership, focus scope, native props, ref, stable hooks, and sm/md sizes follow the adopted contract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../test/components/alert-dialog.test.tsx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ALD-09</t>
        </is>
      </c>
      <c r="B17" s="36" t="inlineStr">
        <is>
          <t>Anatomy</t>
        </is>
      </c>
      <c r="C17" s="36" t="inlineStr">
        <is>
          <t>Header</t>
        </is>
      </c>
      <c r="D17" s="36" t="inlineStr">
        <is>
          <t>Header renders one native visual region for Title and required alert message without generated behavior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../test/components/alert-dialog.test.tsx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ALD-10</t>
        </is>
      </c>
      <c r="B18" s="36" t="inlineStr">
        <is>
          <t>Anatomy</t>
        </is>
      </c>
      <c r="C18" s="36" t="inlineStr">
        <is>
          <t>Title</t>
        </is>
      </c>
      <c r="D18" s="36" t="inlineStr">
        <is>
          <t>Visible accessible naming, the default h2, and a representative h1 override preserve Atom ARIA relationships and heading forwarding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../test/components/alert-dialog.test.tsx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ALD-11</t>
        </is>
      </c>
      <c r="B19" s="36" t="inlineStr">
        <is>
          <t>Anatomy</t>
        </is>
      </c>
      <c r="C19" s="36" t="inlineStr">
        <is>
          <t>Description</t>
        </is>
      </c>
      <c r="D19" s="36" t="inlineStr">
        <is>
          <t>Description supplies the required alert message and generated accessible description without inventing copy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../test/components/alert-dialog.test.tsx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ALD-12</t>
        </is>
      </c>
      <c r="B20" s="36" t="inlineStr">
        <is>
          <t>Anatomy</t>
        </is>
      </c>
      <c r="C20" s="36" t="inlineStr">
        <is>
          <t>Body</t>
        </is>
      </c>
      <c r="D20" s="36" t="inlineStr">
        <is>
          <t>Optional supplemental detail uses a bounded scroll region while the alert message and responses remain reachable</t>
        </is>
      </c>
      <c r="E20" s="36" t="inlineStr">
        <is>
          <t>package</t>
        </is>
      </c>
      <c r="F20" s="36" t="inlineStr">
        <is>
          <t>manual</t>
        </is>
      </c>
      <c r="G20" s="37" t="inlineStr">
        <is>
          <t>manual-tests/alert-dialog.md</t>
        </is>
      </c>
      <c r="H20" s="36" t="inlineStr">
        <is>
          <t>verified</t>
        </is>
      </c>
      <c r="I20" s="36" t="inlineStr">
        <is>
          <t>yes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ALD-13</t>
        </is>
      </c>
      <c r="B21" s="36" t="inlineStr">
        <is>
          <t>Anatomy</t>
        </is>
      </c>
      <c r="C21" s="36" t="inlineStr">
        <is>
          <t>Footer</t>
        </is>
      </c>
      <c r="D21" s="36" t="inlineStr">
        <is>
          <t>Consumer-selected responses preserve source order, wrap logically, and remain reachable at narrow and keyboard-constrained heights</t>
        </is>
      </c>
      <c r="E21" s="36" t="inlineStr">
        <is>
          <t>package</t>
        </is>
      </c>
      <c r="F21" s="36" t="inlineStr">
        <is>
          <t>manual</t>
        </is>
      </c>
      <c r="G21" s="37" t="inlineStr">
        <is>
          <t>manual-tests/alert-dialog.md</t>
        </is>
      </c>
      <c r="H21" s="36" t="inlineStr">
        <is>
          <t>verified</t>
        </is>
      </c>
      <c r="I21" s="36" t="inlineStr">
        <is>
          <t>yes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ALD-14</t>
        </is>
      </c>
      <c r="B22" s="36" t="inlineStr">
        <is>
          <t>Anatomy</t>
        </is>
      </c>
      <c r="C22" s="36" t="inlineStr">
        <is>
          <t>Cancel</t>
        </is>
      </c>
      <c r="D22" s="36" t="inlineStr">
        <is>
          <t>Cancel preserves native props, ref, stable hooks, composition, cancel close reason, safe initial focus, and restoration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../test/components/alert-dialog.test.tsx + tests/alert-dialog.spec.ts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ALD-15</t>
        </is>
      </c>
      <c r="B23" s="36" t="inlineStr">
        <is>
          <t>Anatomy</t>
        </is>
      </c>
      <c r="C23" s="36" t="inlineStr">
        <is>
          <t>Action</t>
        </is>
      </c>
      <c r="D23" s="36" t="inlineStr">
        <is>
          <t>Action preserves native props, ref, stable hooks, composition, action close reason, and preventDefault closure control without owning application work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../test/components/alert-dialog.test.tsx + tests/alert-dialog.spec.ts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ALD-16</t>
        </is>
      </c>
      <c r="B24" s="36" t="inlineStr">
        <is>
          <t>Visual system</t>
        </is>
      </c>
      <c r="C24" s="36" t="inlineStr">
        <is>
          <t>All parts</t>
        </is>
      </c>
      <c r="D24" s="36" t="inlineStr">
        <is>
          <t>Compiled CSS uses public Brick classes, component tokens, layers, logical properties, semantic colors, and direction-neutral centering</t>
        </is>
      </c>
      <c r="E24" s="36" t="inlineStr">
        <is>
          <t>package</t>
        </is>
      </c>
      <c r="F24" s="36" t="inlineStr">
        <is>
          <t>source</t>
        </is>
      </c>
      <c r="G24" s="37" t="inlineStr">
        <is>
          <t>../src/components/alert-dialog/alert-dialog.css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ALD-17</t>
        </is>
      </c>
      <c r="B25" s="36" t="inlineStr">
        <is>
          <t>Visual system</t>
        </is>
      </c>
      <c r="C25" s="36" t="inlineStr">
        <is>
          <t>Content</t>
        </is>
      </c>
      <c r="D25" s="36" t="inlineStr">
        <is>
          <t>Overlay, surface, border, elevation, spacing, two sizes, focus, and reduced-motion treatment are visually coherent</t>
        </is>
      </c>
      <c r="E25" s="36" t="inlineStr">
        <is>
          <t>package</t>
        </is>
      </c>
      <c r="F25" s="36" t="inlineStr">
        <is>
          <t>manual</t>
        </is>
      </c>
      <c r="G25" s="37" t="inlineStr">
        <is>
          <t>manual-tests/alert-dialog.md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46222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ALD-18</t>
        </is>
      </c>
      <c r="B26" s="36" t="inlineStr">
        <is>
          <t>Playground</t>
        </is>
      </c>
      <c r="C26" s="36" t="inlineStr">
        <is>
          <t>All parts</t>
        </is>
      </c>
      <c r="D26" s="36" t="inlineStr">
        <is>
          <t>The nine-section deterministic workbench uses public AlertDialog anatomy and explicit Brick Button composition</t>
        </is>
      </c>
      <c r="E26" s="36" t="inlineStr">
        <is>
          <t>package</t>
        </is>
      </c>
      <c r="F26" s="36" t="inlineStr">
        <is>
          <t>playground</t>
        </is>
      </c>
      <c r="G26" s="37" t="inlineStr">
        <is>
          <t>../playground/src/main.tsx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ALD-19</t>
        </is>
      </c>
      <c r="B27" s="36" t="inlineStr">
        <is>
          <t>Playground</t>
        </is>
      </c>
      <c r="C27" s="36" t="inlineStr">
        <is>
          <t>Component</t>
        </is>
      </c>
      <c r="D27" s="36" t="inlineStr">
        <is>
          <t>Overview, sizes, anatomy, outcomes, disabled and pending state, nesting, scoped appearance, customization, long content, and RTL are represented</t>
        </is>
      </c>
      <c r="E27" s="36" t="inlineStr">
        <is>
          <t>package</t>
        </is>
      </c>
      <c r="F27" s="36" t="inlineStr">
        <is>
          <t>playground</t>
        </is>
      </c>
      <c r="G27" s="37" t="inlineStr">
        <is>
          <t>tests/alert-dialog.spec.ts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ALD-20</t>
        </is>
      </c>
      <c r="B28" s="36" t="inlineStr">
        <is>
          <t>Playground</t>
        </is>
      </c>
      <c r="C28" s="36" t="inlineStr">
        <is>
          <t>Content</t>
        </is>
      </c>
      <c r="D28" s="36" t="inlineStr">
        <is>
          <t>Mobile-first constrained and intentional wide layouts preserve viewport gaps, bounded height, Body scrolling, and reachable responses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tests/alert-dialog.spec.ts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ALD-21</t>
        </is>
      </c>
      <c r="B29" s="36" t="inlineStr">
        <is>
          <t>Playground</t>
        </is>
      </c>
      <c r="C29" s="36" t="inlineStr">
        <is>
          <t>All parts</t>
        </is>
      </c>
      <c r="D29" s="36" t="inlineStr">
        <is>
          <t>Light, dark, scoped appearance, forced colors, and reduced motion retain hierarchy, boundaries, and focus visibility</t>
        </is>
      </c>
      <c r="E29" s="36" t="inlineStr">
        <is>
          <t>package</t>
        </is>
      </c>
      <c r="F29" s="36" t="inlineStr">
        <is>
          <t>manual</t>
        </is>
      </c>
      <c r="G29" s="37" t="inlineStr">
        <is>
          <t>manual-tests/alert-dialog.md</t>
        </is>
      </c>
      <c r="H29" s="36" t="inlineStr">
        <is>
          <t>verified</t>
        </is>
      </c>
      <c r="I29" s="36" t="inlineStr">
        <is>
          <t>yes</t>
        </is>
      </c>
      <c r="J29" s="40" t="n">
        <v>46222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ALD-22</t>
        </is>
      </c>
      <c r="B30" s="36" t="inlineStr">
        <is>
          <t>Playground</t>
        </is>
      </c>
      <c r="C30" s="36" t="inlineStr">
        <is>
          <t>All parts</t>
        </is>
      </c>
      <c r="D30" s="36" t="inlineStr">
        <is>
          <t>Long content, unbroken text, localization, 200 and 400 percent zoom, narrow widths, and RTL remain contained and readable</t>
        </is>
      </c>
      <c r="E30" s="36" t="inlineStr">
        <is>
          <t>package</t>
        </is>
      </c>
      <c r="F30" s="36" t="inlineStr">
        <is>
          <t>manual</t>
        </is>
      </c>
      <c r="G30" s="37" t="inlineStr">
        <is>
          <t>manual-tests/alert-dialog.md</t>
        </is>
      </c>
      <c r="H30" s="36" t="inlineStr">
        <is>
          <t>verified</t>
        </is>
      </c>
      <c r="I30" s="36" t="inlineStr">
        <is>
          <t>yes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ALD-23</t>
        </is>
      </c>
      <c r="B31" s="36" t="inlineStr">
        <is>
          <t>Playground</t>
        </is>
      </c>
      <c r="C31" s="36" t="inlineStr">
        <is>
          <t>All parts</t>
        </is>
      </c>
      <c r="D31" s="36" t="inlineStr">
        <is>
          <t>Public tokens, stable classes, style, data attributes, and overridable part slots remain local and inspectable</t>
        </is>
      </c>
      <c r="E31" s="36" t="inlineStr">
        <is>
          <t>package</t>
        </is>
      </c>
      <c r="F31" s="36" t="inlineStr">
        <is>
          <t>manual</t>
        </is>
      </c>
      <c r="G31" s="37" t="inlineStr">
        <is>
          <t>manual-tests/alert-dialog.md</t>
        </is>
      </c>
      <c r="H31" s="36" t="inlineStr">
        <is>
          <t>verified</t>
        </is>
      </c>
      <c r="I31" s="36" t="inlineStr">
        <is>
          <t>yes</t>
        </is>
      </c>
      <c r="J31" s="40" t="n">
        <v>46222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ALD-24</t>
        </is>
      </c>
      <c r="B32" s="36" t="inlineStr">
        <is>
          <t>Playground</t>
        </is>
      </c>
      <c r="C32" s="36" t="inlineStr">
        <is>
          <t>Component</t>
        </is>
      </c>
      <c r="D32" s="36" t="inlineStr">
        <is>
          <t>Stable AlertDialog route and deterministic selectors support repeatable browser and visual checks</t>
        </is>
      </c>
      <c r="E32" s="36" t="inlineStr">
        <is>
          <t>package</t>
        </is>
      </c>
      <c r="F32" s="36" t="inlineStr">
        <is>
          <t>playground</t>
        </is>
      </c>
      <c r="G32" s="37" t="inlineStr">
        <is>
          <t>tests/alert-dialog.spec.ts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ALD-25</t>
        </is>
      </c>
      <c r="B33" s="36" t="inlineStr">
        <is>
          <t>Automated tests</t>
        </is>
      </c>
      <c r="C33" s="36" t="inlineStr">
        <is>
          <t>All parts</t>
        </is>
      </c>
      <c r="D33" s="36" t="inlineStr">
        <is>
          <t>Vitest covers default DOM, ARIA, native contracts, disabled native and composed Triggers, sizes, close reasons, autofocus, composition, refs, portal container, heading override, prevention, and namespace identity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../test/components/alert-dialog.test.tsx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ALD-26</t>
        </is>
      </c>
      <c r="B34" s="36" t="inlineStr">
        <is>
          <t>Automated tests</t>
        </is>
      </c>
      <c r="C34" s="36" t="inlineStr">
        <is>
          <t>Namespace</t>
        </is>
      </c>
      <c r="D34" s="36" t="inlineStr">
        <is>
          <t>Public types, declarations, invalid size, callable API, backdrop prop, and Overlay-disabled exclusions plus root/subpath fixtures pass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../test/types/public-api.test.ts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ALD-27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Playwright verifies alert anatomy, Cancel focus, focus restoration, explicit outcomes, Escape policy, and blocked backdrop dismissal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tests/alert-dialog.spec.ts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ALD-28</t>
        </is>
      </c>
      <c r="B36" s="36" t="inlineStr">
        <is>
          <t>Automated tests</t>
        </is>
      </c>
      <c r="C36" s="36" t="inlineStr">
        <is>
          <t>Trigger and Action</t>
        </is>
      </c>
      <c r="D36" s="36" t="inlineStr">
        <is>
          <t>Playwright verifies disabled pointer/keyboard opening and prevented Action closure with application-owned pending feedback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tests/alert-dialog.spec.ts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ALD-29</t>
        </is>
      </c>
      <c r="B37" s="36" t="inlineStr">
        <is>
          <t>Automated tests</t>
        </is>
      </c>
      <c r="C37" s="36" t="inlineStr">
        <is>
          <t>Component</t>
        </is>
      </c>
      <c r="D37" s="36" t="inlineStr">
        <is>
          <t>Nested AlertDialog cleanup returns focus and control to its parent Dialog and leaves the application operable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tests/alert-dialog.spec.ts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ALD-30</t>
        </is>
      </c>
      <c r="B38" s="36" t="inlineStr">
        <is>
          <t>Automated tests</t>
        </is>
      </c>
      <c r="C38" s="36" t="inlineStr">
        <is>
          <t>Content</t>
        </is>
      </c>
      <c r="D38" s="36" t="inlineStr">
        <is>
          <t>Axe reports no automatically detectable violations for the canonical open AlertDialog state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tests/alert-dialog.spec.ts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ALD-31</t>
        </is>
      </c>
      <c r="B39" s="36" t="inlineStr">
        <is>
          <t>Automated tests</t>
        </is>
      </c>
      <c r="C39" s="36" t="inlineStr">
        <is>
          <t>All parts</t>
        </is>
      </c>
      <c r="D39" s="36" t="inlineStr">
        <is>
          <t>Four deterministic Chromium visual baselines covering light, dark, mobile RTL, and forced colors are reviewed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ALD-32</t>
        </is>
      </c>
      <c r="B40" s="36" t="inlineStr">
        <is>
          <t>Automated tests</t>
        </is>
      </c>
      <c r="C40" s="36" t="inlineStr">
        <is>
          <t>All parts</t>
        </is>
      </c>
      <c r="D40" s="36" t="inlineStr">
        <is>
          <t>Chromium, Firefox, WebKit, Pixel, and iPhone AlertDialog release matrix passes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ALD-33</t>
        </is>
      </c>
      <c r="B41" s="36" t="inlineStr">
        <is>
          <t>Automated tests</t>
        </is>
      </c>
      <c r="C41" s="36" t="inlineStr">
        <is>
          <t>Component</t>
        </is>
      </c>
      <c r="D41" s="36" t="inlineStr">
        <is>
          <t>Package boundary, tarball, and clean React 18 and React 19 consumer verification include AlertDialog</t>
        </is>
      </c>
      <c r="E41" s="36" t="inlineStr">
        <is>
          <t>package</t>
        </is>
      </c>
      <c r="F41" s="36" t="inlineStr">
        <is>
          <t>test</t>
        </is>
      </c>
      <c r="G41" s="37" t="inlineStr">
        <is>
          <t>../scripts/verify-consumers.mjs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ALD-34</t>
        </is>
      </c>
      <c r="B42" s="36" t="inlineStr">
        <is>
          <t>Manual evidence</t>
        </is>
      </c>
      <c r="C42" s="36" t="inlineStr">
        <is>
          <t>Component</t>
        </is>
      </c>
      <c r="D42" s="36" t="inlineStr">
        <is>
          <t>Numbered nine-step AlertDialog manual-test protocol exists with assertion-specific owner checks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manual-tests/alert-dialog.md</t>
        </is>
      </c>
      <c r="H42" s="36" t="inlineStr">
        <is>
          <t>tested</t>
        </is>
      </c>
      <c r="I42" s="36" t="inlineStr">
        <is>
          <t>no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ALD-35</t>
        </is>
      </c>
      <c r="B43" s="36" t="inlineStr">
        <is>
          <t>Manual evidence</t>
        </is>
      </c>
      <c r="C43" s="36" t="inlineStr">
        <is>
          <t>All parts</t>
        </is>
      </c>
      <c r="D43" s="36" t="inlineStr">
        <is>
          <t>Latest owner run passes visual, keyboard, touch, nesting, real-phone, preference, reflow, RTL, screen-reader, and customization review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manual-tests/alert-dialog.md</t>
        </is>
      </c>
      <c r="H43" s="36" t="inlineStr">
        <is>
          <t>verified</t>
        </is>
      </c>
      <c r="I43" s="36" t="inlineStr">
        <is>
          <t>yes</t>
        </is>
      </c>
      <c r="J43" s="40" t="n">
        <v>46222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ALD-36</t>
        </is>
      </c>
      <c r="B44" s="36" t="inlineStr">
        <is>
          <t>Documentation</t>
        </is>
      </c>
      <c r="C44" s="36" t="inlineStr">
        <is>
          <t>Component</t>
        </is>
      </c>
      <c r="D44" s="36" t="inlineStr">
        <is>
          <t>Public AlertDialog guide covers use boundaries, anatomy, API, required message, focus, dismissal, async prevention, nesting, responsiveness, tokens, composition, and customization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../docs/components/alert-dialog/README.md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ALD-37</t>
        </is>
      </c>
      <c r="B45" s="36" t="inlineStr">
        <is>
          <t>Documentation</t>
        </is>
      </c>
      <c r="C45" s="36" t="inlineStr">
        <is>
          <t>Component</t>
        </is>
      </c>
      <c r="D45" s="36" t="inlineStr">
        <is>
          <t>AlertDialog component and package changelogs record the initial contract and evidence</t>
        </is>
      </c>
      <c r="E45" s="36" t="inlineStr">
        <is>
          <t>package</t>
        </is>
      </c>
      <c r="F45" s="36" t="inlineStr">
        <is>
          <t>docs</t>
        </is>
      </c>
      <c r="G45" s="37" t="inlineStr">
        <is>
          <t>../docs/components/alert-dialog/CHANGELOG.md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ALD-38</t>
        </is>
      </c>
      <c r="B46" s="36" t="inlineStr">
        <is>
          <t>Consumer</t>
        </is>
      </c>
      <c r="C46" s="36" t="inlineStr">
        <is>
          <t>Component</t>
        </is>
      </c>
      <c r="D46" s="36" t="inlineStr">
        <is>
          <t>Independent Brick Consumer uses the public AlertDialog subpath and passes production, boundary, interaction, layout, desktop/mobile, and axe gates</t>
        </is>
      </c>
      <c r="E46" s="36" t="inlineStr">
        <is>
          <t>consumer</t>
        </is>
      </c>
      <c r="F46" s="36" t="inlineStr">
        <is>
          <t>consumer</t>
        </is>
      </c>
      <c r="G46" s="37" t="inlineStr">
        <is>
          <t>../apps/consumer/tests/consumer.spec.ts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autoFilter ref="A8:M47"/>
  <mergeCells count="3">
    <mergeCell ref="A2:M2"/>
    <mergeCell ref="A6:M6"/>
    <mergeCell ref="A1:M1"/>
  </mergeCells>
  <conditionalFormatting sqref="H9:H46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6" showDropDown="0" showInputMessage="0" showErrorMessage="0" allowBlank="0" type="list" errorStyle="stop" operator="between">
      <formula1>_Lists!$A$1:$A$7</formula1>
      <formula2>0</formula2>
    </dataValidation>
    <dataValidation sqref="I9:I46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Drawer Evidence Matrix</t>
        </is>
      </c>
    </row>
    <row r="2" ht="33.75" customHeight="1" s="22">
      <c r="A2" s="24" t="inlineStr">
        <is>
          <t>Evidence gates for the adopted Drawer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DRA-01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directly composes public Atom 0.6.7 Drawer behavior and Modal.Branch without local headless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../src/components/drawer/Drawer.tsx</t>
        </is>
      </c>
      <c r="H9" s="36" t="inlineStr">
        <is>
          <t>tested</t>
        </is>
      </c>
      <c r="I9" s="36" t="inlineStr">
        <is>
          <t>no</t>
        </is>
      </c>
      <c r="J9" s="40" t="n">
        <v>46224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DRA-02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Owner-approved capability audit covers modal state, keyboard, pointer, touch activation, focus, dismissal, portals, isolation, scrolling, presence, direction, and constrained viewports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../../docs/drawer-component-brief.md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DRA-03</t>
        </is>
      </c>
      <c r="B11" s="36" t="inlineStr">
        <is>
          <t>Boundary</t>
        </is>
      </c>
      <c r="C11" s="36" t="inlineStr">
        <is>
          <t>Component</t>
        </is>
      </c>
      <c r="D11" s="36" t="inlineStr">
        <is>
          <t>Swipe, drag, snap, handle, and gesture behavior are excluded from this release and the named Gesture Drawer / Bottom Sheet audit is tracked before a gesture surface is selected</t>
        </is>
      </c>
      <c r="E11" s="36" t="inlineStr">
        <is>
          <t>package</t>
        </is>
      </c>
      <c r="F11" s="36" t="inlineStr">
        <is>
          <t>decision</t>
        </is>
      </c>
      <c r="G11" s="37" t="inlineStr">
        <is>
          <t>../../TODO.md</t>
        </is>
      </c>
      <c r="H11" s="36" t="inlineStr">
        <is>
          <t>verified</t>
        </is>
      </c>
      <c r="I11" s="36" t="inlineStr">
        <is>
          <t>yes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DRA-04</t>
        </is>
      </c>
      <c r="B12" s="36" t="inlineStr">
        <is>
          <t>Public API</t>
        </is>
      </c>
      <c r="C12" s="36" t="inlineStr">
        <is>
          <t>Namespace</t>
        </is>
      </c>
      <c r="D12" s="36" t="inlineStr">
        <is>
          <t>Root and drawer-subpath namespaces, direct part exports, declarations, logical placement, and closed size unions match the adopted brief</t>
        </is>
      </c>
      <c r="E12" s="36" t="inlineStr">
        <is>
          <t>package</t>
        </is>
      </c>
      <c r="F12" s="36" t="inlineStr">
        <is>
          <t>types</t>
        </is>
      </c>
      <c r="G12" s="37" t="inlineStr">
        <is>
          <t>../test/types/public-api.test.ts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DRA-05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Atom owns controlled/uncontrolled state, Escape/backdrop policy, disabled state, close reasons, modal layers, and cleanup; Brick forwards the public contract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../test/components/drawer.test.tsx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DRA-06</t>
        </is>
      </c>
      <c r="B14" s="36" t="inlineStr">
        <is>
          <t>Anatomy</t>
        </is>
      </c>
      <c r="C14" s="36" t="inlineStr">
        <is>
          <t>Trigger</t>
        </is>
      </c>
      <c r="D14" s="36" t="inlineStr">
        <is>
          <t>Trigger preserves disabled state, native props, ref, stable hooks, and representative Atom asChild and render composition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../test/components/drawer.test.tsx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DRA-07</t>
        </is>
      </c>
      <c r="B15" s="36" t="inlineStr">
        <is>
          <t>Anatomy</t>
        </is>
      </c>
      <c r="C15" s="36" t="inlineStr">
        <is>
          <t>Portal</t>
        </is>
      </c>
      <c r="D15" s="36" t="inlineStr">
        <is>
          <t>Portal preserves body, inline, and custom-container composition without copying behavior into Brick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../test/components/drawer.test.tsx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DRA-08</t>
        </is>
      </c>
      <c r="B16" s="36" t="inlineStr">
        <is>
          <t>Anatomy</t>
        </is>
      </c>
      <c r="C16" s="36" t="inlineStr">
        <is>
          <t>Overlay</t>
        </is>
      </c>
      <c r="D16" s="36" t="inlineStr">
        <is>
          <t>Visible Overlay preserves class/slot/ref/native props and enabled/disabled exact-target dismissal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tests/drawer.spec.ts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DRA-09</t>
        </is>
      </c>
      <c r="B17" s="36" t="inlineStr">
        <is>
          <t>Anatomy</t>
        </is>
      </c>
      <c r="C17" s="36" t="inlineStr">
        <is>
          <t>Content</t>
        </is>
      </c>
      <c r="D17" s="36" t="inlineStr">
        <is>
          <t>Content preserves dialog semantics, accessible-name fallback, refs and native props while adding only placement, size, class, slot, and visual data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../test/components/drawer.test.tsx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DRA-10</t>
        </is>
      </c>
      <c r="B18" s="36" t="inlineStr">
        <is>
          <t>Anatomy</t>
        </is>
      </c>
      <c r="C18" s="36" t="inlineStr">
        <is>
          <t>Header</t>
        </is>
      </c>
      <c r="D18" s="36" t="inlineStr">
        <is>
          <t>Header is one optional native visual region with stable class/slot and no generated semantic structure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../test/components/drawer.test.tsx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DRA-11</t>
        </is>
      </c>
      <c r="B19" s="36" t="inlineStr">
        <is>
          <t>Anatomy</t>
        </is>
      </c>
      <c r="C19" s="36" t="inlineStr">
        <is>
          <t>Title</t>
        </is>
      </c>
      <c r="D19" s="36" t="inlineStr">
        <is>
          <t>Title preserves Atom registration, generated accessible naming, heading-level forwarding, ref, and visual hooks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../test/components/drawer.test.tsx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DRA-12</t>
        </is>
      </c>
      <c r="B20" s="36" t="inlineStr">
        <is>
          <t>Anatomy</t>
        </is>
      </c>
      <c r="C20" s="36" t="inlineStr">
        <is>
          <t>Description</t>
        </is>
      </c>
      <c r="D20" s="36" t="inlineStr">
        <is>
          <t>Description preserves Atom registration and the optional generated accessible description while forwarding native props and ref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../test/components/drawer.test.tsx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DRA-13</t>
        </is>
      </c>
      <c r="B21" s="36" t="inlineStr">
        <is>
          <t>Anatomy</t>
        </is>
      </c>
      <c r="C21" s="36" t="inlineStr">
        <is>
          <t>Body</t>
        </is>
      </c>
      <c r="D21" s="36" t="inlineStr">
        <is>
          <t>Body is the flexible independently scrollable native region and keeps long mobile content contained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tests/drawer.spec.ts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DRA-14</t>
        </is>
      </c>
      <c r="B22" s="36" t="inlineStr">
        <is>
          <t>Anatomy</t>
        </is>
      </c>
      <c r="C22" s="36" t="inlineStr">
        <is>
          <t>Footer</t>
        </is>
      </c>
      <c r="D22" s="36" t="inlineStr">
        <is>
          <t>Footer is a native wrapping action region in logical source order and stays reachable with long content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tests/drawer.spec.ts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DRA-15</t>
        </is>
      </c>
      <c r="B23" s="36" t="inlineStr">
        <is>
          <t>Anatomy</t>
        </is>
      </c>
      <c r="C23" s="36" t="inlineStr">
        <is>
          <t>Close</t>
        </is>
      </c>
      <c r="D23" s="36" t="inlineStr">
        <is>
          <t>Close preserves close reason, native props, ref, stable hooks, and representative asChild/render composition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../test/components/drawer.test.tsx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DRA-16</t>
        </is>
      </c>
      <c r="B24" s="36" t="inlineStr">
        <is>
          <t>Anatomy</t>
        </is>
      </c>
      <c r="C24" s="36" t="inlineStr">
        <is>
          <t>Branch</t>
        </is>
      </c>
      <c r="D24" s="36" t="inlineStr">
        <is>
          <t>Branch preserves Atom registration, render composition, ref, and stable Drawer hooks for a body-portalled composite surface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tests/drawer.spec.ts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DRA-17</t>
        </is>
      </c>
      <c r="B25" s="36" t="inlineStr">
        <is>
          <t>Visual system</t>
        </is>
      </c>
      <c r="C25" s="36" t="inlineStr">
        <is>
          <t>Content</t>
        </is>
      </c>
      <c r="D25" s="36" t="inlineStr">
        <is>
          <t>Logical start, end, top, and bottom placement attach to the correct edge and remain viewport-bound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tests/drawer.spec.ts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DRA-18</t>
        </is>
      </c>
      <c r="B26" s="36" t="inlineStr">
        <is>
          <t>Visual system</t>
        </is>
      </c>
      <c r="C26" s="36" t="inlineStr">
        <is>
          <t>Content</t>
        </is>
      </c>
      <c r="D26" s="36" t="inlineStr">
        <is>
          <t>Small, medium, large, and full size recipes are closed, directional, and exposed through public CSS variables</t>
        </is>
      </c>
      <c r="E26" s="36" t="inlineStr">
        <is>
          <t>package</t>
        </is>
      </c>
      <c r="F26" s="36" t="inlineStr">
        <is>
          <t>test</t>
        </is>
      </c>
      <c r="G26" s="37" t="inlineStr">
        <is>
          <t>../test/components/drawer.test.tsx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DRA-19</t>
        </is>
      </c>
      <c r="B27" s="36" t="inlineStr">
        <is>
          <t>Visual system</t>
        </is>
      </c>
      <c r="C27" s="36" t="inlineStr">
        <is>
          <t>Content</t>
        </is>
      </c>
      <c r="D27" s="36" t="inlineStr">
        <is>
          <t>Mobile side sizes remain strictly ordered; non-full sizes preserve Overlay context and only full occupies the viewport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tests/drawer.spec.ts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DRA-20</t>
        </is>
      </c>
      <c r="B28" s="36" t="inlineStr">
        <is>
          <t>Visual system</t>
        </is>
      </c>
      <c r="C28" s="36" t="inlineStr">
        <is>
          <t>All parts</t>
        </is>
      </c>
      <c r="D28" s="36" t="inlineStr">
        <is>
          <t>Compiled CSS uses public classes, component tokens, logical properties, elevated surface hierarchy, and safe-area-aware edge treatment</t>
        </is>
      </c>
      <c r="E28" s="36" t="inlineStr">
        <is>
          <t>package</t>
        </is>
      </c>
      <c r="F28" s="36" t="inlineStr">
        <is>
          <t>visual</t>
        </is>
      </c>
      <c r="G28" s="37" t="inlineStr">
        <is>
          <t>tests/visual.spec.ts</t>
        </is>
      </c>
      <c r="H28" s="36" t="inlineStr">
        <is>
          <t>verified</t>
        </is>
      </c>
      <c r="I28" s="36" t="inlineStr">
        <is>
          <t>yes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DRA-21</t>
        </is>
      </c>
      <c r="B29" s="36" t="inlineStr">
        <is>
          <t>Visual system</t>
        </is>
      </c>
      <c r="C29" s="36" t="inlineStr">
        <is>
          <t>All parts</t>
        </is>
      </c>
      <c r="D29" s="36" t="inlineStr">
        <is>
          <t>Light and dark Drawer surfaces retain readable hierarchy, controls, scrim, and edge separation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tests/visual.spec.ts</t>
        </is>
      </c>
      <c r="H29" s="36" t="inlineStr">
        <is>
          <t>verified</t>
        </is>
      </c>
      <c r="I29" s="36" t="inlineStr">
        <is>
          <t>yes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DRA-22</t>
        </is>
      </c>
      <c r="B30" s="36" t="inlineStr">
        <is>
          <t>Visual system</t>
        </is>
      </c>
      <c r="C30" s="36" t="inlineStr">
        <is>
          <t>Content</t>
        </is>
      </c>
      <c r="D30" s="36" t="inlineStr">
        <is>
          <t>RTL start resolves to the physical right with direction-correct title, body, footer, radius, shadow, and entrance</t>
        </is>
      </c>
      <c r="E30" s="36" t="inlineStr">
        <is>
          <t>package</t>
        </is>
      </c>
      <c r="F30" s="36" t="inlineStr">
        <is>
          <t>test</t>
        </is>
      </c>
      <c r="G30" s="37" t="inlineStr">
        <is>
          <t>tests/drawer.spec.ts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DRA-23</t>
        </is>
      </c>
      <c r="B31" s="36" t="inlineStr">
        <is>
          <t>Visual system</t>
        </is>
      </c>
      <c r="C31" s="36" t="inlineStr">
        <is>
          <t>All parts</t>
        </is>
      </c>
      <c r="D31" s="36" t="inlineStr">
        <is>
          <t>Reduced-motion baselines remove travel and forced colors retain a system boundary and operable controls</t>
        </is>
      </c>
      <c r="E31" s="36" t="inlineStr">
        <is>
          <t>package</t>
        </is>
      </c>
      <c r="F31" s="36" t="inlineStr">
        <is>
          <t>visual</t>
        </is>
      </c>
      <c r="G31" s="37" t="inlineStr">
        <is>
          <t>tests/visual.spec.ts</t>
        </is>
      </c>
      <c r="H31" s="36" t="inlineStr">
        <is>
          <t>verified</t>
        </is>
      </c>
      <c r="I31" s="36" t="inlineStr">
        <is>
          <t>yes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DRA-24</t>
        </is>
      </c>
      <c r="B32" s="36" t="inlineStr">
        <is>
          <t>Visual system</t>
        </is>
      </c>
      <c r="C32" s="36" t="inlineStr">
        <is>
          <t>Content</t>
        </is>
      </c>
      <c r="D32" s="36" t="inlineStr">
        <is>
          <t>Public tokens, class, style, slot, scoped appearance, and inline Portal customization remain local and inspectable</t>
        </is>
      </c>
      <c r="E32" s="36" t="inlineStr">
        <is>
          <t>package</t>
        </is>
      </c>
      <c r="F32" s="36" t="inlineStr">
        <is>
          <t>playground</t>
        </is>
      </c>
      <c r="G32" s="37" t="inlineStr">
        <is>
          <t>../playground/src/main.tsx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DRA-25</t>
        </is>
      </c>
      <c r="B33" s="36" t="inlineStr">
        <is>
          <t>Playground</t>
        </is>
      </c>
      <c r="C33" s="36" t="inlineStr">
        <is>
          <t>All parts</t>
        </is>
      </c>
      <c r="D33" s="36" t="inlineStr">
        <is>
          <t>The /drawer workbench exposes overview, anatomy, placements, sizes, state, appearance, responsive, customization, stress, and evidence scenarios</t>
        </is>
      </c>
      <c r="E33" s="36" t="inlineStr">
        <is>
          <t>package</t>
        </is>
      </c>
      <c r="F33" s="36" t="inlineStr">
        <is>
          <t>playground</t>
        </is>
      </c>
      <c r="G33" s="37" t="inlineStr">
        <is>
          <t>../playground/src/main.tsx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DRA-26</t>
        </is>
      </c>
      <c r="B34" s="36" t="inlineStr">
        <is>
          <t>Playground</t>
        </is>
      </c>
      <c r="C34" s="36" t="inlineStr">
        <is>
          <t>All parts</t>
        </is>
      </c>
      <c r="D34" s="36" t="inlineStr">
        <is>
          <t>Nested modal, portalled Branch, long content, RTL, mobile, dismissal, disabled Trigger, and full-viewport cases are deterministic</t>
        </is>
      </c>
      <c r="E34" s="36" t="inlineStr">
        <is>
          <t>package</t>
        </is>
      </c>
      <c r="F34" s="36" t="inlineStr">
        <is>
          <t>playground</t>
        </is>
      </c>
      <c r="G34" s="37" t="inlineStr">
        <is>
          <t>../playground/src/main.tsx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DRA-27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Vitest and Testing Library adapter tests cover defaults, anatomy, props, refs, composition, disabled behavior, Portal, heading, placements, sizes, and exports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../test/components/drawer.test.tsx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DRA-28</t>
        </is>
      </c>
      <c r="B36" s="36" t="inlineStr">
        <is>
          <t>Automated tests</t>
        </is>
      </c>
      <c r="C36" s="36" t="inlineStr">
        <is>
          <t>Namespace</t>
        </is>
      </c>
      <c r="D36" s="36" t="inlineStr">
        <is>
          <t>Public root/subpath types accept supported native and Atom props and reject physical placement, invalid sizes, and callable Drawer</t>
        </is>
      </c>
      <c r="E36" s="36" t="inlineStr">
        <is>
          <t>package</t>
        </is>
      </c>
      <c r="F36" s="36" t="inlineStr">
        <is>
          <t>types</t>
        </is>
      </c>
      <c r="G36" s="37" t="inlineStr">
        <is>
          <t>../test/types/public-api.test.ts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DRA-29</t>
        </is>
      </c>
      <c r="B37" s="36" t="inlineStr">
        <is>
          <t>Automated tests</t>
        </is>
      </c>
      <c r="C37" s="36" t="inlineStr">
        <is>
          <t>Component</t>
        </is>
      </c>
      <c r="D37" s="36" t="inlineStr">
        <is>
          <t>Node boundary/export/CSS tests, strict typecheck, build, and 100% component-source coverage pass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../test/package/package.test.mjs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DRA-30</t>
        </is>
      </c>
      <c r="B38" s="36" t="inlineStr">
        <is>
          <t>Automated tests</t>
        </is>
      </c>
      <c r="C38" s="36" t="inlineStr">
        <is>
          <t>Component</t>
        </is>
      </c>
      <c r="D38" s="36" t="inlineStr">
        <is>
          <t>Chromium, Firefox, WebKit, Pixel, and iPhone Drawer interaction matrix passes, including focused RTL travel and extreme-height reflow coverage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tests/drawer.spec.ts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DRA-31</t>
        </is>
      </c>
      <c r="B39" s="36" t="inlineStr">
        <is>
          <t>Automated tests</t>
        </is>
      </c>
      <c r="C39" s="36" t="inlineStr">
        <is>
          <t>Content</t>
        </is>
      </c>
      <c r="D39" s="36" t="inlineStr">
        <is>
          <t>Canonical open Drawer and Consumer workflow have no automated axe violations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tests/drawer.spec.ts</t>
        </is>
      </c>
      <c r="H39" s="36" t="inlineStr">
        <is>
          <t>tested</t>
        </is>
      </c>
      <c r="I39" s="36" t="inlineStr">
        <is>
          <t>no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DRA-32</t>
        </is>
      </c>
      <c r="B40" s="36" t="inlineStr">
        <is>
          <t>Automated tests</t>
        </is>
      </c>
      <c r="C40" s="36" t="inlineStr">
        <is>
          <t>All parts</t>
        </is>
      </c>
      <c r="D40" s="36" t="inlineStr">
        <is>
          <t>Five Chromium visual baselines are recorded and reviewed for light, dark, mobile RTL, full mobile, and forced colors</t>
        </is>
      </c>
      <c r="E40" s="36" t="inlineStr">
        <is>
          <t>package</t>
        </is>
      </c>
      <c r="F40" s="36" t="inlineStr">
        <is>
          <t>visual</t>
        </is>
      </c>
      <c r="G40" s="37" t="inlineStr">
        <is>
          <t>tests/visual.spec.ts</t>
        </is>
      </c>
      <c r="H40" s="36" t="inlineStr">
        <is>
          <t>verified</t>
        </is>
      </c>
      <c r="I40" s="36" t="inlineStr">
        <is>
          <t>yes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DRA-33</t>
        </is>
      </c>
      <c r="B41" s="36" t="inlineStr">
        <is>
          <t>Automated tests</t>
        </is>
      </c>
      <c r="C41" s="36" t="inlineStr">
        <is>
          <t>Component</t>
        </is>
      </c>
      <c r="D41" s="36" t="inlineStr">
        <is>
          <t>Dry-run pack, CSS size report, and clean React 18/19 tarball consumers verify published files and imports</t>
        </is>
      </c>
      <c r="E41" s="36" t="inlineStr">
        <is>
          <t>package</t>
        </is>
      </c>
      <c r="F41" s="36" t="inlineStr">
        <is>
          <t>package</t>
        </is>
      </c>
      <c r="G41" s="37" t="inlineStr">
        <is>
          <t>../scripts/verify-consumers.mjs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DRA-34</t>
        </is>
      </c>
      <c r="B42" s="36" t="inlineStr">
        <is>
          <t>Manual evidence</t>
        </is>
      </c>
      <c r="C42" s="36" t="inlineStr">
        <is>
          <t>Component</t>
        </is>
      </c>
      <c r="D42" s="36" t="inlineStr">
        <is>
          <t>Numbered Drawer manual-test protocol covers human visual, keyboard, touch, phone, zoom, VoiceOver, direction, preferences, Branch, and customization judgment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manual-tests/drawer.md</t>
        </is>
      </c>
      <c r="H42" s="36" t="inlineStr">
        <is>
          <t>tested</t>
        </is>
      </c>
      <c r="I42" s="36" t="inlineStr">
        <is>
          <t>no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DRA-35</t>
        </is>
      </c>
      <c r="B43" s="36" t="inlineStr">
        <is>
          <t>Manual evidence</t>
        </is>
      </c>
      <c r="C43" s="36" t="inlineStr">
        <is>
          <t>Component</t>
        </is>
      </c>
      <c r="D43" s="36" t="inlineStr">
        <is>
          <t>Latest owner manual run records every numbered result and corrects any finding before package completion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manual-tests/drawer.md</t>
        </is>
      </c>
      <c r="H43" s="36" t="inlineStr">
        <is>
          <t>partial</t>
        </is>
      </c>
      <c r="I43" s="36" t="inlineStr">
        <is>
          <t>yes</t>
        </is>
      </c>
      <c r="J43" s="40" t="n">
        <v>46224</v>
      </c>
      <c r="K43" s="36" t="inlineStr">
        <is>
          <t>Owner run completed: eight steps pass. Exact Atom 0.6.7 root-overflow modal scroll-lock patch is installed; physical iPhone/iPad Safari confirmation remains pending.</t>
        </is>
      </c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DRA-36</t>
        </is>
      </c>
      <c r="B44" s="36" t="inlineStr">
        <is>
          <t>Documentation</t>
        </is>
      </c>
      <c r="C44" s="36" t="inlineStr">
        <is>
          <t>Component</t>
        </is>
      </c>
      <c r="D44" s="36" t="inlineStr">
        <is>
          <t>Public Drawer guide covers role, imports, anatomy, API, placement, mobile sizes, tokens, responsive behavior, accessibility, composition, and gesture exclusion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../docs/components/drawer/README.md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DRA-37</t>
        </is>
      </c>
      <c r="B45" s="36" t="inlineStr">
        <is>
          <t>Documentation</t>
        </is>
      </c>
      <c r="C45" s="36" t="inlineStr">
        <is>
          <t>Component</t>
        </is>
      </c>
      <c r="D45" s="36" t="inlineStr">
        <is>
          <t>Drawer and package changelogs record the public component, mobile sizing, evidence, and named gesture follow-up</t>
        </is>
      </c>
      <c r="E45" s="36" t="inlineStr">
        <is>
          <t>package</t>
        </is>
      </c>
      <c r="F45" s="36" t="inlineStr">
        <is>
          <t>docs</t>
        </is>
      </c>
      <c r="G45" s="37" t="inlineStr">
        <is>
          <t>../docs/components/drawer/CHANGELOG.md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DRA-38</t>
        </is>
      </c>
      <c r="B46" s="36" t="inlineStr">
        <is>
          <t>Consumer</t>
        </is>
      </c>
      <c r="C46" s="36" t="inlineStr">
        <is>
          <t>Component</t>
        </is>
      </c>
      <c r="D46" s="36" t="inlineStr">
        <is>
          <t>Independent Consumer composes a public-subpath project-filter workflow and passes boundary, production, desktop/mobile interaction, layout, focus, and axe gates</t>
        </is>
      </c>
      <c r="E46" s="36" t="inlineStr">
        <is>
          <t>consumer</t>
        </is>
      </c>
      <c r="F46" s="36" t="inlineStr">
        <is>
          <t>consumer</t>
        </is>
      </c>
      <c r="G46" s="37" t="inlineStr">
        <is>
          <t>../apps/consumer/tests/consumer.spec.ts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autoFilter ref="A8:M47"/>
  <mergeCells count="3">
    <mergeCell ref="A2:M2"/>
    <mergeCell ref="A6:M6"/>
    <mergeCell ref="A1:M1"/>
  </mergeCells>
  <conditionalFormatting sqref="H9:H46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6" showDropDown="0" showInputMessage="0" showErrorMessage="0" allowBlank="0" type="list" errorStyle="stop" operator="between">
      <formula1>_Lists!$A$1:$A$7</formula1>
      <formula2>0</formula2>
    </dataValidation>
    <dataValidation sqref="I9:I46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Badge Evidence Matrix</t>
        </is>
      </c>
    </row>
    <row r="2" ht="33.75" customHeight="1" s="22">
      <c r="A2" s="24" t="inlineStr">
        <is>
          <t>Evidence gates for the adopted Badge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BAD-01</t>
        </is>
      </c>
      <c r="B9" s="36" t="inlineStr">
        <is>
          <t>Public API</t>
        </is>
      </c>
      <c r="C9" s="36" t="inlineStr">
        <is>
          <t>Badge</t>
        </is>
      </c>
      <c r="D9" s="36" t="inlineStr">
        <is>
          <t>Badge directly composes the public Atom 0.3.3 Badge subpath without framework, or local behavior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../src/components/badge/Badge.tsx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BAD-02</t>
        </is>
      </c>
      <c r="B10" s="36" t="inlineStr">
        <is>
          <t>Boundary</t>
        </is>
      </c>
      <c r="C10" s="36" t="inlineStr">
        <is>
          <t>Family</t>
        </is>
      </c>
      <c r="D10" s="36" t="inlineStr">
        <is>
          <t>Owner-approved Atom audit and released 0.3.3 server-safety patch cover semantic span output, native forwarding, ref, composition, and slots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../../docs/badge-component-brief.md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BAD-03</t>
        </is>
      </c>
      <c r="B11" s="36" t="inlineStr">
        <is>
          <t>Public API</t>
        </is>
      </c>
      <c r="C11" s="36" t="inlineStr">
        <is>
          <t>Family</t>
        </is>
      </c>
      <c r="D11" s="36" t="inlineStr">
        <is>
          <t>Root and badge-subpath exports, declarations, required children, and all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BAD-04</t>
        </is>
      </c>
      <c r="B12" s="36" t="inlineStr">
        <is>
          <t>Anatomy</t>
        </is>
      </c>
      <c r="C12" s="36" t="inlineStr">
        <is>
          <t>Badge</t>
        </is>
      </c>
      <c r="D12" s="36" t="inlineStr">
        <is>
          <t>Default passive span emits stable class/slot plus soft, neutral, medium, and rounded metadata without invented role, state, or focus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../test/components/badge.test.tsx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BAD-05</t>
        </is>
      </c>
      <c r="B13" s="36" t="inlineStr">
        <is>
          <t>Visual system</t>
        </is>
      </c>
      <c r="C13" s="36" t="inlineStr">
        <is>
          <t>Badge</t>
        </is>
      </c>
      <c r="D13" s="36" t="inlineStr">
        <is>
          <t>Soft, solid, and outline variants; six tones; three sizes; and rounded/pill shapes are complete and reject arbitrary color/radius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../test/components/badge.test.tsx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BAD-06</t>
        </is>
      </c>
      <c r="B14" s="36" t="inlineStr">
        <is>
          <t>Public API</t>
        </is>
      </c>
      <c r="C14" s="36" t="inlineStr">
        <is>
          <t>Badge</t>
        </is>
      </c>
      <c r="D14" s="36" t="inlineStr">
        <is>
          <t>Children, native props/events, class, style, ref, slot override, asChild, and render composition preserve Atom ownership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../test/components/badge.test.tsx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BAD-07</t>
        </is>
      </c>
      <c r="B15" s="36" t="inlineStr">
        <is>
          <t>Accessibility</t>
        </is>
      </c>
      <c r="C15" s="36" t="inlineStr">
        <is>
          <t>Badge</t>
        </is>
      </c>
      <c r="D15" s="36" t="inlineStr">
        <is>
          <t>Passive Badge adds no role, live region, tab stop, disabled, selected, removable, or interactive behavior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../test/components/badge.test.tsx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BAD-08</t>
        </is>
      </c>
      <c r="B16" s="36" t="inlineStr">
        <is>
          <t>Anatomy</t>
        </is>
      </c>
      <c r="C16" s="36" t="inlineStr">
        <is>
          <t>NotificationBadge</t>
        </is>
      </c>
      <c r="D16" s="36" t="inlineStr">
        <is>
          <t>Wrapper requires one React element child and emits stable wrapper/indicator slots without mutating child semantics</t>
        </is>
      </c>
      <c r="E16" s="36" t="inlineStr">
        <is>
          <t>package</t>
        </is>
      </c>
      <c r="F16" s="36" t="inlineStr">
        <is>
          <t>types</t>
        </is>
      </c>
      <c r="G16" s="37" t="inlineStr">
        <is>
          <t>../test/types/public-api.test.ts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BAD-09</t>
        </is>
      </c>
      <c r="B17" s="36" t="inlineStr">
        <is>
          <t>Formatting</t>
        </is>
      </c>
      <c r="C17" s="36" t="inlineStr">
        <is>
          <t>NotificationBadge</t>
        </is>
      </c>
      <c r="D17" s="36" t="inlineStr">
        <is>
          <t>Count formatting covers one-digit circles, multi-digit pills, configurable maximum, and overflow labels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../test/components/badge.test.tsx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BAD-10</t>
        </is>
      </c>
      <c r="B18" s="36" t="inlineStr">
        <is>
          <t>Formatting</t>
        </is>
      </c>
      <c r="C18" s="36" t="inlineStr">
        <is>
          <t>NotificationBadge</t>
        </is>
      </c>
      <c r="D18" s="36" t="inlineStr">
        <is>
          <t>Dot, showZero, zero suppression, and invisible state preserve layout while controlling indicator visibility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../test/components/badge.test.tsx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BAD-11</t>
        </is>
      </c>
      <c r="B19" s="36" t="inlineStr">
        <is>
          <t>Geometry</t>
        </is>
      </c>
      <c r="C19" s="36" t="inlineStr">
        <is>
          <t>NotificationBadge</t>
        </is>
      </c>
      <c r="D19" s="36" t="inlineStr">
        <is>
          <t>Four logical placements, circular/rectangular overlap, and three indicator sizes emit closed metadata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../test/components/badge.test.tsx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BAD-12</t>
        </is>
      </c>
      <c r="B20" s="36" t="inlineStr">
        <is>
          <t>Accessibility</t>
        </is>
      </c>
      <c r="C20" s="36" t="inlineStr">
        <is>
          <t>NotificationBadge</t>
        </is>
      </c>
      <c r="D20" s="36" t="inlineStr">
        <is>
          <t>Indicator is aria-hidden and pointer-inert; owning content retains the full localized count/status name without automatic live announcements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tests/badge.spec.ts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BAD-13</t>
        </is>
      </c>
      <c r="B21" s="36" t="inlineStr">
        <is>
          <t>Visual system</t>
        </is>
      </c>
      <c r="C21" s="36" t="inlineStr">
        <is>
          <t>Family</t>
        </is>
      </c>
      <c r="D21" s="36" t="inlineStr">
        <is>
          <t>Compiled layered CSS uses Brick classes, semantic tokens, logical properties, and public component variables without global leakage</t>
        </is>
      </c>
      <c r="E21" s="36" t="inlineStr">
        <is>
          <t>package</t>
        </is>
      </c>
      <c r="F21" s="36" t="inlineStr">
        <is>
          <t>source</t>
        </is>
      </c>
      <c r="G21" s="37" t="inlineStr">
        <is>
          <t>../src/components/badge/badge.css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BAD-14</t>
        </is>
      </c>
      <c r="B22" s="36" t="inlineStr">
        <is>
          <t>Visual system</t>
        </is>
      </c>
      <c r="C22" s="36" t="inlineStr">
        <is>
          <t>Family</t>
        </is>
      </c>
      <c r="D22" s="36" t="inlineStr">
        <is>
          <t>Reviewed light and dark matrices preserve tone, variant, inline hierarchy, count, dot, and anchor geometry</t>
        </is>
      </c>
      <c r="E22" s="36" t="inlineStr">
        <is>
          <t>package</t>
        </is>
      </c>
      <c r="F22" s="36" t="inlineStr">
        <is>
          <t>visual</t>
        </is>
      </c>
      <c r="G22" s="37" t="inlineStr">
        <is>
          <t>tests/visual.spec.ts</t>
        </is>
      </c>
      <c r="H22" s="36" t="inlineStr">
        <is>
          <t>verified</t>
        </is>
      </c>
      <c r="I22" s="36" t="inlineStr">
        <is>
          <t>yes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BAD-15</t>
        </is>
      </c>
      <c r="B23" s="36" t="inlineStr">
        <is>
          <t>Visual system</t>
        </is>
      </c>
      <c r="C23" s="36" t="inlineStr">
        <is>
          <t>Family</t>
        </is>
      </c>
      <c r="D23" s="36" t="inlineStr">
        <is>
          <t>Forced-colors emulation preserves explicit system boundaries for inline and attached indicators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tests/badge.spec.ts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BAD-16</t>
        </is>
      </c>
      <c r="B24" s="36" t="inlineStr">
        <is>
          <t>Visual system</t>
        </is>
      </c>
      <c r="C24" s="36" t="inlineStr">
        <is>
          <t>NotificationBadge</t>
        </is>
      </c>
      <c r="D24" s="36" t="inlineStr">
        <is>
          <t>Logical start/end placement mirrors in RTL without physical-position props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tests/badge.spec.ts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BAD-17</t>
        </is>
      </c>
      <c r="B25" s="36" t="inlineStr">
        <is>
          <t>Visual system</t>
        </is>
      </c>
      <c r="C25" s="36" t="inlineStr">
        <is>
          <t>Family</t>
        </is>
      </c>
      <c r="D25" s="36" t="inlineStr">
        <is>
          <t>Constrained, localized, mixed-direction, long-token, and inline-baseline scenarios stay contained without document overflow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tests/badge.spec.ts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BAD-18</t>
        </is>
      </c>
      <c r="B26" s="36" t="inlineStr">
        <is>
          <t>Interaction boundary</t>
        </is>
      </c>
      <c r="C26" s="36" t="inlineStr">
        <is>
          <t>NotificationBadge</t>
        </is>
      </c>
      <c r="D26" s="36" t="inlineStr">
        <is>
          <t>Indicator does not intercept pointer input or obscure the anchor focus ring; the owning control preserves at least a 44px target</t>
        </is>
      </c>
      <c r="E26" s="36" t="inlineStr">
        <is>
          <t>package</t>
        </is>
      </c>
      <c r="F26" s="36" t="inlineStr">
        <is>
          <t>test</t>
        </is>
      </c>
      <c r="G26" s="37" t="inlineStr">
        <is>
          <t>tests/badge.spec.ts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BAD-19</t>
        </is>
      </c>
      <c r="B27" s="36" t="inlineStr">
        <is>
          <t>Customization</t>
        </is>
      </c>
      <c r="C27" s="36" t="inlineStr">
        <is>
          <t>Family</t>
        </is>
      </c>
      <c r="D27" s="36" t="inlineStr">
        <is>
          <t>Class, style, slot, scoped appearance, and semantic/component-token overrides remain local and inspectable</t>
        </is>
      </c>
      <c r="E27" s="36" t="inlineStr">
        <is>
          <t>package</t>
        </is>
      </c>
      <c r="F27" s="36" t="inlineStr">
        <is>
          <t>playground</t>
        </is>
      </c>
      <c r="G27" s="37" t="inlineStr">
        <is>
          <t>../playground/src/main.tsx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BAD-20</t>
        </is>
      </c>
      <c r="B28" s="36" t="inlineStr">
        <is>
          <t>Playground</t>
        </is>
      </c>
      <c r="C28" s="36" t="inlineStr">
        <is>
          <t>Family</t>
        </is>
      </c>
      <c r="D28" s="36" t="inlineStr">
        <is>
          <t>The /badge workbench exposes defaults, complete recipes, shapes, sizes, passive-tag routing, and real contexts</t>
        </is>
      </c>
      <c r="E28" s="36" t="inlineStr">
        <is>
          <t>package</t>
        </is>
      </c>
      <c r="F28" s="36" t="inlineStr">
        <is>
          <t>playground</t>
        </is>
      </c>
      <c r="G28" s="37" t="inlineStr">
        <is>
          <t>../playground/src/main.tsx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BAD-21</t>
        </is>
      </c>
      <c r="B29" s="36" t="inlineStr">
        <is>
          <t>Playground</t>
        </is>
      </c>
      <c r="C29" s="36" t="inlineStr">
        <is>
          <t>NotificationBadge</t>
        </is>
      </c>
      <c r="D29" s="36" t="inlineStr">
        <is>
          <t>Counts, dots, maximum, zero, invisible, placements, overlap, icon/navigation/Avatar anchors, and contextual names are deterministic</t>
        </is>
      </c>
      <c r="E29" s="36" t="inlineStr">
        <is>
          <t>package</t>
        </is>
      </c>
      <c r="F29" s="36" t="inlineStr">
        <is>
          <t>playground</t>
        </is>
      </c>
      <c r="G29" s="37" t="inlineStr">
        <is>
          <t>../playground/src/main.tsx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BAD-22</t>
        </is>
      </c>
      <c r="B30" s="36" t="inlineStr">
        <is>
          <t>Playground</t>
        </is>
      </c>
      <c r="C30" s="36" t="inlineStr">
        <is>
          <t>Family</t>
        </is>
      </c>
      <c r="D30" s="36" t="inlineStr">
        <is>
          <t>Light/dark, customization, localization, RTL, constrained width, stress, and forced-colors inspection anchors exist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BAD-23</t>
        </is>
      </c>
      <c r="B31" s="36" t="inlineStr">
        <is>
          <t>Automated tests</t>
        </is>
      </c>
      <c r="C31" s="36" t="inlineStr">
        <is>
          <t>Badge</t>
        </is>
      </c>
      <c r="D31" s="36" t="inlineStr">
        <is>
          <t>Vitest and Testing Library cover defaults, recipes, native props, ref, composition, slots, and passive semantics</t>
        </is>
      </c>
      <c r="E31" s="36" t="inlineStr">
        <is>
          <t>package</t>
        </is>
      </c>
      <c r="F31" s="36" t="inlineStr">
        <is>
          <t>test</t>
        </is>
      </c>
      <c r="G31" s="37" t="inlineStr">
        <is>
          <t>../test/components/badge.test.tsx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BAD-24</t>
        </is>
      </c>
      <c r="B32" s="36" t="inlineStr">
        <is>
          <t>Automated tests</t>
        </is>
      </c>
      <c r="C32" s="36" t="inlineStr">
        <is>
          <t>NotificationBadge</t>
        </is>
      </c>
      <c r="D32" s="36" t="inlineStr">
        <is>
          <t>Vitest covers count/dot union, formatting, visibility, placements, overlap, sizes, arbitrary element targets, and pointer ownership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../test/components/badge.test.tsx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BAD-25</t>
        </is>
      </c>
      <c r="B33" s="36" t="inlineStr">
        <is>
          <t>Automated tests</t>
        </is>
      </c>
      <c r="C33" s="36" t="inlineStr">
        <is>
          <t>Family</t>
        </is>
      </c>
      <c r="D33" s="36" t="inlineStr">
        <is>
          <t>Public root/subpath types accept supported contracts and reject invalid variants, tones, shapes, counts, children, and Chip-like APIs</t>
        </is>
      </c>
      <c r="E33" s="36" t="inlineStr">
        <is>
          <t>package</t>
        </is>
      </c>
      <c r="F33" s="36" t="inlineStr">
        <is>
          <t>types</t>
        </is>
      </c>
      <c r="G33" s="37" t="inlineStr">
        <is>
          <t>../test/types/public-api.test.ts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BAD-26</t>
        </is>
      </c>
      <c r="B34" s="36" t="inlineStr">
        <is>
          <t>Automated tests</t>
        </is>
      </c>
      <c r="C34" s="36" t="inlineStr">
        <is>
          <t>Family</t>
        </is>
      </c>
      <c r="D34" s="36" t="inlineStr">
        <is>
          <t>Node boundary, package export, server markup, stylesheet, declaration, and dry-pack checks include both Badge components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BAD-27</t>
        </is>
      </c>
      <c r="B35" s="36" t="inlineStr">
        <is>
          <t>Automated tests</t>
        </is>
      </c>
      <c r="C35" s="36" t="inlineStr">
        <is>
          <t>Badge</t>
        </is>
      </c>
      <c r="D35" s="36" t="inlineStr">
        <is>
          <t>Explicit Atom Badge subpath remains server-safe and clean React 18/19 packed consumers import, render, and load CSS</t>
        </is>
      </c>
      <c r="E35" s="36" t="inlineStr">
        <is>
          <t>package</t>
        </is>
      </c>
      <c r="F35" s="36" t="inlineStr">
        <is>
          <t>package</t>
        </is>
      </c>
      <c r="G35" s="37" t="inlineStr">
        <is>
          <t>../scripts/verify-consumers.mjs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BAD-28</t>
        </is>
      </c>
      <c r="B36" s="36" t="inlineStr">
        <is>
          <t>Automated tests</t>
        </is>
      </c>
      <c r="C36" s="36" t="inlineStr">
        <is>
          <t>Family</t>
        </is>
      </c>
      <c r="D36" s="36" t="inlineStr">
        <is>
          <t>Strict typecheck, build, CSS report, and 100% Brick component-source coverage pass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../test/components/badge.test.tsx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BAD-29</t>
        </is>
      </c>
      <c r="B37" s="36" t="inlineStr">
        <is>
          <t>Automated tests</t>
        </is>
      </c>
      <c r="C37" s="36" t="inlineStr">
        <is>
          <t>Family</t>
        </is>
      </c>
      <c r="D37" s="36" t="inlineStr">
        <is>
          <t>Browser checks cover recipes, formatting, focus/pointer ownership, RTL, stress, axe, and forced colors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tests/badge.spec.ts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BAD-30</t>
        </is>
      </c>
      <c r="B38" s="36" t="inlineStr">
        <is>
          <t>Automated tests</t>
        </is>
      </c>
      <c r="C38" s="36" t="inlineStr">
        <is>
          <t>Family</t>
        </is>
      </c>
      <c r="D38" s="36" t="inlineStr">
        <is>
          <t>Canonical Badge route has no automatically detectable axe violations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tests/badge.spec.ts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BAD-31</t>
        </is>
      </c>
      <c r="B39" s="36" t="inlineStr">
        <is>
          <t>Automated tests</t>
        </is>
      </c>
      <c r="C39" s="36" t="inlineStr">
        <is>
          <t>Family</t>
        </is>
      </c>
      <c r="D39" s="36" t="inlineStr">
        <is>
          <t>Seven reviewed Chromium baselines cover recipes, dark geometry, inline alignment, localization/RTL, and forced colors</t>
        </is>
      </c>
      <c r="E39" s="36" t="inlineStr">
        <is>
          <t>package</t>
        </is>
      </c>
      <c r="F39" s="36" t="inlineStr">
        <is>
          <t>visual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BAD-32</t>
        </is>
      </c>
      <c r="B40" s="36" t="inlineStr">
        <is>
          <t>Automated tests</t>
        </is>
      </c>
      <c r="C40" s="36" t="inlineStr">
        <is>
          <t>Family</t>
        </is>
      </c>
      <c r="D40" s="36" t="inlineStr">
        <is>
          <t>Chromium, Firefox, WebKit, Pixel, and iPhone Badge release-matrix checks pass where applicable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BAD-33</t>
        </is>
      </c>
      <c r="B41" s="36" t="inlineStr">
        <is>
          <t>Manual evidence</t>
        </is>
      </c>
      <c r="C41" s="36" t="inlineStr">
        <is>
          <t>Family</t>
        </is>
      </c>
      <c r="D41" s="36" t="inlineStr">
        <is>
          <t>Numbered Badge manual protocol covers hierarchy, recipes, zoom, VoiceOver, direction, system colors, touch/focus context,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manual-tests/badge.md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BAD-34</t>
        </is>
      </c>
      <c r="B42" s="36" t="inlineStr">
        <is>
          <t>Manual evidence</t>
        </is>
      </c>
      <c r="C42" s="36" t="inlineStr">
        <is>
          <t>Family</t>
        </is>
      </c>
      <c r="D42" s="36" t="inlineStr">
        <is>
          <t>Latest owner run records every numbered Badge and NotificationBadge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manual-tests/badge.md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BAD-35</t>
        </is>
      </c>
      <c r="B43" s="36" t="inlineStr">
        <is>
          <t>Documentation</t>
        </is>
      </c>
      <c r="C43" s="36" t="inlineStr">
        <is>
          <t>Family</t>
        </is>
      </c>
      <c r="D43" s="36" t="inlineStr">
        <is>
          <t>Public guide covers both roles, use/avoid boundaries, recipes, formatting, accessibility context, composition, responsiveness, and customization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../docs/components/badge/README.md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BAD-36</t>
        </is>
      </c>
      <c r="B44" s="36" t="inlineStr">
        <is>
          <t>Documentation</t>
        </is>
      </c>
      <c r="C44" s="36" t="inlineStr">
        <is>
          <t>Family</t>
        </is>
      </c>
      <c r="D44" s="36" t="inlineStr">
        <is>
          <t>Badge component changelog records the initial public contract, Atom 0.3.3 boundary, and evidence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../docs/components/badge/CHANGELOG.md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BAD-37</t>
        </is>
      </c>
      <c r="B45" s="36" t="inlineStr">
        <is>
          <t>Consumer</t>
        </is>
      </c>
      <c r="C45" s="36" t="inlineStr">
        <is>
          <t>Family</t>
        </is>
      </c>
      <c r="D45" s="36" t="inlineStr">
        <is>
          <t>Independent Consumer uses public Badge and NotificationBadge subpaths and passes production, boundary, desktop/mobile, focus, layout, dark, and axe checks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../apps/consumer/tests/consumer.spec.ts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BAD-39</t>
        </is>
      </c>
      <c r="B46" s="36" t="inlineStr">
        <is>
          <t>Scope</t>
        </is>
      </c>
      <c r="C46" s="36" t="inlineStr">
        <is>
          <t>Chip / Tag</t>
        </is>
      </c>
      <c r="D46" s="36" t="inlineStr">
        <is>
          <t>Generic Chip, removable Tag, actions, and persistent selections remain excluded and route to Badge, Button, or future Toggle/Tag work</t>
        </is>
      </c>
      <c r="E46" s="36" t="inlineStr">
        <is>
          <t>package</t>
        </is>
      </c>
      <c r="F46" s="36" t="inlineStr">
        <is>
          <t>decision</t>
        </is>
      </c>
      <c r="G46" s="37" t="inlineStr">
        <is>
          <t>../../docs/badge-component-brief.md</t>
        </is>
      </c>
      <c r="H46" s="36" t="inlineStr">
        <is>
          <t>verified</t>
        </is>
      </c>
      <c r="I46" s="36" t="inlineStr">
        <is>
          <t>yes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autoFilter ref="A8:M47"/>
  <mergeCells count="3">
    <mergeCell ref="A2:M2"/>
    <mergeCell ref="A6:M6"/>
    <mergeCell ref="A1:M1"/>
  </mergeCells>
  <conditionalFormatting sqref="H9:H46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6" showDropDown="0" showInputMessage="0" showErrorMessage="0" allowBlank="0" type="list" errorStyle="stop" operator="between">
      <formula1>_Lists!$A$1:$A$7</formula1>
      <formula2>0</formula2>
    </dataValidation>
    <dataValidation sqref="I9:I46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Avatar Evidence Matrix</t>
        </is>
      </c>
    </row>
    <row r="2" ht="33.75" customHeight="1" s="22">
      <c r="A2" s="24" t="inlineStr">
        <is>
          <t>Evidence gates for the adopted Avatar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AVA-01</t>
        </is>
      </c>
      <c r="B9" s="36" t="inlineStr">
        <is>
          <t>Public API</t>
        </is>
      </c>
      <c r="C9" s="36" t="inlineStr">
        <is>
          <t>Avatar</t>
        </is>
      </c>
      <c r="D9" s="36" t="inlineStr">
        <is>
          <t>Avatar directly composes the public Atom 0.3.3 Avatar subpath without framework, or local behavior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../src/components/avatar/Avatar.tsx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AVA-02</t>
        </is>
      </c>
      <c r="B10" s="36" t="inlineStr">
        <is>
          <t>Boundary</t>
        </is>
      </c>
      <c r="C10" s="36" t="inlineStr">
        <is>
          <t>Avatar</t>
        </is>
      </c>
      <c r="D10" s="36" t="inlineStr">
        <is>
          <t>Owner-approved capability audit confirms Atom owns loading/error state, source preload, delayed fallback, native image semantics, and status callback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../../docs/avatar-component-brief.md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AVA-03</t>
        </is>
      </c>
      <c r="B11" s="36" t="inlineStr">
        <is>
          <t>Public API</t>
        </is>
      </c>
      <c r="C11" s="36" t="inlineStr">
        <is>
          <t>Avatar</t>
        </is>
      </c>
      <c r="D11" s="36" t="inlineStr">
        <is>
          <t>Root and avatar-subpath exports, declarations, required alt/fallback, optional src, and closed size/shape/status unions match the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AVA-04</t>
        </is>
      </c>
      <c r="B12" s="36" t="inlineStr">
        <is>
          <t>Anatomy</t>
        </is>
      </c>
      <c r="C12" s="36" t="inlineStr">
        <is>
          <t>Root</t>
        </is>
      </c>
      <c r="D12" s="36" t="inlineStr">
        <is>
          <t>Shortest fallback-only render emits a passive span with stable class/slot and md/circle defaults without leaked visual props or root role/tab stop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../test/components/avatar.test.tsx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AVA-05</t>
        </is>
      </c>
      <c r="B13" s="36" t="inlineStr">
        <is>
          <t>Anatomy</t>
        </is>
      </c>
      <c r="C13" s="36" t="inlineStr">
        <is>
          <t>Image</t>
        </is>
      </c>
      <c r="D13" s="36" t="inlineStr">
        <is>
          <t>One source reaches Atom Root and Image; loaded native image preserves src, required alt, crop hook, and mutual exclusion with fallback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../test/components/avatar.test.tsx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AVA-06</t>
        </is>
      </c>
      <c r="B14" s="36" t="inlineStr">
        <is>
          <t>Anatomy</t>
        </is>
      </c>
      <c r="C14" s="36" t="inlineStr">
        <is>
          <t>Fallback</t>
        </is>
      </c>
      <c r="D14" s="36" t="inlineStr">
        <is>
          <t>Informative fallback exposes role img and the full alt label; deliberate empty alt makes loaded and fallback imagery decorative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../test/components/avatar.test.tsx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AVA-07</t>
        </is>
      </c>
      <c r="B15" s="36" t="inlineStr">
        <is>
          <t>Loading</t>
        </is>
      </c>
      <c r="C15" s="36" t="inlineStr">
        <is>
          <t>Avatar</t>
        </is>
      </c>
      <c r="D15" s="36" t="inlineStr">
        <is>
          <t>Successful and failed deterministic sources switch between Image and explicit fallback while preserving the frame and accessible identity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../test/components/avatar.test.tsx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AVA-08</t>
        </is>
      </c>
      <c r="B16" s="36" t="inlineStr">
        <is>
          <t>Loading</t>
        </is>
      </c>
      <c r="C16" s="36" t="inlineStr">
        <is>
          <t>Avatar</t>
        </is>
      </c>
      <c r="D16" s="36" t="inlineStr">
        <is>
          <t>fallbackDelayMs and onLoadingStatusChange remain public Atom-owned inputs; loading and loaded callback states pass through Brick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../test/components/avatar.test.tsx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AVA-09</t>
        </is>
      </c>
      <c r="B17" s="36" t="inlineStr">
        <is>
          <t>Public API</t>
        </is>
      </c>
      <c r="C17" s="36" t="inlineStr">
        <is>
          <t>Root</t>
        </is>
      </c>
      <c r="D17" s="36" t="inlineStr">
        <is>
          <t>Native span attributes, ARIA/data attributes, event, class, style, overridable slot, ReactNode fallback, and HTMLSpanElement ref are preserved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../test/components/avatar.test.tsx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AVA-10</t>
        </is>
      </c>
      <c r="B18" s="36" t="inlineStr">
        <is>
          <t>Visual system</t>
        </is>
      </c>
      <c r="C18" s="36" t="inlineStr">
        <is>
          <t>Avatar</t>
        </is>
      </c>
      <c r="D18" s="36" t="inlineStr">
        <is>
          <t>Five exact square sizes map to 24, 32, 40, 48, and 64 CSS pixels without responsive mutation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tests/avatar.spec.ts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AVA-11</t>
        </is>
      </c>
      <c r="B19" s="36" t="inlineStr">
        <is>
          <t>Visual system</t>
        </is>
      </c>
      <c r="C19" s="36" t="inlineStr">
        <is>
          <t>Avatar</t>
        </is>
      </c>
      <c r="D19" s="36" t="inlineStr">
        <is>
          <t>Circle and rounded shapes are closed recipes; image/fallback clipping and external ring inherit the selected radius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tests/avatar.spec.ts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AVA-12</t>
        </is>
      </c>
      <c r="B20" s="36" t="inlineStr">
        <is>
          <t>Status</t>
        </is>
      </c>
      <c r="C20" s="36" t="inlineStr">
        <is>
          <t>Avatar</t>
        </is>
      </c>
      <c r="D20" s="36" t="inlineStr">
        <is>
          <t>Online, away, busy, and offline map to success, warning, danger, and neutral semantic rings; absent status has no status metadata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tests/avatar.spec.ts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AVA-13</t>
        </is>
      </c>
      <c r="B21" s="36" t="inlineStr">
        <is>
          <t>Status</t>
        </is>
      </c>
      <c r="C21" s="36" t="inlineStr">
        <is>
          <t>Avatar</t>
        </is>
      </c>
      <c r="D21" s="36" t="inlineStr">
        <is>
          <t>Layered external ring follows both shapes without changing 48px test dimensions, adding semantic DOM, or intercepting input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tests/avatar.spec.ts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AVA-14</t>
        </is>
      </c>
      <c r="B22" s="36" t="inlineStr">
        <is>
          <t>Accessibility</t>
        </is>
      </c>
      <c r="C22" s="36" t="inlineStr">
        <is>
          <t>Avatar</t>
        </is>
      </c>
      <c r="D22" s="36" t="inlineStr">
        <is>
          <t>Avatar stays passive; informative/decorative contexts and Avatar inside a named control avoid duplicate focus and speech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tests/avatar.spec.ts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AVA-15</t>
        </is>
      </c>
      <c r="B23" s="36" t="inlineStr">
        <is>
          <t>Accessibility</t>
        </is>
      </c>
      <c r="C23" s="36" t="inlineStr">
        <is>
          <t>Status</t>
        </is>
      </c>
      <c r="D23" s="36" t="inlineStr">
        <is>
          <t>Visible localized text communicates each status; ring color is reinforcement and no automatic live announcement is added</t>
        </is>
      </c>
      <c r="E23" s="36" t="inlineStr">
        <is>
          <t>package</t>
        </is>
      </c>
      <c r="F23" s="36" t="inlineStr">
        <is>
          <t>playground</t>
        </is>
      </c>
      <c r="G23" s="37" t="inlineStr">
        <is>
          <t>../playground/src/main.tsx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AVA-16</t>
        </is>
      </c>
      <c r="B24" s="36" t="inlineStr">
        <is>
          <t>Composition</t>
        </is>
      </c>
      <c r="C24" s="36" t="inlineStr">
        <is>
          <t>NotificationBadge</t>
        </is>
      </c>
      <c r="D24" s="36" t="inlineStr">
        <is>
          <t>NotificationBadge wraps Avatar and a native image; a distinct count/dot coexists without obscuring Avatar status geometry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tests/avatar.spec.ts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AVA-17</t>
        </is>
      </c>
      <c r="B25" s="36" t="inlineStr">
        <is>
          <t>Visual system</t>
        </is>
      </c>
      <c r="C25" s="36" t="inlineStr">
        <is>
          <t>Avatar</t>
        </is>
      </c>
      <c r="D25" s="36" t="inlineStr">
        <is>
          <t>Compiled layered CSS uses Brick classes, semantic tokens, fixed logical geometry, and documented component variables without global leakage</t>
        </is>
      </c>
      <c r="E25" s="36" t="inlineStr">
        <is>
          <t>package</t>
        </is>
      </c>
      <c r="F25" s="36" t="inlineStr">
        <is>
          <t>source</t>
        </is>
      </c>
      <c r="G25" s="37" t="inlineStr">
        <is>
          <t>../src/components/avatar/avatar.css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AVA-18</t>
        </is>
      </c>
      <c r="B26" s="36" t="inlineStr">
        <is>
          <t>Visual system</t>
        </is>
      </c>
      <c r="C26" s="36" t="inlineStr">
        <is>
          <t>Avatar</t>
        </is>
      </c>
      <c r="D26" s="36" t="inlineStr">
        <is>
          <t>Reviewed light/dark fallback, loaded image, shape, status, and NotificationBadge compositions preserve hierarchy</t>
        </is>
      </c>
      <c r="E26" s="36" t="inlineStr">
        <is>
          <t>package</t>
        </is>
      </c>
      <c r="F26" s="36" t="inlineStr">
        <is>
          <t>visual</t>
        </is>
      </c>
      <c r="G26" s="37" t="inlineStr">
        <is>
          <t>tests/visual.spec.ts</t>
        </is>
      </c>
      <c r="H26" s="36" t="inlineStr">
        <is>
          <t>verified</t>
        </is>
      </c>
      <c r="I26" s="36" t="inlineStr">
        <is>
          <t>yes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AVA-19</t>
        </is>
      </c>
      <c r="B27" s="36" t="inlineStr">
        <is>
          <t>Visual system</t>
        </is>
      </c>
      <c r="C27" s="36" t="inlineStr">
        <is>
          <t>Avatar</t>
        </is>
      </c>
      <c r="D27" s="36" t="inlineStr">
        <is>
          <t>Forced-colors emulation preserves an explicit system frame and shape-following status outline while visible text keeps exact meaning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tests/avatar.spec.ts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AVA-20</t>
        </is>
      </c>
      <c r="B28" s="36" t="inlineStr">
        <is>
          <t>Visual system</t>
        </is>
      </c>
      <c r="C28" s="36" t="inlineStr">
        <is>
          <t>Avatar</t>
        </is>
      </c>
      <c r="D28" s="36" t="inlineStr">
        <is>
          <t>Constrained mobile, RTL, non-Latin fallback, and long localized status scenarios remain contained without document overflow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tests/avatar.spec.ts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AVA-21</t>
        </is>
      </c>
      <c r="B29" s="36" t="inlineStr">
        <is>
          <t>Customization</t>
        </is>
      </c>
      <c r="C29" s="36" t="inlineStr">
        <is>
          <t>Avatar</t>
        </is>
      </c>
      <c r="D29" s="36" t="inlineStr">
        <is>
          <t>Root class, style, slot, scoped appearance, and public component-token overrides remain local and inspectable</t>
        </is>
      </c>
      <c r="E29" s="36" t="inlineStr">
        <is>
          <t>package</t>
        </is>
      </c>
      <c r="F29" s="36" t="inlineStr">
        <is>
          <t>playground</t>
        </is>
      </c>
      <c r="G29" s="37" t="inlineStr">
        <is>
          <t>../playground/src/main.tsx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AVA-22</t>
        </is>
      </c>
      <c r="B30" s="36" t="inlineStr">
        <is>
          <t>Playground</t>
        </is>
      </c>
      <c r="C30" s="36" t="inlineStr">
        <is>
          <t>Avatar</t>
        </is>
      </c>
      <c r="D30" s="36" t="inlineStr">
        <is>
          <t>The /avatar workbench exposes overview, all sizes, both shapes, all statuses, and loaded/broken/missing source states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AVA-23</t>
        </is>
      </c>
      <c r="B31" s="36" t="inlineStr">
        <is>
          <t>Playground</t>
        </is>
      </c>
      <c r="C31" s="36" t="inlineStr">
        <is>
          <t>Avatar</t>
        </is>
      </c>
      <c r="D31" s="36" t="inlineStr">
        <is>
          <t>Informative/decorative/control contexts, NotificationBadge/native-image targets, appearance, customization, mobile stress, and RTL are deterministic</t>
        </is>
      </c>
      <c r="E31" s="36" t="inlineStr">
        <is>
          <t>package</t>
        </is>
      </c>
      <c r="F31" s="36" t="inlineStr">
        <is>
          <t>playground</t>
        </is>
      </c>
      <c r="G31" s="37" t="inlineStr">
        <is>
          <t>../playground/src/main.tsx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AVA-24</t>
        </is>
      </c>
      <c r="B32" s="36" t="inlineStr">
        <is>
          <t>Automated tests</t>
        </is>
      </c>
      <c r="C32" s="36" t="inlineStr">
        <is>
          <t>Avatar</t>
        </is>
      </c>
      <c r="D32" s="36" t="inlineStr">
        <is>
          <t>Vitest and Testing Library cover defaults, informative/decorative fallback, loaded/error paths, closed metadata, native props, event, ref, and ReactNode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../test/components/avatar.test.tsx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AVA-25</t>
        </is>
      </c>
      <c r="B33" s="36" t="inlineStr">
        <is>
          <t>Automated tests</t>
        </is>
      </c>
      <c r="C33" s="36" t="inlineStr">
        <is>
          <t>Avatar</t>
        </is>
      </c>
      <c r="D33" s="36" t="inlineStr">
        <is>
          <t>Public root/subpath types require alt/fallback, accept native/loading props, and reject invalid size, shape, status, color, badge, parts, and Group</t>
        </is>
      </c>
      <c r="E33" s="36" t="inlineStr">
        <is>
          <t>package</t>
        </is>
      </c>
      <c r="F33" s="36" t="inlineStr">
        <is>
          <t>types</t>
        </is>
      </c>
      <c r="G33" s="37" t="inlineStr">
        <is>
          <t>../test/types/public-api.test.ts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AVA-26</t>
        </is>
      </c>
      <c r="B34" s="36" t="inlineStr">
        <is>
          <t>Automated tests</t>
        </is>
      </c>
      <c r="C34" s="36" t="inlineStr">
        <is>
          <t>Avatar</t>
        </is>
      </c>
      <c r="D34" s="36" t="inlineStr">
        <is>
          <t>Node boundary/export/CSS/declaration/SSR checks and dry-pack verification include the Avatar subpath and compiled styles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AVA-27</t>
        </is>
      </c>
      <c r="B35" s="36" t="inlineStr">
        <is>
          <t>Automated tests</t>
        </is>
      </c>
      <c r="C35" s="36" t="inlineStr">
        <is>
          <t>Avatar</t>
        </is>
      </c>
      <c r="D35" s="36" t="inlineStr">
        <is>
          <t>Clean React 18/19 packed consumers import root/subpath identity, render informative/decorative SSR fallback, typecheck, and load CSS</t>
        </is>
      </c>
      <c r="E35" s="36" t="inlineStr">
        <is>
          <t>package</t>
        </is>
      </c>
      <c r="F35" s="36" t="inlineStr">
        <is>
          <t>package</t>
        </is>
      </c>
      <c r="G35" s="37" t="inlineStr">
        <is>
          <t>../scripts/verify-consumers.mjs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AVA-28</t>
        </is>
      </c>
      <c r="B36" s="36" t="inlineStr">
        <is>
          <t>Automated tests</t>
        </is>
      </c>
      <c r="C36" s="36" t="inlineStr">
        <is>
          <t>Avatar</t>
        </is>
      </c>
      <c r="D36" s="36" t="inlineStr">
        <is>
          <t>Strict typecheck, build, CSS report, and 100% Brick component-source coverage pass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../test/components/avatar.test.tsx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AVA-29</t>
        </is>
      </c>
      <c r="B37" s="36" t="inlineStr">
        <is>
          <t>Automated tests</t>
        </is>
      </c>
      <c r="C37" s="36" t="inlineStr">
        <is>
          <t>Avatar</t>
        </is>
      </c>
      <c r="D37" s="36" t="inlineStr">
        <is>
          <t>Nine focused browser checks cover default/load, dimensions/shapes, status geometry, source states, semantics, composition, mobile/RTL, axe, and forced colors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tests/avatar.spec.ts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AVA-30</t>
        </is>
      </c>
      <c r="B38" s="36" t="inlineStr">
        <is>
          <t>Automated tests</t>
        </is>
      </c>
      <c r="C38" s="36" t="inlineStr">
        <is>
          <t>Avatar</t>
        </is>
      </c>
      <c r="D38" s="36" t="inlineStr">
        <is>
          <t>Canonical Avatar route has no automatically detectable axe violations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tests/avatar.spec.ts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AVA-31</t>
        </is>
      </c>
      <c r="B39" s="36" t="inlineStr">
        <is>
          <t>Automated tests</t>
        </is>
      </c>
      <c r="C39" s="36" t="inlineStr">
        <is>
          <t>Avatar</t>
        </is>
      </c>
      <c r="D39" s="36" t="inlineStr">
        <is>
          <t>Seven reviewed Chromium baselines cover sizes, shapes, statuses, dark overview/composition, mobile stress/RTL, and forced colors</t>
        </is>
      </c>
      <c r="E39" s="36" t="inlineStr">
        <is>
          <t>package</t>
        </is>
      </c>
      <c r="F39" s="36" t="inlineStr">
        <is>
          <t>visual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AVA-32</t>
        </is>
      </c>
      <c r="B40" s="36" t="inlineStr">
        <is>
          <t>Automated tests</t>
        </is>
      </c>
      <c r="C40" s="36" t="inlineStr">
        <is>
          <t>Avatar</t>
        </is>
      </c>
      <c r="D40" s="36" t="inlineStr">
        <is>
          <t>Chromium, Firefox, WebKit, Pixel, and iPhone Avatar release-matrix checks pass where applicable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AVA-33</t>
        </is>
      </c>
      <c r="B41" s="36" t="inlineStr">
        <is>
          <t>Manual evidence</t>
        </is>
      </c>
      <c r="C41" s="36" t="inlineStr">
        <is>
          <t>Avatar</t>
        </is>
      </c>
      <c r="D41" s="36" t="inlineStr">
        <is>
          <t>Numbered Avatar protocol covers crop, loading, statuses, composition, keyboard/touch context, zoom/mobile/RTL, VoiceOver, preferences,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manual-tests/avatar.md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AVA-34</t>
        </is>
      </c>
      <c r="B42" s="36" t="inlineStr">
        <is>
          <t>Manual evidence</t>
        </is>
      </c>
      <c r="C42" s="36" t="inlineStr">
        <is>
          <t>Avatar</t>
        </is>
      </c>
      <c r="D42" s="36" t="inlineStr">
        <is>
          <t>Latest owner run records every numbered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manual-tests/avatar.md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AVA-35</t>
        </is>
      </c>
      <c r="B43" s="36" t="inlineStr">
        <is>
          <t>Documentation</t>
        </is>
      </c>
      <c r="C43" s="36" t="inlineStr">
        <is>
          <t>Avatar</t>
        </is>
      </c>
      <c r="D43" s="36" t="inlineStr">
        <is>
          <t>Public guide covers use boundaries, explicit alt/fallback, sizes, shapes, status meaning, composition, loading, accessibility, native/ref, and CSS hooks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../docs/components/avatar/README.md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AVA-36</t>
        </is>
      </c>
      <c r="B44" s="36" t="inlineStr">
        <is>
          <t>Documentation</t>
        </is>
      </c>
      <c r="C44" s="36" t="inlineStr">
        <is>
          <t>Avatar</t>
        </is>
      </c>
      <c r="D44" s="36" t="inlineStr">
        <is>
          <t>Avatar component changelog records the initial direct contract, status rings, evidence, and deferred AvatarGroup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../docs/components/avatar/CHANGELOG.md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AVA-37</t>
        </is>
      </c>
      <c r="B45" s="36" t="inlineStr">
        <is>
          <t>Consumer</t>
        </is>
      </c>
      <c r="C45" s="36" t="inlineStr">
        <is>
          <t>Avatar</t>
        </is>
      </c>
      <c r="D45" s="36" t="inlineStr">
        <is>
          <t>Independent Consumer uses the public Avatar subpath for loaded and fallback collaborators, visible statuses, and NotificationBadge composition across desktop/mobile and axe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../apps/consumer/tests/consumer.spec.ts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AVA-39</t>
        </is>
      </c>
      <c r="B46" s="36" t="inlineStr">
        <is>
          <t>Scope</t>
        </is>
      </c>
      <c r="C46" s="36" t="inlineStr">
        <is>
          <t>AvatarGroup</t>
        </is>
      </c>
      <c r="D46" s="36" t="inlineStr">
        <is>
          <t>AvatarGroup remains deliberately excluded until a real grouped-identity workflow defines semantics, order, overflow, hidden members, and Consumer proof</t>
        </is>
      </c>
      <c r="E46" s="36" t="inlineStr">
        <is>
          <t>package</t>
        </is>
      </c>
      <c r="F46" s="36" t="inlineStr">
        <is>
          <t>decision</t>
        </is>
      </c>
      <c r="G46" s="37" t="inlineStr">
        <is>
          <t>../../docs/avatar-component-brief.md</t>
        </is>
      </c>
      <c r="H46" s="36" t="inlineStr">
        <is>
          <t>verified</t>
        </is>
      </c>
      <c r="I46" s="36" t="inlineStr">
        <is>
          <t>yes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autoFilter ref="A8:M47"/>
  <mergeCells count="3">
    <mergeCell ref="A2:M2"/>
    <mergeCell ref="A6:M6"/>
    <mergeCell ref="A1:M1"/>
  </mergeCells>
  <conditionalFormatting sqref="H9:H46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6" showDropDown="0" showInputMessage="0" showErrorMessage="0" allowBlank="0" type="list" errorStyle="stop" operator="between">
      <formula1>_Lists!$A$1:$A$7</formula1>
      <formula2>0</formula2>
    </dataValidation>
    <dataValidation sqref="I9:I46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Toggle Family Evidence Matrix</t>
        </is>
      </c>
    </row>
    <row r="2" ht="33.75" customHeight="1" s="22">
      <c r="A2" s="24" t="inlineStr">
        <is>
          <t>Evidence gates for the adopted Toggle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TOG-01</t>
        </is>
      </c>
      <c r="B9" s="36" t="inlineStr">
        <is>
          <t>Public API</t>
        </is>
      </c>
      <c r="C9" s="36" t="inlineStr">
        <is>
          <t>Toggle</t>
        </is>
      </c>
      <c r="D9" s="36" t="inlineStr">
        <is>
          <t>Toggle directly composes public Atom 0.3.3 Toggle.Root without framework, or local behavior state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../src/components/toggle/Toggle.tsx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TOG-02</t>
        </is>
      </c>
      <c r="B10" s="36" t="inlineStr">
        <is>
          <t>Boundary</t>
        </is>
      </c>
      <c r="C10" s="36" t="inlineStr">
        <is>
          <t>Family</t>
        </is>
      </c>
      <c r="D10" s="36" t="inlineStr">
        <is>
          <t>Owner-approved capability audit confirms Atom owns pressed/value state, activation, disabled semantics, roving focus, orientation, looping, RTL, composition, slots, and refs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../../docs/toggle-component-brief.md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TOG-03</t>
        </is>
      </c>
      <c r="B11" s="36" t="inlineStr">
        <is>
          <t>Public API</t>
        </is>
      </c>
      <c r="C11" s="36" t="inlineStr">
        <is>
          <t>Family</t>
        </is>
      </c>
      <c r="D11" s="36" t="inlineStr">
        <is>
          <t>Root and toggle/toggle-group subpath exports, declarations, direct Toggle, compound Group namespace, named parts, and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TOG-04</t>
        </is>
      </c>
      <c r="B12" s="36" t="inlineStr">
        <is>
          <t>Anatomy</t>
        </is>
      </c>
      <c r="C12" s="36" t="inlineStr">
        <is>
          <t>Toggle</t>
        </is>
      </c>
      <c r="D12" s="36" t="inlineStr">
        <is>
          <t>Shortest Toggle emits a native type=button with stable class/slot, false aria-pressed, off state, and soft/md/rounded defaults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../test/components/toggle.test.tsx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TOG-05</t>
        </is>
      </c>
      <c r="B13" s="36" t="inlineStr">
        <is>
          <t>Behavior</t>
        </is>
      </c>
      <c r="C13" s="36" t="inlineStr">
        <is>
          <t>Toggle</t>
        </is>
      </c>
      <c r="D13" s="36" t="inlineStr">
        <is>
          <t>Atom-owned uncontrolled pointer, Space, and controlled pressed paths update aria-pressed and onPressedChange without Brick state duplication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../test/components/toggle.test.tsx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TOG-06</t>
        </is>
      </c>
      <c r="B14" s="36" t="inlineStr">
        <is>
          <t>Public API</t>
        </is>
      </c>
      <c r="C14" s="36" t="inlineStr">
        <is>
          <t>Toggle</t>
        </is>
      </c>
      <c r="D14" s="36" t="inlineStr">
        <is>
          <t>Native/ARIA/data props, class, style, slot, icon-only metadata, ref, asChild, and render composition are preserved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../test/components/toggle.test.tsx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TOG-07</t>
        </is>
      </c>
      <c r="B15" s="36" t="inlineStr">
        <is>
          <t>Visual system</t>
        </is>
      </c>
      <c r="C15" s="36" t="inlineStr">
        <is>
          <t>Toggle</t>
        </is>
      </c>
      <c r="D15" s="36" t="inlineStr">
        <is>
          <t>Solid, soft, outline, and ghost variants; sm/md/lg sizes; rounded/pill shapes; and icon-only geometry form closed recipes without tone or arbitrary radius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../test/components/toggle.test.tsx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46223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TOG-08</t>
        </is>
      </c>
      <c r="B16" s="36" t="inlineStr">
        <is>
          <t>States</t>
        </is>
      </c>
      <c r="C16" s="36" t="inlineStr">
        <is>
          <t>Toggle</t>
        </is>
      </c>
      <c r="D16" s="36" t="inlineStr">
        <is>
          <t>Rest, hover, active, focus-visible, selected, disabled, and selected-disabled recipes use semantic tokens and preserve native disabled behavior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tests/toggle.spec.ts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TOG-09</t>
        </is>
      </c>
      <c r="B17" s="36" t="inlineStr">
        <is>
          <t>Anatomy</t>
        </is>
      </c>
      <c r="C17" s="36" t="inlineStr">
        <is>
          <t>ToggleGroup.Root</t>
        </is>
      </c>
      <c r="D17" s="36" t="inlineStr">
        <is>
          <t>Root emits a named role=group with stable class/slot, separated horizontal layout, soft/md/rounded defaults, and no extra behavior layer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../test/components/toggle.test.tsx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TOG-10</t>
        </is>
      </c>
      <c r="B18" s="36" t="inlineStr">
        <is>
          <t>Selection</t>
        </is>
      </c>
      <c r="C18" s="36" t="inlineStr">
        <is>
          <t>ToggleGroup.Root</t>
        </is>
      </c>
      <c r="D18" s="36" t="inlineStr">
        <is>
          <t>Discriminated single string and multiple string-array contracts forward controlled/uncontrolled values and narrowed callbacks without a second store</t>
        </is>
      </c>
      <c r="E18" s="36" t="inlineStr">
        <is>
          <t>package</t>
        </is>
      </c>
      <c r="F18" s="36" t="inlineStr">
        <is>
          <t>types</t>
        </is>
      </c>
      <c r="G18" s="37" t="inlineStr">
        <is>
          <t>../test/types/public-api.test.ts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TOG-11</t>
        </is>
      </c>
      <c r="B19" s="36" t="inlineStr">
        <is>
          <t>Anatomy</t>
        </is>
      </c>
      <c r="C19" s="36" t="inlineStr">
        <is>
          <t>ToggleGroup.Item</t>
        </is>
      </c>
      <c r="D19" s="36" t="inlineStr">
        <is>
          <t>Item requires value, emits native pressed button metadata, preserves disabled/native/composition/ref paths, and exposes only item iconOnly presentation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../test/components/toggle.test.tsx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TOG-12</t>
        </is>
      </c>
      <c r="B20" s="36" t="inlineStr">
        <is>
          <t>Keyboard</t>
        </is>
      </c>
      <c r="C20" s="36" t="inlineStr">
        <is>
          <t>ToggleGroup</t>
        </is>
      </c>
      <c r="D20" s="36" t="inlineStr">
        <is>
          <t>One roving Tab stop plus Arrow, Home, End, looping, activation, and disabled-item skipping remain Atom-owned and pass in real browsers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tests/toggle.spec.ts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TOG-13</t>
        </is>
      </c>
      <c r="B21" s="36" t="inlineStr">
        <is>
          <t>Direction</t>
        </is>
      </c>
      <c r="C21" s="36" t="inlineStr">
        <is>
          <t>ToggleGroup</t>
        </is>
      </c>
      <c r="D21" s="36" t="inlineStr">
        <is>
          <t>Horizontal/vertical orientation metadata drives layout and Atom mirrors horizontal Arrow navigation in RTL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tests/toggle.spec.ts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TOG-14</t>
        </is>
      </c>
      <c r="B22" s="36" t="inlineStr">
        <is>
          <t>Geometry</t>
        </is>
      </c>
      <c r="C22" s="36" t="inlineStr">
        <is>
          <t>ToggleGroup</t>
        </is>
      </c>
      <c r="D22" s="36" t="inlineStr">
        <is>
          <t>Separated default preserves inter-item gap and natural wrapping for localized multiple filter pills</t>
        </is>
      </c>
      <c r="E22" s="36" t="inlineStr">
        <is>
          <t>package</t>
        </is>
      </c>
      <c r="F22" s="36" t="inlineStr">
        <is>
          <t>visual</t>
        </is>
      </c>
      <c r="G22" s="37" t="inlineStr">
        <is>
          <t>tests/visual.spec.ts</t>
        </is>
      </c>
      <c r="H22" s="36" t="inlineStr">
        <is>
          <t>verified</t>
        </is>
      </c>
      <c r="I22" s="36" t="inlineStr">
        <is>
          <t>yes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TOG-15</t>
        </is>
      </c>
      <c r="B23" s="36" t="inlineStr">
        <is>
          <t>Geometry</t>
        </is>
      </c>
      <c r="C23" s="36" t="inlineStr">
        <is>
          <t>ToggleGroup</t>
        </is>
      </c>
      <c r="D23" s="36" t="inlineStr">
        <is>
          <t>Attached horizontal and vertical groups collapse adjacent borders and apply logical outer radii for rounded and pill shapes</t>
        </is>
      </c>
      <c r="E23" s="36" t="inlineStr">
        <is>
          <t>package</t>
        </is>
      </c>
      <c r="F23" s="36" t="inlineStr">
        <is>
          <t>visual</t>
        </is>
      </c>
      <c r="G23" s="37" t="inlineStr">
        <is>
          <t>tests/visual.spec.ts</t>
        </is>
      </c>
      <c r="H23" s="36" t="inlineStr">
        <is>
          <t>verified</t>
        </is>
      </c>
      <c r="I23" s="36" t="inlineStr">
        <is>
          <t>yes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TOG-16</t>
        </is>
      </c>
      <c r="B24" s="36" t="inlineStr">
        <is>
          <t>Layout</t>
        </is>
      </c>
      <c r="C24" s="36" t="inlineStr">
        <is>
          <t>ToggleGroup</t>
        </is>
      </c>
      <c r="D24" s="36" t="inlineStr">
        <is>
          <t>fullWidth fills available inline size and distributes items without changing Atom selection behavior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tests/toggle.spec.ts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TOG-17</t>
        </is>
      </c>
      <c r="B25" s="36" t="inlineStr">
        <is>
          <t>Accessibility</t>
        </is>
      </c>
      <c r="C25" s="36" t="inlineStr">
        <is>
          <t>Family</t>
        </is>
      </c>
      <c r="D25" s="36" t="inlineStr">
        <is>
          <t>Stable visible or explicit icon labels, group naming, aria-pressed, disabled state, and controlled required-view handling preserve understandable semantics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tests/toggle.spec.ts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TOG-18</t>
        </is>
      </c>
      <c r="B26" s="36" t="inlineStr">
        <is>
          <t>Visual system</t>
        </is>
      </c>
      <c r="C26" s="36" t="inlineStr">
        <is>
          <t>Family</t>
        </is>
      </c>
      <c r="D26" s="36" t="inlineStr">
        <is>
          <t>Compiled layered CSS uses Brick classes, logical properties, semantic tokens, and documented --brick-toggle variables without global leakage</t>
        </is>
      </c>
      <c r="E26" s="36" t="inlineStr">
        <is>
          <t>package</t>
        </is>
      </c>
      <c r="F26" s="36" t="inlineStr">
        <is>
          <t>source</t>
        </is>
      </c>
      <c r="G26" s="37" t="inlineStr">
        <is>
          <t>../src/components/toggle/toggle.css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TOG-19</t>
        </is>
      </c>
      <c r="B27" s="36" t="inlineStr">
        <is>
          <t>Visual system</t>
        </is>
      </c>
      <c r="C27" s="36" t="inlineStr">
        <is>
          <t>Family</t>
        </is>
      </c>
      <c r="D27" s="36" t="inlineStr">
        <is>
          <t>Reviewed light/dark baselines preserve neutral rest, accent selected hierarchy, sizes, shapes, and attached/separated group geometry</t>
        </is>
      </c>
      <c r="E27" s="36" t="inlineStr">
        <is>
          <t>package</t>
        </is>
      </c>
      <c r="F27" s="36" t="inlineStr">
        <is>
          <t>visual</t>
        </is>
      </c>
      <c r="G27" s="37" t="inlineStr">
        <is>
          <t>tests/visual.spec.ts</t>
        </is>
      </c>
      <c r="H27" s="36" t="inlineStr">
        <is>
          <t>verified</t>
        </is>
      </c>
      <c r="I27" s="36" t="inlineStr">
        <is>
          <t>yes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TOG-20</t>
        </is>
      </c>
      <c r="B28" s="36" t="inlineStr">
        <is>
          <t>Visual system</t>
        </is>
      </c>
      <c r="C28" s="36" t="inlineStr">
        <is>
          <t>Family</t>
        </is>
      </c>
      <c r="D28" s="36" t="inlineStr">
        <is>
          <t>Forced-colors emulation preserves explicit selected, disabled, border, and focus boundaries without color-only state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tests/toggle.spec.ts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TOG-21</t>
        </is>
      </c>
      <c r="B29" s="36" t="inlineStr">
        <is>
          <t>Responsive</t>
        </is>
      </c>
      <c r="C29" s="36" t="inlineStr">
        <is>
          <t>Family</t>
        </is>
      </c>
      <c r="D29" s="36" t="inlineStr">
        <is>
          <t>Constrained mobile, long unbroken/localized labels, wrapping, mixed direction, and RTL remain contained without document overflow</t>
        </is>
      </c>
      <c r="E29" s="36" t="inlineStr">
        <is>
          <t>package</t>
        </is>
      </c>
      <c r="F29" s="36" t="inlineStr">
        <is>
          <t>test</t>
        </is>
      </c>
      <c r="G29" s="37" t="inlineStr">
        <is>
          <t>tests/toggle.spec.ts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TOG-22</t>
        </is>
      </c>
      <c r="B30" s="36" t="inlineStr">
        <is>
          <t>Customization</t>
        </is>
      </c>
      <c r="C30" s="36" t="inlineStr">
        <is>
          <t>Family</t>
        </is>
      </c>
      <c r="D30" s="36" t="inlineStr">
        <is>
          <t>Root class, style, slot, scoped appearance, group variables, and component-token overrides remain local and inspectable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TOG-23</t>
        </is>
      </c>
      <c r="B31" s="36" t="inlineStr">
        <is>
          <t>Playground</t>
        </is>
      </c>
      <c r="C31" s="36" t="inlineStr">
        <is>
          <t>Family</t>
        </is>
      </c>
      <c r="D31" s="36" t="inlineStr">
        <is>
          <t>The /toggle workbench exposes overview, complete standalone recipes, sizes/shapes/icons, attached single, separated multiple, vertical/disabled, customization, mobile stress, and RTL</t>
        </is>
      </c>
      <c r="E31" s="36" t="inlineStr">
        <is>
          <t>package</t>
        </is>
      </c>
      <c r="F31" s="36" t="inlineStr">
        <is>
          <t>playground</t>
        </is>
      </c>
      <c r="G31" s="37" t="inlineStr">
        <is>
          <t>../playground/src/main.tsx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TOG-24</t>
        </is>
      </c>
      <c r="B32" s="36" t="inlineStr">
        <is>
          <t>Automated tests</t>
        </is>
      </c>
      <c r="C32" s="36" t="inlineStr">
        <is>
          <t>Family</t>
        </is>
      </c>
      <c r="D32" s="36" t="inlineStr">
        <is>
          <t>Vitest and Testing Library cover defaults, recipes, activation, callbacks, native props, refs, disabled paths, composition, and discriminated values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../test/components/toggle.test.tsx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TOG-25</t>
        </is>
      </c>
      <c r="B33" s="36" t="inlineStr">
        <is>
          <t>Automated tests</t>
        </is>
      </c>
      <c r="C33" s="36" t="inlineStr">
        <is>
          <t>Family</t>
        </is>
      </c>
      <c r="D33" s="36" t="inlineStr">
        <is>
          <t>Public root/subpath types accept supported contracts and reject standalone value, tone, invalid recipes, mismatched multiple values, item recipe overrides, and callable Group</t>
        </is>
      </c>
      <c r="E33" s="36" t="inlineStr">
        <is>
          <t>package</t>
        </is>
      </c>
      <c r="F33" s="36" t="inlineStr">
        <is>
          <t>types</t>
        </is>
      </c>
      <c r="G33" s="37" t="inlineStr">
        <is>
          <t>../test/types/public-api.test.ts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TOG-26</t>
        </is>
      </c>
      <c r="B34" s="36" t="inlineStr">
        <is>
          <t>Automated tests</t>
        </is>
      </c>
      <c r="C34" s="36" t="inlineStr">
        <is>
          <t>Family</t>
        </is>
      </c>
      <c r="D34" s="36" t="inlineStr">
        <is>
          <t>Node package boundary, export identity, stylesheet, declarations, deterministic SSR, and dry-pack checks include both public subpaths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TOG-27</t>
        </is>
      </c>
      <c r="B35" s="36" t="inlineStr">
        <is>
          <t>Automated tests</t>
        </is>
      </c>
      <c r="C35" s="36" t="inlineStr">
        <is>
          <t>Family</t>
        </is>
      </c>
      <c r="D35" s="36" t="inlineStr">
        <is>
          <t>Clean packed React 18/19 consumers import root/subpath identities, SSR-render Toggle and ToggleGroup, typecheck, and load compiled CSS</t>
        </is>
      </c>
      <c r="E35" s="36" t="inlineStr">
        <is>
          <t>package</t>
        </is>
      </c>
      <c r="F35" s="36" t="inlineStr">
        <is>
          <t>package</t>
        </is>
      </c>
      <c r="G35" s="37" t="inlineStr">
        <is>
          <t>../scripts/verify-consumers.mjs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TOG-28</t>
        </is>
      </c>
      <c r="B36" s="36" t="inlineStr">
        <is>
          <t>Automated tests</t>
        </is>
      </c>
      <c r="C36" s="36" t="inlineStr">
        <is>
          <t>Family</t>
        </is>
      </c>
      <c r="D36" s="36" t="inlineStr">
        <is>
          <t>Strict typecheck, production build, CSS report, and 100% Brick component-source line coverage pass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../test/components/toggle.test.tsx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TOG-29</t>
        </is>
      </c>
      <c r="B37" s="36" t="inlineStr">
        <is>
          <t>Automated tests</t>
        </is>
      </c>
      <c r="C37" s="36" t="inlineStr">
        <is>
          <t>Family</t>
        </is>
      </c>
      <c r="D37" s="36" t="inlineStr">
        <is>
          <t>Seven focused browser checks cover standalone activation, recipes, single/multiple state, roving focus, disabled behavior, mobile/RTL, axe, and forced colors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tests/toggle.spec.ts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TOG-30</t>
        </is>
      </c>
      <c r="B38" s="36" t="inlineStr">
        <is>
          <t>Automated tests</t>
        </is>
      </c>
      <c r="C38" s="36" t="inlineStr">
        <is>
          <t>Family</t>
        </is>
      </c>
      <c r="D38" s="36" t="inlineStr">
        <is>
          <t>Canonical Toggle route has no automatically detectable axe violations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tests/toggle.spec.ts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TOG-31</t>
        </is>
      </c>
      <c r="B39" s="36" t="inlineStr">
        <is>
          <t>Automated tests</t>
        </is>
      </c>
      <c r="C39" s="36" t="inlineStr">
        <is>
          <t>Family</t>
        </is>
      </c>
      <c r="D39" s="36" t="inlineStr">
        <is>
          <t>Seven reviewed Chromium baselines cover recipes, sizes/shapes, attached single, dark standalone/multiple, mobile RTL stress, and forced colors</t>
        </is>
      </c>
      <c r="E39" s="36" t="inlineStr">
        <is>
          <t>package</t>
        </is>
      </c>
      <c r="F39" s="36" t="inlineStr">
        <is>
          <t>visual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TOG-32</t>
        </is>
      </c>
      <c r="B40" s="36" t="inlineStr">
        <is>
          <t>Automated tests</t>
        </is>
      </c>
      <c r="C40" s="36" t="inlineStr">
        <is>
          <t>Family</t>
        </is>
      </c>
      <c r="D40" s="36" t="inlineStr">
        <is>
          <t>Chromium, Firefox, WebKit, Pixel, and iPhone focused release-matrix checks pass where applicable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TOG-33</t>
        </is>
      </c>
      <c r="B41" s="36" t="inlineStr">
        <is>
          <t>Manual evidence</t>
        </is>
      </c>
      <c r="C41" s="36" t="inlineStr">
        <is>
          <t>Family</t>
        </is>
      </c>
      <c r="D41" s="36" t="inlineStr">
        <is>
          <t>Numbered Toggle protocol covers hierarchy, activation, keyboard/roving focus, selection modes, geometry, zoom/mobile/RTL, VoiceOver, preferences,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manual-tests/toggle.md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TOG-34</t>
        </is>
      </c>
      <c r="B42" s="36" t="inlineStr">
        <is>
          <t>Manual evidence</t>
        </is>
      </c>
      <c r="C42" s="36" t="inlineStr">
        <is>
          <t>Family</t>
        </is>
      </c>
      <c r="D42" s="36" t="inlineStr">
        <is>
          <t>Latest owner run records every numbered Toggle and ToggleGroup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manual-tests/toggle.md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TOG-35</t>
        </is>
      </c>
      <c r="B43" s="36" t="inlineStr">
        <is>
          <t>Documentation</t>
        </is>
      </c>
      <c r="C43" s="36" t="inlineStr">
        <is>
          <t>Toggle</t>
        </is>
      </c>
      <c r="D43" s="36" t="inlineStr">
        <is>
          <t>Public Toggle guide covers role boundaries, stable labels, behavior/native/ref contract, visual API, accessibility, CSS hooks, and preferences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../docs/components/toggle/README.md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TOG-36</t>
        </is>
      </c>
      <c r="B44" s="36" t="inlineStr">
        <is>
          <t>Documentation</t>
        </is>
      </c>
      <c r="C44" s="36" t="inlineStr">
        <is>
          <t>ToggleGroup</t>
        </is>
      </c>
      <c r="D44" s="36" t="inlineStr">
        <is>
          <t>Public ToggleGroup guide and both changelogs cover discriminated selection, naming, keyboard, separated/attached/full-width geometry, ownership, and evidence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../docs/components/toggle-group/README.md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TOG-37</t>
        </is>
      </c>
      <c r="B45" s="36" t="inlineStr">
        <is>
          <t>Consumer</t>
        </is>
      </c>
      <c r="C45" s="36" t="inlineStr">
        <is>
          <t>Family</t>
        </is>
      </c>
      <c r="D45" s="36" t="inlineStr">
        <is>
          <t>Independent Consumer uses public Toggle and ToggleGroup subpaths for appearance and Cards/List view and passes production, boundary, desktop/mobile, state, layout, and axe checks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../apps/consumer/tests/consumer.spec.ts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TOG-39</t>
        </is>
      </c>
      <c r="B46" s="36" t="inlineStr">
        <is>
          <t>Scope</t>
        </is>
      </c>
      <c r="C46" s="36" t="inlineStr">
        <is>
          <t>Family</t>
        </is>
      </c>
      <c r="D46" s="36" t="inlineStr">
        <is>
          <t>Tone, generic Chip/Tag, required single-selection behavior, item-level recipe overrides, navigation, disclosure, and form-setting semantics remain deliberately excluded</t>
        </is>
      </c>
      <c r="E46" s="36" t="inlineStr">
        <is>
          <t>package</t>
        </is>
      </c>
      <c r="F46" s="36" t="inlineStr">
        <is>
          <t>decision</t>
        </is>
      </c>
      <c r="G46" s="37" t="inlineStr">
        <is>
          <t>../../docs/toggle-component-brief.md</t>
        </is>
      </c>
      <c r="H46" s="36" t="inlineStr">
        <is>
          <t>verified</t>
        </is>
      </c>
      <c r="I46" s="36" t="inlineStr">
        <is>
          <t>yes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mergeCells count="3">
    <mergeCell ref="A2:M2"/>
    <mergeCell ref="A6:M6"/>
    <mergeCell ref="A1:M1"/>
  </mergeCells>
  <conditionalFormatting sqref="H9:H46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6" showDropDown="0" showInputMessage="0" showErrorMessage="0" allowBlank="0" type="list" errorStyle="stop" operator="between">
      <formula1>_Lists!$A$1:$A$7</formula1>
      <formula2>0</formula2>
    </dataValidation>
    <dataValidation sqref="I9:I46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IconButton Evidence Matrix</t>
        </is>
      </c>
    </row>
    <row r="2" ht="33.75" customHeight="1" s="22">
      <c r="A2" s="24" t="inlineStr">
        <is>
          <t>Evidence gates for the adopted IconButton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ICB-01</t>
        </is>
      </c>
      <c r="B9" s="36" t="inlineStr">
        <is>
          <t>Public API</t>
        </is>
      </c>
      <c r="C9" s="36" t="inlineStr">
        <is>
          <t>IconButton</t>
        </is>
      </c>
      <c r="D9" s="36" t="inlineStr">
        <is>
          <t>IconButton directly styles public Atom 0.3.3 Button.Root without framework, or local behavior state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../src/components/icon-button/IconButton.tsx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ICB-02</t>
        </is>
      </c>
      <c r="B10" s="36" t="inlineStr">
        <is>
          <t>Boundary</t>
        </is>
      </c>
      <c r="C10" s="36" t="inlineStr">
        <is>
          <t>IconButton</t>
        </is>
      </c>
      <c r="D10" s="36" t="inlineStr">
        <is>
          <t>Owner-approved audit confirms IconButton is an icon-only Button specialization and no separate IconLink is required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../../docs/icon-button-component-brief.md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ICB-03</t>
        </is>
      </c>
      <c r="B11" s="36" t="inlineStr">
        <is>
          <t>Public API</t>
        </is>
      </c>
      <c r="C11" s="36" t="inlineStr">
        <is>
          <t>IconButton</t>
        </is>
      </c>
      <c r="D11" s="36" t="inlineStr">
        <is>
          <t>Root and icon-button subpath exports, declarations, direct component, closed recipes, and inherited native contracts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ICB-04</t>
        </is>
      </c>
      <c r="B12" s="36" t="inlineStr">
        <is>
          <t>Anatomy</t>
        </is>
      </c>
      <c r="C12" s="36" t="inlineStr">
        <is>
          <t>IconButton</t>
        </is>
      </c>
      <c r="D12" s="36" t="inlineStr">
        <is>
          <t>Shortest action emits one native button with stable class/slot and ghost/neutral/md/rounded defaults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../test/components/icon-button-app-bar.test.tsx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ICB-05</t>
        </is>
      </c>
      <c r="B13" s="36" t="inlineStr">
        <is>
          <t>Semantics</t>
        </is>
      </c>
      <c r="C13" s="36" t="inlineStr">
        <is>
          <t>IconButton</t>
        </is>
      </c>
      <c r="D13" s="36" t="inlineStr">
        <is>
          <t>Every icon-only action requires an accessible name supplied by aria-label or aria-labelledby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tests/icon-button-app-bar.spec.ts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ICB-06</t>
        </is>
      </c>
      <c r="B14" s="36" t="inlineStr">
        <is>
          <t>Navigation</t>
        </is>
      </c>
      <c r="C14" s="36" t="inlineStr">
        <is>
          <t>IconButton</t>
        </is>
      </c>
      <c r="D14" s="36" t="inlineStr">
        <is>
          <t>href renders a genuine anchor and preserves target plus safe rel behavior through Atom Button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../test/components/icon-button-app-bar.test.tsx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ICB-07</t>
        </is>
      </c>
      <c r="B15" s="36" t="inlineStr">
        <is>
          <t>Behavior</t>
        </is>
      </c>
      <c r="C15" s="36" t="inlineStr">
        <is>
          <t>IconButton</t>
        </is>
      </c>
      <c r="D15" s="36" t="inlineStr">
        <is>
          <t>Pointer, keyboard, onPress, disabled, loading, native props, composition, and refs remain Atom-owned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../test/components/icon-button-app-bar.test.tsx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ICB-08</t>
        </is>
      </c>
      <c r="B16" s="36" t="inlineStr">
        <is>
          <t>Visual system</t>
        </is>
      </c>
      <c r="C16" s="36" t="inlineStr">
        <is>
          <t>IconButton</t>
        </is>
      </c>
      <c r="D16" s="36" t="inlineStr">
        <is>
          <t>Solid, soft, outline, and ghost variants form a closed presentation matrix</t>
        </is>
      </c>
      <c r="E16" s="36" t="inlineStr">
        <is>
          <t>package</t>
        </is>
      </c>
      <c r="F16" s="36" t="inlineStr">
        <is>
          <t>visual</t>
        </is>
      </c>
      <c r="G16" s="37" t="inlineStr">
        <is>
          <t>tests/visual.spec.ts</t>
        </is>
      </c>
      <c r="H16" s="36" t="inlineStr">
        <is>
          <t>verified</t>
        </is>
      </c>
      <c r="I16" s="36" t="inlineStr">
        <is>
          <t>yes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ICB-09</t>
        </is>
      </c>
      <c r="B17" s="36" t="inlineStr">
        <is>
          <t>Visual system</t>
        </is>
      </c>
      <c r="C17" s="36" t="inlineStr">
        <is>
          <t>IconButton</t>
        </is>
      </c>
      <c r="D17" s="36" t="inlineStr">
        <is>
          <t>Neutral, accent, info, success, warning, and danger tones use semantic Brick tokens</t>
        </is>
      </c>
      <c r="E17" s="36" t="inlineStr">
        <is>
          <t>package</t>
        </is>
      </c>
      <c r="F17" s="36" t="inlineStr">
        <is>
          <t>visual</t>
        </is>
      </c>
      <c r="G17" s="37" t="inlineStr">
        <is>
          <t>tests/visual.spec.ts</t>
        </is>
      </c>
      <c r="H17" s="36" t="inlineStr">
        <is>
          <t>verified</t>
        </is>
      </c>
      <c r="I17" s="36" t="inlineStr">
        <is>
          <t>yes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ICB-10</t>
        </is>
      </c>
      <c r="B18" s="36" t="inlineStr">
        <is>
          <t>Geometry</t>
        </is>
      </c>
      <c r="C18" s="36" t="inlineStr">
        <is>
          <t>IconButton</t>
        </is>
      </c>
      <c r="D18" s="36" t="inlineStr">
        <is>
          <t>xs through xl sizes retain square hit geometry and rounded/circle shapes without arbitrary radius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../test/components/icon-button-app-bar.test.tsx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ICB-11</t>
        </is>
      </c>
      <c r="B19" s="36" t="inlineStr">
        <is>
          <t>Icon</t>
        </is>
      </c>
      <c r="C19" s="36" t="inlineStr">
        <is>
          <t>IconButton</t>
        </is>
      </c>
      <c r="D19" s="36" t="inlineStr">
        <is>
          <t>The visual icon is presentation-only while the control name remains on the interactive element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../test/components/icon-button-app-bar.test.tsx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ICB-12</t>
        </is>
      </c>
      <c r="B20" s="36" t="inlineStr">
        <is>
          <t>States</t>
        </is>
      </c>
      <c r="C20" s="36" t="inlineStr">
        <is>
          <t>IconButton</t>
        </is>
      </c>
      <c r="D20" s="36" t="inlineStr">
        <is>
          <t>Rest, hover, active, focus-visible, disabled, and loading recipes remain visibly distinct</t>
        </is>
      </c>
      <c r="E20" s="36" t="inlineStr">
        <is>
          <t>package</t>
        </is>
      </c>
      <c r="F20" s="36" t="inlineStr">
        <is>
          <t>visual</t>
        </is>
      </c>
      <c r="G20" s="37" t="inlineStr">
        <is>
          <t>tests/visual.spec.ts</t>
        </is>
      </c>
      <c r="H20" s="36" t="inlineStr">
        <is>
          <t>verified</t>
        </is>
      </c>
      <c r="I20" s="36" t="inlineStr">
        <is>
          <t>yes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ICB-13</t>
        </is>
      </c>
      <c r="B21" s="36" t="inlineStr">
        <is>
          <t>Loading</t>
        </is>
      </c>
      <c r="C21" s="36" t="inlineStr">
        <is>
          <t>IconButton</t>
        </is>
      </c>
      <c r="D21" s="36" t="inlineStr">
        <is>
          <t>Loading retains the accessible name, exposes Atom busy state, and replaces only the visual icon with a spinner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../test/components/icon-button-app-bar.test.tsx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ICB-14</t>
        </is>
      </c>
      <c r="B22" s="36" t="inlineStr">
        <is>
          <t>Accessibility</t>
        </is>
      </c>
      <c r="C22" s="36" t="inlineStr">
        <is>
          <t>IconButton</t>
        </is>
      </c>
      <c r="D22" s="36" t="inlineStr">
        <is>
          <t>Focus visibility, native disabled semantics, link semantics, and named controls pass real-browser and axe checks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tests/icon-button-app-bar.spec.ts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ICB-15</t>
        </is>
      </c>
      <c r="B23" s="36" t="inlineStr">
        <is>
          <t>Appearance</t>
        </is>
      </c>
      <c r="C23" s="36" t="inlineStr">
        <is>
          <t>IconButton</t>
        </is>
      </c>
      <c r="D23" s="36" t="inlineStr">
        <is>
          <t>Reviewed light and dark baselines preserve hierarchy and icon contrast across variants and tones</t>
        </is>
      </c>
      <c r="E23" s="36" t="inlineStr">
        <is>
          <t>package</t>
        </is>
      </c>
      <c r="F23" s="36" t="inlineStr">
        <is>
          <t>visual</t>
        </is>
      </c>
      <c r="G23" s="37" t="inlineStr">
        <is>
          <t>tests/visual.spec.ts</t>
        </is>
      </c>
      <c r="H23" s="36" t="inlineStr">
        <is>
          <t>verified</t>
        </is>
      </c>
      <c r="I23" s="36" t="inlineStr">
        <is>
          <t>yes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ICB-16</t>
        </is>
      </c>
      <c r="B24" s="36" t="inlineStr">
        <is>
          <t>Preferences</t>
        </is>
      </c>
      <c r="C24" s="36" t="inlineStr">
        <is>
          <t>IconButton</t>
        </is>
      </c>
      <c r="D24" s="36" t="inlineStr">
        <is>
          <t>Forced-colors preserves boundaries and loading indication; reduced-motion slows spinner animation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tests/icon-button-app-bar.spec.ts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ICB-17</t>
        </is>
      </c>
      <c r="B25" s="36" t="inlineStr">
        <is>
          <t>Responsive</t>
        </is>
      </c>
      <c r="C25" s="36" t="inlineStr">
        <is>
          <t>IconButton</t>
        </is>
      </c>
      <c r="D25" s="36" t="inlineStr">
        <is>
          <t>Narrow mobile and RTL stress examples remain contained without changing square control geometry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tests/icon-button-app-bar.spec.ts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ICB-18</t>
        </is>
      </c>
      <c r="B26" s="36" t="inlineStr">
        <is>
          <t>Customization</t>
        </is>
      </c>
      <c r="C26" s="36" t="inlineStr">
        <is>
          <t>IconButton</t>
        </is>
      </c>
      <c r="D26" s="36" t="inlineStr">
        <is>
          <t>class, style, slot, scoped appearance, and documented component variables remain local and inspectable</t>
        </is>
      </c>
      <c r="E26" s="36" t="inlineStr">
        <is>
          <t>package</t>
        </is>
      </c>
      <c r="F26" s="36" t="inlineStr">
        <is>
          <t>playground</t>
        </is>
      </c>
      <c r="G26" s="37" t="inlineStr">
        <is>
          <t>../playground/src/main.tsx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ICB-19</t>
        </is>
      </c>
      <c r="B27" s="36" t="inlineStr">
        <is>
          <t>Visual system</t>
        </is>
      </c>
      <c r="C27" s="36" t="inlineStr">
        <is>
          <t>IconButton</t>
        </is>
      </c>
      <c r="D27" s="36" t="inlineStr">
        <is>
          <t>Compiled layered CSS uses Brick classes, logical properties, semantic tokens, and no global leakage</t>
        </is>
      </c>
      <c r="E27" s="36" t="inlineStr">
        <is>
          <t>package</t>
        </is>
      </c>
      <c r="F27" s="36" t="inlineStr">
        <is>
          <t>source</t>
        </is>
      </c>
      <c r="G27" s="37" t="inlineStr">
        <is>
          <t>../src/components/icon-button/icon-button.css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ICB-20</t>
        </is>
      </c>
      <c r="B28" s="36" t="inlineStr">
        <is>
          <t>Playground</t>
        </is>
      </c>
      <c r="C28" s="36" t="inlineStr">
        <is>
          <t>IconButton</t>
        </is>
      </c>
      <c r="D28" s="36" t="inlineStr">
        <is>
          <t>The /icon-button workbench exposes overview, variants, tones, sizes, shapes, disabled/loading/link states, mobile stress, and RTL</t>
        </is>
      </c>
      <c r="E28" s="36" t="inlineStr">
        <is>
          <t>package</t>
        </is>
      </c>
      <c r="F28" s="36" t="inlineStr">
        <is>
          <t>playground</t>
        </is>
      </c>
      <c r="G28" s="37" t="inlineStr">
        <is>
          <t>../playground/src/main.tsx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ICB-21</t>
        </is>
      </c>
      <c r="B29" s="36" t="inlineStr">
        <is>
          <t>Automated tests</t>
        </is>
      </c>
      <c r="C29" s="36" t="inlineStr">
        <is>
          <t>IconButton</t>
        </is>
      </c>
      <c r="D29" s="36" t="inlineStr">
        <is>
          <t>Vitest covers defaults, recipes, links, events, disabled/loading behavior, composition, and refs</t>
        </is>
      </c>
      <c r="E29" s="36" t="inlineStr">
        <is>
          <t>package</t>
        </is>
      </c>
      <c r="F29" s="36" t="inlineStr">
        <is>
          <t>test</t>
        </is>
      </c>
      <c r="G29" s="37" t="inlineStr">
        <is>
          <t>../test/components/icon-button-app-bar.test.tsx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ICB-22</t>
        </is>
      </c>
      <c r="B30" s="36" t="inlineStr">
        <is>
          <t>Automated tests</t>
        </is>
      </c>
      <c r="C30" s="36" t="inlineStr">
        <is>
          <t>IconButton</t>
        </is>
      </c>
      <c r="D30" s="36" t="inlineStr">
        <is>
          <t>Public root/subpath types accept supported contracts and reject invalid variants, tones, sizes, and shapes</t>
        </is>
      </c>
      <c r="E30" s="36" t="inlineStr">
        <is>
          <t>package</t>
        </is>
      </c>
      <c r="F30" s="36" t="inlineStr">
        <is>
          <t>types</t>
        </is>
      </c>
      <c r="G30" s="37" t="inlineStr">
        <is>
          <t>../test/types/public-api.test.ts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ICB-23</t>
        </is>
      </c>
      <c r="B31" s="36" t="inlineStr">
        <is>
          <t>Automated tests</t>
        </is>
      </c>
      <c r="C31" s="36" t="inlineStr">
        <is>
          <t>IconButton</t>
        </is>
      </c>
      <c r="D31" s="36" t="inlineStr">
        <is>
          <t>Node boundary, export identity, stylesheet, declarations, SSR, and dry-pack checks include the icon-button subpath</t>
        </is>
      </c>
      <c r="E31" s="36" t="inlineStr">
        <is>
          <t>package</t>
        </is>
      </c>
      <c r="F31" s="36" t="inlineStr">
        <is>
          <t>test</t>
        </is>
      </c>
      <c r="G31" s="37" t="inlineStr">
        <is>
          <t>../test/package/package.test.mjs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ICB-24</t>
        </is>
      </c>
      <c r="B32" s="36" t="inlineStr">
        <is>
          <t>Automated tests</t>
        </is>
      </c>
      <c r="C32" s="36" t="inlineStr">
        <is>
          <t>IconButton</t>
        </is>
      </c>
      <c r="D32" s="36" t="inlineStr">
        <is>
          <t>Clean packed React 18/19 consumers import, SSR-render, typecheck, and load IconButton CSS</t>
        </is>
      </c>
      <c r="E32" s="36" t="inlineStr">
        <is>
          <t>package</t>
        </is>
      </c>
      <c r="F32" s="36" t="inlineStr">
        <is>
          <t>package</t>
        </is>
      </c>
      <c r="G32" s="37" t="inlineStr">
        <is>
          <t>../scripts/verify-consumers.mjs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ICB-25</t>
        </is>
      </c>
      <c r="B33" s="36" t="inlineStr">
        <is>
          <t>Automated tests</t>
        </is>
      </c>
      <c r="C33" s="36" t="inlineStr">
        <is>
          <t>IconButton</t>
        </is>
      </c>
      <c r="D33" s="36" t="inlineStr">
        <is>
          <t>Strict typecheck, production build, CSS report, and 100% component-source coverage pass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../test/components/icon-button-app-bar.test.tsx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ICB-26</t>
        </is>
      </c>
      <c r="B34" s="36" t="inlineStr">
        <is>
          <t>Automated tests</t>
        </is>
      </c>
      <c r="C34" s="36" t="inlineStr">
        <is>
          <t>IconButton</t>
        </is>
      </c>
      <c r="D34" s="36" t="inlineStr">
        <is>
          <t>Focused browser checks cover action/link semantics, recipes, inactive states, mobile/RTL, axe, and forced colors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tests/icon-button-app-bar.spec.ts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ICB-27</t>
        </is>
      </c>
      <c r="B35" s="36" t="inlineStr">
        <is>
          <t>Automated tests</t>
        </is>
      </c>
      <c r="C35" s="36" t="inlineStr">
        <is>
          <t>IconButton</t>
        </is>
      </c>
      <c r="D35" s="36" t="inlineStr">
        <is>
          <t>Chromium, Firefox, WebKit, Pixel, and iPhone release-matrix checks pass where applicable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../playwright.config.ts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ICB-28</t>
        </is>
      </c>
      <c r="B36" s="36" t="inlineStr">
        <is>
          <t>Automated tests</t>
        </is>
      </c>
      <c r="C36" s="36" t="inlineStr">
        <is>
          <t>IconButton</t>
        </is>
      </c>
      <c r="D36" s="36" t="inlineStr">
        <is>
          <t>Four reviewed Chromium baselines cover variants, dark tones, forced-colors states, and mobile RTL stress</t>
        </is>
      </c>
      <c r="E36" s="36" t="inlineStr">
        <is>
          <t>package</t>
        </is>
      </c>
      <c r="F36" s="36" t="inlineStr">
        <is>
          <t>visual</t>
        </is>
      </c>
      <c r="G36" s="37" t="inlineStr">
        <is>
          <t>tests/visual.spec.ts</t>
        </is>
      </c>
      <c r="H36" s="36" t="inlineStr">
        <is>
          <t>verified</t>
        </is>
      </c>
      <c r="I36" s="36" t="inlineStr">
        <is>
          <t>yes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ICB-29</t>
        </is>
      </c>
      <c r="B37" s="36" t="inlineStr">
        <is>
          <t>Manual evidence</t>
        </is>
      </c>
      <c r="C37" s="36" t="inlineStr">
        <is>
          <t>IconButton</t>
        </is>
      </c>
      <c r="D37" s="36" t="inlineStr">
        <is>
          <t>Numbered protocol covers semantics, pointer/keyboard, link, recipes, states, zoom/mobile/RTL, VoiceOver, preferences, and customization</t>
        </is>
      </c>
      <c r="E37" s="36" t="inlineStr">
        <is>
          <t>package</t>
        </is>
      </c>
      <c r="F37" s="36" t="inlineStr">
        <is>
          <t>manual</t>
        </is>
      </c>
      <c r="G37" s="37" t="inlineStr">
        <is>
          <t>manual-tests/icon-button.md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ICB-30</t>
        </is>
      </c>
      <c r="B38" s="36" t="inlineStr">
        <is>
          <t>Manual evidence</t>
        </is>
      </c>
      <c r="C38" s="36" t="inlineStr">
        <is>
          <t>IconButton</t>
        </is>
      </c>
      <c r="D38" s="36" t="inlineStr">
        <is>
          <t>Latest owner run records every numbered IconButton result and corrects any finding before package completion</t>
        </is>
      </c>
      <c r="E38" s="36" t="inlineStr">
        <is>
          <t>package</t>
        </is>
      </c>
      <c r="F38" s="36" t="inlineStr">
        <is>
          <t>manual</t>
        </is>
      </c>
      <c r="G38" s="37" t="inlineStr">
        <is>
          <t>manual-tests/icon-button.md</t>
        </is>
      </c>
      <c r="H38" s="36" t="inlineStr">
        <is>
          <t>verified</t>
        </is>
      </c>
      <c r="I38" s="36" t="inlineStr">
        <is>
          <t>yes</t>
        </is>
      </c>
      <c r="J38" s="40" t="n">
        <v>46223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ICB-31</t>
        </is>
      </c>
      <c r="B39" s="36" t="inlineStr">
        <is>
          <t>Documentation</t>
        </is>
      </c>
      <c r="C39" s="36" t="inlineStr">
        <is>
          <t>IconButton</t>
        </is>
      </c>
      <c r="D39" s="36" t="inlineStr">
        <is>
          <t>Public guide covers naming, action/link routing, Atom-owned behavior, recipes, accessibility, CSS hooks, and preferences</t>
        </is>
      </c>
      <c r="E39" s="36" t="inlineStr">
        <is>
          <t>package</t>
        </is>
      </c>
      <c r="F39" s="36" t="inlineStr">
        <is>
          <t>docs</t>
        </is>
      </c>
      <c r="G39" s="37" t="inlineStr">
        <is>
          <t>../docs/components/icon-button/README.md</t>
        </is>
      </c>
      <c r="H39" s="36" t="inlineStr">
        <is>
          <t>tested</t>
        </is>
      </c>
      <c r="I39" s="36" t="inlineStr">
        <is>
          <t>no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ICB-32</t>
        </is>
      </c>
      <c r="B40" s="36" t="inlineStr">
        <is>
          <t>Documentation</t>
        </is>
      </c>
      <c r="C40" s="36" t="inlineStr">
        <is>
          <t>IconButton</t>
        </is>
      </c>
      <c r="D40" s="36" t="inlineStr">
        <is>
          <t>Component changelog records the initial public contract and evidence boundary</t>
        </is>
      </c>
      <c r="E40" s="36" t="inlineStr">
        <is>
          <t>package</t>
        </is>
      </c>
      <c r="F40" s="36" t="inlineStr">
        <is>
          <t>docs</t>
        </is>
      </c>
      <c r="G40" s="37" t="inlineStr">
        <is>
          <t>../docs/components/icon-button/CHANGELOG.md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ICB-33</t>
        </is>
      </c>
      <c r="B41" s="36" t="inlineStr">
        <is>
          <t>Consumer</t>
        </is>
      </c>
      <c r="C41" s="36" t="inlineStr">
        <is>
          <t>IconButton</t>
        </is>
      </c>
      <c r="D41" s="36" t="inlineStr">
        <is>
          <t>Independent Consumer uses the public icon-button subpath for a real AppBar anchor action</t>
        </is>
      </c>
      <c r="E41" s="36" t="inlineStr">
        <is>
          <t>consumer</t>
        </is>
      </c>
      <c r="F41" s="36" t="inlineStr">
        <is>
          <t>consumer</t>
        </is>
      </c>
      <c r="G41" s="37" t="inlineStr">
        <is>
          <t>../apps/consumer/src/App.tsx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ICB-34</t>
        </is>
      </c>
      <c r="B42" s="36" t="inlineStr">
        <is>
          <t>Consumer</t>
        </is>
      </c>
      <c r="C42" s="36" t="inlineStr">
        <is>
          <t>IconButton</t>
        </is>
      </c>
      <c r="D42" s="36" t="inlineStr">
        <is>
          <t>Consumer boundary, production, desktop/mobile, layout, state, and axe gates pass with IconButton integration</t>
        </is>
      </c>
      <c r="E42" s="36" t="inlineStr">
        <is>
          <t>consumer</t>
        </is>
      </c>
      <c r="F42" s="36" t="inlineStr">
        <is>
          <t>test</t>
        </is>
      </c>
      <c r="G42" s="37" t="inlineStr">
        <is>
          <t>../apps/consumer/tests/consumer.spec.ts</t>
        </is>
      </c>
      <c r="H42" s="36" t="inlineStr">
        <is>
          <t>tested</t>
        </is>
      </c>
      <c r="I42" s="36" t="inlineStr">
        <is>
          <t>no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ICB-36</t>
        </is>
      </c>
      <c r="B43" s="36" t="inlineStr">
        <is>
          <t>Scope</t>
        </is>
      </c>
      <c r="C43" s="36" t="inlineStr">
        <is>
          <t>IconButton</t>
        </is>
      </c>
      <c r="D43" s="36" t="inlineStr">
        <is>
          <t>Toggle state, disclosure, tooltip generation, badges, arbitrary children, and application navigation policy remain excluded</t>
        </is>
      </c>
      <c r="E43" s="36" t="inlineStr">
        <is>
          <t>package</t>
        </is>
      </c>
      <c r="F43" s="36" t="inlineStr">
        <is>
          <t>decision</t>
        </is>
      </c>
      <c r="G43" s="37" t="inlineStr">
        <is>
          <t>../../docs/icon-button-component-brief.md</t>
        </is>
      </c>
      <c r="H43" s="36" t="inlineStr">
        <is>
          <t>verified</t>
        </is>
      </c>
      <c r="I43" s="36" t="inlineStr">
        <is>
          <t>yes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ICB-37</t>
        </is>
      </c>
      <c r="B44" s="36" t="inlineStr">
        <is>
          <t>Package</t>
        </is>
      </c>
      <c r="C44" s="36" t="inlineStr">
        <is>
          <t>IconButton</t>
        </is>
      </c>
      <c r="D44" s="36" t="inlineStr">
        <is>
          <t>Package metadata publishes the icon-button subpath and compiled CSS through stable public entrypoints</t>
        </is>
      </c>
      <c r="E44" s="36" t="inlineStr">
        <is>
          <t>package</t>
        </is>
      </c>
      <c r="F44" s="36" t="inlineStr">
        <is>
          <t>package</t>
        </is>
      </c>
      <c r="G44" s="37" t="inlineStr">
        <is>
          <t>../package.json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ICB-38</t>
        </is>
      </c>
      <c r="B45" s="36" t="inlineStr">
        <is>
          <t>Integration</t>
        </is>
      </c>
      <c r="C45" s="36" t="inlineStr">
        <is>
          <t>IconButton</t>
        </is>
      </c>
      <c r="D45" s="36" t="inlineStr">
        <is>
          <t>AppBar composes the public IconButton rather than reproducing icon-only Button styling</t>
        </is>
      </c>
      <c r="E45" s="36" t="inlineStr">
        <is>
          <t>package</t>
        </is>
      </c>
      <c r="F45" s="36" t="inlineStr">
        <is>
          <t>source</t>
        </is>
      </c>
      <c r="G45" s="37" t="inlineStr">
        <is>
          <t>../playground/src/main.tsx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ICB-39</t>
        </is>
      </c>
      <c r="B46" s="36" t="inlineStr">
        <is>
          <t>Decision</t>
        </is>
      </c>
      <c r="C46" s="36" t="inlineStr">
        <is>
          <t>IconButton</t>
        </is>
      </c>
      <c r="D46" s="36" t="inlineStr">
        <is>
          <t>No Atom release is required because released Button behavior already satisfies the complete contract</t>
        </is>
      </c>
      <c r="E46" s="36" t="inlineStr">
        <is>
          <t>package</t>
        </is>
      </c>
      <c r="F46" s="36" t="inlineStr">
        <is>
          <t>decision</t>
        </is>
      </c>
      <c r="G46" s="37" t="inlineStr">
        <is>
          <t>../../docs/icon-button-component-research.md</t>
        </is>
      </c>
      <c r="H46" s="36" t="inlineStr">
        <is>
          <t>verified</t>
        </is>
      </c>
      <c r="I46" s="36" t="inlineStr">
        <is>
          <t>yes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mergeCells count="3">
    <mergeCell ref="A2:M2"/>
    <mergeCell ref="A6:M6"/>
    <mergeCell ref="A1:M1"/>
  </mergeCells>
  <conditionalFormatting sqref="H9:H46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6" showDropDown="0" showInputMessage="0" showErrorMessage="0" allowBlank="0" type="list" errorStyle="stop" operator="between">
      <formula1>_Lists!$A$1:$A$7</formula1>
      <formula2>0</formula2>
    </dataValidation>
    <dataValidation sqref="I9:I46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AppBar Evidence Matrix</t>
        </is>
      </c>
    </row>
    <row r="2" ht="33.75" customHeight="1" s="22">
      <c r="A2" s="24" t="inlineStr">
        <is>
          <t>Evidence gates for the adopted AppBar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APB-01</t>
        </is>
      </c>
      <c r="B9" s="36" t="inlineStr">
        <is>
          <t>Public API</t>
        </is>
      </c>
      <c r="C9" s="36" t="inlineStr">
        <is>
          <t>AppBar.Root</t>
        </is>
      </c>
      <c r="D9" s="36" t="inlineStr">
        <is>
          <t>Root directly styles public Atom 0.3.3 AppBar.Root without framework, scroll listeners, or local behavior state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../src/components/app-bar/AppBar.tsx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APB-02</t>
        </is>
      </c>
      <c r="B10" s="36" t="inlineStr">
        <is>
          <t>Boundary</t>
        </is>
      </c>
      <c r="C10" s="36" t="inlineStr">
        <is>
          <t>AppBar</t>
        </is>
      </c>
      <c r="D10" s="36" t="inlineStr">
        <is>
          <t>Owner-approved audit defines AppBar as a top surface and one-row alignment structure rather than application navigation policy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../../docs/app-bar-component-brief.md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APB-03</t>
        </is>
      </c>
      <c r="B11" s="36" t="inlineStr">
        <is>
          <t>Public API</t>
        </is>
      </c>
      <c r="C11" s="36" t="inlineStr">
        <is>
          <t>AppBar</t>
        </is>
      </c>
      <c r="D11" s="36" t="inlineStr">
        <is>
          <t>Root and app-bar subpath exports, declarations, exact frozen namespace, named parts, and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APB-04</t>
        </is>
      </c>
      <c r="B12" s="36" t="inlineStr">
        <is>
          <t>Anatomy</t>
        </is>
      </c>
      <c r="C12" s="36" t="inlineStr">
        <is>
          <t>AppBar</t>
        </is>
      </c>
      <c r="D12" s="36" t="inlineStr">
        <is>
          <t>The namespace exposes exactly Root, Toolbar, Start, Center, and End and is not callable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../test/components/icon-button-app-bar.test.tsx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APB-05</t>
        </is>
      </c>
      <c r="B13" s="36" t="inlineStr">
        <is>
          <t>Anatomy</t>
        </is>
      </c>
      <c r="C13" s="36" t="inlineStr">
        <is>
          <t>AppBar.Root</t>
        </is>
      </c>
      <c r="D13" s="36" t="inlineStr">
        <is>
          <t>Shortest root emits a header landmark with stable class/slot and surface/static defaults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../test/components/icon-button-app-bar.test.tsx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APB-06</t>
        </is>
      </c>
      <c r="B14" s="36" t="inlineStr">
        <is>
          <t>Anatomy</t>
        </is>
      </c>
      <c r="C14" s="36" t="inlineStr">
        <is>
          <t>AppBar.Toolbar</t>
        </is>
      </c>
      <c r="D14" s="36" t="inlineStr">
        <is>
          <t>Toolbar is a layout wrapper without an invented ARIA toolbar role and forwards compact/comfortable density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tests/icon-button-app-bar.spec.ts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APB-07</t>
        </is>
      </c>
      <c r="B15" s="36" t="inlineStr">
        <is>
          <t>Anatomy</t>
        </is>
      </c>
      <c r="C15" s="36" t="inlineStr">
        <is>
          <t>AppBar.Start</t>
        </is>
      </c>
      <c r="D15" s="36" t="inlineStr">
        <is>
          <t>Start supplies the logical leading region with stable class and slot metadata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../test/components/icon-button-app-bar.test.tsx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APB-08</t>
        </is>
      </c>
      <c r="B16" s="36" t="inlineStr">
        <is>
          <t>Anatomy</t>
        </is>
      </c>
      <c r="C16" s="36" t="inlineStr">
        <is>
          <t>AppBar.Center</t>
        </is>
      </c>
      <c r="D16" s="36" t="inlineStr">
        <is>
          <t>Center supplies the flexible middle region while application CSS may hide or replace navigation responsively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tests/icon-button-app-bar.spec.ts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APB-09</t>
        </is>
      </c>
      <c r="B17" s="36" t="inlineStr">
        <is>
          <t>Anatomy</t>
        </is>
      </c>
      <c r="C17" s="36" t="inlineStr">
        <is>
          <t>AppBar.End</t>
        </is>
      </c>
      <c r="D17" s="36" t="inlineStr">
        <is>
          <t>End supplies the logical trailing action region with stable class and slot metadata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../test/components/icon-button-app-bar.test.tsx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APB-10</t>
        </is>
      </c>
      <c r="B18" s="36" t="inlineStr">
        <is>
          <t>Position</t>
        </is>
      </c>
      <c r="C18" s="36" t="inlineStr">
        <is>
          <t>AppBar.Root</t>
        </is>
      </c>
      <c r="D18" s="36" t="inlineStr">
        <is>
          <t>Static remains the safe default and participates in normal document flow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tests/icon-button-app-bar.spec.ts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APB-11</t>
        </is>
      </c>
      <c r="B19" s="36" t="inlineStr">
        <is>
          <t>Position</t>
        </is>
      </c>
      <c r="C19" s="36" t="inlineStr">
        <is>
          <t>AppBar.Root</t>
        </is>
      </c>
      <c r="D19" s="36" t="inlineStr">
        <is>
          <t>Absolute positions to the containing block while the application owns containment and offsets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tests/icon-button-app-bar.spec.ts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APB-12</t>
        </is>
      </c>
      <c r="B20" s="36" t="inlineStr">
        <is>
          <t>Position</t>
        </is>
      </c>
      <c r="C20" s="36" t="inlineStr">
        <is>
          <t>AppBar.Root</t>
        </is>
      </c>
      <c r="D20" s="36" t="inlineStr">
        <is>
          <t>Sticky pins to the logical top within its scroll container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tests/icon-button-app-bar.spec.ts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APB-13</t>
        </is>
      </c>
      <c r="B21" s="36" t="inlineStr">
        <is>
          <t>Position</t>
        </is>
      </c>
      <c r="C21" s="36" t="inlineStr">
        <is>
          <t>AppBar.Root</t>
        </is>
      </c>
      <c r="D21" s="36" t="inlineStr">
        <is>
          <t>Fixed pins to the viewport while the application explicitly owns content offset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tests/icon-button-app-bar.spec.ts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APB-14</t>
        </is>
      </c>
      <c r="B22" s="36" t="inlineStr">
        <is>
          <t>Visual system</t>
        </is>
      </c>
      <c r="C22" s="36" t="inlineStr">
        <is>
          <t>AppBar.Root</t>
        </is>
      </c>
      <c r="D22" s="36" t="inlineStr">
        <is>
          <t>Solid, surface, and transparent variants form a closed background hierarchy</t>
        </is>
      </c>
      <c r="E22" s="36" t="inlineStr">
        <is>
          <t>package</t>
        </is>
      </c>
      <c r="F22" s="36" t="inlineStr">
        <is>
          <t>visual</t>
        </is>
      </c>
      <c r="G22" s="37" t="inlineStr">
        <is>
          <t>tests/visual.spec.ts</t>
        </is>
      </c>
      <c r="H22" s="36" t="inlineStr">
        <is>
          <t>verified</t>
        </is>
      </c>
      <c r="I22" s="36" t="inlineStr">
        <is>
          <t>yes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APB-15</t>
        </is>
      </c>
      <c r="B23" s="36" t="inlineStr">
        <is>
          <t>Visual system</t>
        </is>
      </c>
      <c r="C23" s="36" t="inlineStr">
        <is>
          <t>AppBar.Root</t>
        </is>
      </c>
      <c r="D23" s="36" t="inlineStr">
        <is>
          <t>Bordered, elevated, and blurred options compose independently without scroll-driven behavior</t>
        </is>
      </c>
      <c r="E23" s="36" t="inlineStr">
        <is>
          <t>package</t>
        </is>
      </c>
      <c r="F23" s="36" t="inlineStr">
        <is>
          <t>visual</t>
        </is>
      </c>
      <c r="G23" s="37" t="inlineStr">
        <is>
          <t>tests/visual.spec.ts</t>
        </is>
      </c>
      <c r="H23" s="36" t="inlineStr">
        <is>
          <t>verified</t>
        </is>
      </c>
      <c r="I23" s="36" t="inlineStr">
        <is>
          <t>yes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APB-16</t>
        </is>
      </c>
      <c r="B24" s="36" t="inlineStr">
        <is>
          <t>Geometry</t>
        </is>
      </c>
      <c r="C24" s="36" t="inlineStr">
        <is>
          <t>AppBar.Toolbar</t>
        </is>
      </c>
      <c r="D24" s="36" t="inlineStr">
        <is>
          <t>Compact and comfortable densities preserve a deliberate one-row alignment contract</t>
        </is>
      </c>
      <c r="E24" s="36" t="inlineStr">
        <is>
          <t>package</t>
        </is>
      </c>
      <c r="F24" s="36" t="inlineStr">
        <is>
          <t>visual</t>
        </is>
      </c>
      <c r="G24" s="37" t="inlineStr">
        <is>
          <t>tests/visual.spec.ts</t>
        </is>
      </c>
      <c r="H24" s="36" t="inlineStr">
        <is>
          <t>verified</t>
        </is>
      </c>
      <c r="I24" s="36" t="inlineStr">
        <is>
          <t>yes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APB-17</t>
        </is>
      </c>
      <c r="B25" s="36" t="inlineStr">
        <is>
          <t>Composition</t>
        </is>
      </c>
      <c r="C25" s="36" t="inlineStr">
        <is>
          <t>AppBar</t>
        </is>
      </c>
      <c r="D25" s="36" t="inlineStr">
        <is>
          <t>Brand, links, Avatar, IconButton, and Toggle remain ordinary application-owned children</t>
        </is>
      </c>
      <c r="E25" s="36" t="inlineStr">
        <is>
          <t>package</t>
        </is>
      </c>
      <c r="F25" s="36" t="inlineStr">
        <is>
          <t>playground</t>
        </is>
      </c>
      <c r="G25" s="37" t="inlineStr">
        <is>
          <t>../playground/src/main.tsx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APB-18</t>
        </is>
      </c>
      <c r="B26" s="36" t="inlineStr">
        <is>
          <t>Responsive</t>
        </is>
      </c>
      <c r="C26" s="36" t="inlineStr">
        <is>
          <t>AppBar</t>
        </is>
      </c>
      <c r="D26" s="36" t="inlineStr">
        <is>
          <t>Long brand text, narrow mobile layouts, hidden center policy, and RTL remain contained without forced second-row wrapping</t>
        </is>
      </c>
      <c r="E26" s="36" t="inlineStr">
        <is>
          <t>package</t>
        </is>
      </c>
      <c r="F26" s="36" t="inlineStr">
        <is>
          <t>test</t>
        </is>
      </c>
      <c r="G26" s="37" t="inlineStr">
        <is>
          <t>tests/icon-button-app-bar.spec.ts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APB-19</t>
        </is>
      </c>
      <c r="B27" s="36" t="inlineStr">
        <is>
          <t>Direction</t>
        </is>
      </c>
      <c r="C27" s="36" t="inlineStr">
        <is>
          <t>AppBar</t>
        </is>
      </c>
      <c r="D27" s="36" t="inlineStr">
        <is>
          <t>Logical Start/End alignment mirrors in RTL without reversing application content semantics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tests/icon-button-app-bar.spec.ts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APB-20</t>
        </is>
      </c>
      <c r="B28" s="36" t="inlineStr">
        <is>
          <t>Accessibility</t>
        </is>
      </c>
      <c r="C28" s="36" t="inlineStr">
        <is>
          <t>AppBar</t>
        </is>
      </c>
      <c r="D28" s="36" t="inlineStr">
        <is>
          <t>Landmark labeling, ordinary navigation semantics, named controls, and axe checks pass without invented interaction roles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tests/icon-button-app-bar.spec.ts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APB-21</t>
        </is>
      </c>
      <c r="B29" s="36" t="inlineStr">
        <is>
          <t>Preferences</t>
        </is>
      </c>
      <c r="C29" s="36" t="inlineStr">
        <is>
          <t>AppBar</t>
        </is>
      </c>
      <c r="D29" s="36" t="inlineStr">
        <is>
          <t>Forced-colors preserves surface and action boundaries and blur degrades safely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tests/visual.spec.ts</t>
        </is>
      </c>
      <c r="H29" s="36" t="inlineStr">
        <is>
          <t>verified</t>
        </is>
      </c>
      <c r="I29" s="36" t="inlineStr">
        <is>
          <t>yes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APB-22</t>
        </is>
      </c>
      <c r="B30" s="36" t="inlineStr">
        <is>
          <t>Customization</t>
        </is>
      </c>
      <c r="C30" s="36" t="inlineStr">
        <is>
          <t>AppBar</t>
        </is>
      </c>
      <c r="D30" s="36" t="inlineStr">
        <is>
          <t>Root/part class, style, slot, scoped appearance, and documented component variables remain local and inspectable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APB-23</t>
        </is>
      </c>
      <c r="B31" s="36" t="inlineStr">
        <is>
          <t>Visual system</t>
        </is>
      </c>
      <c r="C31" s="36" t="inlineStr">
        <is>
          <t>AppBar</t>
        </is>
      </c>
      <c r="D31" s="36" t="inlineStr">
        <is>
          <t>Compiled layered CSS uses Brick classes, logical properties, semantic tokens, and no global page-offset rules</t>
        </is>
      </c>
      <c r="E31" s="36" t="inlineStr">
        <is>
          <t>package</t>
        </is>
      </c>
      <c r="F31" s="36" t="inlineStr">
        <is>
          <t>source</t>
        </is>
      </c>
      <c r="G31" s="37" t="inlineStr">
        <is>
          <t>../src/components/app-bar/app-bar.css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APB-24</t>
        </is>
      </c>
      <c r="B32" s="36" t="inlineStr">
        <is>
          <t>Playground</t>
        </is>
      </c>
      <c r="C32" s="36" t="inlineStr">
        <is>
          <t>AppBar</t>
        </is>
      </c>
      <c r="D32" s="36" t="inlineStr">
        <is>
          <t>The /app-bar workbench exposes overview, variants, density, options, all position modes, mobile stress, and RTL</t>
        </is>
      </c>
      <c r="E32" s="36" t="inlineStr">
        <is>
          <t>package</t>
        </is>
      </c>
      <c r="F32" s="36" t="inlineStr">
        <is>
          <t>playground</t>
        </is>
      </c>
      <c r="G32" s="37" t="inlineStr">
        <is>
          <t>../playground/src/main.tsx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APB-25</t>
        </is>
      </c>
      <c r="B33" s="36" t="inlineStr">
        <is>
          <t>Automated tests</t>
        </is>
      </c>
      <c r="C33" s="36" t="inlineStr">
        <is>
          <t>AppBar</t>
        </is>
      </c>
      <c r="D33" s="36" t="inlineStr">
        <is>
          <t>Vitest covers exact anatomy, defaults, props, refs, composition, positions, variants, and options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../test/components/icon-button-app-bar.test.tsx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APB-26</t>
        </is>
      </c>
      <c r="B34" s="36" t="inlineStr">
        <is>
          <t>Automated tests</t>
        </is>
      </c>
      <c r="C34" s="36" t="inlineStr">
        <is>
          <t>AppBar</t>
        </is>
      </c>
      <c r="D34" s="36" t="inlineStr">
        <is>
          <t>Public root/subpath types accept supported contracts and reject invalid variants, positions, density, and callable namespace use</t>
        </is>
      </c>
      <c r="E34" s="36" t="inlineStr">
        <is>
          <t>package</t>
        </is>
      </c>
      <c r="F34" s="36" t="inlineStr">
        <is>
          <t>types</t>
        </is>
      </c>
      <c r="G34" s="37" t="inlineStr">
        <is>
          <t>../test/types/public-api.test.ts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APB-27</t>
        </is>
      </c>
      <c r="B35" s="36" t="inlineStr">
        <is>
          <t>Automated tests</t>
        </is>
      </c>
      <c r="C35" s="36" t="inlineStr">
        <is>
          <t>AppBar</t>
        </is>
      </c>
      <c r="D35" s="36" t="inlineStr">
        <is>
          <t>Node boundary, export identity, stylesheet, declarations, deterministic SSR, and dry-pack checks include app-bar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../test/package/package.test.mjs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APB-28</t>
        </is>
      </c>
      <c r="B36" s="36" t="inlineStr">
        <is>
          <t>Automated tests</t>
        </is>
      </c>
      <c r="C36" s="36" t="inlineStr">
        <is>
          <t>AppBar</t>
        </is>
      </c>
      <c r="D36" s="36" t="inlineStr">
        <is>
          <t>Clean packed React 18/19 consumers import, SSR-render, typecheck, and load AppBar CSS</t>
        </is>
      </c>
      <c r="E36" s="36" t="inlineStr">
        <is>
          <t>package</t>
        </is>
      </c>
      <c r="F36" s="36" t="inlineStr">
        <is>
          <t>package</t>
        </is>
      </c>
      <c r="G36" s="37" t="inlineStr">
        <is>
          <t>../scripts/verify-consumers.mjs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APB-29</t>
        </is>
      </c>
      <c r="B37" s="36" t="inlineStr">
        <is>
          <t>Automated tests</t>
        </is>
      </c>
      <c r="C37" s="36" t="inlineStr">
        <is>
          <t>AppBar</t>
        </is>
      </c>
      <c r="D37" s="36" t="inlineStr">
        <is>
          <t>Strict typecheck, production build, CSS report, and 100% component-source coverage pass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../test/components/icon-button-app-bar.test.tsx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APB-30</t>
        </is>
      </c>
      <c r="B38" s="36" t="inlineStr">
        <is>
          <t>Automated tests</t>
        </is>
      </c>
      <c r="C38" s="36" t="inlineStr">
        <is>
          <t>AppBar</t>
        </is>
      </c>
      <c r="D38" s="36" t="inlineStr">
        <is>
          <t>Focused browser checks cover anatomy, positions, responsive/RTL containment, axe, and forced colors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tests/icon-button-app-bar.spec.ts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APB-31</t>
        </is>
      </c>
      <c r="B39" s="36" t="inlineStr">
        <is>
          <t>Automated tests</t>
        </is>
      </c>
      <c r="C39" s="36" t="inlineStr">
        <is>
          <t>AppBar</t>
        </is>
      </c>
      <c r="D39" s="36" t="inlineStr">
        <is>
          <t>Chromium, Firefox, WebKit, Pixel, and iPhone release-matrix checks pass where applicable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../playwright.config.ts</t>
        </is>
      </c>
      <c r="H39" s="36" t="inlineStr">
        <is>
          <t>tested</t>
        </is>
      </c>
      <c r="I39" s="36" t="inlineStr">
        <is>
          <t>no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APB-32</t>
        </is>
      </c>
      <c r="B40" s="36" t="inlineStr">
        <is>
          <t>Automated tests</t>
        </is>
      </c>
      <c r="C40" s="36" t="inlineStr">
        <is>
          <t>AppBar</t>
        </is>
      </c>
      <c r="D40" s="36" t="inlineStr">
        <is>
          <t>Four reviewed Chromium baselines cover light variants, dark options, mobile/RTL stress, and forced-colors density</t>
        </is>
      </c>
      <c r="E40" s="36" t="inlineStr">
        <is>
          <t>package</t>
        </is>
      </c>
      <c r="F40" s="36" t="inlineStr">
        <is>
          <t>visual</t>
        </is>
      </c>
      <c r="G40" s="37" t="inlineStr">
        <is>
          <t>tests/visual.spec.ts</t>
        </is>
      </c>
      <c r="H40" s="36" t="inlineStr">
        <is>
          <t>verified</t>
        </is>
      </c>
      <c r="I40" s="36" t="inlineStr">
        <is>
          <t>yes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APB-33</t>
        </is>
      </c>
      <c r="B41" s="36" t="inlineStr">
        <is>
          <t>Manual evidence</t>
        </is>
      </c>
      <c r="C41" s="36" t="inlineStr">
        <is>
          <t>AppBar</t>
        </is>
      </c>
      <c r="D41" s="36" t="inlineStr">
        <is>
          <t>Numbered protocol covers hierarchy, anatomy, positions, keyboard/landmarks, zoom/mobile/RTL, VoiceOver, preferences,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manual-tests/app-bar.md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APB-34</t>
        </is>
      </c>
      <c r="B42" s="36" t="inlineStr">
        <is>
          <t>Manual evidence</t>
        </is>
      </c>
      <c r="C42" s="36" t="inlineStr">
        <is>
          <t>AppBar</t>
        </is>
      </c>
      <c r="D42" s="36" t="inlineStr">
        <is>
          <t>Latest owner run records every numbered AppBar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manual-tests/app-bar.md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APB-35</t>
        </is>
      </c>
      <c r="B43" s="36" t="inlineStr">
        <is>
          <t>Documentation</t>
        </is>
      </c>
      <c r="C43" s="36" t="inlineStr">
        <is>
          <t>AppBar</t>
        </is>
      </c>
      <c r="D43" s="36" t="inlineStr">
        <is>
          <t>Public guide covers scope, exact anatomy, positions, fixed-offset ownership, responsive policy, semantics, CSS hooks, and preferences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../docs/components/app-bar/README.md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APB-36</t>
        </is>
      </c>
      <c r="B44" s="36" t="inlineStr">
        <is>
          <t>Documentation</t>
        </is>
      </c>
      <c r="C44" s="36" t="inlineStr">
        <is>
          <t>AppBar</t>
        </is>
      </c>
      <c r="D44" s="36" t="inlineStr">
        <is>
          <t>Component changelog records the initial public contract and evidence boundary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../docs/components/app-bar/CHANGELOG.md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APB-37</t>
        </is>
      </c>
      <c r="B45" s="36" t="inlineStr">
        <is>
          <t>Consumer</t>
        </is>
      </c>
      <c r="C45" s="36" t="inlineStr">
        <is>
          <t>AppBar</t>
        </is>
      </c>
      <c r="D45" s="36" t="inlineStr">
        <is>
          <t>Independent Consumer uses public AppBar/IconButton subpaths for a sticky application header after correcting unrelated layout regressions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../apps/consumer/src/App.tsx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APB-39</t>
        </is>
      </c>
      <c r="B46" s="36" t="inlineStr">
        <is>
          <t>Scope</t>
        </is>
      </c>
      <c r="C46" s="36" t="inlineStr">
        <is>
          <t>AppBar</t>
        </is>
      </c>
      <c r="D46" s="36" t="inlineStr">
        <is>
          <t>Automatic hide/elevate-on-scroll, generated navigation, responsive overflow menus, page offsets, and app-shell orchestration remain excluded</t>
        </is>
      </c>
      <c r="E46" s="36" t="inlineStr">
        <is>
          <t>package</t>
        </is>
      </c>
      <c r="F46" s="36" t="inlineStr">
        <is>
          <t>decision</t>
        </is>
      </c>
      <c r="G46" s="37" t="inlineStr">
        <is>
          <t>../../docs/app-bar-component-brief.md</t>
        </is>
      </c>
      <c r="H46" s="36" t="inlineStr">
        <is>
          <t>verified</t>
        </is>
      </c>
      <c r="I46" s="36" t="inlineStr">
        <is>
          <t>yes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mergeCells count="3">
    <mergeCell ref="A2:M2"/>
    <mergeCell ref="A6:M6"/>
    <mergeCell ref="A1:M1"/>
  </mergeCells>
  <conditionalFormatting sqref="H9:H46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6" showDropDown="0" showInputMessage="0" showErrorMessage="0" allowBlank="0" type="list" errorStyle="stop" operator="between">
      <formula1>_Lists!$A$1:$A$7</formula1>
      <formula2>0</formula2>
    </dataValidation>
    <dataValidation sqref="I9:I46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Tooltip Evidence Matrix</t>
        </is>
      </c>
    </row>
    <row r="2" ht="33.75" customHeight="1" s="22">
      <c r="A2" s="24" t="inlineStr">
        <is>
          <t>Evidence gates for the adopted Tooltip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TTP-01</t>
        </is>
      </c>
      <c r="B9" s="36" t="inlineStr">
        <is>
          <t>Public API</t>
        </is>
      </c>
      <c r="C9" s="36" t="inlineStr">
        <is>
          <t>Tooltip</t>
        </is>
      </c>
      <c r="D9" s="36" t="inlineStr">
        <is>
          <t>Directly styles public Atom 0.3.5 Tooltip without local behavior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../src/components/tooltip/Tooltip.tsx</t>
        </is>
      </c>
      <c r="H9" s="36" t="inlineStr">
        <is>
          <t>tested</t>
        </is>
      </c>
      <c r="I9" s="36" t="inlineStr">
        <is>
          <t>no</t>
        </is>
      </c>
      <c r="J9" s="40" t="n">
        <v>46222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TTP-02</t>
        </is>
      </c>
      <c r="B10" s="36" t="inlineStr">
        <is>
          <t>Boundary</t>
        </is>
      </c>
      <c r="C10" s="36" t="inlineStr">
        <is>
          <t>Tooltip</t>
        </is>
      </c>
      <c r="D10" s="36" t="inlineStr">
        <is>
          <t>Owner-adopted brief defines supplemental non-interactive plain and rich content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../../docs/tooltip-component-brief.md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46222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TTP-03</t>
        </is>
      </c>
      <c r="B11" s="36" t="inlineStr">
        <is>
          <t>Exports</t>
        </is>
      </c>
      <c r="C11" s="36" t="inlineStr">
        <is>
          <t>Tooltip</t>
        </is>
      </c>
      <c r="D11" s="36" t="inlineStr">
        <is>
          <t>Root and tooltip subpath exports and declarations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46222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TTP-04</t>
        </is>
      </c>
      <c r="B12" s="36" t="inlineStr">
        <is>
          <t>Anatomy</t>
        </is>
      </c>
      <c r="C12" s="36" t="inlineStr">
        <is>
          <t>Tooltip</t>
        </is>
      </c>
      <c r="D12" s="36" t="inlineStr">
        <is>
          <t>Frozen namespace exposes exactly eight parts and is not callable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../test/components/tooltip.test.tsx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46222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TTP-05</t>
        </is>
      </c>
      <c r="B13" s="36" t="inlineStr">
        <is>
          <t>Anatomy</t>
        </is>
      </c>
      <c r="C13" s="36" t="inlineStr">
        <is>
          <t>Provider</t>
        </is>
      </c>
      <c r="D13" s="36" t="inlineStr">
        <is>
          <t>Provider forwards shared timing policy and renders no Brick wrapper</t>
        </is>
      </c>
      <c r="E13" s="36" t="inlineStr">
        <is>
          <t>package</t>
        </is>
      </c>
      <c r="F13" s="36" t="inlineStr">
        <is>
          <t>source</t>
        </is>
      </c>
      <c r="G13" s="37" t="inlineStr">
        <is>
          <t>../src/components/tooltip/Tooltip.tsx</t>
        </is>
      </c>
      <c r="H13" s="36" t="inlineStr">
        <is>
          <t>tested</t>
        </is>
      </c>
      <c r="I13" s="36" t="inlineStr">
        <is>
          <t>no</t>
        </is>
      </c>
      <c r="J13" s="40" t="n">
        <v>46222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TTP-06</t>
        </is>
      </c>
      <c r="B14" s="36" t="inlineStr">
        <is>
          <t>Anatomy</t>
        </is>
      </c>
      <c r="C14" s="36" t="inlineStr">
        <is>
          <t>Root</t>
        </is>
      </c>
      <c r="D14" s="36" t="inlineStr">
        <is>
          <t>Root forwards state, delays, disabled, and plain/rich variant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../test/components/tooltip.test.tsx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46222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TTP-07</t>
        </is>
      </c>
      <c r="B15" s="36" t="inlineStr">
        <is>
          <t>Anatomy</t>
        </is>
      </c>
      <c r="C15" s="36" t="inlineStr">
        <is>
          <t>Trigger</t>
        </is>
      </c>
      <c r="D15" s="36" t="inlineStr">
        <is>
          <t>Trigger supports asChild/render, ref, class, style, and stable slot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../test/components/tooltip.test.tsx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46222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TTP-08</t>
        </is>
      </c>
      <c r="B16" s="36" t="inlineStr">
        <is>
          <t>Anatomy</t>
        </is>
      </c>
      <c r="C16" s="36" t="inlineStr">
        <is>
          <t>Portal</t>
        </is>
      </c>
      <c r="D16" s="36" t="inlineStr">
        <is>
          <t>Portal forwards Atom container/disabled behavior without wrapper</t>
        </is>
      </c>
      <c r="E16" s="36" t="inlineStr">
        <is>
          <t>package</t>
        </is>
      </c>
      <c r="F16" s="36" t="inlineStr">
        <is>
          <t>source</t>
        </is>
      </c>
      <c r="G16" s="37" t="inlineStr">
        <is>
          <t>../src/components/tooltip/Tooltip.tsx</t>
        </is>
      </c>
      <c r="H16" s="36" t="inlineStr">
        <is>
          <t>tested</t>
        </is>
      </c>
      <c r="I16" s="36" t="inlineStr">
        <is>
          <t>no</t>
        </is>
      </c>
      <c r="J16" s="40" t="n">
        <v>46222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TTP-09</t>
        </is>
      </c>
      <c r="B17" s="36" t="inlineStr">
        <is>
          <t>Anatomy</t>
        </is>
      </c>
      <c r="C17" s="36" t="inlineStr">
        <is>
          <t>Content</t>
        </is>
      </c>
      <c r="D17" s="36" t="inlineStr">
        <is>
          <t>Content owns stable hooks, defaults sideOffset to 8, and omits label overrides</t>
        </is>
      </c>
      <c r="E17" s="36" t="inlineStr">
        <is>
          <t>package</t>
        </is>
      </c>
      <c r="F17" s="36" t="inlineStr">
        <is>
          <t>types</t>
        </is>
      </c>
      <c r="G17" s="37" t="inlineStr">
        <is>
          <t>../test/types/public-api.test.ts</t>
        </is>
      </c>
      <c r="H17" s="36" t="inlineStr">
        <is>
          <t>tested</t>
        </is>
      </c>
      <c r="I17" s="36" t="inlineStr">
        <is>
          <t>no</t>
        </is>
      </c>
      <c r="J17" s="40" t="n">
        <v>46222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TTP-10</t>
        </is>
      </c>
      <c r="B18" s="36" t="inlineStr">
        <is>
          <t>Anatomy</t>
        </is>
      </c>
      <c r="C18" s="36" t="inlineStr">
        <is>
          <t>Title</t>
        </is>
      </c>
      <c r="D18" s="36" t="inlineStr">
        <is>
          <t>Rich title is presentational, composable, native-prop and ref capable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../test/components/tooltip.test.tsx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46222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TTP-11</t>
        </is>
      </c>
      <c r="B19" s="36" t="inlineStr">
        <is>
          <t>Anatomy</t>
        </is>
      </c>
      <c r="C19" s="36" t="inlineStr">
        <is>
          <t>Description</t>
        </is>
      </c>
      <c r="D19" s="36" t="inlineStr">
        <is>
          <t>Rich description is presentational, composable, native-prop and ref capable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../test/components/tooltip.test.tsx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46222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TTP-12</t>
        </is>
      </c>
      <c r="B20" s="36" t="inlineStr">
        <is>
          <t>Anatomy</t>
        </is>
      </c>
      <c r="C20" s="36" t="inlineStr">
        <is>
          <t>Arrow</t>
        </is>
      </c>
      <c r="D20" s="36" t="inlineStr">
        <is>
          <t>Optional arrow forwards Atom geometry/composition with stable shared hook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../test/components/tooltip.test.tsx</t>
        </is>
      </c>
      <c r="H20" s="36" t="inlineStr">
        <is>
          <t>tested</t>
        </is>
      </c>
      <c r="I20" s="36" t="inlineStr">
        <is>
          <t>no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TTP-13</t>
        </is>
      </c>
      <c r="B21" s="36" t="inlineStr">
        <is>
          <t>Semantics</t>
        </is>
      </c>
      <c r="C21" s="36" t="inlineStr">
        <is>
          <t>Trigger</t>
        </is>
      </c>
      <c r="D21" s="36" t="inlineStr">
        <is>
          <t>Trigger retains an independent accessible name and Tooltip remains supplemental</t>
        </is>
      </c>
      <c r="E21" s="36" t="inlineStr">
        <is>
          <t>package</t>
        </is>
      </c>
      <c r="F21" s="36" t="inlineStr">
        <is>
          <t>browser</t>
        </is>
      </c>
      <c r="G21" s="37" t="inlineStr">
        <is>
          <t>tests/tooltip.spec.ts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TTP-14</t>
        </is>
      </c>
      <c r="B22" s="36" t="inlineStr">
        <is>
          <t>Semantics</t>
        </is>
      </c>
      <c r="C22" s="36" t="inlineStr">
        <is>
          <t>Content</t>
        </is>
      </c>
      <c r="D22" s="36" t="inlineStr">
        <is>
          <t>Plain and rich content remain non-interactive role=tooltip descriptions</t>
        </is>
      </c>
      <c r="E22" s="36" t="inlineStr">
        <is>
          <t>package</t>
        </is>
      </c>
      <c r="F22" s="36" t="inlineStr">
        <is>
          <t>browser</t>
        </is>
      </c>
      <c r="G22" s="37" t="inlineStr">
        <is>
          <t>tests/tooltip.spec.ts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46222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TTP-15</t>
        </is>
      </c>
      <c r="B23" s="36" t="inlineStr">
        <is>
          <t>Behavior</t>
        </is>
      </c>
      <c r="C23" s="36" t="inlineStr">
        <is>
          <t>Tooltip</t>
        </is>
      </c>
      <c r="D23" s="36" t="inlineStr">
        <is>
          <t>Keyboard focus opens and Escape closes without moving trigger focus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tests/tooltip.spec.ts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46222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TTP-16</t>
        </is>
      </c>
      <c r="B24" s="36" t="inlineStr">
        <is>
          <t>Behavior</t>
        </is>
      </c>
      <c r="C24" s="36" t="inlineStr">
        <is>
          <t>Tooltip</t>
        </is>
      </c>
      <c r="D24" s="36" t="inlineStr">
        <is>
          <t>Hover bridge, delays, pointer grace, and provider skip-delay match Atom 0.3.5</t>
        </is>
      </c>
      <c r="E24" s="36" t="inlineStr">
        <is>
          <t>package</t>
        </is>
      </c>
      <c r="F24" s="36" t="inlineStr">
        <is>
          <t>manual</t>
        </is>
      </c>
      <c r="G24" s="37" t="inlineStr">
        <is>
          <t>manual-tests/tooltip.md</t>
        </is>
      </c>
      <c r="H24" s="36" t="inlineStr">
        <is>
          <t>verified</t>
        </is>
      </c>
      <c r="I24" s="36" t="inlineStr">
        <is>
          <t>yes</t>
        </is>
      </c>
      <c r="J24" s="40" t="n">
        <v>46223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TTP-17</t>
        </is>
      </c>
      <c r="B25" s="36" t="inlineStr">
        <is>
          <t>Touch</t>
        </is>
      </c>
      <c r="C25" s="36" t="inlineStr">
        <is>
          <t>Tooltip</t>
        </is>
      </c>
      <c r="D25" s="36" t="inlineStr">
        <is>
          <t>Quick tap, deliberate hold, text selection prevention, release/outside/scroll dismissal pass on iPhone Safari</t>
        </is>
      </c>
      <c r="E25" s="36" t="inlineStr">
        <is>
          <t>package</t>
        </is>
      </c>
      <c r="F25" s="36" t="inlineStr">
        <is>
          <t>manual</t>
        </is>
      </c>
      <c r="G25" s="37" t="inlineStr">
        <is>
          <t>manual-tests/tooltip.md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46223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TTP-18</t>
        </is>
      </c>
      <c r="B26" s="36" t="inlineStr">
        <is>
          <t>Touch</t>
        </is>
      </c>
      <c r="C26" s="36" t="inlineStr">
        <is>
          <t>Tooltip</t>
        </is>
      </c>
      <c r="D26" s="36" t="inlineStr">
        <is>
          <t>Android Chrome touch behavior matches the adopted mobile contract</t>
        </is>
      </c>
      <c r="E26" s="36" t="inlineStr">
        <is>
          <t>package</t>
        </is>
      </c>
      <c r="F26" s="36" t="inlineStr">
        <is>
          <t>manual</t>
        </is>
      </c>
      <c r="G26" s="37" t="inlineStr">
        <is>
          <t>manual-tests/tooltip.md</t>
        </is>
      </c>
      <c r="H26" s="36" t="inlineStr">
        <is>
          <t>not applicable</t>
        </is>
      </c>
      <c r="I26" s="36" t="inlineStr">
        <is>
          <t>yes</t>
        </is>
      </c>
      <c r="J26" s="40" t="n">
        <v>46223</v>
      </c>
      <c r="K26" s="36" t="inlineStr">
        <is>
          <t>Android Chrome device unavailable; iPhone Safari passed published Atom 0.6.1 touch contract</t>
        </is>
      </c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TTP-19</t>
        </is>
      </c>
      <c r="B27" s="36" t="inlineStr">
        <is>
          <t>Appearance</t>
        </is>
      </c>
      <c r="C27" s="36" t="inlineStr">
        <is>
          <t>Content</t>
        </is>
      </c>
      <c r="D27" s="36" t="inlineStr">
        <is>
          <t>Plain neutral inverse recipe is visually approved in light and dark</t>
        </is>
      </c>
      <c r="E27" s="36" t="inlineStr">
        <is>
          <t>package</t>
        </is>
      </c>
      <c r="F27" s="36" t="inlineStr">
        <is>
          <t>visual</t>
        </is>
      </c>
      <c r="G27" s="37" t="inlineStr">
        <is>
          <t>/tooltip</t>
        </is>
      </c>
      <c r="H27" s="36" t="inlineStr">
        <is>
          <t>verified</t>
        </is>
      </c>
      <c r="I27" s="36" t="inlineStr">
        <is>
          <t>yes</t>
        </is>
      </c>
      <c r="J27" s="40" t="n">
        <v>46223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TTP-20</t>
        </is>
      </c>
      <c r="B28" s="36" t="inlineStr">
        <is>
          <t>Appearance</t>
        </is>
      </c>
      <c r="C28" s="36" t="inlineStr">
        <is>
          <t>Content</t>
        </is>
      </c>
      <c r="D28" s="36" t="inlineStr">
        <is>
          <t>Rich title/description recipe is visually approved in light and dark</t>
        </is>
      </c>
      <c r="E28" s="36" t="inlineStr">
        <is>
          <t>package</t>
        </is>
      </c>
      <c r="F28" s="36" t="inlineStr">
        <is>
          <t>visual</t>
        </is>
      </c>
      <c r="G28" s="37" t="inlineStr">
        <is>
          <t>/tooltip</t>
        </is>
      </c>
      <c r="H28" s="36" t="inlineStr">
        <is>
          <t>verified</t>
        </is>
      </c>
      <c r="I28" s="36" t="inlineStr">
        <is>
          <t>yes</t>
        </is>
      </c>
      <c r="J28" s="40" t="n">
        <v>46223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TTP-21</t>
        </is>
      </c>
      <c r="B29" s="36" t="inlineStr">
        <is>
          <t>Appearance</t>
        </is>
      </c>
      <c r="C29" s="36" t="inlineStr">
        <is>
          <t>Arrow</t>
        </is>
      </c>
      <c r="D29" s="36" t="inlineStr">
        <is>
          <t>Shared floating-arrow geometry and fill/border alignment are approved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/tooltip</t>
        </is>
      </c>
      <c r="H29" s="36" t="inlineStr">
        <is>
          <t>verified</t>
        </is>
      </c>
      <c r="I29" s="36" t="inlineStr">
        <is>
          <t>yes</t>
        </is>
      </c>
      <c r="J29" s="40" t="n">
        <v>46223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TTP-22</t>
        </is>
      </c>
      <c r="B30" s="36" t="inlineStr">
        <is>
          <t>Placement</t>
        </is>
      </c>
      <c r="C30" s="36" t="inlineStr">
        <is>
          <t>Tooltip</t>
        </is>
      </c>
      <c r="D30" s="36" t="inlineStr">
        <is>
          <t>Top/right/bottom/left positioning and collision-resolved arrow remain aligned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tests/tooltip.spec.ts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TTP-23</t>
        </is>
      </c>
      <c r="B31" s="36" t="inlineStr">
        <is>
          <t>Responsive</t>
        </is>
      </c>
      <c r="C31" s="36" t="inlineStr">
        <is>
          <t>Content</t>
        </is>
      </c>
      <c r="D31" s="36" t="inlineStr">
        <is>
          <t>256px RTL layout remains within viewport without page overflow</t>
        </is>
      </c>
      <c r="E31" s="36" t="inlineStr">
        <is>
          <t>package</t>
        </is>
      </c>
      <c r="F31" s="36" t="inlineStr">
        <is>
          <t>browser</t>
        </is>
      </c>
      <c r="G31" s="37" t="inlineStr">
        <is>
          <t>tests/tooltip.spec.ts</t>
        </is>
      </c>
      <c r="H31" s="36" t="inlineStr">
        <is>
          <t>tested</t>
        </is>
      </c>
      <c r="I31" s="36" t="inlineStr">
        <is>
          <t>no</t>
        </is>
      </c>
      <c r="J31" s="40" t="n">
        <v>46222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TTP-24</t>
        </is>
      </c>
      <c r="B32" s="36" t="inlineStr">
        <is>
          <t>Responsive</t>
        </is>
      </c>
      <c r="C32" s="36" t="inlineStr">
        <is>
          <t>Content</t>
        </is>
      </c>
      <c r="D32" s="36" t="inlineStr">
        <is>
          <t>200% and 400% zoom wrapping and reachability are approved</t>
        </is>
      </c>
      <c r="E32" s="36" t="inlineStr">
        <is>
          <t>package</t>
        </is>
      </c>
      <c r="F32" s="36" t="inlineStr">
        <is>
          <t>manual</t>
        </is>
      </c>
      <c r="G32" s="37" t="inlineStr">
        <is>
          <t>manual-tests/tooltip.md</t>
        </is>
      </c>
      <c r="H32" s="36" t="inlineStr">
        <is>
          <t>verified</t>
        </is>
      </c>
      <c r="I32" s="36" t="inlineStr">
        <is>
          <t>yes</t>
        </is>
      </c>
      <c r="J32" s="40" t="n">
        <v>46223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TTP-25</t>
        </is>
      </c>
      <c r="B33" s="36" t="inlineStr">
        <is>
          <t>Localization</t>
        </is>
      </c>
      <c r="C33" s="36" t="inlineStr">
        <is>
          <t>Content</t>
        </is>
      </c>
      <c r="D33" s="36" t="inlineStr">
        <is>
          <t>Long localized content wraps within closed plain/rich maximum widths</t>
        </is>
      </c>
      <c r="E33" s="36" t="inlineStr">
        <is>
          <t>package</t>
        </is>
      </c>
      <c r="F33" s="36" t="inlineStr">
        <is>
          <t>browser</t>
        </is>
      </c>
      <c r="G33" s="37" t="inlineStr">
        <is>
          <t>tests/tooltip.spec.ts</t>
        </is>
      </c>
      <c r="H33" s="36" t="inlineStr">
        <is>
          <t>tested</t>
        </is>
      </c>
      <c r="I33" s="36" t="inlineStr">
        <is>
          <t>no</t>
        </is>
      </c>
      <c r="J33" s="40" t="n">
        <v>46222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TTP-26</t>
        </is>
      </c>
      <c r="B34" s="36" t="inlineStr">
        <is>
          <t>Direction</t>
        </is>
      </c>
      <c r="C34" s="36" t="inlineStr">
        <is>
          <t>Tooltip</t>
        </is>
      </c>
      <c r="D34" s="36" t="inlineStr">
        <is>
          <t>RTL trigger, content, and logical text alignment are approved</t>
        </is>
      </c>
      <c r="E34" s="36" t="inlineStr">
        <is>
          <t>package</t>
        </is>
      </c>
      <c r="F34" s="36" t="inlineStr">
        <is>
          <t>manual</t>
        </is>
      </c>
      <c r="G34" s="37" t="inlineStr">
        <is>
          <t>manual-tests/tooltip.md</t>
        </is>
      </c>
      <c r="H34" s="36" t="inlineStr">
        <is>
          <t>verified</t>
        </is>
      </c>
      <c r="I34" s="36" t="inlineStr">
        <is>
          <t>yes</t>
        </is>
      </c>
      <c r="J34" s="40" t="n">
        <v>46223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TTP-27</t>
        </is>
      </c>
      <c r="B35" s="36" t="inlineStr">
        <is>
          <t>Preferences</t>
        </is>
      </c>
      <c r="C35" s="36" t="inlineStr">
        <is>
          <t>Tooltip</t>
        </is>
      </c>
      <c r="D35" s="36" t="inlineStr">
        <is>
          <t>Reduced-motion behavior and visible forced-colors boundary are approved</t>
        </is>
      </c>
      <c r="E35" s="36" t="inlineStr">
        <is>
          <t>package</t>
        </is>
      </c>
      <c r="F35" s="36" t="inlineStr">
        <is>
          <t>manual</t>
        </is>
      </c>
      <c r="G35" s="37" t="inlineStr">
        <is>
          <t>manual-tests/tooltip.md</t>
        </is>
      </c>
      <c r="H35" s="36" t="inlineStr">
        <is>
          <t>verified</t>
        </is>
      </c>
      <c r="I35" s="36" t="inlineStr">
        <is>
          <t>yes</t>
        </is>
      </c>
      <c r="J35" s="40" t="n">
        <v>46223</v>
      </c>
      <c r="K35" s="36" t="inlineStr">
        <is>
          <t>Reduced motion passed; forced colors unavailable without a Windows device</t>
        </is>
      </c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TTP-28</t>
        </is>
      </c>
      <c r="B36" s="36" t="inlineStr">
        <is>
          <t>Accessibility</t>
        </is>
      </c>
      <c r="C36" s="36" t="inlineStr">
        <is>
          <t>Tooltip</t>
        </is>
      </c>
      <c r="D36" s="36" t="inlineStr">
        <is>
          <t>Focused playground surface has no axe violations excluding portalled landmark best-practice</t>
        </is>
      </c>
      <c r="E36" s="36" t="inlineStr">
        <is>
          <t>package</t>
        </is>
      </c>
      <c r="F36" s="36" t="inlineStr">
        <is>
          <t>axe</t>
        </is>
      </c>
      <c r="G36" s="37" t="inlineStr">
        <is>
          <t>tests/tooltip.spec.ts</t>
        </is>
      </c>
      <c r="H36" s="36" t="inlineStr">
        <is>
          <t>tested</t>
        </is>
      </c>
      <c r="I36" s="36" t="inlineStr">
        <is>
          <t>no</t>
        </is>
      </c>
      <c r="J36" s="40" t="n">
        <v>46222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TTP-29</t>
        </is>
      </c>
      <c r="B37" s="36" t="inlineStr">
        <is>
          <t>CSS</t>
        </is>
      </c>
      <c r="C37" s="36" t="inlineStr">
        <is>
          <t>Tooltip</t>
        </is>
      </c>
      <c r="D37" s="36" t="inlineStr">
        <is>
          <t>Production CSS includes tooltip recipes, shared arrow primitive, tokens, RTL/reflow/preference rules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../test/package/package.test.mjs</t>
        </is>
      </c>
      <c r="H37" s="36" t="inlineStr">
        <is>
          <t>tested</t>
        </is>
      </c>
      <c r="I37" s="36" t="inlineStr">
        <is>
          <t>no</t>
        </is>
      </c>
      <c r="J37" s="40" t="n">
        <v>46222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TTP-30</t>
        </is>
      </c>
      <c r="B38" s="36" t="inlineStr">
        <is>
          <t>Package</t>
        </is>
      </c>
      <c r="C38" s="36" t="inlineStr">
        <is>
          <t>Tooltip</t>
        </is>
      </c>
      <c r="D38" s="36" t="inlineStr">
        <is>
          <t>Packed metadata exposes tooltip subpath and exact Atom 0.3.5 dependency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../test/package/package.test.mjs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TTP-31</t>
        </is>
      </c>
      <c r="B39" s="36" t="inlineStr">
        <is>
          <t>Consumers</t>
        </is>
      </c>
      <c r="C39" s="36" t="inlineStr">
        <is>
          <t>Tooltip</t>
        </is>
      </c>
      <c r="D39" s="36" t="inlineStr">
        <is>
          <t>Generated React 18 and React 19 package consumers import Tooltip and CSS</t>
        </is>
      </c>
      <c r="E39" s="36" t="inlineStr">
        <is>
          <t>package</t>
        </is>
      </c>
      <c r="F39" s="36" t="inlineStr">
        <is>
          <t>consumer</t>
        </is>
      </c>
      <c r="G39" s="37" t="inlineStr">
        <is>
          <t>../scripts/verify-consumers.mjs</t>
        </is>
      </c>
      <c r="H39" s="36" t="inlineStr">
        <is>
          <t>tested</t>
        </is>
      </c>
      <c r="I39" s="36" t="inlineStr">
        <is>
          <t>no</t>
        </is>
      </c>
      <c r="J39" s="40" t="n">
        <v>46222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TTP-32</t>
        </is>
      </c>
      <c r="B40" s="36" t="inlineStr">
        <is>
          <t>Docs</t>
        </is>
      </c>
      <c r="C40" s="36" t="inlineStr">
        <is>
          <t>Tooltip</t>
        </is>
      </c>
      <c r="D40" s="36" t="inlineStr">
        <is>
          <t>Public guide documents use, anatomy, rich boundary, hooks, and imports</t>
        </is>
      </c>
      <c r="E40" s="36" t="inlineStr">
        <is>
          <t>package</t>
        </is>
      </c>
      <c r="F40" s="36" t="inlineStr">
        <is>
          <t>docs</t>
        </is>
      </c>
      <c r="G40" s="37" t="inlineStr">
        <is>
          <t>../docs/components/tooltip/README.md</t>
        </is>
      </c>
      <c r="H40" s="36" t="inlineStr">
        <is>
          <t>tested</t>
        </is>
      </c>
      <c r="I40" s="36" t="inlineStr">
        <is>
          <t>no</t>
        </is>
      </c>
      <c r="J40" s="40" t="n">
        <v>46222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TTP-33</t>
        </is>
      </c>
      <c r="B41" s="36" t="inlineStr">
        <is>
          <t>Docs</t>
        </is>
      </c>
      <c r="C41" s="36" t="inlineStr">
        <is>
          <t>Tooltip</t>
        </is>
      </c>
      <c r="D41" s="36" t="inlineStr">
        <is>
          <t>Component and package changelogs record the addition</t>
        </is>
      </c>
      <c r="E41" s="36" t="inlineStr">
        <is>
          <t>package</t>
        </is>
      </c>
      <c r="F41" s="36" t="inlineStr">
        <is>
          <t>docs</t>
        </is>
      </c>
      <c r="G41" s="37" t="inlineStr">
        <is>
          <t>../docs/components/tooltip/CHANGELOG.md</t>
        </is>
      </c>
      <c r="H41" s="36" t="inlineStr">
        <is>
          <t>tested</t>
        </is>
      </c>
      <c r="I41" s="36" t="inlineStr">
        <is>
          <t>no</t>
        </is>
      </c>
      <c r="J41" s="40" t="n">
        <v>46222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TTP-34</t>
        </is>
      </c>
      <c r="B42" s="36" t="inlineStr">
        <is>
          <t>Playground</t>
        </is>
      </c>
      <c r="C42" s="36" t="inlineStr">
        <is>
          <t>Tooltip</t>
        </is>
      </c>
      <c r="D42" s="36" t="inlineStr">
        <is>
          <t>Deterministic workbench covers overview, placement, rich, stress, mobile, and RTL</t>
        </is>
      </c>
      <c r="E42" s="36" t="inlineStr">
        <is>
          <t>package</t>
        </is>
      </c>
      <c r="F42" s="36" t="inlineStr">
        <is>
          <t>source</t>
        </is>
      </c>
      <c r="G42" s="37" t="inlineStr">
        <is>
          <t>../playground/src/main.tsx</t>
        </is>
      </c>
      <c r="H42" s="36" t="inlineStr">
        <is>
          <t>tested</t>
        </is>
      </c>
      <c r="I42" s="36" t="inlineStr">
        <is>
          <t>no</t>
        </is>
      </c>
      <c r="J42" s="40" t="n">
        <v>46222</v>
      </c>
      <c r="K42" s="36" t="inlineStr">
        <is>
          <t>Owner manual review intentionally deferred</t>
        </is>
      </c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TTP-35</t>
        </is>
      </c>
      <c r="B43" s="36" t="inlineStr">
        <is>
          <t>Manual</t>
        </is>
      </c>
      <c r="C43" s="36" t="inlineStr">
        <is>
          <t>Tooltip</t>
        </is>
      </c>
      <c r="D43" s="36" t="inlineStr">
        <is>
          <t>Numbered desktop/mobile protocol has a completed owner run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manual-tests/tooltip.md</t>
        </is>
      </c>
      <c r="H43" s="36" t="inlineStr">
        <is>
          <t>verified</t>
        </is>
      </c>
      <c r="I43" s="36" t="inlineStr">
        <is>
          <t>yes</t>
        </is>
      </c>
      <c r="J43" s="40" t="n">
        <v>46223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TTP-36</t>
        </is>
      </c>
      <c r="B44" s="36" t="inlineStr">
        <is>
          <t>Consumer</t>
        </is>
      </c>
      <c r="C44" s="36" t="inlineStr">
        <is>
          <t>Tooltip</t>
        </is>
      </c>
      <c r="D44" s="36" t="inlineStr">
        <is>
          <t>Brick Consumer uses Tooltip on two real AppBar controls via public subpath</t>
        </is>
      </c>
      <c r="E44" s="36" t="inlineStr">
        <is>
          <t>consumer</t>
        </is>
      </c>
      <c r="F44" s="36" t="inlineStr">
        <is>
          <t>source</t>
        </is>
      </c>
      <c r="G44" s="37" t="inlineStr">
        <is>
          <t>../apps/consumer/src/App.tsx</t>
        </is>
      </c>
      <c r="H44" s="36" t="inlineStr">
        <is>
          <t>tested</t>
        </is>
      </c>
      <c r="I44" s="36" t="inlineStr">
        <is>
          <t>no</t>
        </is>
      </c>
      <c r="J44" s="40" t="n">
        <v>46222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TTP-37</t>
        </is>
      </c>
      <c r="B45" s="36" t="inlineStr">
        <is>
          <t>Consumer</t>
        </is>
      </c>
      <c r="C45" s="36" t="inlineStr">
        <is>
          <t>Tooltip</t>
        </is>
      </c>
      <c r="D45" s="36" t="inlineStr">
        <is>
          <t>Consumer build, package boundary, and focused browser interaction pass</t>
        </is>
      </c>
      <c r="E45" s="36" t="inlineStr">
        <is>
          <t>consumer</t>
        </is>
      </c>
      <c r="F45" s="36" t="inlineStr">
        <is>
          <t>test</t>
        </is>
      </c>
      <c r="G45" s="37" t="inlineStr">
        <is>
          <t>../apps/consumer/tests/consumer.spec.ts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46222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TTP-39</t>
        </is>
      </c>
      <c r="B46" s="36" t="inlineStr">
        <is>
          <t>Release gate</t>
        </is>
      </c>
      <c r="C46" s="36" t="inlineStr">
        <is>
          <t>Tooltip</t>
        </is>
      </c>
      <c r="D46" s="36" t="inlineStr">
        <is>
          <t>Package, Consumer, workbook, and owner manual evidence are complete</t>
        </is>
      </c>
      <c r="E46" s="36" t="inlineStr">
        <is>
          <t>package</t>
        </is>
      </c>
      <c r="F46" s="36" t="inlineStr">
        <is>
          <t>gate</t>
        </is>
      </c>
      <c r="G46" s="37" t="inlineStr">
        <is>
          <t>component-coverage.xlsx</t>
        </is>
      </c>
      <c r="H46" s="36" t="inlineStr">
        <is>
          <t>verified</t>
        </is>
      </c>
      <c r="I46" s="36" t="inlineStr">
        <is>
          <t>yes</t>
        </is>
      </c>
      <c r="J46" s="40" t="n">
        <v>46223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mergeCells count="3">
    <mergeCell ref="A2:M2"/>
    <mergeCell ref="A6:M6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HoverCard Evidence Matrix</t>
        </is>
      </c>
    </row>
    <row r="2" ht="33.75" customHeight="1" s="22">
      <c r="A2" s="24" t="inlineStr">
        <is>
          <t>Evidence gates for the adopted HoverCard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HVC-01</t>
        </is>
      </c>
      <c r="B9" s="36" t="inlineStr">
        <is>
          <t>Public API</t>
        </is>
      </c>
      <c r="C9" s="36" t="inlineStr">
        <is>
          <t>HoverCard</t>
        </is>
      </c>
      <c r="D9" s="36" t="inlineStr">
        <is>
          <t>Directly styles public Atom 0.3.5 HoverCard without local behavior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../src/components/hover-card/HoverCard.tsx</t>
        </is>
      </c>
      <c r="H9" s="36" t="inlineStr">
        <is>
          <t>tested</t>
        </is>
      </c>
      <c r="I9" s="36" t="inlineStr">
        <is>
          <t>no</t>
        </is>
      </c>
      <c r="J9" s="40" t="n">
        <v>46222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HVC-02</t>
        </is>
      </c>
      <c r="B10" s="36" t="inlineStr">
        <is>
          <t>Boundary</t>
        </is>
      </c>
      <c r="C10" s="36" t="inlineStr">
        <is>
          <t>HoverCard</t>
        </is>
      </c>
      <c r="D10" s="36" t="inlineStr">
        <is>
          <t>Owner-adopted brief defines a genuine-link, non-interactive, nonessential preview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../../docs/hover-card-component-brief.md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46222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HVC-03</t>
        </is>
      </c>
      <c r="B11" s="36" t="inlineStr">
        <is>
          <t>Exports</t>
        </is>
      </c>
      <c r="C11" s="36" t="inlineStr">
        <is>
          <t>HoverCard</t>
        </is>
      </c>
      <c r="D11" s="36" t="inlineStr">
        <is>
          <t>Root and hover-card subpath exports and declarations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46222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HVC-04</t>
        </is>
      </c>
      <c r="B12" s="36" t="inlineStr">
        <is>
          <t>Anatomy</t>
        </is>
      </c>
      <c r="C12" s="36" t="inlineStr">
        <is>
          <t>HoverCard</t>
        </is>
      </c>
      <c r="D12" s="36" t="inlineStr">
        <is>
          <t>Frozen namespace exposes exactly five parts and is not callable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../test/components/hover-card.test.tsx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46222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HVC-05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Root forwards state, 700/300 delays, disabled, and children without DOM</t>
        </is>
      </c>
      <c r="E13" s="36" t="inlineStr">
        <is>
          <t>package</t>
        </is>
      </c>
      <c r="F13" s="36" t="inlineStr">
        <is>
          <t>source</t>
        </is>
      </c>
      <c r="G13" s="37" t="inlineStr">
        <is>
          <t>../src/components/hover-card/HoverCard.tsx</t>
        </is>
      </c>
      <c r="H13" s="36" t="inlineStr">
        <is>
          <t>tested</t>
        </is>
      </c>
      <c r="I13" s="36" t="inlineStr">
        <is>
          <t>no</t>
        </is>
      </c>
      <c r="J13" s="40" t="n">
        <v>46222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HVC-06</t>
        </is>
      </c>
      <c r="B14" s="36" t="inlineStr">
        <is>
          <t>Anatomy</t>
        </is>
      </c>
      <c r="C14" s="36" t="inlineStr">
        <is>
          <t>Trigger</t>
        </is>
      </c>
      <c r="D14" s="36" t="inlineStr">
        <is>
          <t>Trigger preserves link semantics plus asChild/render, refs, classes, and slots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../test/components/hover-card.test.tsx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46222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HVC-07</t>
        </is>
      </c>
      <c r="B15" s="36" t="inlineStr">
        <is>
          <t>Anatomy</t>
        </is>
      </c>
      <c r="C15" s="36" t="inlineStr">
        <is>
          <t>Portal</t>
        </is>
      </c>
      <c r="D15" s="36" t="inlineStr">
        <is>
          <t>Portal forwards Atom container/disabled behavior without a wrapper</t>
        </is>
      </c>
      <c r="E15" s="36" t="inlineStr">
        <is>
          <t>package</t>
        </is>
      </c>
      <c r="F15" s="36" t="inlineStr">
        <is>
          <t>source</t>
        </is>
      </c>
      <c r="G15" s="37" t="inlineStr">
        <is>
          <t>../src/components/hover-card/HoverCard.tsx</t>
        </is>
      </c>
      <c r="H15" s="36" t="inlineStr">
        <is>
          <t>tested</t>
        </is>
      </c>
      <c r="I15" s="36" t="inlineStr">
        <is>
          <t>no</t>
        </is>
      </c>
      <c r="J15" s="40" t="n">
        <v>46222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HVC-08</t>
        </is>
      </c>
      <c r="B16" s="36" t="inlineStr">
        <is>
          <t>Anatomy</t>
        </is>
      </c>
      <c r="C16" s="36" t="inlineStr">
        <is>
          <t>Content</t>
        </is>
      </c>
      <c r="D16" s="36" t="inlineStr">
        <is>
          <t>Content has stable hooks, default 8px offset, closed sizes, and no label override</t>
        </is>
      </c>
      <c r="E16" s="36" t="inlineStr">
        <is>
          <t>package</t>
        </is>
      </c>
      <c r="F16" s="36" t="inlineStr">
        <is>
          <t>types</t>
        </is>
      </c>
      <c r="G16" s="37" t="inlineStr">
        <is>
          <t>../test/types/public-api.test.ts</t>
        </is>
      </c>
      <c r="H16" s="36" t="inlineStr">
        <is>
          <t>tested</t>
        </is>
      </c>
      <c r="I16" s="36" t="inlineStr">
        <is>
          <t>no</t>
        </is>
      </c>
      <c r="J16" s="40" t="n">
        <v>46222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HVC-09</t>
        </is>
      </c>
      <c r="B17" s="36" t="inlineStr">
        <is>
          <t>Anatomy</t>
        </is>
      </c>
      <c r="C17" s="36" t="inlineStr">
        <is>
          <t>Arrow</t>
        </is>
      </c>
      <c r="D17" s="36" t="inlineStr">
        <is>
          <t>Optional Arrow forwards Atom geometry, ref, native props, and stable shared hook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../test/components/hover-card.test.tsx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46222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HVC-10</t>
        </is>
      </c>
      <c r="B18" s="36" t="inlineStr">
        <is>
          <t>Semantics</t>
        </is>
      </c>
      <c r="C18" s="36" t="inlineStr">
        <is>
          <t>Trigger</t>
        </is>
      </c>
      <c r="D18" s="36" t="inlineStr">
        <is>
          <t>Canonical triggers are genuine named links with destinations independent of preview</t>
        </is>
      </c>
      <c r="E18" s="36" t="inlineStr">
        <is>
          <t>package</t>
        </is>
      </c>
      <c r="F18" s="36" t="inlineStr">
        <is>
          <t>browser</t>
        </is>
      </c>
      <c r="G18" s="37" t="inlineStr">
        <is>
          <t>tests/hover-card.spec.ts</t>
        </is>
      </c>
      <c r="H18" s="36" t="inlineStr">
        <is>
          <t>tested</t>
        </is>
      </c>
      <c r="I18" s="36" t="inlineStr">
        <is>
          <t>no</t>
        </is>
      </c>
      <c r="J18" s="40" t="n">
        <v>46222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HVC-11</t>
        </is>
      </c>
      <c r="B19" s="36" t="inlineStr">
        <is>
          <t>Semantics</t>
        </is>
      </c>
      <c r="C19" s="36" t="inlineStr">
        <is>
          <t>Content</t>
        </is>
      </c>
      <c r="D19" s="36" t="inlineStr">
        <is>
          <t>Content remains generic with no role, name, expanded state, or trigger relationship</t>
        </is>
      </c>
      <c r="E19" s="36" t="inlineStr">
        <is>
          <t>package</t>
        </is>
      </c>
      <c r="F19" s="36" t="inlineStr">
        <is>
          <t>browser</t>
        </is>
      </c>
      <c r="G19" s="37" t="inlineStr">
        <is>
          <t>tests/hover-card.spec.ts</t>
        </is>
      </c>
      <c r="H19" s="36" t="inlineStr">
        <is>
          <t>tested</t>
        </is>
      </c>
      <c r="I19" s="36" t="inlineStr">
        <is>
          <t>no</t>
        </is>
      </c>
      <c r="J19" s="40" t="n">
        <v>46222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HVC-12</t>
        </is>
      </c>
      <c r="B20" s="36" t="inlineStr">
        <is>
          <t>Semantics</t>
        </is>
      </c>
      <c r="C20" s="36" t="inlineStr">
        <is>
          <t>Content</t>
        </is>
      </c>
      <c r="D20" s="36" t="inlineStr">
        <is>
          <t>Canonical examples contain no focusable or interactive descendants</t>
        </is>
      </c>
      <c r="E20" s="36" t="inlineStr">
        <is>
          <t>package</t>
        </is>
      </c>
      <c r="F20" s="36" t="inlineStr">
        <is>
          <t>browser</t>
        </is>
      </c>
      <c r="G20" s="37" t="inlineStr">
        <is>
          <t>tests/hover-card.spec.ts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HVC-13</t>
        </is>
      </c>
      <c r="B21" s="36" t="inlineStr">
        <is>
          <t>Behavior</t>
        </is>
      </c>
      <c r="C21" s="36" t="inlineStr">
        <is>
          <t>HoverCard</t>
        </is>
      </c>
      <c r="D21" s="36" t="inlineStr">
        <is>
          <t>Keyboard focus opens; Escape closes without moving trigger focus</t>
        </is>
      </c>
      <c r="E21" s="36" t="inlineStr">
        <is>
          <t>package</t>
        </is>
      </c>
      <c r="F21" s="36" t="inlineStr">
        <is>
          <t>browser</t>
        </is>
      </c>
      <c r="G21" s="37" t="inlineStr">
        <is>
          <t>tests/hover-card.spec.ts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HVC-14</t>
        </is>
      </c>
      <c r="B22" s="36" t="inlineStr">
        <is>
          <t>Behavior</t>
        </is>
      </c>
      <c r="C22" s="36" t="inlineStr">
        <is>
          <t>HoverCard</t>
        </is>
      </c>
      <c r="D22" s="36" t="inlineStr">
        <is>
          <t>Pointer bridge keeps Content open across Trigger-to-Content movement</t>
        </is>
      </c>
      <c r="E22" s="36" t="inlineStr">
        <is>
          <t>package</t>
        </is>
      </c>
      <c r="F22" s="36" t="inlineStr">
        <is>
          <t>browser</t>
        </is>
      </c>
      <c r="G22" s="37" t="inlineStr">
        <is>
          <t>tests/hover-card.spec.ts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46222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HVC-15</t>
        </is>
      </c>
      <c r="B23" s="36" t="inlineStr">
        <is>
          <t>Behavior</t>
        </is>
      </c>
      <c r="C23" s="36" t="inlineStr">
        <is>
          <t>HoverCard</t>
        </is>
      </c>
      <c r="D23" s="36" t="inlineStr">
        <is>
          <t>Disabled state blocks preview and controlled/default timing examples remain available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tests/hover-card.spec.ts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46222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HVC-16</t>
        </is>
      </c>
      <c r="B24" s="36" t="inlineStr">
        <is>
          <t>Behavior</t>
        </is>
      </c>
      <c r="C24" s="36" t="inlineStr">
        <is>
          <t>HoverCard</t>
        </is>
      </c>
      <c r="D24" s="36" t="inlineStr">
        <is>
          <t>700/300 timing, collision, portal modes, presence, scroll, and resize remain released Atom behavior</t>
        </is>
      </c>
      <c r="E24" s="36" t="inlineStr">
        <is>
          <t>package</t>
        </is>
      </c>
      <c r="F24" s="36" t="inlineStr">
        <is>
          <t>dependency</t>
        </is>
      </c>
      <c r="G24" s="37" t="inlineStr">
        <is>
          <t>@flowstack-ui/atom@0.6.6</t>
        </is>
      </c>
      <c r="H24" s="36" t="inlineStr">
        <is>
          <t>tested</t>
        </is>
      </c>
      <c r="I24" s="36" t="inlineStr">
        <is>
          <t>no</t>
        </is>
      </c>
      <c r="J24" s="40" t="n">
        <v>46222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HVC-17</t>
        </is>
      </c>
      <c r="B25" s="36" t="inlineStr">
        <is>
          <t>Touch</t>
        </is>
      </c>
      <c r="C25" s="36" t="inlineStr">
        <is>
          <t>Trigger</t>
        </is>
      </c>
      <c r="D25" s="36" t="inlineStr">
        <is>
          <t>Physical iPhone Safari link activation works without preview reliance</t>
        </is>
      </c>
      <c r="E25" s="36" t="inlineStr">
        <is>
          <t>package</t>
        </is>
      </c>
      <c r="F25" s="36" t="inlineStr">
        <is>
          <t>manual</t>
        </is>
      </c>
      <c r="G25" s="37" t="inlineStr">
        <is>
          <t>manual-tests/hover-card.md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46224</v>
      </c>
      <c r="K25" s="36" t="inlineStr">
        <is>
          <t>Link activation passed; intermittent touch preview opening remains a non-blocking Atom follow-up.</t>
        </is>
      </c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HVC-18</t>
        </is>
      </c>
      <c r="B26" s="36" t="inlineStr">
        <is>
          <t>Touch</t>
        </is>
      </c>
      <c r="C26" s="36" t="inlineStr">
        <is>
          <t>Trigger</t>
        </is>
      </c>
      <c r="D26" s="36" t="inlineStr">
        <is>
          <t>Physical Android Chrome link activation works without preview reliance</t>
        </is>
      </c>
      <c r="E26" s="36" t="inlineStr">
        <is>
          <t>package</t>
        </is>
      </c>
      <c r="F26" s="36" t="inlineStr">
        <is>
          <t>manual</t>
        </is>
      </c>
      <c r="G26" s="37" t="inlineStr">
        <is>
          <t>manual-tests/hover-card.md</t>
        </is>
      </c>
      <c r="H26" s="36" t="inlineStr">
        <is>
          <t>not applicable</t>
        </is>
      </c>
      <c r="I26" s="36" t="inlineStr">
        <is>
          <t>yes</t>
        </is>
      </c>
      <c r="J26" s="40" t="n">
        <v>46224</v>
      </c>
      <c r="K26" s="36" t="inlineStr">
        <is>
          <t>No physical Android device was available for this owner run; automated mobile Chromium coverage passed.</t>
        </is>
      </c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HVC-19</t>
        </is>
      </c>
      <c r="B27" s="36" t="inlineStr">
        <is>
          <t>Appearance</t>
        </is>
      </c>
      <c r="C27" s="36" t="inlineStr">
        <is>
          <t>Content</t>
        </is>
      </c>
      <c r="D27" s="36" t="inlineStr">
        <is>
          <t>Elevated surface hierarchy is approved in light and dark</t>
        </is>
      </c>
      <c r="E27" s="36" t="inlineStr">
        <is>
          <t>package</t>
        </is>
      </c>
      <c r="F27" s="36" t="inlineStr">
        <is>
          <t>visual</t>
        </is>
      </c>
      <c r="G27" s="37" t="inlineStr">
        <is>
          <t>/hover-card</t>
        </is>
      </c>
      <c r="H27" s="36" t="inlineStr">
        <is>
          <t>verified</t>
        </is>
      </c>
      <c r="I27" s="36" t="inlineStr">
        <is>
          <t>yes</t>
        </is>
      </c>
      <c r="J27" s="40" t="n">
        <v>46224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HVC-20</t>
        </is>
      </c>
      <c r="B28" s="36" t="inlineStr">
        <is>
          <t>Appearance</t>
        </is>
      </c>
      <c r="C28" s="36" t="inlineStr">
        <is>
          <t>Content</t>
        </is>
      </c>
      <c r="D28" s="36" t="inlineStr">
        <is>
          <t>sm, md, and lg bounded widths are visually distinct and intentional</t>
        </is>
      </c>
      <c r="E28" s="36" t="inlineStr">
        <is>
          <t>package</t>
        </is>
      </c>
      <c r="F28" s="36" t="inlineStr">
        <is>
          <t>visual</t>
        </is>
      </c>
      <c r="G28" s="37" t="inlineStr">
        <is>
          <t>/hover-card</t>
        </is>
      </c>
      <c r="H28" s="36" t="inlineStr">
        <is>
          <t>verified</t>
        </is>
      </c>
      <c r="I28" s="36" t="inlineStr">
        <is>
          <t>yes</t>
        </is>
      </c>
      <c r="J28" s="40" t="n">
        <v>46224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HVC-21</t>
        </is>
      </c>
      <c r="B29" s="36" t="inlineStr">
        <is>
          <t>Appearance</t>
        </is>
      </c>
      <c r="C29" s="36" t="inlineStr">
        <is>
          <t>Arrow</t>
        </is>
      </c>
      <c r="D29" s="36" t="inlineStr">
        <is>
          <t>Shared Arrow fill, border, optional absence, and collision alignment are approved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/hover-card</t>
        </is>
      </c>
      <c r="H29" s="36" t="inlineStr">
        <is>
          <t>verified</t>
        </is>
      </c>
      <c r="I29" s="36" t="inlineStr">
        <is>
          <t>yes</t>
        </is>
      </c>
      <c r="J29" s="40" t="n">
        <v>46224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HVC-22</t>
        </is>
      </c>
      <c r="B30" s="36" t="inlineStr">
        <is>
          <t>Responsive</t>
        </is>
      </c>
      <c r="C30" s="36" t="inlineStr">
        <is>
          <t>Content</t>
        </is>
      </c>
      <c r="D30" s="36" t="inlineStr">
        <is>
          <t>256px RTL content remains within the viewport without page overflow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tests/hover-card.spec.ts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HVC-23</t>
        </is>
      </c>
      <c r="B31" s="36" t="inlineStr">
        <is>
          <t>Responsive</t>
        </is>
      </c>
      <c r="C31" s="36" t="inlineStr">
        <is>
          <t>Content</t>
        </is>
      </c>
      <c r="D31" s="36" t="inlineStr">
        <is>
          <t>200% and 400% zoom wrapping, overflow, reachability, and trigger visibility pass</t>
        </is>
      </c>
      <c r="E31" s="36" t="inlineStr">
        <is>
          <t>package</t>
        </is>
      </c>
      <c r="F31" s="36" t="inlineStr">
        <is>
          <t>manual</t>
        </is>
      </c>
      <c r="G31" s="37" t="inlineStr">
        <is>
          <t>manual-tests/hover-card.md</t>
        </is>
      </c>
      <c r="H31" s="36" t="inlineStr">
        <is>
          <t>verified</t>
        </is>
      </c>
      <c r="I31" s="36" t="inlineStr">
        <is>
          <t>yes</t>
        </is>
      </c>
      <c r="J31" s="40" t="n">
        <v>46224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HVC-24</t>
        </is>
      </c>
      <c r="B32" s="36" t="inlineStr">
        <is>
          <t>Localization</t>
        </is>
      </c>
      <c r="C32" s="36" t="inlineStr">
        <is>
          <t>Content</t>
        </is>
      </c>
      <c r="D32" s="36" t="inlineStr">
        <is>
          <t>Long unbroken and localized content wraps within dynamic viewport bounds</t>
        </is>
      </c>
      <c r="E32" s="36" t="inlineStr">
        <is>
          <t>package</t>
        </is>
      </c>
      <c r="F32" s="36" t="inlineStr">
        <is>
          <t>browser</t>
        </is>
      </c>
      <c r="G32" s="37" t="inlineStr">
        <is>
          <t>tests/hover-card.spec.ts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46224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HVC-25</t>
        </is>
      </c>
      <c r="B33" s="36" t="inlineStr">
        <is>
          <t>Direction</t>
        </is>
      </c>
      <c r="C33" s="36" t="inlineStr">
        <is>
          <t>HoverCard</t>
        </is>
      </c>
      <c r="D33" s="36" t="inlineStr">
        <is>
          <t>RTL internal composition and logical collision alignment are approved</t>
        </is>
      </c>
      <c r="E33" s="36" t="inlineStr">
        <is>
          <t>package</t>
        </is>
      </c>
      <c r="F33" s="36" t="inlineStr">
        <is>
          <t>manual</t>
        </is>
      </c>
      <c r="G33" s="37" t="inlineStr">
        <is>
          <t>manual-tests/hover-card.md</t>
        </is>
      </c>
      <c r="H33" s="36" t="inlineStr">
        <is>
          <t>verified</t>
        </is>
      </c>
      <c r="I33" s="36" t="inlineStr">
        <is>
          <t>yes</t>
        </is>
      </c>
      <c r="J33" s="40" t="n">
        <v>46224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HVC-26</t>
        </is>
      </c>
      <c r="B34" s="36" t="inlineStr">
        <is>
          <t>Preferences</t>
        </is>
      </c>
      <c r="C34" s="36" t="inlineStr">
        <is>
          <t>HoverCard</t>
        </is>
      </c>
      <c r="D34" s="36" t="inlineStr">
        <is>
          <t>Reduced-motion behavior and forced-colors surface/Arrow boundaries are approved</t>
        </is>
      </c>
      <c r="E34" s="36" t="inlineStr">
        <is>
          <t>package</t>
        </is>
      </c>
      <c r="F34" s="36" t="inlineStr">
        <is>
          <t>manual</t>
        </is>
      </c>
      <c r="G34" s="37" t="inlineStr">
        <is>
          <t>manual-tests/hover-card.md</t>
        </is>
      </c>
      <c r="H34" s="36" t="inlineStr">
        <is>
          <t>verified</t>
        </is>
      </c>
      <c r="I34" s="36" t="inlineStr">
        <is>
          <t>yes</t>
        </is>
      </c>
      <c r="J34" s="40" t="n">
        <v>46224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HVC-27</t>
        </is>
      </c>
      <c r="B35" s="36" t="inlineStr">
        <is>
          <t>Accessibility</t>
        </is>
      </c>
      <c r="C35" s="36" t="inlineStr">
        <is>
          <t>HoverCard</t>
        </is>
      </c>
      <c r="D35" s="36" t="inlineStr">
        <is>
          <t>Focused playground surface has no axe violations after portalled-region exception</t>
        </is>
      </c>
      <c r="E35" s="36" t="inlineStr">
        <is>
          <t>package</t>
        </is>
      </c>
      <c r="F35" s="36" t="inlineStr">
        <is>
          <t>axe</t>
        </is>
      </c>
      <c r="G35" s="37" t="inlineStr">
        <is>
          <t>tests/hover-card.spec.ts</t>
        </is>
      </c>
      <c r="H35" s="36" t="inlineStr">
        <is>
          <t>tested</t>
        </is>
      </c>
      <c r="I35" s="36" t="inlineStr">
        <is>
          <t>no</t>
        </is>
      </c>
      <c r="J35" s="40" t="n">
        <v>46224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HVC-28</t>
        </is>
      </c>
      <c r="B36" s="36" t="inlineStr">
        <is>
          <t>Accessibility</t>
        </is>
      </c>
      <c r="C36" s="36" t="inlineStr">
        <is>
          <t>Trigger</t>
        </is>
      </c>
      <c r="D36" s="36" t="inlineStr">
        <is>
          <t>Screen reader announces the complete link without popup state or preview promise</t>
        </is>
      </c>
      <c r="E36" s="36" t="inlineStr">
        <is>
          <t>package</t>
        </is>
      </c>
      <c r="F36" s="36" t="inlineStr">
        <is>
          <t>manual</t>
        </is>
      </c>
      <c r="G36" s="37" t="inlineStr">
        <is>
          <t>manual-tests/hover-card.md</t>
        </is>
      </c>
      <c r="H36" s="36" t="inlineStr">
        <is>
          <t>verified</t>
        </is>
      </c>
      <c r="I36" s="36" t="inlineStr">
        <is>
          <t>yes</t>
        </is>
      </c>
      <c r="J36" s="40" t="n">
        <v>46224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HVC-29</t>
        </is>
      </c>
      <c r="B37" s="36" t="inlineStr">
        <is>
          <t>CSS</t>
        </is>
      </c>
      <c r="C37" s="36" t="inlineStr">
        <is>
          <t>HoverCard</t>
        </is>
      </c>
      <c r="D37" s="36" t="inlineStr">
        <is>
          <t>Production CSS includes bounded sizes, shared Arrow, reflow, motion, and forced-colors rules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../test/package/package.test.mjs</t>
        </is>
      </c>
      <c r="H37" s="36" t="inlineStr">
        <is>
          <t>tested</t>
        </is>
      </c>
      <c r="I37" s="36" t="inlineStr">
        <is>
          <t>no</t>
        </is>
      </c>
      <c r="J37" s="40" t="n">
        <v>46222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HVC-30</t>
        </is>
      </c>
      <c r="B38" s="36" t="inlineStr">
        <is>
          <t>Package</t>
        </is>
      </c>
      <c r="C38" s="36" t="inlineStr">
        <is>
          <t>HoverCard</t>
        </is>
      </c>
      <c r="D38" s="36" t="inlineStr">
        <is>
          <t>Packed metadata exposes hover-card subpath and exact Atom 0.6.6 dependency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../test/package/package.test.mjs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HVC-31</t>
        </is>
      </c>
      <c r="B39" s="36" t="inlineStr">
        <is>
          <t>Consumers</t>
        </is>
      </c>
      <c r="C39" s="36" t="inlineStr">
        <is>
          <t>HoverCard</t>
        </is>
      </c>
      <c r="D39" s="36" t="inlineStr">
        <is>
          <t>Generated React 18 and React 19 package consumers import HoverCard and CSS</t>
        </is>
      </c>
      <c r="E39" s="36" t="inlineStr">
        <is>
          <t>package</t>
        </is>
      </c>
      <c r="F39" s="36" t="inlineStr">
        <is>
          <t>consumer</t>
        </is>
      </c>
      <c r="G39" s="37" t="inlineStr">
        <is>
          <t>../scripts/verify-consumers.mjs</t>
        </is>
      </c>
      <c r="H39" s="36" t="inlineStr">
        <is>
          <t>tested</t>
        </is>
      </c>
      <c r="I39" s="36" t="inlineStr">
        <is>
          <t>no</t>
        </is>
      </c>
      <c r="J39" s="40" t="n">
        <v>46222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HVC-32</t>
        </is>
      </c>
      <c r="B40" s="36" t="inlineStr">
        <is>
          <t>SSR</t>
        </is>
      </c>
      <c r="C40" s="36" t="inlineStr">
        <is>
          <t>Trigger</t>
        </is>
      </c>
      <c r="D40" s="36" t="inlineStr">
        <is>
          <t>Genuine link Trigger renders server-safe without popup ARIA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../test/package/ssr.test.mjs</t>
        </is>
      </c>
      <c r="H40" s="36" t="inlineStr">
        <is>
          <t>tested</t>
        </is>
      </c>
      <c r="I40" s="36" t="inlineStr">
        <is>
          <t>no</t>
        </is>
      </c>
      <c r="J40" s="40" t="n">
        <v>46222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HVC-33</t>
        </is>
      </c>
      <c r="B41" s="36" t="inlineStr">
        <is>
          <t>Docs</t>
        </is>
      </c>
      <c r="C41" s="36" t="inlineStr">
        <is>
          <t>HoverCard</t>
        </is>
      </c>
      <c r="D41" s="36" t="inlineStr">
        <is>
          <t>Public guide documents use, anatomy, noninteractive rule, hooks, and imports</t>
        </is>
      </c>
      <c r="E41" s="36" t="inlineStr">
        <is>
          <t>package</t>
        </is>
      </c>
      <c r="F41" s="36" t="inlineStr">
        <is>
          <t>docs</t>
        </is>
      </c>
      <c r="G41" s="37" t="inlineStr">
        <is>
          <t>../docs/components/hover-card/README.md</t>
        </is>
      </c>
      <c r="H41" s="36" t="inlineStr">
        <is>
          <t>tested</t>
        </is>
      </c>
      <c r="I41" s="36" t="inlineStr">
        <is>
          <t>no</t>
        </is>
      </c>
      <c r="J41" s="40" t="n">
        <v>46222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HVC-34</t>
        </is>
      </c>
      <c r="B42" s="36" t="inlineStr">
        <is>
          <t>Docs</t>
        </is>
      </c>
      <c r="C42" s="36" t="inlineStr">
        <is>
          <t>HoverCard</t>
        </is>
      </c>
      <c r="D42" s="36" t="inlineStr">
        <is>
          <t>Component and package changelogs record the addition</t>
        </is>
      </c>
      <c r="E42" s="36" t="inlineStr">
        <is>
          <t>package</t>
        </is>
      </c>
      <c r="F42" s="36" t="inlineStr">
        <is>
          <t>docs</t>
        </is>
      </c>
      <c r="G42" s="37" t="inlineStr">
        <is>
          <t>../docs/components/hover-card/CHANGELOG.md</t>
        </is>
      </c>
      <c r="H42" s="36" t="inlineStr">
        <is>
          <t>tested</t>
        </is>
      </c>
      <c r="I42" s="36" t="inlineStr">
        <is>
          <t>no</t>
        </is>
      </c>
      <c r="J42" s="40" t="n">
        <v>46224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HVC-35</t>
        </is>
      </c>
      <c r="B43" s="36" t="inlineStr">
        <is>
          <t>Playground</t>
        </is>
      </c>
      <c r="C43" s="36" t="inlineStr">
        <is>
          <t>HoverCard</t>
        </is>
      </c>
      <c r="D43" s="36" t="inlineStr">
        <is>
          <t>Workbench covers sizes, placement, state, composition, stress, mobile, and RTL</t>
        </is>
      </c>
      <c r="E43" s="36" t="inlineStr">
        <is>
          <t>package</t>
        </is>
      </c>
      <c r="F43" s="36" t="inlineStr">
        <is>
          <t>source</t>
        </is>
      </c>
      <c r="G43" s="37" t="inlineStr">
        <is>
          <t>../playground/src/main.tsx</t>
        </is>
      </c>
      <c r="H43" s="36" t="inlineStr">
        <is>
          <t>tested</t>
        </is>
      </c>
      <c r="I43" s="36" t="inlineStr">
        <is>
          <t>no</t>
        </is>
      </c>
      <c r="J43" s="40" t="n">
        <v>46224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HVC-36</t>
        </is>
      </c>
      <c r="B44" s="36" t="inlineStr">
        <is>
          <t>Manual</t>
        </is>
      </c>
      <c r="C44" s="36" t="inlineStr">
        <is>
          <t>HoverCard</t>
        </is>
      </c>
      <c r="D44" s="36" t="inlineStr">
        <is>
          <t>Numbered desktop/mobile protocol has a completed owner run</t>
        </is>
      </c>
      <c r="E44" s="36" t="inlineStr">
        <is>
          <t>package</t>
        </is>
      </c>
      <c r="F44" s="36" t="inlineStr">
        <is>
          <t>manual</t>
        </is>
      </c>
      <c r="G44" s="37" t="inlineStr">
        <is>
          <t>manual-tests/hover-card.md</t>
        </is>
      </c>
      <c r="H44" s="36" t="inlineStr">
        <is>
          <t>verified</t>
        </is>
      </c>
      <c r="I44" s="36" t="inlineStr">
        <is>
          <t>yes</t>
        </is>
      </c>
      <c r="J44" s="40" t="n">
        <v>46224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HVC-37</t>
        </is>
      </c>
      <c r="B45" s="36" t="inlineStr">
        <is>
          <t>Consumer</t>
        </is>
      </c>
      <c r="C45" s="36" t="inlineStr">
        <is>
          <t>HoverCard</t>
        </is>
      </c>
      <c r="D45" s="36" t="inlineStr">
        <is>
          <t>Brick Consumer uses a public-subpath collaborator link preview</t>
        </is>
      </c>
      <c r="E45" s="36" t="inlineStr">
        <is>
          <t>consumer</t>
        </is>
      </c>
      <c r="F45" s="36" t="inlineStr">
        <is>
          <t>source</t>
        </is>
      </c>
      <c r="G45" s="37" t="inlineStr">
        <is>
          <t>../apps/consumer/src/App.tsx</t>
        </is>
      </c>
      <c r="H45" s="36" t="inlineStr">
        <is>
          <t>tested</t>
        </is>
      </c>
      <c r="I45" s="36" t="inlineStr">
        <is>
          <t>no</t>
        </is>
      </c>
      <c r="J45" s="40" t="n">
        <v>46222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HVC-38</t>
        </is>
      </c>
      <c r="B46" s="36" t="inlineStr">
        <is>
          <t>Consumer</t>
        </is>
      </c>
      <c r="C46" s="36" t="inlineStr">
        <is>
          <t>HoverCard</t>
        </is>
      </c>
      <c r="D46" s="36" t="inlineStr">
        <is>
          <t>Consumer build, boundary, focused interaction, and genuine-link activation pass</t>
        </is>
      </c>
      <c r="E46" s="36" t="inlineStr">
        <is>
          <t>consumer</t>
        </is>
      </c>
      <c r="F46" s="36" t="inlineStr">
        <is>
          <t>test</t>
        </is>
      </c>
      <c r="G46" s="37" t="inlineStr">
        <is>
          <t>../apps/consumer/tests/consumer.spec.ts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46224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mergeCells count="3">
    <mergeCell ref="A2:M2"/>
    <mergeCell ref="A6:M6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Popover Evidence Matrix</t>
        </is>
      </c>
    </row>
    <row r="2" ht="33.75" customHeight="1" s="22">
      <c r="A2" s="24" t="inlineStr">
        <is>
          <t>Evidence gates for the adopted Popover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POP-01</t>
        </is>
      </c>
      <c r="B9" s="36" t="inlineStr">
        <is>
          <t>Public API</t>
        </is>
      </c>
      <c r="C9" s="36" t="inlineStr">
        <is>
          <t>Popover</t>
        </is>
      </c>
      <c r="D9" s="36" t="inlineStr">
        <is>
          <t>Directly styles public Atom 0.6.10 Popover without local behavior workarounds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../src/components/popover/Popover.tsx</t>
        </is>
      </c>
      <c r="H9" s="36" t="inlineStr">
        <is>
          <t>tested</t>
        </is>
      </c>
      <c r="I9" s="36" t="inlineStr">
        <is>
          <t>no</t>
        </is>
      </c>
      <c r="J9" s="40" t="n">
        <v>46224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POP-02</t>
        </is>
      </c>
      <c r="B10" s="36" t="inlineStr">
        <is>
          <t>Boundary</t>
        </is>
      </c>
      <c r="C10" s="36" t="inlineStr">
        <is>
          <t>Popover</t>
        </is>
      </c>
      <c r="D10" s="36" t="inlineStr">
        <is>
          <t>Owner-adopted brief defines intentional compact interactive anchored content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../../docs/popover-component-brief.md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46222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POP-03</t>
        </is>
      </c>
      <c r="B11" s="36" t="inlineStr">
        <is>
          <t>Exports</t>
        </is>
      </c>
      <c r="C11" s="36" t="inlineStr">
        <is>
          <t>Popover</t>
        </is>
      </c>
      <c r="D11" s="36" t="inlineStr">
        <is>
          <t>Root and popover subpath exports and declarations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46222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POP-04</t>
        </is>
      </c>
      <c r="B12" s="36" t="inlineStr">
        <is>
          <t>Anatomy</t>
        </is>
      </c>
      <c r="C12" s="36" t="inlineStr">
        <is>
          <t>Popover</t>
        </is>
      </c>
      <c r="D12" s="36" t="inlineStr">
        <is>
          <t>Frozen non-callable namespace exposes exactly the twelve adopted parts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../test/components/popover.test.tsx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46222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POP-05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Root forwards state, modal, dismissal, and disabled while rejecting hover mode and delays</t>
        </is>
      </c>
      <c r="E13" s="36" t="inlineStr">
        <is>
          <t>package</t>
        </is>
      </c>
      <c r="F13" s="36" t="inlineStr">
        <is>
          <t>types</t>
        </is>
      </c>
      <c r="G13" s="37" t="inlineStr">
        <is>
          <t>../test/types/public-api.test.ts</t>
        </is>
      </c>
      <c r="H13" s="36" t="inlineStr">
        <is>
          <t>tested</t>
        </is>
      </c>
      <c r="I13" s="36" t="inlineStr">
        <is>
          <t>no</t>
        </is>
      </c>
      <c r="J13" s="40" t="n">
        <v>46222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POP-06</t>
        </is>
      </c>
      <c r="B14" s="36" t="inlineStr">
        <is>
          <t>Anatomy</t>
        </is>
      </c>
      <c r="C14" s="36" t="inlineStr">
        <is>
          <t>Anchor</t>
        </is>
      </c>
      <c r="D14" s="36" t="inlineStr">
        <is>
          <t>Anchor forwards Atom composition, native hooks, and ref for separate positioning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../test/components/popover.test.tsx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46222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POP-07</t>
        </is>
      </c>
      <c r="B15" s="36" t="inlineStr">
        <is>
          <t>Anatomy</t>
        </is>
      </c>
      <c r="C15" s="36" t="inlineStr">
        <is>
          <t>Trigger</t>
        </is>
      </c>
      <c r="D15" s="36" t="inlineStr">
        <is>
          <t>Trigger preserves button semantics, composition, refs, classes, and slots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../test/components/popover.test.tsx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46222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POP-08</t>
        </is>
      </c>
      <c r="B16" s="36" t="inlineStr">
        <is>
          <t>Anatomy</t>
        </is>
      </c>
      <c r="C16" s="36" t="inlineStr">
        <is>
          <t>Portal</t>
        </is>
      </c>
      <c r="D16" s="36" t="inlineStr">
        <is>
          <t>Portal forwards Atom container and disabled modes without a wrapper</t>
        </is>
      </c>
      <c r="E16" s="36" t="inlineStr">
        <is>
          <t>package</t>
        </is>
      </c>
      <c r="F16" s="36" t="inlineStr">
        <is>
          <t>source</t>
        </is>
      </c>
      <c r="G16" s="37" t="inlineStr">
        <is>
          <t>../src/components/popover/Popover.tsx</t>
        </is>
      </c>
      <c r="H16" s="36" t="inlineStr">
        <is>
          <t>tested</t>
        </is>
      </c>
      <c r="I16" s="36" t="inlineStr">
        <is>
          <t>no</t>
        </is>
      </c>
      <c r="J16" s="40" t="n">
        <v>46222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POP-09</t>
        </is>
      </c>
      <c r="B17" s="36" t="inlineStr">
        <is>
          <t>Anatomy</t>
        </is>
      </c>
      <c r="C17" s="36" t="inlineStr">
        <is>
          <t>Content</t>
        </is>
      </c>
      <c r="D17" s="36" t="inlineStr">
        <is>
          <t>Content forwards native ARIA/focus/placement, default 8px offset, hooks, refs, and closed sizes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../test/components/popover.test.tsx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46222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POP-10</t>
        </is>
      </c>
      <c r="B18" s="36" t="inlineStr">
        <is>
          <t>Anatomy</t>
        </is>
      </c>
      <c r="C18" s="36" t="inlineStr">
        <is>
          <t>Header</t>
        </is>
      </c>
      <c r="D18" s="36" t="inlineStr">
        <is>
          <t>Header is presentational and supports native props, refs, asChild, render, class, style, and slot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../test/components/popover.test.tsx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46222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POP-11</t>
        </is>
      </c>
      <c r="B19" s="36" t="inlineStr">
        <is>
          <t>Anatomy</t>
        </is>
      </c>
      <c r="C19" s="36" t="inlineStr">
        <is>
          <t>Title</t>
        </is>
      </c>
      <c r="D19" s="36" t="inlineStr">
        <is>
          <t>Direct Atom Title supplies a server-stable generated accessible name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../test/package/ssr.test.mjs</t>
        </is>
      </c>
      <c r="H19" s="36" t="inlineStr">
        <is>
          <t>tested</t>
        </is>
      </c>
      <c r="I19" s="36" t="inlineStr">
        <is>
          <t>no</t>
        </is>
      </c>
      <c r="J19" s="40" t="n">
        <v>46222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POP-12</t>
        </is>
      </c>
      <c r="B20" s="36" t="inlineStr">
        <is>
          <t>Anatomy</t>
        </is>
      </c>
      <c r="C20" s="36" t="inlineStr">
        <is>
          <t>Description</t>
        </is>
      </c>
      <c r="D20" s="36" t="inlineStr">
        <is>
          <t>Direct Atom Description supplies a server-stable generated accessible description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../test/package/ssr.test.mjs</t>
        </is>
      </c>
      <c r="H20" s="36" t="inlineStr">
        <is>
          <t>tested</t>
        </is>
      </c>
      <c r="I20" s="36" t="inlineStr">
        <is>
          <t>no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POP-13</t>
        </is>
      </c>
      <c r="B21" s="36" t="inlineStr">
        <is>
          <t>Anatomy</t>
        </is>
      </c>
      <c r="C21" s="36" t="inlineStr">
        <is>
          <t>Body / Footer</t>
        </is>
      </c>
      <c r="D21" s="36" t="inlineStr">
        <is>
          <t>Presentational Body scrolls and Footer wraps actions with native composition hooks</t>
        </is>
      </c>
      <c r="E21" s="36" t="inlineStr">
        <is>
          <t>package</t>
        </is>
      </c>
      <c r="F21" s="36" t="inlineStr">
        <is>
          <t>source</t>
        </is>
      </c>
      <c r="G21" s="37" t="inlineStr">
        <is>
          <t>../src/components/popover/Popover.tsx</t>
        </is>
      </c>
      <c r="H21" s="36" t="inlineStr">
        <is>
          <t>tested</t>
        </is>
      </c>
      <c r="I21" s="36" t="inlineStr">
        <is>
          <t>no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POP-14</t>
        </is>
      </c>
      <c r="B22" s="36" t="inlineStr">
        <is>
          <t>Anatomy</t>
        </is>
      </c>
      <c r="C22" s="36" t="inlineStr">
        <is>
          <t>Close</t>
        </is>
      </c>
      <c r="D22" s="36" t="inlineStr">
        <is>
          <t>Close forwards Atom button/composition behavior and stable Brick hooks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../test/components/popover.test.tsx</t>
        </is>
      </c>
      <c r="H22" s="36" t="inlineStr">
        <is>
          <t>tested</t>
        </is>
      </c>
      <c r="I22" s="36" t="inlineStr">
        <is>
          <t>no</t>
        </is>
      </c>
      <c r="J22" s="40" t="n">
        <v>46222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POP-15</t>
        </is>
      </c>
      <c r="B23" s="36" t="inlineStr">
        <is>
          <t>Anatomy</t>
        </is>
      </c>
      <c r="C23" s="36" t="inlineStr">
        <is>
          <t>Arrow</t>
        </is>
      </c>
      <c r="D23" s="36" t="inlineStr">
        <is>
          <t>Explicit Arrow forwards Atom geometry/ref/native props and shared styling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../test/components/popover.test.tsx</t>
        </is>
      </c>
      <c r="H23" s="36" t="inlineStr">
        <is>
          <t>tested</t>
        </is>
      </c>
      <c r="I23" s="36" t="inlineStr">
        <is>
          <t>no</t>
        </is>
      </c>
      <c r="J23" s="40" t="n">
        <v>46222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POP-16</t>
        </is>
      </c>
      <c r="B24" s="36" t="inlineStr">
        <is>
          <t>Semantics</t>
        </is>
      </c>
      <c r="C24" s="36" t="inlineStr">
        <is>
          <t>Content</t>
        </is>
      </c>
      <c r="D24" s="36" t="inlineStr">
        <is>
          <t>Visible direct Title and Description generate dialog name and description relationships</t>
        </is>
      </c>
      <c r="E24" s="36" t="inlineStr">
        <is>
          <t>package</t>
        </is>
      </c>
      <c r="F24" s="36" t="inlineStr">
        <is>
          <t>browser</t>
        </is>
      </c>
      <c r="G24" s="37" t="inlineStr">
        <is>
          <t>tests/popover.spec.ts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46222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POP-17</t>
        </is>
      </c>
      <c r="B25" s="36" t="inlineStr">
        <is>
          <t>Semantics</t>
        </is>
      </c>
      <c r="C25" s="36" t="inlineStr">
        <is>
          <t>Header</t>
        </is>
      </c>
      <c r="D25" s="36" t="inlineStr">
        <is>
          <t>Native heading and paragraph content use documented explicit relationships without Brick registration</t>
        </is>
      </c>
      <c r="E25" s="36" t="inlineStr">
        <is>
          <t>package</t>
        </is>
      </c>
      <c r="F25" s="36" t="inlineStr">
        <is>
          <t>docs</t>
        </is>
      </c>
      <c r="G25" s="37" t="inlineStr">
        <is>
          <t>../docs/components/popover/README.md</t>
        </is>
      </c>
      <c r="H25" s="36" t="inlineStr">
        <is>
          <t>tested</t>
        </is>
      </c>
      <c r="I25" s="36" t="inlineStr">
        <is>
          <t>no</t>
        </is>
      </c>
      <c r="J25" s="40" t="n">
        <v>46222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POP-18</t>
        </is>
      </c>
      <c r="B26" s="36" t="inlineStr">
        <is>
          <t>Focus</t>
        </is>
      </c>
      <c r="C26" s="36" t="inlineStr">
        <is>
          <t>Content</t>
        </is>
      </c>
      <c r="D26" s="36" t="inlineStr">
        <is>
          <t>Atom 0.6.10 owns initial/final focus, touch-safe outside dismissal, root-overflow modal locking, measured floating bounds, the non-clipping internal viewport, and portalled logical direction</t>
        </is>
      </c>
      <c r="E26" s="36" t="inlineStr">
        <is>
          <t>package</t>
        </is>
      </c>
      <c r="F26" s="36" t="inlineStr">
        <is>
          <t>dependency</t>
        </is>
      </c>
      <c r="G26" s="37" t="inlineStr">
        <is>
          <t>@flowstack-ui/atom@0.6.10</t>
        </is>
      </c>
      <c r="H26" s="36" t="inlineStr">
        <is>
          <t>tested</t>
        </is>
      </c>
      <c r="I26" s="36" t="inlineStr">
        <is>
          <t>no</t>
        </is>
      </c>
      <c r="J26" s="40" t="n">
        <v>46224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POP-19</t>
        </is>
      </c>
      <c r="B27" s="36" t="inlineStr">
        <is>
          <t>Behavior</t>
        </is>
      </c>
      <c r="C27" s="36" t="inlineStr">
        <is>
          <t>Popover</t>
        </is>
      </c>
      <c r="D27" s="36" t="inlineStr">
        <is>
          <t>Keyboard activation, Escape close, and trigger focus restoration pass</t>
        </is>
      </c>
      <c r="E27" s="36" t="inlineStr">
        <is>
          <t>package</t>
        </is>
      </c>
      <c r="F27" s="36" t="inlineStr">
        <is>
          <t>browser</t>
        </is>
      </c>
      <c r="G27" s="37" t="inlineStr">
        <is>
          <t>tests/popover.spec.ts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46222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POP-20</t>
        </is>
      </c>
      <c r="B28" s="36" t="inlineStr">
        <is>
          <t>Behavior</t>
        </is>
      </c>
      <c r="C28" s="36" t="inlineStr">
        <is>
          <t>Popover</t>
        </is>
      </c>
      <c r="D28" s="36" t="inlineStr">
        <is>
          <t>Explicit Escape/outside dismissal policy is preserved</t>
        </is>
      </c>
      <c r="E28" s="36" t="inlineStr">
        <is>
          <t>package</t>
        </is>
      </c>
      <c r="F28" s="36" t="inlineStr">
        <is>
          <t>browser</t>
        </is>
      </c>
      <c r="G28" s="37" t="inlineStr">
        <is>
          <t>tests/popover.spec.ts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46222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POP-21</t>
        </is>
      </c>
      <c r="B29" s="36" t="inlineStr">
        <is>
          <t>Behavior</t>
        </is>
      </c>
      <c r="C29" s="36" t="inlineStr">
        <is>
          <t>Modal</t>
        </is>
      </c>
      <c r="D29" s="36" t="inlineStr">
        <is>
          <t>Modal mode exposes aria-modal and traps Tab until visible Close dismissal</t>
        </is>
      </c>
      <c r="E29" s="36" t="inlineStr">
        <is>
          <t>package</t>
        </is>
      </c>
      <c r="F29" s="36" t="inlineStr">
        <is>
          <t>browser</t>
        </is>
      </c>
      <c r="G29" s="37" t="inlineStr">
        <is>
          <t>tests/popover.spec.ts</t>
        </is>
      </c>
      <c r="H29" s="36" t="inlineStr">
        <is>
          <t>tested</t>
        </is>
      </c>
      <c r="I29" s="36" t="inlineStr">
        <is>
          <t>no</t>
        </is>
      </c>
      <c r="J29" s="40" t="n">
        <v>46222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POP-22</t>
        </is>
      </c>
      <c r="B30" s="36" t="inlineStr">
        <is>
          <t>Behavior</t>
        </is>
      </c>
      <c r="C30" s="36" t="inlineStr">
        <is>
          <t>Nested</t>
        </is>
      </c>
      <c r="D30" s="36" t="inlineStr">
        <is>
          <t>Nested top-layer Escape closes child then parent in order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tests/popover.spec.ts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POP-23</t>
        </is>
      </c>
      <c r="B31" s="36" t="inlineStr">
        <is>
          <t>Appearance</t>
        </is>
      </c>
      <c r="C31" s="36" t="inlineStr">
        <is>
          <t>Content</t>
        </is>
      </c>
      <c r="D31" s="36" t="inlineStr">
        <is>
          <t>sm, md, and lg expose bounded preferred widths and stable component-owned control heights</t>
        </is>
      </c>
      <c r="E31" s="36" t="inlineStr">
        <is>
          <t>package</t>
        </is>
      </c>
      <c r="F31" s="36" t="inlineStr">
        <is>
          <t>browser</t>
        </is>
      </c>
      <c r="G31" s="37" t="inlineStr">
        <is>
          <t>tests/popover.spec.ts</t>
        </is>
      </c>
      <c r="H31" s="36" t="inlineStr">
        <is>
          <t>tested</t>
        </is>
      </c>
      <c r="I31" s="36" t="inlineStr">
        <is>
          <t>no</t>
        </is>
      </c>
      <c r="J31" s="40" t="n">
        <v>46222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POP-24</t>
        </is>
      </c>
      <c r="B32" s="36" t="inlineStr">
        <is>
          <t>Appearance</t>
        </is>
      </c>
      <c r="C32" s="36" t="inlineStr">
        <is>
          <t>Content</t>
        </is>
      </c>
      <c r="D32" s="36" t="inlineStr">
        <is>
          <t>Elevated surface hierarchy and compact structural spacing are owner-approved in light and dark</t>
        </is>
      </c>
      <c r="E32" s="36" t="inlineStr">
        <is>
          <t>package</t>
        </is>
      </c>
      <c r="F32" s="36" t="inlineStr">
        <is>
          <t>visual</t>
        </is>
      </c>
      <c r="G32" s="37" t="inlineStr">
        <is>
          <t>/popover</t>
        </is>
      </c>
      <c r="H32" s="36" t="inlineStr">
        <is>
          <t>verified</t>
        </is>
      </c>
      <c r="I32" s="36" t="inlineStr">
        <is>
          <t>no</t>
        </is>
      </c>
      <c r="J32" s="40" t="n">
        <v>46224</v>
      </c>
      <c r="K32" s="36" t="inlineStr">
        <is>
          <t>Owner approved the light and dark elevated surface hierarchy and spacing during the manual run.</t>
        </is>
      </c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POP-25</t>
        </is>
      </c>
      <c r="B33" s="36" t="inlineStr">
        <is>
          <t>Appearance</t>
        </is>
      </c>
      <c r="C33" s="36" t="inlineStr">
        <is>
          <t>Arrow</t>
        </is>
      </c>
      <c r="D33" s="36" t="inlineStr">
        <is>
          <t>Shared Arrow fill, border, and collision alignment are owner-approved</t>
        </is>
      </c>
      <c r="E33" s="36" t="inlineStr">
        <is>
          <t>package</t>
        </is>
      </c>
      <c r="F33" s="36" t="inlineStr">
        <is>
          <t>visual</t>
        </is>
      </c>
      <c r="G33" s="37" t="inlineStr">
        <is>
          <t>/popover</t>
        </is>
      </c>
      <c r="H33" s="36" t="inlineStr">
        <is>
          <t>verified</t>
        </is>
      </c>
      <c r="I33" s="36" t="inlineStr">
        <is>
          <t>no</t>
        </is>
      </c>
      <c r="J33" s="40" t="n">
        <v>46224</v>
      </c>
      <c r="K33" s="36" t="inlineStr">
        <is>
          <t>Owner approved Arrow fill, boundary, and resolved-side alignment during the manual run.</t>
        </is>
      </c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POP-26</t>
        </is>
      </c>
      <c r="B34" s="36" t="inlineStr">
        <is>
          <t>Responsive</t>
        </is>
      </c>
      <c r="C34" s="36" t="inlineStr">
        <is>
          <t>Content</t>
        </is>
      </c>
      <c r="D34" s="36" t="inlineStr">
        <is>
          <t>256px RTL content remains within the viewport without horizontal page overflow</t>
        </is>
      </c>
      <c r="E34" s="36" t="inlineStr">
        <is>
          <t>package</t>
        </is>
      </c>
      <c r="F34" s="36" t="inlineStr">
        <is>
          <t>browser</t>
        </is>
      </c>
      <c r="G34" s="37" t="inlineStr">
        <is>
          <t>tests/popover.spec.ts</t>
        </is>
      </c>
      <c r="H34" s="36" t="inlineStr">
        <is>
          <t>tested</t>
        </is>
      </c>
      <c r="I34" s="36" t="inlineStr">
        <is>
          <t>no</t>
        </is>
      </c>
      <c r="J34" s="40" t="n">
        <v>46222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POP-27</t>
        </is>
      </c>
      <c r="B35" s="36" t="inlineStr">
        <is>
          <t>Responsive</t>
        </is>
      </c>
      <c r="C35" s="36" t="inlineStr">
        <is>
          <t>Content</t>
        </is>
      </c>
      <c r="D35" s="36" t="inlineStr">
        <is>
          <t>200% and 400% zoom preserve scrolling, action reachability, and trigger visibility</t>
        </is>
      </c>
      <c r="E35" s="36" t="inlineStr">
        <is>
          <t>package</t>
        </is>
      </c>
      <c r="F35" s="36" t="inlineStr">
        <is>
          <t>manual</t>
        </is>
      </c>
      <c r="G35" s="37" t="inlineStr">
        <is>
          <t>manual-tests/popover.md</t>
        </is>
      </c>
      <c r="H35" s="36" t="inlineStr">
        <is>
          <t>verified</t>
        </is>
      </c>
      <c r="I35" s="36" t="inlineStr">
        <is>
          <t>no</t>
        </is>
      </c>
      <c r="J35" s="40" t="n">
        <v>46224</v>
      </c>
      <c r="K35" s="36" t="inlineStr">
        <is>
          <t>Owner confirmed 200% and 400% zoom scrolling and action reachability.</t>
        </is>
      </c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POP-28</t>
        </is>
      </c>
      <c r="B36" s="36" t="inlineStr">
        <is>
          <t>Direction</t>
        </is>
      </c>
      <c r="C36" s="36" t="inlineStr">
        <is>
          <t>Popover</t>
        </is>
      </c>
      <c r="D36" s="36" t="inlineStr">
        <is>
          <t>RTL internal alignment, action order, and collision placement are owner-approved</t>
        </is>
      </c>
      <c r="E36" s="36" t="inlineStr">
        <is>
          <t>package</t>
        </is>
      </c>
      <c r="F36" s="36" t="inlineStr">
        <is>
          <t>manual</t>
        </is>
      </c>
      <c r="G36" s="37" t="inlineStr">
        <is>
          <t>manual-tests/popover.md</t>
        </is>
      </c>
      <c r="H36" s="36" t="inlineStr">
        <is>
          <t>verified</t>
        </is>
      </c>
      <c r="I36" s="36" t="inlineStr">
        <is>
          <t>no</t>
        </is>
      </c>
      <c r="J36" s="40" t="n">
        <v>46224</v>
      </c>
      <c r="K36" s="36" t="inlineStr">
        <is>
          <t>Owner confirmed RTL alignment, action order, and collision placement.</t>
        </is>
      </c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POP-29</t>
        </is>
      </c>
      <c r="B37" s="36" t="inlineStr">
        <is>
          <t>Preferences</t>
        </is>
      </c>
      <c r="C37" s="36" t="inlineStr">
        <is>
          <t>Popover</t>
        </is>
      </c>
      <c r="D37" s="36" t="inlineStr">
        <is>
          <t>Reduced-motion and forced-colors surface, Arrow, controls, and boundaries are owner-approved</t>
        </is>
      </c>
      <c r="E37" s="36" t="inlineStr">
        <is>
          <t>package</t>
        </is>
      </c>
      <c r="F37" s="36" t="inlineStr">
        <is>
          <t>manual</t>
        </is>
      </c>
      <c r="G37" s="37" t="inlineStr">
        <is>
          <t>manual-tests/popover.md</t>
        </is>
      </c>
      <c r="H37" s="36" t="inlineStr">
        <is>
          <t>not applicable</t>
        </is>
      </c>
      <c r="I37" s="36" t="inlineStr">
        <is>
          <t>no</t>
        </is>
      </c>
      <c r="J37" s="40" t="n">
        <v>46224</v>
      </c>
      <c r="K37" s="36" t="inlineStr">
        <is>
          <t>Forced-colors owner verification was not applicable because no Windows device was available; reduced motion passed.</t>
        </is>
      </c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POP-30</t>
        </is>
      </c>
      <c r="B38" s="36" t="inlineStr">
        <is>
          <t>Accessibility</t>
        </is>
      </c>
      <c r="C38" s="36" t="inlineStr">
        <is>
          <t>Popover</t>
        </is>
      </c>
      <c r="D38" s="36" t="inlineStr">
        <is>
          <t>Focused 256px RTL surface has no axe violations</t>
        </is>
      </c>
      <c r="E38" s="36" t="inlineStr">
        <is>
          <t>package</t>
        </is>
      </c>
      <c r="F38" s="36" t="inlineStr">
        <is>
          <t>axe</t>
        </is>
      </c>
      <c r="G38" s="37" t="inlineStr">
        <is>
          <t>tests/popover.spec.ts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POP-31</t>
        </is>
      </c>
      <c r="B39" s="36" t="inlineStr">
        <is>
          <t>CSS</t>
        </is>
      </c>
      <c r="C39" s="36" t="inlineStr">
        <is>
          <t>Popover</t>
        </is>
      </c>
      <c r="D39" s="36" t="inlineStr">
        <is>
          <t>Production CSS includes tokens, sizes, structure, Arrow, reflow, motion, and forced-colors rules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../test/package/package.test.mjs</t>
        </is>
      </c>
      <c r="H39" s="36" t="inlineStr">
        <is>
          <t>tested</t>
        </is>
      </c>
      <c r="I39" s="36" t="inlineStr">
        <is>
          <t>no</t>
        </is>
      </c>
      <c r="J39" s="40" t="n">
        <v>46222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POP-32</t>
        </is>
      </c>
      <c r="B40" s="36" t="inlineStr">
        <is>
          <t>Package</t>
        </is>
      </c>
      <c r="C40" s="36" t="inlineStr">
        <is>
          <t>Popover</t>
        </is>
      </c>
      <c r="D40" s="36" t="inlineStr">
        <is>
          <t>Metadata exposes popover subpath and exact Atom 0.6.10 dependency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../test/package/package.test.mjs</t>
        </is>
      </c>
      <c r="H40" s="36" t="inlineStr">
        <is>
          <t>tested</t>
        </is>
      </c>
      <c r="I40" s="36" t="inlineStr">
        <is>
          <t>no</t>
        </is>
      </c>
      <c r="J40" s="40" t="n">
        <v>46224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POP-33</t>
        </is>
      </c>
      <c r="B41" s="36" t="inlineStr">
        <is>
          <t>Consumers</t>
        </is>
      </c>
      <c r="C41" s="36" t="inlineStr">
        <is>
          <t>Popover</t>
        </is>
      </c>
      <c r="D41" s="36" t="inlineStr">
        <is>
          <t>Generated React 18 and React 19 packed consumers import root/subpath Popover and CSS</t>
        </is>
      </c>
      <c r="E41" s="36" t="inlineStr">
        <is>
          <t>package</t>
        </is>
      </c>
      <c r="F41" s="36" t="inlineStr">
        <is>
          <t>consumer</t>
        </is>
      </c>
      <c r="G41" s="37" t="inlineStr">
        <is>
          <t>../scripts/verify-consumers.mjs</t>
        </is>
      </c>
      <c r="H41" s="36" t="inlineStr">
        <is>
          <t>tested</t>
        </is>
      </c>
      <c r="I41" s="36" t="inlineStr">
        <is>
          <t>no</t>
        </is>
      </c>
      <c r="J41" s="40" t="n">
        <v>46222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POP-34</t>
        </is>
      </c>
      <c r="B42" s="36" t="inlineStr">
        <is>
          <t>SSR</t>
        </is>
      </c>
      <c r="C42" s="36" t="inlineStr">
        <is>
          <t>Content</t>
        </is>
      </c>
      <c r="D42" s="36" t="inlineStr">
        <is>
          <t>Direct semantic parts render stable name/description IDs and relationships on the server</t>
        </is>
      </c>
      <c r="E42" s="36" t="inlineStr">
        <is>
          <t>package</t>
        </is>
      </c>
      <c r="F42" s="36" t="inlineStr">
        <is>
          <t>test</t>
        </is>
      </c>
      <c r="G42" s="37" t="inlineStr">
        <is>
          <t>../test/package/ssr.test.mjs</t>
        </is>
      </c>
      <c r="H42" s="36" t="inlineStr">
        <is>
          <t>tested</t>
        </is>
      </c>
      <c r="I42" s="36" t="inlineStr">
        <is>
          <t>no</t>
        </is>
      </c>
      <c r="J42" s="40" t="n">
        <v>46222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POP-35</t>
        </is>
      </c>
      <c r="B43" s="36" t="inlineStr">
        <is>
          <t>Docs</t>
        </is>
      </c>
      <c r="C43" s="36" t="inlineStr">
        <is>
          <t>Popover</t>
        </is>
      </c>
      <c r="D43" s="36" t="inlineStr">
        <is>
          <t>Public guide and changelogs document routing, API, semantics, hooks, and customization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../docs/components/popover/README.md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46222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POP-36</t>
        </is>
      </c>
      <c r="B44" s="36" t="inlineStr">
        <is>
          <t>Playground</t>
        </is>
      </c>
      <c r="C44" s="36" t="inlineStr">
        <is>
          <t>Popover</t>
        </is>
      </c>
      <c r="D44" s="36" t="inlineStr">
        <is>
          <t>Workbench covers anatomy, sizes, modal/state, Anchor, placement, nesting, stress, mobile, and RTL</t>
        </is>
      </c>
      <c r="E44" s="36" t="inlineStr">
        <is>
          <t>package</t>
        </is>
      </c>
      <c r="F44" s="36" t="inlineStr">
        <is>
          <t>source</t>
        </is>
      </c>
      <c r="G44" s="37" t="inlineStr">
        <is>
          <t>../playground/src/main.tsx</t>
        </is>
      </c>
      <c r="H44" s="36" t="inlineStr">
        <is>
          <t>tested</t>
        </is>
      </c>
      <c r="I44" s="36" t="inlineStr">
        <is>
          <t>no</t>
        </is>
      </c>
      <c r="J44" s="40" t="n">
        <v>46222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POP-37</t>
        </is>
      </c>
      <c r="B45" s="36" t="inlineStr">
        <is>
          <t>Manual</t>
        </is>
      </c>
      <c r="C45" s="36" t="inlineStr">
        <is>
          <t>Popover</t>
        </is>
      </c>
      <c r="D45" s="36" t="inlineStr">
        <is>
          <t>Numbered desktop, screen-reader, zoom, preference, and physical-mobile protocol has an owner run</t>
        </is>
      </c>
      <c r="E45" s="36" t="inlineStr">
        <is>
          <t>package</t>
        </is>
      </c>
      <c r="F45" s="36" t="inlineStr">
        <is>
          <t>manual</t>
        </is>
      </c>
      <c r="G45" s="37" t="inlineStr">
        <is>
          <t>manual-tests/popover.md</t>
        </is>
      </c>
      <c r="H45" s="36" t="inlineStr">
        <is>
          <t>verified</t>
        </is>
      </c>
      <c r="I45" s="36" t="inlineStr">
        <is>
          <t>no</t>
        </is>
      </c>
      <c r="J45" s="40" t="n">
        <v>46224</v>
      </c>
      <c r="K45" s="36" t="inlineStr">
        <is>
          <t>All 13 owner-run steps pass. iOS focus zoom from the raw sub-16px input fixture is assigned to future Brick Input work and does not block Popover.</t>
        </is>
      </c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POP-38</t>
        </is>
      </c>
      <c r="B46" s="36" t="inlineStr">
        <is>
          <t>Consumer</t>
        </is>
      </c>
      <c r="C46" s="36" t="inlineStr">
        <is>
          <t>Popover</t>
        </is>
      </c>
      <c r="D46" s="36" t="inlineStr">
        <is>
          <t>Brick Consumer public-subpath AppBar settings panel passes desktop/mobile browser and boundary suites</t>
        </is>
      </c>
      <c r="E46" s="36" t="inlineStr">
        <is>
          <t>consumer</t>
        </is>
      </c>
      <c r="F46" s="36" t="inlineStr">
        <is>
          <t>test</t>
        </is>
      </c>
      <c r="G46" s="37" t="inlineStr">
        <is>
          <t>../apps/consumer/tests/consumer.spec.ts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46222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mergeCells count="3">
    <mergeCell ref="A2:M2"/>
    <mergeCell ref="A6:M6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Form Foundation Evidence Matrix</t>
        </is>
      </c>
    </row>
    <row r="2" ht="33.75" customHeight="1" s="22">
      <c r="A2" s="24" t="inlineStr">
        <is>
          <t>Evidence gates for the adopted Form Foundation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COUNTA(A9:A45)</f>
        <v/>
      </c>
      <c r="C4" s="25" t="inlineStr">
        <is>
          <t>Resolved</t>
        </is>
      </c>
      <c r="D4" s="26">
        <f>SUM(M9:M45)</f>
        <v/>
      </c>
      <c r="E4" s="25" t="inlineStr">
        <is>
          <t>Completion</t>
        </is>
      </c>
      <c r="F4" s="27">
        <f>IFERROR(D4/SUM(L9:L45),0)</f>
        <v/>
      </c>
      <c r="G4" s="25" t="inlineStr">
        <is>
          <t>Blocked</t>
        </is>
      </c>
      <c r="H4" s="26">
        <f>COUNTIF(H9:H45,"blocked")</f>
        <v/>
      </c>
      <c r="I4" s="25" t="inlineStr">
        <is>
          <t>Package gate</t>
        </is>
      </c>
      <c r="J4" s="26">
        <f>IF(COUNTIFS(E9:E45,"package",M9:M45,"&lt;1")=0,"complete","open")</f>
        <v/>
      </c>
      <c r="K4" s="25" t="inlineStr">
        <is>
          <t>Consumer gate</t>
        </is>
      </c>
      <c r="L4" s="26">
        <f>IF(COUNTIFS(E9:E45,"consumer",M9:M45,"&lt;1")=0,"complete","open")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FFB-01</t>
        </is>
      </c>
      <c r="B9" s="36" t="inlineStr">
        <is>
          <t>Public API</t>
        </is>
      </c>
      <c r="C9" s="36" t="inlineStr">
        <is>
          <t>Foundation</t>
        </is>
      </c>
      <c r="D9" s="36" t="inlineStr">
        <is>
          <t>Directly styles public Atom 0.6.13 Form, Field, and Fieldset, including validationBehavior, without local behavior workarounds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../src/components/form/Form.tsx; ../src/components/field/Field.tsx; ../src/components/fieldset/Fieldset.tsx</t>
        </is>
      </c>
      <c r="H9" s="36" t="inlineStr">
        <is>
          <t>tested</t>
        </is>
      </c>
      <c r="I9" s="36" t="inlineStr">
        <is>
          <t>no</t>
        </is>
      </c>
      <c r="J9" s="40" t="n">
        <v>46225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FFB-02</t>
        </is>
      </c>
      <c r="B10" s="36" t="inlineStr">
        <is>
          <t>Boundary</t>
        </is>
      </c>
      <c r="C10" s="36" t="inlineStr">
        <is>
          <t>Foundation</t>
        </is>
      </c>
      <c r="D10" s="36" t="inlineStr">
        <is>
          <t>Owner-adopted brief defines complete direct Form plus compound Field and Fieldset contracts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../../docs/form-foundation-component-brief.md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46223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FFB-03</t>
        </is>
      </c>
      <c r="B11" s="36" t="inlineStr">
        <is>
          <t>Exports</t>
        </is>
      </c>
      <c r="C11" s="36" t="inlineStr">
        <is>
          <t>Foundation</t>
        </is>
      </c>
      <c r="D11" s="36" t="inlineStr">
        <is>
          <t>Root, form, field, and fieldset subpath exports and declarations match the adopted anatomy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../test/types/form-foundation.test.tsx</t>
        </is>
      </c>
      <c r="H11" s="36" t="inlineStr">
        <is>
          <t>tested</t>
        </is>
      </c>
      <c r="I11" s="36" t="inlineStr">
        <is>
          <t>no</t>
        </is>
      </c>
      <c r="J11" s="40" t="n">
        <v>46223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FFB-04</t>
        </is>
      </c>
      <c r="B12" s="36" t="inlineStr">
        <is>
          <t>Anatomy</t>
        </is>
      </c>
      <c r="C12" s="36" t="inlineStr">
        <is>
          <t>Form</t>
        </is>
      </c>
      <c r="D12" s="36" t="inlineStr">
        <is>
          <t>Form is direct, has no Root namespace, renders form, and forwards HTMLFormElement ref/native props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../test/components/form-foundation.test.tsx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46223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FFB-05</t>
        </is>
      </c>
      <c r="B13" s="36" t="inlineStr">
        <is>
          <t>Anatomy</t>
        </is>
      </c>
      <c r="C13" s="36" t="inlineStr">
        <is>
          <t>Field</t>
        </is>
      </c>
      <c r="D13" s="36" t="inlineStr">
        <is>
          <t>Frozen namespace exposes exactly Root, Label, Description, Error, and RequiredIndicator plus direct exports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../test/components/form-foundation.test.tsx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46223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FFB-06</t>
        </is>
      </c>
      <c r="B14" s="36" t="inlineStr">
        <is>
          <t>Anatomy</t>
        </is>
      </c>
      <c r="C14" s="36" t="inlineStr">
        <is>
          <t>Fieldset</t>
        </is>
      </c>
      <c r="D14" s="36" t="inlineStr">
        <is>
          <t>Frozen namespace exposes exactly Root, Legend, Description, and Error plus direct exports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../test/components/form-foundation.test.tsx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46223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FFB-07</t>
        </is>
      </c>
      <c r="B15" s="36" t="inlineStr">
        <is>
          <t>Composition</t>
        </is>
      </c>
      <c r="C15" s="36" t="inlineStr">
        <is>
          <t>Form</t>
        </is>
      </c>
      <c r="D15" s="36" t="inlineStr">
        <is>
          <t>Default, render, and strict asChild paths preserve native form semantics, props, classes, slots, and refs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../test/components/form-foundation.test.tsx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46223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FFB-08</t>
        </is>
      </c>
      <c r="B16" s="36" t="inlineStr">
        <is>
          <t>Composition</t>
        </is>
      </c>
      <c r="C16" s="36" t="inlineStr">
        <is>
          <t>Field</t>
        </is>
      </c>
      <c r="D16" s="36" t="inlineStr">
        <is>
          <t>Every Field part supports mutually exclusive render/asChild typing and preserves semantic adapters</t>
        </is>
      </c>
      <c r="E16" s="36" t="inlineStr">
        <is>
          <t>package</t>
        </is>
      </c>
      <c r="F16" s="36" t="inlineStr">
        <is>
          <t>types</t>
        </is>
      </c>
      <c r="G16" s="37" t="inlineStr">
        <is>
          <t>../test/types/form-foundation.test.tsx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46223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FFB-09</t>
        </is>
      </c>
      <c r="B17" s="36" t="inlineStr">
        <is>
          <t>Composition</t>
        </is>
      </c>
      <c r="C17" s="36" t="inlineStr">
        <is>
          <t>Fieldset</t>
        </is>
      </c>
      <c r="D17" s="36" t="inlineStr">
        <is>
          <t>Every Fieldset part supports mutually exclusive render/asChild typing and preserves native grouping</t>
        </is>
      </c>
      <c r="E17" s="36" t="inlineStr">
        <is>
          <t>package</t>
        </is>
      </c>
      <c r="F17" s="36" t="inlineStr">
        <is>
          <t>types</t>
        </is>
      </c>
      <c r="G17" s="37" t="inlineStr">
        <is>
          <t>../test/types/form-foundation.test.tsx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46223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FFB-10</t>
        </is>
      </c>
      <c r="B18" s="36" t="inlineStr">
        <is>
          <t>SSR</t>
        </is>
      </c>
      <c r="C18" s="36" t="inlineStr">
        <is>
          <t>Field</t>
        </is>
      </c>
      <c r="D18" s="36" t="inlineStr">
        <is>
          <t>Default and Root asChild server markup retain styled Description/Error discovery and control relationships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../test/components/form-foundation.test.tsx; ../test/package/ssr.test.mjs</t>
        </is>
      </c>
      <c r="H18" s="36" t="inlineStr">
        <is>
          <t>tested</t>
        </is>
      </c>
      <c r="I18" s="36" t="inlineStr">
        <is>
          <t>no</t>
        </is>
      </c>
      <c r="J18" s="40" t="n">
        <v>46223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FFB-11</t>
        </is>
      </c>
      <c r="B19" s="36" t="inlineStr">
        <is>
          <t>SSR</t>
        </is>
      </c>
      <c r="C19" s="36" t="inlineStr">
        <is>
          <t>Fieldset</t>
        </is>
      </c>
      <c r="D19" s="36" t="inlineStr">
        <is>
          <t>Default and Root asChild server markup retain Legend/Description/Error discovery and group relationships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../test/components/form-foundation.test.tsx; ../test/package/ssr.test.mjs</t>
        </is>
      </c>
      <c r="H19" s="36" t="inlineStr">
        <is>
          <t>tested</t>
        </is>
      </c>
      <c r="I19" s="36" t="inlineStr">
        <is>
          <t>no</t>
        </is>
      </c>
      <c r="J19" s="40" t="n">
        <v>46223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FFB-12</t>
        </is>
      </c>
      <c r="B20" s="36" t="inlineStr">
        <is>
          <t>State</t>
        </is>
      </c>
      <c r="C20" s="36" t="inlineStr">
        <is>
          <t>Form</t>
        </is>
      </c>
      <c r="D20" s="36" t="inlineStr">
        <is>
          <t>Callback validation, submitting, submitted, rejected error visibility, and native reset metadata pass</t>
        </is>
      </c>
      <c r="E20" s="36" t="inlineStr">
        <is>
          <t>package</t>
        </is>
      </c>
      <c r="F20" s="36" t="inlineStr">
        <is>
          <t>browser</t>
        </is>
      </c>
      <c r="G20" s="37" t="inlineStr">
        <is>
          <t>tests/form-foundation.spec.ts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46223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FFB-13</t>
        </is>
      </c>
      <c r="B21" s="36" t="inlineStr">
        <is>
          <t>State</t>
        </is>
      </c>
      <c r="C21" s="36" t="inlineStr">
        <is>
          <t>Field</t>
        </is>
      </c>
      <c r="D21" s="36" t="inlineStr">
        <is>
          <t>Field preserves explicit states and aggregates native invalid attempts; a compatible Error automatically selects inline presentation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../test/components/form-foundation.test.tsx; ../test/components/checkbox-family.test.tsx</t>
        </is>
      </c>
      <c r="H21" s="36" t="inlineStr">
        <is>
          <t>tested</t>
        </is>
      </c>
      <c r="I21" s="36" t="inlineStr">
        <is>
          <t>no</t>
        </is>
      </c>
      <c r="J21" s="40" t="n">
        <v>46225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FFB-14</t>
        </is>
      </c>
      <c r="B22" s="36" t="inlineStr">
        <is>
          <t>State</t>
        </is>
      </c>
      <c r="C22" s="36" t="inlineStr">
        <is>
          <t>Fieldset</t>
        </is>
      </c>
      <c r="D22" s="36" t="inlineStr">
        <is>
          <t>Fieldset preserves explicit states and aggregates group native invalid attempts; a compatible Error automatically selects inline presentation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../test/components/form-foundation.test.tsx; ../test/components/checkbox-family.test.tsx</t>
        </is>
      </c>
      <c r="H22" s="36" t="inlineStr">
        <is>
          <t>tested</t>
        </is>
      </c>
      <c r="I22" s="36" t="inlineStr">
        <is>
          <t>no</t>
        </is>
      </c>
      <c r="J22" s="40" t="n">
        <v>46225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FFB-15</t>
        </is>
      </c>
      <c r="B23" s="36" t="inlineStr">
        <is>
          <t>Semantics</t>
        </is>
      </c>
      <c r="C23" s="36" t="inlineStr">
        <is>
          <t>Field</t>
        </is>
      </c>
      <c r="D23" s="36" t="inlineStr">
        <is>
          <t>Label activation and generated Description/Error relationships work while explicit native ARIA remains authoritative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tests/form-foundation.spec.ts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46223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FFB-16</t>
        </is>
      </c>
      <c r="B24" s="36" t="inlineStr">
        <is>
          <t>Semantics</t>
        </is>
      </c>
      <c r="C24" s="36" t="inlineStr">
        <is>
          <t>Fieldset</t>
        </is>
      </c>
      <c r="D24" s="36" t="inlineStr">
        <is>
          <t>Native fieldset/legend naming, disabled propagation, and grouped-control descriptions pass without invalid aria-required</t>
        </is>
      </c>
      <c r="E24" s="36" t="inlineStr">
        <is>
          <t>package</t>
        </is>
      </c>
      <c r="F24" s="36" t="inlineStr">
        <is>
          <t>browser</t>
        </is>
      </c>
      <c r="G24" s="37" t="inlineStr">
        <is>
          <t>tests/form-foundation.spec.ts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46223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FFB-17</t>
        </is>
      </c>
      <c r="B25" s="36" t="inlineStr">
        <is>
          <t>Behavior</t>
        </is>
      </c>
      <c r="C25" s="36" t="inlineStr">
        <is>
          <t>Form</t>
        </is>
      </c>
      <c r="D25" s="36" t="inlineStr">
        <is>
          <t>Native URL/function action/callback models, FormData, external controls, and reset remain supported without Brick policy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../test/components/form-foundation.test.tsx</t>
        </is>
      </c>
      <c r="H25" s="36" t="inlineStr">
        <is>
          <t>tested</t>
        </is>
      </c>
      <c r="I25" s="36" t="inlineStr">
        <is>
          <t>no</t>
        </is>
      </c>
      <c r="J25" s="40" t="n">
        <v>46223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FFB-18</t>
        </is>
      </c>
      <c r="B26" s="36" t="inlineStr">
        <is>
          <t>Layout</t>
        </is>
      </c>
      <c r="C26" s="36" t="inlineStr">
        <is>
          <t>Field</t>
        </is>
      </c>
      <c r="D26" s="36" t="inlineStr">
        <is>
          <t>Vertical source order and intrinsic horizontal two-to-one-column reflow pass exact browser geometry assertions</t>
        </is>
      </c>
      <c r="E26" s="36" t="inlineStr">
        <is>
          <t>package</t>
        </is>
      </c>
      <c r="F26" s="36" t="inlineStr">
        <is>
          <t>browser</t>
        </is>
      </c>
      <c r="G26" s="37" t="inlineStr">
        <is>
          <t>tests/form-foundation.spec.ts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46223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FFB-19</t>
        </is>
      </c>
      <c r="B27" s="36" t="inlineStr">
        <is>
          <t>Layout</t>
        </is>
      </c>
      <c r="C27" s="36" t="inlineStr">
        <is>
          <t>Fieldset</t>
        </is>
      </c>
      <c r="D27" s="36" t="inlineStr">
        <is>
          <t>Plain borderless group rhythm supports grouped controls and nested Fields without becoming a Card</t>
        </is>
      </c>
      <c r="E27" s="36" t="inlineStr">
        <is>
          <t>package</t>
        </is>
      </c>
      <c r="F27" s="36" t="inlineStr">
        <is>
          <t>source</t>
        </is>
      </c>
      <c r="G27" s="37" t="inlineStr">
        <is>
          <t>../src/components/fieldset/fieldset.css</t>
        </is>
      </c>
      <c r="H27" s="36" t="inlineStr">
        <is>
          <t>tested</t>
        </is>
      </c>
      <c r="I27" s="36" t="inlineStr">
        <is>
          <t>no</t>
        </is>
      </c>
      <c r="J27" s="40" t="n">
        <v>46223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FFB-20</t>
        </is>
      </c>
      <c r="B28" s="36" t="inlineStr">
        <is>
          <t>Responsive</t>
        </is>
      </c>
      <c r="C28" s="36" t="inlineStr">
        <is>
          <t>Foundation</t>
        </is>
      </c>
      <c r="D28" s="36" t="inlineStr">
        <is>
          <t>256 CSS-pixel English/RTL fixtures remain contained with no horizontal page overflow</t>
        </is>
      </c>
      <c r="E28" s="36" t="inlineStr">
        <is>
          <t>package</t>
        </is>
      </c>
      <c r="F28" s="36" t="inlineStr">
        <is>
          <t>browser</t>
        </is>
      </c>
      <c r="G28" s="37" t="inlineStr">
        <is>
          <t>tests/form-foundation.spec.ts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46223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FFB-21</t>
        </is>
      </c>
      <c r="B29" s="36" t="inlineStr">
        <is>
          <t>Appearance</t>
        </is>
      </c>
      <c r="C29" s="36" t="inlineStr">
        <is>
          <t>Foundation</t>
        </is>
      </c>
      <c r="D29" s="36" t="inlineStr">
        <is>
          <t>Light/dark hierarchy, invalid boundaries, RTL stress, and forced colors have stable visual baselines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tests/visual.spec.ts</t>
        </is>
      </c>
      <c r="H29" s="36" t="inlineStr">
        <is>
          <t>tested</t>
        </is>
      </c>
      <c r="I29" s="36" t="inlineStr">
        <is>
          <t>no</t>
        </is>
      </c>
      <c r="J29" s="40" t="n">
        <v>46223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FFB-22</t>
        </is>
      </c>
      <c r="B30" s="36" t="inlineStr">
        <is>
          <t>Accessibility</t>
        </is>
      </c>
      <c r="C30" s="36" t="inlineStr">
        <is>
          <t>Foundation</t>
        </is>
      </c>
      <c r="D30" s="36" t="inlineStr">
        <is>
          <t>Required, invalid, disabled, grouped, constrained, and RTL fixtures have no axe violations</t>
        </is>
      </c>
      <c r="E30" s="36" t="inlineStr">
        <is>
          <t>package</t>
        </is>
      </c>
      <c r="F30" s="36" t="inlineStr">
        <is>
          <t>axe</t>
        </is>
      </c>
      <c r="G30" s="37" t="inlineStr">
        <is>
          <t>tests/form-foundation.spec.ts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46223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FFB-23</t>
        </is>
      </c>
      <c r="B31" s="36" t="inlineStr">
        <is>
          <t>Announcements</t>
        </is>
      </c>
      <c r="C31" s="36" t="inlineStr">
        <is>
          <t>Error</t>
        </is>
      </c>
      <c r="D31" s="36" t="inlineStr">
        <is>
          <t>Field and Fieldset Error have no forced live role and accept deliberate native live-region props</t>
        </is>
      </c>
      <c r="E31" s="36" t="inlineStr">
        <is>
          <t>package</t>
        </is>
      </c>
      <c r="F31" s="36" t="inlineStr">
        <is>
          <t>test</t>
        </is>
      </c>
      <c r="G31" s="37" t="inlineStr">
        <is>
          <t>../test/components/form-foundation.test.tsx</t>
        </is>
      </c>
      <c r="H31" s="36" t="inlineStr">
        <is>
          <t>tested</t>
        </is>
      </c>
      <c r="I31" s="36" t="inlineStr">
        <is>
          <t>no</t>
        </is>
      </c>
      <c r="J31" s="40" t="n">
        <v>46223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FFB-24</t>
        </is>
      </c>
      <c r="B32" s="36" t="inlineStr">
        <is>
          <t>CSS</t>
        </is>
      </c>
      <c r="C32" s="36" t="inlineStr">
        <is>
          <t>Form</t>
        </is>
      </c>
      <c r="D32" s="36" t="inlineStr">
        <is>
          <t>Production CSS includes complete spacing tokens and visible callback-state treatment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../test/package/package.test.mjs</t>
        </is>
      </c>
      <c r="H32" s="36" t="inlineStr">
        <is>
          <t>tested</t>
        </is>
      </c>
      <c r="I32" s="36" t="inlineStr">
        <is>
          <t>no</t>
        </is>
      </c>
      <c r="J32" s="40" t="n">
        <v>46223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FFB-25</t>
        </is>
      </c>
      <c r="B33" s="36" t="inlineStr">
        <is>
          <t>CSS</t>
        </is>
      </c>
      <c r="C33" s="36" t="inlineStr">
        <is>
          <t>Field</t>
        </is>
      </c>
      <c r="D33" s="36" t="inlineStr">
        <is>
          <t>Production CSS includes stable anatomy classes, slots, complete tokens, state, orientation, reflow, and forced colors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../test/package/package.test.mjs</t>
        </is>
      </c>
      <c r="H33" s="36" t="inlineStr">
        <is>
          <t>tested</t>
        </is>
      </c>
      <c r="I33" s="36" t="inlineStr">
        <is>
          <t>no</t>
        </is>
      </c>
      <c r="J33" s="40" t="n">
        <v>46223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FFB-26</t>
        </is>
      </c>
      <c r="B34" s="36" t="inlineStr">
        <is>
          <t>CSS</t>
        </is>
      </c>
      <c r="C34" s="36" t="inlineStr">
        <is>
          <t>Fieldset</t>
        </is>
      </c>
      <c r="D34" s="36" t="inlineStr">
        <is>
          <t>Production CSS includes stable anatomy classes, slots, complete tokens, native reset, state, and forced colors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46223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FFB-27</t>
        </is>
      </c>
      <c r="B35" s="36" t="inlineStr">
        <is>
          <t>Package</t>
        </is>
      </c>
      <c r="C35" s="36" t="inlineStr">
        <is>
          <t>Foundation</t>
        </is>
      </c>
      <c r="D35" s="36" t="inlineStr">
        <is>
          <t>Metadata exposes all three subpaths and pins exact public Atom 0.6.13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../test/package/package.test.mjs</t>
        </is>
      </c>
      <c r="H35" s="36" t="inlineStr">
        <is>
          <t>tested</t>
        </is>
      </c>
      <c r="I35" s="36" t="inlineStr">
        <is>
          <t>no</t>
        </is>
      </c>
      <c r="J35" s="40" t="n">
        <v>46225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FFB-28</t>
        </is>
      </c>
      <c r="B36" s="36" t="inlineStr">
        <is>
          <t>Consumers</t>
        </is>
      </c>
      <c r="C36" s="36" t="inlineStr">
        <is>
          <t>Foundation</t>
        </is>
      </c>
      <c r="D36" s="36" t="inlineStr">
        <is>
          <t>Generated React 18 and React 19 packed consumers import root/subpath APIs and CSS</t>
        </is>
      </c>
      <c r="E36" s="36" t="inlineStr">
        <is>
          <t>package</t>
        </is>
      </c>
      <c r="F36" s="36" t="inlineStr">
        <is>
          <t>consumer</t>
        </is>
      </c>
      <c r="G36" s="37" t="inlineStr">
        <is>
          <t>../scripts/verify-consumers.mjs</t>
        </is>
      </c>
      <c r="H36" s="36" t="inlineStr">
        <is>
          <t>tested</t>
        </is>
      </c>
      <c r="I36" s="36" t="inlineStr">
        <is>
          <t>no</t>
        </is>
      </c>
      <c r="J36" s="40" t="n">
        <v>46223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FFB-29</t>
        </is>
      </c>
      <c r="B37" s="36" t="inlineStr">
        <is>
          <t>Docs</t>
        </is>
      </c>
      <c r="C37" s="36" t="inlineStr">
        <is>
          <t>Form</t>
        </is>
      </c>
      <c r="D37" s="36" t="inlineStr">
        <is>
          <t>Public Form guide/changelog document routing, native API, submission models, states, hooks, and customization</t>
        </is>
      </c>
      <c r="E37" s="36" t="inlineStr">
        <is>
          <t>package</t>
        </is>
      </c>
      <c r="F37" s="36" t="inlineStr">
        <is>
          <t>docs</t>
        </is>
      </c>
      <c r="G37" s="37" t="inlineStr">
        <is>
          <t>../docs/components/form/README.md</t>
        </is>
      </c>
      <c r="H37" s="36" t="inlineStr">
        <is>
          <t>tested</t>
        </is>
      </c>
      <c r="I37" s="36" t="inlineStr">
        <is>
          <t>no</t>
        </is>
      </c>
      <c r="J37" s="40" t="n">
        <v>46223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FFB-30</t>
        </is>
      </c>
      <c r="B38" s="36" t="inlineStr">
        <is>
          <t>Docs</t>
        </is>
      </c>
      <c r="C38" s="36" t="inlineStr">
        <is>
          <t>Field</t>
        </is>
      </c>
      <c r="D38" s="36" t="inlineStr">
        <is>
          <t>Public Field guide/changelog document complete anatomy, state, relationships, composition, reflow, and tokens</t>
        </is>
      </c>
      <c r="E38" s="36" t="inlineStr">
        <is>
          <t>package</t>
        </is>
      </c>
      <c r="F38" s="36" t="inlineStr">
        <is>
          <t>docs</t>
        </is>
      </c>
      <c r="G38" s="37" t="inlineStr">
        <is>
          <t>../docs/components/field/README.md</t>
        </is>
      </c>
      <c r="H38" s="36" t="inlineStr">
        <is>
          <t>tested</t>
        </is>
      </c>
      <c r="I38" s="36" t="inlineStr">
        <is>
          <t>no</t>
        </is>
      </c>
      <c r="J38" s="40" t="n">
        <v>46223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FFB-31</t>
        </is>
      </c>
      <c r="B39" s="36" t="inlineStr">
        <is>
          <t>Docs</t>
        </is>
      </c>
      <c r="C39" s="36" t="inlineStr">
        <is>
          <t>Fieldset</t>
        </is>
      </c>
      <c r="D39" s="36" t="inlineStr">
        <is>
          <t>Public Fieldset guide/changelog document native grouping, anatomy, state, relationships, composition, and tokens</t>
        </is>
      </c>
      <c r="E39" s="36" t="inlineStr">
        <is>
          <t>package</t>
        </is>
      </c>
      <c r="F39" s="36" t="inlineStr">
        <is>
          <t>docs</t>
        </is>
      </c>
      <c r="G39" s="37" t="inlineStr">
        <is>
          <t>../docs/components/fieldset/README.md</t>
        </is>
      </c>
      <c r="H39" s="36" t="inlineStr">
        <is>
          <t>tested</t>
        </is>
      </c>
      <c r="I39" s="36" t="inlineStr">
        <is>
          <t>no</t>
        </is>
      </c>
      <c r="J39" s="40" t="n">
        <v>46223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FFB-32</t>
        </is>
      </c>
      <c r="B40" s="36" t="inlineStr">
        <is>
          <t>Playground</t>
        </is>
      </c>
      <c r="C40" s="36" t="inlineStr">
        <is>
          <t>Foundation</t>
        </is>
      </c>
      <c r="D40" s="36" t="inlineStr">
        <is>
          <t>Nine-scenario workbench separates Form, Field, and Fieldset review sections plus shared integration, composition, appearance, relationships, and stress evidence</t>
        </is>
      </c>
      <c r="E40" s="36" t="inlineStr">
        <is>
          <t>package</t>
        </is>
      </c>
      <c r="F40" s="36" t="inlineStr">
        <is>
          <t>source</t>
        </is>
      </c>
      <c r="G40" s="37" t="inlineStr">
        <is>
          <t>../playground/src/main.tsx</t>
        </is>
      </c>
      <c r="H40" s="36" t="inlineStr">
        <is>
          <t>tested</t>
        </is>
      </c>
      <c r="I40" s="36" t="inlineStr">
        <is>
          <t>no</t>
        </is>
      </c>
      <c r="J40" s="40" t="n">
        <v>46223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FFB-33</t>
        </is>
      </c>
      <c r="B41" s="36" t="inlineStr">
        <is>
          <t>Manual</t>
        </is>
      </c>
      <c r="C41" s="36" t="inlineStr">
        <is>
          <t>Foundation</t>
        </is>
      </c>
      <c r="D41" s="36" t="inlineStr">
        <is>
          <t>Fourteen-step owner protocol has dedicated Form, Field, and Fieldset sections plus foundation integration checks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../../docs/manual-tests/form-foundation.md</t>
        </is>
      </c>
      <c r="H41" s="36" t="inlineStr">
        <is>
          <t>verified</t>
        </is>
      </c>
      <c r="I41" s="36" t="inlineStr">
        <is>
          <t>yes</t>
        </is>
      </c>
      <c r="J41" s="40" t="n">
        <v>46224</v>
      </c>
      <c r="K41" s="36" t="inlineStr">
        <is>
          <t>Owner protocol passed July 21, 2026; Windows forced colors not tested (no device)</t>
        </is>
      </c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FFB-34</t>
        </is>
      </c>
      <c r="B42" s="36" t="inlineStr">
        <is>
          <t>Manual</t>
        </is>
      </c>
      <c r="C42" s="36" t="inlineStr">
        <is>
          <t>Form</t>
        </is>
      </c>
      <c r="D42" s="36" t="inlineStr">
        <is>
          <t>Owner approves native submission models, callback state, reset, keyboard/touch behavior, and visible feedback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../../docs/manual-tests/form-foundation.md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46224</v>
      </c>
      <c r="K42" s="36" t="inlineStr">
        <is>
          <t>Owner Form review passed July 21, 2026</t>
        </is>
      </c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FFB-35</t>
        </is>
      </c>
      <c r="B43" s="36" t="inlineStr">
        <is>
          <t>Manual</t>
        </is>
      </c>
      <c r="C43" s="36" t="inlineStr">
        <is>
          <t>Field</t>
        </is>
      </c>
      <c r="D43" s="36" t="inlineStr">
        <is>
          <t>Owner approves one-control anatomy, states, relationships, orientation, composition, touch, screen-reader, and zoom behavior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../../docs/manual-tests/form-foundation.md</t>
        </is>
      </c>
      <c r="H43" s="36" t="inlineStr">
        <is>
          <t>verified</t>
        </is>
      </c>
      <c r="I43" s="36" t="inlineStr">
        <is>
          <t>yes</t>
        </is>
      </c>
      <c r="J43" s="40" t="n">
        <v>46224</v>
      </c>
      <c r="K43" s="36" t="inlineStr">
        <is>
          <t>Owner Field review passed July 21, 2026</t>
        </is>
      </c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FFB-36</t>
        </is>
      </c>
      <c r="B44" s="36" t="inlineStr">
        <is>
          <t>Manual</t>
        </is>
      </c>
      <c r="C44" s="36" t="inlineStr">
        <is>
          <t>Fieldset</t>
        </is>
      </c>
      <c r="D44" s="36" t="inlineStr">
        <is>
          <t>Owner approves native group anatomy, states, relationships, composition, choice interaction, direction, and preferences where available</t>
        </is>
      </c>
      <c r="E44" s="36" t="inlineStr">
        <is>
          <t>package</t>
        </is>
      </c>
      <c r="F44" s="36" t="inlineStr">
        <is>
          <t>manual</t>
        </is>
      </c>
      <c r="G44" s="37" t="inlineStr">
        <is>
          <t>../../docs/manual-tests/form-foundation.md</t>
        </is>
      </c>
      <c r="H44" s="36" t="inlineStr">
        <is>
          <t>verified</t>
        </is>
      </c>
      <c r="I44" s="36" t="inlineStr">
        <is>
          <t>yes</t>
        </is>
      </c>
      <c r="J44" s="40" t="n">
        <v>46224</v>
      </c>
      <c r="K44" s="36" t="inlineStr">
        <is>
          <t>Owner Fieldset review passed July 21, 2026; Windows forced colors not tested (no device)</t>
        </is>
      </c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FFB-37</t>
        </is>
      </c>
      <c r="B45" s="36" t="inlineStr">
        <is>
          <t>Consumer</t>
        </is>
      </c>
      <c r="C45" s="36" t="inlineStr">
        <is>
          <t>Foundation</t>
        </is>
      </c>
      <c r="D45" s="36" t="inlineStr">
        <is>
          <t>Brick Consumer public subpaths implement invalid/valid/reset email Field and native role Fieldset across desktop/mobile</t>
        </is>
      </c>
      <c r="E45" s="36" t="inlineStr">
        <is>
          <t>consumer</t>
        </is>
      </c>
      <c r="F45" s="36" t="inlineStr">
        <is>
          <t>test</t>
        </is>
      </c>
      <c r="G45" s="37" t="inlineStr">
        <is>
          <t>../apps/consumer/tests/consumer.spec.ts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46223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/>
    <row r="47" ht="42" customHeight="1" s="22"/>
    <row r="48"/>
  </sheetData>
  <mergeCells count="3">
    <mergeCell ref="A2:M2"/>
    <mergeCell ref="A6:M6"/>
    <mergeCell ref="A1:M1"/>
  </mergeCells>
  <conditionalFormatting sqref="H9:H45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5" showDropDown="0" showInputMessage="0" showErrorMessage="0" allowBlank="0" type="list" errorStyle="stop" operator="between">
      <formula1>_Lists!$A$1:$A$7</formula1>
      <formula2>0</formula2>
    </dataValidation>
    <dataValidation sqref="I9:I45" showDropDown="0" showInputMessage="0" showErrorMessage="0" allowBlank="0" type="list" errorStyle="stop" operator="between">
      <formula1>_Lists!$B$1:$B$2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1" t="inlineStr">
        <is>
          <t>Checkbox Family Evidence Matrix</t>
        </is>
      </c>
    </row>
    <row r="2" ht="33.75" customHeight="1" s="22">
      <c r="A2" s="24" t="inlineStr">
        <is>
          <t>Evidence gates for the adopted Checkbox Family contract, public Atom boundary, package proof, Consumer integration, automated evidence, and owner review.</t>
        </is>
      </c>
    </row>
    <row r="3"/>
    <row r="4" ht="15" customHeight="1" s="22">
      <c r="A4" s="25" t="inlineStr">
        <is>
          <t>Requirements</t>
        </is>
      </c>
      <c r="B4" s="26">
        <f>COUNTA(A9:A46)</f>
        <v/>
      </c>
      <c r="C4" s="25" t="inlineStr">
        <is>
          <t>Resolved</t>
        </is>
      </c>
      <c r="D4" s="26">
        <f>SUM(M9:M46)</f>
        <v/>
      </c>
      <c r="E4" s="25" t="inlineStr">
        <is>
          <t>Completion</t>
        </is>
      </c>
      <c r="F4" s="27">
        <f>IFERROR(D4/SUM(L9:L46),0)</f>
        <v/>
      </c>
      <c r="G4" s="25" t="inlineStr">
        <is>
          <t>Blocked</t>
        </is>
      </c>
      <c r="H4" s="26">
        <f>COUNTIF(H9:H46,"blocked")</f>
        <v/>
      </c>
      <c r="I4" s="25" t="inlineStr">
        <is>
          <t>Package gate</t>
        </is>
      </c>
      <c r="J4" s="26">
        <f>IF(COUNTIFS(E9:E46,"package",M9:M46,"&lt;1")=0,"complete","open")</f>
        <v/>
      </c>
      <c r="K4" s="25" t="inlineStr">
        <is>
          <t>Consumer gate</t>
        </is>
      </c>
      <c r="L4" s="26">
        <f>IF(COUNTIFS(E9:E46,"consumer",M9:M46,"&lt;1")=0,"complete","open")</f>
        <v/>
      </c>
    </row>
    <row r="5"/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7"/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CBF-01</t>
        </is>
      </c>
      <c r="B9" s="36" t="inlineStr">
        <is>
          <t>Public API</t>
        </is>
      </c>
      <c r="C9" s="36" t="inlineStr">
        <is>
          <t>Family</t>
        </is>
      </c>
      <c r="D9" s="36" t="inlineStr">
        <is>
          <t>Directly styles public Atom Checkbox and CheckboxGroup without local behavior workarounds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../src/components/checkbox/Checkbox.tsx; ../src/components/checkbox-group/CheckboxGroup.tsx</t>
        </is>
      </c>
      <c r="H9" s="36" t="inlineStr">
        <is>
          <t>tested</t>
        </is>
      </c>
      <c r="I9" s="36" t="inlineStr">
        <is>
          <t>no</t>
        </is>
      </c>
      <c r="J9" s="40" t="n">
        <v>46224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CBF-02</t>
        </is>
      </c>
      <c r="B10" s="36" t="inlineStr">
        <is>
          <t>Boundary</t>
        </is>
      </c>
      <c r="C10" s="36" t="inlineStr">
        <is>
          <t>Family</t>
        </is>
      </c>
      <c r="D10" s="36" t="inlineStr">
        <is>
          <t>Owner-adopted brief defines the direct Checkbox and five-part CheckboxGroup contract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../../docs/checkbox-family-component-brief.md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46224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CBF-03</t>
        </is>
      </c>
      <c r="B11" s="36" t="inlineStr">
        <is>
          <t>Dependency</t>
        </is>
      </c>
      <c r="C11" s="36" t="inlineStr">
        <is>
          <t>Family</t>
        </is>
      </c>
      <c r="D11" s="36" t="inlineStr">
        <is>
          <t>Exact registry Atom 0.6.17 owns state, collection, form participation, inline/native validity presentation, touched invalid disclosure, visible focus and scrolling, correction, and reset</t>
        </is>
      </c>
      <c r="E11" s="36" t="inlineStr">
        <is>
          <t>package</t>
        </is>
      </c>
      <c r="F11" s="36" t="inlineStr">
        <is>
          <t>package</t>
        </is>
      </c>
      <c r="G11" s="37" t="inlineStr">
        <is>
          <t>../package.json; ../package-lock.json</t>
        </is>
      </c>
      <c r="H11" s="36" t="inlineStr">
        <is>
          <t>tested</t>
        </is>
      </c>
      <c r="I11" s="36" t="inlineStr">
        <is>
          <t>no</t>
        </is>
      </c>
      <c r="J11" s="40" t="n">
        <v>46225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CBF-04</t>
        </is>
      </c>
      <c r="B12" s="36" t="inlineStr">
        <is>
          <t>Exports</t>
        </is>
      </c>
      <c r="C12" s="36" t="inlineStr">
        <is>
          <t>Family</t>
        </is>
      </c>
      <c r="D12" s="36" t="inlineStr">
        <is>
          <t>Root and checkbox/checkbox-group subpath exports match the adopted anatomy</t>
        </is>
      </c>
      <c r="E12" s="36" t="inlineStr">
        <is>
          <t>package</t>
        </is>
      </c>
      <c r="F12" s="36" t="inlineStr">
        <is>
          <t>package</t>
        </is>
      </c>
      <c r="G12" s="37" t="inlineStr">
        <is>
          <t>../test/package/package.test.mjs</t>
        </is>
      </c>
      <c r="H12" s="36" t="inlineStr">
        <is>
          <t>tested</t>
        </is>
      </c>
      <c r="I12" s="36" t="inlineStr">
        <is>
          <t>no</t>
        </is>
      </c>
      <c r="J12" s="40" t="n">
        <v>46224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CBF-05</t>
        </is>
      </c>
      <c r="B13" s="36" t="inlineStr">
        <is>
          <t>Types</t>
        </is>
      </c>
      <c r="C13" s="36" t="inlineStr">
        <is>
          <t>Family</t>
        </is>
      </c>
      <c r="D13" s="36" t="inlineStr">
        <is>
          <t>Public props, refs, size narrowing, and composition branches type-check on React 18+</t>
        </is>
      </c>
      <c r="E13" s="36" t="inlineStr">
        <is>
          <t>package</t>
        </is>
      </c>
      <c r="F13" s="36" t="inlineStr">
        <is>
          <t>types</t>
        </is>
      </c>
      <c r="G13" s="37" t="inlineStr">
        <is>
          <t>../test/types/checkbox-family.test.tsx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46224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CBF-06</t>
        </is>
      </c>
      <c r="B14" s="36" t="inlineStr">
        <is>
          <t>CSS</t>
        </is>
      </c>
      <c r="C14" s="36" t="inlineStr">
        <is>
          <t>Family</t>
        </is>
      </c>
      <c r="D14" s="36" t="inlineStr">
        <is>
          <t>Static CSS exposes stable classes, slots, tokens, state selectors, and logical layout</t>
        </is>
      </c>
      <c r="E14" s="36" t="inlineStr">
        <is>
          <t>package</t>
        </is>
      </c>
      <c r="F14" s="36" t="inlineStr">
        <is>
          <t>css</t>
        </is>
      </c>
      <c r="G14" s="37" t="inlineStr">
        <is>
          <t>../src/styles/components/checkbox.css; ../test/css</t>
        </is>
      </c>
      <c r="H14" s="36" t="inlineStr">
        <is>
          <t>tested</t>
        </is>
      </c>
      <c r="I14" s="36" t="inlineStr">
        <is>
          <t>no</t>
        </is>
      </c>
      <c r="J14" s="40" t="n">
        <v>46224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CBF-07</t>
        </is>
      </c>
      <c r="B15" s="36" t="inlineStr">
        <is>
          <t>Anatomy</t>
        </is>
      </c>
      <c r="C15" s="36" t="inlineStr">
        <is>
          <t>Checkbox</t>
        </is>
      </c>
      <c r="D15" s="36" t="inlineStr">
        <is>
          <t>One semantic checkbox row contains one decorative control and built-in public Indicator artwork</t>
        </is>
      </c>
      <c r="E15" s="36" t="inlineStr">
        <is>
          <t>package</t>
        </is>
      </c>
      <c r="F15" s="36" t="inlineStr">
        <is>
          <t>component</t>
        </is>
      </c>
      <c r="G15" s="37" t="inlineStr">
        <is>
          <t>../test/components/checkbox-family.test.tsx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46224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CBF-08</t>
        </is>
      </c>
      <c r="B16" s="36" t="inlineStr">
        <is>
          <t>Anatomy</t>
        </is>
      </c>
      <c r="C16" s="36" t="inlineStr">
        <is>
          <t>CheckboxGroup</t>
        </is>
      </c>
      <c r="D16" s="36" t="inlineStr">
        <is>
          <t>Root, Item, ItemLabel, ItemDescription, and Parent preserve the frozen public namespace</t>
        </is>
      </c>
      <c r="E16" s="36" t="inlineStr">
        <is>
          <t>package</t>
        </is>
      </c>
      <c r="F16" s="36" t="inlineStr">
        <is>
          <t>component</t>
        </is>
      </c>
      <c r="G16" s="37" t="inlineStr">
        <is>
          <t>../test/components/checkbox-family.test.tsx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46224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CBF-09</t>
        </is>
      </c>
      <c r="B17" s="36" t="inlineStr">
        <is>
          <t>States</t>
        </is>
      </c>
      <c r="C17" s="36" t="inlineStr">
        <is>
          <t>Checkbox</t>
        </is>
      </c>
      <c r="D17" s="36" t="inlineStr">
        <is>
          <t>Unchecked, checked, mixed, disabled, disabled-checked, read-only, invalid, and required states remain distinct</t>
        </is>
      </c>
      <c r="E17" s="36" t="inlineStr">
        <is>
          <t>package</t>
        </is>
      </c>
      <c r="F17" s="36" t="inlineStr">
        <is>
          <t>manual</t>
        </is>
      </c>
      <c r="G17" s="37" t="inlineStr">
        <is>
          <t>../../docs/manual-tests/checkbox-family.md#1</t>
        </is>
      </c>
      <c r="H17" s="36" t="inlineStr">
        <is>
          <t>verified</t>
        </is>
      </c>
      <c r="I17" s="36" t="inlineStr">
        <is>
          <t>yes</t>
        </is>
      </c>
      <c r="J17" s="40" t="n">
        <v>46225</v>
      </c>
      <c r="K17" s="36" t="inlineStr">
        <is>
          <t>Owner passed full retest step 1 on 2026-07-22 after final Atom 0.6.14 and scoped invalid-presentation changes.</t>
        </is>
      </c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CBF-10</t>
        </is>
      </c>
      <c r="B18" s="36" t="inlineStr">
        <is>
          <t>Sizes</t>
        </is>
      </c>
      <c r="C18" s="36" t="inlineStr">
        <is>
          <t>Checkbox</t>
        </is>
      </c>
      <c r="D18" s="36" t="inlineStr">
        <is>
          <t>Small, medium, and large coordinate control, artwork, gap, row padding, and target height while label typography remains stable and every row retains at least a 44px target</t>
        </is>
      </c>
      <c r="E18" s="36" t="inlineStr">
        <is>
          <t>package</t>
        </is>
      </c>
      <c r="F18" s="36" t="inlineStr">
        <is>
          <t>manual</t>
        </is>
      </c>
      <c r="G18" s="37" t="inlineStr">
        <is>
          <t>../../docs/manual-tests/checkbox-family.md#2</t>
        </is>
      </c>
      <c r="H18" s="36" t="inlineStr">
        <is>
          <t>verified</t>
        </is>
      </c>
      <c r="I18" s="36" t="inlineStr">
        <is>
          <t>yes</t>
        </is>
      </c>
      <c r="J18" s="40" t="n">
        <v>46225</v>
      </c>
      <c r="K18" s="36" t="inlineStr">
        <is>
          <t>Owner passed full retest step 2 on 2026-07-22; control geometry, artwork, gap, padding, target height, stable label typography, and layout stability were confirmed.</t>
        </is>
      </c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CBF-11</t>
        </is>
      </c>
      <c r="B19" s="36" t="inlineStr">
        <is>
          <t>Appearance</t>
        </is>
      </c>
      <c r="C19" s="36" t="inlineStr">
        <is>
          <t>Family</t>
        </is>
      </c>
      <c r="D19" s="36" t="inlineStr">
        <is>
          <t>Dark appearance preserves boundaries, marks, secondary copy, invalid treatment, and focus</t>
        </is>
      </c>
      <c r="E19" s="36" t="inlineStr">
        <is>
          <t>package</t>
        </is>
      </c>
      <c r="F19" s="36" t="inlineStr">
        <is>
          <t>manual</t>
        </is>
      </c>
      <c r="G19" s="37" t="inlineStr">
        <is>
          <t>../../docs/manual-tests/checkbox-family.md#3</t>
        </is>
      </c>
      <c r="H19" s="36" t="inlineStr">
        <is>
          <t>verified</t>
        </is>
      </c>
      <c r="I19" s="36" t="inlineStr">
        <is>
          <t>yes</t>
        </is>
      </c>
      <c r="J19" s="40" t="n">
        <v>46225</v>
      </c>
      <c r="K19" s="36" t="inlineStr">
        <is>
          <t>Owner passed full retest step 3 on 2026-07-22; dark boundaries, marks, secondary copy, scoped invalid treatment, and focus visibility were confirmed.</t>
        </is>
      </c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CBF-12</t>
        </is>
      </c>
      <c r="B20" s="36" t="inlineStr">
        <is>
          <t>Pointer</t>
        </is>
      </c>
      <c r="C20" s="36" t="inlineStr">
        <is>
          <t>Family</t>
        </is>
      </c>
      <c r="D20" s="36" t="inlineStr">
        <is>
          <t>Full label and description rows activate exactly once</t>
        </is>
      </c>
      <c r="E20" s="36" t="inlineStr">
        <is>
          <t>package</t>
        </is>
      </c>
      <c r="F20" s="36" t="inlineStr">
        <is>
          <t>manual</t>
        </is>
      </c>
      <c r="G20" s="37" t="inlineStr">
        <is>
          <t>../../docs/manual-tests/checkbox-family.md#4</t>
        </is>
      </c>
      <c r="H20" s="36" t="inlineStr">
        <is>
          <t>verified</t>
        </is>
      </c>
      <c r="I20" s="36" t="inlineStr">
        <is>
          <t>yes</t>
        </is>
      </c>
      <c r="J20" s="40" t="n">
        <v>46225</v>
      </c>
      <c r="K20" s="36" t="inlineStr">
        <is>
          <t>Owner passed full retest step 4 on 2026-07-22; enabled row hover, unchecked-control hover border, preserved checked/invalid treatment, disabled/read-only blocking, and single full-row activation were confirmed.</t>
        </is>
      </c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CBF-13</t>
        </is>
      </c>
      <c r="B21" s="36" t="inlineStr">
        <is>
          <t>Keyboard</t>
        </is>
      </c>
      <c r="C21" s="36" t="inlineStr">
        <is>
          <t>Family</t>
        </is>
      </c>
      <c r="D21" s="36" t="inlineStr">
        <is>
          <t>Tab, Space, Enter, disabled skipping, read-only blocking, and visible focus behave consistently</t>
        </is>
      </c>
      <c r="E21" s="36" t="inlineStr">
        <is>
          <t>package</t>
        </is>
      </c>
      <c r="F21" s="36" t="inlineStr">
        <is>
          <t>manual</t>
        </is>
      </c>
      <c r="G21" s="37" t="inlineStr">
        <is>
          <t>../../docs/manual-tests/checkbox-family.md#5</t>
        </is>
      </c>
      <c r="H21" s="36" t="inlineStr">
        <is>
          <t>verified</t>
        </is>
      </c>
      <c r="I21" s="36" t="inlineStr">
        <is>
          <t>yes</t>
        </is>
      </c>
      <c r="J21" s="40" t="n">
        <v>46225</v>
      </c>
      <c r="K21" s="36" t="inlineStr">
        <is>
          <t>Owner passed full retest step 5 on 2026-07-22; logical Tab order, Space and Enter activation, disabled skipping, read-only blocking, reverse navigation, and full-row focus visibility were confirmed.</t>
        </is>
      </c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CBF-14</t>
        </is>
      </c>
      <c r="B22" s="36" t="inlineStr">
        <is>
          <t>Collection</t>
        </is>
      </c>
      <c r="C22" s="36" t="inlineStr">
        <is>
          <t>Parent</t>
        </is>
      </c>
      <c r="D22" s="36" t="inlineStr">
        <is>
          <t>Parent deterministically represents and changes none, some, and all selectable values</t>
        </is>
      </c>
      <c r="E22" s="36" t="inlineStr">
        <is>
          <t>package</t>
        </is>
      </c>
      <c r="F22" s="36" t="inlineStr">
        <is>
          <t>browser</t>
        </is>
      </c>
      <c r="G22" s="37" t="inlineStr">
        <is>
          <t>../playground/tests/checkbox-family.spec.ts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46224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CBF-15</t>
        </is>
      </c>
      <c r="B23" s="36" t="inlineStr">
        <is>
          <t>Relationships</t>
        </is>
      </c>
      <c r="C23" s="36" t="inlineStr">
        <is>
          <t>Item</t>
        </is>
      </c>
      <c r="D23" s="36" t="inlineStr">
        <is>
          <t>Structured ItemLabel and ItemDescription relationships exist before interaction and remain announced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../playground/tests/checkbox-family.spec.ts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46224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CBF-16</t>
        </is>
      </c>
      <c r="B24" s="36" t="inlineStr">
        <is>
          <t>Field</t>
        </is>
      </c>
      <c r="C24" s="36" t="inlineStr">
        <is>
          <t>Checkbox</t>
        </is>
      </c>
      <c r="D24" s="36" t="inlineStr">
        <is>
          <t>Field naming and instructions compose without a wrapper; native required failure automatically reveals Error and shared invalid state</t>
        </is>
      </c>
      <c r="E24" s="36" t="inlineStr">
        <is>
          <t>package</t>
        </is>
      </c>
      <c r="F24" s="36" t="inlineStr">
        <is>
          <t>component</t>
        </is>
      </c>
      <c r="G24" s="37" t="inlineStr">
        <is>
          <t>../test/components/checkbox-family.test.tsx; ../playground/tests/checkbox-family.spec.ts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46225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CBF-17</t>
        </is>
      </c>
      <c r="B25" s="36" t="inlineStr">
        <is>
          <t>Fieldset</t>
        </is>
      </c>
      <c r="C25" s="36" t="inlineStr">
        <is>
          <t>CheckboxGroup</t>
        </is>
      </c>
      <c r="D25" s="36" t="inlineStr">
        <is>
          <t>Fieldset Legend and Description reach the group; native one-or-more failure automatically reveals the shared Error and invalid state</t>
        </is>
      </c>
      <c r="E25" s="36" t="inlineStr">
        <is>
          <t>package</t>
        </is>
      </c>
      <c r="F25" s="36" t="inlineStr">
        <is>
          <t>component</t>
        </is>
      </c>
      <c r="G25" s="37" t="inlineStr">
        <is>
          <t>../test/components/checkbox-family.test.tsx; ../playground/tests/checkbox-family.spec.ts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46225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CBF-18</t>
        </is>
      </c>
      <c r="B26" s="36" t="inlineStr">
        <is>
          <t>Forms</t>
        </is>
      </c>
      <c r="C26" s="36" t="inlineStr">
        <is>
          <t>Family</t>
        </is>
      </c>
      <c r="D26" s="36" t="inlineStr">
        <is>
          <t>FormData, disabled omission, external form ownership, and uncontrolled reset follow native behavior</t>
        </is>
      </c>
      <c r="E26" s="36" t="inlineStr">
        <is>
          <t>package</t>
        </is>
      </c>
      <c r="F26" s="36" t="inlineStr">
        <is>
          <t>browser</t>
        </is>
      </c>
      <c r="G26" s="37" t="inlineStr">
        <is>
          <t>../playground/tests/checkbox-family.spec.ts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46224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CBF-19</t>
        </is>
      </c>
      <c r="B27" s="36" t="inlineStr">
        <is>
          <t>Validity</t>
        </is>
      </c>
      <c r="C27" s="36" t="inlineStr">
        <is>
          <t>Checkbox</t>
        </is>
      </c>
      <c r="D27" s="36" t="inlineStr">
        <is>
          <t>Required proxy shares visible Checkbox bounds; inline failure marks the Checkbox and Field invalid, reveals Error, and focuses the visible control</t>
        </is>
      </c>
      <c r="E27" s="36" t="inlineStr">
        <is>
          <t>package</t>
        </is>
      </c>
      <c r="F27" s="36" t="inlineStr">
        <is>
          <t>browser</t>
        </is>
      </c>
      <c r="G27" s="37" t="inlineStr">
        <is>
          <t>../playground/tests/checkbox-family.spec.ts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46225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CBF-20</t>
        </is>
      </c>
      <c r="B28" s="36" t="inlineStr">
        <is>
          <t>Validity</t>
        </is>
      </c>
      <c r="C28" s="36" t="inlineStr">
        <is>
          <t>CheckboxGroup</t>
        </is>
      </c>
      <c r="D28" s="36" t="inlineStr">
        <is>
          <t>One required proxy shares first enabled Item bounds; inline failure marks the group and Fieldset invalid, reveals shared Error, and focuses that Item</t>
        </is>
      </c>
      <c r="E28" s="36" t="inlineStr">
        <is>
          <t>package</t>
        </is>
      </c>
      <c r="F28" s="36" t="inlineStr">
        <is>
          <t>browser</t>
        </is>
      </c>
      <c r="G28" s="37" t="inlineStr">
        <is>
          <t>../playground/tests/checkbox-family.spec.ts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46225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CBF-21</t>
        </is>
      </c>
      <c r="B29" s="36" t="inlineStr">
        <is>
          <t>State</t>
        </is>
      </c>
      <c r="C29" s="36" t="inlineStr">
        <is>
          <t>Family</t>
        </is>
      </c>
      <c r="D29" s="36" t="inlineStr">
        <is>
          <t>Controlled and uncontrolled Checkbox/CheckboxGroup state remain Atom-owned</t>
        </is>
      </c>
      <c r="E29" s="36" t="inlineStr">
        <is>
          <t>package</t>
        </is>
      </c>
      <c r="F29" s="36" t="inlineStr">
        <is>
          <t>component</t>
        </is>
      </c>
      <c r="G29" s="37" t="inlineStr">
        <is>
          <t>../test/components/checkbox-family.test.tsx</t>
        </is>
      </c>
      <c r="H29" s="36" t="inlineStr">
        <is>
          <t>tested</t>
        </is>
      </c>
      <c r="I29" s="36" t="inlineStr">
        <is>
          <t>no</t>
        </is>
      </c>
      <c r="J29" s="40" t="n">
        <v>46224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CBF-22</t>
        </is>
      </c>
      <c r="B30" s="36" t="inlineStr">
        <is>
          <t>Composition</t>
        </is>
      </c>
      <c r="C30" s="36" t="inlineStr">
        <is>
          <t>Family</t>
        </is>
      </c>
      <c r="D30" s="36" t="inlineStr">
        <is>
          <t>render and asChild retain one checkbox/tab stop, Brick artwork, native props, and refs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../playground/tests/checkbox-family.spec.ts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46224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CBF-23</t>
        </is>
      </c>
      <c r="B31" s="36" t="inlineStr">
        <is>
          <t>SSR</t>
        </is>
      </c>
      <c r="C31" s="36" t="inlineStr">
        <is>
          <t>Family</t>
        </is>
      </c>
      <c r="D31" s="36" t="inlineStr">
        <is>
          <t>Server output preserves stable visual anatomy and structured relationships</t>
        </is>
      </c>
      <c r="E31" s="36" t="inlineStr">
        <is>
          <t>package</t>
        </is>
      </c>
      <c r="F31" s="36" t="inlineStr">
        <is>
          <t>ssr</t>
        </is>
      </c>
      <c r="G31" s="37" t="inlineStr">
        <is>
          <t>../test/package/ssr.test.mjs</t>
        </is>
      </c>
      <c r="H31" s="36" t="inlineStr">
        <is>
          <t>tested</t>
        </is>
      </c>
      <c r="I31" s="36" t="inlineStr">
        <is>
          <t>no</t>
        </is>
      </c>
      <c r="J31" s="40" t="n">
        <v>46224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CBF-24</t>
        </is>
      </c>
      <c r="B32" s="36" t="inlineStr">
        <is>
          <t>Accessibility</t>
        </is>
      </c>
      <c r="C32" s="36" t="inlineStr">
        <is>
          <t>Family</t>
        </is>
      </c>
      <c r="D32" s="36" t="inlineStr">
        <is>
          <t>Focused axe scan has no violations and decorative artwork stays hidden</t>
        </is>
      </c>
      <c r="E32" s="36" t="inlineStr">
        <is>
          <t>package</t>
        </is>
      </c>
      <c r="F32" s="36" t="inlineStr">
        <is>
          <t>axe</t>
        </is>
      </c>
      <c r="G32" s="37" t="inlineStr">
        <is>
          <t>../playground/tests/checkbox-family.spec.ts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46224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CBF-25</t>
        </is>
      </c>
      <c r="B33" s="36" t="inlineStr">
        <is>
          <t>Responsive</t>
        </is>
      </c>
      <c r="C33" s="36" t="inlineStr">
        <is>
          <t>Family</t>
        </is>
      </c>
      <c r="D33" s="36" t="inlineStr">
        <is>
          <t>Automated 256px containment and logical RTL checks prevent page-level horizontal overflow</t>
        </is>
      </c>
      <c r="E33" s="36" t="inlineStr">
        <is>
          <t>package</t>
        </is>
      </c>
      <c r="F33" s="36" t="inlineStr">
        <is>
          <t>browser</t>
        </is>
      </c>
      <c r="G33" s="37" t="inlineStr">
        <is>
          <t>../playground/tests/checkbox-family.spec.ts</t>
        </is>
      </c>
      <c r="H33" s="36" t="inlineStr">
        <is>
          <t>tested</t>
        </is>
      </c>
      <c r="I33" s="36" t="inlineStr">
        <is>
          <t>no</t>
        </is>
      </c>
      <c r="J33" s="40" t="n">
        <v>46224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CBF-26</t>
        </is>
      </c>
      <c r="B34" s="36" t="inlineStr">
        <is>
          <t>Visual</t>
        </is>
      </c>
      <c r="C34" s="36" t="inlineStr">
        <is>
          <t>Family</t>
        </is>
      </c>
      <c r="D34" s="36" t="inlineStr">
        <is>
          <t>Reviewed baselines cover light states/sizes, dark structured group, mobile RTL, and forced colors</t>
        </is>
      </c>
      <c r="E34" s="36" t="inlineStr">
        <is>
          <t>package</t>
        </is>
      </c>
      <c r="F34" s="36" t="inlineStr">
        <is>
          <t>visual</t>
        </is>
      </c>
      <c r="G34" s="37" t="inlineStr">
        <is>
          <t>../playground/tests/visual.spec.ts; ../playground/tests/visual.spec.ts-snapshots</t>
        </is>
      </c>
      <c r="H34" s="36" t="inlineStr">
        <is>
          <t>verified</t>
        </is>
      </c>
      <c r="I34" s="36" t="inlineStr">
        <is>
          <t>yes</t>
        </is>
      </c>
      <c r="J34" s="40" t="n">
        <v>46225</v>
      </c>
      <c r="K34" s="36" t="inlineStr">
        <is>
          <t>Reviewed updated Chromium baselines for light/dark invalid scope, mobile RTL, and forced colors on 2026-07-22.</t>
        </is>
      </c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CBF-27</t>
        </is>
      </c>
      <c r="B35" s="36" t="inlineStr">
        <is>
          <t>Touch</t>
        </is>
      </c>
      <c r="C35" s="36" t="inlineStr">
        <is>
          <t>Family</t>
        </is>
      </c>
      <c r="D35" s="36" t="inlineStr">
        <is>
          <t>Real-device full-row activation is immediate, selection-free, and comfortable</t>
        </is>
      </c>
      <c r="E35" s="36" t="inlineStr">
        <is>
          <t>package</t>
        </is>
      </c>
      <c r="F35" s="36" t="inlineStr">
        <is>
          <t>manual</t>
        </is>
      </c>
      <c r="G35" s="37" t="inlineStr">
        <is>
          <t>../../docs/manual-tests/checkbox-family.md#9</t>
        </is>
      </c>
      <c r="H35" s="36" t="inlineStr">
        <is>
          <t>verified</t>
        </is>
      </c>
      <c r="I35" s="36" t="inlineStr">
        <is>
          <t>yes</t>
        </is>
      </c>
      <c r="J35" s="40" t="n">
        <v>46225</v>
      </c>
      <c r="K35" s="36" t="inlineStr">
        <is>
          <t>Owner passed step 9 on 2026-07-22 on physical iPhone and iPad; short and long rows activated immediately from their full touch targets without text selection or persistent hover treatment.</t>
        </is>
      </c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CBF-28</t>
        </is>
      </c>
      <c r="B36" s="36" t="inlineStr">
        <is>
          <t>Zoom</t>
        </is>
      </c>
      <c r="C36" s="36" t="inlineStr">
        <is>
          <t>Family</t>
        </is>
      </c>
      <c r="D36" s="36" t="inlineStr">
        <is>
          <t>200%/400% zoom and 256px layouts keep controls, actions, descriptions, and focus reachable</t>
        </is>
      </c>
      <c r="E36" s="36" t="inlineStr">
        <is>
          <t>package</t>
        </is>
      </c>
      <c r="F36" s="36" t="inlineStr">
        <is>
          <t>manual</t>
        </is>
      </c>
      <c r="G36" s="37" t="inlineStr">
        <is>
          <t>../../docs/manual-tests/checkbox-family.md#10</t>
        </is>
      </c>
      <c r="H36" s="36" t="inlineStr">
        <is>
          <t>verified</t>
        </is>
      </c>
      <c r="I36" s="36" t="inlineStr">
        <is>
          <t>yes</t>
        </is>
      </c>
      <c r="J36" s="40" t="n">
        <v>46225</v>
      </c>
      <c r="K36" s="36" t="inlineStr">
        <is>
          <t>Owner passed step 10 on 2026-07-22 at 200%, 400%, and 256 CSS pixels; controls, copy, actions, and focus remained reachable without page-level horizontal scrolling.</t>
        </is>
      </c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CBF-29</t>
        </is>
      </c>
      <c r="B37" s="36" t="inlineStr">
        <is>
          <t>Direction</t>
        </is>
      </c>
      <c r="C37" s="36" t="inlineStr">
        <is>
          <t>Family</t>
        </is>
      </c>
      <c r="D37" s="36" t="inlineStr">
        <is>
          <t>Owner review confirms RTL order, alignment, invalid cues, wrapping, and focus offsets</t>
        </is>
      </c>
      <c r="E37" s="36" t="inlineStr">
        <is>
          <t>package</t>
        </is>
      </c>
      <c r="F37" s="36" t="inlineStr">
        <is>
          <t>manual</t>
        </is>
      </c>
      <c r="G37" s="37" t="inlineStr">
        <is>
          <t>../../docs/manual-tests/checkbox-family.md#11</t>
        </is>
      </c>
      <c r="H37" s="36" t="inlineStr">
        <is>
          <t>verified</t>
        </is>
      </c>
      <c r="I37" s="36" t="inlineStr">
        <is>
          <t>yes</t>
        </is>
      </c>
      <c r="J37" s="40" t="n">
        <v>46225</v>
      </c>
      <c r="K37" s="36" t="inlineStr">
        <is>
          <t>Owner passed step 11 on 2026-07-22; RTL control order, alignment, wrapping, invalid cue, focus, and selection followed logical direction.</t>
        </is>
      </c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CBF-30</t>
        </is>
      </c>
      <c r="B38" s="36" t="inlineStr">
        <is>
          <t>Preferences</t>
        </is>
      </c>
      <c r="C38" s="36" t="inlineStr">
        <is>
          <t>Family</t>
        </is>
      </c>
      <c r="D38" s="36" t="inlineStr">
        <is>
          <t>Reduced motion keeps state legible without animated dependence</t>
        </is>
      </c>
      <c r="E38" s="36" t="inlineStr">
        <is>
          <t>package</t>
        </is>
      </c>
      <c r="F38" s="36" t="inlineStr">
        <is>
          <t>manual</t>
        </is>
      </c>
      <c r="G38" s="37" t="inlineStr">
        <is>
          <t>../../docs/manual-tests/checkbox-family.md#12</t>
        </is>
      </c>
      <c r="H38" s="36" t="inlineStr">
        <is>
          <t>verified</t>
        </is>
      </c>
      <c r="I38" s="36" t="inlineStr">
        <is>
          <t>yes</t>
        </is>
      </c>
      <c r="J38" s="40" t="n">
        <v>46225</v>
      </c>
      <c r="K38" s="36" t="inlineStr">
        <is>
          <t>Owner passed step 12 on 2026-07-22; state, focus, and invalid changes remained clear without motion-dependent feedback.</t>
        </is>
      </c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CBF-31</t>
        </is>
      </c>
      <c r="B39" s="36" t="inlineStr">
        <is>
          <t>Preferences</t>
        </is>
      </c>
      <c r="C39" s="36" t="inlineStr">
        <is>
          <t>Family</t>
        </is>
      </c>
      <c r="D39" s="36" t="inlineStr">
        <is>
          <t>Windows forced colors preserves boundaries, marks, invalid cue, disabled state, and focus</t>
        </is>
      </c>
      <c r="E39" s="36" t="inlineStr">
        <is>
          <t>package</t>
        </is>
      </c>
      <c r="F39" s="36" t="inlineStr">
        <is>
          <t>manual</t>
        </is>
      </c>
      <c r="G39" s="37" t="inlineStr">
        <is>
          <t>../../docs/manual-tests/checkbox-family.md#13</t>
        </is>
      </c>
      <c r="H39" s="36" t="inlineStr">
        <is>
          <t>not applicable</t>
        </is>
      </c>
      <c r="I39" s="36" t="inlineStr">
        <is>
          <t>yes</t>
        </is>
      </c>
      <c r="J39" s="40" t="n">
        <v>46225</v>
      </c>
      <c r="K39" s="36" t="inlineStr">
        <is>
          <t>No Windows forced-colors device was available for owner testing. Reviewed automated forced-colors evidence is recorded separately in CBF-26; real-Windows review remains optional compatibility evidence.</t>
        </is>
      </c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CBF-32</t>
        </is>
      </c>
      <c r="B40" s="36" t="inlineStr">
        <is>
          <t>Composition</t>
        </is>
      </c>
      <c r="C40" s="36" t="inlineStr">
        <is>
          <t>Family</t>
        </is>
      </c>
      <c r="D40" s="36" t="inlineStr">
        <is>
          <t>Owner review confirms render/asChild expose one operable and announced checkbox</t>
        </is>
      </c>
      <c r="E40" s="36" t="inlineStr">
        <is>
          <t>package</t>
        </is>
      </c>
      <c r="F40" s="36" t="inlineStr">
        <is>
          <t>manual</t>
        </is>
      </c>
      <c r="G40" s="37" t="inlineStr">
        <is>
          <t>../../docs/manual-tests/checkbox-family.md#14</t>
        </is>
      </c>
      <c r="H40" s="36" t="inlineStr">
        <is>
          <t>verified</t>
        </is>
      </c>
      <c r="I40" s="36" t="inlineStr">
        <is>
          <t>yes</t>
        </is>
      </c>
      <c r="J40" s="40" t="n">
        <v>46225</v>
      </c>
      <c r="K40" s="36" t="inlineStr">
        <is>
          <t>Owner passed step 14 on 2026-07-22; render and asChild examples exposed one operable and announced checkbox with Brick artwork and the related structured description.</t>
        </is>
      </c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CBF-33</t>
        </is>
      </c>
      <c r="B41" s="36" t="inlineStr">
        <is>
          <t>Manual</t>
        </is>
      </c>
      <c r="C41" s="36" t="inlineStr">
        <is>
          <t>Parent</t>
        </is>
      </c>
      <c r="D41" s="36" t="inlineStr">
        <is>
          <t>Owner verifies none/some/all Parent behavior and disabled Item policy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../../docs/manual-tests/checkbox-family.md#6</t>
        </is>
      </c>
      <c r="H41" s="36" t="inlineStr">
        <is>
          <t>verified</t>
        </is>
      </c>
      <c r="I41" s="36" t="inlineStr">
        <is>
          <t>yes</t>
        </is>
      </c>
      <c r="J41" s="40" t="n">
        <v>46225</v>
      </c>
      <c r="K41" s="36" t="inlineStr">
        <is>
          <t>Owner passed full retest step 6 on 2026-07-22; Parent none/some/all artwork, selected-value output, and exclusion of the disabled SMS Item from selectable allValues were confirmed.</t>
        </is>
      </c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CBF-34</t>
        </is>
      </c>
      <c r="B42" s="36" t="inlineStr">
        <is>
          <t>Manual</t>
        </is>
      </c>
      <c r="C42" s="36" t="inlineStr">
        <is>
          <t>Forms</t>
        </is>
      </c>
      <c r="D42" s="36" t="inlineStr">
        <is>
          <t>Owner verifies automatic inline errors, visible first-invalid focus, independent correction clearing, successful submission, external choice, and reset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../../docs/manual-tests/checkbox-family.md#7</t>
        </is>
      </c>
      <c r="H42" s="36" t="inlineStr">
        <is>
          <t>verified</t>
        </is>
      </c>
      <c r="I42" s="36" t="inlineStr">
        <is>
          <t>yes</t>
        </is>
      </c>
      <c r="J42" s="40" t="n">
        <v>46225</v>
      </c>
      <c r="K42" s="36" t="inlineStr">
        <is>
          <t>Owner passed step 7 on 2026-07-22 after final Atom 0.6.17; inline validation, scoped errors, correction/reset clearing, visible focus, and explicit in-view scrolling passed on desktop, iPhone, and iPad.</t>
        </is>
      </c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CBF-35</t>
        </is>
      </c>
      <c r="B43" s="36" t="inlineStr">
        <is>
          <t>Manual</t>
        </is>
      </c>
      <c r="C43" s="36" t="inlineStr">
        <is>
          <t>Accessibility</t>
        </is>
      </c>
      <c r="D43" s="36" t="inlineStr">
        <is>
          <t>Owner screen-reader review confirms Item name/description and Parent mixed announcement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../../docs/manual-tests/checkbox-family.md#8</t>
        </is>
      </c>
      <c r="H43" s="36" t="inlineStr">
        <is>
          <t>verified</t>
        </is>
      </c>
      <c r="I43" s="36" t="inlineStr">
        <is>
          <t>yes</t>
        </is>
      </c>
      <c r="J43" s="40" t="n">
        <v>46225</v>
      </c>
      <c r="K43" s="36" t="inlineStr">
        <is>
          <t>Owner passed step 8 on 2026-07-22 with VoiceOver/Safari; the structured Email choice announced its name, state, and description without decorative content, and Parent announced mixed.</t>
        </is>
      </c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CBF-36</t>
        </is>
      </c>
      <c r="B44" s="36" t="inlineStr">
        <is>
          <t>Matrix</t>
        </is>
      </c>
      <c r="C44" s="36" t="inlineStr">
        <is>
          <t>Family</t>
        </is>
      </c>
      <c r="D44" s="36" t="inlineStr">
        <is>
          <t>Release browser matrix repeats critical pointer, keyboard, forms, responsive, RTL, and axe checks</t>
        </is>
      </c>
      <c r="E44" s="36" t="inlineStr">
        <is>
          <t>package</t>
        </is>
      </c>
      <c r="F44" s="36" t="inlineStr">
        <is>
          <t>browser</t>
        </is>
      </c>
      <c r="G44" s="37" t="inlineStr">
        <is>
          <t>../playground/tests/checkbox-family.spec.ts</t>
        </is>
      </c>
      <c r="H44" s="36" t="inlineStr">
        <is>
          <t>tested</t>
        </is>
      </c>
      <c r="I44" s="36" t="inlineStr">
        <is>
          <t>no</t>
        </is>
      </c>
      <c r="J44" s="40" t="n">
        <v>46225</v>
      </c>
      <c r="K44" s="36" t="inlineStr">
        <is>
          <t>Full release matrix passed 609 checks with 201 intentional capability skips across Chromium, Firefox, WebKit, mobile Chromium, and mobile WebKit on 2026-07-22.</t>
        </is>
      </c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CBF-37</t>
        </is>
      </c>
      <c r="B45" s="36" t="inlineStr">
        <is>
          <t>Consumer</t>
        </is>
      </c>
      <c r="C45" s="36" t="inlineStr">
        <is>
          <t>Family</t>
        </is>
      </c>
      <c r="D45" s="36" t="inlineStr">
        <is>
          <t>Brick Consumer publishing-preferences workflow passes desktop/mobile submit, reset, and axe checks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../apps/consumer</t>
        </is>
      </c>
      <c r="H45" s="36" t="inlineStr">
        <is>
          <t>tested</t>
        </is>
      </c>
      <c r="I45" s="36" t="inlineStr">
        <is>
          <t>no</t>
        </is>
      </c>
      <c r="J45" s="40" t="n">
        <v>46224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CBF-38</t>
        </is>
      </c>
      <c r="B46" s="36" t="inlineStr">
        <is>
          <t>Docs</t>
        </is>
      </c>
      <c r="C46" s="36" t="inlineStr">
        <is>
          <t>Family</t>
        </is>
      </c>
      <c r="D46" s="36" t="inlineStr">
        <is>
          <t>Public READMEs, component changelogs, workbench, protocol, and adopted brief describe the exact boundary</t>
        </is>
      </c>
      <c r="E46" s="36" t="inlineStr">
        <is>
          <t>package</t>
        </is>
      </c>
      <c r="F46" s="36" t="inlineStr">
        <is>
          <t>docs</t>
        </is>
      </c>
      <c r="G46" s="37" t="inlineStr">
        <is>
          <t>../docs/components/checkbox/README.md; ../docs/components/checkbox-group/README.md</t>
        </is>
      </c>
      <c r="H46" s="36" t="inlineStr">
        <is>
          <t>tested</t>
        </is>
      </c>
      <c r="I46" s="36" t="inlineStr">
        <is>
          <t>no</t>
        </is>
      </c>
      <c r="J46" s="40" t="n">
        <v>46224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/>
    <row r="48"/>
  </sheetData>
  <mergeCells count="3">
    <mergeCell ref="A2:M2"/>
    <mergeCell ref="A6:M6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 UI</dc:creator>
  <dc:title xmlns:dc="http://purl.org/dc/elements/1.1/">Brick Component Coverage</dc:title>
  <dc:subject xmlns:dc="http://purl.org/dc/elements/1.1/">Reference component quality and retirement evidence</dc:subject>
  <dc:language xmlns:dc="http://purl.org/dc/elements/1.1/">en-US</dc:language>
  <dcterms:created xmlns:dcterms="http://purl.org/dc/terms/" xmlns:xsi="http://www.w3.org/2001/XMLSchema-instance" xsi:type="dcterms:W3CDTF">2026-07-16T17:42:40Z</dcterms:created>
  <dcterms:modified xmlns:dcterms="http://purl.org/dc/terms/" xmlns:xsi="http://www.w3.org/2001/XMLSchema-instance" xsi:type="dcterms:W3CDTF">2026-07-22T23:01:37Z</dcterms:modified>
  <cp:revision>0</cp:revision>
</cp:coreProperties>
</file>